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4505" yWindow="405" windowWidth="9495" windowHeight="9720"/>
  </bookViews>
  <sheets>
    <sheet name="User" sheetId="8" r:id="rId1"/>
    <sheet name="Calc" sheetId="3" state="veryHidden" r:id="rId2"/>
    <sheet name="Settings" sheetId="14" r:id="rId3"/>
    <sheet name="Summary" sheetId="9" r:id="rId4"/>
    <sheet name="Multi" sheetId="21" r:id="rId5"/>
    <sheet name="RawData" sheetId="15" r:id="rId6"/>
    <sheet name="Command" sheetId="13" state="veryHidden" r:id="rId7"/>
    <sheet name="Module1" sheetId="4" state="veryHidden" r:id=""/>
    <sheet name="Plots" sheetId="20" r:id="rId8"/>
  </sheets>
  <functionGroups builtInGroupCount="17"/>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Settings!$E$26</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Settings!#REF!</definedName>
    <definedName name="BaseGainFlag">Command!$E$5</definedName>
    <definedName name="BiasLight">User!$G$6</definedName>
    <definedName name="BiasPtCD">Calc!$M$6</definedName>
    <definedName name="C_cal">Settings!$C$9</definedName>
    <definedName name="C_wafer">Settings!$H$6</definedName>
    <definedName name="CorrectedResistivity">Calc!$AE$6</definedName>
    <definedName name="CorrectedSheetRho">Calc!$AD$6</definedName>
    <definedName name="CouplingMode">Settings!$C$14</definedName>
    <definedName name="cutoffflag">Command!$E$13</definedName>
    <definedName name="Dark_Voltage">Calc!$A$6</definedName>
    <definedName name="DK">Command!$B$46</definedName>
    <definedName name="DL">Command!$B$47</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HighTemp">User!$M$6</definedName>
    <definedName name="ImpliedVoc1sun">Calc!$AB$6</definedName>
    <definedName name="InputRangeAvg">#REF!</definedName>
    <definedName name="InputRangeFit">#REF!</definedName>
    <definedName name="InputRangeMCD">#REF!</definedName>
    <definedName name="InputRangeMode">#REF!</definedName>
    <definedName name="InputRangeOptConst">#REF!</definedName>
    <definedName name="InputRangePC">#REF!</definedName>
    <definedName name="InputRangeRef">#REF!</definedName>
    <definedName name="InputRangeType">#REF!</definedName>
    <definedName name="InputResCoverSheet">#REF!</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owTemp">User!$L$6</definedName>
    <definedName name="ltransientFlag">Command!$E$7</definedName>
    <definedName name="MaxApparentCD">Calc!$J$6</definedName>
    <definedName name="MaxSuns">Calc!$F$6</definedName>
    <definedName name="MaxTauLimit">Settings!$C$25</definedName>
    <definedName name="MCDErrorMsg">Calc!$R$2</definedName>
    <definedName name="MeasDate">Calc!$F$1</definedName>
    <definedName name="MeasTime">Calc!$F$2</definedName>
    <definedName name="MeasureCmd">Command!$H$4</definedName>
    <definedName name="MeasuredLifetime">Calc!$R$6</definedName>
    <definedName name="MeasuredLifetimeAuger">Calc!$V$6</definedName>
    <definedName name="MeasuredResistivity">Calc!$C$6</definedName>
    <definedName name="MeasureTempCmd">Command!$H$6</definedName>
    <definedName name="MinApparentCD">Calc!$I$6</definedName>
    <definedName name="MinTauLimit">Settings!$C$24</definedName>
    <definedName name="MobilityModel">Settings!$C$18</definedName>
    <definedName name="mobilitymodelerror">Calc!$T$2</definedName>
    <definedName name="MobilityModelList">Command!$B$46:$B$47</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Settings!$C$26</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PulseLength">Settings!$E$29</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#REF!</definedName>
    <definedName name="SampleNameCoverSheet">#REF!</definedName>
    <definedName name="SampleNameUserSheet">User!$A$6</definedName>
    <definedName name="SampleType">User!$D$6</definedName>
    <definedName name="SheetResistance">Calc!$B$6</definedName>
    <definedName name="ShowUserForm">Settings!$E$17</definedName>
    <definedName name="solver_adj" localSheetId="1" hidden="1">Calc!#REF!,Calc!#REF!</definedName>
    <definedName name="solver_drv" localSheetId="1" hidden="1">1</definedName>
    <definedName name="solver_est" localSheetId="1" hidden="1">1</definedName>
    <definedName name="solver_itr" localSheetId="1" hidden="1">10</definedName>
    <definedName name="solver_lin" localSheetId="1" hidden="1">1</definedName>
    <definedName name="solver_num" localSheetId="1" hidden="1">0</definedName>
    <definedName name="solver_nwt" localSheetId="1" hidden="1">1</definedName>
    <definedName name="solver_opt" localSheetId="1" hidden="1">Calc!#REF!</definedName>
    <definedName name="solver_pre" localSheetId="1" hidden="1">0.001</definedName>
    <definedName name="solver_scl" localSheetId="1" hidden="1">2</definedName>
    <definedName name="solver_sho" localSheetId="1" hidden="1">2</definedName>
    <definedName name="solver_tim" localSheetId="1" hidden="1">30</definedName>
    <definedName name="solver_tol" localSheetId="1" hidden="1">0.05</definedName>
    <definedName name="solver_typ" localSheetId="1" hidden="1">2</definedName>
    <definedName name="solver_val" localSheetId="1" hidden="1">0</definedName>
    <definedName name="SpecMCD">User!$F$6</definedName>
    <definedName name="SpecMCDminusTraps">Calc!$O$6</definedName>
    <definedName name="StepSize">User!$N$6</definedName>
    <definedName name="TauFitIntercept">Calc!$Y$6</definedName>
    <definedName name="TauInvspecMCD">Calc!$X$6</definedName>
    <definedName name="Temperature">Calc!$F$3</definedName>
    <definedName name="TempScanAverage">Settings!$E$23</definedName>
    <definedName name="TextSummary">Settings!$E$5</definedName>
    <definedName name="TextSummaryFN">Settings!$F$5</definedName>
    <definedName name="TF_List">Command!$B$29:$B$30</definedName>
    <definedName name="TF_PassFail">Settings!$C$23</definedName>
    <definedName name="Thickness">User!$B$6</definedName>
    <definedName name="ThicknessCoverSheet">#REF!</definedName>
    <definedName name="TimeofMaxCD">Calc!$K$6</definedName>
    <definedName name="TimeScaleFlags">Command!$H$7</definedName>
    <definedName name="TNumTaus">Settings!$E$31</definedName>
    <definedName name="Tolerance">User!$O$6</definedName>
    <definedName name="TransFlashDelay">Settings!$E$22</definedName>
    <definedName name="Traps">Calc!$N$6</definedName>
    <definedName name="TSampleTime">Settings!$E$30</definedName>
    <definedName name="type_list">Command!$B$37:$B$38</definedName>
    <definedName name="ViewPoint">User!$I$2</definedName>
    <definedName name="VRangeList">Command!$D$30:$D$37</definedName>
    <definedName name="xferFlag">Command!$E$9</definedName>
    <definedName name="ZeroInstrCmd">Command!$H$5</definedName>
    <definedName name="ZeroInstTime">Settings!$O$17</definedName>
  </definedNames>
  <calcPr calcId="145621"/>
</workbook>
</file>

<file path=xl/calcChain.xml><?xml version="1.0" encoding="utf-8"?>
<calcChain xmlns="http://schemas.openxmlformats.org/spreadsheetml/2006/main">
  <c r="AD12" i="3" l="1"/>
  <c r="AD11" i="3"/>
  <c r="AD10" i="3"/>
  <c r="AD9" i="3"/>
  <c r="AC44" i="3"/>
  <c r="E13" i="13" l="1"/>
  <c r="C13" i="13"/>
  <c r="T2" i="3" l="1"/>
  <c r="W134" i="3"/>
  <c r="D2" i="9" l="1"/>
  <c r="L9" i="8" l="1"/>
  <c r="AC43" i="3" l="1"/>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E6" i="3" l="1"/>
  <c r="T1" i="3" s="1"/>
  <c r="E9" i="3"/>
  <c r="G6" i="3" l="1"/>
  <c r="D9" i="3"/>
  <c r="D17" i="3" l="1"/>
  <c r="N134" i="3" l="1"/>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Z10"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9" i="3"/>
  <c r="C6" i="13" l="1"/>
  <c r="C7" i="13"/>
  <c r="C8" i="13"/>
  <c r="E6" i="13"/>
  <c r="H7" i="13" s="1"/>
  <c r="E21" i="14"/>
  <c r="C10" i="13" s="1"/>
  <c r="E21" i="13" l="1"/>
  <c r="C21" i="13"/>
  <c r="E18" i="13"/>
  <c r="C18" i="13"/>
  <c r="B18" i="13"/>
  <c r="E17" i="13"/>
  <c r="F17" i="13" s="1"/>
  <c r="C17" i="13"/>
  <c r="D17" i="13" s="1"/>
  <c r="D18" i="13" l="1"/>
  <c r="F18" i="13"/>
  <c r="C12" i="13" l="1"/>
  <c r="D12" i="13" s="1"/>
  <c r="E12" i="13" s="1"/>
  <c r="H5" i="13" s="1"/>
  <c r="E11" i="13"/>
  <c r="E9" i="13"/>
  <c r="E8" i="13"/>
  <c r="E7" i="13"/>
  <c r="D5" i="13" l="1"/>
  <c r="E5" i="13" s="1"/>
  <c r="D4" i="13"/>
  <c r="D3" i="13"/>
  <c r="E22" i="13" l="1"/>
  <c r="E23" i="13"/>
  <c r="C22" i="13"/>
  <c r="C23" i="13"/>
  <c r="E3" i="13"/>
  <c r="Z2" i="9"/>
  <c r="X2" i="9"/>
  <c r="W2" i="9"/>
  <c r="V2" i="9"/>
  <c r="J2" i="9" l="1"/>
  <c r="I2" i="9"/>
  <c r="H2" i="9"/>
  <c r="G2" i="9"/>
  <c r="E2" i="9"/>
  <c r="C2" i="9"/>
  <c r="B2" i="9"/>
  <c r="A2" i="9"/>
  <c r="E12" i="14"/>
  <c r="C10" i="14" l="1"/>
  <c r="C9" i="14"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Y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R2" i="9" l="1"/>
  <c r="D6" i="3"/>
  <c r="F2" i="9" l="1"/>
  <c r="A6" i="3"/>
  <c r="J2" i="3"/>
  <c r="J9" i="8"/>
  <c r="H9" i="3"/>
  <c r="H120" i="3"/>
  <c r="H47" i="3"/>
  <c r="H57" i="3"/>
  <c r="H104" i="3"/>
  <c r="H71" i="3"/>
  <c r="H30" i="3"/>
  <c r="H90" i="3"/>
  <c r="H78" i="3"/>
  <c r="H70" i="3"/>
  <c r="H14" i="3"/>
  <c r="H127" i="3"/>
  <c r="H54" i="3"/>
  <c r="H46" i="3"/>
  <c r="H110" i="3"/>
  <c r="H21" i="3"/>
  <c r="H22" i="3"/>
  <c r="H33" i="3"/>
  <c r="H53" i="3"/>
  <c r="H29" i="3"/>
  <c r="H12" i="3"/>
  <c r="H65" i="3"/>
  <c r="H86" i="3"/>
  <c r="H82" i="3"/>
  <c r="B6" i="3"/>
  <c r="H109" i="3"/>
  <c r="H55" i="3"/>
  <c r="H44" i="3"/>
  <c r="H88" i="3"/>
  <c r="H45" i="3"/>
  <c r="H128" i="3"/>
  <c r="H38" i="3"/>
  <c r="H99" i="3"/>
  <c r="H89" i="3"/>
  <c r="H48" i="3"/>
  <c r="H31" i="3"/>
  <c r="H26" i="3"/>
  <c r="H85" i="3"/>
  <c r="H96" i="3"/>
  <c r="H100" i="3"/>
  <c r="H37" i="3"/>
  <c r="H51" i="3"/>
  <c r="H74" i="3"/>
  <c r="H66" i="3"/>
  <c r="H113" i="3"/>
  <c r="AD6" i="3" l="1"/>
  <c r="P2" i="9" s="1"/>
  <c r="N2" i="9"/>
  <c r="C6" i="3"/>
  <c r="I70" i="3"/>
  <c r="I113" i="3"/>
  <c r="I53" i="3"/>
  <c r="I89" i="3"/>
  <c r="I48" i="3"/>
  <c r="I90" i="3"/>
  <c r="I38" i="3"/>
  <c r="I37" i="3"/>
  <c r="I12" i="3"/>
  <c r="I88" i="3"/>
  <c r="I21" i="3"/>
  <c r="I85" i="3"/>
  <c r="I9" i="3"/>
  <c r="I120" i="3"/>
  <c r="I31" i="3"/>
  <c r="I100" i="3"/>
  <c r="I99" i="3"/>
  <c r="I55" i="3"/>
  <c r="I46" i="3"/>
  <c r="I127" i="3"/>
  <c r="I57" i="3"/>
  <c r="I86" i="3"/>
  <c r="I109" i="3"/>
  <c r="I51" i="3"/>
  <c r="I110" i="3"/>
  <c r="I33" i="3"/>
  <c r="I22" i="3"/>
  <c r="I96" i="3"/>
  <c r="I44" i="3"/>
  <c r="I30" i="3"/>
  <c r="I82" i="3"/>
  <c r="I26" i="3"/>
  <c r="I128" i="3"/>
  <c r="I78" i="3"/>
  <c r="I65" i="3"/>
  <c r="I66" i="3"/>
  <c r="I71" i="3"/>
  <c r="I54" i="3"/>
  <c r="I45" i="3"/>
  <c r="I29" i="3"/>
  <c r="I14" i="3"/>
  <c r="I74" i="3"/>
  <c r="I47" i="3"/>
  <c r="I104" i="3"/>
  <c r="AE6" i="3" l="1"/>
  <c r="B9" i="8"/>
  <c r="O2" i="9"/>
  <c r="N94" i="3"/>
  <c r="N96" i="3"/>
  <c r="N99" i="3"/>
  <c r="N98" i="3"/>
  <c r="N95" i="3"/>
  <c r="C9" i="8" l="1"/>
  <c r="Q2" i="9"/>
  <c r="N97" i="3"/>
  <c r="M6" i="3" s="1"/>
  <c r="H19" i="3"/>
  <c r="H60" i="3"/>
  <c r="H130" i="3"/>
  <c r="H107" i="3"/>
  <c r="H115" i="3"/>
  <c r="H17" i="3"/>
  <c r="H132" i="3"/>
  <c r="H52" i="3"/>
  <c r="H56" i="3"/>
  <c r="H76" i="3"/>
  <c r="H79" i="3"/>
  <c r="H63" i="3"/>
  <c r="H18" i="3"/>
  <c r="H112" i="3"/>
  <c r="H28" i="3"/>
  <c r="H97" i="3"/>
  <c r="H117" i="3"/>
  <c r="H11" i="3"/>
  <c r="H72" i="3"/>
  <c r="H25" i="3"/>
  <c r="H84" i="3"/>
  <c r="H95" i="3"/>
  <c r="H36" i="3"/>
  <c r="H111" i="3"/>
  <c r="H13" i="3"/>
  <c r="H43" i="3"/>
  <c r="H81" i="3"/>
  <c r="H77" i="3"/>
  <c r="H23" i="3"/>
  <c r="H64" i="3"/>
  <c r="H61" i="3"/>
  <c r="H91" i="3"/>
  <c r="H41" i="3"/>
  <c r="H42" i="3"/>
  <c r="H24" i="3"/>
  <c r="H73" i="3"/>
  <c r="H69" i="3"/>
  <c r="H67" i="3"/>
  <c r="H108" i="3"/>
  <c r="H131" i="3"/>
  <c r="H87" i="3"/>
  <c r="H20" i="3"/>
  <c r="H92" i="3"/>
  <c r="H116" i="3"/>
  <c r="H124" i="3"/>
  <c r="H58" i="3"/>
  <c r="H102" i="3"/>
  <c r="H94" i="3"/>
  <c r="H59" i="3"/>
  <c r="H10" i="3"/>
  <c r="H123" i="3"/>
  <c r="H125" i="3"/>
  <c r="H122" i="3"/>
  <c r="H27" i="3"/>
  <c r="H93" i="3"/>
  <c r="H80" i="3"/>
  <c r="H50" i="3"/>
  <c r="H32" i="3"/>
  <c r="H133" i="3"/>
  <c r="H106" i="3"/>
  <c r="H75" i="3"/>
  <c r="H121" i="3"/>
  <c r="H126" i="3"/>
  <c r="H15" i="3"/>
  <c r="H49" i="3"/>
  <c r="H114" i="3"/>
  <c r="H16" i="3"/>
  <c r="H39" i="3"/>
  <c r="H62" i="3"/>
  <c r="H119" i="3"/>
  <c r="H68" i="3"/>
  <c r="H129" i="3"/>
  <c r="H98" i="3"/>
  <c r="H35" i="3"/>
  <c r="H83" i="3"/>
  <c r="H101" i="3"/>
  <c r="H34" i="3"/>
  <c r="H118" i="3"/>
  <c r="H40" i="3"/>
  <c r="H103" i="3"/>
  <c r="H105" i="3"/>
  <c r="D81" i="15" l="1"/>
  <c r="D41" i="15"/>
  <c r="D48" i="15"/>
  <c r="D82" i="15"/>
  <c r="D58" i="15"/>
  <c r="D79" i="15"/>
  <c r="D24" i="15"/>
  <c r="D83" i="15"/>
  <c r="D89" i="15"/>
  <c r="D92" i="15"/>
  <c r="D102" i="15"/>
  <c r="D2" i="15"/>
  <c r="D44" i="15"/>
  <c r="D97" i="15"/>
  <c r="D120" i="15"/>
  <c r="D93" i="15"/>
  <c r="D64" i="15"/>
  <c r="D37" i="15"/>
  <c r="D15" i="15"/>
  <c r="D46" i="15"/>
  <c r="D75" i="15"/>
  <c r="D40" i="15"/>
  <c r="D22" i="15"/>
  <c r="D5" i="15"/>
  <c r="D14" i="15"/>
  <c r="D121" i="15"/>
  <c r="D50" i="15"/>
  <c r="D39" i="15"/>
  <c r="D113" i="15"/>
  <c r="D106" i="15"/>
  <c r="D103" i="15"/>
  <c r="D63" i="15"/>
  <c r="D38" i="15"/>
  <c r="D23" i="15"/>
  <c r="D31" i="15"/>
  <c r="D78" i="15"/>
  <c r="D26" i="15"/>
  <c r="D47" i="15"/>
  <c r="D30" i="15"/>
  <c r="D59" i="15"/>
  <c r="D7" i="15"/>
  <c r="D67" i="15"/>
  <c r="D19" i="15"/>
  <c r="D71" i="15"/>
  <c r="K9" i="3"/>
  <c r="K53" i="3"/>
  <c r="H9" i="8"/>
  <c r="K33" i="3"/>
  <c r="K71" i="3"/>
  <c r="K55" i="3"/>
  <c r="K29" i="3"/>
  <c r="K38" i="3"/>
  <c r="K54" i="3"/>
  <c r="K120" i="3"/>
  <c r="K127" i="3"/>
  <c r="K44" i="3"/>
  <c r="K66" i="3"/>
  <c r="K89" i="3"/>
  <c r="K100" i="3"/>
  <c r="K26" i="3"/>
  <c r="K128" i="3"/>
  <c r="K22" i="3"/>
  <c r="K74" i="3"/>
  <c r="K85" i="3"/>
  <c r="K78" i="3"/>
  <c r="K37" i="3"/>
  <c r="K109" i="3"/>
  <c r="K21" i="3"/>
  <c r="K14" i="3"/>
  <c r="K31" i="3"/>
  <c r="K86" i="3"/>
  <c r="K51" i="3"/>
  <c r="K46" i="3"/>
  <c r="K90" i="3"/>
  <c r="K12" i="3"/>
  <c r="K104" i="3"/>
  <c r="K65" i="3"/>
  <c r="K113" i="3"/>
  <c r="K30" i="3"/>
  <c r="K70" i="3"/>
  <c r="K110" i="3"/>
  <c r="K45" i="3"/>
  <c r="K96" i="3"/>
  <c r="K57" i="3"/>
  <c r="K99" i="3"/>
  <c r="K47" i="3"/>
  <c r="K88" i="3"/>
  <c r="K82" i="3"/>
  <c r="K48" i="3"/>
  <c r="V9" i="3"/>
  <c r="V71" i="3"/>
  <c r="V54" i="3"/>
  <c r="V66" i="3"/>
  <c r="V128" i="3"/>
  <c r="V78" i="3"/>
  <c r="V14" i="3"/>
  <c r="V46" i="3"/>
  <c r="V65" i="3"/>
  <c r="V110" i="3"/>
  <c r="V99" i="3"/>
  <c r="V48" i="3"/>
  <c r="V53" i="3"/>
  <c r="V55" i="3"/>
  <c r="V120" i="3"/>
  <c r="V89" i="3"/>
  <c r="V22" i="3"/>
  <c r="V37" i="3"/>
  <c r="V31" i="3"/>
  <c r="V90" i="3"/>
  <c r="V113" i="3"/>
  <c r="V45" i="3"/>
  <c r="V47" i="3"/>
  <c r="V29" i="3"/>
  <c r="V127" i="3"/>
  <c r="V100" i="3"/>
  <c r="V74" i="3"/>
  <c r="V109" i="3"/>
  <c r="V86" i="3"/>
  <c r="V12" i="3"/>
  <c r="V30" i="3"/>
  <c r="V96" i="3"/>
  <c r="V88" i="3"/>
  <c r="V33" i="3"/>
  <c r="V38" i="3"/>
  <c r="V44" i="3"/>
  <c r="V26" i="3"/>
  <c r="V85" i="3"/>
  <c r="V21" i="3"/>
  <c r="V51" i="3"/>
  <c r="V104" i="3"/>
  <c r="V70" i="3"/>
  <c r="V57" i="3"/>
  <c r="V82" i="3"/>
  <c r="I39" i="3"/>
  <c r="I69" i="3"/>
  <c r="I108" i="3"/>
  <c r="I34" i="3"/>
  <c r="I87" i="3"/>
  <c r="I117" i="3"/>
  <c r="I64" i="3"/>
  <c r="I16" i="3"/>
  <c r="I28" i="3"/>
  <c r="I60" i="3"/>
  <c r="I27" i="3"/>
  <c r="I121" i="3"/>
  <c r="I62" i="3"/>
  <c r="I105" i="3"/>
  <c r="I95" i="3"/>
  <c r="I75" i="3"/>
  <c r="I101" i="3"/>
  <c r="I115" i="3"/>
  <c r="I49" i="3"/>
  <c r="I80" i="3"/>
  <c r="I76" i="3"/>
  <c r="I59" i="3"/>
  <c r="I91" i="3"/>
  <c r="I94" i="3"/>
  <c r="I102" i="3"/>
  <c r="I129" i="3"/>
  <c r="I73" i="3"/>
  <c r="I133" i="3"/>
  <c r="I112" i="3"/>
  <c r="I35" i="3"/>
  <c r="I67" i="3"/>
  <c r="I119" i="3"/>
  <c r="I92" i="3"/>
  <c r="I40" i="3"/>
  <c r="I125" i="3"/>
  <c r="I77" i="3"/>
  <c r="I58" i="3"/>
  <c r="I25" i="3"/>
  <c r="I130" i="3"/>
  <c r="I106" i="3"/>
  <c r="I98" i="3"/>
  <c r="I63" i="3"/>
  <c r="I19" i="3"/>
  <c r="I84" i="3"/>
  <c r="I132" i="3"/>
  <c r="I52" i="3"/>
  <c r="I41" i="3"/>
  <c r="I123" i="3"/>
  <c r="I56" i="3"/>
  <c r="I18" i="3"/>
  <c r="I10" i="3"/>
  <c r="I50" i="3"/>
  <c r="I116" i="3"/>
  <c r="I43" i="3"/>
  <c r="I24" i="3"/>
  <c r="I126" i="3"/>
  <c r="I103" i="3"/>
  <c r="I42" i="3"/>
  <c r="I131" i="3"/>
  <c r="I83" i="3"/>
  <c r="I114" i="3"/>
  <c r="I36" i="3"/>
  <c r="I72" i="3"/>
  <c r="I97" i="3"/>
  <c r="I93" i="3"/>
  <c r="I122" i="3"/>
  <c r="I15" i="3"/>
  <c r="I81" i="3"/>
  <c r="I11" i="3"/>
  <c r="I68" i="3"/>
  <c r="I13" i="3"/>
  <c r="I118" i="3"/>
  <c r="I79" i="3"/>
  <c r="I23" i="3"/>
  <c r="I107" i="3"/>
  <c r="I17" i="3"/>
  <c r="I124" i="3"/>
  <c r="I32" i="3"/>
  <c r="I111" i="3"/>
  <c r="I61" i="3"/>
  <c r="I20" i="3"/>
  <c r="W9" i="3" l="1"/>
  <c r="AE82" i="3"/>
  <c r="J75" i="15" s="1"/>
  <c r="AE57" i="3"/>
  <c r="J50" i="15" s="1"/>
  <c r="AE70" i="3"/>
  <c r="J63" i="15" s="1"/>
  <c r="AE104" i="3"/>
  <c r="J97" i="15" s="1"/>
  <c r="AE51" i="3"/>
  <c r="J44" i="15" s="1"/>
  <c r="AE21" i="3"/>
  <c r="J14" i="15" s="1"/>
  <c r="AE85" i="3"/>
  <c r="J78" i="15" s="1"/>
  <c r="AE26" i="3"/>
  <c r="J19" i="15" s="1"/>
  <c r="AE44" i="3"/>
  <c r="J37" i="15" s="1"/>
  <c r="AE38" i="3"/>
  <c r="J31" i="15" s="1"/>
  <c r="AE33" i="3"/>
  <c r="J26" i="15" s="1"/>
  <c r="AE88" i="3"/>
  <c r="J81" i="15" s="1"/>
  <c r="AE96" i="3"/>
  <c r="J89" i="15" s="1"/>
  <c r="AE30" i="3"/>
  <c r="J23" i="15" s="1"/>
  <c r="AE12" i="3"/>
  <c r="J5" i="15" s="1"/>
  <c r="AE86" i="3"/>
  <c r="J79" i="15" s="1"/>
  <c r="AE109" i="3"/>
  <c r="J102" i="15" s="1"/>
  <c r="AE74" i="3"/>
  <c r="J67" i="15" s="1"/>
  <c r="AE100" i="3"/>
  <c r="J93" i="15" s="1"/>
  <c r="AE127" i="3"/>
  <c r="J120" i="15" s="1"/>
  <c r="AE29" i="3"/>
  <c r="J22" i="15" s="1"/>
  <c r="AE47" i="3"/>
  <c r="J40" i="15" s="1"/>
  <c r="AE45" i="3"/>
  <c r="J38" i="15" s="1"/>
  <c r="AE113" i="3"/>
  <c r="J106" i="15" s="1"/>
  <c r="AE90" i="3"/>
  <c r="J83" i="15" s="1"/>
  <c r="AE31" i="3"/>
  <c r="J24" i="15" s="1"/>
  <c r="AE37" i="3"/>
  <c r="J30" i="15" s="1"/>
  <c r="AE22" i="3"/>
  <c r="J15" i="15" s="1"/>
  <c r="AE89" i="3"/>
  <c r="J82" i="15" s="1"/>
  <c r="AE120" i="3"/>
  <c r="J113" i="15" s="1"/>
  <c r="AE55" i="3"/>
  <c r="J48" i="15" s="1"/>
  <c r="AE53" i="3"/>
  <c r="J46" i="15" s="1"/>
  <c r="AE48" i="3"/>
  <c r="J41" i="15" s="1"/>
  <c r="AE99" i="3"/>
  <c r="J92" i="15" s="1"/>
  <c r="AE110" i="3"/>
  <c r="J103" i="15" s="1"/>
  <c r="AE65" i="3"/>
  <c r="J58" i="15" s="1"/>
  <c r="AE46" i="3"/>
  <c r="J39" i="15" s="1"/>
  <c r="AE14" i="3"/>
  <c r="J7" i="15" s="1"/>
  <c r="AE78" i="3"/>
  <c r="J71" i="15" s="1"/>
  <c r="AE128" i="3"/>
  <c r="J121" i="15" s="1"/>
  <c r="AE66" i="3"/>
  <c r="J59" i="15" s="1"/>
  <c r="AE54" i="3"/>
  <c r="J47" i="15" s="1"/>
  <c r="AE71" i="3"/>
  <c r="J64" i="15" s="1"/>
  <c r="AE9" i="3"/>
  <c r="J2" i="15" s="1"/>
  <c r="K118" i="3"/>
  <c r="D111" i="15"/>
  <c r="D118" i="15"/>
  <c r="K125" i="3"/>
  <c r="K124" i="3"/>
  <c r="D117" i="15"/>
  <c r="D42" i="15"/>
  <c r="K49" i="3"/>
  <c r="D73" i="15"/>
  <c r="K80" i="3"/>
  <c r="K40" i="3"/>
  <c r="D33" i="15"/>
  <c r="D8" i="15"/>
  <c r="K15" i="3"/>
  <c r="D99" i="15"/>
  <c r="K106" i="3"/>
  <c r="D25" i="15"/>
  <c r="K32" i="3"/>
  <c r="D68" i="15"/>
  <c r="K75" i="3"/>
  <c r="K102" i="3"/>
  <c r="D95" i="15"/>
  <c r="K27" i="3"/>
  <c r="D20" i="15"/>
  <c r="D10" i="15"/>
  <c r="K17" i="3"/>
  <c r="K52" i="3"/>
  <c r="D45" i="15"/>
  <c r="K114" i="3"/>
  <c r="D107" i="15"/>
  <c r="D21" i="15"/>
  <c r="K28" i="3"/>
  <c r="K121" i="3"/>
  <c r="D114" i="15"/>
  <c r="K132" i="3"/>
  <c r="D125" i="15"/>
  <c r="K19" i="3"/>
  <c r="D12" i="15"/>
  <c r="K84" i="3"/>
  <c r="D77" i="15"/>
  <c r="D72" i="15"/>
  <c r="K79" i="3"/>
  <c r="D55" i="15"/>
  <c r="K62" i="3"/>
  <c r="K119" i="3"/>
  <c r="D112" i="15"/>
  <c r="D32" i="15"/>
  <c r="K39" i="3"/>
  <c r="K18" i="3"/>
  <c r="D11" i="15"/>
  <c r="D110" i="15"/>
  <c r="K117" i="3"/>
  <c r="D96" i="15"/>
  <c r="K103" i="3"/>
  <c r="D104" i="15"/>
  <c r="K111" i="3"/>
  <c r="D76" i="15"/>
  <c r="K83" i="3"/>
  <c r="K64" i="3"/>
  <c r="D57" i="15"/>
  <c r="D98" i="15"/>
  <c r="K105" i="3"/>
  <c r="K101" i="3"/>
  <c r="D94" i="15"/>
  <c r="D9" i="15"/>
  <c r="K16" i="3"/>
  <c r="D36" i="15"/>
  <c r="K43" i="3"/>
  <c r="K108" i="3"/>
  <c r="D101" i="15"/>
  <c r="D69" i="15"/>
  <c r="K76" i="3"/>
  <c r="K72" i="3"/>
  <c r="D65" i="15"/>
  <c r="K50" i="3"/>
  <c r="L52" i="3" s="1"/>
  <c r="D43" i="15"/>
  <c r="D29" i="15"/>
  <c r="K36" i="3"/>
  <c r="K24" i="3"/>
  <c r="D17" i="15"/>
  <c r="K131" i="3"/>
  <c r="D124" i="15"/>
  <c r="D6" i="15"/>
  <c r="K13" i="3"/>
  <c r="K122" i="3"/>
  <c r="D115" i="15"/>
  <c r="K73" i="3"/>
  <c r="D66" i="15"/>
  <c r="D34" i="15"/>
  <c r="K41" i="3"/>
  <c r="D116" i="15"/>
  <c r="K123" i="3"/>
  <c r="D119" i="15"/>
  <c r="K126" i="3"/>
  <c r="D52" i="15"/>
  <c r="K59" i="3"/>
  <c r="K93" i="3"/>
  <c r="D86" i="15"/>
  <c r="D53" i="15"/>
  <c r="K60" i="3"/>
  <c r="K23" i="3"/>
  <c r="D16" i="15"/>
  <c r="K95" i="3"/>
  <c r="D88" i="15"/>
  <c r="D126" i="15"/>
  <c r="K133" i="3"/>
  <c r="D84" i="15"/>
  <c r="K91" i="3"/>
  <c r="D56" i="15"/>
  <c r="K63" i="3"/>
  <c r="K129" i="3"/>
  <c r="D122" i="15"/>
  <c r="D90" i="15"/>
  <c r="K97" i="3"/>
  <c r="K77" i="3"/>
  <c r="D70" i="15"/>
  <c r="D28" i="15"/>
  <c r="K35" i="3"/>
  <c r="K98" i="3"/>
  <c r="D91" i="15"/>
  <c r="K25" i="3"/>
  <c r="D18" i="15"/>
  <c r="D80" i="15"/>
  <c r="K87" i="3"/>
  <c r="K61" i="3"/>
  <c r="D54" i="15"/>
  <c r="K116" i="3"/>
  <c r="D109" i="15"/>
  <c r="I6" i="3"/>
  <c r="F9" i="8" s="1"/>
  <c r="D61" i="15"/>
  <c r="K68" i="3"/>
  <c r="D62" i="15"/>
  <c r="K69" i="3"/>
  <c r="D35" i="15"/>
  <c r="K42" i="3"/>
  <c r="D3" i="15"/>
  <c r="J6" i="3"/>
  <c r="K6" i="3" s="1"/>
  <c r="K10" i="3"/>
  <c r="D105" i="15"/>
  <c r="K112" i="3"/>
  <c r="D4" i="15"/>
  <c r="K11" i="3"/>
  <c r="D13" i="15"/>
  <c r="K20" i="3"/>
  <c r="D87" i="15"/>
  <c r="K94" i="3"/>
  <c r="D27" i="15"/>
  <c r="K34" i="3"/>
  <c r="D123" i="15"/>
  <c r="K130" i="3"/>
  <c r="D51" i="15"/>
  <c r="K58" i="3"/>
  <c r="D85" i="15"/>
  <c r="K92" i="3"/>
  <c r="D100" i="15"/>
  <c r="K107" i="3"/>
  <c r="D108" i="15"/>
  <c r="K115" i="3"/>
  <c r="D74" i="15"/>
  <c r="K81" i="3"/>
  <c r="D49" i="15"/>
  <c r="K56" i="3"/>
  <c r="D60" i="15"/>
  <c r="K67" i="3"/>
  <c r="L46" i="3"/>
  <c r="J6" i="8"/>
  <c r="I6" i="8"/>
  <c r="V118" i="3"/>
  <c r="V124" i="3"/>
  <c r="V102" i="3"/>
  <c r="V114" i="3"/>
  <c r="V121" i="3"/>
  <c r="V19" i="3"/>
  <c r="V119" i="3"/>
  <c r="V18" i="3"/>
  <c r="V108" i="3"/>
  <c r="V72" i="3"/>
  <c r="V131" i="3"/>
  <c r="V122" i="3"/>
  <c r="V93" i="3"/>
  <c r="V23" i="3"/>
  <c r="V25" i="3"/>
  <c r="V61" i="3"/>
  <c r="V69" i="3"/>
  <c r="V34" i="3"/>
  <c r="V58" i="3"/>
  <c r="V107" i="3"/>
  <c r="V81" i="3"/>
  <c r="V67" i="3"/>
  <c r="V15" i="3"/>
  <c r="V79" i="3"/>
  <c r="V83" i="3"/>
  <c r="V16" i="3"/>
  <c r="V36" i="3"/>
  <c r="V126" i="3"/>
  <c r="V133" i="3"/>
  <c r="V97" i="3"/>
  <c r="V10" i="3"/>
  <c r="V40" i="3"/>
  <c r="V27" i="3"/>
  <c r="V52" i="3"/>
  <c r="V132" i="3"/>
  <c r="V84" i="3"/>
  <c r="V64" i="3"/>
  <c r="V101" i="3"/>
  <c r="V50" i="3"/>
  <c r="V24" i="3"/>
  <c r="V73" i="3"/>
  <c r="V95" i="3"/>
  <c r="V129" i="3"/>
  <c r="V77" i="3"/>
  <c r="V98" i="3"/>
  <c r="V116" i="3"/>
  <c r="V68" i="3"/>
  <c r="V42" i="3"/>
  <c r="V94" i="3"/>
  <c r="V130" i="3"/>
  <c r="V92" i="3"/>
  <c r="V115" i="3"/>
  <c r="V56" i="3"/>
  <c r="V125" i="3"/>
  <c r="V49" i="3"/>
  <c r="V106" i="3"/>
  <c r="V75" i="3"/>
  <c r="V28" i="3"/>
  <c r="V62" i="3"/>
  <c r="V39" i="3"/>
  <c r="V117" i="3"/>
  <c r="V111" i="3"/>
  <c r="V43" i="3"/>
  <c r="V76" i="3"/>
  <c r="V13" i="3"/>
  <c r="V123" i="3"/>
  <c r="V59" i="3"/>
  <c r="V60" i="3"/>
  <c r="V91" i="3"/>
  <c r="V87" i="3"/>
  <c r="V112" i="3"/>
  <c r="V20" i="3"/>
  <c r="V80" i="3"/>
  <c r="V32" i="3"/>
  <c r="V17" i="3"/>
  <c r="V103" i="3"/>
  <c r="V105" i="3"/>
  <c r="V41" i="3"/>
  <c r="V63" i="3"/>
  <c r="V35" i="3"/>
  <c r="V11" i="3"/>
  <c r="Y133" i="3" l="1"/>
  <c r="I126" i="15" s="1"/>
  <c r="W11" i="3"/>
  <c r="W10" i="3"/>
  <c r="L120" i="3"/>
  <c r="L25" i="3"/>
  <c r="AE35" i="3"/>
  <c r="J28" i="15" s="1"/>
  <c r="AE63" i="3"/>
  <c r="J56" i="15" s="1"/>
  <c r="AE41" i="3"/>
  <c r="J34" i="15" s="1"/>
  <c r="AE105" i="3"/>
  <c r="J98" i="15" s="1"/>
  <c r="AE103" i="3"/>
  <c r="J96" i="15" s="1"/>
  <c r="AE17" i="3"/>
  <c r="J10" i="15" s="1"/>
  <c r="AE32" i="3"/>
  <c r="J25" i="15" s="1"/>
  <c r="AE80" i="3"/>
  <c r="J73" i="15" s="1"/>
  <c r="AE87" i="3"/>
  <c r="J80" i="15" s="1"/>
  <c r="AE91" i="3"/>
  <c r="J84" i="15" s="1"/>
  <c r="AE60" i="3"/>
  <c r="J53" i="15" s="1"/>
  <c r="AE59" i="3"/>
  <c r="J52" i="15" s="1"/>
  <c r="AE123" i="3"/>
  <c r="J116" i="15" s="1"/>
  <c r="AE13" i="3"/>
  <c r="J6" i="15" s="1"/>
  <c r="AE76" i="3"/>
  <c r="J69" i="15" s="1"/>
  <c r="AE43" i="3"/>
  <c r="J36" i="15" s="1"/>
  <c r="AE111" i="3"/>
  <c r="J104" i="15" s="1"/>
  <c r="AE117" i="3"/>
  <c r="J110" i="15" s="1"/>
  <c r="AE39" i="3"/>
  <c r="J32" i="15" s="1"/>
  <c r="AE62" i="3"/>
  <c r="J55" i="15" s="1"/>
  <c r="AE28" i="3"/>
  <c r="J21" i="15" s="1"/>
  <c r="AE75" i="3"/>
  <c r="J68" i="15" s="1"/>
  <c r="AE106" i="3"/>
  <c r="J99" i="15" s="1"/>
  <c r="AE49" i="3"/>
  <c r="J42" i="15" s="1"/>
  <c r="AE125" i="3"/>
  <c r="J118" i="15" s="1"/>
  <c r="L29" i="3"/>
  <c r="L47" i="3"/>
  <c r="AE68" i="3"/>
  <c r="J61" i="15" s="1"/>
  <c r="AE116" i="3"/>
  <c r="J109" i="15" s="1"/>
  <c r="AE98" i="3"/>
  <c r="J91" i="15" s="1"/>
  <c r="AE77" i="3"/>
  <c r="J70" i="15" s="1"/>
  <c r="AE129" i="3"/>
  <c r="J122" i="15" s="1"/>
  <c r="AE95" i="3"/>
  <c r="J88" i="15" s="1"/>
  <c r="AE73" i="3"/>
  <c r="J66" i="15" s="1"/>
  <c r="AE24" i="3"/>
  <c r="J17" i="15" s="1"/>
  <c r="AE50" i="3"/>
  <c r="J43" i="15" s="1"/>
  <c r="AE101" i="3"/>
  <c r="J94" i="15" s="1"/>
  <c r="AE64" i="3"/>
  <c r="J57" i="15" s="1"/>
  <c r="AE84" i="3"/>
  <c r="J77" i="15" s="1"/>
  <c r="AE132" i="3"/>
  <c r="J125" i="15" s="1"/>
  <c r="AE52" i="3"/>
  <c r="J45" i="15" s="1"/>
  <c r="AE27" i="3"/>
  <c r="J20" i="15" s="1"/>
  <c r="AE40" i="3"/>
  <c r="J33" i="15" s="1"/>
  <c r="AE10" i="3"/>
  <c r="J3" i="15" s="1"/>
  <c r="AE97" i="3"/>
  <c r="J90" i="15" s="1"/>
  <c r="AE133" i="3"/>
  <c r="J126" i="15" s="1"/>
  <c r="AE126" i="3"/>
  <c r="J119" i="15" s="1"/>
  <c r="AE36" i="3"/>
  <c r="J29" i="15" s="1"/>
  <c r="AE16" i="3"/>
  <c r="J9" i="15" s="1"/>
  <c r="AE83" i="3"/>
  <c r="J76" i="15" s="1"/>
  <c r="AE79" i="3"/>
  <c r="J72" i="15" s="1"/>
  <c r="AE15" i="3"/>
  <c r="J8" i="15" s="1"/>
  <c r="AE58" i="3"/>
  <c r="J51" i="15" s="1"/>
  <c r="AE61" i="3"/>
  <c r="J54" i="15" s="1"/>
  <c r="AE25" i="3"/>
  <c r="J18" i="15" s="1"/>
  <c r="AE23" i="3"/>
  <c r="J16" i="15" s="1"/>
  <c r="AE93" i="3"/>
  <c r="J86" i="15" s="1"/>
  <c r="AE122" i="3"/>
  <c r="J115" i="15" s="1"/>
  <c r="AE131" i="3"/>
  <c r="J124" i="15" s="1"/>
  <c r="AE72" i="3"/>
  <c r="J65" i="15" s="1"/>
  <c r="AE108" i="3"/>
  <c r="J101" i="15" s="1"/>
  <c r="AE18" i="3"/>
  <c r="J11" i="15" s="1"/>
  <c r="AE119" i="3"/>
  <c r="J112" i="15" s="1"/>
  <c r="AE19" i="3"/>
  <c r="J12" i="15" s="1"/>
  <c r="AE121" i="3"/>
  <c r="J114" i="15" s="1"/>
  <c r="AE114" i="3"/>
  <c r="J107" i="15" s="1"/>
  <c r="AE102" i="3"/>
  <c r="J95" i="15" s="1"/>
  <c r="AE124" i="3"/>
  <c r="J117" i="15" s="1"/>
  <c r="AE118" i="3"/>
  <c r="J111" i="15" s="1"/>
  <c r="L23" i="3"/>
  <c r="L72" i="3"/>
  <c r="L73" i="3"/>
  <c r="L100" i="3"/>
  <c r="L118" i="3"/>
  <c r="L24" i="3"/>
  <c r="L28" i="3"/>
  <c r="L51" i="3"/>
  <c r="L22" i="3"/>
  <c r="L45" i="3"/>
  <c r="L87" i="3"/>
  <c r="L26" i="3"/>
  <c r="L39" i="3"/>
  <c r="L121" i="3"/>
  <c r="L50" i="3"/>
  <c r="L74" i="3"/>
  <c r="L119" i="3"/>
  <c r="L75" i="3"/>
  <c r="L53" i="3"/>
  <c r="L86" i="3"/>
  <c r="L123" i="3"/>
  <c r="L122" i="3"/>
  <c r="L49" i="3"/>
  <c r="L101" i="3"/>
  <c r="L88" i="3"/>
  <c r="L77" i="3"/>
  <c r="L27" i="3"/>
  <c r="L76" i="3"/>
  <c r="L89" i="3"/>
  <c r="L48" i="3"/>
  <c r="L61" i="3"/>
  <c r="L63" i="3"/>
  <c r="L30" i="3"/>
  <c r="L102" i="3"/>
  <c r="L126" i="3"/>
  <c r="L124" i="3"/>
  <c r="L103" i="3"/>
  <c r="L98" i="3"/>
  <c r="L97" i="3"/>
  <c r="L31" i="3"/>
  <c r="L38" i="3"/>
  <c r="L125" i="3"/>
  <c r="L64" i="3"/>
  <c r="L14" i="3"/>
  <c r="L99" i="3"/>
  <c r="L104" i="3"/>
  <c r="L16" i="3"/>
  <c r="L127" i="3"/>
  <c r="L62" i="3"/>
  <c r="L37" i="3"/>
  <c r="L78" i="3"/>
  <c r="L15" i="3"/>
  <c r="L17" i="3"/>
  <c r="L84" i="3"/>
  <c r="L85" i="3"/>
  <c r="L111" i="3"/>
  <c r="AE112" i="3"/>
  <c r="J105" i="15" s="1"/>
  <c r="L54" i="3"/>
  <c r="AE56" i="3"/>
  <c r="J49" i="15" s="1"/>
  <c r="L115" i="3"/>
  <c r="AE115" i="3"/>
  <c r="J108" i="15" s="1"/>
  <c r="L94" i="3"/>
  <c r="AE92" i="3"/>
  <c r="J85" i="15" s="1"/>
  <c r="L131" i="3"/>
  <c r="AE130" i="3"/>
  <c r="J123" i="15" s="1"/>
  <c r="L96" i="3"/>
  <c r="AE94" i="3"/>
  <c r="J87" i="15" s="1"/>
  <c r="L42" i="3"/>
  <c r="AE42" i="3"/>
  <c r="J35" i="15" s="1"/>
  <c r="L21" i="3"/>
  <c r="AE20" i="3"/>
  <c r="J13" i="15" s="1"/>
  <c r="L13" i="3"/>
  <c r="AE11" i="3"/>
  <c r="J4" i="15" s="1"/>
  <c r="L66" i="3"/>
  <c r="AE67" i="3"/>
  <c r="J60" i="15" s="1"/>
  <c r="L81" i="3"/>
  <c r="AE81" i="3"/>
  <c r="J74" i="15" s="1"/>
  <c r="L105" i="3"/>
  <c r="AE107" i="3"/>
  <c r="J100" i="15" s="1"/>
  <c r="L33" i="3"/>
  <c r="AE34" i="3"/>
  <c r="J27" i="15" s="1"/>
  <c r="L71" i="3"/>
  <c r="AE69" i="3"/>
  <c r="J62" i="15" s="1"/>
  <c r="L56" i="3"/>
  <c r="L91" i="3"/>
  <c r="L130" i="3"/>
  <c r="L18" i="3"/>
  <c r="L110" i="3"/>
  <c r="L19" i="3"/>
  <c r="L129" i="3"/>
  <c r="L116" i="3"/>
  <c r="J95" i="3"/>
  <c r="L108" i="3"/>
  <c r="J92" i="3"/>
  <c r="J28" i="3"/>
  <c r="L128" i="3"/>
  <c r="L40" i="3"/>
  <c r="L93" i="3"/>
  <c r="J31" i="3"/>
  <c r="L92" i="3"/>
  <c r="L43" i="3"/>
  <c r="L80" i="3"/>
  <c r="J37" i="3"/>
  <c r="J51" i="3"/>
  <c r="J115" i="3"/>
  <c r="L83" i="3"/>
  <c r="L6" i="3"/>
  <c r="J60" i="3"/>
  <c r="J129" i="3"/>
  <c r="J63" i="3"/>
  <c r="J132" i="3"/>
  <c r="L20" i="3"/>
  <c r="L59" i="3"/>
  <c r="L82" i="3"/>
  <c r="L112" i="3"/>
  <c r="L57" i="3"/>
  <c r="L114" i="3"/>
  <c r="J110" i="3"/>
  <c r="J17" i="3"/>
  <c r="J76" i="3"/>
  <c r="J11" i="3"/>
  <c r="J79" i="3"/>
  <c r="L70" i="3"/>
  <c r="L55" i="3"/>
  <c r="J14" i="3"/>
  <c r="J30" i="3"/>
  <c r="J50" i="3"/>
  <c r="J62" i="3"/>
  <c r="J78" i="3"/>
  <c r="J94" i="3"/>
  <c r="J112" i="3"/>
  <c r="J131" i="3"/>
  <c r="J16" i="3"/>
  <c r="J33" i="3"/>
  <c r="J53" i="3"/>
  <c r="J65" i="3"/>
  <c r="J81" i="3"/>
  <c r="J97" i="3"/>
  <c r="J118" i="3"/>
  <c r="J109" i="3"/>
  <c r="L60" i="3"/>
  <c r="L90" i="3"/>
  <c r="L113" i="3"/>
  <c r="L117" i="3"/>
  <c r="L95" i="3"/>
  <c r="L36" i="3"/>
  <c r="L41" i="3"/>
  <c r="L44" i="3"/>
  <c r="Y132" i="3"/>
  <c r="I125" i="15" s="1"/>
  <c r="J20" i="3"/>
  <c r="J40" i="3"/>
  <c r="J57" i="3"/>
  <c r="J68" i="3"/>
  <c r="J84" i="3"/>
  <c r="J101" i="3"/>
  <c r="J121" i="3"/>
  <c r="J116" i="3"/>
  <c r="J23" i="3"/>
  <c r="J43" i="3"/>
  <c r="J48" i="3"/>
  <c r="J71" i="3"/>
  <c r="J87" i="3"/>
  <c r="J106" i="3"/>
  <c r="J124" i="3"/>
  <c r="J9" i="3"/>
  <c r="L65" i="3"/>
  <c r="L34" i="3"/>
  <c r="L68" i="3"/>
  <c r="L79" i="3"/>
  <c r="J22" i="3"/>
  <c r="J42" i="3"/>
  <c r="J47" i="3"/>
  <c r="J70" i="3"/>
  <c r="J86" i="3"/>
  <c r="J105" i="3"/>
  <c r="J123" i="3"/>
  <c r="J15" i="3"/>
  <c r="J25" i="3"/>
  <c r="J45" i="3"/>
  <c r="J56" i="3"/>
  <c r="J73" i="3"/>
  <c r="J89" i="3"/>
  <c r="J103" i="3"/>
  <c r="J126" i="3"/>
  <c r="L107" i="3"/>
  <c r="L106" i="3"/>
  <c r="L35" i="3"/>
  <c r="G9" i="8"/>
  <c r="L11" i="3"/>
  <c r="J24" i="3"/>
  <c r="J52" i="3"/>
  <c r="J72" i="3"/>
  <c r="J96" i="3"/>
  <c r="J125" i="3"/>
  <c r="J19" i="3"/>
  <c r="J36" i="3"/>
  <c r="J83" i="3"/>
  <c r="L109" i="3"/>
  <c r="L58" i="3"/>
  <c r="L69" i="3"/>
  <c r="L12" i="3"/>
  <c r="T2" i="9"/>
  <c r="Y9" i="3"/>
  <c r="I2" i="15" s="1"/>
  <c r="Y10" i="3"/>
  <c r="I3" i="15" s="1"/>
  <c r="J12" i="3"/>
  <c r="J32" i="3"/>
  <c r="J44" i="3"/>
  <c r="J49" i="3"/>
  <c r="J64" i="3"/>
  <c r="J80" i="3"/>
  <c r="J88" i="3"/>
  <c r="J100" i="3"/>
  <c r="J117" i="3"/>
  <c r="J107" i="3"/>
  <c r="J10" i="3"/>
  <c r="J27" i="3"/>
  <c r="J39" i="3"/>
  <c r="J55" i="3"/>
  <c r="J59" i="3"/>
  <c r="J67" i="3"/>
  <c r="J75" i="3"/>
  <c r="J91" i="3"/>
  <c r="J99" i="3"/>
  <c r="J108" i="3"/>
  <c r="J120" i="3"/>
  <c r="J128" i="3"/>
  <c r="J114" i="3"/>
  <c r="J18" i="3"/>
  <c r="J26" i="3"/>
  <c r="J34" i="3"/>
  <c r="J35" i="3"/>
  <c r="J54" i="3"/>
  <c r="J58" i="3"/>
  <c r="J66" i="3"/>
  <c r="J74" i="3"/>
  <c r="J82" i="3"/>
  <c r="J90" i="3"/>
  <c r="J98" i="3"/>
  <c r="J104" i="3"/>
  <c r="J119" i="3"/>
  <c r="J127" i="3"/>
  <c r="J113" i="3"/>
  <c r="J13" i="3"/>
  <c r="J21" i="3"/>
  <c r="J29" i="3"/>
  <c r="J41" i="3"/>
  <c r="J38" i="3"/>
  <c r="J46" i="3"/>
  <c r="J61" i="3"/>
  <c r="J69" i="3"/>
  <c r="J77" i="3"/>
  <c r="J85" i="3"/>
  <c r="J93" i="3"/>
  <c r="J102" i="3"/>
  <c r="J111" i="3"/>
  <c r="J122" i="3"/>
  <c r="J130" i="3"/>
  <c r="J133" i="3"/>
  <c r="L32" i="3"/>
  <c r="L67" i="3"/>
  <c r="R2" i="3"/>
  <c r="P42" i="3"/>
  <c r="P123" i="3"/>
  <c r="P54" i="3"/>
  <c r="P114" i="3"/>
  <c r="P99" i="3"/>
  <c r="P67" i="3"/>
  <c r="P16" i="3"/>
  <c r="P22" i="3"/>
  <c r="P128" i="3"/>
  <c r="P116" i="3"/>
  <c r="P35" i="3"/>
  <c r="P45" i="3"/>
  <c r="P93" i="3"/>
  <c r="P12" i="3"/>
  <c r="P58" i="3"/>
  <c r="P100" i="3"/>
  <c r="P26" i="3"/>
  <c r="P38" i="3"/>
  <c r="P48" i="3"/>
  <c r="P51" i="3"/>
  <c r="P107" i="3"/>
  <c r="P121" i="3"/>
  <c r="P101" i="3"/>
  <c r="P130" i="3"/>
  <c r="P59" i="3"/>
  <c r="P87" i="3"/>
  <c r="P71" i="3"/>
  <c r="P115" i="3"/>
  <c r="P104" i="3"/>
  <c r="P72" i="3"/>
  <c r="S114" i="3"/>
  <c r="P95" i="3"/>
  <c r="P105" i="3"/>
  <c r="P117" i="3"/>
  <c r="P120" i="3"/>
  <c r="P84" i="3"/>
  <c r="P91" i="3"/>
  <c r="P83" i="3"/>
  <c r="P56" i="3"/>
  <c r="P28" i="3"/>
  <c r="P112" i="3"/>
  <c r="P29" i="3"/>
  <c r="P20" i="3"/>
  <c r="S54" i="3"/>
  <c r="P31" i="3"/>
  <c r="P11" i="3"/>
  <c r="P79" i="3"/>
  <c r="P32" i="3"/>
  <c r="P69" i="3"/>
  <c r="P76" i="3"/>
  <c r="P13" i="3"/>
  <c r="P50" i="3"/>
  <c r="P63" i="3"/>
  <c r="P126" i="3"/>
  <c r="P47" i="3"/>
  <c r="S47" i="3" s="1"/>
  <c r="P74" i="3"/>
  <c r="E113" i="15" l="1"/>
  <c r="E40" i="15"/>
  <c r="E22" i="15"/>
  <c r="E44" i="15"/>
  <c r="E93" i="15"/>
  <c r="E21" i="15"/>
  <c r="E65" i="15"/>
  <c r="E15" i="15"/>
  <c r="E116" i="15"/>
  <c r="E67" i="15"/>
  <c r="E19" i="15"/>
  <c r="E43" i="15"/>
  <c r="E80" i="15"/>
  <c r="E114" i="15"/>
  <c r="E38" i="15"/>
  <c r="E119" i="15"/>
  <c r="E41" i="15"/>
  <c r="E56" i="15"/>
  <c r="E69" i="15"/>
  <c r="E94" i="15"/>
  <c r="E92" i="15"/>
  <c r="E31" i="15"/>
  <c r="E24" i="15"/>
  <c r="E9" i="15"/>
  <c r="E97" i="15"/>
  <c r="E64" i="15"/>
  <c r="E98" i="15"/>
  <c r="E47" i="15"/>
  <c r="E35" i="15"/>
  <c r="E108" i="15"/>
  <c r="E49" i="15"/>
  <c r="E123" i="15"/>
  <c r="E84" i="15"/>
  <c r="E109" i="15"/>
  <c r="E121" i="15"/>
  <c r="E86" i="15"/>
  <c r="E76" i="15"/>
  <c r="E107" i="15"/>
  <c r="E52" i="15"/>
  <c r="E13" i="15"/>
  <c r="E105" i="15"/>
  <c r="E4" i="15"/>
  <c r="E72" i="15"/>
  <c r="E28" i="15"/>
  <c r="E100" i="15"/>
  <c r="E88" i="15"/>
  <c r="E110" i="15"/>
  <c r="E62" i="15"/>
  <c r="E5" i="15"/>
  <c r="E60" i="15"/>
  <c r="E25" i="15"/>
  <c r="E51" i="15"/>
  <c r="E6" i="15"/>
  <c r="E77" i="15"/>
  <c r="F107" i="15"/>
  <c r="F40" i="15"/>
  <c r="F47" i="15"/>
  <c r="Q26" i="3"/>
  <c r="R26" i="3" s="1"/>
  <c r="Q12" i="3"/>
  <c r="R12" i="3" s="1"/>
  <c r="T12" i="3"/>
  <c r="W12" i="3" s="1"/>
  <c r="Q20" i="3"/>
  <c r="R20" i="3" s="1"/>
  <c r="Q28" i="3"/>
  <c r="R28" i="3" s="1"/>
  <c r="T28" i="3"/>
  <c r="W28" i="3" s="1"/>
  <c r="Q32" i="3"/>
  <c r="R32" i="3" s="1"/>
  <c r="Q72" i="3"/>
  <c r="R72" i="3" s="1"/>
  <c r="Q76" i="3"/>
  <c r="R76" i="3" s="1"/>
  <c r="Q84" i="3"/>
  <c r="R84" i="3" s="1"/>
  <c r="Q101" i="3"/>
  <c r="R101" i="3" s="1"/>
  <c r="Q100" i="3"/>
  <c r="R100" i="3" s="1"/>
  <c r="Q117" i="3"/>
  <c r="R117" i="3" s="1"/>
  <c r="T117" i="3"/>
  <c r="W117" i="3" s="1"/>
  <c r="T121" i="3"/>
  <c r="W121" i="3" s="1"/>
  <c r="Q121" i="3"/>
  <c r="R121" i="3" s="1"/>
  <c r="T125" i="3"/>
  <c r="W125" i="3" s="1"/>
  <c r="Q125" i="3"/>
  <c r="R125" i="3" s="1"/>
  <c r="Q129" i="3"/>
  <c r="R129" i="3" s="1"/>
  <c r="Q107" i="3"/>
  <c r="R107" i="3" s="1"/>
  <c r="T116" i="3"/>
  <c r="W116" i="3" s="1"/>
  <c r="Q116" i="3"/>
  <c r="R116" i="3" s="1"/>
  <c r="Q31" i="3"/>
  <c r="R31" i="3" s="1"/>
  <c r="Q51" i="3"/>
  <c r="R51" i="3" s="1"/>
  <c r="T51" i="3"/>
  <c r="W51" i="3" s="1"/>
  <c r="Q48" i="3"/>
  <c r="R48" i="3" s="1"/>
  <c r="Q59" i="3"/>
  <c r="R59" i="3" s="1"/>
  <c r="Q63" i="3"/>
  <c r="R63" i="3" s="1"/>
  <c r="Q67" i="3"/>
  <c r="R67" i="3" s="1"/>
  <c r="Q71" i="3"/>
  <c r="R71" i="3" s="1"/>
  <c r="Q79" i="3"/>
  <c r="R79" i="3" s="1"/>
  <c r="Q83" i="3"/>
  <c r="R83" i="3" s="1"/>
  <c r="Q87" i="3"/>
  <c r="R87" i="3" s="1"/>
  <c r="Q91" i="3"/>
  <c r="R91" i="3" s="1"/>
  <c r="Q95" i="3"/>
  <c r="R95" i="3" s="1"/>
  <c r="Q99" i="3"/>
  <c r="R99" i="3" s="1"/>
  <c r="T115" i="3"/>
  <c r="W115" i="3" s="1"/>
  <c r="Q115" i="3"/>
  <c r="R115" i="3" s="1"/>
  <c r="T120" i="3"/>
  <c r="W120" i="3" s="1"/>
  <c r="Q120" i="3"/>
  <c r="R120" i="3" s="1"/>
  <c r="Q124" i="3"/>
  <c r="R124" i="3" s="1"/>
  <c r="Q128" i="3"/>
  <c r="R128" i="3" s="1"/>
  <c r="T128" i="3"/>
  <c r="W128" i="3" s="1"/>
  <c r="T132" i="3"/>
  <c r="W132" i="3" s="1"/>
  <c r="Q132" i="3"/>
  <c r="R132" i="3" s="1"/>
  <c r="T114" i="3"/>
  <c r="W114" i="3" s="1"/>
  <c r="Q114" i="3"/>
  <c r="R114" i="3" s="1"/>
  <c r="Q22" i="3"/>
  <c r="R22" i="3" s="1"/>
  <c r="Q42" i="3"/>
  <c r="R42" i="3" s="1"/>
  <c r="T42" i="3"/>
  <c r="W42" i="3" s="1"/>
  <c r="Q35" i="3"/>
  <c r="R35" i="3" s="1"/>
  <c r="Q50" i="3"/>
  <c r="R50" i="3" s="1"/>
  <c r="T50" i="3"/>
  <c r="W50" i="3" s="1"/>
  <c r="Q54" i="3"/>
  <c r="R54" i="3" s="1"/>
  <c r="T54" i="3"/>
  <c r="W54" i="3" s="1"/>
  <c r="Q47" i="3"/>
  <c r="R47" i="3" s="1"/>
  <c r="T47" i="3"/>
  <c r="W47" i="3" s="1"/>
  <c r="Q58" i="3"/>
  <c r="R58" i="3" s="1"/>
  <c r="Q74" i="3"/>
  <c r="R74" i="3" s="1"/>
  <c r="Q105" i="3"/>
  <c r="R105" i="3" s="1"/>
  <c r="Q104" i="3"/>
  <c r="R104" i="3" s="1"/>
  <c r="Q112" i="3"/>
  <c r="R112" i="3" s="1"/>
  <c r="Q119" i="3"/>
  <c r="R119" i="3" s="1"/>
  <c r="Q123" i="3"/>
  <c r="R123" i="3" s="1"/>
  <c r="T123" i="3"/>
  <c r="W123" i="3" s="1"/>
  <c r="Q127" i="3"/>
  <c r="R127" i="3" s="1"/>
  <c r="Q131" i="3"/>
  <c r="R131" i="3" s="1"/>
  <c r="T13" i="3"/>
  <c r="W13" i="3" s="1"/>
  <c r="Q13" i="3"/>
  <c r="R13" i="3" s="1"/>
  <c r="Q16" i="3"/>
  <c r="R16" i="3" s="1"/>
  <c r="T29" i="3"/>
  <c r="W29" i="3" s="1"/>
  <c r="Q29" i="3"/>
  <c r="R29" i="3" s="1"/>
  <c r="Q45" i="3"/>
  <c r="R45" i="3" s="1"/>
  <c r="Q38" i="3"/>
  <c r="R38" i="3" s="1"/>
  <c r="Q56" i="3"/>
  <c r="R56" i="3" s="1"/>
  <c r="Q69" i="3"/>
  <c r="R69" i="3" s="1"/>
  <c r="Q93" i="3"/>
  <c r="R93" i="3" s="1"/>
  <c r="Q118" i="3"/>
  <c r="R118" i="3" s="1"/>
  <c r="T118" i="3"/>
  <c r="W118" i="3" s="1"/>
  <c r="Q122" i="3"/>
  <c r="R122" i="3" s="1"/>
  <c r="T126" i="3"/>
  <c r="W126" i="3" s="1"/>
  <c r="Q126" i="3"/>
  <c r="R126" i="3" s="1"/>
  <c r="T130" i="3"/>
  <c r="W130" i="3" s="1"/>
  <c r="Q130" i="3"/>
  <c r="R130" i="3" s="1"/>
  <c r="Q133" i="3"/>
  <c r="R133" i="3" s="1"/>
  <c r="T133" i="3"/>
  <c r="W133" i="3" s="1"/>
  <c r="S29" i="3"/>
  <c r="P65" i="3"/>
  <c r="P62" i="3"/>
  <c r="S51" i="3"/>
  <c r="S93" i="3"/>
  <c r="P27" i="3"/>
  <c r="P66" i="3"/>
  <c r="P41" i="3"/>
  <c r="S35" i="3"/>
  <c r="S28" i="3"/>
  <c r="S31" i="3"/>
  <c r="S45" i="3"/>
  <c r="P108" i="3"/>
  <c r="S12" i="3"/>
  <c r="P80" i="3"/>
  <c r="P21" i="3"/>
  <c r="S107" i="3"/>
  <c r="P40" i="3"/>
  <c r="P30" i="3"/>
  <c r="S130" i="3"/>
  <c r="P25" i="3"/>
  <c r="S22" i="3"/>
  <c r="P85" i="3"/>
  <c r="P64" i="3"/>
  <c r="P124" i="3"/>
  <c r="P23" i="3"/>
  <c r="S123" i="3"/>
  <c r="S11" i="3"/>
  <c r="P49" i="3"/>
  <c r="S79" i="3"/>
  <c r="P111" i="3"/>
  <c r="S117" i="3"/>
  <c r="S104" i="3"/>
  <c r="P70" i="3"/>
  <c r="P96" i="3"/>
  <c r="P131" i="3"/>
  <c r="P46" i="3"/>
  <c r="P89" i="3"/>
  <c r="S71" i="3"/>
  <c r="P98" i="3"/>
  <c r="P73" i="3"/>
  <c r="P110" i="3"/>
  <c r="P103" i="3"/>
  <c r="P55" i="3"/>
  <c r="S84" i="3"/>
  <c r="S100" i="3"/>
  <c r="P34" i="3"/>
  <c r="P125" i="3"/>
  <c r="P86" i="3"/>
  <c r="P44" i="3"/>
  <c r="S87" i="3"/>
  <c r="P102" i="3"/>
  <c r="P97" i="3"/>
  <c r="P109" i="3"/>
  <c r="S56" i="3"/>
  <c r="S128" i="3"/>
  <c r="P17" i="3"/>
  <c r="P82" i="3"/>
  <c r="S65" i="3"/>
  <c r="P24" i="3"/>
  <c r="P52" i="3"/>
  <c r="S121" i="3"/>
  <c r="P92" i="3"/>
  <c r="S99" i="3"/>
  <c r="P37" i="3"/>
  <c r="S74" i="3"/>
  <c r="P75" i="3"/>
  <c r="P53" i="3"/>
  <c r="S58" i="3"/>
  <c r="P81" i="3"/>
  <c r="S91" i="3"/>
  <c r="S26" i="3"/>
  <c r="P88" i="3"/>
  <c r="P57" i="3"/>
  <c r="S116" i="3"/>
  <c r="S120" i="3"/>
  <c r="P61" i="3"/>
  <c r="S59" i="3"/>
  <c r="S48" i="3"/>
  <c r="S16" i="3"/>
  <c r="S38" i="3"/>
  <c r="P122" i="3"/>
  <c r="S72" i="3"/>
  <c r="S95" i="3"/>
  <c r="P90" i="3"/>
  <c r="S20" i="3"/>
  <c r="S32" i="3"/>
  <c r="S13" i="3"/>
  <c r="P119" i="3"/>
  <c r="S112" i="3"/>
  <c r="P129" i="3"/>
  <c r="P14" i="3"/>
  <c r="P113" i="3"/>
  <c r="S105" i="3"/>
  <c r="P127" i="3"/>
  <c r="S101" i="3"/>
  <c r="S115" i="3"/>
  <c r="P68" i="3"/>
  <c r="S69" i="3"/>
  <c r="P118" i="3"/>
  <c r="S76" i="3"/>
  <c r="P33" i="3"/>
  <c r="P43" i="3"/>
  <c r="P18" i="3"/>
  <c r="S24" i="3"/>
  <c r="P39" i="3"/>
  <c r="P15" i="3"/>
  <c r="P36" i="3"/>
  <c r="S67" i="3"/>
  <c r="S126" i="3"/>
  <c r="S83" i="3"/>
  <c r="S42" i="3"/>
  <c r="P94" i="3"/>
  <c r="P78" i="3"/>
  <c r="P60" i="3"/>
  <c r="S50" i="3"/>
  <c r="P19" i="3"/>
  <c r="P106" i="3"/>
  <c r="P77" i="3"/>
  <c r="S63" i="3"/>
  <c r="Q98" i="3" l="1"/>
  <c r="R98" i="3" s="1"/>
  <c r="T99" i="3"/>
  <c r="W99" i="3" s="1"/>
  <c r="T100" i="3"/>
  <c r="W100" i="3" s="1"/>
  <c r="T101" i="3"/>
  <c r="W101" i="3" s="1"/>
  <c r="Q102" i="3"/>
  <c r="R102" i="3" s="1"/>
  <c r="Q113" i="3"/>
  <c r="R113" i="3" s="1"/>
  <c r="Q103" i="3"/>
  <c r="R103" i="3" s="1"/>
  <c r="Q106" i="3"/>
  <c r="R106" i="3" s="1"/>
  <c r="T105" i="3"/>
  <c r="W105" i="3" s="1"/>
  <c r="T112" i="3"/>
  <c r="W112" i="3" s="1"/>
  <c r="Q109" i="3"/>
  <c r="R109" i="3" s="1"/>
  <c r="Q110" i="3"/>
  <c r="R110" i="3" s="1"/>
  <c r="T104" i="3"/>
  <c r="W104" i="3" s="1"/>
  <c r="Q111" i="3"/>
  <c r="R111" i="3" s="1"/>
  <c r="T107" i="3"/>
  <c r="W107" i="3" s="1"/>
  <c r="Q108" i="3"/>
  <c r="R108" i="3" s="1"/>
  <c r="Q85" i="3"/>
  <c r="R85" i="3" s="1"/>
  <c r="Q97" i="3"/>
  <c r="R97" i="3" s="1"/>
  <c r="Q96" i="3"/>
  <c r="R96" i="3" s="1"/>
  <c r="Q94" i="3"/>
  <c r="R94" i="3" s="1"/>
  <c r="Q90" i="3"/>
  <c r="R90" i="3" s="1"/>
  <c r="T95" i="3"/>
  <c r="W95" i="3" s="1"/>
  <c r="Q88" i="3"/>
  <c r="R88" i="3" s="1"/>
  <c r="T91" i="3"/>
  <c r="W91" i="3" s="1"/>
  <c r="Q92" i="3"/>
  <c r="R92" i="3" s="1"/>
  <c r="T87" i="3"/>
  <c r="W87" i="3" s="1"/>
  <c r="Q86" i="3"/>
  <c r="R86" i="3" s="1"/>
  <c r="Q89" i="3"/>
  <c r="R89" i="3" s="1"/>
  <c r="T93" i="3"/>
  <c r="W93" i="3" s="1"/>
  <c r="F22" i="15"/>
  <c r="F43" i="15"/>
  <c r="T71" i="3"/>
  <c r="W71" i="3" s="1"/>
  <c r="F64" i="15"/>
  <c r="F110" i="15"/>
  <c r="F21" i="15"/>
  <c r="F113" i="15"/>
  <c r="F93" i="15"/>
  <c r="F108" i="15"/>
  <c r="F35" i="15"/>
  <c r="F44" i="15"/>
  <c r="F77" i="15"/>
  <c r="F114" i="15"/>
  <c r="Q17" i="3"/>
  <c r="R17" i="3" s="1"/>
  <c r="T16" i="3"/>
  <c r="W16" i="3" s="1"/>
  <c r="T18" i="3"/>
  <c r="W18" i="3" s="1"/>
  <c r="Q18" i="3"/>
  <c r="R18" i="3" s="1"/>
  <c r="Q19" i="3"/>
  <c r="R19" i="3" s="1"/>
  <c r="T20" i="3"/>
  <c r="W20" i="3" s="1"/>
  <c r="Q21" i="3"/>
  <c r="R21" i="3" s="1"/>
  <c r="T22" i="3"/>
  <c r="W22" i="3" s="1"/>
  <c r="Q23" i="3"/>
  <c r="R23" i="3" s="1"/>
  <c r="T26" i="3"/>
  <c r="W26" i="3" s="1"/>
  <c r="Q25" i="3"/>
  <c r="R25" i="3" s="1"/>
  <c r="Q24" i="3"/>
  <c r="R24" i="3" s="1"/>
  <c r="F116" i="15"/>
  <c r="F19" i="15"/>
  <c r="F97" i="15"/>
  <c r="F15" i="15"/>
  <c r="F94" i="15"/>
  <c r="F9" i="15"/>
  <c r="T48" i="3"/>
  <c r="W48" i="3" s="1"/>
  <c r="F41" i="15"/>
  <c r="Q27" i="3"/>
  <c r="R27" i="3" s="1"/>
  <c r="Q30" i="3"/>
  <c r="R30" i="3" s="1"/>
  <c r="F123" i="15"/>
  <c r="F121" i="15"/>
  <c r="F4" i="15"/>
  <c r="T56" i="3"/>
  <c r="W56" i="3" s="1"/>
  <c r="F72" i="15"/>
  <c r="T79" i="3"/>
  <c r="W79" i="3" s="1"/>
  <c r="F100" i="15"/>
  <c r="F5" i="15"/>
  <c r="F84" i="15"/>
  <c r="F76" i="15"/>
  <c r="T83" i="3"/>
  <c r="W83" i="3" s="1"/>
  <c r="T35" i="3"/>
  <c r="W35" i="3" s="1"/>
  <c r="T32" i="3"/>
  <c r="W32" i="3" s="1"/>
  <c r="T44" i="3"/>
  <c r="W44" i="3" s="1"/>
  <c r="T31" i="3"/>
  <c r="W31" i="3" s="1"/>
  <c r="T45" i="3"/>
  <c r="W45" i="3" s="1"/>
  <c r="T38" i="3"/>
  <c r="W38" i="3" s="1"/>
  <c r="Q53" i="3"/>
  <c r="R53" i="3" s="1"/>
  <c r="Q37" i="3"/>
  <c r="R37" i="3" s="1"/>
  <c r="Q49" i="3"/>
  <c r="R49" i="3" s="1"/>
  <c r="Q41" i="3"/>
  <c r="R41" i="3" s="1"/>
  <c r="Q55" i="3"/>
  <c r="R55" i="3" s="1"/>
  <c r="Q46" i="3"/>
  <c r="R46" i="3" s="1"/>
  <c r="Q39" i="3"/>
  <c r="R39" i="3" s="1"/>
  <c r="Q33" i="3"/>
  <c r="R33" i="3" s="1"/>
  <c r="Q52" i="3"/>
  <c r="R52" i="3" s="1"/>
  <c r="Q44" i="3"/>
  <c r="R44" i="3" s="1"/>
  <c r="Q34" i="3"/>
  <c r="R34" i="3" s="1"/>
  <c r="Q36" i="3"/>
  <c r="R36" i="3" s="1"/>
  <c r="Q40" i="3"/>
  <c r="R40" i="3" s="1"/>
  <c r="Q43" i="3"/>
  <c r="R43" i="3" s="1"/>
  <c r="F17" i="15"/>
  <c r="E91" i="15"/>
  <c r="Q57" i="3"/>
  <c r="R57" i="3" s="1"/>
  <c r="E50" i="15"/>
  <c r="E45" i="15"/>
  <c r="E42" i="15"/>
  <c r="E95" i="15"/>
  <c r="E90" i="15"/>
  <c r="E27" i="15"/>
  <c r="E32" i="15"/>
  <c r="E46" i="15"/>
  <c r="E103" i="15"/>
  <c r="E26" i="15"/>
  <c r="E81" i="15"/>
  <c r="F58" i="15"/>
  <c r="E101" i="15"/>
  <c r="E34" i="15"/>
  <c r="E85" i="15"/>
  <c r="E120" i="15"/>
  <c r="E79" i="15"/>
  <c r="F105" i="15"/>
  <c r="F92" i="15"/>
  <c r="F25" i="15"/>
  <c r="F31" i="15"/>
  <c r="F49" i="15"/>
  <c r="E83" i="15"/>
  <c r="E118" i="15"/>
  <c r="E122" i="15"/>
  <c r="E33" i="15"/>
  <c r="E61" i="15"/>
  <c r="Q68" i="3"/>
  <c r="R68" i="3" s="1"/>
  <c r="E63" i="15"/>
  <c r="Q70" i="3"/>
  <c r="R70" i="3" s="1"/>
  <c r="E89" i="15"/>
  <c r="E99" i="15"/>
  <c r="Q66" i="3"/>
  <c r="R66" i="3" s="1"/>
  <c r="E59" i="15"/>
  <c r="E112" i="15"/>
  <c r="E74" i="15"/>
  <c r="Q81" i="3"/>
  <c r="R81" i="3" s="1"/>
  <c r="E12" i="15"/>
  <c r="E58" i="15"/>
  <c r="Q65" i="3"/>
  <c r="R65" i="3" s="1"/>
  <c r="E37" i="15"/>
  <c r="E39" i="15"/>
  <c r="E54" i="15"/>
  <c r="Q61" i="3"/>
  <c r="R61" i="3" s="1"/>
  <c r="F67" i="15"/>
  <c r="T74" i="3"/>
  <c r="W74" i="3" s="1"/>
  <c r="F65" i="15"/>
  <c r="T72" i="3"/>
  <c r="W72" i="3" s="1"/>
  <c r="F38" i="15"/>
  <c r="T76" i="3"/>
  <c r="W76" i="3" s="1"/>
  <c r="F69" i="15"/>
  <c r="F119" i="15"/>
  <c r="T63" i="3"/>
  <c r="W63" i="3" s="1"/>
  <c r="F56" i="15"/>
  <c r="E106" i="15"/>
  <c r="E36" i="15"/>
  <c r="E124" i="15"/>
  <c r="E78" i="15"/>
  <c r="E18" i="15"/>
  <c r="E20" i="15"/>
  <c r="E96" i="15"/>
  <c r="E23" i="15"/>
  <c r="E48" i="15"/>
  <c r="E68" i="15"/>
  <c r="Q75" i="3"/>
  <c r="R75" i="3" s="1"/>
  <c r="E102" i="15"/>
  <c r="Q60" i="3"/>
  <c r="R60" i="3" s="1"/>
  <c r="E53" i="15"/>
  <c r="E17" i="15"/>
  <c r="E14" i="15"/>
  <c r="Q77" i="3"/>
  <c r="R77" i="3" s="1"/>
  <c r="E70" i="15"/>
  <c r="E11" i="15"/>
  <c r="T59" i="3"/>
  <c r="W59" i="3" s="1"/>
  <c r="F52" i="15"/>
  <c r="F24" i="15"/>
  <c r="T69" i="3"/>
  <c r="W69" i="3" s="1"/>
  <c r="F62" i="15"/>
  <c r="F28" i="15"/>
  <c r="F98" i="15"/>
  <c r="F51" i="15"/>
  <c r="T58" i="3"/>
  <c r="W58" i="3" s="1"/>
  <c r="E30" i="15"/>
  <c r="E73" i="15"/>
  <c r="Q80" i="3"/>
  <c r="R80" i="3" s="1"/>
  <c r="Q78" i="3"/>
  <c r="R78" i="3" s="1"/>
  <c r="E71" i="15"/>
  <c r="E66" i="15"/>
  <c r="Q73" i="3"/>
  <c r="R73" i="3" s="1"/>
  <c r="E111" i="15"/>
  <c r="E16" i="15"/>
  <c r="E29" i="15"/>
  <c r="E75" i="15"/>
  <c r="Q82" i="3"/>
  <c r="R82" i="3" s="1"/>
  <c r="E117" i="15"/>
  <c r="Q64" i="3"/>
  <c r="R64" i="3" s="1"/>
  <c r="E57" i="15"/>
  <c r="E10" i="15"/>
  <c r="E82" i="15"/>
  <c r="E87" i="15"/>
  <c r="E104" i="15"/>
  <c r="E115" i="15"/>
  <c r="Q62" i="3"/>
  <c r="R62" i="3" s="1"/>
  <c r="E55" i="15"/>
  <c r="F80" i="15"/>
  <c r="F86" i="15"/>
  <c r="F109" i="15"/>
  <c r="T67" i="3"/>
  <c r="W67" i="3" s="1"/>
  <c r="F60" i="15"/>
  <c r="F13" i="15"/>
  <c r="F88" i="15"/>
  <c r="F6" i="15"/>
  <c r="T127" i="3"/>
  <c r="W127" i="3" s="1"/>
  <c r="T55" i="3"/>
  <c r="W55" i="3" s="1"/>
  <c r="T119" i="3"/>
  <c r="W119" i="3" s="1"/>
  <c r="Q15" i="3"/>
  <c r="R15" i="3" s="1"/>
  <c r="Q14" i="3"/>
  <c r="R14" i="3" s="1"/>
  <c r="T24" i="3"/>
  <c r="W24" i="3" s="1"/>
  <c r="T129" i="3"/>
  <c r="W129" i="3" s="1"/>
  <c r="T131" i="3"/>
  <c r="W131" i="3" s="1"/>
  <c r="T84" i="3"/>
  <c r="W84" i="3" s="1"/>
  <c r="T122" i="3"/>
  <c r="W122" i="3" s="1"/>
  <c r="T124" i="3"/>
  <c r="W124" i="3" s="1"/>
  <c r="T65" i="3"/>
  <c r="W65" i="3" s="1"/>
  <c r="E8" i="15"/>
  <c r="E7" i="15"/>
  <c r="T49" i="3"/>
  <c r="W49" i="3" s="1"/>
  <c r="S44" i="3"/>
  <c r="S108" i="3"/>
  <c r="S14" i="3"/>
  <c r="S46" i="3"/>
  <c r="S86" i="3"/>
  <c r="S57" i="3"/>
  <c r="S33" i="3"/>
  <c r="S53" i="3"/>
  <c r="S66" i="3"/>
  <c r="S17" i="3"/>
  <c r="S19" i="3"/>
  <c r="S118" i="3"/>
  <c r="S82" i="3"/>
  <c r="S15" i="3"/>
  <c r="S92" i="3"/>
  <c r="S96" i="3"/>
  <c r="S85" i="3"/>
  <c r="S113" i="3"/>
  <c r="C26" i="14"/>
  <c r="S68" i="3"/>
  <c r="S81" i="3"/>
  <c r="S124" i="3"/>
  <c r="S60" i="3"/>
  <c r="S25" i="3"/>
  <c r="S109" i="3"/>
  <c r="S37" i="3"/>
  <c r="S75" i="3"/>
  <c r="S80" i="3"/>
  <c r="S55" i="3"/>
  <c r="S98" i="3"/>
  <c r="S36" i="3"/>
  <c r="S30" i="3"/>
  <c r="S127" i="3"/>
  <c r="S94" i="3"/>
  <c r="S106" i="3"/>
  <c r="S122" i="3"/>
  <c r="S73" i="3"/>
  <c r="S103" i="3"/>
  <c r="S27" i="3"/>
  <c r="S34" i="3"/>
  <c r="S61" i="3"/>
  <c r="S23" i="3"/>
  <c r="S39" i="3"/>
  <c r="S64" i="3"/>
  <c r="S21" i="3"/>
  <c r="S49" i="3"/>
  <c r="S77" i="3"/>
  <c r="S43" i="3"/>
  <c r="S131" i="3"/>
  <c r="S90" i="3"/>
  <c r="S52" i="3"/>
  <c r="S70" i="3"/>
  <c r="S102" i="3"/>
  <c r="S41" i="3"/>
  <c r="S18" i="3"/>
  <c r="S119" i="3"/>
  <c r="S78" i="3"/>
  <c r="S111" i="3"/>
  <c r="S129" i="3"/>
  <c r="S40" i="3"/>
  <c r="S125" i="3"/>
  <c r="S89" i="3"/>
  <c r="S97" i="3"/>
  <c r="S62" i="3"/>
  <c r="S88" i="3"/>
  <c r="S110" i="3"/>
  <c r="T98" i="3" l="1"/>
  <c r="W98" i="3" s="1"/>
  <c r="T102" i="3"/>
  <c r="W102" i="3" s="1"/>
  <c r="T113" i="3"/>
  <c r="W113" i="3" s="1"/>
  <c r="T103" i="3"/>
  <c r="W103" i="3" s="1"/>
  <c r="T110" i="3"/>
  <c r="W110" i="3" s="1"/>
  <c r="T111" i="3"/>
  <c r="W111" i="3" s="1"/>
  <c r="T106" i="3"/>
  <c r="W106" i="3" s="1"/>
  <c r="T109" i="3"/>
  <c r="W109" i="3" s="1"/>
  <c r="T108" i="3"/>
  <c r="W108" i="3" s="1"/>
  <c r="T85" i="3"/>
  <c r="W85" i="3" s="1"/>
  <c r="T97" i="3"/>
  <c r="W97" i="3" s="1"/>
  <c r="T96" i="3"/>
  <c r="W96" i="3" s="1"/>
  <c r="T88" i="3"/>
  <c r="W88" i="3" s="1"/>
  <c r="T89" i="3"/>
  <c r="W89" i="3" s="1"/>
  <c r="T90" i="3"/>
  <c r="W90" i="3" s="1"/>
  <c r="T94" i="3"/>
  <c r="W94" i="3" s="1"/>
  <c r="T92" i="3"/>
  <c r="W92" i="3" s="1"/>
  <c r="T86" i="3"/>
  <c r="W86" i="3" s="1"/>
  <c r="F42" i="15"/>
  <c r="F68" i="15"/>
  <c r="T75" i="3"/>
  <c r="W75" i="3" s="1"/>
  <c r="F37" i="15"/>
  <c r="F11" i="15"/>
  <c r="F120" i="15"/>
  <c r="F96" i="15"/>
  <c r="F54" i="15"/>
  <c r="T61" i="3"/>
  <c r="W61" i="3" s="1"/>
  <c r="F112" i="15"/>
  <c r="F75" i="15"/>
  <c r="T82" i="3"/>
  <c r="W82" i="3" s="1"/>
  <c r="F90" i="15"/>
  <c r="T77" i="3"/>
  <c r="W77" i="3" s="1"/>
  <c r="T62" i="3"/>
  <c r="W62" i="3" s="1"/>
  <c r="T17" i="3"/>
  <c r="W17" i="3" s="1"/>
  <c r="T19" i="3"/>
  <c r="W19" i="3" s="1"/>
  <c r="T21" i="3"/>
  <c r="W21" i="3" s="1"/>
  <c r="T23" i="3"/>
  <c r="W23" i="3" s="1"/>
  <c r="T25" i="3"/>
  <c r="W25" i="3" s="1"/>
  <c r="F101" i="15"/>
  <c r="T40" i="3"/>
  <c r="W40" i="3" s="1"/>
  <c r="F33" i="15"/>
  <c r="F70" i="15"/>
  <c r="T39" i="3"/>
  <c r="W39" i="3" s="1"/>
  <c r="F32" i="15"/>
  <c r="F55" i="15"/>
  <c r="F117" i="15"/>
  <c r="T53" i="3"/>
  <c r="W53" i="3" s="1"/>
  <c r="T27" i="3"/>
  <c r="W27" i="3" s="1"/>
  <c r="T46" i="3"/>
  <c r="W46" i="3" s="1"/>
  <c r="T33" i="3"/>
  <c r="W33" i="3" s="1"/>
  <c r="T34" i="3"/>
  <c r="W34" i="3" s="1"/>
  <c r="T30" i="3"/>
  <c r="W30" i="3" s="1"/>
  <c r="T41" i="3"/>
  <c r="W41" i="3" s="1"/>
  <c r="F79" i="15"/>
  <c r="F74" i="15"/>
  <c r="T81" i="3"/>
  <c r="W81" i="3" s="1"/>
  <c r="F85" i="15"/>
  <c r="F14" i="15"/>
  <c r="F103" i="15"/>
  <c r="F16" i="15"/>
  <c r="F12" i="15"/>
  <c r="F34" i="15"/>
  <c r="F48" i="15"/>
  <c r="F87" i="15"/>
  <c r="F39" i="15"/>
  <c r="F18" i="15"/>
  <c r="F26" i="15"/>
  <c r="F82" i="15"/>
  <c r="F46" i="15"/>
  <c r="F104" i="15"/>
  <c r="T66" i="3"/>
  <c r="W66" i="3" s="1"/>
  <c r="F59" i="15"/>
  <c r="F27" i="15"/>
  <c r="F95" i="15"/>
  <c r="F10" i="15"/>
  <c r="F115" i="15"/>
  <c r="F57" i="15"/>
  <c r="T64" i="3"/>
  <c r="W64" i="3" s="1"/>
  <c r="T36" i="3"/>
  <c r="W36" i="3" s="1"/>
  <c r="T37" i="3"/>
  <c r="W37" i="3" s="1"/>
  <c r="T43" i="3"/>
  <c r="W43" i="3" s="1"/>
  <c r="T52" i="3"/>
  <c r="W52" i="3" s="1"/>
  <c r="F30" i="15"/>
  <c r="F83" i="15"/>
  <c r="F53" i="15"/>
  <c r="T60" i="3"/>
  <c r="W60" i="3" s="1"/>
  <c r="F20" i="15"/>
  <c r="F71" i="15"/>
  <c r="T78" i="3"/>
  <c r="W78" i="3" s="1"/>
  <c r="F66" i="15"/>
  <c r="T73" i="3"/>
  <c r="W73" i="3" s="1"/>
  <c r="F102" i="15"/>
  <c r="F106" i="15"/>
  <c r="F99" i="15"/>
  <c r="F61" i="15"/>
  <c r="T68" i="3"/>
  <c r="W68" i="3" s="1"/>
  <c r="F122" i="15"/>
  <c r="F111" i="15"/>
  <c r="F78" i="15"/>
  <c r="F63" i="15"/>
  <c r="T70" i="3"/>
  <c r="W70" i="3" s="1"/>
  <c r="F91" i="15"/>
  <c r="F29" i="15"/>
  <c r="F36" i="15"/>
  <c r="F89" i="15"/>
  <c r="F45" i="15"/>
  <c r="F73" i="15"/>
  <c r="T80" i="3"/>
  <c r="W80" i="3" s="1"/>
  <c r="F23" i="15"/>
  <c r="F124" i="15"/>
  <c r="F118" i="15"/>
  <c r="F81" i="15"/>
  <c r="F50" i="15"/>
  <c r="T57" i="3"/>
  <c r="W57" i="3" s="1"/>
  <c r="Q6" i="3"/>
  <c r="P6" i="3"/>
  <c r="F8" i="15"/>
  <c r="T15" i="3"/>
  <c r="W15" i="3" s="1"/>
  <c r="F7" i="15"/>
  <c r="T14" i="3"/>
  <c r="W14" i="3" s="1"/>
  <c r="J10" i="8"/>
  <c r="E10" i="13"/>
  <c r="E4" i="13"/>
  <c r="H4" i="13" s="1"/>
  <c r="Z6" i="3" l="1"/>
  <c r="T6" i="3"/>
  <c r="R6" i="3"/>
  <c r="U6" i="3"/>
  <c r="AA6" i="3"/>
  <c r="S6" i="3" l="1"/>
  <c r="K2" i="9"/>
  <c r="A9" i="8"/>
  <c r="K2" i="3"/>
  <c r="M1" i="3" s="1"/>
  <c r="A10" i="8" s="1"/>
  <c r="V6" i="3"/>
  <c r="N6" i="3" s="1"/>
  <c r="U10" i="3" l="1"/>
  <c r="U9" i="3"/>
  <c r="U80" i="3"/>
  <c r="U36" i="3"/>
  <c r="U116" i="3"/>
  <c r="U99" i="3"/>
  <c r="U13" i="3"/>
  <c r="U49" i="3"/>
  <c r="U102" i="3"/>
  <c r="U38" i="3"/>
  <c r="U121" i="3"/>
  <c r="U75" i="3"/>
  <c r="U31" i="3"/>
  <c r="U56" i="3"/>
  <c r="U92" i="3"/>
  <c r="U70" i="3"/>
  <c r="U123" i="3"/>
  <c r="U79" i="3"/>
  <c r="U32" i="3"/>
  <c r="U120" i="3"/>
  <c r="U35" i="3"/>
  <c r="U71" i="3"/>
  <c r="U118" i="3"/>
  <c r="U54" i="3"/>
  <c r="U37" i="3"/>
  <c r="U117" i="3"/>
  <c r="U73" i="3"/>
  <c r="U77" i="3"/>
  <c r="U113" i="3"/>
  <c r="U28" i="3"/>
  <c r="U86" i="3"/>
  <c r="U22" i="3"/>
  <c r="U112" i="3"/>
  <c r="U101" i="3"/>
  <c r="U59" i="3"/>
  <c r="U16" i="3"/>
  <c r="U100" i="3"/>
  <c r="U57" i="3"/>
  <c r="U15" i="3"/>
  <c r="U96" i="3"/>
  <c r="U53" i="3"/>
  <c r="U11" i="3"/>
  <c r="U95" i="3"/>
  <c r="U52" i="3"/>
  <c r="U131" i="3"/>
  <c r="U109" i="3"/>
  <c r="U88" i="3"/>
  <c r="U67" i="3"/>
  <c r="U45" i="3"/>
  <c r="U24" i="3"/>
  <c r="U124" i="3"/>
  <c r="U103" i="3"/>
  <c r="U81" i="3"/>
  <c r="U60" i="3"/>
  <c r="U39" i="3"/>
  <c r="U17" i="3"/>
  <c r="U126" i="3"/>
  <c r="U110" i="3"/>
  <c r="U94" i="3"/>
  <c r="U78" i="3"/>
  <c r="U62" i="3"/>
  <c r="U46" i="3"/>
  <c r="U30" i="3"/>
  <c r="U14" i="3"/>
  <c r="U69" i="3"/>
  <c r="U27" i="3"/>
  <c r="U111" i="3"/>
  <c r="U68" i="3"/>
  <c r="U25" i="3"/>
  <c r="U107" i="3"/>
  <c r="U64" i="3"/>
  <c r="U21" i="3"/>
  <c r="U105" i="3"/>
  <c r="U63" i="3"/>
  <c r="U20" i="3"/>
  <c r="U115" i="3"/>
  <c r="U93" i="3"/>
  <c r="U72" i="3"/>
  <c r="U51" i="3"/>
  <c r="U29" i="3"/>
  <c r="U129" i="3"/>
  <c r="U108" i="3"/>
  <c r="U87" i="3"/>
  <c r="U65" i="3"/>
  <c r="U44" i="3"/>
  <c r="U23" i="3"/>
  <c r="U130" i="3"/>
  <c r="U114" i="3"/>
  <c r="U98" i="3"/>
  <c r="U82" i="3"/>
  <c r="U66" i="3"/>
  <c r="U50" i="3"/>
  <c r="U34" i="3"/>
  <c r="U18" i="3"/>
  <c r="U133" i="3"/>
  <c r="U91" i="3"/>
  <c r="U48" i="3"/>
  <c r="U132" i="3"/>
  <c r="U89" i="3"/>
  <c r="U47" i="3"/>
  <c r="U128" i="3"/>
  <c r="U85" i="3"/>
  <c r="U43" i="3"/>
  <c r="U127" i="3"/>
  <c r="U84" i="3"/>
  <c r="U41" i="3"/>
  <c r="U125" i="3"/>
  <c r="U104" i="3"/>
  <c r="U83" i="3"/>
  <c r="U61" i="3"/>
  <c r="U40" i="3"/>
  <c r="U19" i="3"/>
  <c r="U119" i="3"/>
  <c r="U97" i="3"/>
  <c r="U76" i="3"/>
  <c r="U55" i="3"/>
  <c r="U33" i="3"/>
  <c r="U12" i="3"/>
  <c r="U122" i="3"/>
  <c r="U106" i="3"/>
  <c r="U90" i="3"/>
  <c r="U74" i="3"/>
  <c r="U58" i="3"/>
  <c r="U42" i="3"/>
  <c r="U26" i="3"/>
  <c r="L2" i="9"/>
  <c r="D9" i="8"/>
  <c r="X10" i="3"/>
  <c r="H3" i="15" s="1"/>
  <c r="X11" i="3"/>
  <c r="H4" i="15" s="1"/>
  <c r="X9" i="3"/>
  <c r="H2" i="15" s="1"/>
  <c r="O55" i="3"/>
  <c r="Y55" i="3" s="1"/>
  <c r="O28" i="3"/>
  <c r="Y28" i="3" s="1"/>
  <c r="O56" i="3"/>
  <c r="Y56" i="3" s="1"/>
  <c r="O66" i="3"/>
  <c r="Y66" i="3" s="1"/>
  <c r="O133" i="3"/>
  <c r="O53" i="3"/>
  <c r="Y53" i="3" s="1"/>
  <c r="X6" i="3"/>
  <c r="O107" i="3"/>
  <c r="Y107" i="3" s="1"/>
  <c r="O76" i="3"/>
  <c r="Y76" i="3" s="1"/>
  <c r="O58" i="3"/>
  <c r="Y58" i="3" s="1"/>
  <c r="O75" i="3"/>
  <c r="Y75" i="3" s="1"/>
  <c r="O42" i="3"/>
  <c r="Y42" i="3" s="1"/>
  <c r="O60" i="3"/>
  <c r="Y60" i="3" s="1"/>
  <c r="W6" i="3"/>
  <c r="O6" i="3"/>
  <c r="O29" i="3"/>
  <c r="Y29" i="3" s="1"/>
  <c r="O116" i="3"/>
  <c r="Y116" i="3" s="1"/>
  <c r="O122" i="3"/>
  <c r="Y122" i="3" s="1"/>
  <c r="O38" i="3"/>
  <c r="Y38" i="3" s="1"/>
  <c r="O104" i="3"/>
  <c r="Y104" i="3" s="1"/>
  <c r="O33" i="3"/>
  <c r="Y33" i="3" s="1"/>
  <c r="O59" i="3"/>
  <c r="Y59" i="3" s="1"/>
  <c r="O13" i="3"/>
  <c r="Y13" i="3" s="1"/>
  <c r="O62" i="3"/>
  <c r="Y62" i="3" s="1"/>
  <c r="O117" i="3"/>
  <c r="Y117" i="3" s="1"/>
  <c r="Y6" i="3"/>
  <c r="O95" i="3"/>
  <c r="Y95" i="3" s="1"/>
  <c r="O97" i="3"/>
  <c r="Y97" i="3" s="1"/>
  <c r="O105" i="3"/>
  <c r="Y105" i="3" s="1"/>
  <c r="O20" i="3"/>
  <c r="Y20" i="3" s="1"/>
  <c r="O18" i="3"/>
  <c r="Y18" i="3" s="1"/>
  <c r="O70" i="3"/>
  <c r="Y70" i="3" s="1"/>
  <c r="O115" i="3"/>
  <c r="Y115" i="3" s="1"/>
  <c r="O110" i="3"/>
  <c r="Y110" i="3" s="1"/>
  <c r="O44" i="3"/>
  <c r="Y44" i="3" s="1"/>
  <c r="O31" i="3"/>
  <c r="Y31" i="3" s="1"/>
  <c r="O103" i="3"/>
  <c r="Y103" i="3" s="1"/>
  <c r="O81" i="3"/>
  <c r="Y81" i="3" s="1"/>
  <c r="O129" i="3"/>
  <c r="Y129" i="3" s="1"/>
  <c r="O100" i="3"/>
  <c r="Y100" i="3" s="1"/>
  <c r="O35" i="3"/>
  <c r="Y35" i="3" s="1"/>
  <c r="O25" i="3"/>
  <c r="Y25" i="3" s="1"/>
  <c r="O84" i="3"/>
  <c r="Y84" i="3" s="1"/>
  <c r="O24" i="3"/>
  <c r="Y24" i="3" s="1"/>
  <c r="O111" i="3"/>
  <c r="Y111" i="3" s="1"/>
  <c r="O57" i="3"/>
  <c r="Y57" i="3" s="1"/>
  <c r="S2" i="9"/>
  <c r="I9" i="8"/>
  <c r="O32" i="3"/>
  <c r="Y32" i="3" s="1"/>
  <c r="O63" i="3"/>
  <c r="Y63" i="3" s="1"/>
  <c r="O92" i="3"/>
  <c r="Y92" i="3" s="1"/>
  <c r="O123" i="3"/>
  <c r="Y123" i="3" s="1"/>
  <c r="O10" i="3"/>
  <c r="G3" i="15" s="1"/>
  <c r="O89" i="3"/>
  <c r="Y89" i="3" s="1"/>
  <c r="O43" i="3"/>
  <c r="Y43" i="3" s="1"/>
  <c r="O78" i="3"/>
  <c r="Y78" i="3" s="1"/>
  <c r="O109" i="3"/>
  <c r="Y109" i="3" s="1"/>
  <c r="O23" i="3"/>
  <c r="Y23" i="3" s="1"/>
  <c r="O113" i="3"/>
  <c r="Y113" i="3" s="1"/>
  <c r="O77" i="3"/>
  <c r="Y77" i="3" s="1"/>
  <c r="O47" i="3"/>
  <c r="Y47" i="3" s="1"/>
  <c r="O112" i="3"/>
  <c r="Y112" i="3" s="1"/>
  <c r="O93" i="3"/>
  <c r="Y93" i="3" s="1"/>
  <c r="O9" i="3"/>
  <c r="G2" i="15" s="1"/>
  <c r="O67" i="3"/>
  <c r="Y67" i="3" s="1"/>
  <c r="O96" i="3"/>
  <c r="Y96" i="3" s="1"/>
  <c r="O127" i="3"/>
  <c r="Y127" i="3" s="1"/>
  <c r="O11" i="3"/>
  <c r="Y11" i="3" s="1"/>
  <c r="I4" i="15" s="1"/>
  <c r="O52" i="3"/>
  <c r="Y52" i="3" s="1"/>
  <c r="O108" i="3"/>
  <c r="Y108" i="3" s="1"/>
  <c r="O48" i="3"/>
  <c r="Y48" i="3" s="1"/>
  <c r="O49" i="3"/>
  <c r="Y49" i="3" s="1"/>
  <c r="O132" i="3"/>
  <c r="O36" i="3"/>
  <c r="Y36" i="3" s="1"/>
  <c r="O71" i="3"/>
  <c r="Y71" i="3" s="1"/>
  <c r="O101" i="3"/>
  <c r="Y101" i="3" s="1"/>
  <c r="O131" i="3"/>
  <c r="Y131" i="3" s="1"/>
  <c r="O41" i="3"/>
  <c r="Y41" i="3" s="1"/>
  <c r="O106" i="3"/>
  <c r="Y106" i="3" s="1"/>
  <c r="O54" i="3"/>
  <c r="Y54" i="3" s="1"/>
  <c r="O83" i="3"/>
  <c r="Y83" i="3" s="1"/>
  <c r="O114" i="3"/>
  <c r="Y114" i="3" s="1"/>
  <c r="O99" i="3"/>
  <c r="Y99" i="3" s="1"/>
  <c r="O37" i="3"/>
  <c r="Y37" i="3" s="1"/>
  <c r="O65" i="3"/>
  <c r="Y65" i="3" s="1"/>
  <c r="O125" i="3"/>
  <c r="Y125" i="3" s="1"/>
  <c r="O15" i="3"/>
  <c r="Y15" i="3" s="1"/>
  <c r="O19" i="3"/>
  <c r="Y19" i="3" s="1"/>
  <c r="O124" i="3"/>
  <c r="Y124" i="3" s="1"/>
  <c r="O73" i="3"/>
  <c r="Y73" i="3" s="1"/>
  <c r="O27" i="3"/>
  <c r="Y27" i="3" s="1"/>
  <c r="O126" i="3"/>
  <c r="Y126" i="3" s="1"/>
  <c r="O87" i="3"/>
  <c r="Y87" i="3" s="1"/>
  <c r="O39" i="3"/>
  <c r="Y39" i="3" s="1"/>
  <c r="O21" i="3"/>
  <c r="Y21" i="3" s="1"/>
  <c r="O88" i="3"/>
  <c r="Y88" i="3" s="1"/>
  <c r="O50" i="3"/>
  <c r="Y50" i="3" s="1"/>
  <c r="O64" i="3"/>
  <c r="Y64" i="3" s="1"/>
  <c r="O94" i="3"/>
  <c r="Y94" i="3" s="1"/>
  <c r="O118" i="3"/>
  <c r="Y118" i="3" s="1"/>
  <c r="O74" i="3"/>
  <c r="Y74" i="3" s="1"/>
  <c r="O128" i="3"/>
  <c r="Y128" i="3" s="1"/>
  <c r="O68" i="3"/>
  <c r="Y68" i="3" s="1"/>
  <c r="O119" i="3"/>
  <c r="Y119" i="3" s="1"/>
  <c r="O51" i="3"/>
  <c r="Y51" i="3" s="1"/>
  <c r="O40" i="3"/>
  <c r="Y40" i="3" s="1"/>
  <c r="O14" i="3"/>
  <c r="Y14" i="3" s="1"/>
  <c r="O45" i="3"/>
  <c r="Y45" i="3" s="1"/>
  <c r="O91" i="3"/>
  <c r="Y91" i="3" s="1"/>
  <c r="O120" i="3"/>
  <c r="Y120" i="3" s="1"/>
  <c r="O17" i="3"/>
  <c r="Y17" i="3" s="1"/>
  <c r="O79" i="3"/>
  <c r="Y79" i="3" s="1"/>
  <c r="O16" i="3"/>
  <c r="Y16" i="3" s="1"/>
  <c r="O80" i="3"/>
  <c r="Y80" i="3" s="1"/>
  <c r="O12" i="3"/>
  <c r="O102" i="3"/>
  <c r="Y102" i="3" s="1"/>
  <c r="O121" i="3"/>
  <c r="Y121" i="3" s="1"/>
  <c r="O90" i="3"/>
  <c r="Y90" i="3" s="1"/>
  <c r="O30" i="3"/>
  <c r="Y30" i="3" s="1"/>
  <c r="O82" i="3"/>
  <c r="Y82" i="3" s="1"/>
  <c r="O22" i="3"/>
  <c r="Y22" i="3" s="1"/>
  <c r="O72" i="3"/>
  <c r="Y72" i="3" s="1"/>
  <c r="O69" i="3"/>
  <c r="Y69" i="3" s="1"/>
  <c r="O34" i="3"/>
  <c r="Y34" i="3" s="1"/>
  <c r="O130" i="3"/>
  <c r="Y130" i="3" s="1"/>
  <c r="O46" i="3"/>
  <c r="Y46" i="3" s="1"/>
  <c r="O85" i="3"/>
  <c r="Y85" i="3" s="1"/>
  <c r="O86" i="3"/>
  <c r="Y86" i="3" s="1"/>
  <c r="O26" i="3"/>
  <c r="Y26" i="3" s="1"/>
  <c r="O61" i="3"/>
  <c r="Y61" i="3" s="1"/>
  <c r="O98" i="3"/>
  <c r="Y98" i="3" s="1"/>
  <c r="Z15" i="3"/>
  <c r="X12" i="3"/>
  <c r="X109" i="3"/>
  <c r="X122" i="3"/>
  <c r="X127" i="3"/>
  <c r="X111" i="3"/>
  <c r="X22" i="3"/>
  <c r="X100" i="3"/>
  <c r="X43" i="3"/>
  <c r="X90" i="3"/>
  <c r="X83" i="3"/>
  <c r="X68" i="3"/>
  <c r="X71" i="3"/>
  <c r="X75" i="3"/>
  <c r="X65" i="3"/>
  <c r="X56" i="3"/>
  <c r="X85" i="3"/>
  <c r="X121" i="3"/>
  <c r="X49" i="3"/>
  <c r="X26" i="3"/>
  <c r="X132" i="3"/>
  <c r="X117" i="3"/>
  <c r="X72" i="3"/>
  <c r="X45" i="3"/>
  <c r="X73" i="3"/>
  <c r="X21" i="3"/>
  <c r="X113" i="3"/>
  <c r="X106" i="3"/>
  <c r="X97" i="3"/>
  <c r="X64" i="3"/>
  <c r="X107" i="3"/>
  <c r="X25" i="3"/>
  <c r="X63" i="3"/>
  <c r="X78" i="3"/>
  <c r="X59" i="3"/>
  <c r="X20" i="3"/>
  <c r="X101" i="3"/>
  <c r="X15" i="3"/>
  <c r="X37" i="3"/>
  <c r="X125" i="3"/>
  <c r="X87" i="3"/>
  <c r="X18" i="3"/>
  <c r="X39" i="3"/>
  <c r="X42" i="3"/>
  <c r="X50" i="3"/>
  <c r="X98" i="3"/>
  <c r="X24" i="3"/>
  <c r="X52" i="3"/>
  <c r="X57" i="3"/>
  <c r="X67" i="3"/>
  <c r="X16" i="3"/>
  <c r="X69" i="3"/>
  <c r="X130" i="3"/>
  <c r="X61" i="3"/>
  <c r="X123" i="3"/>
  <c r="X103" i="3"/>
  <c r="X70" i="3"/>
  <c r="X99" i="3"/>
  <c r="X55" i="3"/>
  <c r="X94" i="3"/>
  <c r="X53" i="3"/>
  <c r="X76" i="3"/>
  <c r="X128" i="3"/>
  <c r="X17" i="3"/>
  <c r="X81" i="3"/>
  <c r="X92" i="3"/>
  <c r="X40" i="3"/>
  <c r="X30" i="3"/>
  <c r="X13" i="3"/>
  <c r="X120" i="3"/>
  <c r="X96" i="3"/>
  <c r="X54" i="3"/>
  <c r="X77" i="3"/>
  <c r="X105" i="3"/>
  <c r="X46" i="3"/>
  <c r="X19" i="3"/>
  <c r="X116" i="3"/>
  <c r="X112" i="3"/>
  <c r="X28" i="3"/>
  <c r="X89" i="3"/>
  <c r="X82" i="3"/>
  <c r="X48" i="3"/>
  <c r="X27" i="3"/>
  <c r="X74" i="3"/>
  <c r="X60" i="3"/>
  <c r="X23" i="3"/>
  <c r="X51" i="3"/>
  <c r="X58" i="3"/>
  <c r="X29" i="3"/>
  <c r="X79" i="3"/>
  <c r="X36" i="3"/>
  <c r="X129" i="3"/>
  <c r="X33" i="3"/>
  <c r="X62" i="3"/>
  <c r="X102" i="3"/>
  <c r="X66" i="3"/>
  <c r="X124" i="3"/>
  <c r="X108" i="3"/>
  <c r="X32" i="3"/>
  <c r="X131" i="3"/>
  <c r="X35" i="3"/>
  <c r="X34" i="3"/>
  <c r="X88" i="3"/>
  <c r="X44" i="3"/>
  <c r="X115" i="3"/>
  <c r="X118" i="3"/>
  <c r="X133" i="3"/>
  <c r="X38" i="3"/>
  <c r="X84" i="3"/>
  <c r="X80" i="3"/>
  <c r="X41" i="3"/>
  <c r="X14" i="3"/>
  <c r="X119" i="3"/>
  <c r="X47" i="3"/>
  <c r="X91" i="3"/>
  <c r="X114" i="3"/>
  <c r="X31" i="3"/>
  <c r="X93" i="3"/>
  <c r="X110" i="3"/>
  <c r="X86" i="3"/>
  <c r="X126" i="3"/>
  <c r="X95" i="3"/>
  <c r="X104" i="3"/>
  <c r="G4" i="15" l="1"/>
  <c r="Z11" i="3"/>
  <c r="Z14" i="3"/>
  <c r="Z13" i="3"/>
  <c r="Z12" i="3"/>
  <c r="Y12" i="3"/>
  <c r="AB6" i="3" s="1"/>
  <c r="M2" i="9"/>
  <c r="G19" i="15"/>
  <c r="G73" i="15"/>
  <c r="G33" i="15"/>
  <c r="G121" i="15"/>
  <c r="G32" i="15"/>
  <c r="G89" i="15"/>
  <c r="G18" i="15"/>
  <c r="G103" i="15"/>
  <c r="G115" i="15"/>
  <c r="G79" i="15"/>
  <c r="G123" i="15"/>
  <c r="G15" i="15"/>
  <c r="G114" i="15"/>
  <c r="G9" i="15"/>
  <c r="G84" i="15"/>
  <c r="G44" i="15"/>
  <c r="G67" i="15"/>
  <c r="G43" i="15"/>
  <c r="G80" i="15"/>
  <c r="G58" i="15"/>
  <c r="G76" i="15"/>
  <c r="G124" i="15"/>
  <c r="G45" i="15"/>
  <c r="G60" i="15"/>
  <c r="G40" i="15"/>
  <c r="G102" i="15"/>
  <c r="G25" i="15"/>
  <c r="G104" i="15"/>
  <c r="G96" i="15"/>
  <c r="G108" i="15"/>
  <c r="G98" i="15"/>
  <c r="G110" i="15"/>
  <c r="G26" i="15"/>
  <c r="G109" i="15"/>
  <c r="G53" i="15"/>
  <c r="G65" i="15"/>
  <c r="G101" i="15"/>
  <c r="G105" i="15"/>
  <c r="G16" i="15"/>
  <c r="G50" i="15"/>
  <c r="G74" i="15"/>
  <c r="G52" i="15"/>
  <c r="G51" i="15"/>
  <c r="G46" i="15"/>
  <c r="G91" i="15"/>
  <c r="G78" i="15"/>
  <c r="G27" i="15"/>
  <c r="G75" i="15"/>
  <c r="G95" i="15"/>
  <c r="G72" i="15"/>
  <c r="G38" i="15"/>
  <c r="G112" i="15"/>
  <c r="G111" i="15"/>
  <c r="G81" i="15"/>
  <c r="G119" i="15"/>
  <c r="G12" i="15"/>
  <c r="G30" i="15"/>
  <c r="G47" i="15"/>
  <c r="G94" i="15"/>
  <c r="G42" i="15"/>
  <c r="G70" i="15"/>
  <c r="G71" i="15"/>
  <c r="G17" i="15"/>
  <c r="G93" i="15"/>
  <c r="G24" i="15"/>
  <c r="G63" i="15"/>
  <c r="G90" i="15"/>
  <c r="G22" i="15"/>
  <c r="G35" i="15"/>
  <c r="G100" i="15"/>
  <c r="G59" i="15"/>
  <c r="G83" i="15"/>
  <c r="G21" i="15"/>
  <c r="G54" i="15"/>
  <c r="G62" i="15"/>
  <c r="G23" i="15"/>
  <c r="G61" i="15"/>
  <c r="G87" i="15"/>
  <c r="G14" i="15"/>
  <c r="G20" i="15"/>
  <c r="I8" i="15"/>
  <c r="G92" i="15"/>
  <c r="G99" i="15"/>
  <c r="G64" i="15"/>
  <c r="G120" i="15"/>
  <c r="G86" i="15"/>
  <c r="G36" i="15"/>
  <c r="G85" i="15"/>
  <c r="G37" i="15"/>
  <c r="G88" i="15"/>
  <c r="G68" i="15"/>
  <c r="G49" i="15"/>
  <c r="G13" i="15"/>
  <c r="I13" i="15"/>
  <c r="G10" i="15"/>
  <c r="G11" i="15"/>
  <c r="H48" i="15"/>
  <c r="I48" i="15"/>
  <c r="G48" i="15"/>
  <c r="I6" i="15"/>
  <c r="H21" i="15"/>
  <c r="H49" i="15"/>
  <c r="I21" i="15"/>
  <c r="I49" i="15"/>
  <c r="H59" i="15"/>
  <c r="I59" i="15"/>
  <c r="H69" i="15"/>
  <c r="H126" i="15"/>
  <c r="H100" i="15"/>
  <c r="H46" i="15"/>
  <c r="I69" i="15"/>
  <c r="G126" i="15"/>
  <c r="I100" i="15"/>
  <c r="G69" i="15"/>
  <c r="I46" i="15"/>
  <c r="H115" i="15"/>
  <c r="H53" i="15"/>
  <c r="H109" i="15"/>
  <c r="H35" i="15"/>
  <c r="H31" i="15"/>
  <c r="H51" i="15"/>
  <c r="H22" i="15"/>
  <c r="H68" i="15"/>
  <c r="I115" i="15"/>
  <c r="I53" i="15"/>
  <c r="G6" i="15"/>
  <c r="I109" i="15"/>
  <c r="I35" i="15"/>
  <c r="I31" i="15"/>
  <c r="I51" i="15"/>
  <c r="G31" i="15"/>
  <c r="I22" i="15"/>
  <c r="I68" i="15"/>
  <c r="H55" i="15"/>
  <c r="H97" i="15"/>
  <c r="H6" i="15"/>
  <c r="H52" i="15"/>
  <c r="H110" i="15"/>
  <c r="H26" i="15"/>
  <c r="I55" i="15"/>
  <c r="I97" i="15"/>
  <c r="G55" i="15"/>
  <c r="G97" i="15"/>
  <c r="I52" i="15"/>
  <c r="I110" i="15"/>
  <c r="I26" i="15"/>
  <c r="H11" i="15"/>
  <c r="H108" i="15"/>
  <c r="H98" i="15"/>
  <c r="H88" i="15"/>
  <c r="H13" i="15"/>
  <c r="H63" i="15"/>
  <c r="H90" i="15"/>
  <c r="I11" i="15"/>
  <c r="I108" i="15"/>
  <c r="I98" i="15"/>
  <c r="I88" i="15"/>
  <c r="I63" i="15"/>
  <c r="I90" i="15"/>
  <c r="G5" i="15"/>
  <c r="H38" i="15"/>
  <c r="H121" i="15"/>
  <c r="H57" i="15"/>
  <c r="H80" i="15"/>
  <c r="H66" i="15"/>
  <c r="H8" i="15"/>
  <c r="H107" i="15"/>
  <c r="H34" i="15"/>
  <c r="H29" i="15"/>
  <c r="H41" i="15"/>
  <c r="H89" i="15"/>
  <c r="H40" i="15"/>
  <c r="H70" i="15"/>
  <c r="H82" i="15"/>
  <c r="H56" i="15"/>
  <c r="H77" i="15"/>
  <c r="H28" i="15"/>
  <c r="H9" i="15"/>
  <c r="H10" i="15"/>
  <c r="H33" i="15"/>
  <c r="H67" i="15"/>
  <c r="H119" i="15"/>
  <c r="H20" i="15"/>
  <c r="H76" i="15"/>
  <c r="H124" i="15"/>
  <c r="H101" i="15"/>
  <c r="H60" i="15"/>
  <c r="H102" i="15"/>
  <c r="H25" i="15"/>
  <c r="H50" i="15"/>
  <c r="H104" i="15"/>
  <c r="H93" i="15"/>
  <c r="H74" i="15"/>
  <c r="H72" i="15"/>
  <c r="H113" i="15"/>
  <c r="H7" i="15"/>
  <c r="H44" i="15"/>
  <c r="H111" i="15"/>
  <c r="H43" i="15"/>
  <c r="H14" i="15"/>
  <c r="H117" i="15"/>
  <c r="H118" i="15"/>
  <c r="H30" i="15"/>
  <c r="H47" i="15"/>
  <c r="H94" i="15"/>
  <c r="H125" i="15"/>
  <c r="H45" i="15"/>
  <c r="H106" i="15"/>
  <c r="H71" i="15"/>
  <c r="H116" i="15"/>
  <c r="H122" i="15"/>
  <c r="H96" i="15"/>
  <c r="H37" i="15"/>
  <c r="H73" i="15"/>
  <c r="H84" i="15"/>
  <c r="H112" i="15"/>
  <c r="H61" i="15"/>
  <c r="H87" i="15"/>
  <c r="H81" i="15"/>
  <c r="H32" i="15"/>
  <c r="H12" i="15"/>
  <c r="H58" i="15"/>
  <c r="H92" i="15"/>
  <c r="H99" i="15"/>
  <c r="H64" i="15"/>
  <c r="H42" i="15"/>
  <c r="H120" i="15"/>
  <c r="H86" i="15"/>
  <c r="H105" i="15"/>
  <c r="H16" i="15"/>
  <c r="H36" i="15"/>
  <c r="H85" i="15"/>
  <c r="H17" i="15"/>
  <c r="H18" i="15"/>
  <c r="H24" i="15"/>
  <c r="H103" i="15"/>
  <c r="I38" i="15"/>
  <c r="I121" i="15"/>
  <c r="I57" i="15"/>
  <c r="I80" i="15"/>
  <c r="I66" i="15"/>
  <c r="I107" i="15"/>
  <c r="I34" i="15"/>
  <c r="I29" i="15"/>
  <c r="I41" i="15"/>
  <c r="I89" i="15"/>
  <c r="I40" i="15"/>
  <c r="I70" i="15"/>
  <c r="I82" i="15"/>
  <c r="I56" i="15"/>
  <c r="I77" i="15"/>
  <c r="I28" i="15"/>
  <c r="G82" i="15"/>
  <c r="G57" i="15"/>
  <c r="G41" i="15"/>
  <c r="G29" i="15"/>
  <c r="G34" i="15"/>
  <c r="G107" i="15"/>
  <c r="I9" i="15"/>
  <c r="I10" i="15"/>
  <c r="I33" i="15"/>
  <c r="I67" i="15"/>
  <c r="I119" i="15"/>
  <c r="I20" i="15"/>
  <c r="I76" i="15"/>
  <c r="I124" i="15"/>
  <c r="I101" i="15"/>
  <c r="I60" i="15"/>
  <c r="I102" i="15"/>
  <c r="I25" i="15"/>
  <c r="I50" i="15"/>
  <c r="I104" i="15"/>
  <c r="I93" i="15"/>
  <c r="I74" i="15"/>
  <c r="I72" i="15"/>
  <c r="I113" i="15"/>
  <c r="I44" i="15"/>
  <c r="I111" i="15"/>
  <c r="I43" i="15"/>
  <c r="I14" i="15"/>
  <c r="I117" i="15"/>
  <c r="I118" i="15"/>
  <c r="I30" i="15"/>
  <c r="I47" i="15"/>
  <c r="I94" i="15"/>
  <c r="G125" i="15"/>
  <c r="I45" i="15"/>
  <c r="I106" i="15"/>
  <c r="I71" i="15"/>
  <c r="I116" i="15"/>
  <c r="I122" i="15"/>
  <c r="I96" i="15"/>
  <c r="I37" i="15"/>
  <c r="G7" i="15"/>
  <c r="G8" i="15"/>
  <c r="G66" i="15"/>
  <c r="G56" i="15"/>
  <c r="G116" i="15"/>
  <c r="G113" i="15"/>
  <c r="G106" i="15"/>
  <c r="G118" i="15"/>
  <c r="G117" i="15"/>
  <c r="G77" i="15"/>
  <c r="G28" i="15"/>
  <c r="G122" i="15"/>
  <c r="I7" i="15"/>
  <c r="I73" i="15"/>
  <c r="I84" i="15"/>
  <c r="I112" i="15"/>
  <c r="I61" i="15"/>
  <c r="I87" i="15"/>
  <c r="I81" i="15"/>
  <c r="I32" i="15"/>
  <c r="I12" i="15"/>
  <c r="I58" i="15"/>
  <c r="I92" i="15"/>
  <c r="I99" i="15"/>
  <c r="I64" i="15"/>
  <c r="I42" i="15"/>
  <c r="I120" i="15"/>
  <c r="I86" i="15"/>
  <c r="I105" i="15"/>
  <c r="I16" i="15"/>
  <c r="I36" i="15"/>
  <c r="I85" i="15"/>
  <c r="I17" i="15"/>
  <c r="I18" i="15"/>
  <c r="I24" i="15"/>
  <c r="I103" i="15"/>
  <c r="H5" i="15"/>
  <c r="H95" i="15"/>
  <c r="I95" i="15"/>
  <c r="H114" i="15"/>
  <c r="I114" i="15"/>
  <c r="H83" i="15"/>
  <c r="I83" i="15"/>
  <c r="H23" i="15"/>
  <c r="I23" i="15"/>
  <c r="H15" i="15"/>
  <c r="H75" i="15"/>
  <c r="I15" i="15"/>
  <c r="I75" i="15"/>
  <c r="H65" i="15"/>
  <c r="I65" i="15"/>
  <c r="E9" i="8"/>
  <c r="H62" i="15"/>
  <c r="I62" i="15"/>
  <c r="H27" i="15"/>
  <c r="I27" i="15"/>
  <c r="H123" i="15"/>
  <c r="I123" i="15"/>
  <c r="H54" i="15"/>
  <c r="H19" i="15"/>
  <c r="H39" i="15"/>
  <c r="H91" i="15"/>
  <c r="H78" i="15"/>
  <c r="H79" i="15"/>
  <c r="I54" i="15"/>
  <c r="I19" i="15"/>
  <c r="I39" i="15"/>
  <c r="G39" i="15"/>
  <c r="I91" i="15"/>
  <c r="I78" i="15"/>
  <c r="I79" i="15"/>
  <c r="AC6" i="3" l="1"/>
  <c r="J4" i="3" s="1"/>
  <c r="R1" i="3" s="1"/>
  <c r="M8" i="8" s="1"/>
  <c r="I5" i="15"/>
  <c r="K9" i="8"/>
  <c r="U2" i="9" l="1"/>
</calcChain>
</file>

<file path=xl/comments1.xml><?xml version="1.0" encoding="utf-8"?>
<comments xmlns="http://schemas.openxmlformats.org/spreadsheetml/2006/main">
  <authors>
    <author xml:space="preserve"> </author>
    <author>James Swirhun</author>
    <author>ablum</author>
  </authors>
  <commentList>
    <comment ref="A5" authorId="0">
      <text>
        <r>
          <rPr>
            <b/>
            <sz val="10"/>
            <color indexed="81"/>
            <rFont val="Tahoma"/>
            <family val="2"/>
          </rPr>
          <t>The Sample Name is also used for the filename when saving data so avoid special characters: / ? * etc</t>
        </r>
      </text>
    </comment>
    <comment ref="B5" authorId="0">
      <text>
        <r>
          <rPr>
            <b/>
            <sz val="10"/>
            <color indexed="81"/>
            <rFont val="Tahoma"/>
            <family val="2"/>
          </rPr>
          <t>Thickness of the wafer in cm
e.g. A 100 µm wafer is 0.01 cm thick.</t>
        </r>
      </text>
    </comment>
    <comment ref="C5"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text>
        <r>
          <rPr>
            <b/>
            <sz val="10"/>
            <color indexed="81"/>
            <rFont val="Tahoma"/>
            <family val="2"/>
          </rPr>
          <t xml:space="preserve">Select p-type or n-type from the drop-down menu.
</t>
        </r>
      </text>
    </comment>
    <comment ref="E5" authorId="0">
      <text>
        <r>
          <rPr>
            <b/>
            <sz val="10"/>
            <color indexed="81"/>
            <rFont val="Tahoma"/>
            <family val="2"/>
          </rPr>
          <t>Photogeneration fraction compared to 38 mA/cm² default.  See User Manual for more details.</t>
        </r>
      </text>
    </comment>
    <comment ref="F5" authorId="0">
      <text>
        <r>
          <rPr>
            <b/>
            <sz val="10"/>
            <color indexed="81"/>
            <rFont val="Tahoma"/>
            <family val="2"/>
          </rPr>
          <t>Minority Carrier Density (MCD) for calculating the lifetime. For most materials the lifetime is not a single parameter but a function of minority carrier density.</t>
        </r>
      </text>
    </comment>
    <comment ref="G5" author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text>
        <r>
          <rPr>
            <b/>
            <sz val="10"/>
            <color indexed="81"/>
            <rFont val="Tahoma"/>
            <family val="2"/>
          </rPr>
          <t>Date of the measurement</t>
        </r>
      </text>
    </comment>
    <comment ref="J5" authorId="0">
      <text>
        <r>
          <rPr>
            <b/>
            <sz val="10"/>
            <color indexed="81"/>
            <rFont val="Tahoma"/>
            <family val="2"/>
          </rPr>
          <t>Time of the Measurement</t>
        </r>
      </text>
    </comment>
    <comment ref="K5" authorId="1">
      <text>
        <r>
          <rPr>
            <b/>
            <sz val="10"/>
            <color indexed="81"/>
            <rFont val="Tahoma"/>
            <family val="2"/>
          </rPr>
          <t>Notes if data has been logged to summary file(s).  See Settings sheet for options.</t>
        </r>
      </text>
    </comment>
    <comment ref="L5" authorId="0">
      <text>
        <r>
          <rPr>
            <b/>
            <sz val="10"/>
            <color indexed="81"/>
            <rFont val="Tahoma"/>
            <family val="2"/>
          </rPr>
          <t>The specified starting temperature of the temperture sweep</t>
        </r>
      </text>
    </comment>
    <comment ref="M5" authorId="2">
      <text>
        <r>
          <rPr>
            <b/>
            <sz val="10"/>
            <color indexed="81"/>
            <rFont val="Tahoma"/>
            <family val="2"/>
          </rPr>
          <t>Specified ending temperture of the temperture sweep</t>
        </r>
        <r>
          <rPr>
            <sz val="10"/>
            <color indexed="81"/>
            <rFont val="Tahoma"/>
            <family val="2"/>
          </rPr>
          <t xml:space="preserve">
</t>
        </r>
      </text>
    </comment>
    <comment ref="N5" authorId="0">
      <text>
        <r>
          <rPr>
            <b/>
            <sz val="10"/>
            <color indexed="81"/>
            <rFont val="Tahoma"/>
            <family val="2"/>
          </rPr>
          <t>Temperature sweep step size</t>
        </r>
      </text>
    </comment>
    <comment ref="O5" authorId="0">
      <text>
        <r>
          <rPr>
            <b/>
            <sz val="10"/>
            <color indexed="81"/>
            <rFont val="Tahoma"/>
            <family val="2"/>
          </rPr>
          <t>Temperature sweep tolerance</t>
        </r>
      </text>
    </comment>
    <comment ref="A8" authorId="0">
      <text>
        <r>
          <rPr>
            <b/>
            <sz val="10"/>
            <color indexed="81"/>
            <rFont val="Tahoma"/>
            <family val="2"/>
          </rPr>
          <t>Lifetime of minority carriers at the specified MCD.
(Auger Corrected)</t>
        </r>
      </text>
    </comment>
    <comment ref="B8" authorId="0">
      <text>
        <r>
          <rPr>
            <b/>
            <sz val="10"/>
            <color indexed="81"/>
            <rFont val="Tahoma"/>
            <family val="2"/>
          </rPr>
          <t>Sheet resistivity of the entire wafer thickness.  If wafer is diffused, parallel combination of bulk and emitter diffusion.</t>
        </r>
      </text>
    </comment>
    <comment ref="C8" authorId="0">
      <text>
        <r>
          <rPr>
            <b/>
            <sz val="10"/>
            <color indexed="81"/>
            <rFont val="Tahoma"/>
            <family val="2"/>
          </rPr>
          <t>Measured wafer resistivity based on Ohm/sq and the width.  Only valid for wafers without diffusions.</t>
        </r>
      </text>
    </comment>
    <comment ref="D8"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text>
        <r>
          <rPr>
            <b/>
            <sz val="10"/>
            <color indexed="81"/>
            <rFont val="Tahoma"/>
            <family val="2"/>
          </rPr>
          <t>Minimum Apparent Minority Carrier Density (MCD).</t>
        </r>
      </text>
    </comment>
    <comment ref="G8" authorId="1">
      <text>
        <r>
          <rPr>
            <b/>
            <sz val="10"/>
            <color indexed="81"/>
            <rFont val="Tahoma"/>
            <family val="2"/>
          </rPr>
          <t>Maximum Apparent Minority Carrier Density (MCD).</t>
        </r>
      </text>
    </comment>
    <comment ref="H8" authorId="0">
      <text>
        <r>
          <rPr>
            <b/>
            <sz val="10"/>
            <color indexed="81"/>
            <rFont val="Tahoma"/>
            <family val="2"/>
          </rPr>
          <t>Bias Point Carrier Density</t>
        </r>
      </text>
    </comment>
    <comment ref="I8" author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text>
        <r>
          <rPr>
            <b/>
            <sz val="10"/>
            <color indexed="81"/>
            <rFont val="Tahoma"/>
            <family val="2"/>
          </rPr>
          <t>The wafer doping of the base region as calculated from the resistivity and dopant type.</t>
        </r>
      </text>
    </comment>
    <comment ref="K8" authorId="1">
      <text>
        <r>
          <rPr>
            <b/>
            <sz val="10"/>
            <color indexed="81"/>
            <rFont val="Tahoma"/>
            <family val="2"/>
          </rPr>
          <t>The Implied Voc at an intensity of 1 sun.  This value depends heavily on the input resistivity.</t>
        </r>
      </text>
    </comment>
    <comment ref="L8" authorId="1">
      <text>
        <r>
          <rPr>
            <b/>
            <sz val="10"/>
            <color indexed="81"/>
            <rFont val="Tahoma"/>
            <family val="2"/>
          </rPr>
          <t>The measured temperature at which the data is analyzed.</t>
        </r>
      </text>
    </comment>
    <comment ref="M8"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2.xml><?xml version="1.0" encoding="utf-8"?>
<comments xmlns="http://schemas.openxmlformats.org/spreadsheetml/2006/main">
  <authors>
    <author>Adrienne Blum</author>
    <author>James Swirhun</author>
    <author xml:space="preserve"> </author>
    <author>Office</author>
  </authors>
  <commentList>
    <comment ref="B3" authorId="0">
      <text>
        <r>
          <rPr>
            <b/>
            <sz val="8"/>
            <color indexed="81"/>
            <rFont val="Tahoma"/>
            <family val="2"/>
          </rPr>
          <t xml:space="preserve">Instrument Type
</t>
        </r>
      </text>
    </comment>
    <comment ref="B4" authorId="1">
      <text>
        <r>
          <rPr>
            <b/>
            <sz val="8"/>
            <color indexed="81"/>
            <rFont val="Tahoma"/>
            <family val="2"/>
          </rPr>
          <t>Instrument Serial Number</t>
        </r>
      </text>
    </comment>
    <comment ref="F4" authorId="1">
      <text>
        <r>
          <rPr>
            <b/>
            <sz val="8"/>
            <color indexed="81"/>
            <rFont val="Tahoma"/>
            <family val="2"/>
          </rPr>
          <t>Save summary of measurement of to Excel summary File.  Location can be specified as file path, otherwise default is to save to same location as measurement file.</t>
        </r>
      </text>
    </comment>
    <comment ref="B5" authorId="2">
      <text>
        <r>
          <rPr>
            <b/>
            <sz val="8"/>
            <color indexed="81"/>
            <rFont val="Tahoma"/>
            <family val="2"/>
          </rPr>
          <t>Calibration constant of the reference  cell that measures the light intensity.  Do Not Change this Value.</t>
        </r>
      </text>
    </comment>
    <comment ref="F5" authorId="1">
      <text>
        <r>
          <rPr>
            <b/>
            <sz val="8"/>
            <color indexed="81"/>
            <rFont val="Tahoma"/>
            <family val="2"/>
          </rPr>
          <t>Save summary of measurement of to Text File.  Location can be specified as file path, otherwise default is to save to same location as measurement file.</t>
        </r>
      </text>
    </comment>
    <comment ref="B6" authorId="2">
      <text>
        <r>
          <rPr>
            <b/>
            <sz val="8"/>
            <color indexed="81"/>
            <rFont val="Tahoma"/>
            <family val="2"/>
          </rPr>
          <t xml:space="preserve">Calibration of the photoconductivity sensor.  </t>
        </r>
      </text>
    </comment>
    <comment ref="F6" authorId="1">
      <text>
        <r>
          <rPr>
            <b/>
            <sz val="8"/>
            <color indexed="81"/>
            <rFont val="Tahoma"/>
            <family val="2"/>
          </rPr>
          <t>Save summary of measurement of to Access Database.  Location can be specified as file path, otherwise default is to save to same location as measurement file.</t>
        </r>
      </text>
    </comment>
    <comment ref="F7" authorId="1">
      <text>
        <r>
          <rPr>
            <b/>
            <sz val="8"/>
            <color indexed="81"/>
            <rFont val="Tahoma"/>
            <family val="2"/>
          </rPr>
          <t xml:space="preserve">True to automatically save summary of each measurement to files specified above.  </t>
        </r>
      </text>
    </comment>
    <comment ref="F11" authorId="1">
      <text>
        <r>
          <rPr>
            <b/>
            <sz val="8"/>
            <color indexed="81"/>
            <rFont val="Tahoma"/>
            <family val="2"/>
          </rPr>
          <t>True to Automatically save a new Excel measurement file as SampleName.xlsm.</t>
        </r>
      </text>
    </comment>
    <comment ref="B13" authorId="2">
      <text>
        <r>
          <rPr>
            <b/>
            <sz val="8"/>
            <color indexed="81"/>
            <rFont val="Tahoma"/>
            <family val="2"/>
          </rPr>
          <t>Don't change this value</t>
        </r>
      </text>
    </comment>
    <comment ref="B14" authorId="2">
      <text>
        <r>
          <rPr>
            <b/>
            <sz val="8"/>
            <color indexed="81"/>
            <rFont val="Tahoma"/>
            <family val="2"/>
          </rPr>
          <t>Normally Set do DC.</t>
        </r>
      </text>
    </comment>
    <comment ref="F14" authorId="1">
      <text>
        <r>
          <rPr>
            <b/>
            <sz val="8"/>
            <color indexed="81"/>
            <rFont val="Tahoma"/>
            <family val="2"/>
          </rPr>
          <t>True to automatically rescale graphs after each measurement.</t>
        </r>
      </text>
    </comment>
    <comment ref="B15" authorId="3">
      <text>
        <r>
          <rPr>
            <b/>
            <sz val="8"/>
            <color indexed="81"/>
            <rFont val="Tahoma"/>
            <family val="2"/>
          </rPr>
          <t xml:space="preserve">For standard instrument = 1.  </t>
        </r>
      </text>
    </comment>
    <comment ref="B16" authorId="2">
      <text>
        <r>
          <rPr>
            <b/>
            <sz val="8"/>
            <color indexed="81"/>
            <rFont val="Tahoma"/>
            <family val="2"/>
          </rPr>
          <t xml:space="preserve">Fit will cover specified carrier density +/- Fit Range.
</t>
        </r>
      </text>
    </comment>
    <comment ref="B17" authorId="2">
      <text>
        <r>
          <rPr>
            <b/>
            <sz val="8"/>
            <color indexed="81"/>
            <rFont val="Tahoma"/>
            <family val="2"/>
          </rPr>
          <t xml:space="preserve">Sinton Auger model implemented
</t>
        </r>
      </text>
    </comment>
    <comment ref="F17" authorId="1">
      <text>
        <r>
          <rPr>
            <b/>
            <sz val="8"/>
            <color indexed="81"/>
            <rFont val="Tahoma"/>
            <family val="2"/>
          </rPr>
          <t>Set to TRUE to enable the "Taking Data" Screen.  False to just take a measurement without making adjustments.</t>
        </r>
      </text>
    </comment>
    <comment ref="B18" authorId="0">
      <text>
        <r>
          <rPr>
            <b/>
            <sz val="9"/>
            <color indexed="81"/>
            <rFont val="Tahoma"/>
            <family val="2"/>
          </rPr>
          <t>For temperatures above 30C, use Dorkel/Leturcq mobility model.</t>
        </r>
      </text>
    </comment>
    <comment ref="F20" authorId="1">
      <text>
        <r>
          <rPr>
            <b/>
            <sz val="8"/>
            <color indexed="81"/>
            <rFont val="Tahoma"/>
            <family val="2"/>
          </rPr>
          <t xml:space="preserve">Initial Value for Average Function in "Taking Data" Window.  </t>
        </r>
      </text>
    </comment>
    <comment ref="F21" authorId="1">
      <text>
        <r>
          <rPr>
            <b/>
            <sz val="8"/>
            <color indexed="81"/>
            <rFont val="Tahoma"/>
            <family val="2"/>
          </rPr>
          <t>Time between consectutive flashes in Average mode for QSS measurements.  Must be set to 6 seconds for flash to recharge fully.</t>
        </r>
      </text>
    </comment>
    <comment ref="F22" authorId="1">
      <text>
        <r>
          <rPr>
            <b/>
            <sz val="8"/>
            <color indexed="81"/>
            <rFont val="Tahoma"/>
            <family val="2"/>
          </rPr>
          <t>Time between consectutive flashes in Average mode for Transient measurements.  Must be set to 0.3 seconds for flash to recharge fully at 1/64.</t>
        </r>
      </text>
    </comment>
    <comment ref="F23" authorId="1">
      <text>
        <r>
          <rPr>
            <b/>
            <sz val="8"/>
            <color indexed="81"/>
            <rFont val="Tahoma"/>
            <family val="2"/>
          </rPr>
          <t>Time between consectutive flashes in Average mode for Transient measurements.  Must be set to 0.3 seconds for flash to recharge fully at 1/64.</t>
        </r>
      </text>
    </comment>
    <comment ref="F26" authorId="1">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<sst xmlns="http://schemas.openxmlformats.org/spreadsheetml/2006/main" count="4517" uniqueCount="390">
  <si>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</si>
  <si>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</si>
  <si>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</si>
  <si>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</si>
  <si>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</si>
  <si>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</si>
  <si>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</si>
  <si>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</si>
  <si>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</si>
  <si>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</si>
  <si>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</si>
  <si>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</si>
  <si>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</si>
  <si>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</si>
  <si>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</si>
  <si>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</si>
  <si>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</si>
  <si>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</si>
  <si>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</si>
  <si>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</si>
  <si>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</si>
  <si>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</si>
  <si>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</si>
  <si>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</si>
  <si>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</si>
  <si>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</si>
  <si>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</si>
  <si>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</si>
  <si>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</si>
  <si>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</si>
  <si>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</si>
  <si>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</si>
  <si>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</si>
  <si>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</si>
  <si>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</si>
  <si>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</si>
  <si>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</si>
  <si>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</si>
  <si>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</si>
  <si>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</si>
  <si>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</si>
  <si>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</si>
  <si>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</si>
  <si>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</si>
  <si>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</si>
  <si>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</si>
  <si>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</si>
  <si>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</si>
  <si>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</si>
  <si>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</si>
  <si>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</si>
  <si>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</si>
  <si>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</si>
  <si>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</si>
  <si>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</si>
  <si>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</si>
  <si>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</si>
  <si>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</si>
  <si>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</si>
  <si>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</si>
  <si>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</si>
  <si>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</si>
  <si>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</si>
  <si>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</si>
  <si>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</si>
  <si>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</si>
  <si>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</si>
  <si>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</si>
  <si>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</si>
  <si>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</si>
  <si>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</si>
  <si>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</si>
  <si>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</si>
  <si>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</si>
  <si>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</si>
  <si>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</si>
  <si>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</si>
  <si>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</si>
  <si>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</si>
  <si>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</si>
  <si>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</si>
  <si>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</si>
  <si>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</si>
  <si>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</si>
  <si>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</si>
  <si>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[Analysis parameters]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</si>
  <si>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</si>
  <si>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</si>
  <si>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</si>
  <si>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</si>
  <si>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</si>
  <si>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</si>
  <si>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</si>
  <si>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</si>
  <si>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</si>
  <si>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</si>
  <si>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</si>
  <si>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</si>
  <si>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</si>
  <si>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Use lifetime limits</t>
  </si>
  <si>
    <t>Low lifetime limit</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</si>
  <si>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</si>
  <si>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</si>
  <si>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</si>
  <si>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</si>
  <si>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</si>
  <si>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</si>
  <si>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</si>
  <si>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</si>
  <si>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</si>
  <si>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</si>
  <si>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</si>
  <si>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</si>
  <si>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</si>
  <si>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</si>
  <si>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</si>
  <si>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</si>
  <si>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</si>
  <si>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</si>
  <si>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</si>
  <si>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</si>
  <si>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</si>
  <si>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</si>
  <si>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</si>
  <si>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</si>
  <si>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</si>
  <si>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</si>
  <si>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</si>
  <si>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</si>
  <si>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</si>
  <si>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The row above (row 2) is copied to summary.xlsm when the user presses the "log data to summary" button.</t>
  </si>
  <si>
    <t xml:space="preserve"> true</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</si>
  <si>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</si>
  <si>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</si>
  <si>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</si>
  <si>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</si>
  <si>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</si>
  <si>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</si>
  <si>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</si>
  <si>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</si>
  <si>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</si>
  <si>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</si>
  <si>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</si>
  <si>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</si>
  <si>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</si>
  <si>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</si>
  <si>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</si>
  <si>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</si>
  <si>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</si>
  <si>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</si>
  <si>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</si>
  <si>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</si>
  <si>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</si>
  <si>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</si>
  <si>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</si>
  <si>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</si>
  <si>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</si>
  <si>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</si>
  <si>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</si>
  <si>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</si>
  <si>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</si>
  <si>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</si>
  <si>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</si>
  <si>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</si>
  <si>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</si>
  <si>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</si>
  <si>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</si>
  <si>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</si>
  <si>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</si>
  <si>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</si>
  <si>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</si>
  <si>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</si>
  <si>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</si>
  <si>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</si>
  <si>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</si>
  <si>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</si>
  <si>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</si>
  <si>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</si>
  <si>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</si>
  <si>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</si>
  <si>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</si>
  <si>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</si>
  <si>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</si>
  <si>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</si>
  <si>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</si>
  <si>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</si>
  <si>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</si>
  <si>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</si>
  <si>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</si>
  <si>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</si>
  <si>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</si>
  <si>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</si>
  <si>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</si>
  <si>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</si>
  <si>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</si>
  <si>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</si>
  <si>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</si>
  <si>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</si>
  <si>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</si>
  <si>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</si>
  <si>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</si>
  <si>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</si>
  <si>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</si>
  <si>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</si>
  <si>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</si>
  <si>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</si>
  <si>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</si>
  <si>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</si>
  <si>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</si>
  <si>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</si>
  <si>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</si>
  <si>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</si>
  <si>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</si>
  <si>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</si>
  <si>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</si>
  <si>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</si>
  <si>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</si>
  <si>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</si>
  <si>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</si>
  <si>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</si>
  <si>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</si>
  <si>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</si>
  <si>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</si>
  <si>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</si>
  <si>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</si>
  <si>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</si>
  <si>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</si>
  <si>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</si>
  <si>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</si>
  <si>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</si>
  <si>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</si>
  <si>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</si>
  <si>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</si>
  <si>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</si>
  <si>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</si>
  <si>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</si>
  <si>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</si>
  <si>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</si>
  <si>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</si>
  <si>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</si>
  <si>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</si>
  <si>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</si>
  <si>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</si>
  <si>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</si>
  <si>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</si>
  <si>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</si>
  <si>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</si>
  <si>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</si>
  <si>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</si>
  <si>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</si>
  <si>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</si>
  <si>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</si>
  <si>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</si>
  <si>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</si>
  <si>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</si>
  <si>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t>Sat. Ref Cell</t>
  </si>
  <si>
    <t>MCD out of Range</t>
  </si>
  <si>
    <t>Light Bias out of Range</t>
  </si>
  <si>
    <t xml:space="preserve"> </t>
  </si>
  <si>
    <t>Pulse Length</t>
  </si>
  <si>
    <t>Time Scale Flags</t>
  </si>
  <si>
    <t>Sample Type</t>
  </si>
  <si>
    <t>Fit Intercept (µs)</t>
  </si>
  <si>
    <t>Automatically save file after each measurement</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</si>
  <si>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</si>
  <si>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</si>
  <si>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</si>
  <si>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</si>
  <si>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</si>
  <si>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</si>
  <si>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</si>
  <si>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</si>
  <si>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</si>
  <si>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</si>
  <si>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</si>
  <si>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Time (s)</t>
  </si>
  <si>
    <t>Time in s</t>
  </si>
  <si>
    <t>Implied Suns</t>
  </si>
  <si>
    <t>Implied Voc</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</si>
  <si>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</si>
  <si>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</si>
  <si>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</si>
  <si>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</si>
  <si>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</si>
  <si>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</si>
  <si>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</si>
  <si>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Generalized (1/64)</t>
  </si>
  <si>
    <t>Generalized (1/1)</t>
  </si>
  <si>
    <t>Auger Model</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</si>
  <si>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</si>
  <si>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</si>
  <si>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</si>
  <si>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</si>
  <si>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</si>
  <si>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</si>
  <si>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</si>
  <si>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</si>
  <si>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</si>
  <si>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</si>
  <si>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</si>
  <si>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</si>
  <si>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</si>
  <si>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t>Tau @ specMCD (s)</t>
  </si>
  <si>
    <t>Resistivity Ohm-cm</t>
  </si>
  <si>
    <t>Temp</t>
  </si>
  <si>
    <t>Undoped ohm/sq</t>
  </si>
  <si>
    <t>Undoped Cond</t>
  </si>
  <si>
    <t>Polynomial Fit</t>
  </si>
  <si>
    <t>Mobility</t>
  </si>
  <si>
    <t>Temp Command</t>
  </si>
  <si>
    <t>C:\lifetime\lifetime.exe /temponly=true /switchedTCgain=2</t>
  </si>
  <si>
    <t>Corrected ShtRho</t>
  </si>
  <si>
    <t>Corrected Res</t>
  </si>
  <si>
    <t>Temperature</t>
  </si>
  <si>
    <t>Tau (corrected) @ specMCD (µs)</t>
  </si>
  <si>
    <t>Tau (corrected) @ specMCD (s)</t>
  </si>
  <si>
    <t>1/Tau (corrected) @ specMCD</t>
  </si>
  <si>
    <t>Mobility Model</t>
  </si>
  <si>
    <t>Dannhauser/ Krausse</t>
  </si>
  <si>
    <t>Dorkel/ Leturcq</t>
  </si>
  <si>
    <t>Temperature Scan Parameters</t>
  </si>
  <si>
    <t>Low Temp (⁰C)</t>
  </si>
  <si>
    <t>High Temp (⁰C)</t>
  </si>
  <si>
    <t>Step Size (⁰C)</t>
  </si>
  <si>
    <t>Tolerance (⁰C)</t>
  </si>
  <si>
    <t xml:space="preserve">Temp (C) </t>
  </si>
  <si>
    <t>Corrected Ohms/sq</t>
  </si>
  <si>
    <t>Corrected Ohm-cm</t>
  </si>
  <si>
    <t>CorrOhmSq</t>
  </si>
  <si>
    <t>CorrOhmcm</t>
  </si>
  <si>
    <t>Transient/Generalized (1/64) Mode Total Acquisition Time (µs)</t>
  </si>
  <si>
    <t xml:space="preserve">Transient/Generalized (1/64) Mode # of Taus Beyond 150mV </t>
  </si>
  <si>
    <t>ni2/tau</t>
  </si>
  <si>
    <t>Number of Flashes to average during temperature scan</t>
  </si>
  <si>
    <t>Cutoff</t>
  </si>
  <si>
    <t>4.6.0TS</t>
  </si>
  <si>
    <t>© Sinton Instruments 2014</t>
  </si>
  <si>
    <r>
      <t>Specified MCD (cm</t>
    </r>
    <r>
      <rPr>
        <b/>
        <vertAlign val="superscript"/>
        <sz val="12"/>
        <rFont val="Calibri"/>
        <family val="2"/>
        <scheme val="minor"/>
      </rPr>
      <t>-3</t>
    </r>
    <r>
      <rPr>
        <b/>
        <sz val="12"/>
        <rFont val="Calibri"/>
        <family val="2"/>
        <scheme val="minor"/>
      </rPr>
      <t>)</t>
    </r>
  </si>
  <si>
    <r>
      <t>Corected Sheet Resistance (</t>
    </r>
    <r>
      <rPr>
        <sz val="10"/>
        <rFont val="Calibri"/>
        <family val="2"/>
        <scheme val="minor"/>
      </rPr>
      <t>Ω</t>
    </r>
    <r>
      <rPr>
        <b/>
        <sz val="10"/>
        <rFont val="Calibri"/>
        <family val="2"/>
        <scheme val="minor"/>
      </rPr>
      <t>/sq)</t>
    </r>
  </si>
  <si>
    <r>
      <t>Corrected Resistivity (</t>
    </r>
    <r>
      <rPr>
        <sz val="12"/>
        <rFont val="Calibri"/>
        <family val="2"/>
        <scheme val="minor"/>
      </rPr>
      <t>Ω</t>
    </r>
    <r>
      <rPr>
        <b/>
        <sz val="12"/>
        <rFont val="Calibri"/>
        <family val="2"/>
        <scheme val="minor"/>
      </rPr>
      <t>-cm)</t>
    </r>
  </si>
  <si>
    <r>
      <t>J0 (A/cm</t>
    </r>
    <r>
      <rPr>
        <b/>
        <vertAlign val="superscript"/>
        <sz val="12"/>
        <rFont val="Calibri"/>
        <family val="2"/>
        <scheme val="minor"/>
      </rPr>
      <t>2</t>
    </r>
    <r>
      <rPr>
        <b/>
        <sz val="12"/>
        <rFont val="Calibri"/>
        <family val="2"/>
        <scheme val="minor"/>
      </rPr>
      <t>)</t>
    </r>
  </si>
  <si>
    <r>
      <t>Min MCD (cm</t>
    </r>
    <r>
      <rPr>
        <b/>
        <vertAlign val="superscript"/>
        <sz val="12"/>
        <rFont val="Calibri"/>
        <family val="2"/>
        <scheme val="minor"/>
      </rPr>
      <t>-3</t>
    </r>
    <r>
      <rPr>
        <b/>
        <sz val="12"/>
        <rFont val="Calibri"/>
        <family val="2"/>
        <scheme val="minor"/>
      </rPr>
      <t>)</t>
    </r>
  </si>
  <si>
    <r>
      <t>Max MCD (cm</t>
    </r>
    <r>
      <rPr>
        <b/>
        <vertAlign val="superscript"/>
        <sz val="12"/>
        <rFont val="Calibri"/>
        <family val="2"/>
        <scheme val="minor"/>
      </rPr>
      <t>-3</t>
    </r>
    <r>
      <rPr>
        <b/>
        <sz val="12"/>
        <rFont val="Calibri"/>
        <family val="2"/>
        <scheme val="minor"/>
      </rPr>
      <t>)</t>
    </r>
  </si>
  <si>
    <r>
      <t>Bias point CD (cm</t>
    </r>
    <r>
      <rPr>
        <b/>
        <vertAlign val="superscript"/>
        <sz val="12"/>
        <rFont val="Calibri"/>
        <family val="2"/>
        <scheme val="minor"/>
      </rPr>
      <t>-3</t>
    </r>
    <r>
      <rPr>
        <b/>
        <sz val="12"/>
        <rFont val="Calibri"/>
        <family val="2"/>
        <scheme val="minor"/>
      </rPr>
      <t>)</t>
    </r>
  </si>
  <si>
    <r>
      <t>Trap Density (cm</t>
    </r>
    <r>
      <rPr>
        <b/>
        <vertAlign val="superscript"/>
        <sz val="12"/>
        <rFont val="Calibri"/>
        <family val="2"/>
        <scheme val="minor"/>
      </rPr>
      <t>-3</t>
    </r>
    <r>
      <rPr>
        <b/>
        <sz val="12"/>
        <rFont val="Calibri"/>
        <family val="2"/>
        <scheme val="minor"/>
      </rPr>
      <t>)</t>
    </r>
  </si>
  <si>
    <r>
      <t>Doping
 (cm</t>
    </r>
    <r>
      <rPr>
        <b/>
        <vertAlign val="superscript"/>
        <sz val="12"/>
        <rFont val="Calibri"/>
        <family val="2"/>
        <scheme val="minor"/>
      </rPr>
      <t>-3</t>
    </r>
    <r>
      <rPr>
        <b/>
        <sz val="12"/>
        <rFont val="Calibri"/>
        <family val="2"/>
        <scheme val="minor"/>
      </rPr>
      <t>)</t>
    </r>
  </si>
  <si>
    <r>
      <t>Temp (</t>
    </r>
    <r>
      <rPr>
        <b/>
        <vertAlign val="superscript"/>
        <sz val="12"/>
        <rFont val="Calibri"/>
        <family val="2"/>
        <scheme val="minor"/>
      </rPr>
      <t>o</t>
    </r>
    <r>
      <rPr>
        <b/>
        <sz val="12"/>
        <rFont val="Calibri"/>
        <family val="2"/>
        <scheme val="minor"/>
      </rPr>
      <t xml:space="preserve">C) </t>
    </r>
  </si>
  <si>
    <t>QSS/Generalized (1/1) Mode Acquisition Time (µs)</t>
  </si>
  <si>
    <r>
      <t>Wafer Doping (cm</t>
    </r>
    <r>
      <rPr>
        <b/>
        <vertAlign val="superscript"/>
        <sz val="8"/>
        <rFont val="Calibri"/>
        <family val="2"/>
        <scheme val="minor"/>
      </rPr>
      <t>-3</t>
    </r>
    <r>
      <rPr>
        <b/>
        <sz val="8"/>
        <rFont val="Calibri"/>
        <family val="2"/>
        <scheme val="minor"/>
      </rPr>
      <t>)</t>
    </r>
  </si>
  <si>
    <r>
      <t>cm</t>
    </r>
    <r>
      <rPr>
        <vertAlign val="superscript"/>
        <sz val="10"/>
        <rFont val="Calibri"/>
        <family val="2"/>
        <scheme val="minor"/>
      </rPr>
      <t>-3</t>
    </r>
  </si>
  <si>
    <t>Tau @ specMCD (μs)</t>
  </si>
  <si>
    <r>
      <t>Tau fit (µs) (intercept @ -N</t>
    </r>
    <r>
      <rPr>
        <b/>
        <vertAlign val="subscript"/>
        <sz val="10"/>
        <rFont val="Calibri"/>
        <family val="2"/>
        <scheme val="minor"/>
      </rPr>
      <t>A</t>
    </r>
    <r>
      <rPr>
        <b/>
        <sz val="10"/>
        <rFont val="Calibri"/>
        <family val="2"/>
        <scheme val="minor"/>
      </rPr>
      <t>)</t>
    </r>
  </si>
  <si>
    <r>
      <t>ni</t>
    </r>
    <r>
      <rPr>
        <b/>
        <vertAlign val="superscript"/>
        <sz val="10"/>
        <rFont val="Calibri"/>
        <family val="2"/>
        <scheme val="minor"/>
      </rPr>
      <t>2</t>
    </r>
    <r>
      <rPr>
        <b/>
        <sz val="10"/>
        <rFont val="Calibri"/>
        <family val="2"/>
        <scheme val="minor"/>
      </rPr>
      <t>/tau fit slope</t>
    </r>
  </si>
  <si>
    <t>WCT-120TS</t>
  </si>
  <si>
    <t>14-127027</t>
  </si>
  <si>
    <t>Logged</t>
  </si>
  <si>
    <t>Al_895_04-1</t>
  </si>
  <si>
    <t>Al_895_04-2</t>
  </si>
  <si>
    <t>Al_895_04-3</t>
  </si>
  <si>
    <t>Al_895_04-4</t>
  </si>
  <si>
    <t>Al_895_04-5</t>
  </si>
  <si>
    <t>Al_895_04-6</t>
  </si>
  <si>
    <t>Al_895_04-7</t>
  </si>
  <si>
    <t>Al_895_04-8</t>
  </si>
  <si>
    <t>Al_895_04-9</t>
  </si>
  <si>
    <t>Al_895_04-10</t>
  </si>
  <si>
    <t>Al_895_04-11</t>
  </si>
  <si>
    <t>Al_895_04-12</t>
  </si>
  <si>
    <t>Al_895_04-13</t>
  </si>
  <si>
    <t>Al_895_04-14</t>
  </si>
  <si>
    <t>Al_895_04-15</t>
  </si>
  <si>
    <t>Al_895_04-16</t>
  </si>
  <si>
    <t>Al_895_04-17</t>
  </si>
  <si>
    <t>Al_895_04-18</t>
  </si>
  <si>
    <t>Al_895_04-19</t>
  </si>
  <si>
    <t>Al_895_04-20</t>
  </si>
  <si>
    <t>Al_895_04-21</t>
  </si>
  <si>
    <t>Al_895_04-22</t>
  </si>
  <si>
    <t>Al_895_04-23</t>
  </si>
  <si>
    <t>Al_895_04-24</t>
  </si>
  <si>
    <t>Al_895_04-25</t>
  </si>
  <si>
    <t>Al_895_04-26</t>
  </si>
  <si>
    <t>Al_895_04-27</t>
  </si>
  <si>
    <t>Al_895_04-28</t>
  </si>
  <si>
    <t>Al_895_04-29</t>
  </si>
  <si>
    <t>Al_895_04-30</t>
  </si>
  <si>
    <t>Al_895_04-31</t>
  </si>
  <si>
    <t>Al_895_04-32</t>
  </si>
  <si>
    <t>Al_895_04-33</t>
  </si>
  <si>
    <t>Al_895_04-34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</si>
</sst>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38" x14ac:knownFonts="1">
    <font>
      <sz val="10"/>
      <name val="Arial"/>
      <family val="2"/>
    </font>
    <font>
      <sz val="10"/>
      <name val="Arial"/>
      <family val="2"/>
    </font>
    <font>
      <b/>
      <sz val="10"/>
      <name val="Arial"/>
      <family val="2"/>
    </font>
    <font>
      <sz val="8"/>
      <name val="Arial"/>
      <family val="2"/>
    </font>
    <font>
      <b/>
      <sz val="8"/>
      <color indexed="81"/>
      <name val="Tahoma"/>
      <family val="2"/>
    </font>
    <font>
      <sz val="8"/>
      <color indexed="81"/>
      <name val="Tahoma"/>
      <family val="2"/>
    </font>
    <font>
      <b/>
      <sz val="10"/>
      <color indexed="10"/>
      <name val="Arial"/>
      <family val="2"/>
    </font>
    <font>
      <b/>
      <sz val="10"/>
      <color rgb="FFFF0000"/>
      <name val="Arial"/>
      <family val="2"/>
    </font>
    <font>
      <b/>
      <sz val="10"/>
      <color indexed="81"/>
      <name val="Tahoma"/>
      <family val="2"/>
    </font>
    <font>
      <b/>
      <sz val="10"/>
      <color indexed="10"/>
      <name val="Tahoma"/>
      <family val="2"/>
    </font>
    <font>
      <b/>
      <sz val="11"/>
      <color indexed="81"/>
      <name val="Tahoma"/>
      <family val="2"/>
    </font>
    <font>
      <b/>
      <sz val="10"/>
      <color rgb="FF000000"/>
      <name val="Arial"/>
      <family val="2"/>
    </font>
    <font>
      <sz val="10"/>
      <color indexed="81"/>
      <name val="Tahoma"/>
      <family val="2"/>
    </font>
    <font>
      <b/>
      <sz val="9"/>
      <color indexed="81"/>
      <name val="Tahoma"/>
      <family val="2"/>
    </font>
    <font>
      <b/>
      <sz val="10"/>
      <name val="Calibri"/>
      <family val="2"/>
      <scheme val="minor"/>
    </font>
    <font>
      <b/>
      <sz val="12"/>
      <name val="Calibri"/>
      <family val="2"/>
      <scheme val="minor"/>
    </font>
    <font>
      <b/>
      <vertAlign val="superscript"/>
      <sz val="12"/>
      <name val="Calibri"/>
      <family val="2"/>
      <scheme val="minor"/>
    </font>
    <font>
      <b/>
      <sz val="9"/>
      <name val="Calibri"/>
      <family val="2"/>
      <scheme val="minor"/>
    </font>
    <font>
      <b/>
      <sz val="12"/>
      <color rgb="FF2004EC"/>
      <name val="Calibri"/>
      <family val="2"/>
      <scheme val="minor"/>
    </font>
    <font>
      <b/>
      <sz val="11"/>
      <color rgb="FF2004EC"/>
      <name val="Calibri"/>
      <family val="2"/>
      <scheme val="minor"/>
    </font>
    <font>
      <sz val="10"/>
      <name val="Calibri"/>
      <family val="2"/>
      <scheme val="minor"/>
    </font>
    <font>
      <b/>
      <sz val="12"/>
      <color rgb="FFFF0000"/>
      <name val="Calibri"/>
      <family val="2"/>
      <scheme val="minor"/>
    </font>
    <font>
      <sz val="12"/>
      <name val="Calibri"/>
      <family val="2"/>
      <scheme val="minor"/>
    </font>
    <font>
      <b/>
      <sz val="11"/>
      <color rgb="FFFF0000"/>
      <name val="Calibri"/>
      <family val="2"/>
      <scheme val="minor"/>
    </font>
    <font>
      <b/>
      <sz val="20"/>
      <name val="Calibri"/>
      <family val="2"/>
      <scheme val="minor"/>
    </font>
    <font>
      <sz val="20"/>
      <color rgb="FF00B050"/>
      <name val="Calibri"/>
      <family val="2"/>
      <scheme val="minor"/>
    </font>
    <font>
      <b/>
      <sz val="11"/>
      <name val="Calibri"/>
      <family val="2"/>
      <scheme val="minor"/>
    </font>
    <font>
      <b/>
      <sz val="10"/>
      <color rgb="FF2004EC"/>
      <name val="Calibri"/>
      <family val="2"/>
      <scheme val="minor"/>
    </font>
    <font>
      <b/>
      <sz val="10"/>
      <color indexed="10"/>
      <name val="Calibri"/>
      <family val="2"/>
      <scheme val="minor"/>
    </font>
    <font>
      <b/>
      <sz val="10"/>
      <color indexed="8"/>
      <name val="Calibri"/>
      <family val="2"/>
      <scheme val="minor"/>
    </font>
    <font>
      <b/>
      <sz val="8"/>
      <name val="Calibri"/>
      <family val="2"/>
      <scheme val="minor"/>
    </font>
    <font>
      <b/>
      <vertAlign val="superscript"/>
      <sz val="8"/>
      <name val="Calibri"/>
      <family val="2"/>
      <scheme val="minor"/>
    </font>
    <font>
      <b/>
      <sz val="10"/>
      <color indexed="12"/>
      <name val="Calibri"/>
      <family val="2"/>
      <scheme val="minor"/>
    </font>
    <font>
      <sz val="10"/>
      <color rgb="FFC00000"/>
      <name val="Calibri"/>
      <family val="2"/>
      <scheme val="minor"/>
    </font>
    <font>
      <vertAlign val="superscript"/>
      <sz val="10"/>
      <name val="Calibri"/>
      <family val="2"/>
      <scheme val="minor"/>
    </font>
    <font>
      <b/>
      <vertAlign val="subscript"/>
      <sz val="10"/>
      <name val="Calibri"/>
      <family val="2"/>
      <scheme val="minor"/>
    </font>
    <font>
      <b/>
      <vertAlign val="superscript"/>
      <sz val="10"/>
      <name val="Calibri"/>
      <family val="2"/>
      <scheme val="minor"/>
    </font>
    <font>
      <sz val="10"/>
      <color theme="3" tint="0.3999755851924192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00000"/>
        <bgColor indexed="64"/>
      </patternFill>
    </fill>
    <fill>
      <patternFill patternType="solid">
        <fgColor theme="5"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7030A0"/>
        <bgColor indexed="64"/>
      </patternFill>
    </fill>
    <fill>
      <patternFill patternType="solid">
        <fgColor theme="7" tint="-0.499984740745262"/>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1" fillId="0" borderId="0"/>
  </cellStyleXfs>
  <cellXfs count="304">
    <xf numFmtId="0" fontId="0" fillId="0" borderId="0" xfId="0"/>
    <xf numFmtId="0" fontId="2" fillId="3" borderId="0" xfId="0" applyFont="1" applyFill="1" applyBorder="1"/>
    <xf numFmtId="0" fontId="2" fillId="3" borderId="7" xfId="0" applyFont="1" applyFill="1" applyBorder="1" applyAlignment="1">
      <alignment horizontal="center"/>
    </xf>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6"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7"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7" fillId="3" borderId="0" xfId="1" applyFont="1" applyFill="1"/>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7" fillId="3" borderId="0" xfId="0" applyFont="1" applyFill="1"/>
    <xf numFmtId="0" fontId="7" fillId="3" borderId="0" xfId="0" applyFont="1" applyFill="1" applyAlignment="1"/>
    <xf numFmtId="0" fontId="14" fillId="0" borderId="0" xfId="0" applyFont="1"/>
    <xf numFmtId="0" fontId="14" fillId="0" borderId="0" xfId="0" applyFont="1" applyFill="1" applyBorder="1" applyAlignment="1" applyProtection="1">
      <alignment horizontal="center" wrapText="1"/>
    </xf>
    <xf numFmtId="0" fontId="14" fillId="0" borderId="0" xfId="0" applyFont="1" applyProtection="1"/>
    <xf numFmtId="0" fontId="15" fillId="0" borderId="0" xfId="0" applyFont="1"/>
    <xf numFmtId="0" fontId="14" fillId="0" borderId="0" xfId="0" applyFont="1" applyBorder="1" applyProtection="1"/>
    <xf numFmtId="0" fontId="14" fillId="0" borderId="0" xfId="0" applyFont="1" applyFill="1" applyBorder="1" applyAlignment="1" applyProtection="1">
      <alignment horizontal="center" vertical="top" wrapText="1"/>
    </xf>
    <xf numFmtId="0" fontId="15" fillId="0" borderId="0" xfId="0" applyFont="1" applyBorder="1" applyProtection="1">
      <protection locked="0"/>
    </xf>
    <xf numFmtId="0" fontId="14" fillId="0" borderId="0" xfId="0" applyFont="1" applyBorder="1"/>
    <xf numFmtId="0" fontId="14" fillId="0" borderId="0" xfId="0" applyFont="1" applyBorder="1" applyAlignment="1">
      <alignment horizontal="center"/>
    </xf>
    <xf numFmtId="49" fontId="14" fillId="0" borderId="0" xfId="0" applyNumberFormat="1" applyFont="1" applyBorder="1" applyAlignment="1" applyProtection="1">
      <alignment horizontal="left"/>
    </xf>
    <xf numFmtId="0" fontId="14" fillId="2" borderId="0" xfId="0" applyFont="1" applyFill="1" applyBorder="1" applyAlignment="1" applyProtection="1">
      <alignment horizontal="left"/>
    </xf>
    <xf numFmtId="0" fontId="14" fillId="2" borderId="0" xfId="0" applyFont="1" applyFill="1" applyBorder="1" applyProtection="1"/>
    <xf numFmtId="0" fontId="14" fillId="0" borderId="0" xfId="0" applyFont="1" applyBorder="1" applyAlignment="1" applyProtection="1">
      <alignment horizontal="left"/>
    </xf>
    <xf numFmtId="14" fontId="14" fillId="0" borderId="0" xfId="0" applyNumberFormat="1" applyFont="1" applyBorder="1" applyAlignment="1" applyProtection="1">
      <alignment horizontal="centerContinuous"/>
    </xf>
    <xf numFmtId="0" fontId="14" fillId="0" borderId="0" xfId="0" applyFont="1" applyBorder="1" applyAlignment="1" applyProtection="1">
      <alignment horizontal="center"/>
    </xf>
    <xf numFmtId="0" fontId="14" fillId="0" borderId="0" xfId="0" applyFont="1" applyBorder="1" applyAlignment="1" applyProtection="1">
      <alignment horizontal="centerContinuous"/>
    </xf>
    <xf numFmtId="16" fontId="14" fillId="0" borderId="0" xfId="0" applyNumberFormat="1" applyFont="1" applyBorder="1" applyProtection="1"/>
    <xf numFmtId="0" fontId="15" fillId="2" borderId="0" xfId="0" applyFont="1" applyFill="1" applyBorder="1" applyProtection="1"/>
    <xf numFmtId="0" fontId="15" fillId="2" borderId="0" xfId="0" applyFont="1" applyFill="1" applyBorder="1" applyAlignment="1" applyProtection="1">
      <alignment horizontal="left"/>
    </xf>
    <xf numFmtId="0" fontId="15" fillId="0" borderId="0" xfId="0" applyFont="1" applyBorder="1"/>
    <xf numFmtId="0" fontId="14" fillId="0" borderId="0" xfId="0" applyFont="1" applyFill="1" applyBorder="1" applyProtection="1"/>
    <xf numFmtId="0" fontId="15" fillId="3" borderId="4" xfId="0" applyFont="1" applyFill="1" applyBorder="1" applyAlignment="1" applyProtection="1">
      <alignment horizontal="center" wrapText="1"/>
    </xf>
    <xf numFmtId="0" fontId="15" fillId="3" borderId="5" xfId="0" applyFont="1" applyFill="1" applyBorder="1" applyAlignment="1" applyProtection="1">
      <alignment horizontal="center" wrapText="1"/>
    </xf>
    <xf numFmtId="0" fontId="15" fillId="3" borderId="6" xfId="0" applyFont="1" applyFill="1" applyBorder="1" applyAlignment="1" applyProtection="1">
      <alignment horizontal="center" wrapText="1"/>
    </xf>
    <xf numFmtId="16" fontId="15" fillId="3" borderId="5" xfId="0" applyNumberFormat="1" applyFont="1" applyFill="1" applyBorder="1" applyAlignment="1" applyProtection="1">
      <alignment horizontal="center" wrapText="1"/>
    </xf>
    <xf numFmtId="16" fontId="15" fillId="3" borderId="10" xfId="0" applyNumberFormat="1" applyFont="1" applyFill="1" applyBorder="1" applyAlignment="1" applyProtection="1">
      <alignment horizontal="center" wrapText="1"/>
    </xf>
    <xf numFmtId="0" fontId="17" fillId="3" borderId="9" xfId="0" applyFont="1" applyFill="1" applyBorder="1" applyAlignment="1" applyProtection="1">
      <alignment horizontal="center" wrapText="1"/>
    </xf>
    <xf numFmtId="0" fontId="17" fillId="3" borderId="8" xfId="0" applyFont="1" applyFill="1" applyBorder="1" applyAlignment="1" applyProtection="1">
      <alignment horizontal="center" wrapText="1"/>
    </xf>
    <xf numFmtId="0" fontId="17" fillId="3" borderId="10" xfId="0" applyFont="1" applyFill="1" applyBorder="1" applyAlignment="1" applyProtection="1">
      <alignment horizontal="center" wrapText="1"/>
    </xf>
    <xf numFmtId="16" fontId="18" fillId="0" borderId="2" xfId="0" applyNumberFormat="1" applyFont="1" applyBorder="1" applyAlignment="1" applyProtection="1">
      <alignment horizontal="center"/>
      <protection locked="0"/>
    </xf>
    <xf numFmtId="0" fontId="18" fillId="0" borderId="1" xfId="0" applyFont="1" applyBorder="1" applyAlignment="1" applyProtection="1">
      <alignment horizontal="center"/>
      <protection locked="0"/>
    </xf>
    <xf numFmtId="166" fontId="18" fillId="0" borderId="1" xfId="0" applyNumberFormat="1" applyFont="1" applyBorder="1" applyAlignment="1" applyProtection="1">
      <alignment horizontal="center"/>
      <protection locked="0"/>
    </xf>
    <xf numFmtId="0" fontId="18" fillId="0" borderId="3" xfId="0" applyFont="1" applyBorder="1" applyAlignment="1" applyProtection="1">
      <alignment horizontal="center"/>
      <protection locked="0"/>
    </xf>
    <xf numFmtId="2" fontId="18" fillId="0" borderId="4" xfId="0" applyNumberFormat="1" applyFont="1" applyBorder="1" applyAlignment="1" applyProtection="1">
      <alignment horizontal="center"/>
      <protection locked="0"/>
    </xf>
    <xf numFmtId="167" fontId="18" fillId="0" borderId="5" xfId="0" applyNumberFormat="1" applyFont="1" applyBorder="1" applyAlignment="1" applyProtection="1">
      <alignment horizontal="center"/>
      <protection locked="0"/>
    </xf>
    <xf numFmtId="1" fontId="18" fillId="0" borderId="5" xfId="0" applyNumberFormat="1" applyFont="1" applyBorder="1" applyAlignment="1" applyProtection="1">
      <alignment horizontal="center"/>
      <protection locked="0"/>
    </xf>
    <xf numFmtId="0" fontId="19" fillId="2" borderId="6" xfId="0" applyFont="1" applyFill="1" applyBorder="1" applyAlignment="1" applyProtection="1">
      <alignment horizontal="center"/>
      <protection locked="0"/>
    </xf>
    <xf numFmtId="14" fontId="15" fillId="0" borderId="5" xfId="0" applyNumberFormat="1" applyFont="1" applyBorder="1" applyAlignment="1" applyProtection="1">
      <alignment horizontal="center"/>
    </xf>
    <xf numFmtId="21" fontId="15" fillId="0" borderId="5" xfId="0" applyNumberFormat="1" applyFont="1" applyBorder="1" applyAlignment="1" applyProtection="1">
      <alignment horizontal="center"/>
    </xf>
    <xf numFmtId="0" fontId="15" fillId="0" borderId="5" xfId="0" applyFont="1" applyBorder="1" applyAlignment="1" applyProtection="1">
      <alignment horizontal="center"/>
    </xf>
    <xf numFmtId="1" fontId="18" fillId="0" borderId="4" xfId="0" applyNumberFormat="1" applyFont="1" applyBorder="1" applyAlignment="1" applyProtection="1">
      <alignment horizontal="center"/>
      <protection locked="0"/>
    </xf>
    <xf numFmtId="2" fontId="18" fillId="0" borderId="6" xfId="0" applyNumberFormat="1" applyFont="1" applyBorder="1" applyAlignment="1" applyProtection="1">
      <alignment horizontal="center"/>
      <protection locked="0"/>
    </xf>
    <xf numFmtId="0" fontId="20" fillId="0" borderId="0" xfId="0" applyFont="1" applyBorder="1"/>
    <xf numFmtId="0" fontId="20" fillId="0" borderId="0" xfId="0" applyFont="1" applyBorder="1" applyProtection="1"/>
    <xf numFmtId="0" fontId="20" fillId="0" borderId="0" xfId="0" applyFont="1"/>
    <xf numFmtId="0" fontId="14" fillId="2" borderId="0" xfId="0" applyFont="1" applyFill="1" applyBorder="1" applyAlignment="1" applyProtection="1">
      <alignment horizontal="centerContinuous" wrapText="1"/>
    </xf>
    <xf numFmtId="0" fontId="14" fillId="2" borderId="0" xfId="0" applyFont="1" applyFill="1" applyBorder="1" applyAlignment="1" applyProtection="1">
      <alignment horizontal="centerContinuous"/>
    </xf>
    <xf numFmtId="0" fontId="21" fillId="0" borderId="0" xfId="0" applyFont="1"/>
    <xf numFmtId="0" fontId="14" fillId="3" borderId="5" xfId="0" applyFont="1" applyFill="1" applyBorder="1" applyAlignment="1" applyProtection="1">
      <alignment horizontal="center" wrapText="1"/>
    </xf>
    <xf numFmtId="0" fontId="15" fillId="3" borderId="5" xfId="0" applyFont="1" applyFill="1" applyBorder="1" applyAlignment="1">
      <alignment horizontal="center" wrapText="1"/>
    </xf>
    <xf numFmtId="2" fontId="15" fillId="0" borderId="4" xfId="0" applyNumberFormat="1" applyFont="1" applyBorder="1" applyAlignment="1" applyProtection="1">
      <alignment horizontal="center"/>
    </xf>
    <xf numFmtId="166" fontId="15" fillId="0" borderId="5" xfId="0" applyNumberFormat="1" applyFont="1" applyBorder="1" applyAlignment="1" applyProtection="1">
      <alignment horizontal="center"/>
    </xf>
    <xf numFmtId="2" fontId="15" fillId="0" borderId="5" xfId="0" applyNumberFormat="1" applyFont="1" applyBorder="1" applyAlignment="1" applyProtection="1">
      <alignment horizontal="center" wrapText="1"/>
    </xf>
    <xf numFmtId="11" fontId="15" fillId="0" borderId="5" xfId="0" applyNumberFormat="1" applyFont="1" applyBorder="1" applyAlignment="1" applyProtection="1">
      <alignment horizontal="center"/>
    </xf>
    <xf numFmtId="167" fontId="15" fillId="0" borderId="5" xfId="0" applyNumberFormat="1" applyFont="1" applyBorder="1" applyAlignment="1" applyProtection="1">
      <alignment horizontal="center"/>
    </xf>
    <xf numFmtId="168" fontId="15" fillId="0" borderId="5" xfId="0" applyNumberFormat="1" applyFont="1" applyBorder="1" applyAlignment="1">
      <alignment horizontal="center"/>
    </xf>
    <xf numFmtId="2" fontId="15" fillId="0" borderId="5" xfId="0" applyNumberFormat="1" applyFont="1" applyBorder="1" applyAlignment="1">
      <alignment horizontal="center"/>
    </xf>
    <xf numFmtId="0" fontId="20" fillId="0" borderId="0" xfId="0" applyFont="1" applyBorder="1" applyAlignment="1"/>
    <xf numFmtId="0" fontId="20" fillId="0" borderId="0" xfId="0" applyFont="1" applyProtection="1"/>
    <xf numFmtId="0" fontId="14" fillId="0" borderId="0" xfId="0" applyFont="1" applyBorder="1" applyAlignment="1" applyProtection="1">
      <alignment wrapText="1"/>
    </xf>
    <xf numFmtId="16" fontId="20" fillId="0" borderId="0" xfId="0" applyNumberFormat="1" applyFont="1" applyBorder="1" applyProtection="1"/>
    <xf numFmtId="167" fontId="20" fillId="0" borderId="0" xfId="0" applyNumberFormat="1" applyFont="1" applyBorder="1" applyProtection="1"/>
    <xf numFmtId="2" fontId="20" fillId="0" borderId="0" xfId="0" applyNumberFormat="1" applyFont="1" applyBorder="1" applyProtection="1"/>
    <xf numFmtId="167" fontId="14" fillId="0" borderId="0" xfId="0" applyNumberFormat="1" applyFont="1" applyBorder="1" applyProtection="1"/>
    <xf numFmtId="2" fontId="14" fillId="0" borderId="0" xfId="0" applyNumberFormat="1" applyFont="1" applyBorder="1" applyProtection="1"/>
    <xf numFmtId="0" fontId="14" fillId="0" borderId="0" xfId="0" applyFont="1" applyAlignment="1">
      <alignment horizontal="right"/>
    </xf>
    <xf numFmtId="11" fontId="14" fillId="0" borderId="0" xfId="0" applyNumberFormat="1" applyFont="1"/>
    <xf numFmtId="0" fontId="15" fillId="3" borderId="0" xfId="0" applyFont="1" applyFill="1" applyBorder="1"/>
    <xf numFmtId="0" fontId="14" fillId="3" borderId="0" xfId="0" applyFont="1" applyFill="1" applyBorder="1"/>
    <xf numFmtId="0" fontId="26" fillId="3" borderId="0" xfId="0" applyFont="1" applyFill="1" applyBorder="1"/>
    <xf numFmtId="0" fontId="14" fillId="3" borderId="7" xfId="0" applyFont="1" applyFill="1" applyBorder="1" applyAlignment="1">
      <alignment horizontal="center"/>
    </xf>
    <xf numFmtId="0" fontId="14" fillId="3" borderId="7" xfId="0" applyFont="1" applyFill="1" applyBorder="1" applyAlignment="1" applyProtection="1">
      <alignment horizontal="center"/>
      <protection locked="0"/>
    </xf>
    <xf numFmtId="0" fontId="27" fillId="3" borderId="7" xfId="0" applyFont="1" applyFill="1" applyBorder="1" applyProtection="1">
      <protection locked="0"/>
    </xf>
    <xf numFmtId="165" fontId="20" fillId="3" borderId="7" xfId="0" applyNumberFormat="1" applyFont="1" applyFill="1" applyBorder="1" applyAlignment="1">
      <alignment horizontal="center"/>
    </xf>
    <xf numFmtId="165" fontId="20" fillId="3" borderId="0" xfId="0" applyNumberFormat="1" applyFont="1" applyFill="1" applyBorder="1" applyAlignment="1"/>
    <xf numFmtId="0" fontId="14" fillId="3" borderId="7" xfId="0" applyFont="1" applyFill="1" applyBorder="1" applyAlignment="1" applyProtection="1">
      <alignment horizontal="center" wrapText="1"/>
    </xf>
    <xf numFmtId="11" fontId="14" fillId="3" borderId="7" xfId="0" applyNumberFormat="1" applyFont="1" applyFill="1" applyBorder="1" applyAlignment="1" applyProtection="1">
      <alignment horizontal="center"/>
      <protection locked="0"/>
    </xf>
    <xf numFmtId="164" fontId="14" fillId="3" borderId="7" xfId="0" applyNumberFormat="1" applyFont="1" applyFill="1" applyBorder="1" applyAlignment="1" applyProtection="1">
      <alignment horizontal="center"/>
      <protection locked="0"/>
    </xf>
    <xf numFmtId="0" fontId="14" fillId="3" borderId="7" xfId="0" applyFont="1" applyFill="1" applyBorder="1" applyAlignment="1" applyProtection="1">
      <alignment horizontal="center"/>
    </xf>
    <xf numFmtId="0" fontId="27" fillId="3" borderId="11" xfId="0" applyFont="1" applyFill="1" applyBorder="1" applyProtection="1">
      <protection locked="0"/>
    </xf>
    <xf numFmtId="0" fontId="27" fillId="3" borderId="8" xfId="0" applyFont="1" applyFill="1" applyBorder="1"/>
    <xf numFmtId="164" fontId="14" fillId="3" borderId="7" xfId="0" applyNumberFormat="1" applyFont="1" applyFill="1" applyBorder="1" applyAlignment="1" applyProtection="1">
      <alignment horizontal="center"/>
    </xf>
    <xf numFmtId="0" fontId="14" fillId="3" borderId="0" xfId="0" applyFont="1" applyFill="1" applyBorder="1" applyAlignment="1" applyProtection="1">
      <alignment horizontal="center"/>
    </xf>
    <xf numFmtId="0" fontId="28" fillId="3" borderId="0" xfId="0" applyFont="1" applyFill="1" applyBorder="1"/>
    <xf numFmtId="0" fontId="15" fillId="3" borderId="1" xfId="0" applyFont="1" applyFill="1" applyBorder="1"/>
    <xf numFmtId="0" fontId="14" fillId="3" borderId="1" xfId="0" applyFont="1" applyFill="1" applyBorder="1"/>
    <xf numFmtId="0" fontId="29" fillId="3" borderId="7" xfId="0" applyFont="1" applyFill="1" applyBorder="1" applyAlignment="1" applyProtection="1">
      <alignment horizontal="center"/>
    </xf>
    <xf numFmtId="0" fontId="27" fillId="3" borderId="15" xfId="0" applyFont="1" applyFill="1" applyBorder="1" applyProtection="1">
      <protection locked="0"/>
    </xf>
    <xf numFmtId="0" fontId="28" fillId="3" borderId="8" xfId="0" applyFont="1" applyFill="1" applyBorder="1"/>
    <xf numFmtId="0" fontId="14" fillId="3" borderId="8" xfId="0" applyFont="1" applyFill="1" applyBorder="1"/>
    <xf numFmtId="168" fontId="14" fillId="3" borderId="0" xfId="0" applyNumberFormat="1" applyFont="1" applyFill="1" applyBorder="1" applyAlignment="1">
      <alignment horizontal="center"/>
    </xf>
    <xf numFmtId="9" fontId="14" fillId="3" borderId="7" xfId="0" applyNumberFormat="1" applyFont="1" applyFill="1" applyBorder="1" applyAlignment="1" applyProtection="1">
      <alignment horizontal="center"/>
      <protection locked="0"/>
    </xf>
    <xf numFmtId="0" fontId="14" fillId="3" borderId="1" xfId="0" applyFont="1" applyFill="1" applyBorder="1" applyAlignment="1"/>
    <xf numFmtId="22" fontId="14" fillId="3" borderId="0" xfId="0" applyNumberFormat="1" applyFont="1" applyFill="1" applyBorder="1" applyAlignment="1">
      <alignment horizontal="center"/>
    </xf>
    <xf numFmtId="0" fontId="14" fillId="3" borderId="7" xfId="0" applyFont="1" applyFill="1" applyBorder="1" applyAlignment="1" applyProtection="1">
      <alignment horizontal="center" vertical="center" wrapText="1"/>
      <protection locked="0"/>
    </xf>
    <xf numFmtId="2" fontId="14" fillId="3" borderId="0" xfId="0" applyNumberFormat="1" applyFont="1" applyFill="1" applyBorder="1"/>
    <xf numFmtId="0" fontId="30" fillId="3" borderId="0" xfId="0" applyFont="1" applyFill="1" applyBorder="1"/>
    <xf numFmtId="0" fontId="14" fillId="3" borderId="11" xfId="0" applyFont="1" applyFill="1" applyBorder="1" applyAlignment="1">
      <alignment horizontal="center"/>
    </xf>
    <xf numFmtId="0" fontId="14" fillId="3" borderId="7" xfId="0" applyFont="1" applyFill="1" applyBorder="1"/>
    <xf numFmtId="0" fontId="28" fillId="3" borderId="0" xfId="0" applyFont="1" applyFill="1" applyBorder="1" applyAlignment="1">
      <alignment horizontal="center"/>
    </xf>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0" xfId="0" applyFont="1" applyFill="1" applyBorder="1" applyAlignment="1">
      <alignment horizontal="center"/>
    </xf>
    <xf numFmtId="0" fontId="30" fillId="3" borderId="9" xfId="0" applyFont="1" applyFill="1" applyBorder="1" applyAlignment="1">
      <alignment horizontal="center" wrapText="1"/>
    </xf>
    <xf numFmtId="14" fontId="30" fillId="3" borderId="8" xfId="0" applyNumberFormat="1" applyFont="1" applyFill="1" applyBorder="1" applyAlignment="1">
      <alignment horizontal="center" wrapText="1"/>
    </xf>
    <xf numFmtId="169" fontId="30" fillId="3" borderId="8" xfId="0" applyNumberFormat="1" applyFont="1" applyFill="1" applyBorder="1" applyAlignment="1">
      <alignment horizontal="center" wrapText="1"/>
    </xf>
    <xf numFmtId="0" fontId="30" fillId="3" borderId="8" xfId="0" applyFont="1" applyFill="1" applyBorder="1" applyAlignment="1">
      <alignment horizontal="center" wrapText="1"/>
    </xf>
    <xf numFmtId="11" fontId="30" fillId="3" borderId="8" xfId="0" applyNumberFormat="1" applyFont="1" applyFill="1" applyBorder="1" applyAlignment="1">
      <alignment horizontal="center" wrapText="1"/>
    </xf>
    <xf numFmtId="0" fontId="30" fillId="3" borderId="0" xfId="0" applyFont="1" applyFill="1" applyAlignment="1">
      <alignment horizontal="center" wrapText="1"/>
    </xf>
    <xf numFmtId="0" fontId="30" fillId="3" borderId="10" xfId="0" applyFont="1" applyFill="1" applyBorder="1" applyAlignment="1">
      <alignment horizontal="center" wrapText="1"/>
    </xf>
    <xf numFmtId="0" fontId="30" fillId="3" borderId="0" xfId="0" applyFont="1" applyFill="1" applyAlignment="1">
      <alignment wrapText="1"/>
    </xf>
    <xf numFmtId="16" fontId="20" fillId="3" borderId="4" xfId="0" applyNumberFormat="1" applyFont="1" applyFill="1" applyBorder="1" applyAlignment="1">
      <alignment horizontal="center"/>
    </xf>
    <xf numFmtId="169" fontId="20" fillId="3" borderId="5" xfId="0" applyNumberFormat="1" applyFont="1" applyFill="1" applyBorder="1" applyAlignment="1">
      <alignment horizontal="center"/>
    </xf>
    <xf numFmtId="19" fontId="20" fillId="3" borderId="5" xfId="0" applyNumberFormat="1" applyFont="1" applyFill="1" applyBorder="1" applyAlignment="1">
      <alignment horizontal="center"/>
    </xf>
    <xf numFmtId="2" fontId="20" fillId="3" borderId="5" xfId="0" applyNumberFormat="1" applyFont="1" applyFill="1" applyBorder="1" applyAlignment="1">
      <alignment horizontal="center"/>
    </xf>
    <xf numFmtId="0" fontId="20" fillId="3" borderId="5" xfId="0" applyFont="1" applyFill="1" applyBorder="1" applyAlignment="1">
      <alignment horizontal="center"/>
    </xf>
    <xf numFmtId="11" fontId="20" fillId="3" borderId="5" xfId="0" applyNumberFormat="1" applyFont="1" applyFill="1" applyBorder="1" applyAlignment="1">
      <alignment horizontal="center"/>
    </xf>
    <xf numFmtId="166" fontId="20" fillId="3" borderId="5" xfId="0" applyNumberFormat="1" applyFont="1" applyFill="1" applyBorder="1" applyAlignment="1">
      <alignment horizontal="center"/>
    </xf>
    <xf numFmtId="168" fontId="20" fillId="3" borderId="5" xfId="0" applyNumberFormat="1" applyFont="1" applyFill="1" applyBorder="1" applyAlignment="1">
      <alignment horizontal="center"/>
    </xf>
    <xf numFmtId="164" fontId="20" fillId="3" borderId="5" xfId="0" applyNumberFormat="1" applyFont="1" applyFill="1" applyBorder="1" applyAlignment="1">
      <alignment horizontal="center"/>
    </xf>
    <xf numFmtId="0" fontId="20" fillId="3" borderId="6" xfId="0" applyFont="1" applyFill="1" applyBorder="1" applyAlignment="1">
      <alignment horizontal="center"/>
    </xf>
    <xf numFmtId="0" fontId="20" fillId="3" borderId="0" xfId="0" applyFont="1" applyFill="1"/>
    <xf numFmtId="0" fontId="32" fillId="3" borderId="0" xfId="0" applyFont="1" applyFill="1"/>
    <xf numFmtId="2" fontId="20" fillId="3" borderId="0" xfId="0" applyNumberFormat="1" applyFont="1" applyFill="1"/>
    <xf numFmtId="11" fontId="20" fillId="3" borderId="0" xfId="0" applyNumberFormat="1" applyFont="1" applyFill="1"/>
    <xf numFmtId="0" fontId="14" fillId="3" borderId="0" xfId="0" applyFont="1" applyFill="1"/>
    <xf numFmtId="11" fontId="14" fillId="3" borderId="0" xfId="0" applyNumberFormat="1" applyFont="1" applyFill="1"/>
    <xf numFmtId="14" fontId="20" fillId="3" borderId="0" xfId="0" applyNumberFormat="1" applyFont="1" applyFill="1"/>
    <xf numFmtId="0" fontId="20" fillId="3" borderId="0" xfId="0" applyNumberFormat="1" applyFont="1" applyFill="1"/>
    <xf numFmtId="170" fontId="20" fillId="3" borderId="0" xfId="0" applyNumberFormat="1" applyFont="1" applyFill="1"/>
    <xf numFmtId="16" fontId="20" fillId="0" borderId="0" xfId="0" applyNumberFormat="1" applyFont="1"/>
    <xf numFmtId="0" fontId="14" fillId="0" borderId="1" xfId="0" applyNumberFormat="1" applyFont="1" applyBorder="1" applyAlignment="1">
      <alignment horizontal="center" vertical="center" wrapText="1"/>
    </xf>
    <xf numFmtId="14" fontId="20" fillId="0" borderId="0" xfId="0" applyNumberFormat="1" applyFont="1"/>
    <xf numFmtId="11" fontId="20" fillId="0" borderId="0" xfId="0" applyNumberFormat="1" applyFont="1" applyAlignment="1">
      <alignment horizontal="center"/>
    </xf>
    <xf numFmtId="166" fontId="20" fillId="0" borderId="0" xfId="0" applyNumberFormat="1" applyFont="1" applyAlignment="1">
      <alignment horizontal="center"/>
    </xf>
    <xf numFmtId="0" fontId="20" fillId="0" borderId="0" xfId="0" applyNumberFormat="1" applyFont="1"/>
    <xf numFmtId="11" fontId="20" fillId="0" borderId="0" xfId="0" applyNumberFormat="1" applyFont="1"/>
    <xf numFmtId="165" fontId="20" fillId="0" borderId="0" xfId="0" applyNumberFormat="1" applyFont="1" applyAlignment="1">
      <alignment horizontal="center"/>
    </xf>
    <xf numFmtId="2" fontId="20" fillId="0" borderId="0" xfId="0" applyNumberFormat="1" applyFont="1" applyAlignment="1">
      <alignment horizontal="center"/>
    </xf>
    <xf numFmtId="0" fontId="33" fillId="6" borderId="0" xfId="0" applyFont="1" applyFill="1"/>
    <xf numFmtId="0" fontId="20" fillId="5" borderId="0" xfId="0" applyFont="1" applyFill="1"/>
    <xf numFmtId="0" fontId="20" fillId="7" borderId="0" xfId="0" applyFont="1" applyFill="1"/>
    <xf numFmtId="0" fontId="20" fillId="8" borderId="0" xfId="0" applyFont="1" applyFill="1"/>
    <xf numFmtId="0" fontId="20" fillId="11" borderId="0" xfId="0" applyFont="1" applyFill="1"/>
    <xf numFmtId="0" fontId="20" fillId="10" borderId="0" xfId="0" applyFont="1" applyFill="1"/>
    <xf numFmtId="0" fontId="20" fillId="12" borderId="0" xfId="0" applyFont="1" applyFill="1"/>
    <xf numFmtId="0" fontId="20" fillId="9" borderId="0" xfId="0" applyFont="1" applyFill="1"/>
    <xf numFmtId="0" fontId="20" fillId="13" borderId="0" xfId="0" applyFont="1" applyFill="1"/>
    <xf numFmtId="0" fontId="20" fillId="14" borderId="0" xfId="0" applyFont="1" applyFill="1"/>
    <xf numFmtId="0" fontId="20" fillId="15" borderId="0" xfId="0" applyFont="1" applyFill="1"/>
    <xf numFmtId="0" fontId="20" fillId="16" borderId="0" xfId="0" applyFont="1" applyFill="1"/>
    <xf numFmtId="0" fontId="20" fillId="17" borderId="0" xfId="0" applyFont="1" applyFill="1"/>
    <xf numFmtId="0" fontId="20" fillId="18" borderId="0" xfId="0" applyFont="1" applyFill="1"/>
    <xf numFmtId="0" fontId="20" fillId="19" borderId="0" xfId="0" applyFont="1" applyFill="1"/>
    <xf numFmtId="0" fontId="20" fillId="0" borderId="0" xfId="0" applyFont="1" applyFill="1"/>
    <xf numFmtId="0" fontId="15"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protection locked="0"/>
    </xf>
    <xf numFmtId="0" fontId="20" fillId="4" borderId="7" xfId="0" applyFont="1" applyFill="1" applyBorder="1" applyAlignment="1">
      <alignment horizontal="center"/>
    </xf>
    <xf numFmtId="14" fontId="20" fillId="3" borderId="7" xfId="0" applyNumberFormat="1" applyFont="1" applyFill="1" applyBorder="1" applyAlignment="1">
      <alignment horizontal="center"/>
    </xf>
    <xf numFmtId="16" fontId="14" fillId="3" borderId="0" xfId="0" applyNumberFormat="1" applyFont="1" applyFill="1" applyBorder="1" applyAlignment="1" applyProtection="1">
      <alignment horizontal="center"/>
      <protection locked="0"/>
    </xf>
    <xf numFmtId="0" fontId="20" fillId="3" borderId="0" xfId="0" applyFont="1" applyFill="1" applyAlignment="1">
      <alignment horizontal="center"/>
    </xf>
    <xf numFmtId="0" fontId="20" fillId="3" borderId="0" xfId="0" applyFont="1" applyFill="1" applyBorder="1" applyAlignment="1">
      <alignment horizontal="center"/>
    </xf>
    <xf numFmtId="0" fontId="20" fillId="3" borderId="0" xfId="0" applyFont="1" applyFill="1" applyBorder="1" applyAlignment="1" applyProtection="1">
      <alignment horizontal="left"/>
    </xf>
    <xf numFmtId="0" fontId="20" fillId="3" borderId="7" xfId="0" applyFont="1" applyFill="1" applyBorder="1" applyAlignment="1">
      <alignment horizontal="left"/>
    </xf>
    <xf numFmtId="0" fontId="20" fillId="3" borderId="7" xfId="0" applyFont="1" applyFill="1" applyBorder="1" applyAlignment="1" applyProtection="1">
      <alignment horizontal="center"/>
      <protection locked="0"/>
    </xf>
    <xf numFmtId="0" fontId="14" fillId="3" borderId="0" xfId="0" applyFont="1" applyFill="1" applyBorder="1" applyAlignment="1" applyProtection="1">
      <alignment horizontal="center" wrapText="1"/>
    </xf>
    <xf numFmtId="16" fontId="20" fillId="4" borderId="7" xfId="0" applyNumberFormat="1" applyFont="1" applyFill="1" applyBorder="1" applyAlignment="1">
      <alignment horizontal="center"/>
    </xf>
    <xf numFmtId="19" fontId="20" fillId="3" borderId="7" xfId="0" applyNumberFormat="1" applyFont="1" applyFill="1" applyBorder="1" applyAlignment="1" applyProtection="1">
      <alignment horizontal="center"/>
    </xf>
    <xf numFmtId="0" fontId="20" fillId="3" borderId="0" xfId="0" applyFont="1" applyFill="1" applyBorder="1" applyAlignment="1" applyProtection="1">
      <alignment horizontal="center"/>
    </xf>
    <xf numFmtId="0" fontId="20" fillId="3" borderId="0" xfId="0" applyFont="1" applyFill="1" applyBorder="1" applyAlignment="1">
      <alignment horizontal="left"/>
    </xf>
    <xf numFmtId="0" fontId="20" fillId="3" borderId="0" xfId="0" quotePrefix="1" applyFont="1" applyFill="1" applyAlignment="1">
      <alignment horizontal="center"/>
    </xf>
    <xf numFmtId="14" fontId="20" fillId="3" borderId="0" xfId="0" applyNumberFormat="1" applyFont="1" applyFill="1" applyBorder="1" applyAlignment="1" applyProtection="1">
      <alignment horizontal="center"/>
      <protection locked="0"/>
    </xf>
    <xf numFmtId="2" fontId="20" fillId="3" borderId="7" xfId="0" applyNumberFormat="1" applyFont="1" applyFill="1" applyBorder="1" applyAlignment="1" applyProtection="1">
      <alignment horizontal="center"/>
    </xf>
    <xf numFmtId="19" fontId="20" fillId="3" borderId="0" xfId="0" applyNumberFormat="1" applyFont="1" applyFill="1" applyBorder="1" applyAlignment="1">
      <alignment horizontal="center"/>
    </xf>
    <xf numFmtId="0" fontId="20" fillId="3" borderId="0" xfId="0" applyFont="1" applyFill="1" applyAlignment="1">
      <alignment horizontal="left"/>
    </xf>
    <xf numFmtId="0" fontId="14" fillId="3" borderId="0" xfId="0" applyFont="1" applyFill="1" applyBorder="1" applyAlignment="1" applyProtection="1">
      <alignment horizontal="center"/>
      <protection locked="0"/>
    </xf>
    <xf numFmtId="0" fontId="20" fillId="3" borderId="7" xfId="0" applyFont="1" applyFill="1" applyBorder="1" applyAlignment="1" applyProtection="1">
      <alignment horizontal="left"/>
      <protection locked="0"/>
    </xf>
    <xf numFmtId="11" fontId="14" fillId="3" borderId="0" xfId="0" applyNumberFormat="1" applyFont="1" applyFill="1" applyBorder="1" applyAlignment="1">
      <alignment horizontal="center"/>
    </xf>
    <xf numFmtId="0" fontId="14" fillId="4" borderId="4" xfId="0" applyFont="1" applyFill="1" applyBorder="1" applyAlignment="1" applyProtection="1">
      <alignment horizontal="center" wrapText="1"/>
    </xf>
    <xf numFmtId="0" fontId="14" fillId="4" borderId="5" xfId="0" applyFont="1" applyFill="1" applyBorder="1" applyAlignment="1" applyProtection="1">
      <alignment horizontal="center" wrapText="1"/>
    </xf>
    <xf numFmtId="0" fontId="14" fillId="4" borderId="5" xfId="0" applyFont="1" applyFill="1" applyBorder="1" applyAlignment="1">
      <alignment horizontal="center" wrapText="1"/>
    </xf>
    <xf numFmtId="0" fontId="14" fillId="4" borderId="6" xfId="0" applyFont="1" applyFill="1" applyBorder="1" applyAlignment="1" applyProtection="1">
      <alignment horizontal="center" wrapText="1"/>
    </xf>
    <xf numFmtId="0" fontId="20" fillId="3" borderId="4" xfId="0" applyNumberFormat="1" applyFont="1" applyFill="1" applyBorder="1" applyAlignment="1" applyProtection="1">
      <alignment horizontal="center"/>
      <protection locked="0"/>
    </xf>
    <xf numFmtId="2" fontId="20" fillId="3" borderId="5" xfId="0" applyNumberFormat="1" applyFont="1" applyFill="1" applyBorder="1" applyAlignment="1" applyProtection="1">
      <alignment horizontal="center" wrapText="1"/>
      <protection locked="0"/>
    </xf>
    <xf numFmtId="11" fontId="20" fillId="3" borderId="5" xfId="0" applyNumberFormat="1" applyFont="1" applyFill="1" applyBorder="1" applyAlignment="1" applyProtection="1">
      <alignment horizontal="center"/>
      <protection locked="0"/>
    </xf>
    <xf numFmtId="165" fontId="20" fillId="3" borderId="5" xfId="0" applyNumberFormat="1" applyFont="1" applyFill="1" applyBorder="1" applyAlignment="1">
      <alignment horizontal="center"/>
    </xf>
    <xf numFmtId="167" fontId="20" fillId="3" borderId="5" xfId="0" applyNumberFormat="1" applyFont="1" applyFill="1" applyBorder="1" applyAlignment="1" applyProtection="1">
      <alignment horizontal="center"/>
    </xf>
    <xf numFmtId="11" fontId="20" fillId="3" borderId="5" xfId="0" applyNumberFormat="1" applyFont="1" applyFill="1" applyBorder="1" applyAlignment="1" applyProtection="1">
      <alignment horizontal="center"/>
    </xf>
    <xf numFmtId="171" fontId="20" fillId="3" borderId="5" xfId="0" applyNumberFormat="1" applyFont="1" applyFill="1" applyBorder="1" applyAlignment="1" applyProtection="1">
      <alignment horizontal="center"/>
    </xf>
    <xf numFmtId="2" fontId="20" fillId="3" borderId="5" xfId="0" applyNumberFormat="1" applyFont="1" applyFill="1" applyBorder="1" applyAlignment="1" applyProtection="1">
      <alignment horizontal="center"/>
    </xf>
    <xf numFmtId="166" fontId="20" fillId="3" borderId="5" xfId="0" applyNumberFormat="1" applyFont="1" applyFill="1" applyBorder="1" applyAlignment="1" applyProtection="1">
      <alignment horizontal="center"/>
    </xf>
    <xf numFmtId="168" fontId="20" fillId="3" borderId="5" xfId="0" applyNumberFormat="1" applyFont="1" applyFill="1" applyBorder="1" applyAlignment="1" applyProtection="1">
      <alignment horizontal="center"/>
    </xf>
    <xf numFmtId="167" fontId="20" fillId="3" borderId="1" xfId="0" applyNumberFormat="1" applyFont="1" applyFill="1" applyBorder="1" applyAlignment="1" applyProtection="1">
      <alignment horizontal="center"/>
    </xf>
    <xf numFmtId="2" fontId="20" fillId="3" borderId="1" xfId="0" applyNumberFormat="1" applyFont="1" applyFill="1" applyBorder="1" applyAlignment="1">
      <alignment horizontal="center"/>
    </xf>
    <xf numFmtId="2" fontId="20" fillId="3" borderId="3" xfId="0" applyNumberFormat="1" applyFont="1" applyFill="1" applyBorder="1" applyAlignment="1">
      <alignment horizontal="center"/>
    </xf>
    <xf numFmtId="11" fontId="20" fillId="3" borderId="0" xfId="0" applyNumberFormat="1" applyFont="1" applyFill="1" applyBorder="1" applyAlignment="1" applyProtection="1">
      <alignment horizontal="center"/>
    </xf>
    <xf numFmtId="167" fontId="20" fillId="3" borderId="0" xfId="0" applyNumberFormat="1" applyFont="1" applyFill="1" applyBorder="1" applyAlignment="1" applyProtection="1">
      <alignment horizontal="center"/>
    </xf>
    <xf numFmtId="2" fontId="20" fillId="3" borderId="0" xfId="0" applyNumberFormat="1" applyFont="1" applyFill="1" applyBorder="1" applyAlignment="1" applyProtection="1">
      <alignment horizontal="center"/>
    </xf>
    <xf numFmtId="1" fontId="20" fillId="3" borderId="0" xfId="0" applyNumberFormat="1" applyFont="1" applyFill="1" applyBorder="1" applyAlignment="1" applyProtection="1">
      <alignment horizontal="center"/>
    </xf>
    <xf numFmtId="0" fontId="20"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wrapText="1"/>
    </xf>
    <xf numFmtId="14" fontId="14" fillId="4" borderId="4" xfId="0" applyNumberFormat="1" applyFont="1" applyFill="1" applyBorder="1" applyAlignment="1" applyProtection="1">
      <alignment horizontal="center" wrapText="1"/>
    </xf>
    <xf numFmtId="21" fontId="14" fillId="4" borderId="5" xfId="0" applyNumberFormat="1" applyFont="1" applyFill="1" applyBorder="1" applyAlignment="1" applyProtection="1">
      <alignment horizontal="center" wrapText="1"/>
    </xf>
    <xf numFmtId="0" fontId="14" fillId="4" borderId="6" xfId="0" applyFont="1" applyFill="1" applyBorder="1" applyAlignment="1">
      <alignment horizontal="center" wrapText="1"/>
    </xf>
    <xf numFmtId="11" fontId="37" fillId="3" borderId="0" xfId="0" applyNumberFormat="1" applyFont="1" applyFill="1" applyBorder="1" applyAlignment="1" applyProtection="1">
      <alignment horizontal="center"/>
      <protection locked="0"/>
    </xf>
    <xf numFmtId="165" fontId="37" fillId="3" borderId="0" xfId="0" applyNumberFormat="1" applyFont="1" applyFill="1" applyBorder="1" applyAlignment="1" applyProtection="1">
      <alignment horizontal="center"/>
      <protection locked="0"/>
    </xf>
    <xf numFmtId="165"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pplyProtection="1">
      <alignment horizontal="center"/>
      <protection locked="0"/>
    </xf>
    <xf numFmtId="11" fontId="20" fillId="3" borderId="0" xfId="0" applyNumberFormat="1" applyFont="1" applyFill="1" applyBorder="1" applyAlignment="1" applyProtection="1">
      <alignment horizontal="center"/>
      <protection locked="0"/>
    </xf>
    <xf numFmtId="171" fontId="20" fillId="3" borderId="0" xfId="0" applyNumberFormat="1" applyFont="1" applyFill="1" applyBorder="1" applyAlignment="1">
      <alignment horizontal="center"/>
    </xf>
    <xf numFmtId="11" fontId="20" fillId="3" borderId="0" xfId="0" applyNumberFormat="1" applyFont="1" applyFill="1" applyBorder="1" applyAlignment="1">
      <alignment horizontal="center"/>
    </xf>
    <xf numFmtId="11" fontId="20" fillId="3" borderId="0" xfId="0" applyNumberFormat="1" applyFont="1" applyFill="1" applyAlignment="1">
      <alignment horizontal="center"/>
    </xf>
    <xf numFmtId="1"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lignment horizontal="center"/>
    </xf>
    <xf numFmtId="168" fontId="20" fillId="3" borderId="0" xfId="0" applyNumberFormat="1" applyFont="1" applyFill="1" applyAlignment="1">
      <alignment horizontal="center"/>
    </xf>
    <xf numFmtId="0" fontId="37" fillId="3" borderId="0" xfId="0" applyFont="1" applyFill="1" applyBorder="1" applyAlignment="1">
      <alignment horizontal="left"/>
    </xf>
    <xf numFmtId="0" fontId="37" fillId="3" borderId="0" xfId="0" applyNumberFormat="1" applyFont="1" applyFill="1" applyBorder="1" applyAlignment="1" applyProtection="1">
      <alignment horizontal="center"/>
      <protection locked="0"/>
    </xf>
    <xf numFmtId="11" fontId="37" fillId="3" borderId="0" xfId="0" applyNumberFormat="1" applyFont="1" applyFill="1" applyBorder="1" applyAlignment="1">
      <alignment horizontal="center"/>
    </xf>
    <xf numFmtId="0" fontId="20" fillId="3" borderId="0" xfId="0" applyNumberFormat="1" applyFont="1" applyFill="1" applyAlignment="1">
      <alignment horizontal="center"/>
    </xf>
    <xf numFmtId="0" fontId="37" fillId="3" borderId="0" xfId="0" applyNumberFormat="1" applyFont="1" applyFill="1" applyBorder="1" applyAlignment="1">
      <alignment horizontal="center"/>
    </xf>
    <xf numFmtId="0" fontId="37" fillId="3" borderId="0" xfId="0" applyFont="1" applyFill="1" applyBorder="1" applyAlignment="1">
      <alignment horizontal="center"/>
    </xf>
    <xf numFmtId="0" fontId="37" fillId="3" borderId="0" xfId="0" applyFont="1" applyFill="1" applyBorder="1" applyAlignment="1" applyProtection="1">
      <alignment horizontal="center"/>
      <protection locked="0"/>
    </xf>
    <xf numFmtId="0" fontId="37" fillId="3" borderId="0" xfId="0" applyNumberFormat="1" applyFont="1" applyFill="1" applyBorder="1" applyAlignment="1">
      <alignment horizontal="left"/>
    </xf>
    <xf numFmtId="0" fontId="20" fillId="3" borderId="0" xfId="0" applyNumberFormat="1" applyFont="1" applyFill="1" applyBorder="1" applyAlignment="1">
      <alignment horizontal="center"/>
    </xf>
    <xf numFmtId="0" fontId="37" fillId="3" borderId="0" xfId="0" applyNumberFormat="1" applyFont="1" applyFill="1" applyBorder="1" applyAlignment="1">
      <alignment horizontal="center" wrapText="1"/>
    </xf>
    <xf numFmtId="0" fontId="37" fillId="3" borderId="0" xfId="0" applyFont="1" applyFill="1" applyBorder="1" applyAlignment="1">
      <alignment horizontal="center" wrapText="1"/>
    </xf>
    <xf numFmtId="0" fontId="20" fillId="3" borderId="0" xfId="0" applyFont="1" applyFill="1" applyBorder="1" applyAlignment="1">
      <alignment horizontal="center" wrapText="1"/>
    </xf>
    <xf numFmtId="11" fontId="20" fillId="3" borderId="0" xfId="0" applyNumberFormat="1" applyFont="1" applyFill="1" applyBorder="1" applyAlignment="1">
      <alignment horizontal="center" wrapText="1"/>
    </xf>
    <xf numFmtId="16" fontId="37" fillId="3" borderId="0" xfId="0" applyNumberFormat="1" applyFont="1" applyFill="1" applyBorder="1" applyAlignment="1">
      <alignment horizontal="left"/>
    </xf>
    <xf numFmtId="167" fontId="20" fillId="3" borderId="0" xfId="0" applyNumberFormat="1" applyFont="1" applyFill="1" applyBorder="1" applyAlignment="1">
      <alignment horizontal="center"/>
    </xf>
    <xf numFmtId="166" fontId="20" fillId="3" borderId="0" xfId="0" applyNumberFormat="1" applyFont="1" applyFill="1" applyBorder="1" applyAlignment="1">
      <alignment horizontal="center"/>
    </xf>
    <xf numFmtId="0" fontId="37" fillId="3" borderId="0" xfId="0" applyFont="1" applyFill="1" applyAlignment="1">
      <alignment horizontal="left"/>
    </xf>
    <xf numFmtId="0" fontId="37" fillId="3" borderId="0" xfId="0" applyNumberFormat="1" applyFont="1" applyFill="1" applyAlignment="1">
      <alignment horizontal="center"/>
    </xf>
    <xf numFmtId="0" fontId="37" fillId="3" borderId="0" xfId="0" applyFont="1" applyFill="1" applyAlignment="1">
      <alignment horizontal="center"/>
    </xf>
    <xf numFmtId="11" fontId="37" fillId="3" borderId="0" xfId="0" applyNumberFormat="1" applyFont="1" applyFill="1" applyAlignment="1">
      <alignment horizontal="center"/>
    </xf>
    <xf numFmtId="0" fontId="24" fillId="0" borderId="9" xfId="0" applyFont="1" applyBorder="1" applyAlignment="1">
      <alignment horizontal="center" vertical="center"/>
    </xf>
    <xf numFmtId="0" fontId="24" fillId="0" borderId="8" xfId="0" applyFont="1" applyBorder="1" applyAlignment="1">
      <alignment horizontal="center" vertical="center"/>
    </xf>
    <xf numFmtId="0" fontId="24" fillId="0" borderId="10" xfId="0" applyFont="1" applyBorder="1" applyAlignment="1">
      <alignment horizontal="center" vertical="center"/>
    </xf>
    <xf numFmtId="0" fontId="24" fillId="0" borderId="2" xfId="0" applyFont="1" applyBorder="1" applyAlignment="1">
      <alignment horizontal="center" vertical="center"/>
    </xf>
    <xf numFmtId="0" fontId="24" fillId="0" borderId="1" xfId="0" applyFont="1" applyBorder="1" applyAlignment="1">
      <alignment horizontal="center" vertical="center"/>
    </xf>
    <xf numFmtId="0" fontId="24" fillId="0" borderId="3" xfId="0" applyFont="1" applyBorder="1" applyAlignment="1">
      <alignment horizontal="center" vertical="center"/>
    </xf>
    <xf numFmtId="0" fontId="25" fillId="2" borderId="11" xfId="0" applyFont="1" applyFill="1" applyBorder="1" applyAlignment="1">
      <alignment horizontal="center" vertical="center"/>
    </xf>
    <xf numFmtId="0" fontId="25" fillId="2" borderId="12" xfId="0" applyFont="1" applyFill="1" applyBorder="1" applyAlignment="1">
      <alignment horizontal="center" vertical="center"/>
    </xf>
    <xf numFmtId="0" fontId="2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1" xfId="0" applyFont="1" applyBorder="1" applyAlignment="1">
      <alignment horizontal="center" vertical="center" wrapText="1"/>
    </xf>
    <xf numFmtId="0" fontId="23" fillId="0" borderId="3" xfId="0" applyFont="1" applyBorder="1" applyAlignment="1">
      <alignment horizontal="center" vertical="center" wrapText="1"/>
    </xf>
    <xf numFmtId="0" fontId="20" fillId="3" borderId="0" xfId="0" applyFont="1" applyFill="1" applyAlignment="1">
      <alignment horizontal="left"/>
    </xf>
    <xf numFmtId="0" fontId="14" fillId="3" borderId="7" xfId="0" applyFont="1" applyFill="1" applyBorder="1" applyProtection="1">
      <protection locked="0"/>
    </xf>
    <xf numFmtId="0" fontId="14" fillId="3" borderId="11" xfId="0" applyFont="1" applyFill="1" applyBorder="1"/>
    <xf numFmtId="0" fontId="14" fillId="3" borderId="8" xfId="0" applyFont="1" applyFill="1" applyBorder="1"/>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7" xfId="0" applyFont="1" applyFill="1" applyBorder="1"/>
    <xf numFmtId="0" fontId="14" fillId="3" borderId="4" xfId="0" applyFont="1" applyFill="1" applyBorder="1"/>
    <xf numFmtId="0" fontId="14" fillId="3" borderId="5" xfId="0" applyFont="1" applyFill="1" applyBorder="1"/>
    <xf numFmtId="0" fontId="14" fillId="3" borderId="6" xfId="0" applyFont="1" applyFill="1" applyBorder="1"/>
    <xf numFmtId="0" fontId="14" fillId="3" borderId="15" xfId="0" applyFont="1" applyFill="1" applyBorder="1"/>
  </cellXfs>
  <cellStyles count="2">
    <cellStyle name="Normal" xfId="0" builtinId="0"/>
    <cellStyle name="Normal_CommandLineGenerator" xfId="1"/>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6D6D6D"/>
      <color rgb="FF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Illumination and Photoconductance</a:t>
            </a: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Calc!$E$9:$E$133</c:f>
              <c:numCache>
                <c:formatCode>0.00</c:formatCode>
                <c:ptCount val="125"/>
                <c:pt idx="0">
                  <c:v>34.563340310945975</c:v>
                </c:pt>
                <c:pt idx="1">
                  <c:v>51.80994769541865</c:v>
                </c:pt>
                <c:pt idx="2">
                  <c:v>58.344070860287893</c:v>
                </c:pt>
                <c:pt idx="3">
                  <c:v>59.794282272230511</c:v>
                </c:pt>
                <c:pt idx="4">
                  <c:v>58.329152553927329</c:v>
                </c:pt>
                <c:pt idx="5">
                  <c:v>55.658870736445238</c:v>
                </c:pt>
                <c:pt idx="6">
                  <c:v>52.476045323365028</c:v>
                </c:pt>
                <c:pt idx="7">
                  <c:v>49.38472519070028</c:v>
                </c:pt>
                <c:pt idx="8">
                  <c:v>46.484492408934287</c:v>
                </c:pt>
                <c:pt idx="9">
                  <c:v>43.73325264865472</c:v>
                </c:pt>
                <c:pt idx="10">
                  <c:v>41.167969102054336</c:v>
                </c:pt>
                <c:pt idx="11">
                  <c:v>38.756144566742606</c:v>
                </c:pt>
                <c:pt idx="12">
                  <c:v>36.490937526426777</c:v>
                </c:pt>
                <c:pt idx="13">
                  <c:v>34.384320634619158</c:v>
                </c:pt>
                <c:pt idx="14">
                  <c:v>32.411398373698916</c:v>
                </c:pt>
                <c:pt idx="15">
                  <c:v>30.553356573861016</c:v>
                </c:pt>
                <c:pt idx="16">
                  <c:v>28.811715572059391</c:v>
                </c:pt>
                <c:pt idx="17">
                  <c:v>27.170321788158411</c:v>
                </c:pt>
                <c:pt idx="18">
                  <c:v>25.627084758846383</c:v>
                </c:pt>
                <c:pt idx="19">
                  <c:v>24.183904905315742</c:v>
                </c:pt>
                <c:pt idx="20">
                  <c:v>22.830519953127386</c:v>
                </c:pt>
                <c:pt idx="21">
                  <c:v>21.560183407048171</c:v>
                </c:pt>
                <c:pt idx="22">
                  <c:v>20.372990288137732</c:v>
                </c:pt>
                <c:pt idx="23">
                  <c:v>19.248130984338967</c:v>
                </c:pt>
                <c:pt idx="24">
                  <c:v>18.196152833269856</c:v>
                </c:pt>
                <c:pt idx="25">
                  <c:v>17.211069508174248</c:v>
                </c:pt>
                <c:pt idx="26">
                  <c:v>16.286514598057504</c:v>
                </c:pt>
                <c:pt idx="27">
                  <c:v>15.410040344109218</c:v>
                </c:pt>
                <c:pt idx="28">
                  <c:v>14.563972829239795</c:v>
                </c:pt>
                <c:pt idx="29">
                  <c:v>13.789456172265329</c:v>
                </c:pt>
                <c:pt idx="30">
                  <c:v>13.060644644968779</c:v>
                </c:pt>
                <c:pt idx="31">
                  <c:v>12.376683057813558</c:v>
                </c:pt>
                <c:pt idx="32">
                  <c:v>11.734625757951397</c:v>
                </c:pt>
                <c:pt idx="33">
                  <c:v>11.126871060612579</c:v>
                </c:pt>
                <c:pt idx="34">
                  <c:v>10.552848839439381</c:v>
                </c:pt>
                <c:pt idx="35">
                  <c:v>10.011133778537474</c:v>
                </c:pt>
                <c:pt idx="36">
                  <c:v>9.4998824693502062</c:v>
                </c:pt>
                <c:pt idx="37">
                  <c:v>9.0223731384345154</c:v>
                </c:pt>
                <c:pt idx="38">
                  <c:v>8.563221876237689</c:v>
                </c:pt>
                <c:pt idx="39">
                  <c:v>8.1300588738473323</c:v>
                </c:pt>
                <c:pt idx="40">
                  <c:v>7.7213923006273841</c:v>
                </c:pt>
                <c:pt idx="41">
                  <c:v>7.3377827808296159</c:v>
                </c:pt>
                <c:pt idx="42">
                  <c:v>6.9724553129030129</c:v>
                </c:pt>
                <c:pt idx="43">
                  <c:v>6.6302274645703863</c:v>
                </c:pt>
                <c:pt idx="44">
                  <c:v>6.3040581753137843</c:v>
                </c:pt>
                <c:pt idx="45">
                  <c:v>5.9980238485909698</c:v>
                </c:pt>
                <c:pt idx="46">
                  <c:v>5.7053494828509308</c:v>
                </c:pt>
                <c:pt idx="47">
                  <c:v>5.4261396012592522</c:v>
                </c:pt>
                <c:pt idx="48">
                  <c:v>5.1611163638690565</c:v>
                </c:pt>
                <c:pt idx="49">
                  <c:v>4.9141946383367472</c:v>
                </c:pt>
                <c:pt idx="50">
                  <c:v>4.6762714071505895</c:v>
                </c:pt>
                <c:pt idx="51">
                  <c:v>4.4526393433314988</c:v>
                </c:pt>
                <c:pt idx="52">
                  <c:v>4.2384618749447434</c:v>
                </c:pt>
                <c:pt idx="53">
                  <c:v>4.0354303768515836</c:v>
                </c:pt>
                <c:pt idx="54">
                  <c:v>3.8448371354628716</c:v>
                </c:pt>
                <c:pt idx="55">
                  <c:v>3.6585008375452017</c:v>
                </c:pt>
                <c:pt idx="56">
                  <c:v>3.4854389816566482</c:v>
                </c:pt>
                <c:pt idx="57">
                  <c:v>3.3192471483787265</c:v>
                </c:pt>
                <c:pt idx="58">
                  <c:v>3.1599253377114351</c:v>
                </c:pt>
                <c:pt idx="59">
                  <c:v>3.0123766363312425</c:v>
                </c:pt>
                <c:pt idx="60">
                  <c:v>2.8686382794418699</c:v>
                </c:pt>
                <c:pt idx="61">
                  <c:v>2.7275985206457465</c:v>
                </c:pt>
                <c:pt idx="62">
                  <c:v>2.5959183362223359</c:v>
                </c:pt>
                <c:pt idx="63">
                  <c:v>2.4716687986613235</c:v>
                </c:pt>
                <c:pt idx="64">
                  <c:v>2.3565127765060838</c:v>
                </c:pt>
                <c:pt idx="65">
                  <c:v>2.2446919935435576</c:v>
                </c:pt>
                <c:pt idx="66">
                  <c:v>2.1400262963705265</c:v>
                </c:pt>
                <c:pt idx="67">
                  <c:v>2.0371184888004925</c:v>
                </c:pt>
                <c:pt idx="68">
                  <c:v>1.939028248953266</c:v>
                </c:pt>
                <c:pt idx="69">
                  <c:v>1.8484636770280587</c:v>
                </c:pt>
                <c:pt idx="70">
                  <c:v>1.761604926428088</c:v>
                </c:pt>
                <c:pt idx="71">
                  <c:v>1.6790221235110832</c:v>
                </c:pt>
                <c:pt idx="72">
                  <c:v>1.6022831157607971</c:v>
                </c:pt>
                <c:pt idx="73">
                  <c:v>1.5250785048183659</c:v>
                </c:pt>
                <c:pt idx="74">
                  <c:v>1.4536226679830331</c:v>
                </c:pt>
                <c:pt idx="75">
                  <c:v>1.3815206879422741</c:v>
                </c:pt>
                <c:pt idx="76">
                  <c:v>1.3171249158368152</c:v>
                </c:pt>
                <c:pt idx="77">
                  <c:v>1.2521685194795895</c:v>
                </c:pt>
                <c:pt idx="78">
                  <c:v>1.1912980286860866</c:v>
                </c:pt>
                <c:pt idx="79">
                  <c:v>1.1343234013370629</c:v>
                </c:pt>
                <c:pt idx="80">
                  <c:v>1.0812446374325191</c:v>
                </c:pt>
                <c:pt idx="81">
                  <c:v>1.0293726409851676</c:v>
                </c:pt>
                <c:pt idx="82">
                  <c:v>0.9782418088028636</c:v>
                </c:pt>
                <c:pt idx="83">
                  <c:v>0.93063815835370778</c:v>
                </c:pt>
                <c:pt idx="84">
                  <c:v>0.88646856899927129</c:v>
                </c:pt>
                <c:pt idx="85">
                  <c:v>0.84378320859612188</c:v>
                </c:pt>
                <c:pt idx="86">
                  <c:v>0.80351043289676127</c:v>
                </c:pt>
                <c:pt idx="87">
                  <c:v>0.76128972547516094</c:v>
                </c:pt>
                <c:pt idx="88">
                  <c:v>0.72472847236461424</c:v>
                </c:pt>
                <c:pt idx="89">
                  <c:v>0.6889102839403074</c:v>
                </c:pt>
                <c:pt idx="90">
                  <c:v>0.65429791276259675</c:v>
                </c:pt>
                <c:pt idx="91">
                  <c:v>0.62117072074676949</c:v>
                </c:pt>
                <c:pt idx="92">
                  <c:v>0.58887781363441849</c:v>
                </c:pt>
                <c:pt idx="93">
                  <c:v>0.55918373250271425</c:v>
                </c:pt>
                <c:pt idx="94">
                  <c:v>0.53375894757980191</c:v>
                </c:pt>
                <c:pt idx="95">
                  <c:v>0.50480698092374132</c:v>
                </c:pt>
                <c:pt idx="96">
                  <c:v>0.4778970168389457</c:v>
                </c:pt>
                <c:pt idx="97">
                  <c:v>0.45516227811391674</c:v>
                </c:pt>
                <c:pt idx="98">
                  <c:v>0.4318707159795061</c:v>
                </c:pt>
                <c:pt idx="99">
                  <c:v>0.40681651318911738</c:v>
                </c:pt>
                <c:pt idx="100">
                  <c:v>0.38751488534821155</c:v>
                </c:pt>
                <c:pt idx="101">
                  <c:v>0.36440956449065892</c:v>
                </c:pt>
                <c:pt idx="102">
                  <c:v>0.34659311581163638</c:v>
                </c:pt>
                <c:pt idx="103">
                  <c:v>0.32422990942972729</c:v>
                </c:pt>
                <c:pt idx="104">
                  <c:v>0.30836234268354085</c:v>
                </c:pt>
                <c:pt idx="105">
                  <c:v>0.29258694636518712</c:v>
                </c:pt>
                <c:pt idx="106">
                  <c:v>0.27560573280023715</c:v>
                </c:pt>
                <c:pt idx="107">
                  <c:v>0.25880981030154904</c:v>
                </c:pt>
                <c:pt idx="108">
                  <c:v>0.24257071121224263</c:v>
                </c:pt>
                <c:pt idx="109">
                  <c:v>0.22976567321765559</c:v>
                </c:pt>
                <c:pt idx="110">
                  <c:v>0.21640286160309058</c:v>
                </c:pt>
                <c:pt idx="111">
                  <c:v>0.20582416703543416</c:v>
                </c:pt>
                <c:pt idx="112">
                  <c:v>0.19051342369862936</c:v>
                </c:pt>
                <c:pt idx="113">
                  <c:v>0.17937790572159124</c:v>
                </c:pt>
                <c:pt idx="114">
                  <c:v>0.16907857306922189</c:v>
                </c:pt>
                <c:pt idx="115">
                  <c:v>0.16035563979597245</c:v>
                </c:pt>
                <c:pt idx="116">
                  <c:v>0.15116900375177034</c:v>
                </c:pt>
                <c:pt idx="117">
                  <c:v>0.14012660641316124</c:v>
                </c:pt>
                <c:pt idx="118">
                  <c:v>0.13279573166336608</c:v>
                </c:pt>
                <c:pt idx="119">
                  <c:v>0.12166021368632796</c:v>
                </c:pt>
                <c:pt idx="120">
                  <c:v>0.11674192364032153</c:v>
                </c:pt>
                <c:pt idx="121">
                  <c:v>0.10764840823454842</c:v>
                </c:pt>
                <c:pt idx="122">
                  <c:v>0.10031753348475331</c:v>
                </c:pt>
                <c:pt idx="123">
                  <c:v>9.5213952372485033E-2</c:v>
                </c:pt>
                <c:pt idx="124">
                  <c:v>8.5006790147948499E-2</c:v>
                </c:pt>
              </c:numCache>
            </c:numRef>
          </c:yVal>
          <c:smooth val="0"/>
        </c:ser>
        <c:dLbls>
          <c:showLegendKey val="0"/>
          <c:showVal val="0"/>
          <c:showCatName val="0"/>
          <c:showSerName val="0"/>
          <c:showPercent val="0"/>
          <c:showBubbleSize val="0"/>
        </c:dLbls>
        <c:axId val="142804096"/>
        <c:axId val="142806400"/>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Calc!$H$9:$H$133</c:f>
              <c:numCache>
                <c:formatCode>0.000E+00</c:formatCode>
                <c:ptCount val="125"/>
                <c:pt idx="0">
                  <c:v>3.7623701376639958E-2</c:v>
                </c:pt>
                <c:pt idx="1">
                  <c:v>0.12794702856749796</c:v>
                </c:pt>
                <c:pt idx="2">
                  <c:v>0.16034894430553615</c:v>
                </c:pt>
                <c:pt idx="3">
                  <c:v>0.16047695382993338</c:v>
                </c:pt>
                <c:pt idx="4">
                  <c:v>0.16047695382993338</c:v>
                </c:pt>
                <c:pt idx="5">
                  <c:v>0.16047695382993338</c:v>
                </c:pt>
                <c:pt idx="6">
                  <c:v>0.16047695382993338</c:v>
                </c:pt>
                <c:pt idx="7">
                  <c:v>0.16047695382993338</c:v>
                </c:pt>
                <c:pt idx="8">
                  <c:v>0.16047695382993338</c:v>
                </c:pt>
                <c:pt idx="9">
                  <c:v>0.16044915446589497</c:v>
                </c:pt>
                <c:pt idx="10">
                  <c:v>0.15758311553741483</c:v>
                </c:pt>
                <c:pt idx="11">
                  <c:v>0.15286804714146646</c:v>
                </c:pt>
                <c:pt idx="12">
                  <c:v>0.14818005594442629</c:v>
                </c:pt>
                <c:pt idx="13">
                  <c:v>0.14358069404990448</c:v>
                </c:pt>
                <c:pt idx="14">
                  <c:v>0.13905265330216221</c:v>
                </c:pt>
                <c:pt idx="15">
                  <c:v>0.13459165200069206</c:v>
                </c:pt>
                <c:pt idx="16">
                  <c:v>0.13019782529927582</c:v>
                </c:pt>
                <c:pt idx="17">
                  <c:v>0.12586696149690096</c:v>
                </c:pt>
                <c:pt idx="18">
                  <c:v>0.12163120308349919</c:v>
                </c:pt>
                <c:pt idx="19">
                  <c:v>0.11743961846327021</c:v>
                </c:pt>
                <c:pt idx="20">
                  <c:v>0.11337030410704722</c:v>
                </c:pt>
                <c:pt idx="21">
                  <c:v>0.10936580612362906</c:v>
                </c:pt>
                <c:pt idx="22">
                  <c:v>0.10542069111156034</c:v>
                </c:pt>
                <c:pt idx="23">
                  <c:v>0.10157218584606729</c:v>
                </c:pt>
                <c:pt idx="24">
                  <c:v>9.7790750065402887E-2</c:v>
                </c:pt>
                <c:pt idx="25">
                  <c:v>9.4112333612592705E-2</c:v>
                </c:pt>
                <c:pt idx="26">
                  <c:v>9.0520838680453311E-2</c:v>
                </c:pt>
                <c:pt idx="27">
                  <c:v>8.7002957544078593E-2</c:v>
                </c:pt>
                <c:pt idx="28">
                  <c:v>8.3598792298167052E-2</c:v>
                </c:pt>
                <c:pt idx="29">
                  <c:v>8.0273333798463048E-2</c:v>
                </c:pt>
                <c:pt idx="30">
                  <c:v>7.703209169036862E-2</c:v>
                </c:pt>
                <c:pt idx="31">
                  <c:v>7.3860358921942509E-2</c:v>
                </c:pt>
                <c:pt idx="32">
                  <c:v>7.0803918845370489E-2</c:v>
                </c:pt>
                <c:pt idx="33">
                  <c:v>6.7794747725534038E-2</c:v>
                </c:pt>
                <c:pt idx="34">
                  <c:v>6.4888104418057105E-2</c:v>
                </c:pt>
                <c:pt idx="35">
                  <c:v>6.2056656885598166E-2</c:v>
                </c:pt>
                <c:pt idx="36">
                  <c:v>5.9299580686801912E-2</c:v>
                </c:pt>
                <c:pt idx="37">
                  <c:v>5.6630881975831576E-2</c:v>
                </c:pt>
                <c:pt idx="38">
                  <c:v>5.4032995242486906E-2</c:v>
                </c:pt>
                <c:pt idx="39">
                  <c:v>5.1528690112778421E-2</c:v>
                </c:pt>
                <c:pt idx="40">
                  <c:v>4.9097023246108547E-2</c:v>
                </c:pt>
                <c:pt idx="41">
                  <c:v>4.6771920268570362E-2</c:v>
                </c:pt>
                <c:pt idx="42">
                  <c:v>4.4500669873536229E-2</c:v>
                </c:pt>
                <c:pt idx="43">
                  <c:v>4.2337422222600687E-2</c:v>
                </c:pt>
                <c:pt idx="44">
                  <c:v>4.0229386145281522E-2</c:v>
                </c:pt>
                <c:pt idx="45">
                  <c:v>3.8210054699257402E-2</c:v>
                </c:pt>
                <c:pt idx="46">
                  <c:v>3.6256056535593689E-2</c:v>
                </c:pt>
                <c:pt idx="47">
                  <c:v>3.4367984211843401E-2</c:v>
                </c:pt>
                <c:pt idx="48">
                  <c:v>3.2569870976088391E-2</c:v>
                </c:pt>
                <c:pt idx="49">
                  <c:v>3.0829569389971702E-2</c:v>
                </c:pt>
                <c:pt idx="50">
                  <c:v>2.9165839590808991E-2</c:v>
                </c:pt>
                <c:pt idx="51">
                  <c:v>2.7555316175795118E-2</c:v>
                </c:pt>
                <c:pt idx="52">
                  <c:v>2.6027314242465412E-2</c:v>
                </c:pt>
                <c:pt idx="53">
                  <c:v>2.4533312882107319E-2</c:v>
                </c:pt>
                <c:pt idx="54">
                  <c:v>2.3119512265683227E-2</c:v>
                </c:pt>
                <c:pt idx="55">
                  <c:v>2.1783308635488927E-2</c:v>
                </c:pt>
                <c:pt idx="56">
                  <c:v>2.0490631696052492E-2</c:v>
                </c:pt>
                <c:pt idx="57">
                  <c:v>1.9248452504436863E-2</c:v>
                </c:pt>
                <c:pt idx="58">
                  <c:v>1.808275610436379E-2</c:v>
                </c:pt>
                <c:pt idx="59">
                  <c:v>1.695634197048565E-2</c:v>
                </c:pt>
                <c:pt idx="60">
                  <c:v>1.5889697096773965E-2</c:v>
                </c:pt>
                <c:pt idx="61">
                  <c:v>1.4861899302403985E-2</c:v>
                </c:pt>
                <c:pt idx="62">
                  <c:v>1.3899344918976344E-2</c:v>
                </c:pt>
                <c:pt idx="63">
                  <c:v>1.2980363571785912E-2</c:v>
                </c:pt>
                <c:pt idx="64">
                  <c:v>1.212217094984145E-2</c:v>
                </c:pt>
                <c:pt idx="65">
                  <c:v>1.1288141965180402E-2</c:v>
                </c:pt>
                <c:pt idx="66">
                  <c:v>1.0515542038284177E-2</c:v>
                </c:pt>
                <c:pt idx="67">
                  <c:v>9.7691404159170325E-3</c:v>
                </c:pt>
                <c:pt idx="68">
                  <c:v>9.0645310367082274E-3</c:v>
                </c:pt>
                <c:pt idx="69">
                  <c:v>8.4096747998885189E-3</c:v>
                </c:pt>
                <c:pt idx="70">
                  <c:v>7.7973093794302985E-3</c:v>
                </c:pt>
                <c:pt idx="71">
                  <c:v>7.21233945960029E-3</c:v>
                </c:pt>
                <c:pt idx="72">
                  <c:v>6.6644354712183211E-3</c:v>
                </c:pt>
                <c:pt idx="73">
                  <c:v>6.1447282911704891E-3</c:v>
                </c:pt>
                <c:pt idx="74">
                  <c:v>5.6729506226714972E-3</c:v>
                </c:pt>
                <c:pt idx="75">
                  <c:v>5.2225399262663119E-3</c:v>
                </c:pt>
                <c:pt idx="76">
                  <c:v>4.8139775091890231E-3</c:v>
                </c:pt>
                <c:pt idx="77">
                  <c:v>4.4143441364081423E-3</c:v>
                </c:pt>
                <c:pt idx="78">
                  <c:v>4.0452035310920287E-3</c:v>
                </c:pt>
                <c:pt idx="79">
                  <c:v>3.7145915446747356E-3</c:v>
                </c:pt>
                <c:pt idx="80">
                  <c:v>3.392693428678973E-3</c:v>
                </c:pt>
                <c:pt idx="81">
                  <c:v>3.0972777464413868E-3</c:v>
                </c:pt>
                <c:pt idx="82">
                  <c:v>2.835442314468424E-3</c:v>
                </c:pt>
                <c:pt idx="83">
                  <c:v>2.5861120599438708E-3</c:v>
                </c:pt>
                <c:pt idx="84">
                  <c:v>2.364633248374097E-3</c:v>
                </c:pt>
                <c:pt idx="85">
                  <c:v>2.149052109197391E-3</c:v>
                </c:pt>
                <c:pt idx="86">
                  <c:v>1.9526719487587586E-3</c:v>
                </c:pt>
                <c:pt idx="87">
                  <c:v>1.7702153823154643E-3</c:v>
                </c:pt>
                <c:pt idx="88">
                  <c:v>1.6129329957225314E-3</c:v>
                </c:pt>
                <c:pt idx="89">
                  <c:v>1.4526073455974411E-3</c:v>
                </c:pt>
                <c:pt idx="90">
                  <c:v>1.314367713386555E-3</c:v>
                </c:pt>
                <c:pt idx="91">
                  <c:v>1.1884236842142348E-3</c:v>
                </c:pt>
                <c:pt idx="92">
                  <c:v>1.085280920267143E-3</c:v>
                </c:pt>
                <c:pt idx="93">
                  <c:v>9.8083541854054011E-4</c:v>
                </c:pt>
                <c:pt idx="94">
                  <c:v>8.8019658768995028E-4</c:v>
                </c:pt>
                <c:pt idx="95">
                  <c:v>7.9578174520433635E-4</c:v>
                </c:pt>
                <c:pt idx="96">
                  <c:v>7.2057048998887437E-4</c:v>
                </c:pt>
                <c:pt idx="97">
                  <c:v>6.4960243350225058E-4</c:v>
                </c:pt>
                <c:pt idx="98">
                  <c:v>5.8958703500318864E-4</c:v>
                </c:pt>
                <c:pt idx="99">
                  <c:v>5.3541804945997189E-4</c:v>
                </c:pt>
                <c:pt idx="100">
                  <c:v>4.7424333984739941E-4</c:v>
                </c:pt>
                <c:pt idx="101">
                  <c:v>4.3468014990826441E-4</c:v>
                </c:pt>
                <c:pt idx="102">
                  <c:v>3.8854698300320317E-4</c:v>
                </c:pt>
                <c:pt idx="103">
                  <c:v>3.3628720424694857E-4</c:v>
                </c:pt>
                <c:pt idx="104">
                  <c:v>3.1906120527896119E-4</c:v>
                </c:pt>
                <c:pt idx="105">
                  <c:v>2.780425698841061E-4</c:v>
                </c:pt>
                <c:pt idx="106">
                  <c:v>2.5366607834910633E-4</c:v>
                </c:pt>
                <c:pt idx="107">
                  <c:v>2.25495274047487E-4</c:v>
                </c:pt>
                <c:pt idx="108">
                  <c:v>2.003903878666155E-4</c:v>
                </c:pt>
                <c:pt idx="109">
                  <c:v>1.7937258152462068E-4</c:v>
                </c:pt>
                <c:pt idx="110">
                  <c:v>1.6886399227570605E-4</c:v>
                </c:pt>
                <c:pt idx="111">
                  <c:v>1.5237138366420988E-4</c:v>
                </c:pt>
                <c:pt idx="112">
                  <c:v>1.3368989101104727E-4</c:v>
                </c:pt>
                <c:pt idx="113">
                  <c:v>1.1530076589296757E-4</c:v>
                </c:pt>
                <c:pt idx="114">
                  <c:v>1.0741951616613857E-4</c:v>
                </c:pt>
                <c:pt idx="115">
                  <c:v>1.03917090410105E-4</c:v>
                </c:pt>
                <c:pt idx="116">
                  <c:v>8.509034095371959E-5</c:v>
                </c:pt>
                <c:pt idx="117">
                  <c:v>6.8161541347207255E-5</c:v>
                </c:pt>
                <c:pt idx="118">
                  <c:v>7.0788415696994636E-5</c:v>
                </c:pt>
                <c:pt idx="119">
                  <c:v>6.9328973794002477E-5</c:v>
                </c:pt>
                <c:pt idx="120">
                  <c:v>6.0426812533216634E-5</c:v>
                </c:pt>
                <c:pt idx="121">
                  <c:v>4.6562790831898224E-5</c:v>
                </c:pt>
                <c:pt idx="122">
                  <c:v>4.4081830431192195E-5</c:v>
                </c:pt>
                <c:pt idx="123">
                  <c:v>3.5034042905149679E-5</c:v>
                </c:pt>
                <c:pt idx="124">
                  <c:v>3.6931283062442005E-5</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8.499E-4</c:v>
                </c:pt>
              </c:numCache>
            </c:numRef>
          </c:xVal>
          <c:yVal>
            <c:numRef>
              <c:f>[0]!FirstPoint</c:f>
              <c:numCache>
                <c:formatCode>0.00E+00</c:formatCode>
                <c:ptCount val="1"/>
                <c:pt idx="0">
                  <c:v>0.16047695382993338</c:v>
                </c:pt>
              </c:numCache>
            </c:numRef>
          </c:yVal>
          <c:smooth val="0"/>
        </c:ser>
        <c:dLbls>
          <c:showLegendKey val="0"/>
          <c:showVal val="0"/>
          <c:showCatName val="0"/>
          <c:showSerName val="0"/>
          <c:showPercent val="0"/>
          <c:showBubbleSize val="0"/>
        </c:dLbls>
        <c:axId val="142818688"/>
        <c:axId val="142816768"/>
      </c:scatterChart>
      <c:valAx>
        <c:axId val="142804096"/>
        <c:scaling>
          <c:orientation val="minMax"/>
        </c:scaling>
        <c:delete val="0"/>
        <c:axPos val="b"/>
        <c:majorGridlines/>
        <c:title>
          <c:tx>
            <c:rich>
              <a:bodyPr/>
              <a:lstStyle/>
              <a:p>
                <a:pPr>
                  <a:defRPr sz="1200"/>
                </a:pPr>
                <a:r>
                  <a:rPr lang="en-US" sz="1200"/>
                  <a:t>Time (seconds)</a:t>
                </a:r>
              </a:p>
            </c:rich>
          </c:tx>
          <c:layout/>
          <c:overlay val="0"/>
        </c:title>
        <c:numFmt formatCode="0.0E+00" sourceLinked="0"/>
        <c:majorTickMark val="out"/>
        <c:minorTickMark val="none"/>
        <c:tickLblPos val="nextTo"/>
        <c:txPr>
          <a:bodyPr/>
          <a:lstStyle/>
          <a:p>
            <a:pPr>
              <a:defRPr b="1"/>
            </a:pPr>
            <a:endParaRPr lang="en-US"/>
          </a:p>
        </c:txPr>
        <c:crossAx val="142806400"/>
        <c:crosses val="autoZero"/>
        <c:crossBetween val="midCat"/>
      </c:valAx>
      <c:valAx>
        <c:axId val="142806400"/>
        <c:scaling>
          <c:orientation val="minMax"/>
          <c:min val="0"/>
        </c:scaling>
        <c:delete val="0"/>
        <c:axPos val="l"/>
        <c:majorGridlines/>
        <c:title>
          <c:tx>
            <c:rich>
              <a:bodyPr rot="-5400000" vert="horz"/>
              <a:lstStyle/>
              <a:p>
                <a:pPr>
                  <a:defRPr sz="1200">
                    <a:solidFill>
                      <a:srgbClr val="2004EC"/>
                    </a:solidFill>
                  </a:defRPr>
                </a:pPr>
                <a:r>
                  <a:rPr lang="en-US" sz="1200">
                    <a:solidFill>
                      <a:srgbClr val="2004EC"/>
                    </a:solidFill>
                  </a:rPr>
                  <a:t>Illumination (suns)</a:t>
                </a:r>
              </a:p>
            </c:rich>
          </c:tx>
          <c:layout/>
          <c:overlay val="0"/>
        </c:title>
        <c:numFmt formatCode="0" sourceLinked="0"/>
        <c:majorTickMark val="out"/>
        <c:minorTickMark val="none"/>
        <c:tickLblPos val="nextTo"/>
        <c:spPr>
          <a:ln>
            <a:solidFill>
              <a:srgbClr val="2004EC"/>
            </a:solidFill>
          </a:ln>
        </c:spPr>
        <c:txPr>
          <a:bodyPr/>
          <a:lstStyle/>
          <a:p>
            <a:pPr>
              <a:defRPr b="1">
                <a:solidFill>
                  <a:srgbClr val="2004EC"/>
                </a:solidFill>
              </a:defRPr>
            </a:pPr>
            <a:endParaRPr lang="en-US"/>
          </a:p>
        </c:txPr>
        <c:crossAx val="142804096"/>
        <c:crosses val="autoZero"/>
        <c:crossBetween val="midCat"/>
      </c:valAx>
      <c:valAx>
        <c:axId val="142816768"/>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b="1">
                <a:solidFill>
                  <a:srgbClr val="FF0000"/>
                </a:solidFill>
              </a:defRPr>
            </a:pPr>
            <a:endParaRPr lang="en-US"/>
          </a:p>
        </c:txPr>
        <c:crossAx val="142818688"/>
        <c:crosses val="max"/>
        <c:crossBetween val="midCat"/>
      </c:valAx>
      <c:valAx>
        <c:axId val="142818688"/>
        <c:scaling>
          <c:orientation val="minMax"/>
        </c:scaling>
        <c:delete val="1"/>
        <c:axPos val="b"/>
        <c:numFmt formatCode="0.00E+00" sourceLinked="1"/>
        <c:majorTickMark val="out"/>
        <c:minorTickMark val="none"/>
        <c:tickLblPos val="none"/>
        <c:crossAx val="142816768"/>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Inverse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5.2026036746357208E+16</c:v>
                </c:pt>
                <c:pt idx="1">
                  <c:v>5.2026036746357208E+16</c:v>
                </c:pt>
                <c:pt idx="2">
                  <c:v>5.2026036746357208E+16</c:v>
                </c:pt>
                <c:pt idx="3">
                  <c:v>5.2013948081466216E+16</c:v>
                </c:pt>
                <c:pt idx="4">
                  <c:v>5.0773485096633512E+16</c:v>
                </c:pt>
                <c:pt idx="5">
                  <c:v>4.8757879264362536E+16</c:v>
                </c:pt>
                <c:pt idx="6">
                  <c:v>4.6784758491489496E+16</c:v>
                </c:pt>
                <c:pt idx="7">
                  <c:v>4.487878794563816E+16</c:v>
                </c:pt>
                <c:pt idx="8">
                  <c:v>4.3031153215258848E+16</c:v>
                </c:pt>
                <c:pt idx="9">
                  <c:v>4.1238707250754864E+16</c:v>
                </c:pt>
                <c:pt idx="10">
                  <c:v>3.950017372885296E+16</c:v>
                </c:pt>
                <c:pt idx="11">
                  <c:v>3.78126213718818E+16</c:v>
                </c:pt>
                <c:pt idx="12">
                  <c:v>3.6187091115367704E+16</c:v>
                </c:pt>
                <c:pt idx="13">
                  <c:v>3.4602750369678396E+16</c:v>
                </c:pt>
                <c:pt idx="14">
                  <c:v>3.3087633836506652E+16</c:v>
                </c:pt>
                <c:pt idx="15">
                  <c:v>3.1618728278715068E+16</c:v>
                </c:pt>
                <c:pt idx="16">
                  <c:v>3.0192975810282412E+16</c:v>
                </c:pt>
                <c:pt idx="17">
                  <c:v>2.8822536267712164E+16</c:v>
                </c:pt>
                <c:pt idx="18">
                  <c:v>2.7495567520674884E+16</c:v>
                </c:pt>
                <c:pt idx="19">
                  <c:v>2.6223350176377768E+16</c:v>
                </c:pt>
                <c:pt idx="20">
                  <c:v>2.4998869847838296E+16</c:v>
                </c:pt>
                <c:pt idx="21">
                  <c:v>2.3816397735887984E+16</c:v>
                </c:pt>
                <c:pt idx="22">
                  <c:v>2.2688066943653968E+16</c:v>
                </c:pt>
                <c:pt idx="23">
                  <c:v>2.1600930686647804E+16</c:v>
                </c:pt>
                <c:pt idx="24">
                  <c:v>2.0555686508262216E+16</c:v>
                </c:pt>
                <c:pt idx="25">
                  <c:v>1.9546577929605804E+16</c:v>
                </c:pt>
                <c:pt idx="26">
                  <c:v>1.8586990390344212E+16</c:v>
                </c:pt>
                <c:pt idx="27">
                  <c:v>1.7654557046110988E+16</c:v>
                </c:pt>
                <c:pt idx="28">
                  <c:v>1.6765499005896626E+16</c:v>
                </c:pt>
                <c:pt idx="29">
                  <c:v>1.591041447702518E+16</c:v>
                </c:pt>
                <c:pt idx="30">
                  <c:v>1.5088206084509412E+16</c:v>
                </c:pt>
                <c:pt idx="31">
                  <c:v>1.4302153920531412E+16</c:v>
                </c:pt>
                <c:pt idx="32">
                  <c:v>1.354623314631166E+16</c:v>
                </c:pt>
                <c:pt idx="33">
                  <c:v>1.2826218181369952E+16</c:v>
                </c:pt>
                <c:pt idx="34">
                  <c:v>1.2135253580488122E+16</c:v>
                </c:pt>
                <c:pt idx="35">
                  <c:v>1.148211116942456E+16</c:v>
                </c:pt>
                <c:pt idx="36">
                  <c:v>1.0851233229987238E+16</c:v>
                </c:pt>
                <c:pt idx="37">
                  <c:v>1.0256931427627252E+16</c:v>
                </c:pt>
                <c:pt idx="38">
                  <c:v>9683989797812950</c:v>
                </c:pt>
                <c:pt idx="39">
                  <c:v>9140908309771554</c:v>
                </c:pt>
                <c:pt idx="40">
                  <c:v>8620774946768362</c:v>
                </c:pt>
                <c:pt idx="41">
                  <c:v>8123234825620185</c:v>
                </c:pt>
                <c:pt idx="42">
                  <c:v>7654029768246220</c:v>
                </c:pt>
                <c:pt idx="43">
                  <c:v>7204231213323801</c:v>
                </c:pt>
                <c:pt idx="44">
                  <c:v>6778217281180770</c:v>
                </c:pt>
                <c:pt idx="45">
                  <c:v>6369566126721776</c:v>
                </c:pt>
                <c:pt idx="46">
                  <c:v>5985273503833316</c:v>
                </c:pt>
                <c:pt idx="47">
                  <c:v>5612771342035677</c:v>
                </c:pt>
                <c:pt idx="48">
                  <c:v>5263234749654164</c:v>
                </c:pt>
                <c:pt idx="49">
                  <c:v>4935554914535466</c:v>
                </c:pt>
                <c:pt idx="50">
                  <c:v>4621038939032045</c:v>
                </c:pt>
                <c:pt idx="51">
                  <c:v>4321134505446425</c:v>
                </c:pt>
                <c:pt idx="52">
                  <c:v>4041785753429148</c:v>
                </c:pt>
                <c:pt idx="53">
                  <c:v>3773790477286341.5</c:v>
                </c:pt>
                <c:pt idx="54">
                  <c:v>3521789677648033</c:v>
                </c:pt>
                <c:pt idx="55">
                  <c:v>3280616098459796</c:v>
                </c:pt>
                <c:pt idx="56">
                  <c:v>3056235735884297.5</c:v>
                </c:pt>
                <c:pt idx="57">
                  <c:v>2843367280130164</c:v>
                </c:pt>
                <c:pt idx="58">
                  <c:v>2645789041127380.5</c:v>
                </c:pt>
                <c:pt idx="59">
                  <c:v>2454907649110743</c:v>
                </c:pt>
                <c:pt idx="60">
                  <c:v>2279096217709575</c:v>
                </c:pt>
                <c:pt idx="61">
                  <c:v>2110183482339978.5</c:v>
                </c:pt>
                <c:pt idx="62">
                  <c:v>1951586799628186</c:v>
                </c:pt>
                <c:pt idx="63">
                  <c:v>1804948813713532</c:v>
                </c:pt>
                <c:pt idx="64">
                  <c:v>1668499854874733.7</c:v>
                </c:pt>
                <c:pt idx="65">
                  <c:v>1538775386370625.2</c:v>
                </c:pt>
                <c:pt idx="66">
                  <c:v>1417831418274960.7</c:v>
                </c:pt>
                <c:pt idx="67">
                  <c:v>1303623589639482.2</c:v>
                </c:pt>
                <c:pt idx="68">
                  <c:v>1200389928685442</c:v>
                </c:pt>
                <c:pt idx="69">
                  <c:v>1102233216331581.5</c:v>
                </c:pt>
                <c:pt idx="70">
                  <c:v>1013544112994347.6</c:v>
                </c:pt>
                <c:pt idx="71">
                  <c:v>927121933789796.75</c:v>
                </c:pt>
                <c:pt idx="72">
                  <c:v>847590918195712.37</c:v>
                </c:pt>
                <c:pt idx="73">
                  <c:v>776610257422666.37</c:v>
                </c:pt>
                <c:pt idx="74">
                  <c:v>707734020441370.12</c:v>
                </c:pt>
                <c:pt idx="75">
                  <c:v>644733768040229.75</c:v>
                </c:pt>
                <c:pt idx="76">
                  <c:v>589068337905270.12</c:v>
                </c:pt>
                <c:pt idx="77">
                  <c:v>536218500668563.62</c:v>
                </c:pt>
                <c:pt idx="78">
                  <c:v>489405479215103.75</c:v>
                </c:pt>
                <c:pt idx="79">
                  <c:v>443964099186424.87</c:v>
                </c:pt>
                <c:pt idx="80">
                  <c:v>402681757323470.44</c:v>
                </c:pt>
                <c:pt idx="81">
                  <c:v>364425959597825.56</c:v>
                </c:pt>
                <c:pt idx="82">
                  <c:v>331528780997945.56</c:v>
                </c:pt>
                <c:pt idx="83">
                  <c:v>298075132108584.37</c:v>
                </c:pt>
                <c:pt idx="84">
                  <c:v>269297908886361.12</c:v>
                </c:pt>
                <c:pt idx="85">
                  <c:v>243137722392296.69</c:v>
                </c:pt>
                <c:pt idx="86">
                  <c:v>221756416639188.34</c:v>
                </c:pt>
                <c:pt idx="87">
                  <c:v>200146207059703.28</c:v>
                </c:pt>
                <c:pt idx="88">
                  <c:v>179364762459111</c:v>
                </c:pt>
                <c:pt idx="89">
                  <c:v>161966290330959.31</c:v>
                </c:pt>
                <c:pt idx="90">
                  <c:v>146491290288118.47</c:v>
                </c:pt>
                <c:pt idx="91">
                  <c:v>131913501937820.28</c:v>
                </c:pt>
                <c:pt idx="92">
                  <c:v>119604808446187.81</c:v>
                </c:pt>
                <c:pt idx="93">
                  <c:v>108511133058881.77</c:v>
                </c:pt>
                <c:pt idx="94">
                  <c:v>96001934641095.437</c:v>
                </c:pt>
                <c:pt idx="95">
                  <c:v>87923388082664.016</c:v>
                </c:pt>
                <c:pt idx="96">
                  <c:v>78515324523758.891</c:v>
                </c:pt>
                <c:pt idx="97">
                  <c:v>67874460910863.133</c:v>
                </c:pt>
                <c:pt idx="98">
                  <c:v>64371082353262.195</c:v>
                </c:pt>
                <c:pt idx="99">
                  <c:v>56037485865647.883</c:v>
                </c:pt>
                <c:pt idx="100">
                  <c:v>51091088454249.281</c:v>
                </c:pt>
                <c:pt idx="101">
                  <c:v>45380771864236.062</c:v>
                </c:pt>
                <c:pt idx="102">
                  <c:v>40297685737087.211</c:v>
                </c:pt>
                <c:pt idx="103">
                  <c:v>36046570508861.305</c:v>
                </c:pt>
                <c:pt idx="104">
                  <c:v>33922677517466.73</c:v>
                </c:pt>
                <c:pt idx="105">
                  <c:v>30591615026106.937</c:v>
                </c:pt>
                <c:pt idx="106">
                  <c:v>26821974319084.117</c:v>
                </c:pt>
                <c:pt idx="107">
                  <c:v>23115236924667.164</c:v>
                </c:pt>
                <c:pt idx="108">
                  <c:v>21527861316623.66</c:v>
                </c:pt>
                <c:pt idx="109">
                  <c:v>20822687338503.367</c:v>
                </c:pt>
                <c:pt idx="110">
                  <c:v>17034975158253.322</c:v>
                </c:pt>
                <c:pt idx="111">
                  <c:v>13633537498870.896</c:v>
                </c:pt>
                <c:pt idx="112">
                  <c:v>14161049282395.039</c:v>
                </c:pt>
                <c:pt idx="113">
                  <c:v>13867959726404.762</c:v>
                </c:pt>
                <c:pt idx="114">
                  <c:v>12080971802786.779</c:v>
                </c:pt>
                <c:pt idx="115">
                  <c:v>9300794632949.9102</c:v>
                </c:pt>
              </c:numCache>
            </c:numRef>
          </c:xVal>
          <c:yVal>
            <c:numRef>
              <c:f>Calc!$S$15:$S$130</c:f>
              <c:numCache>
                <c:formatCode>0</c:formatCode>
                <c:ptCount val="116"/>
                <c:pt idx="0">
                  <c:v>3922.8770254564934</c:v>
                </c:pt>
                <c:pt idx="1">
                  <c:v>3427.5613976662398</c:v>
                </c:pt>
                <c:pt idx="2">
                  <c:v>3010.3459123799657</c:v>
                </c:pt>
                <c:pt idx="3">
                  <c:v>2674.1873745086577</c:v>
                </c:pt>
                <c:pt idx="4">
                  <c:v>2756.5176435758494</c:v>
                </c:pt>
                <c:pt idx="5">
                  <c:v>3060.3789577044386</c:v>
                </c:pt>
                <c:pt idx="6">
                  <c:v>3288.4466405568241</c:v>
                </c:pt>
                <c:pt idx="7">
                  <c:v>3468.0269484595906</c:v>
                </c:pt>
                <c:pt idx="8">
                  <c:v>3634.0214897737237</c:v>
                </c:pt>
                <c:pt idx="9">
                  <c:v>3787.1423032188982</c:v>
                </c:pt>
                <c:pt idx="10">
                  <c:v>3929.2904991638511</c:v>
                </c:pt>
                <c:pt idx="11">
                  <c:v>4060.6326555089063</c:v>
                </c:pt>
                <c:pt idx="12">
                  <c:v>4178.300427496366</c:v>
                </c:pt>
                <c:pt idx="13">
                  <c:v>4291.4922141266243</c:v>
                </c:pt>
                <c:pt idx="14">
                  <c:v>4392.4130009005885</c:v>
                </c:pt>
                <c:pt idx="15">
                  <c:v>4487.093476056134</c:v>
                </c:pt>
                <c:pt idx="16">
                  <c:v>4579.8345733565839</c:v>
                </c:pt>
                <c:pt idx="17">
                  <c:v>4661.0919131164437</c:v>
                </c:pt>
                <c:pt idx="18">
                  <c:v>4739.2035879021987</c:v>
                </c:pt>
                <c:pt idx="19">
                  <c:v>4811.775356970913</c:v>
                </c:pt>
                <c:pt idx="20">
                  <c:v>4879.4233124684561</c:v>
                </c:pt>
                <c:pt idx="21">
                  <c:v>4942.3669723811026</c:v>
                </c:pt>
                <c:pt idx="22">
                  <c:v>4990.939235785705</c:v>
                </c:pt>
                <c:pt idx="23">
                  <c:v>5045.9825635922916</c:v>
                </c:pt>
                <c:pt idx="24">
                  <c:v>5099.050705331797</c:v>
                </c:pt>
                <c:pt idx="25">
                  <c:v>5153.5067037770832</c:v>
                </c:pt>
                <c:pt idx="26">
                  <c:v>5203.8974174770938</c:v>
                </c:pt>
                <c:pt idx="27">
                  <c:v>5256.450099857846</c:v>
                </c:pt>
                <c:pt idx="28">
                  <c:v>5306.7489509826437</c:v>
                </c:pt>
                <c:pt idx="29">
                  <c:v>5356.7193887989442</c:v>
                </c:pt>
                <c:pt idx="30">
                  <c:v>5408.8861648705115</c:v>
                </c:pt>
                <c:pt idx="31">
                  <c:v>5463.1799141623515</c:v>
                </c:pt>
                <c:pt idx="32">
                  <c:v>5514.8673931267713</c:v>
                </c:pt>
                <c:pt idx="33">
                  <c:v>5565.4970891645044</c:v>
                </c:pt>
                <c:pt idx="34">
                  <c:v>5619.4631579108172</c:v>
                </c:pt>
                <c:pt idx="35">
                  <c:v>5672.7374121135008</c:v>
                </c:pt>
                <c:pt idx="36">
                  <c:v>5730.5695442693368</c:v>
                </c:pt>
                <c:pt idx="37">
                  <c:v>5789.250860843079</c:v>
                </c:pt>
                <c:pt idx="38">
                  <c:v>5851.8705359156202</c:v>
                </c:pt>
                <c:pt idx="39">
                  <c:v>5919.4658462814714</c:v>
                </c:pt>
                <c:pt idx="40">
                  <c:v>5987.698630056304</c:v>
                </c:pt>
                <c:pt idx="41">
                  <c:v>6059.7956309389428</c:v>
                </c:pt>
                <c:pt idx="42">
                  <c:v>6130.5358432457051</c:v>
                </c:pt>
                <c:pt idx="43">
                  <c:v>6213.8103741541981</c:v>
                </c:pt>
                <c:pt idx="44">
                  <c:v>6295.6506678635851</c:v>
                </c:pt>
                <c:pt idx="45">
                  <c:v>6389.6032012126525</c:v>
                </c:pt>
                <c:pt idx="46">
                  <c:v>6481.8905660920573</c:v>
                </c:pt>
                <c:pt idx="47">
                  <c:v>6586.3241075392079</c:v>
                </c:pt>
                <c:pt idx="48">
                  <c:v>6696.3323330270223</c:v>
                </c:pt>
                <c:pt idx="49">
                  <c:v>6797.9876275409461</c:v>
                </c:pt>
                <c:pt idx="50">
                  <c:v>6919.5400653315428</c:v>
                </c:pt>
                <c:pt idx="51">
                  <c:v>7050.0274960287743</c:v>
                </c:pt>
                <c:pt idx="52">
                  <c:v>7175.5793780174954</c:v>
                </c:pt>
                <c:pt idx="53">
                  <c:v>7325.9526944291802</c:v>
                </c:pt>
                <c:pt idx="54">
                  <c:v>7475.5252395600728</c:v>
                </c:pt>
                <c:pt idx="55">
                  <c:v>7628.5792410110162</c:v>
                </c:pt>
                <c:pt idx="56">
                  <c:v>7787.94419246712</c:v>
                </c:pt>
                <c:pt idx="57">
                  <c:v>7964.822802256308</c:v>
                </c:pt>
                <c:pt idx="58">
                  <c:v>8154.226438921356</c:v>
                </c:pt>
                <c:pt idx="59">
                  <c:v>8366.0400002300448</c:v>
                </c:pt>
                <c:pt idx="60">
                  <c:v>8586.5253609586653</c:v>
                </c:pt>
                <c:pt idx="61">
                  <c:v>8818.7700973483479</c:v>
                </c:pt>
                <c:pt idx="62">
                  <c:v>9065.972936475333</c:v>
                </c:pt>
                <c:pt idx="63">
                  <c:v>9329.588661969201</c:v>
                </c:pt>
                <c:pt idx="64">
                  <c:v>9604.1518729426934</c:v>
                </c:pt>
                <c:pt idx="65">
                  <c:v>9914.8746978758318</c:v>
                </c:pt>
                <c:pt idx="66">
                  <c:v>10252.161569085922</c:v>
                </c:pt>
                <c:pt idx="67">
                  <c:v>10594.976755862675</c:v>
                </c:pt>
                <c:pt idx="68">
                  <c:v>10943.01994291456</c:v>
                </c:pt>
                <c:pt idx="69">
                  <c:v>11308.691956813132</c:v>
                </c:pt>
                <c:pt idx="70">
                  <c:v>11710.257491189283</c:v>
                </c:pt>
                <c:pt idx="71">
                  <c:v>12149.180764755805</c:v>
                </c:pt>
                <c:pt idx="72">
                  <c:v>12625.339445774442</c:v>
                </c:pt>
                <c:pt idx="73">
                  <c:v>13093.402172108375</c:v>
                </c:pt>
                <c:pt idx="74">
                  <c:v>13663.419936843644</c:v>
                </c:pt>
                <c:pt idx="75">
                  <c:v>14250.729498201576</c:v>
                </c:pt>
                <c:pt idx="76">
                  <c:v>14781.184334471232</c:v>
                </c:pt>
                <c:pt idx="77">
                  <c:v>15415.439017957389</c:v>
                </c:pt>
                <c:pt idx="78">
                  <c:v>16063.134950991536</c:v>
                </c:pt>
                <c:pt idx="79">
                  <c:v>16826.939284074608</c:v>
                </c:pt>
                <c:pt idx="80">
                  <c:v>17630.664303695597</c:v>
                </c:pt>
                <c:pt idx="81">
                  <c:v>18426.051272009627</c:v>
                </c:pt>
                <c:pt idx="82">
                  <c:v>19244.415403368665</c:v>
                </c:pt>
                <c:pt idx="83">
                  <c:v>20306.697830189503</c:v>
                </c:pt>
                <c:pt idx="84">
                  <c:v>21291.690887408931</c:v>
                </c:pt>
                <c:pt idx="85">
                  <c:v>22317.908968066062</c:v>
                </c:pt>
                <c:pt idx="86">
                  <c:v>23162.093596818508</c:v>
                </c:pt>
                <c:pt idx="87">
                  <c:v>24334.518973677314</c:v>
                </c:pt>
                <c:pt idx="88">
                  <c:v>25881.899063585217</c:v>
                </c:pt>
                <c:pt idx="89">
                  <c:v>27051.068990561369</c:v>
                </c:pt>
                <c:pt idx="90">
                  <c:v>28241.026875000862</c:v>
                </c:pt>
                <c:pt idx="91">
                  <c:v>29804.340408730786</c:v>
                </c:pt>
                <c:pt idx="92">
                  <c:v>31167.969872427111</c:v>
                </c:pt>
                <c:pt idx="93">
                  <c:v>32309.988935447382</c:v>
                </c:pt>
                <c:pt idx="94">
                  <c:v>34750.633516192065</c:v>
                </c:pt>
                <c:pt idx="95">
                  <c:v>35705.340316830428</c:v>
                </c:pt>
                <c:pt idx="96">
                  <c:v>37893.594513574491</c:v>
                </c:pt>
                <c:pt idx="97">
                  <c:v>41005.681397748915</c:v>
                </c:pt>
                <c:pt idx="98">
                  <c:v>41006.169800855263</c:v>
                </c:pt>
                <c:pt idx="99">
                  <c:v>44605.252408403838</c:v>
                </c:pt>
                <c:pt idx="100">
                  <c:v>46160.963160021012</c:v>
                </c:pt>
                <c:pt idx="101">
                  <c:v>48704.396983318758</c:v>
                </c:pt>
                <c:pt idx="102">
                  <c:v>51309.21185620992</c:v>
                </c:pt>
                <c:pt idx="103">
                  <c:v>54182.175686732313</c:v>
                </c:pt>
                <c:pt idx="104">
                  <c:v>54183.149363787066</c:v>
                </c:pt>
                <c:pt idx="105">
                  <c:v>57215.925319714086</c:v>
                </c:pt>
                <c:pt idx="106">
                  <c:v>60468.322748670682</c:v>
                </c:pt>
                <c:pt idx="107">
                  <c:v>65823.801703356352</c:v>
                </c:pt>
                <c:pt idx="108">
                  <c:v>66547.778912330803</c:v>
                </c:pt>
                <c:pt idx="109">
                  <c:v>65382.450342422366</c:v>
                </c:pt>
                <c:pt idx="110">
                  <c:v>75330.487370166957</c:v>
                </c:pt>
                <c:pt idx="111">
                  <c:v>86989.717710502257</c:v>
                </c:pt>
                <c:pt idx="112">
                  <c:v>78927.775875837964</c:v>
                </c:pt>
                <c:pt idx="113">
                  <c:v>73973.325964999342</c:v>
                </c:pt>
                <c:pt idx="114">
                  <c:v>81893.909837603147</c:v>
                </c:pt>
                <c:pt idx="115">
                  <c:v>98403.496261130116</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5.2026036746357208E+16</c:v>
                </c:pt>
                <c:pt idx="1">
                  <c:v>5.2026036746357208E+16</c:v>
                </c:pt>
                <c:pt idx="2">
                  <c:v>5.2026036746357208E+16</c:v>
                </c:pt>
                <c:pt idx="3">
                  <c:v>5.2013948081466216E+16</c:v>
                </c:pt>
                <c:pt idx="4">
                  <c:v>5.0773485096633512E+16</c:v>
                </c:pt>
                <c:pt idx="5">
                  <c:v>4.8757879264362536E+16</c:v>
                </c:pt>
                <c:pt idx="6">
                  <c:v>4.6784758491489496E+16</c:v>
                </c:pt>
                <c:pt idx="7">
                  <c:v>4.487878794563816E+16</c:v>
                </c:pt>
                <c:pt idx="8">
                  <c:v>4.3031153215258848E+16</c:v>
                </c:pt>
                <c:pt idx="9">
                  <c:v>4.1238707250754864E+16</c:v>
                </c:pt>
                <c:pt idx="10">
                  <c:v>3.950017372885296E+16</c:v>
                </c:pt>
                <c:pt idx="11">
                  <c:v>3.78126213718818E+16</c:v>
                </c:pt>
                <c:pt idx="12">
                  <c:v>3.6187091115367704E+16</c:v>
                </c:pt>
                <c:pt idx="13">
                  <c:v>3.4602750369678396E+16</c:v>
                </c:pt>
                <c:pt idx="14">
                  <c:v>3.3087633836506652E+16</c:v>
                </c:pt>
                <c:pt idx="15">
                  <c:v>3.1618728278715068E+16</c:v>
                </c:pt>
                <c:pt idx="16">
                  <c:v>3.0192975810282412E+16</c:v>
                </c:pt>
                <c:pt idx="17">
                  <c:v>2.8822536267712164E+16</c:v>
                </c:pt>
                <c:pt idx="18">
                  <c:v>2.7495567520674884E+16</c:v>
                </c:pt>
                <c:pt idx="19">
                  <c:v>2.6223350176377768E+16</c:v>
                </c:pt>
                <c:pt idx="20">
                  <c:v>2.4998869847838296E+16</c:v>
                </c:pt>
                <c:pt idx="21">
                  <c:v>2.3816397735887984E+16</c:v>
                </c:pt>
                <c:pt idx="22">
                  <c:v>2.2688066943653968E+16</c:v>
                </c:pt>
                <c:pt idx="23">
                  <c:v>2.1600930686647804E+16</c:v>
                </c:pt>
                <c:pt idx="24">
                  <c:v>2.0555686508262216E+16</c:v>
                </c:pt>
                <c:pt idx="25">
                  <c:v>1.9546577929605804E+16</c:v>
                </c:pt>
                <c:pt idx="26">
                  <c:v>1.8586990390344212E+16</c:v>
                </c:pt>
                <c:pt idx="27">
                  <c:v>1.7654557046110988E+16</c:v>
                </c:pt>
                <c:pt idx="28">
                  <c:v>1.6765499005896626E+16</c:v>
                </c:pt>
                <c:pt idx="29">
                  <c:v>1.591041447702518E+16</c:v>
                </c:pt>
                <c:pt idx="30">
                  <c:v>1.5088206084509412E+16</c:v>
                </c:pt>
                <c:pt idx="31">
                  <c:v>1.4302153920531412E+16</c:v>
                </c:pt>
                <c:pt idx="32">
                  <c:v>1.354623314631166E+16</c:v>
                </c:pt>
                <c:pt idx="33">
                  <c:v>1.2826218181369952E+16</c:v>
                </c:pt>
                <c:pt idx="34">
                  <c:v>1.2135253580488122E+16</c:v>
                </c:pt>
                <c:pt idx="35">
                  <c:v>1.148211116942456E+16</c:v>
                </c:pt>
                <c:pt idx="36">
                  <c:v>1.0851233229987238E+16</c:v>
                </c:pt>
                <c:pt idx="37">
                  <c:v>1.0256931427627252E+16</c:v>
                </c:pt>
                <c:pt idx="38">
                  <c:v>9683989797812950</c:v>
                </c:pt>
                <c:pt idx="39">
                  <c:v>9140908309771554</c:v>
                </c:pt>
                <c:pt idx="40">
                  <c:v>8620774946768362</c:v>
                </c:pt>
                <c:pt idx="41">
                  <c:v>8123234825620185</c:v>
                </c:pt>
                <c:pt idx="42">
                  <c:v>7654029768246220</c:v>
                </c:pt>
                <c:pt idx="43">
                  <c:v>7204231213323801</c:v>
                </c:pt>
                <c:pt idx="44">
                  <c:v>6778217281180770</c:v>
                </c:pt>
                <c:pt idx="45">
                  <c:v>6369566126721776</c:v>
                </c:pt>
                <c:pt idx="46">
                  <c:v>5985273503833316</c:v>
                </c:pt>
                <c:pt idx="47">
                  <c:v>5612771342035677</c:v>
                </c:pt>
                <c:pt idx="48">
                  <c:v>5263234749654164</c:v>
                </c:pt>
                <c:pt idx="49">
                  <c:v>4935554914535466</c:v>
                </c:pt>
                <c:pt idx="50">
                  <c:v>4621038939032045</c:v>
                </c:pt>
                <c:pt idx="51">
                  <c:v>4321134505446425</c:v>
                </c:pt>
                <c:pt idx="52">
                  <c:v>4041785753429148</c:v>
                </c:pt>
                <c:pt idx="53">
                  <c:v>3773790477286341.5</c:v>
                </c:pt>
                <c:pt idx="54">
                  <c:v>3521789677648033</c:v>
                </c:pt>
                <c:pt idx="55">
                  <c:v>3280616098459796</c:v>
                </c:pt>
                <c:pt idx="56">
                  <c:v>3056235735884297.5</c:v>
                </c:pt>
                <c:pt idx="57">
                  <c:v>2843367280130164</c:v>
                </c:pt>
                <c:pt idx="58">
                  <c:v>2645789041127380.5</c:v>
                </c:pt>
                <c:pt idx="59">
                  <c:v>2454907649110743</c:v>
                </c:pt>
                <c:pt idx="60">
                  <c:v>2279096217709575</c:v>
                </c:pt>
                <c:pt idx="61">
                  <c:v>2110183482339978.5</c:v>
                </c:pt>
                <c:pt idx="62">
                  <c:v>1951586799628186</c:v>
                </c:pt>
                <c:pt idx="63">
                  <c:v>1804948813713532</c:v>
                </c:pt>
                <c:pt idx="64">
                  <c:v>1668499854874733.7</c:v>
                </c:pt>
                <c:pt idx="65">
                  <c:v>1538775386370625.2</c:v>
                </c:pt>
                <c:pt idx="66">
                  <c:v>1417831418274960.7</c:v>
                </c:pt>
                <c:pt idx="67">
                  <c:v>1303623589639482.2</c:v>
                </c:pt>
                <c:pt idx="68">
                  <c:v>1200389928685442</c:v>
                </c:pt>
                <c:pt idx="69">
                  <c:v>1102233216331581.5</c:v>
                </c:pt>
                <c:pt idx="70">
                  <c:v>1013544112994347.6</c:v>
                </c:pt>
                <c:pt idx="71">
                  <c:v>927121933789796.75</c:v>
                </c:pt>
                <c:pt idx="72">
                  <c:v>847590918195712.37</c:v>
                </c:pt>
                <c:pt idx="73">
                  <c:v>776610257422666.37</c:v>
                </c:pt>
                <c:pt idx="74">
                  <c:v>707734020441370.12</c:v>
                </c:pt>
                <c:pt idx="75">
                  <c:v>644733768040229.75</c:v>
                </c:pt>
                <c:pt idx="76">
                  <c:v>589068337905270.12</c:v>
                </c:pt>
                <c:pt idx="77">
                  <c:v>536218500668563.62</c:v>
                </c:pt>
                <c:pt idx="78">
                  <c:v>489405479215103.75</c:v>
                </c:pt>
                <c:pt idx="79">
                  <c:v>443964099186424.87</c:v>
                </c:pt>
                <c:pt idx="80">
                  <c:v>402681757323470.44</c:v>
                </c:pt>
                <c:pt idx="81">
                  <c:v>364425959597825.56</c:v>
                </c:pt>
                <c:pt idx="82">
                  <c:v>331528780997945.56</c:v>
                </c:pt>
                <c:pt idx="83">
                  <c:v>298075132108584.37</c:v>
                </c:pt>
                <c:pt idx="84">
                  <c:v>269297908886361.12</c:v>
                </c:pt>
                <c:pt idx="85">
                  <c:v>243137722392296.69</c:v>
                </c:pt>
                <c:pt idx="86">
                  <c:v>221756416639188.34</c:v>
                </c:pt>
                <c:pt idx="87">
                  <c:v>200146207059703.28</c:v>
                </c:pt>
                <c:pt idx="88">
                  <c:v>179364762459111</c:v>
                </c:pt>
                <c:pt idx="89">
                  <c:v>161966290330959.31</c:v>
                </c:pt>
                <c:pt idx="90">
                  <c:v>146491290288118.47</c:v>
                </c:pt>
                <c:pt idx="91">
                  <c:v>131913501937820.28</c:v>
                </c:pt>
                <c:pt idx="92">
                  <c:v>119604808446187.81</c:v>
                </c:pt>
                <c:pt idx="93">
                  <c:v>108511133058881.77</c:v>
                </c:pt>
                <c:pt idx="94">
                  <c:v>96001934641095.437</c:v>
                </c:pt>
                <c:pt idx="95">
                  <c:v>87923388082664.016</c:v>
                </c:pt>
                <c:pt idx="96">
                  <c:v>78515324523758.891</c:v>
                </c:pt>
                <c:pt idx="97">
                  <c:v>67874460910863.133</c:v>
                </c:pt>
                <c:pt idx="98">
                  <c:v>64371082353262.195</c:v>
                </c:pt>
                <c:pt idx="99">
                  <c:v>56037485865647.883</c:v>
                </c:pt>
                <c:pt idx="100">
                  <c:v>51091088454249.281</c:v>
                </c:pt>
                <c:pt idx="101">
                  <c:v>45380771864236.062</c:v>
                </c:pt>
                <c:pt idx="102">
                  <c:v>40297685737087.211</c:v>
                </c:pt>
                <c:pt idx="103">
                  <c:v>36046570508861.305</c:v>
                </c:pt>
                <c:pt idx="104">
                  <c:v>33922677517466.73</c:v>
                </c:pt>
                <c:pt idx="105">
                  <c:v>30591615026106.937</c:v>
                </c:pt>
                <c:pt idx="106">
                  <c:v>26821974319084.117</c:v>
                </c:pt>
                <c:pt idx="107">
                  <c:v>23115236924667.164</c:v>
                </c:pt>
                <c:pt idx="108">
                  <c:v>21527861316623.66</c:v>
                </c:pt>
                <c:pt idx="109">
                  <c:v>20822687338503.367</c:v>
                </c:pt>
                <c:pt idx="110">
                  <c:v>17034975158253.322</c:v>
                </c:pt>
                <c:pt idx="111">
                  <c:v>13633537498870.896</c:v>
                </c:pt>
                <c:pt idx="112">
                  <c:v>14161049282395.039</c:v>
                </c:pt>
                <c:pt idx="113">
                  <c:v>13867959726404.762</c:v>
                </c:pt>
                <c:pt idx="114">
                  <c:v>12080971802786.779</c:v>
                </c:pt>
                <c:pt idx="115">
                  <c:v>9300794632949.9102</c:v>
                </c:pt>
              </c:numCache>
            </c:numRef>
          </c:xVal>
          <c:yVal>
            <c:numRef>
              <c:f>Calc!$S$15:$S$130</c:f>
              <c:numCache>
                <c:formatCode>0</c:formatCode>
                <c:ptCount val="116"/>
                <c:pt idx="0">
                  <c:v>3922.8770254564934</c:v>
                </c:pt>
                <c:pt idx="1">
                  <c:v>3427.5613976662398</c:v>
                </c:pt>
                <c:pt idx="2">
                  <c:v>3010.3459123799657</c:v>
                </c:pt>
                <c:pt idx="3">
                  <c:v>2674.1873745086577</c:v>
                </c:pt>
                <c:pt idx="4">
                  <c:v>2756.5176435758494</c:v>
                </c:pt>
                <c:pt idx="5">
                  <c:v>3060.3789577044386</c:v>
                </c:pt>
                <c:pt idx="6">
                  <c:v>3288.4466405568241</c:v>
                </c:pt>
                <c:pt idx="7">
                  <c:v>3468.0269484595906</c:v>
                </c:pt>
                <c:pt idx="8">
                  <c:v>3634.0214897737237</c:v>
                </c:pt>
                <c:pt idx="9">
                  <c:v>3787.1423032188982</c:v>
                </c:pt>
                <c:pt idx="10">
                  <c:v>3929.2904991638511</c:v>
                </c:pt>
                <c:pt idx="11">
                  <c:v>4060.6326555089063</c:v>
                </c:pt>
                <c:pt idx="12">
                  <c:v>4178.300427496366</c:v>
                </c:pt>
                <c:pt idx="13">
                  <c:v>4291.4922141266243</c:v>
                </c:pt>
                <c:pt idx="14">
                  <c:v>4392.4130009005885</c:v>
                </c:pt>
                <c:pt idx="15">
                  <c:v>4487.093476056134</c:v>
                </c:pt>
                <c:pt idx="16">
                  <c:v>4579.8345733565839</c:v>
                </c:pt>
                <c:pt idx="17">
                  <c:v>4661.0919131164437</c:v>
                </c:pt>
                <c:pt idx="18">
                  <c:v>4739.2035879021987</c:v>
                </c:pt>
                <c:pt idx="19">
                  <c:v>4811.775356970913</c:v>
                </c:pt>
                <c:pt idx="20">
                  <c:v>4879.4233124684561</c:v>
                </c:pt>
                <c:pt idx="21">
                  <c:v>4942.3669723811026</c:v>
                </c:pt>
                <c:pt idx="22">
                  <c:v>4990.939235785705</c:v>
                </c:pt>
                <c:pt idx="23">
                  <c:v>5045.9825635922916</c:v>
                </c:pt>
                <c:pt idx="24">
                  <c:v>5099.050705331797</c:v>
                </c:pt>
                <c:pt idx="25">
                  <c:v>5153.5067037770832</c:v>
                </c:pt>
                <c:pt idx="26">
                  <c:v>5203.8974174770938</c:v>
                </c:pt>
                <c:pt idx="27">
                  <c:v>5256.450099857846</c:v>
                </c:pt>
                <c:pt idx="28">
                  <c:v>5306.7489509826437</c:v>
                </c:pt>
                <c:pt idx="29">
                  <c:v>5356.7193887989442</c:v>
                </c:pt>
                <c:pt idx="30">
                  <c:v>5408.8861648705115</c:v>
                </c:pt>
                <c:pt idx="31">
                  <c:v>5463.1799141623515</c:v>
                </c:pt>
                <c:pt idx="32">
                  <c:v>5514.8673931267713</c:v>
                </c:pt>
                <c:pt idx="33">
                  <c:v>5565.4970891645044</c:v>
                </c:pt>
                <c:pt idx="34">
                  <c:v>5619.4631579108172</c:v>
                </c:pt>
                <c:pt idx="35">
                  <c:v>5672.7374121135008</c:v>
                </c:pt>
                <c:pt idx="36">
                  <c:v>5730.5695442693368</c:v>
                </c:pt>
                <c:pt idx="37">
                  <c:v>5789.250860843079</c:v>
                </c:pt>
                <c:pt idx="38">
                  <c:v>5851.8705359156202</c:v>
                </c:pt>
                <c:pt idx="39">
                  <c:v>5919.4658462814714</c:v>
                </c:pt>
                <c:pt idx="40">
                  <c:v>5987.698630056304</c:v>
                </c:pt>
                <c:pt idx="41">
                  <c:v>6059.7956309389428</c:v>
                </c:pt>
                <c:pt idx="42">
                  <c:v>6130.5358432457051</c:v>
                </c:pt>
                <c:pt idx="43">
                  <c:v>6213.8103741541981</c:v>
                </c:pt>
                <c:pt idx="44">
                  <c:v>6295.6506678635851</c:v>
                </c:pt>
                <c:pt idx="45">
                  <c:v>6389.6032012126525</c:v>
                </c:pt>
                <c:pt idx="46">
                  <c:v>6481.8905660920573</c:v>
                </c:pt>
                <c:pt idx="47">
                  <c:v>6586.3241075392079</c:v>
                </c:pt>
                <c:pt idx="48">
                  <c:v>6696.3323330270223</c:v>
                </c:pt>
                <c:pt idx="49">
                  <c:v>6797.9876275409461</c:v>
                </c:pt>
                <c:pt idx="50">
                  <c:v>6919.5400653315428</c:v>
                </c:pt>
                <c:pt idx="51">
                  <c:v>7050.0274960287743</c:v>
                </c:pt>
                <c:pt idx="52">
                  <c:v>7175.5793780174954</c:v>
                </c:pt>
                <c:pt idx="53">
                  <c:v>7325.9526944291802</c:v>
                </c:pt>
                <c:pt idx="54">
                  <c:v>7475.5252395600728</c:v>
                </c:pt>
                <c:pt idx="55">
                  <c:v>7628.5792410110162</c:v>
                </c:pt>
                <c:pt idx="56">
                  <c:v>7787.94419246712</c:v>
                </c:pt>
                <c:pt idx="57">
                  <c:v>7964.822802256308</c:v>
                </c:pt>
                <c:pt idx="58">
                  <c:v>8154.226438921356</c:v>
                </c:pt>
                <c:pt idx="59">
                  <c:v>8366.0400002300448</c:v>
                </c:pt>
                <c:pt idx="60">
                  <c:v>8586.5253609586653</c:v>
                </c:pt>
                <c:pt idx="61">
                  <c:v>8818.7700973483479</c:v>
                </c:pt>
                <c:pt idx="62">
                  <c:v>9065.972936475333</c:v>
                </c:pt>
                <c:pt idx="63">
                  <c:v>9329.588661969201</c:v>
                </c:pt>
                <c:pt idx="64">
                  <c:v>9604.1518729426934</c:v>
                </c:pt>
                <c:pt idx="65">
                  <c:v>9914.8746978758318</c:v>
                </c:pt>
                <c:pt idx="66">
                  <c:v>10252.161569085922</c:v>
                </c:pt>
                <c:pt idx="67">
                  <c:v>10594.976755862675</c:v>
                </c:pt>
                <c:pt idx="68">
                  <c:v>10943.01994291456</c:v>
                </c:pt>
                <c:pt idx="69">
                  <c:v>11308.691956813132</c:v>
                </c:pt>
                <c:pt idx="70">
                  <c:v>11710.257491189283</c:v>
                </c:pt>
                <c:pt idx="71">
                  <c:v>12149.180764755805</c:v>
                </c:pt>
                <c:pt idx="72">
                  <c:v>12625.339445774442</c:v>
                </c:pt>
                <c:pt idx="73">
                  <c:v>13093.402172108375</c:v>
                </c:pt>
                <c:pt idx="74">
                  <c:v>13663.419936843644</c:v>
                </c:pt>
                <c:pt idx="75">
                  <c:v>14250.729498201576</c:v>
                </c:pt>
                <c:pt idx="76">
                  <c:v>14781.184334471232</c:v>
                </c:pt>
                <c:pt idx="77">
                  <c:v>15415.439017957389</c:v>
                </c:pt>
                <c:pt idx="78">
                  <c:v>16063.134950991536</c:v>
                </c:pt>
                <c:pt idx="79">
                  <c:v>16826.939284074608</c:v>
                </c:pt>
                <c:pt idx="80">
                  <c:v>17630.664303695597</c:v>
                </c:pt>
                <c:pt idx="81">
                  <c:v>18426.051272009627</c:v>
                </c:pt>
                <c:pt idx="82">
                  <c:v>19244.415403368665</c:v>
                </c:pt>
                <c:pt idx="83">
                  <c:v>20306.697830189503</c:v>
                </c:pt>
                <c:pt idx="84">
                  <c:v>21291.690887408931</c:v>
                </c:pt>
                <c:pt idx="85">
                  <c:v>22317.908968066062</c:v>
                </c:pt>
                <c:pt idx="86">
                  <c:v>23162.093596818508</c:v>
                </c:pt>
                <c:pt idx="87">
                  <c:v>24334.518973677314</c:v>
                </c:pt>
                <c:pt idx="88">
                  <c:v>25881.899063585217</c:v>
                </c:pt>
                <c:pt idx="89">
                  <c:v>27051.068990561369</c:v>
                </c:pt>
                <c:pt idx="90">
                  <c:v>28241.026875000862</c:v>
                </c:pt>
                <c:pt idx="91">
                  <c:v>29804.340408730786</c:v>
                </c:pt>
                <c:pt idx="92">
                  <c:v>31167.969872427111</c:v>
                </c:pt>
                <c:pt idx="93">
                  <c:v>32309.988935447382</c:v>
                </c:pt>
                <c:pt idx="94">
                  <c:v>34750.633516192065</c:v>
                </c:pt>
                <c:pt idx="95">
                  <c:v>35705.340316830428</c:v>
                </c:pt>
                <c:pt idx="96">
                  <c:v>37893.594513574491</c:v>
                </c:pt>
                <c:pt idx="97">
                  <c:v>41005.681397748915</c:v>
                </c:pt>
                <c:pt idx="98">
                  <c:v>41006.169800855263</c:v>
                </c:pt>
                <c:pt idx="99">
                  <c:v>44605.252408403838</c:v>
                </c:pt>
                <c:pt idx="100">
                  <c:v>46160.963160021012</c:v>
                </c:pt>
                <c:pt idx="101">
                  <c:v>48704.396983318758</c:v>
                </c:pt>
                <c:pt idx="102">
                  <c:v>51309.21185620992</c:v>
                </c:pt>
                <c:pt idx="103">
                  <c:v>54182.175686732313</c:v>
                </c:pt>
                <c:pt idx="104">
                  <c:v>54183.149363787066</c:v>
                </c:pt>
                <c:pt idx="105">
                  <c:v>57215.925319714086</c:v>
                </c:pt>
                <c:pt idx="106">
                  <c:v>60468.322748670682</c:v>
                </c:pt>
                <c:pt idx="107">
                  <c:v>65823.801703356352</c:v>
                </c:pt>
                <c:pt idx="108">
                  <c:v>66547.778912330803</c:v>
                </c:pt>
                <c:pt idx="109">
                  <c:v>65382.450342422366</c:v>
                </c:pt>
                <c:pt idx="110">
                  <c:v>75330.487370166957</c:v>
                </c:pt>
                <c:pt idx="111">
                  <c:v>86989.717710502257</c:v>
                </c:pt>
                <c:pt idx="112">
                  <c:v>78927.775875837964</c:v>
                </c:pt>
                <c:pt idx="113">
                  <c:v>73973.325964999342</c:v>
                </c:pt>
                <c:pt idx="114">
                  <c:v>81893.909837603147</c:v>
                </c:pt>
                <c:pt idx="115">
                  <c:v>98403.496261130116</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5.2026036746357208E+16</c:v>
                </c:pt>
                <c:pt idx="1">
                  <c:v>5.2026036746357208E+16</c:v>
                </c:pt>
                <c:pt idx="2">
                  <c:v>5.2026036746357208E+16</c:v>
                </c:pt>
                <c:pt idx="3">
                  <c:v>5.2026036746357208E+16</c:v>
                </c:pt>
                <c:pt idx="4">
                  <c:v>5.2026036746357208E+16</c:v>
                </c:pt>
                <c:pt idx="5">
                  <c:v>5.2026036746357208E+16</c:v>
                </c:pt>
                <c:pt idx="6">
                  <c:v>5.2013948081466216E+16</c:v>
                </c:pt>
                <c:pt idx="7">
                  <c:v>5.0773485096633512E+16</c:v>
                </c:pt>
                <c:pt idx="8">
                  <c:v>4.8757879264362536E+16</c:v>
                </c:pt>
                <c:pt idx="9">
                  <c:v>4.6784758491489496E+16</c:v>
                </c:pt>
                <c:pt idx="10">
                  <c:v>4.487878794563816E+16</c:v>
                </c:pt>
                <c:pt idx="11">
                  <c:v>4.3031153215258848E+16</c:v>
                </c:pt>
                <c:pt idx="12">
                  <c:v>4.1238707250754864E+16</c:v>
                </c:pt>
                <c:pt idx="13">
                  <c:v>3.950017372885296E+16</c:v>
                </c:pt>
                <c:pt idx="14">
                  <c:v>3.78126213718818E+16</c:v>
                </c:pt>
                <c:pt idx="15">
                  <c:v>3.6187091115367704E+16</c:v>
                </c:pt>
                <c:pt idx="16">
                  <c:v>3.4602750369678396E+16</c:v>
                </c:pt>
                <c:pt idx="17">
                  <c:v>3.3087633836506652E+16</c:v>
                </c:pt>
                <c:pt idx="18">
                  <c:v>3.1618728278715068E+16</c:v>
                </c:pt>
                <c:pt idx="19">
                  <c:v>3.0192975810282412E+16</c:v>
                </c:pt>
                <c:pt idx="20">
                  <c:v>2.8822536267712164E+16</c:v>
                </c:pt>
                <c:pt idx="21">
                  <c:v>2.7495567520674884E+16</c:v>
                </c:pt>
                <c:pt idx="22">
                  <c:v>2.6223350176377768E+16</c:v>
                </c:pt>
                <c:pt idx="23">
                  <c:v>2.4998869847838296E+16</c:v>
                </c:pt>
                <c:pt idx="24">
                  <c:v>2.3816397735887984E+16</c:v>
                </c:pt>
                <c:pt idx="25">
                  <c:v>2.2688066943653968E+16</c:v>
                </c:pt>
                <c:pt idx="26">
                  <c:v>2.1600930686647804E+16</c:v>
                </c:pt>
                <c:pt idx="27">
                  <c:v>2.0555686508262216E+16</c:v>
                </c:pt>
                <c:pt idx="28">
                  <c:v>1.9546577929605804E+16</c:v>
                </c:pt>
                <c:pt idx="29">
                  <c:v>1.8586990390344212E+16</c:v>
                </c:pt>
                <c:pt idx="30">
                  <c:v>1.7654557046110988E+16</c:v>
                </c:pt>
                <c:pt idx="31">
                  <c:v>1.6765499005896626E+16</c:v>
                </c:pt>
                <c:pt idx="32">
                  <c:v>1.591041447702518E+16</c:v>
                </c:pt>
                <c:pt idx="33">
                  <c:v>1.5088206084509412E+16</c:v>
                </c:pt>
                <c:pt idx="34">
                  <c:v>1.4302153920531412E+16</c:v>
                </c:pt>
                <c:pt idx="35">
                  <c:v>1.354623314631166E+16</c:v>
                </c:pt>
                <c:pt idx="36">
                  <c:v>1.2826218181369952E+16</c:v>
                </c:pt>
                <c:pt idx="37">
                  <c:v>1.2135253580488122E+16</c:v>
                </c:pt>
                <c:pt idx="38">
                  <c:v>1.148211116942456E+16</c:v>
                </c:pt>
                <c:pt idx="39">
                  <c:v>1.0851233229987238E+16</c:v>
                </c:pt>
                <c:pt idx="40">
                  <c:v>1.0256931427627252E+16</c:v>
                </c:pt>
                <c:pt idx="41">
                  <c:v>9683989797812950</c:v>
                </c:pt>
                <c:pt idx="42">
                  <c:v>9140908309771554</c:v>
                </c:pt>
                <c:pt idx="43">
                  <c:v>8620774946768362</c:v>
                </c:pt>
                <c:pt idx="44">
                  <c:v>8123234825620185</c:v>
                </c:pt>
                <c:pt idx="45">
                  <c:v>7654029768246220</c:v>
                </c:pt>
                <c:pt idx="46">
                  <c:v>7204231213323801</c:v>
                </c:pt>
                <c:pt idx="47">
                  <c:v>6778217281180770</c:v>
                </c:pt>
                <c:pt idx="48">
                  <c:v>6369566126721776</c:v>
                </c:pt>
                <c:pt idx="49">
                  <c:v>5985273503833316</c:v>
                </c:pt>
                <c:pt idx="50">
                  <c:v>5612771342035677</c:v>
                </c:pt>
                <c:pt idx="51">
                  <c:v>5263234749654164</c:v>
                </c:pt>
                <c:pt idx="52">
                  <c:v>4935554914535466</c:v>
                </c:pt>
                <c:pt idx="53">
                  <c:v>4621038939032045</c:v>
                </c:pt>
                <c:pt idx="54">
                  <c:v>4321134505446425</c:v>
                </c:pt>
                <c:pt idx="55">
                  <c:v>4041785753429148</c:v>
                </c:pt>
                <c:pt idx="56">
                  <c:v>3773790477286341.5</c:v>
                </c:pt>
                <c:pt idx="57">
                  <c:v>3521789677648033</c:v>
                </c:pt>
                <c:pt idx="58">
                  <c:v>3280616098459796</c:v>
                </c:pt>
                <c:pt idx="59">
                  <c:v>3056235735884297.5</c:v>
                </c:pt>
                <c:pt idx="60">
                  <c:v>2843367280130164</c:v>
                </c:pt>
                <c:pt idx="61">
                  <c:v>2645789041127380.5</c:v>
                </c:pt>
                <c:pt idx="62">
                  <c:v>2454907649110743</c:v>
                </c:pt>
                <c:pt idx="63">
                  <c:v>2279096217709575</c:v>
                </c:pt>
                <c:pt idx="64">
                  <c:v>2110183482339978.5</c:v>
                </c:pt>
                <c:pt idx="65">
                  <c:v>1951586799628186</c:v>
                </c:pt>
                <c:pt idx="66">
                  <c:v>1804948813713532</c:v>
                </c:pt>
                <c:pt idx="67">
                  <c:v>1668499854874733.7</c:v>
                </c:pt>
                <c:pt idx="68">
                  <c:v>1538775386370625.2</c:v>
                </c:pt>
                <c:pt idx="69">
                  <c:v>1417831418274960.7</c:v>
                </c:pt>
                <c:pt idx="70">
                  <c:v>1303623589639482.2</c:v>
                </c:pt>
                <c:pt idx="71">
                  <c:v>1200389928685442</c:v>
                </c:pt>
                <c:pt idx="72">
                  <c:v>1102233216331581.5</c:v>
                </c:pt>
                <c:pt idx="73">
                  <c:v>1013544112994347.6</c:v>
                </c:pt>
                <c:pt idx="74">
                  <c:v>927121933789796.75</c:v>
                </c:pt>
                <c:pt idx="75">
                  <c:v>847590918195712.37</c:v>
                </c:pt>
                <c:pt idx="76">
                  <c:v>776610257422666.37</c:v>
                </c:pt>
                <c:pt idx="77">
                  <c:v>707734020441370.12</c:v>
                </c:pt>
                <c:pt idx="78">
                  <c:v>644733768040229.75</c:v>
                </c:pt>
                <c:pt idx="79">
                  <c:v>589068337905270.12</c:v>
                </c:pt>
                <c:pt idx="80">
                  <c:v>536218500668563.62</c:v>
                </c:pt>
                <c:pt idx="81">
                  <c:v>489405479215103.75</c:v>
                </c:pt>
                <c:pt idx="82">
                  <c:v>443964099186424.87</c:v>
                </c:pt>
                <c:pt idx="83">
                  <c:v>402681757323470.44</c:v>
                </c:pt>
                <c:pt idx="84">
                  <c:v>364425959597825.56</c:v>
                </c:pt>
                <c:pt idx="85">
                  <c:v>331528780997945.56</c:v>
                </c:pt>
                <c:pt idx="86">
                  <c:v>298075132108584.37</c:v>
                </c:pt>
                <c:pt idx="87">
                  <c:v>269297908886361.12</c:v>
                </c:pt>
                <c:pt idx="88">
                  <c:v>243137722392296.69</c:v>
                </c:pt>
                <c:pt idx="89">
                  <c:v>221756416639188.34</c:v>
                </c:pt>
                <c:pt idx="90">
                  <c:v>200146207059703.28</c:v>
                </c:pt>
                <c:pt idx="91">
                  <c:v>179364762459111</c:v>
                </c:pt>
                <c:pt idx="92">
                  <c:v>161966290330959.31</c:v>
                </c:pt>
                <c:pt idx="93">
                  <c:v>146491290288118.47</c:v>
                </c:pt>
                <c:pt idx="94">
                  <c:v>131913501937820.28</c:v>
                </c:pt>
                <c:pt idx="95">
                  <c:v>119604808446187.81</c:v>
                </c:pt>
                <c:pt idx="96">
                  <c:v>108511133058881.77</c:v>
                </c:pt>
                <c:pt idx="97">
                  <c:v>96001934641095.437</c:v>
                </c:pt>
                <c:pt idx="98">
                  <c:v>87923388082664.016</c:v>
                </c:pt>
                <c:pt idx="99">
                  <c:v>78515324523758.891</c:v>
                </c:pt>
                <c:pt idx="100">
                  <c:v>67874460910863.133</c:v>
                </c:pt>
                <c:pt idx="101">
                  <c:v>64371082353262.195</c:v>
                </c:pt>
                <c:pt idx="102">
                  <c:v>56037485865647.883</c:v>
                </c:pt>
                <c:pt idx="103">
                  <c:v>51091088454249.281</c:v>
                </c:pt>
                <c:pt idx="104">
                  <c:v>45380771864236.062</c:v>
                </c:pt>
                <c:pt idx="105">
                  <c:v>40297685737087.211</c:v>
                </c:pt>
                <c:pt idx="106">
                  <c:v>36046570508861.305</c:v>
                </c:pt>
                <c:pt idx="107">
                  <c:v>33922677517466.73</c:v>
                </c:pt>
                <c:pt idx="108">
                  <c:v>30591615026106.937</c:v>
                </c:pt>
                <c:pt idx="109">
                  <c:v>26821974319084.117</c:v>
                </c:pt>
                <c:pt idx="110">
                  <c:v>23115236924667.164</c:v>
                </c:pt>
                <c:pt idx="111">
                  <c:v>21527861316623.66</c:v>
                </c:pt>
                <c:pt idx="112">
                  <c:v>20822687338503.367</c:v>
                </c:pt>
                <c:pt idx="113">
                  <c:v>17034975158253.322</c:v>
                </c:pt>
                <c:pt idx="114">
                  <c:v>13633537498870.896</c:v>
                </c:pt>
                <c:pt idx="115">
                  <c:v>14161049282395.039</c:v>
                </c:pt>
                <c:pt idx="116">
                  <c:v>13867959726404.762</c:v>
                </c:pt>
                <c:pt idx="117">
                  <c:v>12080971802786.779</c:v>
                </c:pt>
                <c:pt idx="118">
                  <c:v>9300794632949.9102</c:v>
                </c:pt>
              </c:numCache>
            </c:numRef>
          </c:xVal>
          <c:yVal>
            <c:numRef>
              <c:f>Calc!$U$12:$U$130</c:f>
              <c:numCache>
                <c:formatCode>0</c:formatCode>
                <c:ptCount val="119"/>
                <c:pt idx="0">
                  <c:v>-267022.16419666429</c:v>
                </c:pt>
                <c:pt idx="1">
                  <c:v>-267022.16419666429</c:v>
                </c:pt>
                <c:pt idx="2">
                  <c:v>-267022.16419666429</c:v>
                </c:pt>
                <c:pt idx="3">
                  <c:v>-267022.16419666429</c:v>
                </c:pt>
                <c:pt idx="4">
                  <c:v>-267022.16419666429</c:v>
                </c:pt>
                <c:pt idx="5">
                  <c:v>-267022.16419666429</c:v>
                </c:pt>
                <c:pt idx="6">
                  <c:v>-266956.08862192422</c:v>
                </c:pt>
                <c:pt idx="7">
                  <c:v>-260175.82749253442</c:v>
                </c:pt>
                <c:pt idx="8">
                  <c:v>-249158.70401217404</c:v>
                </c:pt>
                <c:pt idx="9">
                  <c:v>-238373.80011461282</c:v>
                </c:pt>
                <c:pt idx="10">
                  <c:v>-227955.93342789297</c:v>
                </c:pt>
                <c:pt idx="11">
                  <c:v>-217856.92515688762</c:v>
                </c:pt>
                <c:pt idx="12">
                  <c:v>-208059.57380641822</c:v>
                </c:pt>
                <c:pt idx="13">
                  <c:v>-198556.90310618575</c:v>
                </c:pt>
                <c:pt idx="14">
                  <c:v>-189332.89095130083</c:v>
                </c:pt>
                <c:pt idx="15">
                  <c:v>-180447.88612032152</c:v>
                </c:pt>
                <c:pt idx="16">
                  <c:v>-171788.01951805089</c:v>
                </c:pt>
                <c:pt idx="17">
                  <c:v>-163506.52634818762</c:v>
                </c:pt>
                <c:pt idx="18">
                  <c:v>-155477.61828884546</c:v>
                </c:pt>
                <c:pt idx="19">
                  <c:v>-147684.58120507529</c:v>
                </c:pt>
                <c:pt idx="20">
                  <c:v>-140193.87968936583</c:v>
                </c:pt>
                <c:pt idx="21">
                  <c:v>-132940.78570311892</c:v>
                </c:pt>
                <c:pt idx="22">
                  <c:v>-125986.95804913485</c:v>
                </c:pt>
                <c:pt idx="23">
                  <c:v>-119294.05670761006</c:v>
                </c:pt>
                <c:pt idx="24">
                  <c:v>-112830.76856820183</c:v>
                </c:pt>
                <c:pt idx="25">
                  <c:v>-106663.41210112459</c:v>
                </c:pt>
                <c:pt idx="26">
                  <c:v>-100721.22132569944</c:v>
                </c:pt>
                <c:pt idx="27">
                  <c:v>-95008.008952510747</c:v>
                </c:pt>
                <c:pt idx="28">
                  <c:v>-89492.310576294694</c:v>
                </c:pt>
                <c:pt idx="29">
                  <c:v>-84247.289828190987</c:v>
                </c:pt>
                <c:pt idx="30">
                  <c:v>-79150.691512116173</c:v>
                </c:pt>
                <c:pt idx="31">
                  <c:v>-74291.178777320718</c:v>
                </c:pt>
                <c:pt idx="32">
                  <c:v>-69617.362255313346</c:v>
                </c:pt>
                <c:pt idx="33">
                  <c:v>-65123.243791323395</c:v>
                </c:pt>
                <c:pt idx="34">
                  <c:v>-60826.75207955212</c:v>
                </c:pt>
                <c:pt idx="35">
                  <c:v>-56694.955883286188</c:v>
                </c:pt>
                <c:pt idx="36">
                  <c:v>-52759.417669679904</c:v>
                </c:pt>
                <c:pt idx="37">
                  <c:v>-48982.666180577427</c:v>
                </c:pt>
                <c:pt idx="38">
                  <c:v>-45412.647440931229</c:v>
                </c:pt>
                <c:pt idx="39">
                  <c:v>-41964.324337011036</c:v>
                </c:pt>
                <c:pt idx="40">
                  <c:v>-38715.923168304529</c:v>
                </c:pt>
                <c:pt idx="41">
                  <c:v>-35584.274816408666</c:v>
                </c:pt>
                <c:pt idx="42">
                  <c:v>-32615.839362484287</c:v>
                </c:pt>
                <c:pt idx="43">
                  <c:v>-29772.836333462052</c:v>
                </c:pt>
                <c:pt idx="44">
                  <c:v>-27053.325969202495</c:v>
                </c:pt>
                <c:pt idx="45">
                  <c:v>-24488.692561253716</c:v>
                </c:pt>
                <c:pt idx="46">
                  <c:v>-22030.133381910295</c:v>
                </c:pt>
                <c:pt idx="47">
                  <c:v>-19701.578850250924</c:v>
                </c:pt>
                <c:pt idx="48">
                  <c:v>-17467.927728099734</c:v>
                </c:pt>
                <c:pt idx="49">
                  <c:v>-15367.418188402917</c:v>
                </c:pt>
                <c:pt idx="50">
                  <c:v>-13331.354267808918</c:v>
                </c:pt>
                <c:pt idx="51">
                  <c:v>-11420.818121546265</c:v>
                </c:pt>
                <c:pt idx="52">
                  <c:v>-9629.749080304533</c:v>
                </c:pt>
                <c:pt idx="53">
                  <c:v>-7910.6325332150082</c:v>
                </c:pt>
                <c:pt idx="54">
                  <c:v>-6271.3813838979731</c:v>
                </c:pt>
                <c:pt idx="55">
                  <c:v>-4744.4857747543138</c:v>
                </c:pt>
                <c:pt idx="56">
                  <c:v>-3279.6472621112116</c:v>
                </c:pt>
                <c:pt idx="57">
                  <c:v>-1902.2331455640669</c:v>
                </c:pt>
                <c:pt idx="58">
                  <c:v>-583.99965984151277</c:v>
                </c:pt>
                <c:pt idx="59">
                  <c:v>642.44358689045112</c:v>
                </c:pt>
                <c:pt idx="60">
                  <c:v>1805.9637675572194</c:v>
                </c:pt>
                <c:pt idx="61">
                  <c:v>2885.9089737453214</c:v>
                </c:pt>
                <c:pt idx="62">
                  <c:v>3929.249805707972</c:v>
                </c:pt>
                <c:pt idx="63">
                  <c:v>4890.2195637797849</c:v>
                </c:pt>
                <c:pt idx="64">
                  <c:v>5813.4816585692079</c:v>
                </c:pt>
                <c:pt idx="65">
                  <c:v>6680.3571205451735</c:v>
                </c:pt>
                <c:pt idx="66">
                  <c:v>7481.8674019045393</c:v>
                </c:pt>
                <c:pt idx="67">
                  <c:v>8227.6853610637045</c:v>
                </c:pt>
                <c:pt idx="68">
                  <c:v>8936.7478498954715</c:v>
                </c:pt>
                <c:pt idx="69">
                  <c:v>9597.816898903644</c:v>
                </c:pt>
                <c:pt idx="70">
                  <c:v>10222.066804493195</c:v>
                </c:pt>
                <c:pt idx="71">
                  <c:v>10786.332878668463</c:v>
                </c:pt>
                <c:pt idx="72">
                  <c:v>11322.848800142197</c:v>
                </c:pt>
                <c:pt idx="73">
                  <c:v>11807.615606818807</c:v>
                </c:pt>
                <c:pt idx="74">
                  <c:v>12279.991606379004</c:v>
                </c:pt>
                <c:pt idx="75">
                  <c:v>12714.701114205382</c:v>
                </c:pt>
                <c:pt idx="76">
                  <c:v>13102.675137664692</c:v>
                </c:pt>
                <c:pt idx="77">
                  <c:v>13479.146566520674</c:v>
                </c:pt>
                <c:pt idx="78">
                  <c:v>13823.500382571709</c:v>
                </c:pt>
                <c:pt idx="79">
                  <c:v>14127.762707856436</c:v>
                </c:pt>
                <c:pt idx="80">
                  <c:v>14416.635251005271</c:v>
                </c:pt>
                <c:pt idx="81">
                  <c:v>14672.511092196124</c:v>
                </c:pt>
                <c:pt idx="82">
                  <c:v>14920.889662489244</c:v>
                </c:pt>
                <c:pt idx="83">
                  <c:v>15146.53529745458</c:v>
                </c:pt>
                <c:pt idx="84">
                  <c:v>15355.638109440519</c:v>
                </c:pt>
                <c:pt idx="85">
                  <c:v>15535.451182506495</c:v>
                </c:pt>
                <c:pt idx="86">
                  <c:v>15718.305873032694</c:v>
                </c:pt>
                <c:pt idx="87">
                  <c:v>15875.599633839051</c:v>
                </c:pt>
                <c:pt idx="88">
                  <c:v>16018.588903000689</c:v>
                </c:pt>
                <c:pt idx="89">
                  <c:v>16135.457232056837</c:v>
                </c:pt>
                <c:pt idx="90">
                  <c:v>16253.576729213384</c:v>
                </c:pt>
                <c:pt idx="91">
                  <c:v>16367.166270183821</c:v>
                </c:pt>
                <c:pt idx="92">
                  <c:v>16462.264782371338</c:v>
                </c:pt>
                <c:pt idx="93">
                  <c:v>16546.849766003019</c:v>
                </c:pt>
                <c:pt idx="94">
                  <c:v>16626.530669756328</c:v>
                </c:pt>
                <c:pt idx="95">
                  <c:v>16693.808901396707</c:v>
                </c:pt>
                <c:pt idx="96">
                  <c:v>16754.445951377496</c:v>
                </c:pt>
                <c:pt idx="97">
                  <c:v>16822.820125237573</c:v>
                </c:pt>
                <c:pt idx="98">
                  <c:v>16866.97674730678</c:v>
                </c:pt>
                <c:pt idx="99">
                  <c:v>16918.400391890482</c:v>
                </c:pt>
                <c:pt idx="100">
                  <c:v>16976.562412700303</c:v>
                </c:pt>
                <c:pt idx="101">
                  <c:v>16995.711570511605</c:v>
                </c:pt>
                <c:pt idx="102">
                  <c:v>17041.26227297018</c:v>
                </c:pt>
                <c:pt idx="103">
                  <c:v>17068.298844402856</c:v>
                </c:pt>
                <c:pt idx="104">
                  <c:v>17099.510930603879</c:v>
                </c:pt>
                <c:pt idx="105">
                  <c:v>17127.29463048582</c:v>
                </c:pt>
                <c:pt idx="106">
                  <c:v>17150.530850905881</c:v>
                </c:pt>
                <c:pt idx="107">
                  <c:v>17162.139862435135</c:v>
                </c:pt>
                <c:pt idx="108">
                  <c:v>17180.347155845651</c:v>
                </c:pt>
                <c:pt idx="109">
                  <c:v>17200.951679051992</c:v>
                </c:pt>
                <c:pt idx="110">
                  <c:v>17221.212378306642</c:v>
                </c:pt>
                <c:pt idx="111">
                  <c:v>17229.888833198533</c:v>
                </c:pt>
                <c:pt idx="112">
                  <c:v>17233.743251888784</c:v>
                </c:pt>
                <c:pt idx="113">
                  <c:v>17254.446552171888</c:v>
                </c:pt>
                <c:pt idx="114">
                  <c:v>17273.038510035964</c:v>
                </c:pt>
                <c:pt idx="115">
                  <c:v>17270.155177211964</c:v>
                </c:pt>
                <c:pt idx="116">
                  <c:v>17271.757178842166</c:v>
                </c:pt>
                <c:pt idx="117">
                  <c:v>17281.524697023156</c:v>
                </c:pt>
                <c:pt idx="118">
                  <c:v>17296.720899915097</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1000000000000000</c:v>
                </c:pt>
              </c:numCache>
            </c:numRef>
          </c:xVal>
          <c:yVal>
            <c:numRef>
              <c:f>Calc!$X$6</c:f>
              <c:numCache>
                <c:formatCode>0.00E+00</c:formatCode>
                <c:ptCount val="1"/>
                <c:pt idx="0">
                  <c:v>11881.64653236071</c:v>
                </c:pt>
              </c:numCache>
            </c:numRef>
          </c:yVal>
          <c:smooth val="0"/>
        </c:ser>
        <c:dLbls>
          <c:showLegendKey val="0"/>
          <c:showVal val="0"/>
          <c:showCatName val="0"/>
          <c:showSerName val="0"/>
          <c:showPercent val="0"/>
          <c:showBubbleSize val="0"/>
        </c:dLbls>
        <c:axId val="142857728"/>
        <c:axId val="142876672"/>
      </c:scatterChart>
      <c:valAx>
        <c:axId val="142857728"/>
        <c:scaling>
          <c:orientation val="minMax"/>
          <c:min val="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142876672"/>
        <c:crosses val="autoZero"/>
        <c:crossBetween val="midCat"/>
      </c:valAx>
      <c:valAx>
        <c:axId val="142876672"/>
        <c:scaling>
          <c:orientation val="minMax"/>
          <c:max val="47533.391564334117"/>
          <c:min val="0"/>
        </c:scaling>
        <c:delete val="0"/>
        <c:axPos val="l"/>
        <c:majorGridlines/>
        <c:title>
          <c:tx>
            <c:rich>
              <a:bodyPr rot="-5400000" vert="horz"/>
              <a:lstStyle/>
              <a:p>
                <a:pPr>
                  <a:defRPr sz="1200"/>
                </a:pPr>
                <a:r>
                  <a:rPr lang="en-US" sz="1200"/>
                  <a:t>Inverse Lifetime - Correction Term (s-1)</a:t>
                </a:r>
              </a:p>
            </c:rich>
          </c:tx>
          <c:layout/>
          <c:overlay val="0"/>
        </c:title>
        <c:numFmt formatCode="0" sourceLinked="0"/>
        <c:majorTickMark val="out"/>
        <c:minorTickMark val="none"/>
        <c:tickLblPos val="nextTo"/>
        <c:spPr>
          <a:ln>
            <a:solidFill>
              <a:schemeClr val="tx1"/>
            </a:solidFill>
          </a:ln>
        </c:spPr>
        <c:txPr>
          <a:bodyPr/>
          <a:lstStyle/>
          <a:p>
            <a:pPr>
              <a:defRPr b="1"/>
            </a:pPr>
            <a:endParaRPr lang="en-US"/>
          </a:p>
        </c:txPr>
        <c:crossAx val="142857728"/>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Voc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strRef>
              <c:f>Calc!$X$15:$X$130</c:f>
              <c:strCache>
                <c:ptCount val="116"/>
                <c:pt idx="3">
                  <c:v>0.8049</c:v>
                </c:pt>
                <c:pt idx="4">
                  <c:v>0.8037</c:v>
                </c:pt>
                <c:pt idx="5">
                  <c:v>0.8017</c:v>
                </c:pt>
                <c:pt idx="6">
                  <c:v>0.7997</c:v>
                </c:pt>
                <c:pt idx="7">
                  <c:v>0.7977</c:v>
                </c:pt>
                <c:pt idx="8">
                  <c:v>0.7956</c:v>
                </c:pt>
                <c:pt idx="9">
                  <c:v>0.7936</c:v>
                </c:pt>
                <c:pt idx="10">
                  <c:v>0.7915</c:v>
                </c:pt>
                <c:pt idx="11">
                  <c:v>0.7894</c:v>
                </c:pt>
                <c:pt idx="12">
                  <c:v>0.7873</c:v>
                </c:pt>
                <c:pt idx="13">
                  <c:v>0.7851</c:v>
                </c:pt>
                <c:pt idx="14">
                  <c:v>0.7830</c:v>
                </c:pt>
                <c:pt idx="15">
                  <c:v>0.7808</c:v>
                </c:pt>
                <c:pt idx="16">
                  <c:v>0.7786</c:v>
                </c:pt>
                <c:pt idx="17">
                  <c:v>0.7764</c:v>
                </c:pt>
                <c:pt idx="18">
                  <c:v>0.7742</c:v>
                </c:pt>
                <c:pt idx="19">
                  <c:v>0.7720</c:v>
                </c:pt>
                <c:pt idx="20">
                  <c:v>0.7697</c:v>
                </c:pt>
                <c:pt idx="21">
                  <c:v>0.7675</c:v>
                </c:pt>
                <c:pt idx="22">
                  <c:v>0.7652</c:v>
                </c:pt>
                <c:pt idx="23">
                  <c:v>0.7630</c:v>
                </c:pt>
                <c:pt idx="24">
                  <c:v>0.7607</c:v>
                </c:pt>
                <c:pt idx="25">
                  <c:v>0.7584</c:v>
                </c:pt>
                <c:pt idx="26">
                  <c:v>0.7561</c:v>
                </c:pt>
                <c:pt idx="27">
                  <c:v>0.7537</c:v>
                </c:pt>
                <c:pt idx="28">
                  <c:v>0.7514</c:v>
                </c:pt>
                <c:pt idx="29">
                  <c:v>0.7490</c:v>
                </c:pt>
                <c:pt idx="30">
                  <c:v>0.7467</c:v>
                </c:pt>
                <c:pt idx="31">
                  <c:v>0.7443</c:v>
                </c:pt>
                <c:pt idx="32">
                  <c:v>0.7419</c:v>
                </c:pt>
                <c:pt idx="33">
                  <c:v>0.7395</c:v>
                </c:pt>
                <c:pt idx="34">
                  <c:v>0.7371</c:v>
                </c:pt>
                <c:pt idx="35">
                  <c:v>0.7347</c:v>
                </c:pt>
                <c:pt idx="36">
                  <c:v>0.7323</c:v>
                </c:pt>
                <c:pt idx="37">
                  <c:v>0.7299</c:v>
                </c:pt>
                <c:pt idx="38">
                  <c:v>0.7275</c:v>
                </c:pt>
                <c:pt idx="39">
                  <c:v>0.7250</c:v>
                </c:pt>
                <c:pt idx="40">
                  <c:v>0.7226</c:v>
                </c:pt>
                <c:pt idx="41">
                  <c:v>0.7201</c:v>
                </c:pt>
                <c:pt idx="42">
                  <c:v>0.7177</c:v>
                </c:pt>
                <c:pt idx="43">
                  <c:v>0.7153</c:v>
                </c:pt>
                <c:pt idx="44">
                  <c:v>0.7128</c:v>
                </c:pt>
                <c:pt idx="45">
                  <c:v>0.7104</c:v>
                </c:pt>
                <c:pt idx="46">
                  <c:v>0.7079</c:v>
                </c:pt>
                <c:pt idx="47">
                  <c:v>0.7054</c:v>
                </c:pt>
                <c:pt idx="48">
                  <c:v>0.7029</c:v>
                </c:pt>
                <c:pt idx="49">
                  <c:v>0.7005</c:v>
                </c:pt>
                <c:pt idx="50">
                  <c:v>0.6980</c:v>
                </c:pt>
                <c:pt idx="51">
                  <c:v>0.6955</c:v>
                </c:pt>
                <c:pt idx="52">
                  <c:v>0.6931</c:v>
                </c:pt>
                <c:pt idx="53">
                  <c:v>0.6906</c:v>
                </c:pt>
                <c:pt idx="54">
                  <c:v>0.6881</c:v>
                </c:pt>
                <c:pt idx="55">
                  <c:v>0.6856</c:v>
                </c:pt>
                <c:pt idx="56">
                  <c:v>0.6831</c:v>
                </c:pt>
                <c:pt idx="57">
                  <c:v>0.6806</c:v>
                </c:pt>
                <c:pt idx="58">
                  <c:v>0.6781</c:v>
                </c:pt>
                <c:pt idx="59">
                  <c:v>0.6756</c:v>
                </c:pt>
                <c:pt idx="60">
                  <c:v>0.6731</c:v>
                </c:pt>
                <c:pt idx="61">
                  <c:v>0.6705</c:v>
                </c:pt>
                <c:pt idx="62">
                  <c:v>0.6680</c:v>
                </c:pt>
                <c:pt idx="63">
                  <c:v>0.6655</c:v>
                </c:pt>
                <c:pt idx="64">
                  <c:v>0.6630</c:v>
                </c:pt>
                <c:pt idx="65">
                  <c:v>0.6604</c:v>
                </c:pt>
                <c:pt idx="66">
                  <c:v>0.6579</c:v>
                </c:pt>
                <c:pt idx="67">
                  <c:v>0.6553</c:v>
                </c:pt>
                <c:pt idx="68">
                  <c:v>0.6528</c:v>
                </c:pt>
                <c:pt idx="69">
                  <c:v>0.6502</c:v>
                </c:pt>
                <c:pt idx="70">
                  <c:v>0.6477</c:v>
                </c:pt>
                <c:pt idx="71">
                  <c:v>0.6451</c:v>
                </c:pt>
                <c:pt idx="72">
                  <c:v>0.6424</c:v>
                </c:pt>
                <c:pt idx="73">
                  <c:v>0.6399</c:v>
                </c:pt>
                <c:pt idx="74">
                  <c:v>0.6372</c:v>
                </c:pt>
                <c:pt idx="75">
                  <c:v>0.6346</c:v>
                </c:pt>
                <c:pt idx="76">
                  <c:v>0.6320</c:v>
                </c:pt>
                <c:pt idx="77">
                  <c:v>0.6294</c:v>
                </c:pt>
                <c:pt idx="78">
                  <c:v>0.6268</c:v>
                </c:pt>
                <c:pt idx="79">
                  <c:v>0.6241</c:v>
                </c:pt>
                <c:pt idx="80">
                  <c:v>0.6214</c:v>
                </c:pt>
                <c:pt idx="81">
                  <c:v>0.6187</c:v>
                </c:pt>
                <c:pt idx="82">
                  <c:v>0.6161</c:v>
                </c:pt>
                <c:pt idx="83">
                  <c:v>0.6133</c:v>
                </c:pt>
                <c:pt idx="84">
                  <c:v>0.6105</c:v>
                </c:pt>
                <c:pt idx="85">
                  <c:v>0.6078</c:v>
                </c:pt>
                <c:pt idx="86">
                  <c:v>0.6053</c:v>
                </c:pt>
                <c:pt idx="87">
                  <c:v>0.6026</c:v>
                </c:pt>
                <c:pt idx="88">
                  <c:v>0.5997</c:v>
                </c:pt>
                <c:pt idx="89">
                  <c:v>0.5970</c:v>
                </c:pt>
                <c:pt idx="90">
                  <c:v>0.5943</c:v>
                </c:pt>
                <c:pt idx="91">
                  <c:v>0.5916</c:v>
                </c:pt>
                <c:pt idx="92">
                  <c:v>0.5890</c:v>
                </c:pt>
                <c:pt idx="93">
                  <c:v>0.5864</c:v>
                </c:pt>
                <c:pt idx="94">
                  <c:v>0.5832</c:v>
                </c:pt>
                <c:pt idx="95">
                  <c:v>0.5809</c:v>
                </c:pt>
                <c:pt idx="96">
                  <c:v>0.5780</c:v>
                </c:pt>
                <c:pt idx="97">
                  <c:v>0.5742</c:v>
                </c:pt>
                <c:pt idx="98">
                  <c:v>0.5728</c:v>
                </c:pt>
                <c:pt idx="99">
                  <c:v>0.5692</c:v>
                </c:pt>
                <c:pt idx="100">
                  <c:v>0.5668</c:v>
                </c:pt>
                <c:pt idx="101">
                  <c:v>0.5637</c:v>
                </c:pt>
                <c:pt idx="102">
                  <c:v>0.5607</c:v>
                </c:pt>
                <c:pt idx="103">
                  <c:v>0.5578</c:v>
                </c:pt>
                <c:pt idx="104">
                  <c:v>0.5562</c:v>
                </c:pt>
                <c:pt idx="105">
                  <c:v>0.5535</c:v>
                </c:pt>
                <c:pt idx="106">
                  <c:v>0.5502</c:v>
                </c:pt>
                <c:pt idx="107">
                  <c:v>0.5463</c:v>
                </c:pt>
                <c:pt idx="108">
                  <c:v>0.5445</c:v>
                </c:pt>
                <c:pt idx="109">
                  <c:v>0.5436</c:v>
                </c:pt>
                <c:pt idx="110">
                  <c:v>0.5384</c:v>
                </c:pt>
                <c:pt idx="111">
                  <c:v>0.5327</c:v>
                </c:pt>
                <c:pt idx="112">
                  <c:v>0.5337</c:v>
                </c:pt>
                <c:pt idx="113">
                  <c:v>0.5331</c:v>
                </c:pt>
                <c:pt idx="114">
                  <c:v>0.5296</c:v>
                </c:pt>
                <c:pt idx="115">
                  <c:v>0.5229</c:v>
                </c:pt>
              </c:strCache>
            </c:strRef>
          </c:xVal>
          <c:yVal>
            <c:numRef>
              <c:f>Calc!$Y$15:$Y$130</c:f>
              <c:numCache>
                <c:formatCode>0.00</c:formatCode>
                <c:ptCount val="116"/>
                <c:pt idx="0">
                  <c:v>0</c:v>
                </c:pt>
                <c:pt idx="1">
                  <c:v>0</c:v>
                </c:pt>
                <c:pt idx="2">
                  <c:v>0</c:v>
                </c:pt>
                <c:pt idx="3">
                  <c:v>44.666739527872188</c:v>
                </c:pt>
                <c:pt idx="4">
                  <c:v>42.81452785278578</c:v>
                </c:pt>
                <c:pt idx="5">
                  <c:v>40.944470742017089</c:v>
                </c:pt>
                <c:pt idx="6">
                  <c:v>38.81166173411988</c:v>
                </c:pt>
                <c:pt idx="7">
                  <c:v>36.63651456470938</c:v>
                </c:pt>
                <c:pt idx="8">
                  <c:v>34.593756475836294</c:v>
                </c:pt>
                <c:pt idx="9">
                  <c:v>32.670284672006879</c:v>
                </c:pt>
                <c:pt idx="10">
                  <c:v>30.862834348245546</c:v>
                </c:pt>
                <c:pt idx="11">
                  <c:v>29.158014898895519</c:v>
                </c:pt>
                <c:pt idx="12">
                  <c:v>27.54885552612491</c:v>
                </c:pt>
                <c:pt idx="13">
                  <c:v>26.040033567803363</c:v>
                </c:pt>
                <c:pt idx="14">
                  <c:v>24.624927553359001</c:v>
                </c:pt>
                <c:pt idx="15">
                  <c:v>23.29260918900362</c:v>
                </c:pt>
                <c:pt idx="16">
                  <c:v>22.048516429277871</c:v>
                </c:pt>
                <c:pt idx="17">
                  <c:v>20.864672286763081</c:v>
                </c:pt>
                <c:pt idx="18">
                  <c:v>19.752677838072767</c:v>
                </c:pt>
                <c:pt idx="19">
                  <c:v>18.710256022475718</c:v>
                </c:pt>
                <c:pt idx="20">
                  <c:v>17.727332177767842</c:v>
                </c:pt>
                <c:pt idx="21">
                  <c:v>16.794970991185167</c:v>
                </c:pt>
                <c:pt idx="22">
                  <c:v>15.894515080722512</c:v>
                </c:pt>
                <c:pt idx="23">
                  <c:v>15.068485738900032</c:v>
                </c:pt>
                <c:pt idx="24">
                  <c:v>14.289875305240791</c:v>
                </c:pt>
                <c:pt idx="25">
                  <c:v>13.558565927254058</c:v>
                </c:pt>
                <c:pt idx="26">
                  <c:v>12.869881722002024</c:v>
                </c:pt>
                <c:pt idx="27">
                  <c:v>12.216754926436156</c:v>
                </c:pt>
                <c:pt idx="28">
                  <c:v>11.600533065380153</c:v>
                </c:pt>
                <c:pt idx="29">
                  <c:v>11.015718910871849</c:v>
                </c:pt>
                <c:pt idx="30">
                  <c:v>10.464281448258866</c:v>
                </c:pt>
                <c:pt idx="31">
                  <c:v>9.9464517512451014</c:v>
                </c:pt>
                <c:pt idx="32">
                  <c:v>9.4479271644057921</c:v>
                </c:pt>
                <c:pt idx="33">
                  <c:v>8.9751210699225705</c:v>
                </c:pt>
                <c:pt idx="34">
                  <c:v>8.5284674110946597</c:v>
                </c:pt>
                <c:pt idx="35">
                  <c:v>8.1075234111823651</c:v>
                </c:pt>
                <c:pt idx="36">
                  <c:v>7.7068541227165692</c:v>
                </c:pt>
                <c:pt idx="37">
                  <c:v>7.3313013180266342</c:v>
                </c:pt>
                <c:pt idx="38">
                  <c:v>6.9724481066947561</c:v>
                </c:pt>
                <c:pt idx="39">
                  <c:v>6.6368912120257866</c:v>
                </c:pt>
                <c:pt idx="40">
                  <c:v>6.3138933424043575</c:v>
                </c:pt>
                <c:pt idx="41">
                  <c:v>6.0062200521649682</c:v>
                </c:pt>
                <c:pt idx="42">
                  <c:v>5.712914826628773</c:v>
                </c:pt>
                <c:pt idx="43">
                  <c:v>5.4395102086353644</c:v>
                </c:pt>
                <c:pt idx="44">
                  <c:v>5.1763021888961394</c:v>
                </c:pt>
                <c:pt idx="45">
                  <c:v>4.9291421021377531</c:v>
                </c:pt>
                <c:pt idx="46">
                  <c:v>4.6923007719145167</c:v>
                </c:pt>
                <c:pt idx="47">
                  <c:v>4.4656951601598349</c:v>
                </c:pt>
                <c:pt idx="48">
                  <c:v>4.2530047084828881</c:v>
                </c:pt>
                <c:pt idx="49">
                  <c:v>4.0450697174311676</c:v>
                </c:pt>
                <c:pt idx="50">
                  <c:v>3.8518551439776449</c:v>
                </c:pt>
                <c:pt idx="51">
                  <c:v>3.6671423044674953</c:v>
                </c:pt>
                <c:pt idx="52">
                  <c:v>3.4890114706252615</c:v>
                </c:pt>
                <c:pt idx="53">
                  <c:v>3.3241074946725631</c:v>
                </c:pt>
                <c:pt idx="54">
                  <c:v>3.1639787886928743</c:v>
                </c:pt>
                <c:pt idx="55">
                  <c:v>3.0064149771646882</c:v>
                </c:pt>
                <c:pt idx="56">
                  <c:v>2.8582974905940923</c:v>
                </c:pt>
                <c:pt idx="57">
                  <c:v>2.7187808249268399</c:v>
                </c:pt>
                <c:pt idx="58">
                  <c:v>2.5893478147315956</c:v>
                </c:pt>
                <c:pt idx="59">
                  <c:v>2.4643822173991143</c:v>
                </c:pt>
                <c:pt idx="60">
                  <c:v>2.3477398103889873</c:v>
                </c:pt>
                <c:pt idx="61">
                  <c:v>2.232163789958173</c:v>
                </c:pt>
                <c:pt idx="62">
                  <c:v>2.1219688506250018</c:v>
                </c:pt>
                <c:pt idx="63">
                  <c:v>2.0193565597991814</c:v>
                </c:pt>
                <c:pt idx="64">
                  <c:v>1.9214454724504022</c:v>
                </c:pt>
                <c:pt idx="65">
                  <c:v>1.8292309783305762</c:v>
                </c:pt>
                <c:pt idx="66">
                  <c:v>1.7426706868107529</c:v>
                </c:pt>
                <c:pt idx="67">
                  <c:v>1.6557767955876794</c:v>
                </c:pt>
                <c:pt idx="68">
                  <c:v>1.5746658322414955</c:v>
                </c:pt>
                <c:pt idx="69">
                  <c:v>1.4941605458798026</c:v>
                </c:pt>
                <c:pt idx="70">
                  <c:v>1.4226769325826667</c:v>
                </c:pt>
                <c:pt idx="71">
                  <c:v>1.3501089114735385</c:v>
                </c:pt>
                <c:pt idx="72">
                  <c:v>1.2826386727364236</c:v>
                </c:pt>
                <c:pt idx="73">
                  <c:v>1.2187728991639613</c:v>
                </c:pt>
                <c:pt idx="74">
                  <c:v>1.1590171653141006</c:v>
                </c:pt>
                <c:pt idx="75">
                  <c:v>1.1012159510605555</c:v>
                </c:pt>
                <c:pt idx="76">
                  <c:v>1.0435801000732603</c:v>
                </c:pt>
                <c:pt idx="77">
                  <c:v>0.99070667632634624</c:v>
                </c:pt>
                <c:pt idx="78">
                  <c:v>0.94220159791518698</c:v>
                </c:pt>
                <c:pt idx="79">
                  <c:v>0.89535523344880896</c:v>
                </c:pt>
                <c:pt idx="80">
                  <c:v>0.85088567767158585</c:v>
                </c:pt>
                <c:pt idx="81">
                  <c:v>0.80478658577575757</c:v>
                </c:pt>
                <c:pt idx="82">
                  <c:v>0.76465235181199109</c:v>
                </c:pt>
                <c:pt idx="83">
                  <c:v>0.72544110065336198</c:v>
                </c:pt>
                <c:pt idx="84">
                  <c:v>0.6871942874875665</c:v>
                </c:pt>
                <c:pt idx="85">
                  <c:v>0.65034185741627337</c:v>
                </c:pt>
                <c:pt idx="86">
                  <c:v>0.61558707060224904</c:v>
                </c:pt>
                <c:pt idx="87">
                  <c:v>0.58372093361770705</c:v>
                </c:pt>
                <c:pt idx="88">
                  <c:v>0.55637564855507537</c:v>
                </c:pt>
                <c:pt idx="89">
                  <c:v>0.52510205499744811</c:v>
                </c:pt>
                <c:pt idx="90">
                  <c:v>0.49582313581375004</c:v>
                </c:pt>
                <c:pt idx="91">
                  <c:v>0.47119767326214657</c:v>
                </c:pt>
                <c:pt idx="92">
                  <c:v>0.44677764815882454</c:v>
                </c:pt>
                <c:pt idx="93">
                  <c:v>0.42018962206013549</c:v>
                </c:pt>
                <c:pt idx="94">
                  <c:v>0.39983135997750979</c:v>
                </c:pt>
                <c:pt idx="95">
                  <c:v>0.37624583364369452</c:v>
                </c:pt>
                <c:pt idx="96">
                  <c:v>0.35657780106721121</c:v>
                </c:pt>
                <c:pt idx="97">
                  <c:v>0.3335680597400395</c:v>
                </c:pt>
                <c:pt idx="98">
                  <c:v>0.31635451831942035</c:v>
                </c:pt>
                <c:pt idx="99">
                  <c:v>0.29957022518337911</c:v>
                </c:pt>
                <c:pt idx="100">
                  <c:v>0.28265326682245845</c:v>
                </c:pt>
                <c:pt idx="101">
                  <c:v>0.2648951647629218</c:v>
                </c:pt>
                <c:pt idx="102">
                  <c:v>0.24780463409319739</c:v>
                </c:pt>
                <c:pt idx="103">
                  <c:v>0.23407463829801731</c:v>
                </c:pt>
                <c:pt idx="104">
                  <c:v>0.22028672949604705</c:v>
                </c:pt>
                <c:pt idx="105">
                  <c:v>0.20977478979715813</c:v>
                </c:pt>
                <c:pt idx="106">
                  <c:v>0.19438046866719158</c:v>
                </c:pt>
                <c:pt idx="107">
                  <c:v>0.18235398912567533</c:v>
                </c:pt>
                <c:pt idx="108">
                  <c:v>0.1716992541744545</c:v>
                </c:pt>
                <c:pt idx="109">
                  <c:v>0.16316684909995971</c:v>
                </c:pt>
                <c:pt idx="110">
                  <c:v>0.15379642347972186</c:v>
                </c:pt>
                <c:pt idx="111">
                  <c:v>0.14213807570937759</c:v>
                </c:pt>
                <c:pt idx="112">
                  <c:v>0.13395509985364379</c:v>
                </c:pt>
                <c:pt idx="113">
                  <c:v>0.12294805731816402</c:v>
                </c:pt>
                <c:pt idx="114">
                  <c:v>0.11857344269930994</c:v>
                </c:pt>
                <c:pt idx="115">
                  <c:v>0.10968936852518051</c:v>
                </c:pt>
              </c:numCache>
            </c:numRef>
          </c:yVal>
          <c:smooth val="0"/>
        </c:ser>
        <c:dLbls>
          <c:showLegendKey val="0"/>
          <c:showVal val="0"/>
          <c:showCatName val="0"/>
          <c:showSerName val="0"/>
          <c:showPercent val="0"/>
          <c:showBubbleSize val="0"/>
        </c:dLbls>
        <c:axId val="142902784"/>
        <c:axId val="142913536"/>
      </c:scatterChart>
      <c:valAx>
        <c:axId val="142902784"/>
        <c:scaling>
          <c:orientation val="minMax"/>
          <c:min val="0.4"/>
        </c:scaling>
        <c:delete val="0"/>
        <c:axPos val="b"/>
        <c:majorGridlines/>
        <c:title>
          <c:tx>
            <c:rich>
              <a:bodyPr/>
              <a:lstStyle/>
              <a:p>
                <a:pPr>
                  <a:defRPr sz="1200"/>
                </a:pPr>
                <a:r>
                  <a:rPr lang="en-US" sz="1200"/>
                  <a:t>Implied Open Circuit Voltage (V)</a:t>
                </a:r>
              </a:p>
            </c:rich>
          </c:tx>
          <c:layout/>
          <c:overlay val="0"/>
        </c:title>
        <c:numFmt formatCode="0.0000" sourceLinked="1"/>
        <c:majorTickMark val="out"/>
        <c:minorTickMark val="none"/>
        <c:tickLblPos val="low"/>
        <c:txPr>
          <a:bodyPr/>
          <a:lstStyle/>
          <a:p>
            <a:pPr>
              <a:defRPr b="1"/>
            </a:pPr>
            <a:endParaRPr lang="en-US"/>
          </a:p>
        </c:txPr>
        <c:crossAx val="142913536"/>
        <c:crosses val="autoZero"/>
        <c:crossBetween val="midCat"/>
      </c:valAx>
      <c:valAx>
        <c:axId val="142913536"/>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a:pPr>
                <a:r>
                  <a:rPr lang="en-US" sz="1200"/>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b="1"/>
            </a:pPr>
            <a:endParaRPr lang="en-US"/>
          </a:p>
        </c:txPr>
        <c:crossAx val="142902784"/>
        <c:crosses val="autoZero"/>
        <c:crossBetween val="midCat"/>
      </c:valAx>
      <c:spPr>
        <a:ln>
          <a:solidFill>
            <a:sysClr val="windowText" lastClr="000000"/>
          </a:solidFill>
        </a:ln>
      </c:spPr>
    </c:plotArea>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Minority Carrier Lifetime (no Auger Correction)  vs Minority Carrier Density</a:t>
            </a: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5.2026036746357208E+16</c:v>
                </c:pt>
                <c:pt idx="1">
                  <c:v>5.2026036746357208E+16</c:v>
                </c:pt>
                <c:pt idx="2">
                  <c:v>5.2026036746357208E+16</c:v>
                </c:pt>
                <c:pt idx="3">
                  <c:v>5.2026036746357208E+16</c:v>
                </c:pt>
                <c:pt idx="4">
                  <c:v>5.2026036746357208E+16</c:v>
                </c:pt>
                <c:pt idx="5">
                  <c:v>5.2026036746357208E+16</c:v>
                </c:pt>
                <c:pt idx="6">
                  <c:v>5.2013948081466216E+16</c:v>
                </c:pt>
                <c:pt idx="7">
                  <c:v>5.0773485096633512E+16</c:v>
                </c:pt>
                <c:pt idx="8">
                  <c:v>4.8757879264362536E+16</c:v>
                </c:pt>
                <c:pt idx="9">
                  <c:v>4.6784758491489496E+16</c:v>
                </c:pt>
                <c:pt idx="10">
                  <c:v>4.487878794563816E+16</c:v>
                </c:pt>
                <c:pt idx="11">
                  <c:v>4.3031153215258848E+16</c:v>
                </c:pt>
                <c:pt idx="12">
                  <c:v>4.1238707250754864E+16</c:v>
                </c:pt>
                <c:pt idx="13">
                  <c:v>3.950017372885296E+16</c:v>
                </c:pt>
                <c:pt idx="14">
                  <c:v>3.78126213718818E+16</c:v>
                </c:pt>
                <c:pt idx="15">
                  <c:v>3.6187091115367704E+16</c:v>
                </c:pt>
                <c:pt idx="16">
                  <c:v>3.4602750369678396E+16</c:v>
                </c:pt>
                <c:pt idx="17">
                  <c:v>3.3087633836506652E+16</c:v>
                </c:pt>
                <c:pt idx="18">
                  <c:v>3.1618728278715068E+16</c:v>
                </c:pt>
                <c:pt idx="19">
                  <c:v>3.0192975810282412E+16</c:v>
                </c:pt>
                <c:pt idx="20">
                  <c:v>2.8822536267712164E+16</c:v>
                </c:pt>
                <c:pt idx="21">
                  <c:v>2.7495567520674884E+16</c:v>
                </c:pt>
                <c:pt idx="22">
                  <c:v>2.6223350176377768E+16</c:v>
                </c:pt>
                <c:pt idx="23">
                  <c:v>2.4998869847838296E+16</c:v>
                </c:pt>
                <c:pt idx="24">
                  <c:v>2.3816397735887984E+16</c:v>
                </c:pt>
                <c:pt idx="25">
                  <c:v>2.2688066943653968E+16</c:v>
                </c:pt>
                <c:pt idx="26">
                  <c:v>2.1600930686647804E+16</c:v>
                </c:pt>
                <c:pt idx="27">
                  <c:v>2.0555686508262216E+16</c:v>
                </c:pt>
                <c:pt idx="28">
                  <c:v>1.9546577929605804E+16</c:v>
                </c:pt>
                <c:pt idx="29">
                  <c:v>1.8586990390344212E+16</c:v>
                </c:pt>
                <c:pt idx="30">
                  <c:v>1.7654557046110988E+16</c:v>
                </c:pt>
                <c:pt idx="31">
                  <c:v>1.6765499005896626E+16</c:v>
                </c:pt>
                <c:pt idx="32">
                  <c:v>1.591041447702518E+16</c:v>
                </c:pt>
                <c:pt idx="33">
                  <c:v>1.5088206084509412E+16</c:v>
                </c:pt>
                <c:pt idx="34">
                  <c:v>1.4302153920531412E+16</c:v>
                </c:pt>
                <c:pt idx="35">
                  <c:v>1.354623314631166E+16</c:v>
                </c:pt>
                <c:pt idx="36">
                  <c:v>1.2826218181369952E+16</c:v>
                </c:pt>
                <c:pt idx="37">
                  <c:v>1.2135253580488122E+16</c:v>
                </c:pt>
                <c:pt idx="38">
                  <c:v>1.148211116942456E+16</c:v>
                </c:pt>
                <c:pt idx="39">
                  <c:v>1.0851233229987238E+16</c:v>
                </c:pt>
                <c:pt idx="40">
                  <c:v>1.0256931427627252E+16</c:v>
                </c:pt>
                <c:pt idx="41">
                  <c:v>9683989797812950</c:v>
                </c:pt>
                <c:pt idx="42">
                  <c:v>9140908309771554</c:v>
                </c:pt>
                <c:pt idx="43">
                  <c:v>8620774946768362</c:v>
                </c:pt>
                <c:pt idx="44">
                  <c:v>8123234825620185</c:v>
                </c:pt>
                <c:pt idx="45">
                  <c:v>7654029768246220</c:v>
                </c:pt>
                <c:pt idx="46">
                  <c:v>7204231213323801</c:v>
                </c:pt>
                <c:pt idx="47">
                  <c:v>6778217281180770</c:v>
                </c:pt>
                <c:pt idx="48">
                  <c:v>6369566126721776</c:v>
                </c:pt>
                <c:pt idx="49">
                  <c:v>5985273503833316</c:v>
                </c:pt>
                <c:pt idx="50">
                  <c:v>5612771342035677</c:v>
                </c:pt>
                <c:pt idx="51">
                  <c:v>5263234749654164</c:v>
                </c:pt>
                <c:pt idx="52">
                  <c:v>4935554914535466</c:v>
                </c:pt>
                <c:pt idx="53">
                  <c:v>4621038939032045</c:v>
                </c:pt>
                <c:pt idx="54">
                  <c:v>4321134505446425</c:v>
                </c:pt>
                <c:pt idx="55">
                  <c:v>4041785753429148</c:v>
                </c:pt>
                <c:pt idx="56">
                  <c:v>3773790477286341.5</c:v>
                </c:pt>
                <c:pt idx="57">
                  <c:v>3521789677648033</c:v>
                </c:pt>
                <c:pt idx="58">
                  <c:v>3280616098459796</c:v>
                </c:pt>
                <c:pt idx="59">
                  <c:v>3056235735884297.5</c:v>
                </c:pt>
                <c:pt idx="60">
                  <c:v>2843367280130164</c:v>
                </c:pt>
                <c:pt idx="61">
                  <c:v>2645789041127380.5</c:v>
                </c:pt>
                <c:pt idx="62">
                  <c:v>2454907649110743</c:v>
                </c:pt>
                <c:pt idx="63">
                  <c:v>2279096217709575</c:v>
                </c:pt>
                <c:pt idx="64">
                  <c:v>2110183482339978.5</c:v>
                </c:pt>
                <c:pt idx="65">
                  <c:v>1951586799628186</c:v>
                </c:pt>
                <c:pt idx="66">
                  <c:v>1804948813713532</c:v>
                </c:pt>
                <c:pt idx="67">
                  <c:v>1668499854874733.7</c:v>
                </c:pt>
                <c:pt idx="68">
                  <c:v>1538775386370625.2</c:v>
                </c:pt>
                <c:pt idx="69">
                  <c:v>1417831418274960.7</c:v>
                </c:pt>
                <c:pt idx="70">
                  <c:v>1303623589639482.2</c:v>
                </c:pt>
                <c:pt idx="71">
                  <c:v>1200389928685442</c:v>
                </c:pt>
                <c:pt idx="72">
                  <c:v>1102233216331581.5</c:v>
                </c:pt>
                <c:pt idx="73">
                  <c:v>1013544112994347.6</c:v>
                </c:pt>
                <c:pt idx="74">
                  <c:v>927121933789796.75</c:v>
                </c:pt>
                <c:pt idx="75">
                  <c:v>847590918195712.37</c:v>
                </c:pt>
                <c:pt idx="76">
                  <c:v>776610257422666.37</c:v>
                </c:pt>
                <c:pt idx="77">
                  <c:v>707734020441370.12</c:v>
                </c:pt>
                <c:pt idx="78">
                  <c:v>644733768040229.75</c:v>
                </c:pt>
                <c:pt idx="79">
                  <c:v>589068337905270.12</c:v>
                </c:pt>
                <c:pt idx="80">
                  <c:v>536218500668563.62</c:v>
                </c:pt>
                <c:pt idx="81">
                  <c:v>489405479215103.75</c:v>
                </c:pt>
                <c:pt idx="82">
                  <c:v>443964099186424.87</c:v>
                </c:pt>
                <c:pt idx="83">
                  <c:v>402681757323470.44</c:v>
                </c:pt>
                <c:pt idx="84">
                  <c:v>364425959597825.56</c:v>
                </c:pt>
                <c:pt idx="85">
                  <c:v>331528780997945.56</c:v>
                </c:pt>
                <c:pt idx="86">
                  <c:v>298075132108584.37</c:v>
                </c:pt>
                <c:pt idx="87">
                  <c:v>269297908886361.12</c:v>
                </c:pt>
                <c:pt idx="88">
                  <c:v>243137722392296.69</c:v>
                </c:pt>
                <c:pt idx="89">
                  <c:v>221756416639188.34</c:v>
                </c:pt>
                <c:pt idx="90">
                  <c:v>200146207059703.28</c:v>
                </c:pt>
                <c:pt idx="91">
                  <c:v>179364762459111</c:v>
                </c:pt>
                <c:pt idx="92">
                  <c:v>161966290330959.31</c:v>
                </c:pt>
                <c:pt idx="93">
                  <c:v>146491290288118.47</c:v>
                </c:pt>
                <c:pt idx="94">
                  <c:v>131913501937820.28</c:v>
                </c:pt>
                <c:pt idx="95">
                  <c:v>119604808446187.81</c:v>
                </c:pt>
                <c:pt idx="96">
                  <c:v>108511133058881.77</c:v>
                </c:pt>
                <c:pt idx="97">
                  <c:v>96001934641095.437</c:v>
                </c:pt>
                <c:pt idx="98">
                  <c:v>87923388082664.016</c:v>
                </c:pt>
                <c:pt idx="99">
                  <c:v>78515324523758.891</c:v>
                </c:pt>
                <c:pt idx="100">
                  <c:v>67874460910863.133</c:v>
                </c:pt>
                <c:pt idx="101">
                  <c:v>64371082353262.195</c:v>
                </c:pt>
                <c:pt idx="102">
                  <c:v>56037485865647.883</c:v>
                </c:pt>
                <c:pt idx="103">
                  <c:v>51091088454249.281</c:v>
                </c:pt>
                <c:pt idx="104">
                  <c:v>45380771864236.062</c:v>
                </c:pt>
                <c:pt idx="105">
                  <c:v>40297685737087.211</c:v>
                </c:pt>
                <c:pt idx="106">
                  <c:v>36046570508861.305</c:v>
                </c:pt>
                <c:pt idx="107">
                  <c:v>33922677517466.73</c:v>
                </c:pt>
                <c:pt idx="108">
                  <c:v>30591615026106.937</c:v>
                </c:pt>
                <c:pt idx="109">
                  <c:v>26821974319084.117</c:v>
                </c:pt>
                <c:pt idx="110">
                  <c:v>23115236924667.164</c:v>
                </c:pt>
                <c:pt idx="111">
                  <c:v>21527861316623.66</c:v>
                </c:pt>
                <c:pt idx="112">
                  <c:v>20822687338503.367</c:v>
                </c:pt>
                <c:pt idx="113">
                  <c:v>17034975158253.322</c:v>
                </c:pt>
                <c:pt idx="114">
                  <c:v>13633537498870.896</c:v>
                </c:pt>
                <c:pt idx="115">
                  <c:v>14161049282395.039</c:v>
                </c:pt>
                <c:pt idx="116">
                  <c:v>13867959726404.762</c:v>
                </c:pt>
                <c:pt idx="117">
                  <c:v>12080971802786.779</c:v>
                </c:pt>
                <c:pt idx="118">
                  <c:v>9300794632949.9102</c:v>
                </c:pt>
                <c:pt idx="119">
                  <c:v>8803679412687.748</c:v>
                </c:pt>
              </c:numCache>
            </c:numRef>
          </c:xVal>
          <c:yVal>
            <c:numRef>
              <c:f>Calc!$P$12:$P$131</c:f>
              <c:numCache>
                <c:formatCode>0.00E+00</c:formatCode>
                <c:ptCount val="120"/>
                <c:pt idx="0">
                  <c:v>1.1021388823813468E-4</c:v>
                </c:pt>
                <c:pt idx="1">
                  <c:v>1.0692231886130217E-4</c:v>
                </c:pt>
                <c:pt idx="2">
                  <c:v>1.1202638020035421E-4</c:v>
                </c:pt>
                <c:pt idx="3">
                  <c:v>1.18821107333955E-4</c:v>
                </c:pt>
                <c:pt idx="4">
                  <c:v>1.2625150741205977E-4</c:v>
                </c:pt>
                <c:pt idx="5">
                  <c:v>1.3327145945317591E-4</c:v>
                </c:pt>
                <c:pt idx="6">
                  <c:v>1.3956275029491119E-4</c:v>
                </c:pt>
                <c:pt idx="7">
                  <c:v>1.4212803995937404E-4</c:v>
                </c:pt>
                <c:pt idx="8">
                  <c:v>1.4271955978045636E-4</c:v>
                </c:pt>
                <c:pt idx="9">
                  <c:v>1.4446947875747663E-4</c:v>
                </c:pt>
                <c:pt idx="10">
                  <c:v>1.4681178556465188E-4</c:v>
                </c:pt>
                <c:pt idx="11">
                  <c:v>1.4907994120486138E-4</c:v>
                </c:pt>
                <c:pt idx="12">
                  <c:v>1.5128158826291488E-4</c:v>
                </c:pt>
                <c:pt idx="13">
                  <c:v>1.5339003601929477E-4</c:v>
                </c:pt>
                <c:pt idx="14">
                  <c:v>1.5542210405339074E-4</c:v>
                </c:pt>
                <c:pt idx="15">
                  <c:v>1.5742875610768047E-4</c:v>
                </c:pt>
                <c:pt idx="16">
                  <c:v>1.5925865054472268E-4</c:v>
                </c:pt>
                <c:pt idx="17">
                  <c:v>1.6103664020258746E-4</c:v>
                </c:pt>
                <c:pt idx="18">
                  <c:v>1.6268975679088524E-4</c:v>
                </c:pt>
                <c:pt idx="19">
                  <c:v>1.6411961821743783E-4</c:v>
                </c:pt>
                <c:pt idx="20">
                  <c:v>1.6555967990242301E-4</c:v>
                </c:pt>
                <c:pt idx="21">
                  <c:v>1.6682865909768951E-4</c:v>
                </c:pt>
                <c:pt idx="22">
                  <c:v>1.6797412818170797E-4</c:v>
                </c:pt>
                <c:pt idx="23">
                  <c:v>1.6900943283540152E-4</c:v>
                </c:pt>
                <c:pt idx="24">
                  <c:v>1.6995375636822112E-4</c:v>
                </c:pt>
                <c:pt idx="25">
                  <c:v>1.7107406053861824E-4</c:v>
                </c:pt>
                <c:pt idx="26">
                  <c:v>1.7180539741691508E-4</c:v>
                </c:pt>
                <c:pt idx="27">
                  <c:v>1.7240009393270419E-4</c:v>
                </c:pt>
                <c:pt idx="28">
                  <c:v>1.7277898949044634E-4</c:v>
                </c:pt>
                <c:pt idx="29">
                  <c:v>1.730886020268032E-4</c:v>
                </c:pt>
                <c:pt idx="30">
                  <c:v>1.7319482657732893E-4</c:v>
                </c:pt>
                <c:pt idx="31">
                  <c:v>1.7320981165905921E-4</c:v>
                </c:pt>
                <c:pt idx="32">
                  <c:v>1.7310220480599314E-4</c:v>
                </c:pt>
                <c:pt idx="33">
                  <c:v>1.7280732474522217E-4</c:v>
                </c:pt>
                <c:pt idx="34">
                  <c:v>1.7233251213552973E-4</c:v>
                </c:pt>
                <c:pt idx="35">
                  <c:v>1.7183671472355212E-4</c:v>
                </c:pt>
                <c:pt idx="36">
                  <c:v>1.71274322808756E-4</c:v>
                </c:pt>
                <c:pt idx="37">
                  <c:v>1.7053432758074009E-4</c:v>
                </c:pt>
                <c:pt idx="38">
                  <c:v>1.6973346904038201E-4</c:v>
                </c:pt>
                <c:pt idx="39">
                  <c:v>1.6874694183553483E-4</c:v>
                </c:pt>
                <c:pt idx="40">
                  <c:v>1.676757795523587E-4</c:v>
                </c:pt>
                <c:pt idx="41">
                  <c:v>1.6645735295763416E-4</c:v>
                </c:pt>
                <c:pt idx="42">
                  <c:v>1.650663716840773E-4</c:v>
                </c:pt>
                <c:pt idx="43">
                  <c:v>1.6363756855896359E-4</c:v>
                </c:pt>
                <c:pt idx="44">
                  <c:v>1.6209205188155216E-4</c:v>
                </c:pt>
                <c:pt idx="45">
                  <c:v>1.6057071796066487E-4</c:v>
                </c:pt>
                <c:pt idx="46">
                  <c:v>1.5873101671421823E-4</c:v>
                </c:pt>
                <c:pt idx="47">
                  <c:v>1.5693861503800601E-4</c:v>
                </c:pt>
                <c:pt idx="48">
                  <c:v>1.5487184194493635E-4</c:v>
                </c:pt>
                <c:pt idx="49">
                  <c:v>1.5287346527730812E-4</c:v>
                </c:pt>
                <c:pt idx="50">
                  <c:v>1.5063372913382125E-4</c:v>
                </c:pt>
                <c:pt idx="51">
                  <c:v>1.4831696459419725E-4</c:v>
                </c:pt>
                <c:pt idx="52">
                  <c:v>1.4623250806846544E-4</c:v>
                </c:pt>
                <c:pt idx="53">
                  <c:v>1.437817063320368E-4</c:v>
                </c:pt>
                <c:pt idx="54">
                  <c:v>1.4122252533992874E-4</c:v>
                </c:pt>
                <c:pt idx="55">
                  <c:v>1.388368792197433E-4</c:v>
                </c:pt>
                <c:pt idx="56">
                  <c:v>1.3606194543135439E-4</c:v>
                </c:pt>
                <c:pt idx="57">
                  <c:v>1.3340244960910282E-4</c:v>
                </c:pt>
                <c:pt idx="58">
                  <c:v>1.3077973015828963E-4</c:v>
                </c:pt>
                <c:pt idx="59">
                  <c:v>1.2814845454984191E-4</c:v>
                </c:pt>
                <c:pt idx="60">
                  <c:v>1.2534087286258794E-4</c:v>
                </c:pt>
                <c:pt idx="61">
                  <c:v>1.224612741488277E-4</c:v>
                </c:pt>
                <c:pt idx="62">
                  <c:v>1.1938810099173661E-4</c:v>
                </c:pt>
                <c:pt idx="63">
                  <c:v>1.1634471165608758E-4</c:v>
                </c:pt>
                <c:pt idx="64">
                  <c:v>1.1329953097079958E-4</c:v>
                </c:pt>
                <c:pt idx="65">
                  <c:v>1.1022568819933569E-4</c:v>
                </c:pt>
                <c:pt idx="66">
                  <c:v>1.0712376604185369E-4</c:v>
                </c:pt>
                <c:pt idx="67">
                  <c:v>1.0407155899405569E-4</c:v>
                </c:pt>
                <c:pt idx="68">
                  <c:v>1.0081859359492499E-4</c:v>
                </c:pt>
                <c:pt idx="69">
                  <c:v>9.7508667419684869E-5</c:v>
                </c:pt>
                <c:pt idx="70">
                  <c:v>9.435922606384288E-5</c:v>
                </c:pt>
                <c:pt idx="71">
                  <c:v>9.136248223849108E-5</c:v>
                </c:pt>
                <c:pt idx="72">
                  <c:v>8.8411789630937098E-5</c:v>
                </c:pt>
                <c:pt idx="73">
                  <c:v>8.5382785132386327E-5</c:v>
                </c:pt>
                <c:pt idx="74">
                  <c:v>8.2300410873662928E-5</c:v>
                </c:pt>
                <c:pt idx="75">
                  <c:v>7.9198310307788413E-5</c:v>
                </c:pt>
                <c:pt idx="76">
                  <c:v>7.6368504370029423E-5</c:v>
                </c:pt>
                <c:pt idx="77">
                  <c:v>7.3183665170867016E-5</c:v>
                </c:pt>
                <c:pt idx="78">
                  <c:v>7.0168448687885955E-5</c:v>
                </c:pt>
                <c:pt idx="79">
                  <c:v>6.7650941149800947E-5</c:v>
                </c:pt>
                <c:pt idx="80">
                  <c:v>6.4868022072610317E-5</c:v>
                </c:pt>
                <c:pt idx="81">
                  <c:v>6.2252807522985383E-5</c:v>
                </c:pt>
                <c:pt idx="82">
                  <c:v>5.9427358648644249E-5</c:v>
                </c:pt>
                <c:pt idx="83">
                  <c:v>5.6718494304574738E-5</c:v>
                </c:pt>
                <c:pt idx="84">
                  <c:v>5.4270338277293005E-5</c:v>
                </c:pt>
                <c:pt idx="85">
                  <c:v>5.1962634266157338E-5</c:v>
                </c:pt>
                <c:pt idx="86">
                  <c:v>4.9244478119696203E-5</c:v>
                </c:pt>
                <c:pt idx="87">
                  <c:v>4.6966412917348694E-5</c:v>
                </c:pt>
                <c:pt idx="88">
                  <c:v>4.4806868081671803E-5</c:v>
                </c:pt>
                <c:pt idx="89">
                  <c:v>4.3173837954366961E-5</c:v>
                </c:pt>
                <c:pt idx="90">
                  <c:v>4.1093775819611686E-5</c:v>
                </c:pt>
                <c:pt idx="91">
                  <c:v>3.8636961458443548E-5</c:v>
                </c:pt>
                <c:pt idx="92">
                  <c:v>3.6967056294440355E-5</c:v>
                </c:pt>
                <c:pt idx="93">
                  <c:v>3.5409432632617366E-5</c:v>
                </c:pt>
                <c:pt idx="94">
                  <c:v>3.3552127545897157E-5</c:v>
                </c:pt>
                <c:pt idx="95">
                  <c:v>3.2084195480027124E-5</c:v>
                </c:pt>
                <c:pt idx="96">
                  <c:v>3.0950162101501506E-5</c:v>
                </c:pt>
                <c:pt idx="97">
                  <c:v>2.8776441133891697E-5</c:v>
                </c:pt>
                <c:pt idx="98">
                  <c:v>2.8007004882798113E-5</c:v>
                </c:pt>
                <c:pt idx="99">
                  <c:v>2.6389677273490557E-5</c:v>
                </c:pt>
                <c:pt idx="100">
                  <c:v>2.4386860049978057E-5</c:v>
                </c:pt>
                <c:pt idx="101">
                  <c:v>2.4386570048238881E-5</c:v>
                </c:pt>
                <c:pt idx="102">
                  <c:v>2.2418881838856699E-5</c:v>
                </c:pt>
                <c:pt idx="103">
                  <c:v>2.1663324109250735E-5</c:v>
                </c:pt>
                <c:pt idx="104">
                  <c:v>2.0532025684480641E-5</c:v>
                </c:pt>
                <c:pt idx="105">
                  <c:v>1.9489676634762881E-5</c:v>
                </c:pt>
                <c:pt idx="106">
                  <c:v>1.8456253325316921E-5</c:v>
                </c:pt>
                <c:pt idx="107">
                  <c:v>1.8455921748488665E-5</c:v>
                </c:pt>
                <c:pt idx="108">
                  <c:v>1.7477650973230187E-5</c:v>
                </c:pt>
                <c:pt idx="109">
                  <c:v>1.6537584222513131E-5</c:v>
                </c:pt>
                <c:pt idx="110">
                  <c:v>1.5192072785948273E-5</c:v>
                </c:pt>
                <c:pt idx="111">
                  <c:v>1.5026797359486575E-5</c:v>
                </c:pt>
                <c:pt idx="112">
                  <c:v>1.5294623920554733E-5</c:v>
                </c:pt>
                <c:pt idx="113">
                  <c:v>1.3274837698731347E-5</c:v>
                </c:pt>
                <c:pt idx="114">
                  <c:v>1.1495611467334397E-5</c:v>
                </c:pt>
                <c:pt idx="115">
                  <c:v>1.2669810908589058E-5</c:v>
                </c:pt>
                <c:pt idx="116">
                  <c:v>1.3518386291801784E-5</c:v>
                </c:pt>
                <c:pt idx="117">
                  <c:v>1.221092018960375E-5</c:v>
                </c:pt>
                <c:pt idx="118">
                  <c:v>1.0162240535509595E-5</c:v>
                </c:pt>
                <c:pt idx="119">
                  <c:v>1.0372387115133804E-5</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5.2026036746357208E+16</c:v>
                </c:pt>
                <c:pt idx="1">
                  <c:v>5.2026036746357208E+16</c:v>
                </c:pt>
                <c:pt idx="2">
                  <c:v>5.2026036746357208E+16</c:v>
                </c:pt>
                <c:pt idx="3">
                  <c:v>5.2026036746357208E+16</c:v>
                </c:pt>
                <c:pt idx="4">
                  <c:v>5.2026036746357208E+16</c:v>
                </c:pt>
                <c:pt idx="5">
                  <c:v>5.2026036746357208E+16</c:v>
                </c:pt>
                <c:pt idx="6">
                  <c:v>5.2013948081466216E+16</c:v>
                </c:pt>
                <c:pt idx="7">
                  <c:v>5.0773485096633512E+16</c:v>
                </c:pt>
                <c:pt idx="8">
                  <c:v>4.8757879264362536E+16</c:v>
                </c:pt>
                <c:pt idx="9">
                  <c:v>4.6784758491489496E+16</c:v>
                </c:pt>
                <c:pt idx="10">
                  <c:v>4.487878794563816E+16</c:v>
                </c:pt>
                <c:pt idx="11">
                  <c:v>4.3031153215258848E+16</c:v>
                </c:pt>
                <c:pt idx="12">
                  <c:v>4.1238707250754864E+16</c:v>
                </c:pt>
                <c:pt idx="13">
                  <c:v>3.950017372885296E+16</c:v>
                </c:pt>
                <c:pt idx="14">
                  <c:v>3.78126213718818E+16</c:v>
                </c:pt>
                <c:pt idx="15">
                  <c:v>3.6187091115367704E+16</c:v>
                </c:pt>
                <c:pt idx="16">
                  <c:v>3.4602750369678396E+16</c:v>
                </c:pt>
                <c:pt idx="17">
                  <c:v>3.3087633836506652E+16</c:v>
                </c:pt>
                <c:pt idx="18">
                  <c:v>3.1618728278715068E+16</c:v>
                </c:pt>
                <c:pt idx="19">
                  <c:v>3.0192975810282412E+16</c:v>
                </c:pt>
                <c:pt idx="20">
                  <c:v>2.8822536267712164E+16</c:v>
                </c:pt>
                <c:pt idx="21">
                  <c:v>2.7495567520674884E+16</c:v>
                </c:pt>
                <c:pt idx="22">
                  <c:v>2.6223350176377768E+16</c:v>
                </c:pt>
                <c:pt idx="23">
                  <c:v>2.4998869847838296E+16</c:v>
                </c:pt>
                <c:pt idx="24">
                  <c:v>2.3816397735887984E+16</c:v>
                </c:pt>
                <c:pt idx="25">
                  <c:v>2.2688066943653968E+16</c:v>
                </c:pt>
                <c:pt idx="26">
                  <c:v>2.1600930686647804E+16</c:v>
                </c:pt>
                <c:pt idx="27">
                  <c:v>2.0555686508262216E+16</c:v>
                </c:pt>
                <c:pt idx="28">
                  <c:v>1.9546577929605804E+16</c:v>
                </c:pt>
                <c:pt idx="29">
                  <c:v>1.8586990390344212E+16</c:v>
                </c:pt>
                <c:pt idx="30">
                  <c:v>1.7654557046110988E+16</c:v>
                </c:pt>
                <c:pt idx="31">
                  <c:v>1.6765499005896626E+16</c:v>
                </c:pt>
                <c:pt idx="32">
                  <c:v>1.591041447702518E+16</c:v>
                </c:pt>
                <c:pt idx="33">
                  <c:v>1.5088206084509412E+16</c:v>
                </c:pt>
                <c:pt idx="34">
                  <c:v>1.4302153920531412E+16</c:v>
                </c:pt>
                <c:pt idx="35">
                  <c:v>1.354623314631166E+16</c:v>
                </c:pt>
                <c:pt idx="36">
                  <c:v>1.2826218181369952E+16</c:v>
                </c:pt>
                <c:pt idx="37">
                  <c:v>1.2135253580488122E+16</c:v>
                </c:pt>
                <c:pt idx="38">
                  <c:v>1.148211116942456E+16</c:v>
                </c:pt>
                <c:pt idx="39">
                  <c:v>1.0851233229987238E+16</c:v>
                </c:pt>
                <c:pt idx="40">
                  <c:v>1.0256931427627252E+16</c:v>
                </c:pt>
                <c:pt idx="41">
                  <c:v>9683989797812950</c:v>
                </c:pt>
                <c:pt idx="42">
                  <c:v>9140908309771554</c:v>
                </c:pt>
                <c:pt idx="43">
                  <c:v>8620774946768362</c:v>
                </c:pt>
                <c:pt idx="44">
                  <c:v>8123234825620185</c:v>
                </c:pt>
                <c:pt idx="45">
                  <c:v>7654029768246220</c:v>
                </c:pt>
                <c:pt idx="46">
                  <c:v>7204231213323801</c:v>
                </c:pt>
                <c:pt idx="47">
                  <c:v>6778217281180770</c:v>
                </c:pt>
                <c:pt idx="48">
                  <c:v>6369566126721776</c:v>
                </c:pt>
                <c:pt idx="49">
                  <c:v>5985273503833316</c:v>
                </c:pt>
                <c:pt idx="50">
                  <c:v>5612771342035677</c:v>
                </c:pt>
                <c:pt idx="51">
                  <c:v>5263234749654164</c:v>
                </c:pt>
                <c:pt idx="52">
                  <c:v>4935554914535466</c:v>
                </c:pt>
                <c:pt idx="53">
                  <c:v>4621038939032045</c:v>
                </c:pt>
                <c:pt idx="54">
                  <c:v>4321134505446425</c:v>
                </c:pt>
                <c:pt idx="55">
                  <c:v>4041785753429148</c:v>
                </c:pt>
                <c:pt idx="56">
                  <c:v>3773790477286341.5</c:v>
                </c:pt>
                <c:pt idx="57">
                  <c:v>3521789677648033</c:v>
                </c:pt>
                <c:pt idx="58">
                  <c:v>3280616098459796</c:v>
                </c:pt>
                <c:pt idx="59">
                  <c:v>3056235735884297.5</c:v>
                </c:pt>
                <c:pt idx="60">
                  <c:v>2843367280130164</c:v>
                </c:pt>
                <c:pt idx="61">
                  <c:v>2645789041127380.5</c:v>
                </c:pt>
                <c:pt idx="62">
                  <c:v>2454907649110743</c:v>
                </c:pt>
                <c:pt idx="63">
                  <c:v>2279096217709575</c:v>
                </c:pt>
                <c:pt idx="64">
                  <c:v>2110183482339978.5</c:v>
                </c:pt>
                <c:pt idx="65">
                  <c:v>1951586799628186</c:v>
                </c:pt>
                <c:pt idx="66">
                  <c:v>1804948813713532</c:v>
                </c:pt>
                <c:pt idx="67">
                  <c:v>1668499854874733.7</c:v>
                </c:pt>
                <c:pt idx="68">
                  <c:v>1538775386370625.2</c:v>
                </c:pt>
                <c:pt idx="69">
                  <c:v>1417831418274960.7</c:v>
                </c:pt>
                <c:pt idx="70">
                  <c:v>1303623589639482.2</c:v>
                </c:pt>
                <c:pt idx="71">
                  <c:v>1200389928685442</c:v>
                </c:pt>
                <c:pt idx="72">
                  <c:v>1102233216331581.5</c:v>
                </c:pt>
                <c:pt idx="73">
                  <c:v>1013544112994347.6</c:v>
                </c:pt>
                <c:pt idx="74">
                  <c:v>927121933789796.75</c:v>
                </c:pt>
                <c:pt idx="75">
                  <c:v>847590918195712.37</c:v>
                </c:pt>
                <c:pt idx="76">
                  <c:v>776610257422666.37</c:v>
                </c:pt>
                <c:pt idx="77">
                  <c:v>707734020441370.12</c:v>
                </c:pt>
                <c:pt idx="78">
                  <c:v>644733768040229.75</c:v>
                </c:pt>
                <c:pt idx="79">
                  <c:v>589068337905270.12</c:v>
                </c:pt>
                <c:pt idx="80">
                  <c:v>536218500668563.62</c:v>
                </c:pt>
                <c:pt idx="81">
                  <c:v>489405479215103.75</c:v>
                </c:pt>
                <c:pt idx="82">
                  <c:v>443964099186424.87</c:v>
                </c:pt>
                <c:pt idx="83">
                  <c:v>402681757323470.44</c:v>
                </c:pt>
                <c:pt idx="84">
                  <c:v>364425959597825.56</c:v>
                </c:pt>
                <c:pt idx="85">
                  <c:v>331528780997945.56</c:v>
                </c:pt>
                <c:pt idx="86">
                  <c:v>298075132108584.37</c:v>
                </c:pt>
                <c:pt idx="87">
                  <c:v>269297908886361.12</c:v>
                </c:pt>
                <c:pt idx="88">
                  <c:v>243137722392296.69</c:v>
                </c:pt>
                <c:pt idx="89">
                  <c:v>221756416639188.34</c:v>
                </c:pt>
                <c:pt idx="90">
                  <c:v>200146207059703.28</c:v>
                </c:pt>
                <c:pt idx="91">
                  <c:v>179364762459111</c:v>
                </c:pt>
                <c:pt idx="92">
                  <c:v>161966290330959.31</c:v>
                </c:pt>
                <c:pt idx="93">
                  <c:v>146491290288118.47</c:v>
                </c:pt>
                <c:pt idx="94">
                  <c:v>131913501937820.28</c:v>
                </c:pt>
                <c:pt idx="95">
                  <c:v>119604808446187.81</c:v>
                </c:pt>
                <c:pt idx="96">
                  <c:v>108511133058881.77</c:v>
                </c:pt>
                <c:pt idx="97">
                  <c:v>96001934641095.437</c:v>
                </c:pt>
                <c:pt idx="98">
                  <c:v>87923388082664.016</c:v>
                </c:pt>
                <c:pt idx="99">
                  <c:v>78515324523758.891</c:v>
                </c:pt>
                <c:pt idx="100">
                  <c:v>67874460910863.133</c:v>
                </c:pt>
                <c:pt idx="101">
                  <c:v>64371082353262.195</c:v>
                </c:pt>
                <c:pt idx="102">
                  <c:v>56037485865647.883</c:v>
                </c:pt>
                <c:pt idx="103">
                  <c:v>51091088454249.281</c:v>
                </c:pt>
                <c:pt idx="104">
                  <c:v>45380771864236.062</c:v>
                </c:pt>
                <c:pt idx="105">
                  <c:v>40297685737087.211</c:v>
                </c:pt>
                <c:pt idx="106">
                  <c:v>36046570508861.305</c:v>
                </c:pt>
                <c:pt idx="107">
                  <c:v>33922677517466.73</c:v>
                </c:pt>
                <c:pt idx="108">
                  <c:v>30591615026106.937</c:v>
                </c:pt>
                <c:pt idx="109">
                  <c:v>26821974319084.117</c:v>
                </c:pt>
                <c:pt idx="110">
                  <c:v>23115236924667.164</c:v>
                </c:pt>
                <c:pt idx="111">
                  <c:v>21527861316623.66</c:v>
                </c:pt>
                <c:pt idx="112">
                  <c:v>20822687338503.367</c:v>
                </c:pt>
                <c:pt idx="113">
                  <c:v>17034975158253.322</c:v>
                </c:pt>
                <c:pt idx="114">
                  <c:v>13633537498870.896</c:v>
                </c:pt>
                <c:pt idx="115">
                  <c:v>14161049282395.039</c:v>
                </c:pt>
                <c:pt idx="116">
                  <c:v>13867959726404.762</c:v>
                </c:pt>
                <c:pt idx="117">
                  <c:v>12080971802786.779</c:v>
                </c:pt>
                <c:pt idx="118">
                  <c:v>9300794632949.9102</c:v>
                </c:pt>
                <c:pt idx="119">
                  <c:v>8803679412687.748</c:v>
                </c:pt>
              </c:numCache>
            </c:numRef>
          </c:xVal>
          <c:yVal>
            <c:numRef>
              <c:f>Calc!$P$12:$P$131</c:f>
              <c:numCache>
                <c:formatCode>0.00E+00</c:formatCode>
                <c:ptCount val="120"/>
                <c:pt idx="0">
                  <c:v>1.1021388823813468E-4</c:v>
                </c:pt>
                <c:pt idx="1">
                  <c:v>1.0692231886130217E-4</c:v>
                </c:pt>
                <c:pt idx="2">
                  <c:v>1.1202638020035421E-4</c:v>
                </c:pt>
                <c:pt idx="3">
                  <c:v>1.18821107333955E-4</c:v>
                </c:pt>
                <c:pt idx="4">
                  <c:v>1.2625150741205977E-4</c:v>
                </c:pt>
                <c:pt idx="5">
                  <c:v>1.3327145945317591E-4</c:v>
                </c:pt>
                <c:pt idx="6">
                  <c:v>1.3956275029491119E-4</c:v>
                </c:pt>
                <c:pt idx="7">
                  <c:v>1.4212803995937404E-4</c:v>
                </c:pt>
                <c:pt idx="8">
                  <c:v>1.4271955978045636E-4</c:v>
                </c:pt>
                <c:pt idx="9">
                  <c:v>1.4446947875747663E-4</c:v>
                </c:pt>
                <c:pt idx="10">
                  <c:v>1.4681178556465188E-4</c:v>
                </c:pt>
                <c:pt idx="11">
                  <c:v>1.4907994120486138E-4</c:v>
                </c:pt>
                <c:pt idx="12">
                  <c:v>1.5128158826291488E-4</c:v>
                </c:pt>
                <c:pt idx="13">
                  <c:v>1.5339003601929477E-4</c:v>
                </c:pt>
                <c:pt idx="14">
                  <c:v>1.5542210405339074E-4</c:v>
                </c:pt>
                <c:pt idx="15">
                  <c:v>1.5742875610768047E-4</c:v>
                </c:pt>
                <c:pt idx="16">
                  <c:v>1.5925865054472268E-4</c:v>
                </c:pt>
                <c:pt idx="17">
                  <c:v>1.6103664020258746E-4</c:v>
                </c:pt>
                <c:pt idx="18">
                  <c:v>1.6268975679088524E-4</c:v>
                </c:pt>
                <c:pt idx="19">
                  <c:v>1.6411961821743783E-4</c:v>
                </c:pt>
                <c:pt idx="20">
                  <c:v>1.6555967990242301E-4</c:v>
                </c:pt>
                <c:pt idx="21">
                  <c:v>1.6682865909768951E-4</c:v>
                </c:pt>
                <c:pt idx="22">
                  <c:v>1.6797412818170797E-4</c:v>
                </c:pt>
                <c:pt idx="23">
                  <c:v>1.6900943283540152E-4</c:v>
                </c:pt>
                <c:pt idx="24">
                  <c:v>1.6995375636822112E-4</c:v>
                </c:pt>
                <c:pt idx="25">
                  <c:v>1.7107406053861824E-4</c:v>
                </c:pt>
                <c:pt idx="26">
                  <c:v>1.7180539741691508E-4</c:v>
                </c:pt>
                <c:pt idx="27">
                  <c:v>1.7240009393270419E-4</c:v>
                </c:pt>
                <c:pt idx="28">
                  <c:v>1.7277898949044634E-4</c:v>
                </c:pt>
                <c:pt idx="29">
                  <c:v>1.730886020268032E-4</c:v>
                </c:pt>
                <c:pt idx="30">
                  <c:v>1.7319482657732893E-4</c:v>
                </c:pt>
                <c:pt idx="31">
                  <c:v>1.7320981165905921E-4</c:v>
                </c:pt>
                <c:pt idx="32">
                  <c:v>1.7310220480599314E-4</c:v>
                </c:pt>
                <c:pt idx="33">
                  <c:v>1.7280732474522217E-4</c:v>
                </c:pt>
                <c:pt idx="34">
                  <c:v>1.7233251213552973E-4</c:v>
                </c:pt>
                <c:pt idx="35">
                  <c:v>1.7183671472355212E-4</c:v>
                </c:pt>
                <c:pt idx="36">
                  <c:v>1.71274322808756E-4</c:v>
                </c:pt>
                <c:pt idx="37">
                  <c:v>1.7053432758074009E-4</c:v>
                </c:pt>
                <c:pt idx="38">
                  <c:v>1.6973346904038201E-4</c:v>
                </c:pt>
                <c:pt idx="39">
                  <c:v>1.6874694183553483E-4</c:v>
                </c:pt>
                <c:pt idx="40">
                  <c:v>1.676757795523587E-4</c:v>
                </c:pt>
                <c:pt idx="41">
                  <c:v>1.6645735295763416E-4</c:v>
                </c:pt>
                <c:pt idx="42">
                  <c:v>1.650663716840773E-4</c:v>
                </c:pt>
                <c:pt idx="43">
                  <c:v>1.6363756855896359E-4</c:v>
                </c:pt>
                <c:pt idx="44">
                  <c:v>1.6209205188155216E-4</c:v>
                </c:pt>
                <c:pt idx="45">
                  <c:v>1.6057071796066487E-4</c:v>
                </c:pt>
                <c:pt idx="46">
                  <c:v>1.5873101671421823E-4</c:v>
                </c:pt>
                <c:pt idx="47">
                  <c:v>1.5693861503800601E-4</c:v>
                </c:pt>
                <c:pt idx="48">
                  <c:v>1.5487184194493635E-4</c:v>
                </c:pt>
                <c:pt idx="49">
                  <c:v>1.5287346527730812E-4</c:v>
                </c:pt>
                <c:pt idx="50">
                  <c:v>1.5063372913382125E-4</c:v>
                </c:pt>
                <c:pt idx="51">
                  <c:v>1.4831696459419725E-4</c:v>
                </c:pt>
                <c:pt idx="52">
                  <c:v>1.4623250806846544E-4</c:v>
                </c:pt>
                <c:pt idx="53">
                  <c:v>1.437817063320368E-4</c:v>
                </c:pt>
                <c:pt idx="54">
                  <c:v>1.4122252533992874E-4</c:v>
                </c:pt>
                <c:pt idx="55">
                  <c:v>1.388368792197433E-4</c:v>
                </c:pt>
                <c:pt idx="56">
                  <c:v>1.3606194543135439E-4</c:v>
                </c:pt>
                <c:pt idx="57">
                  <c:v>1.3340244960910282E-4</c:v>
                </c:pt>
                <c:pt idx="58">
                  <c:v>1.3077973015828963E-4</c:v>
                </c:pt>
                <c:pt idx="59">
                  <c:v>1.2814845454984191E-4</c:v>
                </c:pt>
                <c:pt idx="60">
                  <c:v>1.2534087286258794E-4</c:v>
                </c:pt>
                <c:pt idx="61">
                  <c:v>1.224612741488277E-4</c:v>
                </c:pt>
                <c:pt idx="62">
                  <c:v>1.1938810099173661E-4</c:v>
                </c:pt>
                <c:pt idx="63">
                  <c:v>1.1634471165608758E-4</c:v>
                </c:pt>
                <c:pt idx="64">
                  <c:v>1.1329953097079958E-4</c:v>
                </c:pt>
                <c:pt idx="65">
                  <c:v>1.1022568819933569E-4</c:v>
                </c:pt>
                <c:pt idx="66">
                  <c:v>1.0712376604185369E-4</c:v>
                </c:pt>
                <c:pt idx="67">
                  <c:v>1.0407155899405569E-4</c:v>
                </c:pt>
                <c:pt idx="68">
                  <c:v>1.0081859359492499E-4</c:v>
                </c:pt>
                <c:pt idx="69">
                  <c:v>9.7508667419684869E-5</c:v>
                </c:pt>
                <c:pt idx="70">
                  <c:v>9.435922606384288E-5</c:v>
                </c:pt>
                <c:pt idx="71">
                  <c:v>9.136248223849108E-5</c:v>
                </c:pt>
                <c:pt idx="72">
                  <c:v>8.8411789630937098E-5</c:v>
                </c:pt>
                <c:pt idx="73">
                  <c:v>8.5382785132386327E-5</c:v>
                </c:pt>
                <c:pt idx="74">
                  <c:v>8.2300410873662928E-5</c:v>
                </c:pt>
                <c:pt idx="75">
                  <c:v>7.9198310307788413E-5</c:v>
                </c:pt>
                <c:pt idx="76">
                  <c:v>7.6368504370029423E-5</c:v>
                </c:pt>
                <c:pt idx="77">
                  <c:v>7.3183665170867016E-5</c:v>
                </c:pt>
                <c:pt idx="78">
                  <c:v>7.0168448687885955E-5</c:v>
                </c:pt>
                <c:pt idx="79">
                  <c:v>6.7650941149800947E-5</c:v>
                </c:pt>
                <c:pt idx="80">
                  <c:v>6.4868022072610317E-5</c:v>
                </c:pt>
                <c:pt idx="81">
                  <c:v>6.2252807522985383E-5</c:v>
                </c:pt>
                <c:pt idx="82">
                  <c:v>5.9427358648644249E-5</c:v>
                </c:pt>
                <c:pt idx="83">
                  <c:v>5.6718494304574738E-5</c:v>
                </c:pt>
                <c:pt idx="84">
                  <c:v>5.4270338277293005E-5</c:v>
                </c:pt>
                <c:pt idx="85">
                  <c:v>5.1962634266157338E-5</c:v>
                </c:pt>
                <c:pt idx="86">
                  <c:v>4.9244478119696203E-5</c:v>
                </c:pt>
                <c:pt idx="87">
                  <c:v>4.6966412917348694E-5</c:v>
                </c:pt>
                <c:pt idx="88">
                  <c:v>4.4806868081671803E-5</c:v>
                </c:pt>
                <c:pt idx="89">
                  <c:v>4.3173837954366961E-5</c:v>
                </c:pt>
                <c:pt idx="90">
                  <c:v>4.1093775819611686E-5</c:v>
                </c:pt>
                <c:pt idx="91">
                  <c:v>3.8636961458443548E-5</c:v>
                </c:pt>
                <c:pt idx="92">
                  <c:v>3.6967056294440355E-5</c:v>
                </c:pt>
                <c:pt idx="93">
                  <c:v>3.5409432632617366E-5</c:v>
                </c:pt>
                <c:pt idx="94">
                  <c:v>3.3552127545897157E-5</c:v>
                </c:pt>
                <c:pt idx="95">
                  <c:v>3.2084195480027124E-5</c:v>
                </c:pt>
                <c:pt idx="96">
                  <c:v>3.0950162101501506E-5</c:v>
                </c:pt>
                <c:pt idx="97">
                  <c:v>2.8776441133891697E-5</c:v>
                </c:pt>
                <c:pt idx="98">
                  <c:v>2.8007004882798113E-5</c:v>
                </c:pt>
                <c:pt idx="99">
                  <c:v>2.6389677273490557E-5</c:v>
                </c:pt>
                <c:pt idx="100">
                  <c:v>2.4386860049978057E-5</c:v>
                </c:pt>
                <c:pt idx="101">
                  <c:v>2.4386570048238881E-5</c:v>
                </c:pt>
                <c:pt idx="102">
                  <c:v>2.2418881838856699E-5</c:v>
                </c:pt>
                <c:pt idx="103">
                  <c:v>2.1663324109250735E-5</c:v>
                </c:pt>
                <c:pt idx="104">
                  <c:v>2.0532025684480641E-5</c:v>
                </c:pt>
                <c:pt idx="105">
                  <c:v>1.9489676634762881E-5</c:v>
                </c:pt>
                <c:pt idx="106">
                  <c:v>1.8456253325316921E-5</c:v>
                </c:pt>
                <c:pt idx="107">
                  <c:v>1.8455921748488665E-5</c:v>
                </c:pt>
                <c:pt idx="108">
                  <c:v>1.7477650973230187E-5</c:v>
                </c:pt>
                <c:pt idx="109">
                  <c:v>1.6537584222513131E-5</c:v>
                </c:pt>
                <c:pt idx="110">
                  <c:v>1.5192072785948273E-5</c:v>
                </c:pt>
                <c:pt idx="111">
                  <c:v>1.5026797359486575E-5</c:v>
                </c:pt>
                <c:pt idx="112">
                  <c:v>1.5294623920554733E-5</c:v>
                </c:pt>
                <c:pt idx="113">
                  <c:v>1.3274837698731347E-5</c:v>
                </c:pt>
                <c:pt idx="114">
                  <c:v>1.1495611467334397E-5</c:v>
                </c:pt>
                <c:pt idx="115">
                  <c:v>1.2669810908589058E-5</c:v>
                </c:pt>
                <c:pt idx="116">
                  <c:v>1.3518386291801784E-5</c:v>
                </c:pt>
                <c:pt idx="117">
                  <c:v>1.221092018960375E-5</c:v>
                </c:pt>
                <c:pt idx="118">
                  <c:v>1.0162240535509595E-5</c:v>
                </c:pt>
                <c:pt idx="119">
                  <c:v>1.0372387115133804E-5</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1000000000000000</c:v>
                </c:pt>
              </c:numCache>
            </c:numRef>
          </c:xVal>
          <c:yVal>
            <c:numRef>
              <c:f>Calc!$S$6</c:f>
              <c:numCache>
                <c:formatCode>0.00E+00</c:formatCode>
                <c:ptCount val="1"/>
                <c:pt idx="0">
                  <c:v>8.4151369560621323E-5</c:v>
                </c:pt>
              </c:numCache>
            </c:numRef>
          </c:yVal>
          <c:smooth val="0"/>
        </c:ser>
        <c:dLbls>
          <c:showLegendKey val="0"/>
          <c:showVal val="0"/>
          <c:showCatName val="0"/>
          <c:showSerName val="0"/>
          <c:showPercent val="0"/>
          <c:showBubbleSize val="0"/>
        </c:dLbls>
        <c:axId val="142939264"/>
        <c:axId val="142941568"/>
      </c:scatterChart>
      <c:valAx>
        <c:axId val="142939264"/>
        <c:scaling>
          <c:logBase val="10"/>
          <c:orientation val="minMax"/>
          <c:min val="1000000000000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142941568"/>
        <c:crosses val="autoZero"/>
        <c:crossBetween val="midCat"/>
      </c:valAx>
      <c:valAx>
        <c:axId val="142941568"/>
        <c:scaling>
          <c:orientation val="minMax"/>
          <c:max val="3.3660547824248529E-4"/>
          <c:min val="0"/>
        </c:scaling>
        <c:delete val="0"/>
        <c:axPos val="l"/>
        <c:majorGridlines/>
        <c:title>
          <c:tx>
            <c:rich>
              <a:bodyPr rot="-5400000" vert="horz"/>
              <a:lstStyle/>
              <a:p>
                <a:pPr>
                  <a:defRPr sz="1200"/>
                </a:pPr>
                <a:r>
                  <a:rPr lang="en-US" sz="1200"/>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b="1"/>
            </a:pPr>
            <a:endParaRPr lang="en-US"/>
          </a:p>
        </c:txPr>
        <c:crossAx val="142939264"/>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Calc!$C$9:$C$133</c:f>
              <c:numCache>
                <c:formatCode>0.0000</c:formatCode>
                <c:ptCount val="125"/>
                <c:pt idx="0">
                  <c:v>0.36374400000000001</c:v>
                </c:pt>
                <c:pt idx="1">
                  <c:v>0.54524700000000004</c:v>
                </c:pt>
                <c:pt idx="2">
                  <c:v>0.614012</c:v>
                </c:pt>
                <c:pt idx="3">
                  <c:v>0.629274</c:v>
                </c:pt>
                <c:pt idx="4">
                  <c:v>0.61385500000000004</c:v>
                </c:pt>
                <c:pt idx="5">
                  <c:v>0.58575299999999997</c:v>
                </c:pt>
                <c:pt idx="6">
                  <c:v>0.552257</c:v>
                </c:pt>
                <c:pt idx="7">
                  <c:v>0.51972399999999996</c:v>
                </c:pt>
                <c:pt idx="8">
                  <c:v>0.48920200000000003</c:v>
                </c:pt>
                <c:pt idx="9">
                  <c:v>0.46024799999999999</c:v>
                </c:pt>
                <c:pt idx="10">
                  <c:v>0.433251</c:v>
                </c:pt>
                <c:pt idx="11">
                  <c:v>0.40786899999999998</c:v>
                </c:pt>
                <c:pt idx="12">
                  <c:v>0.38402999999999998</c:v>
                </c:pt>
                <c:pt idx="13">
                  <c:v>0.36186000000000001</c:v>
                </c:pt>
                <c:pt idx="14">
                  <c:v>0.34109699999999998</c:v>
                </c:pt>
                <c:pt idx="15">
                  <c:v>0.32154300000000002</c:v>
                </c:pt>
                <c:pt idx="16">
                  <c:v>0.30321399999999998</c:v>
                </c:pt>
                <c:pt idx="17">
                  <c:v>0.28594000000000003</c:v>
                </c:pt>
                <c:pt idx="18">
                  <c:v>0.26969900000000002</c:v>
                </c:pt>
                <c:pt idx="19">
                  <c:v>0.25451099999999999</c:v>
                </c:pt>
                <c:pt idx="20">
                  <c:v>0.24026800000000001</c:v>
                </c:pt>
                <c:pt idx="21">
                  <c:v>0.22689899999999999</c:v>
                </c:pt>
                <c:pt idx="22">
                  <c:v>0.21440500000000001</c:v>
                </c:pt>
                <c:pt idx="23">
                  <c:v>0.202567</c:v>
                </c:pt>
                <c:pt idx="24">
                  <c:v>0.191496</c:v>
                </c:pt>
                <c:pt idx="25">
                  <c:v>0.18112900000000001</c:v>
                </c:pt>
                <c:pt idx="26">
                  <c:v>0.171399</c:v>
                </c:pt>
                <c:pt idx="27">
                  <c:v>0.16217500000000001</c:v>
                </c:pt>
                <c:pt idx="28">
                  <c:v>0.15327099999999999</c:v>
                </c:pt>
                <c:pt idx="29">
                  <c:v>0.14512</c:v>
                </c:pt>
                <c:pt idx="30">
                  <c:v>0.13744999999999999</c:v>
                </c:pt>
                <c:pt idx="31">
                  <c:v>0.13025200000000001</c:v>
                </c:pt>
                <c:pt idx="32">
                  <c:v>0.12349499999999999</c:v>
                </c:pt>
                <c:pt idx="33">
                  <c:v>0.11709899999999999</c:v>
                </c:pt>
                <c:pt idx="34">
                  <c:v>0.111058</c:v>
                </c:pt>
                <c:pt idx="35">
                  <c:v>0.10535700000000001</c:v>
                </c:pt>
                <c:pt idx="36">
                  <c:v>9.9976599999999999E-2</c:v>
                </c:pt>
                <c:pt idx="37">
                  <c:v>9.4951300000000002E-2</c:v>
                </c:pt>
                <c:pt idx="38">
                  <c:v>9.0119199999999997E-2</c:v>
                </c:pt>
                <c:pt idx="39">
                  <c:v>8.5560600000000001E-2</c:v>
                </c:pt>
                <c:pt idx="40">
                  <c:v>8.1259799999999993E-2</c:v>
                </c:pt>
                <c:pt idx="41">
                  <c:v>7.7222700000000005E-2</c:v>
                </c:pt>
                <c:pt idx="42">
                  <c:v>7.3377999999999999E-2</c:v>
                </c:pt>
                <c:pt idx="43">
                  <c:v>6.9776400000000002E-2</c:v>
                </c:pt>
                <c:pt idx="44">
                  <c:v>6.6343799999999994E-2</c:v>
                </c:pt>
                <c:pt idx="45">
                  <c:v>6.3123100000000001E-2</c:v>
                </c:pt>
                <c:pt idx="46">
                  <c:v>6.0042999999999999E-2</c:v>
                </c:pt>
                <c:pt idx="47">
                  <c:v>5.7104599999999998E-2</c:v>
                </c:pt>
                <c:pt idx="48">
                  <c:v>5.4315500000000003E-2</c:v>
                </c:pt>
                <c:pt idx="49">
                  <c:v>5.1716900000000003E-2</c:v>
                </c:pt>
                <c:pt idx="50">
                  <c:v>4.9213E-2</c:v>
                </c:pt>
                <c:pt idx="51">
                  <c:v>4.6859499999999998E-2</c:v>
                </c:pt>
                <c:pt idx="52">
                  <c:v>4.4605499999999999E-2</c:v>
                </c:pt>
                <c:pt idx="53">
                  <c:v>4.2468800000000001E-2</c:v>
                </c:pt>
                <c:pt idx="54">
                  <c:v>4.0462999999999999E-2</c:v>
                </c:pt>
                <c:pt idx="55">
                  <c:v>3.8502000000000002E-2</c:v>
                </c:pt>
                <c:pt idx="56">
                  <c:v>3.6680699999999997E-2</c:v>
                </c:pt>
                <c:pt idx="57">
                  <c:v>3.4931700000000003E-2</c:v>
                </c:pt>
                <c:pt idx="58">
                  <c:v>3.3255E-2</c:v>
                </c:pt>
                <c:pt idx="59">
                  <c:v>3.17022E-2</c:v>
                </c:pt>
                <c:pt idx="60">
                  <c:v>3.0189500000000001E-2</c:v>
                </c:pt>
                <c:pt idx="61">
                  <c:v>2.87052E-2</c:v>
                </c:pt>
                <c:pt idx="62">
                  <c:v>2.7319400000000001E-2</c:v>
                </c:pt>
                <c:pt idx="63">
                  <c:v>2.6011800000000002E-2</c:v>
                </c:pt>
                <c:pt idx="64">
                  <c:v>2.47999E-2</c:v>
                </c:pt>
                <c:pt idx="65">
                  <c:v>2.3623100000000001E-2</c:v>
                </c:pt>
                <c:pt idx="66">
                  <c:v>2.2521599999999999E-2</c:v>
                </c:pt>
                <c:pt idx="67">
                  <c:v>2.1438599999999999E-2</c:v>
                </c:pt>
                <c:pt idx="68">
                  <c:v>2.0406299999999999E-2</c:v>
                </c:pt>
                <c:pt idx="69">
                  <c:v>1.94532E-2</c:v>
                </c:pt>
                <c:pt idx="70">
                  <c:v>1.8539099999999999E-2</c:v>
                </c:pt>
                <c:pt idx="71">
                  <c:v>1.7670000000000002E-2</c:v>
                </c:pt>
                <c:pt idx="72">
                  <c:v>1.68624E-2</c:v>
                </c:pt>
                <c:pt idx="73">
                  <c:v>1.6049899999999999E-2</c:v>
                </c:pt>
                <c:pt idx="74">
                  <c:v>1.52979E-2</c:v>
                </c:pt>
                <c:pt idx="75">
                  <c:v>1.4539099999999999E-2</c:v>
                </c:pt>
                <c:pt idx="76">
                  <c:v>1.3861399999999999E-2</c:v>
                </c:pt>
                <c:pt idx="77">
                  <c:v>1.31778E-2</c:v>
                </c:pt>
                <c:pt idx="78">
                  <c:v>1.25372E-2</c:v>
                </c:pt>
                <c:pt idx="79">
                  <c:v>1.19376E-2</c:v>
                </c:pt>
                <c:pt idx="80">
                  <c:v>1.1379E-2</c:v>
                </c:pt>
                <c:pt idx="81">
                  <c:v>1.08331E-2</c:v>
                </c:pt>
                <c:pt idx="82">
                  <c:v>1.0295E-2</c:v>
                </c:pt>
                <c:pt idx="83">
                  <c:v>9.7940200000000005E-3</c:v>
                </c:pt>
                <c:pt idx="84">
                  <c:v>9.3291799999999994E-3</c:v>
                </c:pt>
                <c:pt idx="85">
                  <c:v>8.8799599999999992E-3</c:v>
                </c:pt>
                <c:pt idx="86">
                  <c:v>8.4561299999999992E-3</c:v>
                </c:pt>
                <c:pt idx="87">
                  <c:v>8.0117999999999995E-3</c:v>
                </c:pt>
                <c:pt idx="88">
                  <c:v>7.6270299999999999E-3</c:v>
                </c:pt>
                <c:pt idx="89">
                  <c:v>7.2500799999999999E-3</c:v>
                </c:pt>
                <c:pt idx="90">
                  <c:v>6.88582E-3</c:v>
                </c:pt>
                <c:pt idx="91">
                  <c:v>6.53719E-3</c:v>
                </c:pt>
                <c:pt idx="92">
                  <c:v>6.19734E-3</c:v>
                </c:pt>
                <c:pt idx="93">
                  <c:v>5.8848399999999997E-3</c:v>
                </c:pt>
                <c:pt idx="94">
                  <c:v>5.6172699999999997E-3</c:v>
                </c:pt>
                <c:pt idx="95">
                  <c:v>5.3125799999999999E-3</c:v>
                </c:pt>
                <c:pt idx="96">
                  <c:v>5.02938E-3</c:v>
                </c:pt>
                <c:pt idx="97">
                  <c:v>4.7901200000000001E-3</c:v>
                </c:pt>
                <c:pt idx="98">
                  <c:v>4.5450000000000004E-3</c:v>
                </c:pt>
                <c:pt idx="99">
                  <c:v>4.2813299999999999E-3</c:v>
                </c:pt>
                <c:pt idx="100">
                  <c:v>4.0781999999999997E-3</c:v>
                </c:pt>
                <c:pt idx="101">
                  <c:v>3.8350400000000001E-3</c:v>
                </c:pt>
                <c:pt idx="102">
                  <c:v>3.6475399999999999E-3</c:v>
                </c:pt>
                <c:pt idx="103">
                  <c:v>3.4121899999999998E-3</c:v>
                </c:pt>
                <c:pt idx="104">
                  <c:v>3.2452000000000002E-3</c:v>
                </c:pt>
                <c:pt idx="105">
                  <c:v>3.0791799999999999E-3</c:v>
                </c:pt>
                <c:pt idx="106">
                  <c:v>2.90047E-3</c:v>
                </c:pt>
                <c:pt idx="107">
                  <c:v>2.7237099999999998E-3</c:v>
                </c:pt>
                <c:pt idx="108">
                  <c:v>2.55281E-3</c:v>
                </c:pt>
                <c:pt idx="109">
                  <c:v>2.4180500000000001E-3</c:v>
                </c:pt>
                <c:pt idx="110">
                  <c:v>2.2774200000000001E-3</c:v>
                </c:pt>
                <c:pt idx="111">
                  <c:v>2.1660899999999999E-3</c:v>
                </c:pt>
                <c:pt idx="112">
                  <c:v>2.0049600000000001E-3</c:v>
                </c:pt>
                <c:pt idx="113">
                  <c:v>1.88777E-3</c:v>
                </c:pt>
                <c:pt idx="114">
                  <c:v>1.7793799999999999E-3</c:v>
                </c:pt>
                <c:pt idx="115">
                  <c:v>1.6875799999999999E-3</c:v>
                </c:pt>
                <c:pt idx="116">
                  <c:v>1.5908999999999999E-3</c:v>
                </c:pt>
                <c:pt idx="117">
                  <c:v>1.4746900000000001E-3</c:v>
                </c:pt>
                <c:pt idx="118">
                  <c:v>1.3975400000000001E-3</c:v>
                </c:pt>
                <c:pt idx="119">
                  <c:v>1.28035E-3</c:v>
                </c:pt>
                <c:pt idx="120">
                  <c:v>1.2285900000000001E-3</c:v>
                </c:pt>
                <c:pt idx="121">
                  <c:v>1.1328899999999999E-3</c:v>
                </c:pt>
                <c:pt idx="122">
                  <c:v>1.0557400000000001E-3</c:v>
                </c:pt>
                <c:pt idx="123">
                  <c:v>1.0020300000000001E-3</c:v>
                </c:pt>
                <c:pt idx="124">
                  <c:v>8.9461E-4</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Command!$E$17:$E$18</c:f>
              <c:numCache>
                <c:formatCode>General</c:formatCode>
                <c:ptCount val="2"/>
                <c:pt idx="0">
                  <c:v>1</c:v>
                </c:pt>
                <c:pt idx="1">
                  <c:v>1</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Command!$F$17:$F$18</c:f>
              <c:numCache>
                <c:formatCode>General</c:formatCode>
                <c:ptCount val="2"/>
                <c:pt idx="0">
                  <c:v>0.4</c:v>
                </c:pt>
                <c:pt idx="1">
                  <c:v>0.4</c:v>
                </c:pt>
              </c:numCache>
            </c:numRef>
          </c:yVal>
          <c:smooth val="1"/>
        </c:ser>
        <c:dLbls>
          <c:showLegendKey val="0"/>
          <c:showVal val="0"/>
          <c:showCatName val="0"/>
          <c:showSerName val="0"/>
          <c:showPercent val="0"/>
          <c:showBubbleSize val="0"/>
        </c:dLbls>
        <c:axId val="143011200"/>
        <c:axId val="143025664"/>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Calc!$B$9:$B$133</c:f>
              <c:numCache>
                <c:formatCode>0.00E+00</c:formatCode>
                <c:ptCount val="125"/>
                <c:pt idx="0">
                  <c:v>1.2362200000000001</c:v>
                </c:pt>
                <c:pt idx="1">
                  <c:v>4.0390300000000003</c:v>
                </c:pt>
                <c:pt idx="2">
                  <c:v>4.9950299999999999</c:v>
                </c:pt>
                <c:pt idx="3">
                  <c:v>4.9987599999999999</c:v>
                </c:pt>
                <c:pt idx="4">
                  <c:v>4.9987599999999999</c:v>
                </c:pt>
                <c:pt idx="5">
                  <c:v>4.9987599999999999</c:v>
                </c:pt>
                <c:pt idx="6">
                  <c:v>4.9987599999999999</c:v>
                </c:pt>
                <c:pt idx="7">
                  <c:v>4.9987599999999999</c:v>
                </c:pt>
                <c:pt idx="8">
                  <c:v>4.9987599999999999</c:v>
                </c:pt>
                <c:pt idx="9">
                  <c:v>4.9979500000000003</c:v>
                </c:pt>
                <c:pt idx="10">
                  <c:v>4.9143499999999998</c:v>
                </c:pt>
                <c:pt idx="11">
                  <c:v>4.7764199999999999</c:v>
                </c:pt>
                <c:pt idx="12">
                  <c:v>4.6387900000000002</c:v>
                </c:pt>
                <c:pt idx="13">
                  <c:v>4.5032800000000002</c:v>
                </c:pt>
                <c:pt idx="14">
                  <c:v>4.3693999999999997</c:v>
                </c:pt>
                <c:pt idx="15">
                  <c:v>4.2370400000000004</c:v>
                </c:pt>
                <c:pt idx="16">
                  <c:v>4.1062200000000004</c:v>
                </c:pt>
                <c:pt idx="17">
                  <c:v>3.9768300000000001</c:v>
                </c:pt>
                <c:pt idx="18">
                  <c:v>3.84985</c:v>
                </c:pt>
                <c:pt idx="19">
                  <c:v>3.72377</c:v>
                </c:pt>
                <c:pt idx="20">
                  <c:v>3.6009600000000002</c:v>
                </c:pt>
                <c:pt idx="21">
                  <c:v>3.4797099999999999</c:v>
                </c:pt>
                <c:pt idx="22">
                  <c:v>3.3598699999999999</c:v>
                </c:pt>
                <c:pt idx="23">
                  <c:v>3.2425899999999999</c:v>
                </c:pt>
                <c:pt idx="24">
                  <c:v>3.1269900000000002</c:v>
                </c:pt>
                <c:pt idx="25">
                  <c:v>3.0141900000000001</c:v>
                </c:pt>
                <c:pt idx="26">
                  <c:v>2.9037199999999999</c:v>
                </c:pt>
                <c:pt idx="27">
                  <c:v>2.7951899999999998</c:v>
                </c:pt>
                <c:pt idx="28">
                  <c:v>2.6898599999999999</c:v>
                </c:pt>
                <c:pt idx="29">
                  <c:v>2.5866699999999998</c:v>
                </c:pt>
                <c:pt idx="30">
                  <c:v>2.4858099999999999</c:v>
                </c:pt>
                <c:pt idx="31">
                  <c:v>2.3868399999999999</c:v>
                </c:pt>
                <c:pt idx="32">
                  <c:v>2.29121</c:v>
                </c:pt>
                <c:pt idx="33">
                  <c:v>2.1968100000000002</c:v>
                </c:pt>
                <c:pt idx="34">
                  <c:v>2.1053899999999999</c:v>
                </c:pt>
                <c:pt idx="35">
                  <c:v>2.0161099999999998</c:v>
                </c:pt>
                <c:pt idx="36">
                  <c:v>1.92896</c:v>
                </c:pt>
                <c:pt idx="37">
                  <c:v>1.8444</c:v>
                </c:pt>
                <c:pt idx="38">
                  <c:v>1.76189</c:v>
                </c:pt>
                <c:pt idx="39">
                  <c:v>1.6821699999999999</c:v>
                </c:pt>
                <c:pt idx="40">
                  <c:v>1.60459</c:v>
                </c:pt>
                <c:pt idx="41">
                  <c:v>1.5302500000000001</c:v>
                </c:pt>
                <c:pt idx="42">
                  <c:v>1.4574800000000001</c:v>
                </c:pt>
                <c:pt idx="43">
                  <c:v>1.3880300000000001</c:v>
                </c:pt>
                <c:pt idx="44">
                  <c:v>1.3202199999999999</c:v>
                </c:pt>
                <c:pt idx="45">
                  <c:v>1.2551399999999999</c:v>
                </c:pt>
                <c:pt idx="46">
                  <c:v>1.1920500000000001</c:v>
                </c:pt>
                <c:pt idx="47">
                  <c:v>1.1309800000000001</c:v>
                </c:pt>
                <c:pt idx="48">
                  <c:v>1.0727199999999999</c:v>
                </c:pt>
                <c:pt idx="49">
                  <c:v>1.01624</c:v>
                </c:pt>
                <c:pt idx="50">
                  <c:v>0.96215899999999999</c:v>
                </c:pt>
                <c:pt idx="51">
                  <c:v>0.90972699999999995</c:v>
                </c:pt>
                <c:pt idx="52">
                  <c:v>0.85990800000000001</c:v>
                </c:pt>
                <c:pt idx="53">
                  <c:v>0.81112799999999996</c:v>
                </c:pt>
                <c:pt idx="54">
                  <c:v>0.764903</c:v>
                </c:pt>
                <c:pt idx="55">
                  <c:v>0.72115799999999997</c:v>
                </c:pt>
                <c:pt idx="56">
                  <c:v>0.67878499999999997</c:v>
                </c:pt>
                <c:pt idx="57">
                  <c:v>0.63801799999999997</c:v>
                </c:pt>
                <c:pt idx="58">
                  <c:v>0.59971699999999994</c:v>
                </c:pt>
                <c:pt idx="59">
                  <c:v>0.562666</c:v>
                </c:pt>
                <c:pt idx="60">
                  <c:v>0.52754400000000001</c:v>
                </c:pt>
                <c:pt idx="61">
                  <c:v>0.49366700000000002</c:v>
                </c:pt>
                <c:pt idx="62">
                  <c:v>0.46190999999999999</c:v>
                </c:pt>
                <c:pt idx="63">
                  <c:v>0.43156299999999997</c:v>
                </c:pt>
                <c:pt idx="64">
                  <c:v>0.40319899999999997</c:v>
                </c:pt>
                <c:pt idx="65">
                  <c:v>0.37561099999999997</c:v>
                </c:pt>
                <c:pt idx="66">
                  <c:v>0.35003499999999999</c:v>
                </c:pt>
                <c:pt idx="67">
                  <c:v>0.32530799999999999</c:v>
                </c:pt>
                <c:pt idx="68">
                  <c:v>0.30194900000000002</c:v>
                </c:pt>
                <c:pt idx="69">
                  <c:v>0.280225</c:v>
                </c:pt>
                <c:pt idx="70">
                  <c:v>0.25989800000000002</c:v>
                </c:pt>
                <c:pt idx="71">
                  <c:v>0.24046899999999999</c:v>
                </c:pt>
                <c:pt idx="72">
                  <c:v>0.22226099999999999</c:v>
                </c:pt>
                <c:pt idx="73">
                  <c:v>0.204981</c:v>
                </c:pt>
                <c:pt idx="74">
                  <c:v>0.18928700000000001</c:v>
                </c:pt>
                <c:pt idx="75">
                  <c:v>0.17429700000000001</c:v>
                </c:pt>
                <c:pt idx="76">
                  <c:v>0.160694</c:v>
                </c:pt>
                <c:pt idx="77">
                  <c:v>0.14738299999999999</c:v>
                </c:pt>
                <c:pt idx="78">
                  <c:v>0.13508300000000001</c:v>
                </c:pt>
                <c:pt idx="79">
                  <c:v>0.12406300000000001</c:v>
                </c:pt>
                <c:pt idx="80">
                  <c:v>0.11333</c:v>
                </c:pt>
                <c:pt idx="81">
                  <c:v>0.103477</c:v>
                </c:pt>
                <c:pt idx="82">
                  <c:v>9.4741599999999995E-2</c:v>
                </c:pt>
                <c:pt idx="83">
                  <c:v>8.6421300000000006E-2</c:v>
                </c:pt>
                <c:pt idx="84">
                  <c:v>7.9028699999999993E-2</c:v>
                </c:pt>
                <c:pt idx="85">
                  <c:v>7.1831400000000004E-2</c:v>
                </c:pt>
                <c:pt idx="86">
                  <c:v>6.5273800000000007E-2</c:v>
                </c:pt>
                <c:pt idx="87">
                  <c:v>5.9180000000000003E-2</c:v>
                </c:pt>
                <c:pt idx="88">
                  <c:v>5.3926099999999998E-2</c:v>
                </c:pt>
                <c:pt idx="89">
                  <c:v>4.85697E-2</c:v>
                </c:pt>
                <c:pt idx="90">
                  <c:v>4.3950500000000003E-2</c:v>
                </c:pt>
                <c:pt idx="91">
                  <c:v>3.9741600000000002E-2</c:v>
                </c:pt>
                <c:pt idx="92">
                  <c:v>3.6294300000000002E-2</c:v>
                </c:pt>
                <c:pt idx="93">
                  <c:v>3.2803100000000002E-2</c:v>
                </c:pt>
                <c:pt idx="94">
                  <c:v>2.9438800000000001E-2</c:v>
                </c:pt>
                <c:pt idx="95">
                  <c:v>2.6616600000000001E-2</c:v>
                </c:pt>
                <c:pt idx="96">
                  <c:v>2.4101899999999999E-2</c:v>
                </c:pt>
                <c:pt idx="97">
                  <c:v>2.1728899999999999E-2</c:v>
                </c:pt>
                <c:pt idx="98">
                  <c:v>1.9722E-2</c:v>
                </c:pt>
                <c:pt idx="99">
                  <c:v>1.7910499999999999E-2</c:v>
                </c:pt>
                <c:pt idx="100">
                  <c:v>1.58646E-2</c:v>
                </c:pt>
                <c:pt idx="101">
                  <c:v>1.4541399999999999E-2</c:v>
                </c:pt>
                <c:pt idx="102">
                  <c:v>1.29984E-2</c:v>
                </c:pt>
                <c:pt idx="103">
                  <c:v>1.1250400000000001E-2</c:v>
                </c:pt>
                <c:pt idx="104">
                  <c:v>1.06742E-2</c:v>
                </c:pt>
                <c:pt idx="105">
                  <c:v>9.3021100000000006E-3</c:v>
                </c:pt>
                <c:pt idx="106">
                  <c:v>8.4866799999999999E-3</c:v>
                </c:pt>
                <c:pt idx="107">
                  <c:v>7.5443000000000003E-3</c:v>
                </c:pt>
                <c:pt idx="108">
                  <c:v>6.7044599999999998E-3</c:v>
                </c:pt>
                <c:pt idx="109">
                  <c:v>6.00133E-3</c:v>
                </c:pt>
                <c:pt idx="110">
                  <c:v>5.6497700000000001E-3</c:v>
                </c:pt>
                <c:pt idx="111">
                  <c:v>5.09801E-3</c:v>
                </c:pt>
                <c:pt idx="112">
                  <c:v>4.4730100000000004E-3</c:v>
                </c:pt>
                <c:pt idx="113">
                  <c:v>3.8577799999999999E-3</c:v>
                </c:pt>
                <c:pt idx="114">
                  <c:v>3.5940999999999998E-3</c:v>
                </c:pt>
                <c:pt idx="115">
                  <c:v>3.4769200000000001E-3</c:v>
                </c:pt>
                <c:pt idx="116">
                  <c:v>2.84703E-3</c:v>
                </c:pt>
                <c:pt idx="117">
                  <c:v>2.2806300000000001E-3</c:v>
                </c:pt>
                <c:pt idx="118">
                  <c:v>2.3685199999999998E-3</c:v>
                </c:pt>
                <c:pt idx="119">
                  <c:v>2.3196900000000001E-3</c:v>
                </c:pt>
                <c:pt idx="120">
                  <c:v>2.02184E-3</c:v>
                </c:pt>
                <c:pt idx="121">
                  <c:v>1.5579700000000001E-3</c:v>
                </c:pt>
                <c:pt idx="122">
                  <c:v>1.47496E-3</c:v>
                </c:pt>
                <c:pt idx="123">
                  <c:v>1.17223E-3</c:v>
                </c:pt>
                <c:pt idx="124">
                  <c:v>1.2357100000000001E-3</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Command!$C$17:$C$18</c:f>
              <c:numCache>
                <c:formatCode>General</c:formatCode>
                <c:ptCount val="2"/>
                <c:pt idx="0">
                  <c:v>5</c:v>
                </c:pt>
                <c:pt idx="1">
                  <c:v>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Command!$D$17:$D$18</c:f>
              <c:numCache>
                <c:formatCode>General</c:formatCode>
                <c:ptCount val="2"/>
                <c:pt idx="0">
                  <c:v>2</c:v>
                </c:pt>
                <c:pt idx="1">
                  <c:v>2</c:v>
                </c:pt>
              </c:numCache>
            </c:numRef>
          </c:yVal>
          <c:smooth val="0"/>
        </c:ser>
        <c:dLbls>
          <c:showLegendKey val="0"/>
          <c:showVal val="0"/>
          <c:showCatName val="0"/>
          <c:showSerName val="0"/>
          <c:showPercent val="0"/>
          <c:showBubbleSize val="0"/>
        </c:dLbls>
        <c:axId val="143027584"/>
        <c:axId val="143029376"/>
      </c:scatterChart>
      <c:valAx>
        <c:axId val="143011200"/>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43025664"/>
        <c:crosses val="autoZero"/>
        <c:crossBetween val="midCat"/>
      </c:valAx>
      <c:valAx>
        <c:axId val="143025664"/>
        <c:scaling>
          <c:orientation val="minMax"/>
          <c:max val="1.05"/>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143011200"/>
        <c:crosses val="autoZero"/>
        <c:crossBetween val="midCat"/>
      </c:valAx>
      <c:valAx>
        <c:axId val="143027584"/>
        <c:scaling>
          <c:orientation val="minMax"/>
        </c:scaling>
        <c:delete val="1"/>
        <c:axPos val="b"/>
        <c:numFmt formatCode="0.00E+00" sourceLinked="1"/>
        <c:majorTickMark val="out"/>
        <c:minorTickMark val="none"/>
        <c:tickLblPos val="none"/>
        <c:crossAx val="143029376"/>
        <c:crosses val="autoZero"/>
        <c:crossBetween val="midCat"/>
      </c:valAx>
      <c:valAx>
        <c:axId val="143029376"/>
        <c:scaling>
          <c:orientation val="minMax"/>
          <c:max val="5.25"/>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143027584"/>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Calc!$AC$8</c:f>
              <c:strCache>
                <c:ptCount val="1"/>
                <c:pt idx="0">
                  <c:v>Undoped Cond</c:v>
                </c:pt>
              </c:strCache>
            </c:strRef>
          </c:tx>
          <c:spPr>
            <a:ln w="28575">
              <a:noFill/>
            </a:ln>
          </c:spPr>
          <c:trendline>
            <c:trendlineType val="poly"/>
            <c:order val="3"/>
            <c:dispRSqr val="1"/>
            <c:dispEq val="1"/>
            <c:trendlineLbl>
              <c:layout>
                <c:manualLayout>
                  <c:x val="2.6631125477858408E-2"/>
                  <c:y val="-4.5300014581510645E-2"/>
                </c:manualLayout>
              </c:layout>
              <c:numFmt formatCode="General" sourceLinked="0"/>
            </c:trendlineLbl>
          </c:trendline>
          <c:xVal>
            <c:numRef>
              <c:f>Calc!$AA$9:$AA$44</c:f>
              <c:numCache>
                <c:formatCode>0.000</c:formatCode>
                <c:ptCount val="36"/>
                <c:pt idx="0">
                  <c:v>25.574943999999999</c:v>
                </c:pt>
                <c:pt idx="1">
                  <c:v>30.514984999999999</c:v>
                </c:pt>
                <c:pt idx="2">
                  <c:v>35.505572999999998</c:v>
                </c:pt>
                <c:pt idx="3">
                  <c:v>40.471617000000002</c:v>
                </c:pt>
                <c:pt idx="4">
                  <c:v>45.471893999999999</c:v>
                </c:pt>
                <c:pt idx="5">
                  <c:v>50.503872000000001</c:v>
                </c:pt>
                <c:pt idx="6">
                  <c:v>55.478293000000001</c:v>
                </c:pt>
                <c:pt idx="7">
                  <c:v>60.477620000000002</c:v>
                </c:pt>
                <c:pt idx="8">
                  <c:v>65.476241999999999</c:v>
                </c:pt>
                <c:pt idx="9">
                  <c:v>70.471900000000005</c:v>
                </c:pt>
                <c:pt idx="10">
                  <c:v>75.441408999999993</c:v>
                </c:pt>
                <c:pt idx="11">
                  <c:v>80.439930000000004</c:v>
                </c:pt>
                <c:pt idx="12">
                  <c:v>85.464177000000007</c:v>
                </c:pt>
                <c:pt idx="13">
                  <c:v>90.457423000000006</c:v>
                </c:pt>
                <c:pt idx="14">
                  <c:v>95.445974000000007</c:v>
                </c:pt>
                <c:pt idx="15">
                  <c:v>100.439252</c:v>
                </c:pt>
                <c:pt idx="16">
                  <c:v>105.532697</c:v>
                </c:pt>
                <c:pt idx="17">
                  <c:v>110.37857200000001</c:v>
                </c:pt>
                <c:pt idx="18">
                  <c:v>115.414168</c:v>
                </c:pt>
                <c:pt idx="19">
                  <c:v>120.43200899999999</c:v>
                </c:pt>
                <c:pt idx="20">
                  <c:v>125.43118</c:v>
                </c:pt>
                <c:pt idx="21">
                  <c:v>130.38081299999999</c:v>
                </c:pt>
                <c:pt idx="22">
                  <c:v>135.37871899999999</c:v>
                </c:pt>
                <c:pt idx="23">
                  <c:v>140.399551</c:v>
                </c:pt>
                <c:pt idx="24">
                  <c:v>145.42892699999999</c:v>
                </c:pt>
                <c:pt idx="25">
                  <c:v>150.45680400000001</c:v>
                </c:pt>
                <c:pt idx="26">
                  <c:v>155.38770099999999</c:v>
                </c:pt>
                <c:pt idx="27">
                  <c:v>160.34243699999999</c:v>
                </c:pt>
                <c:pt idx="28">
                  <c:v>165.35217</c:v>
                </c:pt>
                <c:pt idx="29">
                  <c:v>170.34768399999999</c:v>
                </c:pt>
                <c:pt idx="30">
                  <c:v>175.25808599999999</c:v>
                </c:pt>
                <c:pt idx="31">
                  <c:v>180.42495400000001</c:v>
                </c:pt>
                <c:pt idx="32">
                  <c:v>185.40361999999999</c:v>
                </c:pt>
                <c:pt idx="33">
                  <c:v>190.424297</c:v>
                </c:pt>
                <c:pt idx="34">
                  <c:v>195.404594</c:v>
                </c:pt>
                <c:pt idx="35" formatCode="General">
                  <c:v>200.29631699999999</c:v>
                </c:pt>
              </c:numCache>
            </c:numRef>
          </c:xVal>
          <c:yVal>
            <c:numRef>
              <c:f>Calc!$AC$9:$AC$44</c:f>
              <c:numCache>
                <c:formatCode>0.00E+00</c:formatCode>
                <c:ptCount val="36"/>
                <c:pt idx="0">
                  <c:v>2.328985414709906E-4</c:v>
                </c:pt>
                <c:pt idx="1">
                  <c:v>1.0520413135535576E-3</c:v>
                </c:pt>
                <c:pt idx="2">
                  <c:v>1.7270613285715775E-3</c:v>
                </c:pt>
                <c:pt idx="3">
                  <c:v>2.083223628346299E-3</c:v>
                </c:pt>
                <c:pt idx="4">
                  <c:v>2.7014999585837076E-3</c:v>
                </c:pt>
                <c:pt idx="5">
                  <c:v>3.6056824267328411E-3</c:v>
                </c:pt>
                <c:pt idx="6">
                  <c:v>4.2538985031319873E-3</c:v>
                </c:pt>
                <c:pt idx="7">
                  <c:v>4.7181834470028886E-3</c:v>
                </c:pt>
                <c:pt idx="8">
                  <c:v>5.6458564917853272E-3</c:v>
                </c:pt>
                <c:pt idx="9">
                  <c:v>6.1142128955096612E-3</c:v>
                </c:pt>
                <c:pt idx="10">
                  <c:v>6.7523606046867891E-3</c:v>
                </c:pt>
                <c:pt idx="11">
                  <c:v>7.4348079842817558E-3</c:v>
                </c:pt>
                <c:pt idx="12">
                  <c:v>8.1062408529846402E-3</c:v>
                </c:pt>
                <c:pt idx="13">
                  <c:v>8.7480770846300963E-3</c:v>
                </c:pt>
                <c:pt idx="14">
                  <c:v>9.3841736448925794E-3</c:v>
                </c:pt>
                <c:pt idx="15">
                  <c:v>1.0044454094643277E-2</c:v>
                </c:pt>
                <c:pt idx="16">
                  <c:v>1.0646903385833786E-2</c:v>
                </c:pt>
                <c:pt idx="17">
                  <c:v>1.1217528702478064E-2</c:v>
                </c:pt>
                <c:pt idx="18">
                  <c:v>1.179461226035519E-2</c:v>
                </c:pt>
                <c:pt idx="19">
                  <c:v>1.2344806232735032E-2</c:v>
                </c:pt>
                <c:pt idx="20">
                  <c:v>1.2851918029343556E-2</c:v>
                </c:pt>
                <c:pt idx="21">
                  <c:v>1.3406734397765747E-2</c:v>
                </c:pt>
                <c:pt idx="22">
                  <c:v>1.3860396870222712E-2</c:v>
                </c:pt>
                <c:pt idx="23">
                  <c:v>1.4331033952615263E-2</c:v>
                </c:pt>
                <c:pt idx="24">
                  <c:v>1.4825392898287097E-2</c:v>
                </c:pt>
                <c:pt idx="25">
                  <c:v>1.5301282694824113E-2</c:v>
                </c:pt>
                <c:pt idx="26">
                  <c:v>1.5651271388278185E-2</c:v>
                </c:pt>
                <c:pt idx="27">
                  <c:v>1.6059623538971474E-2</c:v>
                </c:pt>
                <c:pt idx="28">
                  <c:v>1.6444477803898426E-2</c:v>
                </c:pt>
                <c:pt idx="29">
                  <c:v>1.6765927328661435E-2</c:v>
                </c:pt>
                <c:pt idx="30">
                  <c:v>1.7086906625896261E-2</c:v>
                </c:pt>
                <c:pt idx="31">
                  <c:v>1.7471125658901181E-2</c:v>
                </c:pt>
                <c:pt idx="32">
                  <c:v>1.7817886409151093E-2</c:v>
                </c:pt>
                <c:pt idx="33">
                  <c:v>1.8139377339711844E-2</c:v>
                </c:pt>
                <c:pt idx="34">
                  <c:v>1.850624799379659E-2</c:v>
                </c:pt>
                <c:pt idx="35">
                  <c:v>1.8893864133679439E-2</c:v>
                </c:pt>
              </c:numCache>
            </c:numRef>
          </c:yVal>
          <c:smooth val="0"/>
        </c:ser>
        <c:dLbls>
          <c:showLegendKey val="0"/>
          <c:showVal val="0"/>
          <c:showCatName val="0"/>
          <c:showSerName val="0"/>
          <c:showPercent val="0"/>
          <c:showBubbleSize val="0"/>
        </c:dLbls>
        <c:axId val="142046720"/>
        <c:axId val="142048256"/>
      </c:scatterChart>
      <c:valAx>
        <c:axId val="142046720"/>
        <c:scaling>
          <c:orientation val="minMax"/>
        </c:scaling>
        <c:delete val="0"/>
        <c:axPos val="b"/>
        <c:numFmt formatCode="0.000" sourceLinked="1"/>
        <c:majorTickMark val="out"/>
        <c:minorTickMark val="none"/>
        <c:tickLblPos val="nextTo"/>
        <c:crossAx val="142048256"/>
        <c:crosses val="autoZero"/>
        <c:crossBetween val="midCat"/>
      </c:valAx>
      <c:valAx>
        <c:axId val="142048256"/>
        <c:scaling>
          <c:orientation val="minMax"/>
        </c:scaling>
        <c:delete val="0"/>
        <c:axPos val="l"/>
        <c:majorGridlines/>
        <c:numFmt formatCode="0.00E+00" sourceLinked="1"/>
        <c:majorTickMark val="out"/>
        <c:minorTickMark val="none"/>
        <c:tickLblPos val="nextTo"/>
        <c:crossAx val="142046720"/>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 Dependent Lifetime</a:t>
            </a:r>
          </a:p>
        </c:rich>
      </c:tx>
      <c:layout/>
      <c:overlay val="0"/>
    </c:title>
    <c:autoTitleDeleted val="0"/>
    <c:plotArea>
      <c:layout/>
      <c:scatterChart>
        <c:scatterStyle val="lineMarker"/>
        <c:varyColors val="0"/>
        <c:ser>
          <c:idx val="1"/>
          <c:order val="1"/>
          <c:tx>
            <c:strRef>
              <c:f>Plots!$B$1</c:f>
              <c:strCache>
                <c:ptCount val="1"/>
                <c:pt idx="0">
                  <c:v>190</c:v>
                </c:pt>
              </c:strCache>
            </c:strRef>
          </c:tx>
          <c:spPr>
            <a:ln w="28575">
              <a:noFill/>
            </a:ln>
          </c:spPr>
          <c:marker>
            <c:symbol val="diamond"/>
            <c:size val="7"/>
            <c:spPr>
              <a:solidFill>
                <a:schemeClr val="accent2">
                  <a:lumMod val="50000"/>
                </a:schemeClr>
              </a:solidFill>
              <a:ln>
                <a:noFill/>
              </a:ln>
            </c:spPr>
          </c:marker>
          <c:xVal>
            <c:numRef>
              <c:f>Plots!$B$3:$B$127</c:f>
              <c:numCache>
                <c:formatCode>General</c:formatCode>
                <c:ptCount val="125"/>
                <c:pt idx="0">
                  <c:v>1.0666839770994374E+16</c:v>
                </c:pt>
                <c:pt idx="1">
                  <c:v>4.2622285853559824E+16</c:v>
                </c:pt>
                <c:pt idx="2">
                  <c:v>6.1369428955842888E+16</c:v>
                </c:pt>
                <c:pt idx="3">
                  <c:v>6.7125517760234528E+16</c:v>
                </c:pt>
                <c:pt idx="4">
                  <c:v>6.7049822345624784E+16</c:v>
                </c:pt>
                <c:pt idx="5">
                  <c:v>6.5487905764457336E+16</c:v>
                </c:pt>
                <c:pt idx="6">
                  <c:v>6.364467768253408E+16</c:v>
                </c:pt>
                <c:pt idx="7">
                  <c:v>6.1856179383834456E+16</c:v>
                </c:pt>
                <c:pt idx="8">
                  <c:v>6.0078759025410696E+16</c:v>
                </c:pt>
                <c:pt idx="9">
                  <c:v>5.832729581033928E+16</c:v>
                </c:pt>
                <c:pt idx="10">
                  <c:v>5.6595559757453944E+16</c:v>
                </c:pt>
                <c:pt idx="11">
                  <c:v>5.4887299557169816E+16</c:v>
                </c:pt>
                <c:pt idx="12">
                  <c:v>5.3222031418893424E+16</c:v>
                </c:pt>
                <c:pt idx="13">
                  <c:v>5.1589807134247856E+16</c:v>
                </c:pt>
                <c:pt idx="14">
                  <c:v>5.0000658236012944E+16</c:v>
                </c:pt>
                <c:pt idx="15">
                  <c:v>4.8450440624866512E+16</c:v>
                </c:pt>
                <c:pt idx="16">
                  <c:v>4.6940332733806136E+16</c:v>
                </c:pt>
                <c:pt idx="17">
                  <c:v>4.5475374028135608E+16</c:v>
                </c:pt>
                <c:pt idx="18">
                  <c:v>4.4035738230512616E+16</c:v>
                </c:pt>
                <c:pt idx="19">
                  <c:v>4.2628962200665784E+16</c:v>
                </c:pt>
                <c:pt idx="20">
                  <c:v>4.125309555864108E+16</c:v>
                </c:pt>
                <c:pt idx="21">
                  <c:v>3.9925745490803048E+16</c:v>
                </c:pt>
                <c:pt idx="22">
                  <c:v>3.8631768953679208E+16</c:v>
                </c:pt>
                <c:pt idx="23">
                  <c:v>3.7360811593059096E+16</c:v>
                </c:pt>
                <c:pt idx="24">
                  <c:v>3.6127511414757392E+16</c:v>
                </c:pt>
                <c:pt idx="25">
                  <c:v>3.4925033677674616E+16</c:v>
                </c:pt>
                <c:pt idx="26">
                  <c:v>3.3761858564342128E+16</c:v>
                </c:pt>
                <c:pt idx="27">
                  <c:v>3.2624758625701288E+16</c:v>
                </c:pt>
                <c:pt idx="28">
                  <c:v>3.1524257216488976E+16</c:v>
                </c:pt>
                <c:pt idx="29">
                  <c:v>3.0455791657546208E+16</c:v>
                </c:pt>
                <c:pt idx="30">
                  <c:v>2.9414374488301624E+16</c:v>
                </c:pt>
                <c:pt idx="31">
                  <c:v>2.8397555188672392E+16</c:v>
                </c:pt>
                <c:pt idx="32">
                  <c:v>2.7421425691058844E+16</c:v>
                </c:pt>
                <c:pt idx="33">
                  <c:v>2.6466020087281184E+16</c:v>
                </c:pt>
                <c:pt idx="34">
                  <c:v>2.5533573508773328E+16</c:v>
                </c:pt>
                <c:pt idx="35">
                  <c:v>2.4629302338857896E+16</c:v>
                </c:pt>
                <c:pt idx="36">
                  <c:v>2.3748136401355176E+16</c:v>
                </c:pt>
                <c:pt idx="37">
                  <c:v>2.28895588572782E+16</c:v>
                </c:pt>
                <c:pt idx="38">
                  <c:v>2.2066410553279244E+16</c:v>
                </c:pt>
                <c:pt idx="39">
                  <c:v>2.1270960986128944E+16</c:v>
                </c:pt>
                <c:pt idx="40">
                  <c:v>2.0487701781427148E+16</c:v>
                </c:pt>
                <c:pt idx="41">
                  <c:v>1.9724429139051E+16</c:v>
                </c:pt>
                <c:pt idx="42">
                  <c:v>1.8989599433153224E+16</c:v>
                </c:pt>
                <c:pt idx="43">
                  <c:v>1.8276144745206004E+16</c:v>
                </c:pt>
                <c:pt idx="44">
                  <c:v>1.7577336898355134E+16</c:v>
                </c:pt>
                <c:pt idx="45">
                  <c:v>1.691032129680268E+16</c:v>
                </c:pt>
                <c:pt idx="46">
                  <c:v>1.6262581082218134E+16</c:v>
                </c:pt>
                <c:pt idx="47">
                  <c:v>1.56290369823845E+16</c:v>
                </c:pt>
                <c:pt idx="48">
                  <c:v>1.5012974895432618E+16</c:v>
                </c:pt>
                <c:pt idx="49">
                  <c:v>1.4419843755783918E+16</c:v>
                </c:pt>
                <c:pt idx="50">
                  <c:v>1.3842674516407368E+16</c:v>
                </c:pt>
                <c:pt idx="51">
                  <c:v>1.3283401517428782E+16</c:v>
                </c:pt>
                <c:pt idx="52">
                  <c:v>1.2747091320424528E+16</c:v>
                </c:pt>
                <c:pt idx="53">
                  <c:v>1.222787034532017E+16</c:v>
                </c:pt>
                <c:pt idx="54">
                  <c:v>1.172121898241389E+16</c:v>
                </c:pt>
                <c:pt idx="55">
                  <c:v>1.1227698471349178E+16</c:v>
                </c:pt>
                <c:pt idx="56">
                  <c:v>1.0755983559458802E+16</c:v>
                </c:pt>
                <c:pt idx="57">
                  <c:v>1.0295490089367962E+16</c:v>
                </c:pt>
                <c:pt idx="58">
                  <c:v>9849699418098022</c:v>
                </c:pt>
                <c:pt idx="59">
                  <c:v>9431904480357166</c:v>
                </c:pt>
                <c:pt idx="60">
                  <c:v>9023394808421590</c:v>
                </c:pt>
                <c:pt idx="61">
                  <c:v>8619721060044559</c:v>
                </c:pt>
                <c:pt idx="62">
                  <c:v>8239930092541766</c:v>
                </c:pt>
                <c:pt idx="63">
                  <c:v>7871949458786095</c:v>
                </c:pt>
                <c:pt idx="64">
                  <c:v>7508473878789773</c:v>
                </c:pt>
                <c:pt idx="65">
                  <c:v>7169894814199708</c:v>
                </c:pt>
                <c:pt idx="66">
                  <c:v>6839401435356519</c:v>
                </c:pt>
                <c:pt idx="67">
                  <c:v>6517574134242813</c:v>
                </c:pt>
                <c:pt idx="68">
                  <c:v>6211489223575011</c:v>
                </c:pt>
                <c:pt idx="69">
                  <c:v>5916136405276706</c:v>
                </c:pt>
                <c:pt idx="70">
                  <c:v>5631523908769365</c:v>
                </c:pt>
                <c:pt idx="71">
                  <c:v>5356854618802720</c:v>
                </c:pt>
                <c:pt idx="72">
                  <c:v>5093099805469775</c:v>
                </c:pt>
                <c:pt idx="73">
                  <c:v>4844557718463771</c:v>
                </c:pt>
                <c:pt idx="74">
                  <c:v>4605845748993385</c:v>
                </c:pt>
                <c:pt idx="75">
                  <c:v>4368155250472558.5</c:v>
                </c:pt>
                <c:pt idx="76">
                  <c:v>4149733526173941.5</c:v>
                </c:pt>
                <c:pt idx="77">
                  <c:v>3929237944458306.5</c:v>
                </c:pt>
                <c:pt idx="78">
                  <c:v>3720086497121193.5</c:v>
                </c:pt>
                <c:pt idx="79">
                  <c:v>3525151566302291</c:v>
                </c:pt>
                <c:pt idx="80">
                  <c:v>3336344608993356.5</c:v>
                </c:pt>
                <c:pt idx="81">
                  <c:v>3163907386904686</c:v>
                </c:pt>
                <c:pt idx="82">
                  <c:v>2982784001278308</c:v>
                </c:pt>
                <c:pt idx="83">
                  <c:v>2821242887893047.5</c:v>
                </c:pt>
                <c:pt idx="84">
                  <c:v>2661124988044838</c:v>
                </c:pt>
                <c:pt idx="85">
                  <c:v>2502814758566265</c:v>
                </c:pt>
                <c:pt idx="86">
                  <c:v>2365019767884582.5</c:v>
                </c:pt>
                <c:pt idx="87">
                  <c:v>2234512996943550.2</c:v>
                </c:pt>
                <c:pt idx="88">
                  <c:v>2106644336033104.2</c:v>
                </c:pt>
                <c:pt idx="89">
                  <c:v>1980562117077103.7</c:v>
                </c:pt>
                <c:pt idx="90">
                  <c:v>1864035979812603.7</c:v>
                </c:pt>
                <c:pt idx="91">
                  <c:v>1750445479659858</c:v>
                </c:pt>
                <c:pt idx="92">
                  <c:v>1643998608405060.5</c:v>
                </c:pt>
                <c:pt idx="93">
                  <c:v>1537662250942070</c:v>
                </c:pt>
                <c:pt idx="94">
                  <c:v>1447245551433266.5</c:v>
                </c:pt>
                <c:pt idx="95">
                  <c:v>1351597078295656</c:v>
                </c:pt>
                <c:pt idx="96">
                  <c:v>1261823756464733.2</c:v>
                </c:pt>
                <c:pt idx="97">
                  <c:v>1180360363671656.2</c:v>
                </c:pt>
                <c:pt idx="98">
                  <c:v>1099570671250351.9</c:v>
                </c:pt>
                <c:pt idx="99">
                  <c:v>1028002560682215.6</c:v>
                </c:pt>
                <c:pt idx="100">
                  <c:v>956262895601270.62</c:v>
                </c:pt>
                <c:pt idx="101">
                  <c:v>897993214037735.25</c:v>
                </c:pt>
                <c:pt idx="102">
                  <c:v>835572838442479.87</c:v>
                </c:pt>
                <c:pt idx="103">
                  <c:v>774595695117658.37</c:v>
                </c:pt>
                <c:pt idx="104">
                  <c:v>717979510707156.37</c:v>
                </c:pt>
                <c:pt idx="105">
                  <c:v>668152413168570.5</c:v>
                </c:pt>
                <c:pt idx="106">
                  <c:v>619128664459792.5</c:v>
                </c:pt>
                <c:pt idx="107">
                  <c:v>573886282688467</c:v>
                </c:pt>
                <c:pt idx="108">
                  <c:v>533833793239707.37</c:v>
                </c:pt>
                <c:pt idx="109">
                  <c:v>497874725037352.37</c:v>
                </c:pt>
                <c:pt idx="110">
                  <c:v>456955819955661.87</c:v>
                </c:pt>
                <c:pt idx="111">
                  <c:v>427005636469890.75</c:v>
                </c:pt>
                <c:pt idx="112">
                  <c:v>390814270933005.5</c:v>
                </c:pt>
                <c:pt idx="113">
                  <c:v>359842952805074.62</c:v>
                </c:pt>
                <c:pt idx="114">
                  <c:v>337507688126136.94</c:v>
                </c:pt>
                <c:pt idx="115">
                  <c:v>311961989116584.44</c:v>
                </c:pt>
                <c:pt idx="116">
                  <c:v>287244506489014.5</c:v>
                </c:pt>
                <c:pt idx="117">
                  <c:v>265497446109545.81</c:v>
                </c:pt>
                <c:pt idx="118">
                  <c:v>249534015034279.5</c:v>
                </c:pt>
                <c:pt idx="119">
                  <c:v>222458008513856.28</c:v>
                </c:pt>
                <c:pt idx="120">
                  <c:v>208728733208734.16</c:v>
                </c:pt>
                <c:pt idx="121">
                  <c:v>192799112790831.59</c:v>
                </c:pt>
                <c:pt idx="122">
                  <c:v>180222768658822.31</c:v>
                </c:pt>
                <c:pt idx="123">
                  <c:v>162841932026863.91</c:v>
                </c:pt>
                <c:pt idx="124">
                  <c:v>152887615236831.5</c:v>
                </c:pt>
              </c:numCache>
            </c:numRef>
          </c:xVal>
          <c:yVal>
            <c:numRef>
              <c:f>Plots!$C$3:$C$127</c:f>
              <c:numCache>
                <c:formatCode>General</c:formatCode>
                <c:ptCount val="125"/>
                <c:pt idx="0">
                  <c:v>0</c:v>
                </c:pt>
                <c:pt idx="1">
                  <c:v>0</c:v>
                </c:pt>
                <c:pt idx="2">
                  <c:v>1.8061694921196492E-4</c:v>
                </c:pt>
                <c:pt idx="3">
                  <c:v>1.5204166232711888E-4</c:v>
                </c:pt>
                <c:pt idx="4">
                  <c:v>1.3916738778307165E-4</c:v>
                </c:pt>
                <c:pt idx="5">
                  <c:v>1.370968207551763E-4</c:v>
                </c:pt>
                <c:pt idx="6">
                  <c:v>1.4001555734837211E-4</c:v>
                </c:pt>
                <c:pt idx="7">
                  <c:v>1.4397151063781188E-4</c:v>
                </c:pt>
                <c:pt idx="8">
                  <c:v>1.481672933576331E-4</c:v>
                </c:pt>
                <c:pt idx="9">
                  <c:v>1.523193666303592E-4</c:v>
                </c:pt>
                <c:pt idx="10">
                  <c:v>1.565352456115359E-4</c:v>
                </c:pt>
                <c:pt idx="11">
                  <c:v>1.6083911616167161E-4</c:v>
                </c:pt>
                <c:pt idx="12">
                  <c:v>1.6520947746185278E-4</c:v>
                </c:pt>
                <c:pt idx="13">
                  <c:v>1.6952639700816582E-4</c:v>
                </c:pt>
                <c:pt idx="14">
                  <c:v>1.7387527060859763E-4</c:v>
                </c:pt>
                <c:pt idx="15">
                  <c:v>1.782747846691034E-4</c:v>
                </c:pt>
                <c:pt idx="16">
                  <c:v>1.8272190337832324E-4</c:v>
                </c:pt>
                <c:pt idx="17">
                  <c:v>1.8723994293801038E-4</c:v>
                </c:pt>
                <c:pt idx="18">
                  <c:v>1.917244172566762E-4</c:v>
                </c:pt>
                <c:pt idx="19">
                  <c:v>1.9620762103562993E-4</c:v>
                </c:pt>
                <c:pt idx="20">
                  <c:v>2.0065605969091582E-4</c:v>
                </c:pt>
                <c:pt idx="21">
                  <c:v>2.0517077106504798E-4</c:v>
                </c:pt>
                <c:pt idx="22">
                  <c:v>2.0961575219135292E-4</c:v>
                </c:pt>
                <c:pt idx="23">
                  <c:v>2.1401884011636017E-4</c:v>
                </c:pt>
                <c:pt idx="24">
                  <c:v>2.1842721207606208E-4</c:v>
                </c:pt>
                <c:pt idx="25">
                  <c:v>2.2275201899621137E-4</c:v>
                </c:pt>
                <c:pt idx="26">
                  <c:v>2.270614272096342E-4</c:v>
                </c:pt>
                <c:pt idx="27">
                  <c:v>2.3130229024189789E-4</c:v>
                </c:pt>
                <c:pt idx="28">
                  <c:v>2.359200531887856E-4</c:v>
                </c:pt>
                <c:pt idx="29">
                  <c:v>2.4023967380359842E-4</c:v>
                </c:pt>
                <c:pt idx="30">
                  <c:v>2.4436221259152753E-4</c:v>
                </c:pt>
                <c:pt idx="31">
                  <c:v>2.4830628117182178E-4</c:v>
                </c:pt>
                <c:pt idx="32">
                  <c:v>2.5232613278691561E-4</c:v>
                </c:pt>
                <c:pt idx="33">
                  <c:v>2.5625689603447791E-4</c:v>
                </c:pt>
                <c:pt idx="34">
                  <c:v>2.5988939923646595E-4</c:v>
                </c:pt>
                <c:pt idx="35">
                  <c:v>2.6357935831271555E-4</c:v>
                </c:pt>
                <c:pt idx="36">
                  <c:v>2.6716640818643387E-4</c:v>
                </c:pt>
                <c:pt idx="37">
                  <c:v>2.7054292441410692E-4</c:v>
                </c:pt>
                <c:pt idx="38">
                  <c:v>2.7412293182284633E-4</c:v>
                </c:pt>
                <c:pt idx="39">
                  <c:v>2.776044191385749E-4</c:v>
                </c:pt>
                <c:pt idx="40">
                  <c:v>2.8073387458250648E-4</c:v>
                </c:pt>
                <c:pt idx="41">
                  <c:v>2.8359895303272655E-4</c:v>
                </c:pt>
                <c:pt idx="42">
                  <c:v>2.867053845280581E-4</c:v>
                </c:pt>
                <c:pt idx="43">
                  <c:v>2.8955110510687669E-4</c:v>
                </c:pt>
                <c:pt idx="44">
                  <c:v>2.9222673687733782E-4</c:v>
                </c:pt>
                <c:pt idx="45">
                  <c:v>2.9493931690147623E-4</c:v>
                </c:pt>
                <c:pt idx="46">
                  <c:v>2.9741342266434624E-4</c:v>
                </c:pt>
                <c:pt idx="47">
                  <c:v>2.9976095255977806E-4</c:v>
                </c:pt>
                <c:pt idx="48">
                  <c:v>3.0172033213294783E-4</c:v>
                </c:pt>
                <c:pt idx="49">
                  <c:v>3.0373347119118225E-4</c:v>
                </c:pt>
                <c:pt idx="50">
                  <c:v>3.0572003136677392E-4</c:v>
                </c:pt>
                <c:pt idx="51">
                  <c:v>3.0730260411186228E-4</c:v>
                </c:pt>
                <c:pt idx="52">
                  <c:v>3.0916508660689513E-4</c:v>
                </c:pt>
                <c:pt idx="53">
                  <c:v>3.1071056041667591E-4</c:v>
                </c:pt>
                <c:pt idx="54">
                  <c:v>3.119916842524845E-4</c:v>
                </c:pt>
                <c:pt idx="55">
                  <c:v>3.1295250581432084E-4</c:v>
                </c:pt>
                <c:pt idx="56">
                  <c:v>3.1411431881242058E-4</c:v>
                </c:pt>
                <c:pt idx="57">
                  <c:v>3.1510112888318394E-4</c:v>
                </c:pt>
                <c:pt idx="58">
                  <c:v>3.1622307524764988E-4</c:v>
                </c:pt>
                <c:pt idx="59">
                  <c:v>3.1729791300699105E-4</c:v>
                </c:pt>
                <c:pt idx="60">
                  <c:v>3.1793733448229518E-4</c:v>
                </c:pt>
                <c:pt idx="61">
                  <c:v>3.1843713534453205E-4</c:v>
                </c:pt>
                <c:pt idx="62">
                  <c:v>3.1893374455774221E-4</c:v>
                </c:pt>
                <c:pt idx="63">
                  <c:v>3.1957565697020583E-4</c:v>
                </c:pt>
                <c:pt idx="64">
                  <c:v>3.1903189134348747E-4</c:v>
                </c:pt>
                <c:pt idx="65">
                  <c:v>3.1887955451674577E-4</c:v>
                </c:pt>
                <c:pt idx="66">
                  <c:v>3.1872140459464983E-4</c:v>
                </c:pt>
                <c:pt idx="67">
                  <c:v>3.179404774721025E-4</c:v>
                </c:pt>
                <c:pt idx="68">
                  <c:v>3.1803177911791242E-4</c:v>
                </c:pt>
                <c:pt idx="69">
                  <c:v>3.1762292601103135E-4</c:v>
                </c:pt>
                <c:pt idx="70">
                  <c:v>3.1655513516682423E-4</c:v>
                </c:pt>
                <c:pt idx="71">
                  <c:v>3.1583589453313722E-4</c:v>
                </c:pt>
                <c:pt idx="72">
                  <c:v>3.1471314739760469E-4</c:v>
                </c:pt>
                <c:pt idx="73">
                  <c:v>3.1384312698362778E-4</c:v>
                </c:pt>
                <c:pt idx="74">
                  <c:v>3.1301276775178288E-4</c:v>
                </c:pt>
                <c:pt idx="75">
                  <c:v>3.1071903733477562E-4</c:v>
                </c:pt>
                <c:pt idx="76">
                  <c:v>3.0952881569221835E-4</c:v>
                </c:pt>
                <c:pt idx="77">
                  <c:v>3.0702555766074874E-4</c:v>
                </c:pt>
                <c:pt idx="78">
                  <c:v>3.0530216617921402E-4</c:v>
                </c:pt>
                <c:pt idx="79">
                  <c:v>3.0435881156845948E-4</c:v>
                </c:pt>
                <c:pt idx="80">
                  <c:v>3.0261108630261435E-4</c:v>
                </c:pt>
                <c:pt idx="81">
                  <c:v>3.0058945624600168E-4</c:v>
                </c:pt>
                <c:pt idx="82">
                  <c:v>2.9722701226940983E-4</c:v>
                </c:pt>
                <c:pt idx="83">
                  <c:v>2.9386246815037837E-4</c:v>
                </c:pt>
                <c:pt idx="84">
                  <c:v>2.9160257486254615E-4</c:v>
                </c:pt>
                <c:pt idx="85">
                  <c:v>2.8829482300842002E-4</c:v>
                </c:pt>
                <c:pt idx="86">
                  <c:v>2.8755910247113596E-4</c:v>
                </c:pt>
                <c:pt idx="87">
                  <c:v>2.860458582517312E-4</c:v>
                </c:pt>
                <c:pt idx="88">
                  <c:v>2.8269636458816546E-4</c:v>
                </c:pt>
                <c:pt idx="89">
                  <c:v>2.7891458705260873E-4</c:v>
                </c:pt>
                <c:pt idx="90">
                  <c:v>2.7549557507735602E-4</c:v>
                </c:pt>
                <c:pt idx="91">
                  <c:v>2.7203144488627425E-4</c:v>
                </c:pt>
                <c:pt idx="92">
                  <c:v>2.692178094133292E-4</c:v>
                </c:pt>
                <c:pt idx="93">
                  <c:v>2.6572042068507748E-4</c:v>
                </c:pt>
                <c:pt idx="94">
                  <c:v>2.6267302259383956E-4</c:v>
                </c:pt>
                <c:pt idx="95">
                  <c:v>2.5834941666668662E-4</c:v>
                </c:pt>
                <c:pt idx="96">
                  <c:v>2.5421429607686322E-4</c:v>
                </c:pt>
                <c:pt idx="97">
                  <c:v>2.5185902215673543E-4</c:v>
                </c:pt>
                <c:pt idx="98">
                  <c:v>2.4695690680761744E-4</c:v>
                </c:pt>
                <c:pt idx="99">
                  <c:v>2.4487543357960302E-4</c:v>
                </c:pt>
                <c:pt idx="100">
                  <c:v>2.412522996348572E-4</c:v>
                </c:pt>
                <c:pt idx="101">
                  <c:v>2.3982767206908373E-4</c:v>
                </c:pt>
                <c:pt idx="102">
                  <c:v>2.3499229738891897E-4</c:v>
                </c:pt>
                <c:pt idx="103">
                  <c:v>2.3024194096667378E-4</c:v>
                </c:pt>
                <c:pt idx="104">
                  <c:v>2.2572580224260158E-4</c:v>
                </c:pt>
                <c:pt idx="105">
                  <c:v>2.2180060813925049E-4</c:v>
                </c:pt>
                <c:pt idx="106">
                  <c:v>2.1986396938585126E-4</c:v>
                </c:pt>
                <c:pt idx="107">
                  <c:v>2.1688155095585471E-4</c:v>
                </c:pt>
                <c:pt idx="108">
                  <c:v>2.1381513310120027E-4</c:v>
                </c:pt>
                <c:pt idx="109">
                  <c:v>2.1143663958212425E-4</c:v>
                </c:pt>
                <c:pt idx="110">
                  <c:v>2.0603200744856432E-4</c:v>
                </c:pt>
                <c:pt idx="111">
                  <c:v>2.0482654625841659E-4</c:v>
                </c:pt>
                <c:pt idx="112">
                  <c:v>1.9991624251112871E-4</c:v>
                </c:pt>
                <c:pt idx="113">
                  <c:v>1.959694230342862E-4</c:v>
                </c:pt>
                <c:pt idx="114">
                  <c:v>1.9805680630955268E-4</c:v>
                </c:pt>
                <c:pt idx="115">
                  <c:v>1.9304300309571918E-4</c:v>
                </c:pt>
                <c:pt idx="116">
                  <c:v>1.8881824272128181E-4</c:v>
                </c:pt>
                <c:pt idx="117">
                  <c:v>1.8580953917511625E-4</c:v>
                </c:pt>
                <c:pt idx="118">
                  <c:v>1.8814617640345387E-4</c:v>
                </c:pt>
                <c:pt idx="119">
                  <c:v>1.7724187970013003E-4</c:v>
                </c:pt>
                <c:pt idx="120">
                  <c:v>1.8352763015811737E-4</c:v>
                </c:pt>
                <c:pt idx="121">
                  <c:v>1.8104967679467737E-4</c:v>
                </c:pt>
                <c:pt idx="122">
                  <c:v>1.8177920658019658E-4</c:v>
                </c:pt>
                <c:pt idx="123">
                  <c:v>0</c:v>
                </c:pt>
                <c:pt idx="124">
                  <c:v>0</c:v>
                </c:pt>
              </c:numCache>
            </c:numRef>
          </c:yVal>
          <c:smooth val="0"/>
        </c:ser>
        <c:ser>
          <c:idx val="2"/>
          <c:order val="2"/>
          <c:tx>
            <c:strRef>
              <c:f>Plots!$D$1</c:f>
              <c:strCache>
                <c:ptCount val="1"/>
                <c:pt idx="0">
                  <c:v>180</c:v>
                </c:pt>
              </c:strCache>
            </c:strRef>
          </c:tx>
          <c:spPr>
            <a:ln w="28575">
              <a:noFill/>
            </a:ln>
          </c:spPr>
          <c:marker>
            <c:symbol val="diamond"/>
            <c:size val="7"/>
            <c:spPr>
              <a:solidFill>
                <a:srgbClr val="C00000"/>
              </a:solidFill>
              <a:ln>
                <a:noFill/>
              </a:ln>
            </c:spPr>
          </c:marker>
          <c:xVal>
            <c:numRef>
              <c:f>Plots!$D$3:$D$127</c:f>
              <c:numCache>
                <c:formatCode>General</c:formatCode>
                <c:ptCount val="125"/>
                <c:pt idx="0">
                  <c:v>1.0571495570496724E+16</c:v>
                </c:pt>
                <c:pt idx="1">
                  <c:v>4.2543528932330448E+16</c:v>
                </c:pt>
                <c:pt idx="2">
                  <c:v>6.1946469610246528E+16</c:v>
                </c:pt>
                <c:pt idx="3">
                  <c:v>6.8037107237976176E+16</c:v>
                </c:pt>
                <c:pt idx="4">
                  <c:v>6.7806994072330848E+16</c:v>
                </c:pt>
                <c:pt idx="5">
                  <c:v>6.627091387520532E+16</c:v>
                </c:pt>
                <c:pt idx="6">
                  <c:v>6.443875900367668E+16</c:v>
                </c:pt>
                <c:pt idx="7">
                  <c:v>6.2608544963287368E+16</c:v>
                </c:pt>
                <c:pt idx="8">
                  <c:v>6.0791770638209048E+16</c:v>
                </c:pt>
                <c:pt idx="9">
                  <c:v>5.89949693023732E+16</c:v>
                </c:pt>
                <c:pt idx="10">
                  <c:v>5.7239000602784536E+16</c:v>
                </c:pt>
                <c:pt idx="11">
                  <c:v>5.5497867781525824E+16</c:v>
                </c:pt>
                <c:pt idx="12">
                  <c:v>5.3795955978696688E+16</c:v>
                </c:pt>
                <c:pt idx="13">
                  <c:v>5.2135484423681592E+16</c:v>
                </c:pt>
                <c:pt idx="14">
                  <c:v>5.0511767369147776E+16</c:v>
                </c:pt>
                <c:pt idx="15">
                  <c:v>4.8941550108156424E+16</c:v>
                </c:pt>
                <c:pt idx="16">
                  <c:v>4.7400020293273936E+16</c:v>
                </c:pt>
                <c:pt idx="17">
                  <c:v>4.589297303889324E+16</c:v>
                </c:pt>
                <c:pt idx="18">
                  <c:v>4.4435743199171888E+16</c:v>
                </c:pt>
                <c:pt idx="19">
                  <c:v>4.3008978464950832E+16</c:v>
                </c:pt>
                <c:pt idx="20">
                  <c:v>4.1615901398139016E+16</c:v>
                </c:pt>
                <c:pt idx="21">
                  <c:v>4.025496077866408E+16</c:v>
                </c:pt>
                <c:pt idx="22">
                  <c:v>3.8931957366793728E+16</c:v>
                </c:pt>
                <c:pt idx="23">
                  <c:v>3.7651726264387904E+16</c:v>
                </c:pt>
                <c:pt idx="24">
                  <c:v>3.6408347331630816E+16</c:v>
                </c:pt>
                <c:pt idx="25">
                  <c:v>3.5189525501531864E+16</c:v>
                </c:pt>
                <c:pt idx="26">
                  <c:v>3.4005682433137448E+16</c:v>
                </c:pt>
                <c:pt idx="27">
                  <c:v>3.2852689853190724E+16</c:v>
                </c:pt>
                <c:pt idx="28">
                  <c:v>3.1726912085437468E+16</c:v>
                </c:pt>
                <c:pt idx="29">
                  <c:v>3.0645892775797116E+16</c:v>
                </c:pt>
                <c:pt idx="30">
                  <c:v>2.9587697316376532E+16</c:v>
                </c:pt>
                <c:pt idx="31">
                  <c:v>2.8553774852525664E+16</c:v>
                </c:pt>
                <c:pt idx="32">
                  <c:v>2.7559729003377204E+16</c:v>
                </c:pt>
                <c:pt idx="33">
                  <c:v>2.6586157402075984E+16</c:v>
                </c:pt>
                <c:pt idx="34">
                  <c:v>2.563889076018034E+16</c:v>
                </c:pt>
                <c:pt idx="35">
                  <c:v>2.472219794884308E+16</c:v>
                </c:pt>
                <c:pt idx="36">
                  <c:v>2.3827463113326296E+16</c:v>
                </c:pt>
                <c:pt idx="37">
                  <c:v>2.2955729177525708E+16</c:v>
                </c:pt>
                <c:pt idx="38">
                  <c:v>2.2115489414071988E+16</c:v>
                </c:pt>
                <c:pt idx="39">
                  <c:v>2.1303350214432872E+16</c:v>
                </c:pt>
                <c:pt idx="40">
                  <c:v>2.0511479885086424E+16</c:v>
                </c:pt>
                <c:pt idx="41">
                  <c:v>1.974775358850582E+16</c:v>
                </c:pt>
                <c:pt idx="42">
                  <c:v>1.8988377989367992E+16</c:v>
                </c:pt>
                <c:pt idx="43">
                  <c:v>1.8262161053103936E+16</c:v>
                </c:pt>
                <c:pt idx="44">
                  <c:v>1.756398888213277E+16</c:v>
                </c:pt>
                <c:pt idx="45">
                  <c:v>1.687376829051493E+16</c:v>
                </c:pt>
                <c:pt idx="46">
                  <c:v>1.6217113614847544E+16</c:v>
                </c:pt>
                <c:pt idx="47">
                  <c:v>1.5580817741206344E+16</c:v>
                </c:pt>
                <c:pt idx="48">
                  <c:v>1.4960286978824584E+16</c:v>
                </c:pt>
                <c:pt idx="49">
                  <c:v>1.4361965967009426E+16</c:v>
                </c:pt>
                <c:pt idx="50">
                  <c:v>1.3778947349373978E+16</c:v>
                </c:pt>
                <c:pt idx="51">
                  <c:v>1.3220544589561404E+16</c:v>
                </c:pt>
                <c:pt idx="52">
                  <c:v>1.267832913754975E+16</c:v>
                </c:pt>
                <c:pt idx="53">
                  <c:v>1.2144847857438304E+16</c:v>
                </c:pt>
                <c:pt idx="54">
                  <c:v>1.1629493726123906E+16</c:v>
                </c:pt>
                <c:pt idx="55">
                  <c:v>1.1135717991032864E+16</c:v>
                </c:pt>
                <c:pt idx="56">
                  <c:v>1.0657705549055414E+16</c:v>
                </c:pt>
                <c:pt idx="57">
                  <c:v>1.0200007292851808E+16</c:v>
                </c:pt>
                <c:pt idx="58">
                  <c:v>9752047906935344</c:v>
                </c:pt>
                <c:pt idx="59">
                  <c:v>9321510783892906</c:v>
                </c:pt>
                <c:pt idx="60">
                  <c:v>8909130471210459</c:v>
                </c:pt>
                <c:pt idx="61">
                  <c:v>8504635404094252</c:v>
                </c:pt>
                <c:pt idx="62">
                  <c:v>8116654385926647</c:v>
                </c:pt>
                <c:pt idx="63">
                  <c:v>7747911500596056</c:v>
                </c:pt>
                <c:pt idx="64">
                  <c:v>7390235546487130</c:v>
                </c:pt>
                <c:pt idx="65">
                  <c:v>7043982708129449</c:v>
                </c:pt>
                <c:pt idx="66">
                  <c:v>6717565588112114</c:v>
                </c:pt>
                <c:pt idx="67">
                  <c:v>6396368058154573</c:v>
                </c:pt>
                <c:pt idx="68">
                  <c:v>6083524071802783</c:v>
                </c:pt>
                <c:pt idx="69">
                  <c:v>5786867758621714</c:v>
                </c:pt>
                <c:pt idx="70">
                  <c:v>5502482391499253</c:v>
                </c:pt>
                <c:pt idx="71">
                  <c:v>5234135463258736</c:v>
                </c:pt>
                <c:pt idx="72">
                  <c:v>4967977945726283</c:v>
                </c:pt>
                <c:pt idx="73">
                  <c:v>4720014260541385</c:v>
                </c:pt>
                <c:pt idx="74">
                  <c:v>4480769814131024</c:v>
                </c:pt>
                <c:pt idx="75">
                  <c:v>4253142756345621.5</c:v>
                </c:pt>
                <c:pt idx="76">
                  <c:v>4027829537943476.5</c:v>
                </c:pt>
                <c:pt idx="77">
                  <c:v>3810849766694940</c:v>
                </c:pt>
                <c:pt idx="78">
                  <c:v>3611582858872284.5</c:v>
                </c:pt>
                <c:pt idx="79">
                  <c:v>3417937415472039</c:v>
                </c:pt>
                <c:pt idx="80">
                  <c:v>3230627750807664.5</c:v>
                </c:pt>
                <c:pt idx="81">
                  <c:v>3053557089215504</c:v>
                </c:pt>
                <c:pt idx="82">
                  <c:v>2879457859716212</c:v>
                </c:pt>
                <c:pt idx="83">
                  <c:v>2718240903638105.5</c:v>
                </c:pt>
                <c:pt idx="84">
                  <c:v>2561886084997531</c:v>
                </c:pt>
                <c:pt idx="85">
                  <c:v>2411836643475190.5</c:v>
                </c:pt>
                <c:pt idx="86">
                  <c:v>2272528627129127.5</c:v>
                </c:pt>
                <c:pt idx="87">
                  <c:v>2148456136265778.5</c:v>
                </c:pt>
                <c:pt idx="88">
                  <c:v>2022905243637271.2</c:v>
                </c:pt>
                <c:pt idx="89">
                  <c:v>1901223747360118</c:v>
                </c:pt>
                <c:pt idx="90">
                  <c:v>1788306854802098.7</c:v>
                </c:pt>
                <c:pt idx="91">
                  <c:v>1675343115967553</c:v>
                </c:pt>
                <c:pt idx="92">
                  <c:v>1569768249068060.2</c:v>
                </c:pt>
                <c:pt idx="93">
                  <c:v>1475104166571098</c:v>
                </c:pt>
                <c:pt idx="94">
                  <c:v>1379472490812346</c:v>
                </c:pt>
                <c:pt idx="95">
                  <c:v>1285477323311491.5</c:v>
                </c:pt>
                <c:pt idx="96">
                  <c:v>1207758491498621.2</c:v>
                </c:pt>
                <c:pt idx="97">
                  <c:v>1120706918626511.5</c:v>
                </c:pt>
                <c:pt idx="98">
                  <c:v>1053208702528357.6</c:v>
                </c:pt>
                <c:pt idx="99">
                  <c:v>980568113607657.37</c:v>
                </c:pt>
                <c:pt idx="100">
                  <c:v>917583299979562.75</c:v>
                </c:pt>
                <c:pt idx="101">
                  <c:v>855598155903463.25</c:v>
                </c:pt>
                <c:pt idx="102">
                  <c:v>799044238065953</c:v>
                </c:pt>
                <c:pt idx="103">
                  <c:v>739178704041885.87</c:v>
                </c:pt>
                <c:pt idx="104">
                  <c:v>680437611532486.5</c:v>
                </c:pt>
                <c:pt idx="105">
                  <c:v>633986051575569.87</c:v>
                </c:pt>
                <c:pt idx="106">
                  <c:v>589988716170516.87</c:v>
                </c:pt>
                <c:pt idx="107">
                  <c:v>550121286222170.94</c:v>
                </c:pt>
                <c:pt idx="108">
                  <c:v>502920553243709.44</c:v>
                </c:pt>
                <c:pt idx="109">
                  <c:v>473425769904057</c:v>
                </c:pt>
                <c:pt idx="110">
                  <c:v>430651480755783.06</c:v>
                </c:pt>
                <c:pt idx="111">
                  <c:v>400443788550430.56</c:v>
                </c:pt>
                <c:pt idx="112">
                  <c:v>372843266285362.56</c:v>
                </c:pt>
                <c:pt idx="113">
                  <c:v>340693948474574.12</c:v>
                </c:pt>
                <c:pt idx="114">
                  <c:v>324791983178329.62</c:v>
                </c:pt>
                <c:pt idx="115">
                  <c:v>296422606811372.69</c:v>
                </c:pt>
                <c:pt idx="116">
                  <c:v>274247696088823.47</c:v>
                </c:pt>
                <c:pt idx="117">
                  <c:v>254466328282625.94</c:v>
                </c:pt>
                <c:pt idx="118">
                  <c:v>233929631123079.66</c:v>
                </c:pt>
                <c:pt idx="119">
                  <c:v>217383351078386.06</c:v>
                </c:pt>
                <c:pt idx="120">
                  <c:v>201874146021702.87</c:v>
                </c:pt>
                <c:pt idx="121">
                  <c:v>183749933238098.16</c:v>
                </c:pt>
                <c:pt idx="122">
                  <c:v>173444187283148.44</c:v>
                </c:pt>
                <c:pt idx="123">
                  <c:v>159243944166729.19</c:v>
                </c:pt>
                <c:pt idx="124">
                  <c:v>142751117374131.91</c:v>
                </c:pt>
              </c:numCache>
            </c:numRef>
          </c:xVal>
          <c:yVal>
            <c:numRef>
              <c:f>Plots!$E$3:$E$127</c:f>
              <c:numCache>
                <c:formatCode>General</c:formatCode>
                <c:ptCount val="125"/>
                <c:pt idx="0">
                  <c:v>0</c:v>
                </c:pt>
                <c:pt idx="1">
                  <c:v>0</c:v>
                </c:pt>
                <c:pt idx="2">
                  <c:v>1.8513867987666593E-4</c:v>
                </c:pt>
                <c:pt idx="3">
                  <c:v>1.5573018083504952E-4</c:v>
                </c:pt>
                <c:pt idx="4">
                  <c:v>1.42240370210915E-4</c:v>
                </c:pt>
                <c:pt idx="5">
                  <c:v>1.4007751744340302E-4</c:v>
                </c:pt>
                <c:pt idx="6">
                  <c:v>1.4309831926932282E-4</c:v>
                </c:pt>
                <c:pt idx="7">
                  <c:v>1.4716848451163755E-4</c:v>
                </c:pt>
                <c:pt idx="8">
                  <c:v>1.5135282392967324E-4</c:v>
                </c:pt>
                <c:pt idx="9">
                  <c:v>1.5558783752776481E-4</c:v>
                </c:pt>
                <c:pt idx="10">
                  <c:v>1.5985595038725398E-4</c:v>
                </c:pt>
                <c:pt idx="11">
                  <c:v>1.6417674895849256E-4</c:v>
                </c:pt>
                <c:pt idx="12">
                  <c:v>1.6857392608591749E-4</c:v>
                </c:pt>
                <c:pt idx="13">
                  <c:v>1.7297768948302115E-4</c:v>
                </c:pt>
                <c:pt idx="14">
                  <c:v>1.7733996168798997E-4</c:v>
                </c:pt>
                <c:pt idx="15">
                  <c:v>1.8179113731695725E-4</c:v>
                </c:pt>
                <c:pt idx="16">
                  <c:v>1.8628029779662711E-4</c:v>
                </c:pt>
                <c:pt idx="17">
                  <c:v>1.9079516737110128E-4</c:v>
                </c:pt>
                <c:pt idx="18">
                  <c:v>1.9540740002871958E-4</c:v>
                </c:pt>
                <c:pt idx="19">
                  <c:v>1.9991044145188362E-4</c:v>
                </c:pt>
                <c:pt idx="20">
                  <c:v>2.0437388657312824E-4</c:v>
                </c:pt>
                <c:pt idx="21">
                  <c:v>2.0881613231647656E-4</c:v>
                </c:pt>
                <c:pt idx="22">
                  <c:v>2.1330271198240379E-4</c:v>
                </c:pt>
                <c:pt idx="23">
                  <c:v>2.1784849224164827E-4</c:v>
                </c:pt>
                <c:pt idx="24">
                  <c:v>2.2229195540921133E-4</c:v>
                </c:pt>
                <c:pt idx="25">
                  <c:v>2.2661905382461437E-4</c:v>
                </c:pt>
                <c:pt idx="26">
                  <c:v>2.308574852662891E-4</c:v>
                </c:pt>
                <c:pt idx="27">
                  <c:v>2.3517670370873625E-4</c:v>
                </c:pt>
                <c:pt idx="28">
                  <c:v>2.3980207710752567E-4</c:v>
                </c:pt>
                <c:pt idx="29">
                  <c:v>2.4408872736367897E-4</c:v>
                </c:pt>
                <c:pt idx="30">
                  <c:v>2.4815237561863577E-4</c:v>
                </c:pt>
                <c:pt idx="31">
                  <c:v>2.5210746237516924E-4</c:v>
                </c:pt>
                <c:pt idx="32">
                  <c:v>2.5599104986713869E-4</c:v>
                </c:pt>
                <c:pt idx="33">
                  <c:v>2.5988129471916606E-4</c:v>
                </c:pt>
                <c:pt idx="34">
                  <c:v>2.6359663915369086E-4</c:v>
                </c:pt>
                <c:pt idx="35">
                  <c:v>2.6721050927736771E-4</c:v>
                </c:pt>
                <c:pt idx="36">
                  <c:v>2.7075157241625416E-4</c:v>
                </c:pt>
                <c:pt idx="37">
                  <c:v>2.7404257297251064E-4</c:v>
                </c:pt>
                <c:pt idx="38">
                  <c:v>2.7763766284351208E-4</c:v>
                </c:pt>
                <c:pt idx="39">
                  <c:v>2.8100455460822594E-4</c:v>
                </c:pt>
                <c:pt idx="40">
                  <c:v>2.8419652984647725E-4</c:v>
                </c:pt>
                <c:pt idx="41">
                  <c:v>2.8709509292399479E-4</c:v>
                </c:pt>
                <c:pt idx="42">
                  <c:v>2.8979297709985305E-4</c:v>
                </c:pt>
                <c:pt idx="43">
                  <c:v>2.9244929382310351E-4</c:v>
                </c:pt>
                <c:pt idx="44">
                  <c:v>2.952600538602356E-4</c:v>
                </c:pt>
                <c:pt idx="45">
                  <c:v>2.9752831791863253E-4</c:v>
                </c:pt>
                <c:pt idx="46">
                  <c:v>3.0011029917170691E-4</c:v>
                </c:pt>
                <c:pt idx="47">
                  <c:v>3.0242689934417135E-4</c:v>
                </c:pt>
                <c:pt idx="48">
                  <c:v>3.0437627359177215E-4</c:v>
                </c:pt>
                <c:pt idx="49">
                  <c:v>3.0622480929911255E-4</c:v>
                </c:pt>
                <c:pt idx="50">
                  <c:v>3.0797297359571988E-4</c:v>
                </c:pt>
                <c:pt idx="51">
                  <c:v>3.0956595705958131E-4</c:v>
                </c:pt>
                <c:pt idx="52">
                  <c:v>3.1091681204905105E-4</c:v>
                </c:pt>
                <c:pt idx="53">
                  <c:v>3.1208900912114523E-4</c:v>
                </c:pt>
                <c:pt idx="54">
                  <c:v>3.1298913383114518E-4</c:v>
                </c:pt>
                <c:pt idx="55">
                  <c:v>3.1418808235307891E-4</c:v>
                </c:pt>
                <c:pt idx="56">
                  <c:v>3.1520744217702716E-4</c:v>
                </c:pt>
                <c:pt idx="57">
                  <c:v>3.160225461806323E-4</c:v>
                </c:pt>
                <c:pt idx="58">
                  <c:v>3.1709514149137459E-4</c:v>
                </c:pt>
                <c:pt idx="59">
                  <c:v>3.172942479298614E-4</c:v>
                </c:pt>
                <c:pt idx="60">
                  <c:v>3.1758281230873157E-4</c:v>
                </c:pt>
                <c:pt idx="61">
                  <c:v>3.185135003478752E-4</c:v>
                </c:pt>
                <c:pt idx="62">
                  <c:v>3.1858403848537083E-4</c:v>
                </c:pt>
                <c:pt idx="63">
                  <c:v>3.1876356176305498E-4</c:v>
                </c:pt>
                <c:pt idx="64">
                  <c:v>3.1841086436845608E-4</c:v>
                </c:pt>
                <c:pt idx="65">
                  <c:v>3.180061352820614E-4</c:v>
                </c:pt>
                <c:pt idx="66">
                  <c:v>3.1736109095915113E-4</c:v>
                </c:pt>
                <c:pt idx="67">
                  <c:v>3.1673308320916756E-4</c:v>
                </c:pt>
                <c:pt idx="68">
                  <c:v>3.1600237014279599E-4</c:v>
                </c:pt>
                <c:pt idx="69">
                  <c:v>3.1521281337155911E-4</c:v>
                </c:pt>
                <c:pt idx="70">
                  <c:v>3.1437526200353826E-4</c:v>
                </c:pt>
                <c:pt idx="71">
                  <c:v>3.1375970706178335E-4</c:v>
                </c:pt>
                <c:pt idx="72">
                  <c:v>3.1190506434726272E-4</c:v>
                </c:pt>
                <c:pt idx="73">
                  <c:v>3.1093648966488844E-4</c:v>
                </c:pt>
                <c:pt idx="74">
                  <c:v>3.0967244462376314E-4</c:v>
                </c:pt>
                <c:pt idx="75">
                  <c:v>3.0694920497024877E-4</c:v>
                </c:pt>
                <c:pt idx="76">
                  <c:v>3.0495079894833329E-4</c:v>
                </c:pt>
                <c:pt idx="77">
                  <c:v>3.0302513629308522E-4</c:v>
                </c:pt>
                <c:pt idx="78">
                  <c:v>3.0128319344421297E-4</c:v>
                </c:pt>
                <c:pt idx="79">
                  <c:v>2.9967642561324671E-4</c:v>
                </c:pt>
                <c:pt idx="80">
                  <c:v>2.9684355870255002E-4</c:v>
                </c:pt>
                <c:pt idx="81">
                  <c:v>2.9459102806374488E-4</c:v>
                </c:pt>
                <c:pt idx="82">
                  <c:v>2.9163826540231079E-4</c:v>
                </c:pt>
                <c:pt idx="83">
                  <c:v>2.8882413476576281E-4</c:v>
                </c:pt>
                <c:pt idx="84">
                  <c:v>2.8647632268312097E-4</c:v>
                </c:pt>
                <c:pt idx="85">
                  <c:v>2.8411108413920491E-4</c:v>
                </c:pt>
                <c:pt idx="86">
                  <c:v>2.8195030355861157E-4</c:v>
                </c:pt>
                <c:pt idx="87">
                  <c:v>2.8003516589786824E-4</c:v>
                </c:pt>
                <c:pt idx="88">
                  <c:v>2.7757190410133563E-4</c:v>
                </c:pt>
                <c:pt idx="89">
                  <c:v>2.7318150157862894E-4</c:v>
                </c:pt>
                <c:pt idx="90">
                  <c:v>2.6951597047400548E-4</c:v>
                </c:pt>
                <c:pt idx="91">
                  <c:v>2.6609969084351477E-4</c:v>
                </c:pt>
                <c:pt idx="92">
                  <c:v>2.6193507312530928E-4</c:v>
                </c:pt>
                <c:pt idx="93">
                  <c:v>2.5919346097162335E-4</c:v>
                </c:pt>
                <c:pt idx="94">
                  <c:v>2.5545080436070993E-4</c:v>
                </c:pt>
                <c:pt idx="95">
                  <c:v>2.5087894491290482E-4</c:v>
                </c:pt>
                <c:pt idx="96">
                  <c:v>2.4893880460644585E-4</c:v>
                </c:pt>
                <c:pt idx="97">
                  <c:v>2.4471780235997944E-4</c:v>
                </c:pt>
                <c:pt idx="98">
                  <c:v>2.4229564288917322E-4</c:v>
                </c:pt>
                <c:pt idx="99">
                  <c:v>2.4047240506269423E-4</c:v>
                </c:pt>
                <c:pt idx="100">
                  <c:v>2.3809281833324979E-4</c:v>
                </c:pt>
                <c:pt idx="101">
                  <c:v>2.3411116266820278E-4</c:v>
                </c:pt>
                <c:pt idx="102">
                  <c:v>2.2987144325536409E-4</c:v>
                </c:pt>
                <c:pt idx="103">
                  <c:v>2.2357019956633446E-4</c:v>
                </c:pt>
                <c:pt idx="104">
                  <c:v>2.1799206525187565E-4</c:v>
                </c:pt>
                <c:pt idx="105">
                  <c:v>2.1657843229833443E-4</c:v>
                </c:pt>
                <c:pt idx="106">
                  <c:v>2.1366004179494322E-4</c:v>
                </c:pt>
                <c:pt idx="107">
                  <c:v>2.1229814022933398E-4</c:v>
                </c:pt>
                <c:pt idx="108">
                  <c:v>2.0599625244257212E-4</c:v>
                </c:pt>
                <c:pt idx="109">
                  <c:v>2.0528648536848011E-4</c:v>
                </c:pt>
                <c:pt idx="110">
                  <c:v>1.9915637936799256E-4</c:v>
                </c:pt>
                <c:pt idx="111">
                  <c:v>1.9664506402744517E-4</c:v>
                </c:pt>
                <c:pt idx="112">
                  <c:v>1.9971397090860941E-4</c:v>
                </c:pt>
                <c:pt idx="113">
                  <c:v>1.9313484946181957E-4</c:v>
                </c:pt>
                <c:pt idx="114">
                  <c:v>1.9736529252497681E-4</c:v>
                </c:pt>
                <c:pt idx="115">
                  <c:v>1.9022543896380579E-4</c:v>
                </c:pt>
                <c:pt idx="116">
                  <c:v>1.8443692376155462E-4</c:v>
                </c:pt>
                <c:pt idx="117">
                  <c:v>1.8517801820458292E-4</c:v>
                </c:pt>
                <c:pt idx="118">
                  <c:v>1.8339798580601941E-4</c:v>
                </c:pt>
                <c:pt idx="119">
                  <c:v>1.7909815104741927E-4</c:v>
                </c:pt>
                <c:pt idx="120">
                  <c:v>1.7990747215847981E-4</c:v>
                </c:pt>
                <c:pt idx="121">
                  <c:v>1.7770676006194434E-4</c:v>
                </c:pt>
                <c:pt idx="122">
                  <c:v>1.7878907480175051E-4</c:v>
                </c:pt>
                <c:pt idx="123">
                  <c:v>0</c:v>
                </c:pt>
                <c:pt idx="124">
                  <c:v>0</c:v>
                </c:pt>
              </c:numCache>
            </c:numRef>
          </c:yVal>
          <c:smooth val="0"/>
        </c:ser>
        <c:ser>
          <c:idx val="3"/>
          <c:order val="3"/>
          <c:tx>
            <c:strRef>
              <c:f>Plots!$F$1</c:f>
              <c:strCache>
                <c:ptCount val="1"/>
                <c:pt idx="0">
                  <c:v>170</c:v>
                </c:pt>
              </c:strCache>
            </c:strRef>
          </c:tx>
          <c:spPr>
            <a:ln w="28575">
              <a:noFill/>
            </a:ln>
          </c:spPr>
          <c:marker>
            <c:symbol val="diamond"/>
            <c:size val="7"/>
            <c:spPr>
              <a:solidFill>
                <a:srgbClr val="FF0000"/>
              </a:solidFill>
              <a:ln>
                <a:noFill/>
              </a:ln>
            </c:spPr>
          </c:marker>
          <c:xVal>
            <c:numRef>
              <c:f>Plots!$F$3:$F$127</c:f>
              <c:numCache>
                <c:formatCode>General</c:formatCode>
                <c:ptCount val="125"/>
                <c:pt idx="0">
                  <c:v>1.0687556334625758E+16</c:v>
                </c:pt>
                <c:pt idx="1">
                  <c:v>4.2965749162565616E+16</c:v>
                </c:pt>
                <c:pt idx="2">
                  <c:v>6.2482208882916696E+16</c:v>
                </c:pt>
                <c:pt idx="3">
                  <c:v>6.8189451745882104E+16</c:v>
                </c:pt>
                <c:pt idx="4">
                  <c:v>6.7842328529613144E+16</c:v>
                </c:pt>
                <c:pt idx="5">
                  <c:v>6.6266466483513448E+16</c:v>
                </c:pt>
                <c:pt idx="6">
                  <c:v>6.4417648657488944E+16</c:v>
                </c:pt>
                <c:pt idx="7">
                  <c:v>6.258187982339644E+16</c:v>
                </c:pt>
                <c:pt idx="8">
                  <c:v>6.0752190151364576E+16</c:v>
                </c:pt>
                <c:pt idx="9">
                  <c:v>5.8951867618303416E+16</c:v>
                </c:pt>
                <c:pt idx="10">
                  <c:v>5.7184686460012504E+16</c:v>
                </c:pt>
                <c:pt idx="11">
                  <c:v>5.5447846043002584E+16</c:v>
                </c:pt>
                <c:pt idx="12">
                  <c:v>5.373085279959668E+16</c:v>
                </c:pt>
                <c:pt idx="13">
                  <c:v>5.2056906797535384E+16</c:v>
                </c:pt>
                <c:pt idx="14">
                  <c:v>5.0436040470127744E+16</c:v>
                </c:pt>
                <c:pt idx="15">
                  <c:v>4.8857577919764256E+16</c:v>
                </c:pt>
                <c:pt idx="16">
                  <c:v>4.730728562751916E+16</c:v>
                </c:pt>
                <c:pt idx="17">
                  <c:v>4.580018377148624E+16</c:v>
                </c:pt>
                <c:pt idx="18">
                  <c:v>4.4325356912580584E+16</c:v>
                </c:pt>
                <c:pt idx="19">
                  <c:v>4.29004876392518E+16</c:v>
                </c:pt>
                <c:pt idx="20">
                  <c:v>4.1512753807972968E+16</c:v>
                </c:pt>
                <c:pt idx="21">
                  <c:v>4.0157887120819552E+16</c:v>
                </c:pt>
                <c:pt idx="22">
                  <c:v>3.883568482570192E+16</c:v>
                </c:pt>
                <c:pt idx="23">
                  <c:v>3.755057287665332E+16</c:v>
                </c:pt>
                <c:pt idx="24">
                  <c:v>3.6305348094537256E+16</c:v>
                </c:pt>
                <c:pt idx="25">
                  <c:v>3.5090327218597268E+16</c:v>
                </c:pt>
                <c:pt idx="26">
                  <c:v>3.390788017257826E+16</c:v>
                </c:pt>
                <c:pt idx="27">
                  <c:v>3.2759575677565176E+16</c:v>
                </c:pt>
                <c:pt idx="28">
                  <c:v>3.1645327703175148E+16</c:v>
                </c:pt>
                <c:pt idx="29">
                  <c:v>3.0551135874243848E+16</c:v>
                </c:pt>
                <c:pt idx="30">
                  <c:v>2.9491046085279136E+16</c:v>
                </c:pt>
                <c:pt idx="31">
                  <c:v>2.8461148559256296E+16</c:v>
                </c:pt>
                <c:pt idx="32">
                  <c:v>2.7463499225049708E+16</c:v>
                </c:pt>
                <c:pt idx="33">
                  <c:v>2.6488654864309032E+16</c:v>
                </c:pt>
                <c:pt idx="34">
                  <c:v>2.55440519372117E+16</c:v>
                </c:pt>
                <c:pt idx="35">
                  <c:v>2.46222777384307E+16</c:v>
                </c:pt>
                <c:pt idx="36">
                  <c:v>2.3727314119569028E+16</c:v>
                </c:pt>
                <c:pt idx="37">
                  <c:v>2.2867659988159448E+16</c:v>
                </c:pt>
                <c:pt idx="38">
                  <c:v>2.2021809022895212E+16</c:v>
                </c:pt>
                <c:pt idx="39">
                  <c:v>2.1202984858331248E+16</c:v>
                </c:pt>
                <c:pt idx="40">
                  <c:v>2.0411553985832432E+16</c:v>
                </c:pt>
                <c:pt idx="41">
                  <c:v>1.9645135571441724E+16</c:v>
                </c:pt>
                <c:pt idx="42">
                  <c:v>1.889549656515244E+16</c:v>
                </c:pt>
                <c:pt idx="43">
                  <c:v>1.8172731177725888E+16</c:v>
                </c:pt>
                <c:pt idx="44">
                  <c:v>1.746662523392575E+16</c:v>
                </c:pt>
                <c:pt idx="45">
                  <c:v>1.6782594074775028E+16</c:v>
                </c:pt>
                <c:pt idx="46">
                  <c:v>1.612419923693438E+16</c:v>
                </c:pt>
                <c:pt idx="47">
                  <c:v>1.5485160718711734E+16</c:v>
                </c:pt>
                <c:pt idx="48">
                  <c:v>1.4866739770093266E+16</c:v>
                </c:pt>
                <c:pt idx="49">
                  <c:v>1.4269249482115626E+16</c:v>
                </c:pt>
                <c:pt idx="50">
                  <c:v>1.368778151603199E+16</c:v>
                </c:pt>
                <c:pt idx="51">
                  <c:v>1.3123845661199016E+16</c:v>
                </c:pt>
                <c:pt idx="52">
                  <c:v>1.2579126944408868E+16</c:v>
                </c:pt>
                <c:pt idx="53">
                  <c:v>1.2048204568731414E+16</c:v>
                </c:pt>
                <c:pt idx="54">
                  <c:v>1.1537191821441008E+16</c:v>
                </c:pt>
                <c:pt idx="55">
                  <c:v>1.1048211151755842E+16</c:v>
                </c:pt>
                <c:pt idx="56">
                  <c:v>1.0572124541308818E+16</c:v>
                </c:pt>
                <c:pt idx="57">
                  <c:v>1.011127846581464E+16</c:v>
                </c:pt>
                <c:pt idx="58">
                  <c:v>9666690746417662</c:v>
                </c:pt>
                <c:pt idx="59">
                  <c:v>9240011441829942</c:v>
                </c:pt>
                <c:pt idx="60">
                  <c:v>8823883265235440</c:v>
                </c:pt>
                <c:pt idx="61">
                  <c:v>8420097890878894</c:v>
                </c:pt>
                <c:pt idx="62">
                  <c:v>8039104806725405</c:v>
                </c:pt>
                <c:pt idx="63">
                  <c:v>7667095346128436</c:v>
                </c:pt>
                <c:pt idx="64">
                  <c:v>7306736676975406</c:v>
                </c:pt>
                <c:pt idx="65">
                  <c:v>6962380886261425</c:v>
                </c:pt>
                <c:pt idx="66">
                  <c:v>6638966231472660</c:v>
                </c:pt>
                <c:pt idx="67">
                  <c:v>6317931938807784</c:v>
                </c:pt>
                <c:pt idx="68">
                  <c:v>6008966750530160</c:v>
                </c:pt>
                <c:pt idx="69">
                  <c:v>5716490888755728</c:v>
                </c:pt>
                <c:pt idx="70">
                  <c:v>5442747628052952</c:v>
                </c:pt>
                <c:pt idx="71">
                  <c:v>5169282780298643</c:v>
                </c:pt>
                <c:pt idx="72">
                  <c:v>4908222512057390</c:v>
                </c:pt>
                <c:pt idx="73">
                  <c:v>4656062891516035</c:v>
                </c:pt>
                <c:pt idx="74">
                  <c:v>4414235229384051</c:v>
                </c:pt>
                <c:pt idx="75">
                  <c:v>4184694776561617</c:v>
                </c:pt>
                <c:pt idx="76">
                  <c:v>3971387238404865</c:v>
                </c:pt>
                <c:pt idx="77">
                  <c:v>3757758440806415.5</c:v>
                </c:pt>
                <c:pt idx="78">
                  <c:v>3558060759682797.5</c:v>
                </c:pt>
                <c:pt idx="79">
                  <c:v>3365508448341793.5</c:v>
                </c:pt>
                <c:pt idx="80">
                  <c:v>3177711319868714.5</c:v>
                </c:pt>
                <c:pt idx="81">
                  <c:v>2997886408571772.5</c:v>
                </c:pt>
                <c:pt idx="82">
                  <c:v>2833158805695075</c:v>
                </c:pt>
                <c:pt idx="83">
                  <c:v>2667588050000004</c:v>
                </c:pt>
                <c:pt idx="84">
                  <c:v>2512971098697488.5</c:v>
                </c:pt>
                <c:pt idx="85">
                  <c:v>2367649655866886.5</c:v>
                </c:pt>
                <c:pt idx="86">
                  <c:v>2231088628799910.5</c:v>
                </c:pt>
                <c:pt idx="87">
                  <c:v>2099140202000228</c:v>
                </c:pt>
                <c:pt idx="88">
                  <c:v>1972354102762567.5</c:v>
                </c:pt>
                <c:pt idx="89">
                  <c:v>1854787954911152.2</c:v>
                </c:pt>
                <c:pt idx="90">
                  <c:v>1738686755128836</c:v>
                </c:pt>
                <c:pt idx="91">
                  <c:v>1630768456221159.2</c:v>
                </c:pt>
                <c:pt idx="92">
                  <c:v>1530858031309152.2</c:v>
                </c:pt>
                <c:pt idx="93">
                  <c:v>1436218955508699</c:v>
                </c:pt>
                <c:pt idx="94">
                  <c:v>1339029046359701.2</c:v>
                </c:pt>
                <c:pt idx="95">
                  <c:v>1249340313210698.5</c:v>
                </c:pt>
                <c:pt idx="96">
                  <c:v>1164536407926116.5</c:v>
                </c:pt>
                <c:pt idx="97">
                  <c:v>1088424963749442.9</c:v>
                </c:pt>
                <c:pt idx="98">
                  <c:v>1016201092913839.4</c:v>
                </c:pt>
                <c:pt idx="99">
                  <c:v>945282503035347.37</c:v>
                </c:pt>
                <c:pt idx="100">
                  <c:v>878977411164575</c:v>
                </c:pt>
                <c:pt idx="101">
                  <c:v>815458852145589.37</c:v>
                </c:pt>
                <c:pt idx="102">
                  <c:v>760137693208092.62</c:v>
                </c:pt>
                <c:pt idx="103">
                  <c:v>702652238558500.37</c:v>
                </c:pt>
                <c:pt idx="104">
                  <c:v>651464424905588.62</c:v>
                </c:pt>
                <c:pt idx="105">
                  <c:v>607732655689719.62</c:v>
                </c:pt>
                <c:pt idx="106">
                  <c:v>558161350331968.56</c:v>
                </c:pt>
                <c:pt idx="107">
                  <c:v>515532502110908.75</c:v>
                </c:pt>
                <c:pt idx="108">
                  <c:v>479324981398970.06</c:v>
                </c:pt>
                <c:pt idx="109">
                  <c:v>439325737700827.94</c:v>
                </c:pt>
                <c:pt idx="110">
                  <c:v>408880532144330.5</c:v>
                </c:pt>
                <c:pt idx="111">
                  <c:v>381116874813472.25</c:v>
                </c:pt>
                <c:pt idx="112">
                  <c:v>355348189283785.87</c:v>
                </c:pt>
                <c:pt idx="113">
                  <c:v>325232113331978.75</c:v>
                </c:pt>
                <c:pt idx="114">
                  <c:v>294349413705842.06</c:v>
                </c:pt>
                <c:pt idx="115">
                  <c:v>274373761517204.37</c:v>
                </c:pt>
                <c:pt idx="116">
                  <c:v>255640418130270.59</c:v>
                </c:pt>
                <c:pt idx="117">
                  <c:v>236430795118342.06</c:v>
                </c:pt>
                <c:pt idx="118">
                  <c:v>219503603427661.44</c:v>
                </c:pt>
                <c:pt idx="119">
                  <c:v>199955112352945.84</c:v>
                </c:pt>
                <c:pt idx="120">
                  <c:v>184708003550486.94</c:v>
                </c:pt>
                <c:pt idx="121">
                  <c:v>169226003174684.81</c:v>
                </c:pt>
                <c:pt idx="122">
                  <c:v>152779093221665.62</c:v>
                </c:pt>
                <c:pt idx="123">
                  <c:v>143063064575462.09</c:v>
                </c:pt>
                <c:pt idx="124">
                  <c:v>136283266390073.52</c:v>
                </c:pt>
              </c:numCache>
            </c:numRef>
          </c:xVal>
          <c:yVal>
            <c:numRef>
              <c:f>Plots!$G$3:$G$127</c:f>
              <c:numCache>
                <c:formatCode>General</c:formatCode>
                <c:ptCount val="125"/>
                <c:pt idx="0">
                  <c:v>0</c:v>
                </c:pt>
                <c:pt idx="1">
                  <c:v>0</c:v>
                </c:pt>
                <c:pt idx="2">
                  <c:v>1.8206755911861653E-4</c:v>
                </c:pt>
                <c:pt idx="3">
                  <c:v>1.5346806234026191E-4</c:v>
                </c:pt>
                <c:pt idx="4">
                  <c:v>1.3988115357554839E-4</c:v>
                </c:pt>
                <c:pt idx="5">
                  <c:v>1.3757859550552208E-4</c:v>
                </c:pt>
                <c:pt idx="6">
                  <c:v>1.4040244730492029E-4</c:v>
                </c:pt>
                <c:pt idx="7">
                  <c:v>1.4453821935934998E-4</c:v>
                </c:pt>
                <c:pt idx="8">
                  <c:v>1.4875792294766427E-4</c:v>
                </c:pt>
                <c:pt idx="9">
                  <c:v>1.5295350090525886E-4</c:v>
                </c:pt>
                <c:pt idx="10">
                  <c:v>1.571556285003637E-4</c:v>
                </c:pt>
                <c:pt idx="11">
                  <c:v>1.6141199321024842E-4</c:v>
                </c:pt>
                <c:pt idx="12">
                  <c:v>1.657229144074487E-4</c:v>
                </c:pt>
                <c:pt idx="13">
                  <c:v>1.7003506115487207E-4</c:v>
                </c:pt>
                <c:pt idx="14">
                  <c:v>1.7439089486097177E-4</c:v>
                </c:pt>
                <c:pt idx="15">
                  <c:v>1.7877762301532938E-4</c:v>
                </c:pt>
                <c:pt idx="16">
                  <c:v>1.8313660391951515E-4</c:v>
                </c:pt>
                <c:pt idx="17">
                  <c:v>1.875617594209578E-4</c:v>
                </c:pt>
                <c:pt idx="18">
                  <c:v>1.9202169024474549E-4</c:v>
                </c:pt>
                <c:pt idx="19">
                  <c:v>1.9649540757501403E-4</c:v>
                </c:pt>
                <c:pt idx="20">
                  <c:v>2.009381278513341E-4</c:v>
                </c:pt>
                <c:pt idx="21">
                  <c:v>2.0531009537774151E-4</c:v>
                </c:pt>
                <c:pt idx="22">
                  <c:v>2.0965176091174598E-4</c:v>
                </c:pt>
                <c:pt idx="23">
                  <c:v>2.1404573536291946E-4</c:v>
                </c:pt>
                <c:pt idx="24">
                  <c:v>2.1838241695674453E-4</c:v>
                </c:pt>
                <c:pt idx="25">
                  <c:v>2.2265140347193959E-4</c:v>
                </c:pt>
                <c:pt idx="26">
                  <c:v>2.2682838597228995E-4</c:v>
                </c:pt>
                <c:pt idx="27">
                  <c:v>2.309974170158487E-4</c:v>
                </c:pt>
                <c:pt idx="28">
                  <c:v>2.3547264832828195E-4</c:v>
                </c:pt>
                <c:pt idx="29">
                  <c:v>2.3960763313059846E-4</c:v>
                </c:pt>
                <c:pt idx="30">
                  <c:v>2.4359953553153928E-4</c:v>
                </c:pt>
                <c:pt idx="31">
                  <c:v>2.4748624715604113E-4</c:v>
                </c:pt>
                <c:pt idx="32">
                  <c:v>2.5120018449443067E-4</c:v>
                </c:pt>
                <c:pt idx="33">
                  <c:v>2.5497478433082624E-4</c:v>
                </c:pt>
                <c:pt idx="34">
                  <c:v>2.5856660131612325E-4</c:v>
                </c:pt>
                <c:pt idx="35">
                  <c:v>2.6208582372995573E-4</c:v>
                </c:pt>
                <c:pt idx="36">
                  <c:v>2.6550485909131302E-4</c:v>
                </c:pt>
                <c:pt idx="37">
                  <c:v>2.6885620285771304E-4</c:v>
                </c:pt>
                <c:pt idx="38">
                  <c:v>2.7202355248868916E-4</c:v>
                </c:pt>
                <c:pt idx="39">
                  <c:v>2.7514580731870518E-4</c:v>
                </c:pt>
                <c:pt idx="40">
                  <c:v>2.78265549259247E-4</c:v>
                </c:pt>
                <c:pt idx="41">
                  <c:v>2.8123215662025308E-4</c:v>
                </c:pt>
                <c:pt idx="42">
                  <c:v>2.8390853234374469E-4</c:v>
                </c:pt>
                <c:pt idx="43">
                  <c:v>2.8647647674302383E-4</c:v>
                </c:pt>
                <c:pt idx="44">
                  <c:v>2.8894698370950843E-4</c:v>
                </c:pt>
                <c:pt idx="45">
                  <c:v>2.9122328037569815E-4</c:v>
                </c:pt>
                <c:pt idx="46">
                  <c:v>2.9345012440520305E-4</c:v>
                </c:pt>
                <c:pt idx="47">
                  <c:v>2.9570018710454424E-4</c:v>
                </c:pt>
                <c:pt idx="48">
                  <c:v>2.9771866695339517E-4</c:v>
                </c:pt>
                <c:pt idx="49">
                  <c:v>2.9944388891735085E-4</c:v>
                </c:pt>
                <c:pt idx="50">
                  <c:v>3.0094112367392266E-4</c:v>
                </c:pt>
                <c:pt idx="51">
                  <c:v>3.0217632002818367E-4</c:v>
                </c:pt>
                <c:pt idx="52">
                  <c:v>3.0359006988512553E-4</c:v>
                </c:pt>
                <c:pt idx="53">
                  <c:v>3.047641682362233E-4</c:v>
                </c:pt>
                <c:pt idx="54">
                  <c:v>3.0580729089091797E-4</c:v>
                </c:pt>
                <c:pt idx="55">
                  <c:v>3.0673384617294856E-4</c:v>
                </c:pt>
                <c:pt idx="56">
                  <c:v>3.0745440256126278E-4</c:v>
                </c:pt>
                <c:pt idx="57">
                  <c:v>3.0812617499145528E-4</c:v>
                </c:pt>
                <c:pt idx="58">
                  <c:v>3.0886976921549498E-4</c:v>
                </c:pt>
                <c:pt idx="59">
                  <c:v>3.0929328025359771E-4</c:v>
                </c:pt>
                <c:pt idx="60">
                  <c:v>3.0922746636730548E-4</c:v>
                </c:pt>
                <c:pt idx="61">
                  <c:v>3.0937836010188258E-4</c:v>
                </c:pt>
                <c:pt idx="62">
                  <c:v>3.1007574527693775E-4</c:v>
                </c:pt>
                <c:pt idx="63">
                  <c:v>3.0979093688341259E-4</c:v>
                </c:pt>
                <c:pt idx="64">
                  <c:v>3.0940565025932572E-4</c:v>
                </c:pt>
                <c:pt idx="65">
                  <c:v>3.0896938495886635E-4</c:v>
                </c:pt>
                <c:pt idx="66">
                  <c:v>3.0859024893508514E-4</c:v>
                </c:pt>
                <c:pt idx="67">
                  <c:v>3.0774109767210044E-4</c:v>
                </c:pt>
                <c:pt idx="68">
                  <c:v>3.0679827501112515E-4</c:v>
                </c:pt>
                <c:pt idx="69">
                  <c:v>3.0659627508189099E-4</c:v>
                </c:pt>
                <c:pt idx="70">
                  <c:v>3.056786706974361E-4</c:v>
                </c:pt>
                <c:pt idx="71">
                  <c:v>3.0402282709192862E-4</c:v>
                </c:pt>
                <c:pt idx="72">
                  <c:v>3.0182068783555041E-4</c:v>
                </c:pt>
                <c:pt idx="73">
                  <c:v>3.001976581273974E-4</c:v>
                </c:pt>
                <c:pt idx="74">
                  <c:v>2.9879995454269861E-4</c:v>
                </c:pt>
                <c:pt idx="75">
                  <c:v>2.9747022370116375E-4</c:v>
                </c:pt>
                <c:pt idx="76">
                  <c:v>2.9606735014579643E-4</c:v>
                </c:pt>
                <c:pt idx="77">
                  <c:v>2.9406115093598016E-4</c:v>
                </c:pt>
                <c:pt idx="78">
                  <c:v>2.9170992040152954E-4</c:v>
                </c:pt>
                <c:pt idx="79">
                  <c:v>2.8943904072092777E-4</c:v>
                </c:pt>
                <c:pt idx="80">
                  <c:v>2.864049720615907E-4</c:v>
                </c:pt>
                <c:pt idx="81">
                  <c:v>2.8389628819011398E-4</c:v>
                </c:pt>
                <c:pt idx="82">
                  <c:v>2.8109872707782392E-4</c:v>
                </c:pt>
                <c:pt idx="83">
                  <c:v>2.7863063683283319E-4</c:v>
                </c:pt>
                <c:pt idx="84">
                  <c:v>2.753274098713109E-4</c:v>
                </c:pt>
                <c:pt idx="85">
                  <c:v>2.7361438907280001E-4</c:v>
                </c:pt>
                <c:pt idx="86">
                  <c:v>2.7052044316246897E-4</c:v>
                </c:pt>
                <c:pt idx="87">
                  <c:v>2.6793641616223182E-4</c:v>
                </c:pt>
                <c:pt idx="88">
                  <c:v>2.6457665084623247E-4</c:v>
                </c:pt>
                <c:pt idx="89">
                  <c:v>2.6165692601057603E-4</c:v>
                </c:pt>
                <c:pt idx="90">
                  <c:v>2.581615005181048E-4</c:v>
                </c:pt>
                <c:pt idx="91">
                  <c:v>2.547957785153366E-4</c:v>
                </c:pt>
                <c:pt idx="92">
                  <c:v>2.5182817199808429E-4</c:v>
                </c:pt>
                <c:pt idx="93">
                  <c:v>2.4846269158135931E-4</c:v>
                </c:pt>
                <c:pt idx="94">
                  <c:v>2.4315976816410688E-4</c:v>
                </c:pt>
                <c:pt idx="95">
                  <c:v>2.3906956892722248E-4</c:v>
                </c:pt>
                <c:pt idx="96">
                  <c:v>2.3573013334360197E-4</c:v>
                </c:pt>
                <c:pt idx="97">
                  <c:v>2.3271464757362124E-4</c:v>
                </c:pt>
                <c:pt idx="98">
                  <c:v>2.2944561690748326E-4</c:v>
                </c:pt>
                <c:pt idx="99">
                  <c:v>2.2575343730833704E-4</c:v>
                </c:pt>
                <c:pt idx="100">
                  <c:v>2.2199574212129365E-4</c:v>
                </c:pt>
                <c:pt idx="101">
                  <c:v>2.1662324189709943E-4</c:v>
                </c:pt>
                <c:pt idx="102">
                  <c:v>2.1449361115484937E-4</c:v>
                </c:pt>
                <c:pt idx="103">
                  <c:v>2.1111596138760589E-4</c:v>
                </c:pt>
                <c:pt idx="104">
                  <c:v>2.0673106830565623E-4</c:v>
                </c:pt>
                <c:pt idx="105">
                  <c:v>2.0358079736729226E-4</c:v>
                </c:pt>
                <c:pt idx="106">
                  <c:v>1.9884332528913149E-4</c:v>
                </c:pt>
                <c:pt idx="107">
                  <c:v>1.9386469965668231E-4</c:v>
                </c:pt>
                <c:pt idx="108">
                  <c:v>1.9167880841499248E-4</c:v>
                </c:pt>
                <c:pt idx="109">
                  <c:v>1.8758006466946964E-4</c:v>
                </c:pt>
                <c:pt idx="110">
                  <c:v>1.8739003195530196E-4</c:v>
                </c:pt>
                <c:pt idx="111">
                  <c:v>1.8507962365971515E-4</c:v>
                </c:pt>
                <c:pt idx="112">
                  <c:v>1.8206997901849188E-4</c:v>
                </c:pt>
                <c:pt idx="113">
                  <c:v>1.7625491355655675E-4</c:v>
                </c:pt>
                <c:pt idx="114">
                  <c:v>1.7040578865595583E-4</c:v>
                </c:pt>
                <c:pt idx="115">
                  <c:v>1.7176522671284348E-4</c:v>
                </c:pt>
                <c:pt idx="116">
                  <c:v>1.7349625861256711E-4</c:v>
                </c:pt>
                <c:pt idx="117">
                  <c:v>1.6902434146436914E-4</c:v>
                </c:pt>
                <c:pt idx="118">
                  <c:v>1.6578484084157335E-4</c:v>
                </c:pt>
                <c:pt idx="119">
                  <c:v>1.6178687126792467E-4</c:v>
                </c:pt>
                <c:pt idx="120">
                  <c:v>1.6045578096103694E-4</c:v>
                </c:pt>
                <c:pt idx="121">
                  <c:v>1.5736360219774823E-4</c:v>
                </c:pt>
                <c:pt idx="122">
                  <c:v>1.5289224620106679E-4</c:v>
                </c:pt>
                <c:pt idx="123">
                  <c:v>0</c:v>
                </c:pt>
                <c:pt idx="124">
                  <c:v>0</c:v>
                </c:pt>
              </c:numCache>
            </c:numRef>
          </c:yVal>
          <c:smooth val="0"/>
        </c:ser>
        <c:ser>
          <c:idx val="4"/>
          <c:order val="4"/>
          <c:tx>
            <c:strRef>
              <c:f>Plots!$H$1</c:f>
              <c:strCache>
                <c:ptCount val="1"/>
                <c:pt idx="0">
                  <c:v>160</c:v>
                </c:pt>
              </c:strCache>
            </c:strRef>
          </c:tx>
          <c:spPr>
            <a:ln w="28575">
              <a:noFill/>
            </a:ln>
          </c:spPr>
          <c:marker>
            <c:symbol val="diamond"/>
            <c:size val="7"/>
            <c:spPr>
              <a:solidFill>
                <a:schemeClr val="accent6">
                  <a:lumMod val="75000"/>
                </a:schemeClr>
              </a:solidFill>
              <a:ln>
                <a:noFill/>
              </a:ln>
            </c:spPr>
          </c:marker>
          <c:xVal>
            <c:numRef>
              <c:f>Plots!$H$3:$H$127</c:f>
              <c:numCache>
                <c:formatCode>General</c:formatCode>
                <c:ptCount val="125"/>
                <c:pt idx="0">
                  <c:v>1.0355266372650018E+16</c:v>
                </c:pt>
                <c:pt idx="1">
                  <c:v>4.2496309360700968E+16</c:v>
                </c:pt>
                <c:pt idx="2">
                  <c:v>6.099682969201572E+16</c:v>
                </c:pt>
                <c:pt idx="3">
                  <c:v>6.658657768778304E+16</c:v>
                </c:pt>
                <c:pt idx="4">
                  <c:v>6.6633002194823488E+16</c:v>
                </c:pt>
                <c:pt idx="5">
                  <c:v>6.5217304948535776E+16</c:v>
                </c:pt>
                <c:pt idx="6">
                  <c:v>6.3411352020155576E+16</c:v>
                </c:pt>
                <c:pt idx="7">
                  <c:v>6.1600891983612872E+16</c:v>
                </c:pt>
                <c:pt idx="8">
                  <c:v>5.979169000135208E+16</c:v>
                </c:pt>
                <c:pt idx="9">
                  <c:v>5.8019225551425704E+16</c:v>
                </c:pt>
                <c:pt idx="10">
                  <c:v>5.6247355824941416E+16</c:v>
                </c:pt>
                <c:pt idx="11">
                  <c:v>5.451067378539572E+16</c:v>
                </c:pt>
                <c:pt idx="12">
                  <c:v>5.2795860933390544E+16</c:v>
                </c:pt>
                <c:pt idx="13">
                  <c:v>5.1131051405305144E+16</c:v>
                </c:pt>
                <c:pt idx="14">
                  <c:v>4.9517918912901576E+16</c:v>
                </c:pt>
                <c:pt idx="15">
                  <c:v>4.7952850148822584E+16</c:v>
                </c:pt>
                <c:pt idx="16">
                  <c:v>4.6417267785801464E+16</c:v>
                </c:pt>
                <c:pt idx="17">
                  <c:v>4.4921866189765768E+16</c:v>
                </c:pt>
                <c:pt idx="18">
                  <c:v>4.3457432042821864E+16</c:v>
                </c:pt>
                <c:pt idx="19">
                  <c:v>4.2035320435849336E+16</c:v>
                </c:pt>
                <c:pt idx="20">
                  <c:v>4.066755311657828E+16</c:v>
                </c:pt>
                <c:pt idx="21">
                  <c:v>3.9323799881133296E+16</c:v>
                </c:pt>
                <c:pt idx="22">
                  <c:v>3.8017250042841608E+16</c:v>
                </c:pt>
                <c:pt idx="23">
                  <c:v>3.6736458429614744E+16</c:v>
                </c:pt>
                <c:pt idx="24">
                  <c:v>3.549927618213778E+16</c:v>
                </c:pt>
                <c:pt idx="25">
                  <c:v>3.4298667364813152E+16</c:v>
                </c:pt>
                <c:pt idx="26">
                  <c:v>3.3126268791200696E+16</c:v>
                </c:pt>
                <c:pt idx="27">
                  <c:v>3.1981942431210132E+16</c:v>
                </c:pt>
                <c:pt idx="28">
                  <c:v>3.0880783295615676E+16</c:v>
                </c:pt>
                <c:pt idx="29">
                  <c:v>2.98029133122278E+16</c:v>
                </c:pt>
                <c:pt idx="30">
                  <c:v>2.8752679405196632E+16</c:v>
                </c:pt>
                <c:pt idx="31">
                  <c:v>2.7737785094272816E+16</c:v>
                </c:pt>
                <c:pt idx="32">
                  <c:v>2.675325942612566E+16</c:v>
                </c:pt>
                <c:pt idx="33">
                  <c:v>2.5791987702340068E+16</c:v>
                </c:pt>
                <c:pt idx="34">
                  <c:v>2.4857833236421256E+16</c:v>
                </c:pt>
                <c:pt idx="35">
                  <c:v>2.3959385911060596E+16</c:v>
                </c:pt>
                <c:pt idx="36">
                  <c:v>2.3082983891646288E+16</c:v>
                </c:pt>
                <c:pt idx="37">
                  <c:v>2.2224296648732084E+16</c:v>
                </c:pt>
                <c:pt idx="38">
                  <c:v>2.139951180720736E+16</c:v>
                </c:pt>
                <c:pt idx="39">
                  <c:v>2.0592168234849172E+16</c:v>
                </c:pt>
                <c:pt idx="40">
                  <c:v>1.981011725295622E+16</c:v>
                </c:pt>
                <c:pt idx="41">
                  <c:v>1.90561873011782E+16</c:v>
                </c:pt>
                <c:pt idx="42">
                  <c:v>1.8321607759214816E+16</c:v>
                </c:pt>
                <c:pt idx="43">
                  <c:v>1.7605934811031468E+16</c:v>
                </c:pt>
                <c:pt idx="44">
                  <c:v>1.691676314999448E+16</c:v>
                </c:pt>
                <c:pt idx="45">
                  <c:v>1.624357639917115E+16</c:v>
                </c:pt>
                <c:pt idx="46">
                  <c:v>1.55906359272395E+16</c:v>
                </c:pt>
                <c:pt idx="47">
                  <c:v>1.4964762671483368E+16</c:v>
                </c:pt>
                <c:pt idx="48">
                  <c:v>1.4358438569064064E+16</c:v>
                </c:pt>
                <c:pt idx="49">
                  <c:v>1.3770201723024524E+16</c:v>
                </c:pt>
                <c:pt idx="50">
                  <c:v>1.3196425807650812E+16</c:v>
                </c:pt>
                <c:pt idx="51">
                  <c:v>1.2647825221768076E+16</c:v>
                </c:pt>
                <c:pt idx="52">
                  <c:v>1.2108162942826538E+16</c:v>
                </c:pt>
                <c:pt idx="53">
                  <c:v>1.1591173081761246E+16</c:v>
                </c:pt>
                <c:pt idx="54">
                  <c:v>1.1089933258565852E+16</c:v>
                </c:pt>
                <c:pt idx="55">
                  <c:v>1.0608789640758498E+16</c:v>
                </c:pt>
                <c:pt idx="56">
                  <c:v>1.014558918101566E+16</c:v>
                </c:pt>
                <c:pt idx="57">
                  <c:v>9692795928936662</c:v>
                </c:pt>
                <c:pt idx="58">
                  <c:v>9257907617165538</c:v>
                </c:pt>
                <c:pt idx="59">
                  <c:v>8836005104710610</c:v>
                </c:pt>
                <c:pt idx="60">
                  <c:v>8429824618636902</c:v>
                </c:pt>
                <c:pt idx="61">
                  <c:v>8040457488530717</c:v>
                </c:pt>
                <c:pt idx="62">
                  <c:v>7666218995863965</c:v>
                </c:pt>
                <c:pt idx="63">
                  <c:v>7305513386281426</c:v>
                </c:pt>
                <c:pt idx="64">
                  <c:v>6953788220360705</c:v>
                </c:pt>
                <c:pt idx="65">
                  <c:v>6620991052407575</c:v>
                </c:pt>
                <c:pt idx="66">
                  <c:v>6295907242272027</c:v>
                </c:pt>
                <c:pt idx="67">
                  <c:v>5987521942915794</c:v>
                </c:pt>
                <c:pt idx="68">
                  <c:v>5686863136775714</c:v>
                </c:pt>
                <c:pt idx="69">
                  <c:v>5401003004616812</c:v>
                </c:pt>
                <c:pt idx="70">
                  <c:v>5130270825138542</c:v>
                </c:pt>
                <c:pt idx="71">
                  <c:v>4869637094843592</c:v>
                </c:pt>
                <c:pt idx="72">
                  <c:v>4620103569562295</c:v>
                </c:pt>
                <c:pt idx="73">
                  <c:v>4372139812092529</c:v>
                </c:pt>
                <c:pt idx="74">
                  <c:v>4142095294954930.5</c:v>
                </c:pt>
                <c:pt idx="75">
                  <c:v>3918185405416105.5</c:v>
                </c:pt>
                <c:pt idx="76">
                  <c:v>3711931352788885.5</c:v>
                </c:pt>
                <c:pt idx="77">
                  <c:v>3503588336443414</c:v>
                </c:pt>
                <c:pt idx="78">
                  <c:v>3305402706910536.5</c:v>
                </c:pt>
                <c:pt idx="79">
                  <c:v>3120891510342993</c:v>
                </c:pt>
                <c:pt idx="80">
                  <c:v>2952807008503357</c:v>
                </c:pt>
                <c:pt idx="81">
                  <c:v>2780232754409437</c:v>
                </c:pt>
                <c:pt idx="82">
                  <c:v>2618138515369572</c:v>
                </c:pt>
                <c:pt idx="83">
                  <c:v>2469022248224600.5</c:v>
                </c:pt>
                <c:pt idx="84">
                  <c:v>2318637449424134</c:v>
                </c:pt>
                <c:pt idx="85">
                  <c:v>2180009158201663.7</c:v>
                </c:pt>
                <c:pt idx="86">
                  <c:v>2050196620421671.5</c:v>
                </c:pt>
                <c:pt idx="87">
                  <c:v>1930393407747191.5</c:v>
                </c:pt>
                <c:pt idx="88">
                  <c:v>1806482832905936.5</c:v>
                </c:pt>
                <c:pt idx="89">
                  <c:v>1693939089027671.7</c:v>
                </c:pt>
                <c:pt idx="90">
                  <c:v>1584068727450104.7</c:v>
                </c:pt>
                <c:pt idx="91">
                  <c:v>1483034002730924.2</c:v>
                </c:pt>
                <c:pt idx="92">
                  <c:v>1391948310850374</c:v>
                </c:pt>
                <c:pt idx="93">
                  <c:v>1296627580947776.2</c:v>
                </c:pt>
                <c:pt idx="94">
                  <c:v>1207337213470261</c:v>
                </c:pt>
                <c:pt idx="95">
                  <c:v>1130540899447934.2</c:v>
                </c:pt>
                <c:pt idx="96">
                  <c:v>1050759594281430.1</c:v>
                </c:pt>
                <c:pt idx="97">
                  <c:v>983697431887210.5</c:v>
                </c:pt>
                <c:pt idx="98">
                  <c:v>916921311482578.62</c:v>
                </c:pt>
                <c:pt idx="99">
                  <c:v>851924086297050.12</c:v>
                </c:pt>
                <c:pt idx="100">
                  <c:v>793051672645642.12</c:v>
                </c:pt>
                <c:pt idx="101">
                  <c:v>734563744298761.75</c:v>
                </c:pt>
                <c:pt idx="102">
                  <c:v>677949594395589.75</c:v>
                </c:pt>
                <c:pt idx="103">
                  <c:v>626524723348340.37</c:v>
                </c:pt>
                <c:pt idx="104">
                  <c:v>582461521356382</c:v>
                </c:pt>
                <c:pt idx="105">
                  <c:v>541237415613296.81</c:v>
                </c:pt>
                <c:pt idx="106">
                  <c:v>500004248123853.12</c:v>
                </c:pt>
                <c:pt idx="107">
                  <c:v>466263271179794.69</c:v>
                </c:pt>
                <c:pt idx="108">
                  <c:v>430139335359297.06</c:v>
                </c:pt>
                <c:pt idx="109">
                  <c:v>394765049691959.44</c:v>
                </c:pt>
                <c:pt idx="110">
                  <c:v>366731824495304</c:v>
                </c:pt>
                <c:pt idx="111">
                  <c:v>341313148151856.06</c:v>
                </c:pt>
                <c:pt idx="112">
                  <c:v>315625378923547.12</c:v>
                </c:pt>
                <c:pt idx="113">
                  <c:v>297357823363180.69</c:v>
                </c:pt>
                <c:pt idx="114">
                  <c:v>264615438175125.81</c:v>
                </c:pt>
                <c:pt idx="115">
                  <c:v>243221561764924.72</c:v>
                </c:pt>
                <c:pt idx="116">
                  <c:v>226061113817484.41</c:v>
                </c:pt>
                <c:pt idx="117">
                  <c:v>213126410746238.75</c:v>
                </c:pt>
                <c:pt idx="118">
                  <c:v>192013992497379.75</c:v>
                </c:pt>
                <c:pt idx="119">
                  <c:v>183306585968723.06</c:v>
                </c:pt>
                <c:pt idx="120">
                  <c:v>167477564175047.81</c:v>
                </c:pt>
                <c:pt idx="121">
                  <c:v>153762878099983.69</c:v>
                </c:pt>
                <c:pt idx="122">
                  <c:v>143497102527285.19</c:v>
                </c:pt>
                <c:pt idx="123">
                  <c:v>132537714920235.47</c:v>
                </c:pt>
                <c:pt idx="124">
                  <c:v>129915868852006.53</c:v>
                </c:pt>
              </c:numCache>
            </c:numRef>
          </c:xVal>
          <c:yVal>
            <c:numRef>
              <c:f>Plots!$I$3:$I$127</c:f>
              <c:numCache>
                <c:formatCode>General</c:formatCode>
                <c:ptCount val="125"/>
                <c:pt idx="0">
                  <c:v>0</c:v>
                </c:pt>
                <c:pt idx="1">
                  <c:v>0</c:v>
                </c:pt>
                <c:pt idx="2">
                  <c:v>1.8212270156841694E-4</c:v>
                </c:pt>
                <c:pt idx="3">
                  <c:v>1.526586558024801E-4</c:v>
                </c:pt>
                <c:pt idx="4">
                  <c:v>1.3998474010977512E-4</c:v>
                </c:pt>
                <c:pt idx="5">
                  <c:v>1.3783180100949191E-4</c:v>
                </c:pt>
                <c:pt idx="6">
                  <c:v>1.405573365553256E-4</c:v>
                </c:pt>
                <c:pt idx="7">
                  <c:v>1.4438814280481736E-4</c:v>
                </c:pt>
                <c:pt idx="8">
                  <c:v>1.4847005909109066E-4</c:v>
                </c:pt>
                <c:pt idx="9">
                  <c:v>1.5266249082757831E-4</c:v>
                </c:pt>
                <c:pt idx="10">
                  <c:v>1.5686265777867177E-4</c:v>
                </c:pt>
                <c:pt idx="11">
                  <c:v>1.6105842700343215E-4</c:v>
                </c:pt>
                <c:pt idx="12">
                  <c:v>1.6528265174156512E-4</c:v>
                </c:pt>
                <c:pt idx="13">
                  <c:v>1.6954704798990191E-4</c:v>
                </c:pt>
                <c:pt idx="14">
                  <c:v>1.7385969205503137E-4</c:v>
                </c:pt>
                <c:pt idx="15">
                  <c:v>1.7821420988421664E-4</c:v>
                </c:pt>
                <c:pt idx="16">
                  <c:v>1.8253492922274111E-4</c:v>
                </c:pt>
                <c:pt idx="17">
                  <c:v>1.8686478676540152E-4</c:v>
                </c:pt>
                <c:pt idx="18">
                  <c:v>1.9123364431038927E-4</c:v>
                </c:pt>
                <c:pt idx="19">
                  <c:v>1.9558627148869576E-4</c:v>
                </c:pt>
                <c:pt idx="20">
                  <c:v>1.9998994293935152E-4</c:v>
                </c:pt>
                <c:pt idx="21">
                  <c:v>2.0427129212012679E-4</c:v>
                </c:pt>
                <c:pt idx="22">
                  <c:v>2.0851680910521838E-4</c:v>
                </c:pt>
                <c:pt idx="23">
                  <c:v>2.1278202183987408E-4</c:v>
                </c:pt>
                <c:pt idx="24">
                  <c:v>2.1697983741176491E-4</c:v>
                </c:pt>
                <c:pt idx="25">
                  <c:v>2.2117977937387214E-4</c:v>
                </c:pt>
                <c:pt idx="26">
                  <c:v>2.252390786151253E-4</c:v>
                </c:pt>
                <c:pt idx="27">
                  <c:v>2.2927885810809177E-4</c:v>
                </c:pt>
                <c:pt idx="28">
                  <c:v>2.3368265747071771E-4</c:v>
                </c:pt>
                <c:pt idx="29">
                  <c:v>2.3764489579111413E-4</c:v>
                </c:pt>
                <c:pt idx="30">
                  <c:v>2.4143818950980202E-4</c:v>
                </c:pt>
                <c:pt idx="31">
                  <c:v>2.4512277699459314E-4</c:v>
                </c:pt>
                <c:pt idx="32">
                  <c:v>2.4876139716380961E-4</c:v>
                </c:pt>
                <c:pt idx="33">
                  <c:v>2.5227307797789087E-4</c:v>
                </c:pt>
                <c:pt idx="34">
                  <c:v>2.5568930337678872E-4</c:v>
                </c:pt>
                <c:pt idx="35">
                  <c:v>2.5912639377703999E-4</c:v>
                </c:pt>
                <c:pt idx="36">
                  <c:v>2.6235621704031714E-4</c:v>
                </c:pt>
                <c:pt idx="37">
                  <c:v>2.6526535446405749E-4</c:v>
                </c:pt>
                <c:pt idx="38">
                  <c:v>2.684529120419105E-4</c:v>
                </c:pt>
                <c:pt idx="39">
                  <c:v>2.71407897509311E-4</c:v>
                </c:pt>
                <c:pt idx="40">
                  <c:v>2.7425126097210519E-4</c:v>
                </c:pt>
                <c:pt idx="41">
                  <c:v>2.7695630242550106E-4</c:v>
                </c:pt>
                <c:pt idx="42">
                  <c:v>2.7952682124464775E-4</c:v>
                </c:pt>
                <c:pt idx="43">
                  <c:v>2.8175190164076791E-4</c:v>
                </c:pt>
                <c:pt idx="44">
                  <c:v>2.8401031234451404E-4</c:v>
                </c:pt>
                <c:pt idx="45">
                  <c:v>2.8606009837349114E-4</c:v>
                </c:pt>
                <c:pt idx="46">
                  <c:v>2.8799161155744225E-4</c:v>
                </c:pt>
                <c:pt idx="47">
                  <c:v>2.9008701213339603E-4</c:v>
                </c:pt>
                <c:pt idx="48">
                  <c:v>2.9174173224173414E-4</c:v>
                </c:pt>
                <c:pt idx="49">
                  <c:v>2.9316763191995668E-4</c:v>
                </c:pt>
                <c:pt idx="50">
                  <c:v>2.9445703245386341E-4</c:v>
                </c:pt>
                <c:pt idx="51">
                  <c:v>2.9548381748457475E-4</c:v>
                </c:pt>
                <c:pt idx="52">
                  <c:v>2.9652784645209092E-4</c:v>
                </c:pt>
                <c:pt idx="53">
                  <c:v>2.9745937920415075E-4</c:v>
                </c:pt>
                <c:pt idx="54">
                  <c:v>2.9829822824445769E-4</c:v>
                </c:pt>
                <c:pt idx="55">
                  <c:v>2.9885594652600617E-4</c:v>
                </c:pt>
                <c:pt idx="56">
                  <c:v>2.9954747847421608E-4</c:v>
                </c:pt>
                <c:pt idx="57">
                  <c:v>2.9971417246649879E-4</c:v>
                </c:pt>
                <c:pt idx="58">
                  <c:v>3.0000106967867075E-4</c:v>
                </c:pt>
                <c:pt idx="59">
                  <c:v>3.0017084333954804E-4</c:v>
                </c:pt>
                <c:pt idx="60">
                  <c:v>2.9979928947853918E-4</c:v>
                </c:pt>
                <c:pt idx="61">
                  <c:v>3.0002326582827504E-4</c:v>
                </c:pt>
                <c:pt idx="62">
                  <c:v>3.0011109927058236E-4</c:v>
                </c:pt>
                <c:pt idx="63">
                  <c:v>2.9961485889852801E-4</c:v>
                </c:pt>
                <c:pt idx="64">
                  <c:v>2.9856679071654899E-4</c:v>
                </c:pt>
                <c:pt idx="65">
                  <c:v>2.9787978199145458E-4</c:v>
                </c:pt>
                <c:pt idx="66">
                  <c:v>2.9695448234497547E-4</c:v>
                </c:pt>
                <c:pt idx="67">
                  <c:v>2.9556414737624316E-4</c:v>
                </c:pt>
                <c:pt idx="68">
                  <c:v>2.9476599779233888E-4</c:v>
                </c:pt>
                <c:pt idx="69">
                  <c:v>2.9365447528070646E-4</c:v>
                </c:pt>
                <c:pt idx="70">
                  <c:v>2.9233116701401471E-4</c:v>
                </c:pt>
                <c:pt idx="71">
                  <c:v>2.9085557219946849E-4</c:v>
                </c:pt>
                <c:pt idx="72">
                  <c:v>2.8891775892049613E-4</c:v>
                </c:pt>
                <c:pt idx="73">
                  <c:v>2.8637639586212295E-4</c:v>
                </c:pt>
                <c:pt idx="74">
                  <c:v>2.8467439986802731E-4</c:v>
                </c:pt>
                <c:pt idx="75">
                  <c:v>2.8224847628446914E-4</c:v>
                </c:pt>
                <c:pt idx="76">
                  <c:v>2.8050685450314313E-4</c:v>
                </c:pt>
                <c:pt idx="77">
                  <c:v>2.777172432757907E-4</c:v>
                </c:pt>
                <c:pt idx="78">
                  <c:v>2.7561431296594004E-4</c:v>
                </c:pt>
                <c:pt idx="79">
                  <c:v>2.7369834108568862E-4</c:v>
                </c:pt>
                <c:pt idx="80">
                  <c:v>2.7138907360745815E-4</c:v>
                </c:pt>
                <c:pt idx="81">
                  <c:v>2.6840405532047886E-4</c:v>
                </c:pt>
                <c:pt idx="82">
                  <c:v>2.6470815803485777E-4</c:v>
                </c:pt>
                <c:pt idx="83">
                  <c:v>2.6233902763294768E-4</c:v>
                </c:pt>
                <c:pt idx="84">
                  <c:v>2.5917304581319256E-4</c:v>
                </c:pt>
                <c:pt idx="85">
                  <c:v>2.5651547159758707E-4</c:v>
                </c:pt>
                <c:pt idx="86">
                  <c:v>2.5318213772941556E-4</c:v>
                </c:pt>
                <c:pt idx="87">
                  <c:v>2.5055757334907746E-4</c:v>
                </c:pt>
                <c:pt idx="88">
                  <c:v>2.4664181066633986E-4</c:v>
                </c:pt>
                <c:pt idx="89">
                  <c:v>2.4295183767432743E-4</c:v>
                </c:pt>
                <c:pt idx="90">
                  <c:v>2.3989142508752965E-4</c:v>
                </c:pt>
                <c:pt idx="91">
                  <c:v>2.3680089442452607E-4</c:v>
                </c:pt>
                <c:pt idx="92">
                  <c:v>2.3304793860293879E-4</c:v>
                </c:pt>
                <c:pt idx="93">
                  <c:v>2.2889598305569925E-4</c:v>
                </c:pt>
                <c:pt idx="94">
                  <c:v>2.2413530835975123E-4</c:v>
                </c:pt>
                <c:pt idx="95">
                  <c:v>2.2245337630849319E-4</c:v>
                </c:pt>
                <c:pt idx="96">
                  <c:v>2.1856716442565324E-4</c:v>
                </c:pt>
                <c:pt idx="97">
                  <c:v>2.1538011892827536E-4</c:v>
                </c:pt>
                <c:pt idx="98">
                  <c:v>2.1203472878313063E-4</c:v>
                </c:pt>
                <c:pt idx="99">
                  <c:v>2.0780746029609877E-4</c:v>
                </c:pt>
                <c:pt idx="100">
                  <c:v>2.0390876783272743E-4</c:v>
                </c:pt>
                <c:pt idx="101">
                  <c:v>1.9888660161249903E-4</c:v>
                </c:pt>
                <c:pt idx="102">
                  <c:v>1.9480390163956424E-4</c:v>
                </c:pt>
                <c:pt idx="103">
                  <c:v>1.9125194052439518E-4</c:v>
                </c:pt>
                <c:pt idx="104">
                  <c:v>1.8915242325445459E-4</c:v>
                </c:pt>
                <c:pt idx="105">
                  <c:v>1.8706932516586474E-4</c:v>
                </c:pt>
                <c:pt idx="106">
                  <c:v>1.8416133685086856E-4</c:v>
                </c:pt>
                <c:pt idx="107">
                  <c:v>1.8133765432627451E-4</c:v>
                </c:pt>
                <c:pt idx="108">
                  <c:v>1.7766647225693532E-4</c:v>
                </c:pt>
                <c:pt idx="109">
                  <c:v>1.730706041260646E-4</c:v>
                </c:pt>
                <c:pt idx="110">
                  <c:v>1.7049245474908776E-4</c:v>
                </c:pt>
                <c:pt idx="111">
                  <c:v>1.711980118543918E-4</c:v>
                </c:pt>
                <c:pt idx="112">
                  <c:v>1.6700923985663984E-4</c:v>
                </c:pt>
                <c:pt idx="113">
                  <c:v>1.6592788513198828E-4</c:v>
                </c:pt>
                <c:pt idx="114">
                  <c:v>1.569462022598391E-4</c:v>
                </c:pt>
                <c:pt idx="115">
                  <c:v>1.5515114325943371E-4</c:v>
                </c:pt>
                <c:pt idx="116">
                  <c:v>1.5640756312571637E-4</c:v>
                </c:pt>
                <c:pt idx="117">
                  <c:v>1.5737830686043752E-4</c:v>
                </c:pt>
                <c:pt idx="118">
                  <c:v>1.5120272280067667E-4</c:v>
                </c:pt>
                <c:pt idx="119">
                  <c:v>1.5419999603236056E-4</c:v>
                </c:pt>
                <c:pt idx="120">
                  <c:v>1.5054717911200348E-4</c:v>
                </c:pt>
                <c:pt idx="121">
                  <c:v>1.4804580198171541E-4</c:v>
                </c:pt>
                <c:pt idx="122">
                  <c:v>1.5095382005444322E-4</c:v>
                </c:pt>
                <c:pt idx="123">
                  <c:v>0</c:v>
                </c:pt>
                <c:pt idx="124">
                  <c:v>0</c:v>
                </c:pt>
              </c:numCache>
            </c:numRef>
          </c:yVal>
          <c:smooth val="0"/>
        </c:ser>
        <c:ser>
          <c:idx val="5"/>
          <c:order val="5"/>
          <c:tx>
            <c:strRef>
              <c:f>Plots!$J$1</c:f>
              <c:strCache>
                <c:ptCount val="1"/>
                <c:pt idx="0">
                  <c:v>145</c:v>
                </c:pt>
              </c:strCache>
            </c:strRef>
          </c:tx>
          <c:spPr>
            <a:ln w="28575">
              <a:noFill/>
            </a:ln>
          </c:spPr>
          <c:marker>
            <c:symbol val="diamond"/>
            <c:size val="7"/>
            <c:spPr>
              <a:solidFill>
                <a:srgbClr val="FFC000"/>
              </a:solidFill>
              <a:ln>
                <a:noFill/>
              </a:ln>
            </c:spPr>
          </c:marker>
          <c:xVal>
            <c:numRef>
              <c:f>Plots!$J$3:$J$127</c:f>
              <c:numCache>
                <c:formatCode>General</c:formatCode>
                <c:ptCount val="125"/>
                <c:pt idx="0">
                  <c:v>1.0081916295242518E+16</c:v>
                </c:pt>
                <c:pt idx="1">
                  <c:v>4.1494973198551456E+16</c:v>
                </c:pt>
                <c:pt idx="2">
                  <c:v>6.0646231912507096E+16</c:v>
                </c:pt>
                <c:pt idx="3">
                  <c:v>6.6587772134537936E+16</c:v>
                </c:pt>
                <c:pt idx="4">
                  <c:v>6.6376204761463944E+16</c:v>
                </c:pt>
                <c:pt idx="5">
                  <c:v>6.4882881150802744E+16</c:v>
                </c:pt>
                <c:pt idx="6">
                  <c:v>6.301851027621136E+16</c:v>
                </c:pt>
                <c:pt idx="7">
                  <c:v>6.1182998323367072E+16</c:v>
                </c:pt>
                <c:pt idx="8">
                  <c:v>5.933650287736344E+16</c:v>
                </c:pt>
                <c:pt idx="9">
                  <c:v>5.753490920522716E+16</c:v>
                </c:pt>
                <c:pt idx="10">
                  <c:v>5.575450060982672E+16</c:v>
                </c:pt>
                <c:pt idx="11">
                  <c:v>5.4011907517024288E+16</c:v>
                </c:pt>
                <c:pt idx="12">
                  <c:v>5.2284116030154064E+16</c:v>
                </c:pt>
                <c:pt idx="13">
                  <c:v>5.0614578224056768E+16</c:v>
                </c:pt>
                <c:pt idx="14">
                  <c:v>4.8983637874298032E+16</c:v>
                </c:pt>
                <c:pt idx="15">
                  <c:v>4.741642657819696E+16</c:v>
                </c:pt>
                <c:pt idx="16">
                  <c:v>4.588252008431168E+16</c:v>
                </c:pt>
                <c:pt idx="17">
                  <c:v>4.4380419908065264E+16</c:v>
                </c:pt>
                <c:pt idx="18">
                  <c:v>4.2917814177793392E+16</c:v>
                </c:pt>
                <c:pt idx="19">
                  <c:v>4.14969243588698E+16</c:v>
                </c:pt>
                <c:pt idx="20">
                  <c:v>4.0109685303138784E+16</c:v>
                </c:pt>
                <c:pt idx="21">
                  <c:v>3.8757553812758432E+16</c:v>
                </c:pt>
                <c:pt idx="22">
                  <c:v>3.7465335154296464E+16</c:v>
                </c:pt>
                <c:pt idx="23">
                  <c:v>3.6187633747827288E+16</c:v>
                </c:pt>
                <c:pt idx="24">
                  <c:v>3.4948844805297944E+16</c:v>
                </c:pt>
                <c:pt idx="25">
                  <c:v>3.374198135906654E+16</c:v>
                </c:pt>
                <c:pt idx="26">
                  <c:v>3.2573237519771756E+16</c:v>
                </c:pt>
                <c:pt idx="27">
                  <c:v>3.143707470262374E+16</c:v>
                </c:pt>
                <c:pt idx="28">
                  <c:v>3.0328636920696808E+16</c:v>
                </c:pt>
                <c:pt idx="29">
                  <c:v>2.9253396097806296E+16</c:v>
                </c:pt>
                <c:pt idx="30">
                  <c:v>2.821102790051928E+16</c:v>
                </c:pt>
                <c:pt idx="31">
                  <c:v>2.7192974408827588E+16</c:v>
                </c:pt>
                <c:pt idx="32">
                  <c:v>2.6204163027068428E+16</c:v>
                </c:pt>
                <c:pt idx="33">
                  <c:v>2.5245920029286772E+16</c:v>
                </c:pt>
                <c:pt idx="34">
                  <c:v>2.4307478242515884E+16</c:v>
                </c:pt>
                <c:pt idx="35">
                  <c:v>2.3400321663505692E+16</c:v>
                </c:pt>
                <c:pt idx="36">
                  <c:v>2.2525223452406196E+16</c:v>
                </c:pt>
                <c:pt idx="37">
                  <c:v>2.1667867188618392E+16</c:v>
                </c:pt>
                <c:pt idx="38">
                  <c:v>2.0840689872855712E+16</c:v>
                </c:pt>
                <c:pt idx="39">
                  <c:v>2.0033495387673408E+16</c:v>
                </c:pt>
                <c:pt idx="40">
                  <c:v>1.925008207541808E+16</c:v>
                </c:pt>
                <c:pt idx="41">
                  <c:v>1.848303661183666E+16</c:v>
                </c:pt>
                <c:pt idx="42">
                  <c:v>1.7753263408932944E+16</c:v>
                </c:pt>
                <c:pt idx="43">
                  <c:v>1.7048409618469764E+16</c:v>
                </c:pt>
                <c:pt idx="44">
                  <c:v>1.6353348147599156E+16</c:v>
                </c:pt>
                <c:pt idx="45">
                  <c:v>1.5693904964348694E+16</c:v>
                </c:pt>
                <c:pt idx="46">
                  <c:v>1.5042700081851674E+16</c:v>
                </c:pt>
                <c:pt idx="47">
                  <c:v>1.441684299006426E+16</c:v>
                </c:pt>
                <c:pt idx="48">
                  <c:v>1.3806749166841992E+16</c:v>
                </c:pt>
                <c:pt idx="49">
                  <c:v>1.3228721876425138E+16</c:v>
                </c:pt>
                <c:pt idx="50">
                  <c:v>1.2667424495338004E+16</c:v>
                </c:pt>
                <c:pt idx="51">
                  <c:v>1.2114314560288802E+16</c:v>
                </c:pt>
                <c:pt idx="52">
                  <c:v>1.1590091709799198E+16</c:v>
                </c:pt>
                <c:pt idx="53">
                  <c:v>1.1079027038307836E+16</c:v>
                </c:pt>
                <c:pt idx="54">
                  <c:v>1.0589631799245904E+16</c:v>
                </c:pt>
                <c:pt idx="55">
                  <c:v>1.0112156516775704E+16</c:v>
                </c:pt>
                <c:pt idx="56">
                  <c:v>9650008485159506</c:v>
                </c:pt>
                <c:pt idx="57">
                  <c:v>9210448044588934</c:v>
                </c:pt>
                <c:pt idx="58">
                  <c:v>8782710897001310</c:v>
                </c:pt>
                <c:pt idx="59">
                  <c:v>8372469164331572</c:v>
                </c:pt>
                <c:pt idx="60">
                  <c:v>7980242599181275</c:v>
                </c:pt>
                <c:pt idx="61">
                  <c:v>7598396730451825</c:v>
                </c:pt>
                <c:pt idx="62">
                  <c:v>7228289149653678</c:v>
                </c:pt>
                <c:pt idx="63">
                  <c:v>6878779068182275</c:v>
                </c:pt>
                <c:pt idx="64">
                  <c:v>6538600793281317</c:v>
                </c:pt>
                <c:pt idx="65">
                  <c:v>6213497644042768</c:v>
                </c:pt>
                <c:pt idx="66">
                  <c:v>5900406323608598</c:v>
                </c:pt>
                <c:pt idx="67">
                  <c:v>5603262280406886</c:v>
                </c:pt>
                <c:pt idx="68">
                  <c:v>5314074028803199</c:v>
                </c:pt>
                <c:pt idx="69">
                  <c:v>5038108796210120</c:v>
                </c:pt>
                <c:pt idx="70">
                  <c:v>4776191078686284</c:v>
                </c:pt>
                <c:pt idx="71">
                  <c:v>4521589082216941</c:v>
                </c:pt>
                <c:pt idx="72">
                  <c:v>4276722237856835.5</c:v>
                </c:pt>
                <c:pt idx="73">
                  <c:v>4045965538012931.5</c:v>
                </c:pt>
                <c:pt idx="74">
                  <c:v>3826377169696951</c:v>
                </c:pt>
                <c:pt idx="75">
                  <c:v>3616570092891697</c:v>
                </c:pt>
                <c:pt idx="76">
                  <c:v>3417090866109398.5</c:v>
                </c:pt>
                <c:pt idx="77">
                  <c:v>3220056952015256</c:v>
                </c:pt>
                <c:pt idx="78">
                  <c:v>3040621949995174.5</c:v>
                </c:pt>
                <c:pt idx="79">
                  <c:v>2864494683193615.5</c:v>
                </c:pt>
                <c:pt idx="80">
                  <c:v>2695024636774610.5</c:v>
                </c:pt>
                <c:pt idx="81">
                  <c:v>2534182954390549.5</c:v>
                </c:pt>
                <c:pt idx="82">
                  <c:v>2379589050493127</c:v>
                </c:pt>
                <c:pt idx="83">
                  <c:v>2232984729938571.2</c:v>
                </c:pt>
                <c:pt idx="84">
                  <c:v>2094873288079588.2</c:v>
                </c:pt>
                <c:pt idx="85">
                  <c:v>1969252609052918</c:v>
                </c:pt>
                <c:pt idx="86">
                  <c:v>1850057992429456.5</c:v>
                </c:pt>
                <c:pt idx="87">
                  <c:v>1740089339286058.7</c:v>
                </c:pt>
                <c:pt idx="88">
                  <c:v>1627298554140462.2</c:v>
                </c:pt>
                <c:pt idx="89">
                  <c:v>1514910302224078</c:v>
                </c:pt>
                <c:pt idx="90">
                  <c:v>1414419100463673</c:v>
                </c:pt>
                <c:pt idx="91">
                  <c:v>1320973753794165.2</c:v>
                </c:pt>
                <c:pt idx="92">
                  <c:v>1234591553333374.2</c:v>
                </c:pt>
                <c:pt idx="93">
                  <c:v>1154498536841996.7</c:v>
                </c:pt>
                <c:pt idx="94">
                  <c:v>1072884710527592.6</c:v>
                </c:pt>
                <c:pt idx="95">
                  <c:v>997021319431243.75</c:v>
                </c:pt>
                <c:pt idx="96">
                  <c:v>923647194238283.75</c:v>
                </c:pt>
                <c:pt idx="97">
                  <c:v>860659370331086.87</c:v>
                </c:pt>
                <c:pt idx="98">
                  <c:v>798945942039440.25</c:v>
                </c:pt>
                <c:pt idx="99">
                  <c:v>743664948503353.25</c:v>
                </c:pt>
                <c:pt idx="100">
                  <c:v>687638171450794</c:v>
                </c:pt>
                <c:pt idx="101">
                  <c:v>634470248296868.12</c:v>
                </c:pt>
                <c:pt idx="102">
                  <c:v>588681766347957.5</c:v>
                </c:pt>
                <c:pt idx="103">
                  <c:v>538376886820594.12</c:v>
                </c:pt>
                <c:pt idx="104">
                  <c:v>499062959821239.5</c:v>
                </c:pt>
                <c:pt idx="105">
                  <c:v>458093932707163.75</c:v>
                </c:pt>
                <c:pt idx="106">
                  <c:v>422897670745452.56</c:v>
                </c:pt>
                <c:pt idx="107">
                  <c:v>394058278566017.19</c:v>
                </c:pt>
                <c:pt idx="108">
                  <c:v>360862509285713.87</c:v>
                </c:pt>
                <c:pt idx="109">
                  <c:v>330830263569401.44</c:v>
                </c:pt>
                <c:pt idx="110">
                  <c:v>304991729341255.25</c:v>
                </c:pt>
                <c:pt idx="111">
                  <c:v>279728029529636.78</c:v>
                </c:pt>
                <c:pt idx="112">
                  <c:v>253672121388882.06</c:v>
                </c:pt>
                <c:pt idx="113">
                  <c:v>236590201537845.81</c:v>
                </c:pt>
                <c:pt idx="114">
                  <c:v>218923494126517.59</c:v>
                </c:pt>
                <c:pt idx="115">
                  <c:v>200019383366978.44</c:v>
                </c:pt>
                <c:pt idx="116">
                  <c:v>186084023909088.5</c:v>
                </c:pt>
                <c:pt idx="117">
                  <c:v>167428814753010.16</c:v>
                </c:pt>
                <c:pt idx="118">
                  <c:v>158896154437242.25</c:v>
                </c:pt>
                <c:pt idx="119">
                  <c:v>145860270414014.19</c:v>
                </c:pt>
                <c:pt idx="120">
                  <c:v>136252431472595.37</c:v>
                </c:pt>
                <c:pt idx="121">
                  <c:v>123777239250978.53</c:v>
                </c:pt>
                <c:pt idx="122">
                  <c:v>113477984816466.5</c:v>
                </c:pt>
                <c:pt idx="123">
                  <c:v>106327950506471.09</c:v>
                </c:pt>
                <c:pt idx="124">
                  <c:v>101995912277226.09</c:v>
                </c:pt>
              </c:numCache>
            </c:numRef>
          </c:xVal>
          <c:yVal>
            <c:numRef>
              <c:f>Plots!$K$3:$K$127</c:f>
              <c:numCache>
                <c:formatCode>General</c:formatCode>
                <c:ptCount val="125"/>
                <c:pt idx="0">
                  <c:v>0</c:v>
                </c:pt>
                <c:pt idx="1">
                  <c:v>0</c:v>
                </c:pt>
                <c:pt idx="2">
                  <c:v>1.7838938038114318E-4</c:v>
                </c:pt>
                <c:pt idx="3">
                  <c:v>1.5113170536195869E-4</c:v>
                </c:pt>
                <c:pt idx="4">
                  <c:v>1.3808598383365588E-4</c:v>
                </c:pt>
                <c:pt idx="5">
                  <c:v>1.3577077427625179E-4</c:v>
                </c:pt>
                <c:pt idx="6">
                  <c:v>1.3856451651600253E-4</c:v>
                </c:pt>
                <c:pt idx="7">
                  <c:v>1.4247143252559683E-4</c:v>
                </c:pt>
                <c:pt idx="8">
                  <c:v>1.4656300009276672E-4</c:v>
                </c:pt>
                <c:pt idx="9">
                  <c:v>1.5063409986328571E-4</c:v>
                </c:pt>
                <c:pt idx="10">
                  <c:v>1.5470693361577202E-4</c:v>
                </c:pt>
                <c:pt idx="11">
                  <c:v>1.5886097227089233E-4</c:v>
                </c:pt>
                <c:pt idx="12">
                  <c:v>1.6302553892383966E-4</c:v>
                </c:pt>
                <c:pt idx="13">
                  <c:v>1.6717633216512039E-4</c:v>
                </c:pt>
                <c:pt idx="14">
                  <c:v>1.7129326789327699E-4</c:v>
                </c:pt>
                <c:pt idx="15">
                  <c:v>1.754829768246539E-4</c:v>
                </c:pt>
                <c:pt idx="16">
                  <c:v>1.7966473386997643E-4</c:v>
                </c:pt>
                <c:pt idx="17">
                  <c:v>1.8381583285304913E-4</c:v>
                </c:pt>
                <c:pt idx="18">
                  <c:v>1.8802236974510325E-4</c:v>
                </c:pt>
                <c:pt idx="19">
                  <c:v>1.921528673062223E-4</c:v>
                </c:pt>
                <c:pt idx="20">
                  <c:v>1.9629509603191867E-4</c:v>
                </c:pt>
                <c:pt idx="21">
                  <c:v>2.0036619792024153E-4</c:v>
                </c:pt>
                <c:pt idx="22">
                  <c:v>2.044996618095075E-4</c:v>
                </c:pt>
                <c:pt idx="23">
                  <c:v>2.0856968439070909E-4</c:v>
                </c:pt>
                <c:pt idx="24">
                  <c:v>2.1252610742092412E-4</c:v>
                </c:pt>
                <c:pt idx="25">
                  <c:v>2.1645963855019781E-4</c:v>
                </c:pt>
                <c:pt idx="26">
                  <c:v>2.2031791014696708E-4</c:v>
                </c:pt>
                <c:pt idx="27">
                  <c:v>2.2413720030475866E-4</c:v>
                </c:pt>
                <c:pt idx="28">
                  <c:v>2.2827706970641811E-4</c:v>
                </c:pt>
                <c:pt idx="29">
                  <c:v>2.3200082929811182E-4</c:v>
                </c:pt>
                <c:pt idx="30">
                  <c:v>2.3562184684719245E-4</c:v>
                </c:pt>
                <c:pt idx="31">
                  <c:v>2.3905254719563829E-4</c:v>
                </c:pt>
                <c:pt idx="32">
                  <c:v>2.4236115458784165E-4</c:v>
                </c:pt>
                <c:pt idx="33">
                  <c:v>2.4564887972485574E-4</c:v>
                </c:pt>
                <c:pt idx="34">
                  <c:v>2.4877199260476754E-4</c:v>
                </c:pt>
                <c:pt idx="35">
                  <c:v>2.5182007887674881E-4</c:v>
                </c:pt>
                <c:pt idx="36">
                  <c:v>2.5488898802891703E-4</c:v>
                </c:pt>
                <c:pt idx="37">
                  <c:v>2.5753270000860321E-4</c:v>
                </c:pt>
                <c:pt idx="38">
                  <c:v>2.602774904156688E-4</c:v>
                </c:pt>
                <c:pt idx="39">
                  <c:v>2.628162996155918E-4</c:v>
                </c:pt>
                <c:pt idx="40">
                  <c:v>2.6529383039827244E-4</c:v>
                </c:pt>
                <c:pt idx="41">
                  <c:v>2.6756669098603283E-4</c:v>
                </c:pt>
                <c:pt idx="42">
                  <c:v>2.6990663501088213E-4</c:v>
                </c:pt>
                <c:pt idx="43">
                  <c:v>2.7215132611501367E-4</c:v>
                </c:pt>
                <c:pt idx="44">
                  <c:v>2.7386303027262295E-4</c:v>
                </c:pt>
                <c:pt idx="45">
                  <c:v>2.7571693031284799E-4</c:v>
                </c:pt>
                <c:pt idx="46">
                  <c:v>2.7722530292128151E-4</c:v>
                </c:pt>
                <c:pt idx="47">
                  <c:v>2.7868850369328296E-4</c:v>
                </c:pt>
                <c:pt idx="48">
                  <c:v>2.8004315140757376E-4</c:v>
                </c:pt>
                <c:pt idx="49">
                  <c:v>2.8129795879903557E-4</c:v>
                </c:pt>
                <c:pt idx="50">
                  <c:v>2.8236526742396397E-4</c:v>
                </c:pt>
                <c:pt idx="51">
                  <c:v>2.829976101958511E-4</c:v>
                </c:pt>
                <c:pt idx="52">
                  <c:v>2.8360158678913911E-4</c:v>
                </c:pt>
                <c:pt idx="53">
                  <c:v>2.8425993825018027E-4</c:v>
                </c:pt>
                <c:pt idx="54">
                  <c:v>2.8445585836131695E-4</c:v>
                </c:pt>
                <c:pt idx="55">
                  <c:v>2.8484018918369309E-4</c:v>
                </c:pt>
                <c:pt idx="56">
                  <c:v>2.8470788305078303E-4</c:v>
                </c:pt>
                <c:pt idx="57">
                  <c:v>2.8482447167993966E-4</c:v>
                </c:pt>
                <c:pt idx="58">
                  <c:v>2.8492347542984569E-4</c:v>
                </c:pt>
                <c:pt idx="59">
                  <c:v>2.8467873867853036E-4</c:v>
                </c:pt>
                <c:pt idx="60">
                  <c:v>2.8428640606435984E-4</c:v>
                </c:pt>
                <c:pt idx="61">
                  <c:v>2.8404518642938524E-4</c:v>
                </c:pt>
                <c:pt idx="62">
                  <c:v>2.8342650948061008E-4</c:v>
                </c:pt>
                <c:pt idx="63">
                  <c:v>2.825663785842083E-4</c:v>
                </c:pt>
                <c:pt idx="64">
                  <c:v>2.8152908324293846E-4</c:v>
                </c:pt>
                <c:pt idx="65">
                  <c:v>2.8033729858133454E-4</c:v>
                </c:pt>
                <c:pt idx="66">
                  <c:v>2.7900712889829276E-4</c:v>
                </c:pt>
                <c:pt idx="67">
                  <c:v>2.7760787055651975E-4</c:v>
                </c:pt>
                <c:pt idx="68">
                  <c:v>2.7641264738531351E-4</c:v>
                </c:pt>
                <c:pt idx="69">
                  <c:v>2.7477476481944289E-4</c:v>
                </c:pt>
                <c:pt idx="70">
                  <c:v>2.7310651177837327E-4</c:v>
                </c:pt>
                <c:pt idx="71">
                  <c:v>2.7100049269386826E-4</c:v>
                </c:pt>
                <c:pt idx="72">
                  <c:v>2.6891718709850404E-4</c:v>
                </c:pt>
                <c:pt idx="73">
                  <c:v>2.6713190151012067E-4</c:v>
                </c:pt>
                <c:pt idx="74">
                  <c:v>2.6496297133540148E-4</c:v>
                </c:pt>
                <c:pt idx="75">
                  <c:v>2.6229065524187366E-4</c:v>
                </c:pt>
                <c:pt idx="76">
                  <c:v>2.6023273959920409E-4</c:v>
                </c:pt>
                <c:pt idx="77">
                  <c:v>2.5742970386898582E-4</c:v>
                </c:pt>
                <c:pt idx="78">
                  <c:v>2.552761444633538E-4</c:v>
                </c:pt>
                <c:pt idx="79">
                  <c:v>2.5209744903330707E-4</c:v>
                </c:pt>
                <c:pt idx="80">
                  <c:v>2.4835027748371276E-4</c:v>
                </c:pt>
                <c:pt idx="81">
                  <c:v>2.4557358122990884E-4</c:v>
                </c:pt>
                <c:pt idx="82">
                  <c:v>2.4167907968085335E-4</c:v>
                </c:pt>
                <c:pt idx="83">
                  <c:v>2.3916971464986485E-4</c:v>
                </c:pt>
                <c:pt idx="84">
                  <c:v>2.3603410118479474E-4</c:v>
                </c:pt>
                <c:pt idx="85">
                  <c:v>2.3437414924402057E-4</c:v>
                </c:pt>
                <c:pt idx="86">
                  <c:v>2.3130623027989099E-4</c:v>
                </c:pt>
                <c:pt idx="87">
                  <c:v>2.284010601828106E-4</c:v>
                </c:pt>
                <c:pt idx="88">
                  <c:v>2.2386099254416119E-4</c:v>
                </c:pt>
                <c:pt idx="89">
                  <c:v>2.1866105209811717E-4</c:v>
                </c:pt>
                <c:pt idx="90">
                  <c:v>2.151107258243809E-4</c:v>
                </c:pt>
                <c:pt idx="91">
                  <c:v>2.1247427670288336E-4</c:v>
                </c:pt>
                <c:pt idx="92">
                  <c:v>2.095128637468902E-4</c:v>
                </c:pt>
                <c:pt idx="93">
                  <c:v>2.0592012979607361E-4</c:v>
                </c:pt>
                <c:pt idx="94">
                  <c:v>2.0108463563594527E-4</c:v>
                </c:pt>
                <c:pt idx="95">
                  <c:v>1.9719093309930621E-4</c:v>
                </c:pt>
                <c:pt idx="96">
                  <c:v>1.9302549063947936E-4</c:v>
                </c:pt>
                <c:pt idx="97">
                  <c:v>1.903080435678604E-4</c:v>
                </c:pt>
                <c:pt idx="98">
                  <c:v>1.8733473200131611E-4</c:v>
                </c:pt>
                <c:pt idx="99">
                  <c:v>1.8401774771614255E-4</c:v>
                </c:pt>
                <c:pt idx="100">
                  <c:v>1.7932238723663261E-4</c:v>
                </c:pt>
                <c:pt idx="101">
                  <c:v>1.7556270100945899E-4</c:v>
                </c:pt>
                <c:pt idx="102">
                  <c:v>1.7222286469571703E-4</c:v>
                </c:pt>
                <c:pt idx="103">
                  <c:v>1.6599891200880018E-4</c:v>
                </c:pt>
                <c:pt idx="104">
                  <c:v>1.6378618253623842E-4</c:v>
                </c:pt>
                <c:pt idx="105">
                  <c:v>1.6000775573109632E-4</c:v>
                </c:pt>
                <c:pt idx="106">
                  <c:v>1.5636006793684338E-4</c:v>
                </c:pt>
                <c:pt idx="107">
                  <c:v>1.547731100914586E-4</c:v>
                </c:pt>
                <c:pt idx="108">
                  <c:v>1.5104219997756323E-4</c:v>
                </c:pt>
                <c:pt idx="109">
                  <c:v>1.4633137336029551E-4</c:v>
                </c:pt>
                <c:pt idx="110">
                  <c:v>1.4348245121052351E-4</c:v>
                </c:pt>
                <c:pt idx="111">
                  <c:v>1.4211402837590903E-4</c:v>
                </c:pt>
                <c:pt idx="112">
                  <c:v>1.3625577713424777E-4</c:v>
                </c:pt>
                <c:pt idx="113">
                  <c:v>1.3597331084241738E-4</c:v>
                </c:pt>
                <c:pt idx="114">
                  <c:v>1.3481553926411133E-4</c:v>
                </c:pt>
                <c:pt idx="115">
                  <c:v>1.3043591328054267E-4</c:v>
                </c:pt>
                <c:pt idx="116">
                  <c:v>1.2875391279782892E-4</c:v>
                </c:pt>
                <c:pt idx="117">
                  <c:v>1.2459913617936656E-4</c:v>
                </c:pt>
                <c:pt idx="118">
                  <c:v>1.282583789350446E-4</c:v>
                </c:pt>
                <c:pt idx="119">
                  <c:v>1.2513171799583231E-4</c:v>
                </c:pt>
                <c:pt idx="120">
                  <c:v>1.2389821257161864E-4</c:v>
                </c:pt>
                <c:pt idx="121">
                  <c:v>1.1876764039329629E-4</c:v>
                </c:pt>
                <c:pt idx="122">
                  <c:v>1.1833648721764072E-4</c:v>
                </c:pt>
                <c:pt idx="123">
                  <c:v>0</c:v>
                </c:pt>
                <c:pt idx="124">
                  <c:v>0</c:v>
                </c:pt>
              </c:numCache>
            </c:numRef>
          </c:yVal>
          <c:smooth val="0"/>
        </c:ser>
        <c:ser>
          <c:idx val="6"/>
          <c:order val="6"/>
          <c:tx>
            <c:strRef>
              <c:f>Plots!$L$1</c:f>
              <c:strCache>
                <c:ptCount val="1"/>
                <c:pt idx="0">
                  <c:v>135</c:v>
                </c:pt>
              </c:strCache>
            </c:strRef>
          </c:tx>
          <c:spPr>
            <a:ln w="28575">
              <a:noFill/>
            </a:ln>
          </c:spPr>
          <c:marker>
            <c:symbol val="diamond"/>
            <c:size val="7"/>
            <c:spPr>
              <a:solidFill>
                <a:schemeClr val="accent6">
                  <a:lumMod val="60000"/>
                  <a:lumOff val="40000"/>
                </a:schemeClr>
              </a:solidFill>
              <a:ln>
                <a:noFill/>
              </a:ln>
            </c:spPr>
          </c:marker>
          <c:xVal>
            <c:numRef>
              <c:f>Plots!$L$3:$L$127</c:f>
              <c:numCache>
                <c:formatCode>General</c:formatCode>
                <c:ptCount val="125"/>
                <c:pt idx="0">
                  <c:v>1.0111417906929314E+16</c:v>
                </c:pt>
                <c:pt idx="1">
                  <c:v>4.1424013775129024E+16</c:v>
                </c:pt>
                <c:pt idx="2">
                  <c:v>5.9939987258230808E+16</c:v>
                </c:pt>
                <c:pt idx="3">
                  <c:v>6.5909252896820936E+16</c:v>
                </c:pt>
                <c:pt idx="4">
                  <c:v>6.5780728411322624E+16</c:v>
                </c:pt>
                <c:pt idx="5">
                  <c:v>6.4229043525421832E+16</c:v>
                </c:pt>
                <c:pt idx="6">
                  <c:v>6.239559620387624E+16</c:v>
                </c:pt>
                <c:pt idx="7">
                  <c:v>6.054885853988692E+16</c:v>
                </c:pt>
                <c:pt idx="8">
                  <c:v>5.8700693668285064E+16</c:v>
                </c:pt>
                <c:pt idx="9">
                  <c:v>5.6892386774326248E+16</c:v>
                </c:pt>
                <c:pt idx="10">
                  <c:v>5.5115411986804536E+16</c:v>
                </c:pt>
                <c:pt idx="11">
                  <c:v>5.3370230584869856E+16</c:v>
                </c:pt>
                <c:pt idx="12">
                  <c:v>5.1666354049694256E+16</c:v>
                </c:pt>
                <c:pt idx="13">
                  <c:v>5.0000023644679856E+16</c:v>
                </c:pt>
                <c:pt idx="14">
                  <c:v>4.8374518362928368E+16</c:v>
                </c:pt>
                <c:pt idx="15">
                  <c:v>4.6794033427210136E+16</c:v>
                </c:pt>
                <c:pt idx="16">
                  <c:v>4.525706601781504E+16</c:v>
                </c:pt>
                <c:pt idx="17">
                  <c:v>4.375812377719948E+16</c:v>
                </c:pt>
                <c:pt idx="18">
                  <c:v>4.2290021090573608E+16</c:v>
                </c:pt>
                <c:pt idx="19">
                  <c:v>4.087043161849876E+16</c:v>
                </c:pt>
                <c:pt idx="20">
                  <c:v>3.949094314103948E+16</c:v>
                </c:pt>
                <c:pt idx="21">
                  <c:v>3.8139436748450464E+16</c:v>
                </c:pt>
                <c:pt idx="22">
                  <c:v>3.6834592553189104E+16</c:v>
                </c:pt>
                <c:pt idx="23">
                  <c:v>3.5565797182910384E+16</c:v>
                </c:pt>
                <c:pt idx="24">
                  <c:v>3.4328563145050392E+16</c:v>
                </c:pt>
                <c:pt idx="25">
                  <c:v>3.3132148692053076E+16</c:v>
                </c:pt>
                <c:pt idx="26">
                  <c:v>3.196014694753684E+16</c:v>
                </c:pt>
                <c:pt idx="27">
                  <c:v>3.0834984894721092E+16</c:v>
                </c:pt>
                <c:pt idx="28">
                  <c:v>2.9731897681797476E+16</c:v>
                </c:pt>
                <c:pt idx="29">
                  <c:v>2.8660337409909076E+16</c:v>
                </c:pt>
                <c:pt idx="30">
                  <c:v>2.7620919032663252E+16</c:v>
                </c:pt>
                <c:pt idx="31">
                  <c:v>2.6610867861029396E+16</c:v>
                </c:pt>
                <c:pt idx="32">
                  <c:v>2.5625989808731288E+16</c:v>
                </c:pt>
                <c:pt idx="33">
                  <c:v>2.467753356784072E+16</c:v>
                </c:pt>
                <c:pt idx="34">
                  <c:v>2.3747205291444324E+16</c:v>
                </c:pt>
                <c:pt idx="35">
                  <c:v>2.2845640757885744E+16</c:v>
                </c:pt>
                <c:pt idx="36">
                  <c:v>2.1966154856509212E+16</c:v>
                </c:pt>
                <c:pt idx="37">
                  <c:v>2.112285451249574E+16</c:v>
                </c:pt>
                <c:pt idx="38">
                  <c:v>2.0301071852693324E+16</c:v>
                </c:pt>
                <c:pt idx="39">
                  <c:v>1.9502577337846656E+16</c:v>
                </c:pt>
                <c:pt idx="40">
                  <c:v>1.873162272606922E+16</c:v>
                </c:pt>
                <c:pt idx="41">
                  <c:v>1.797381867734319E+16</c:v>
                </c:pt>
                <c:pt idx="42">
                  <c:v>1.7255415011385332E+16</c:v>
                </c:pt>
                <c:pt idx="43">
                  <c:v>1.6544029562105354E+16</c:v>
                </c:pt>
                <c:pt idx="44">
                  <c:v>1.5866874401008726E+16</c:v>
                </c:pt>
                <c:pt idx="45">
                  <c:v>1.5211336384032834E+16</c:v>
                </c:pt>
                <c:pt idx="46">
                  <c:v>1.4574080866488538E+16</c:v>
                </c:pt>
                <c:pt idx="47">
                  <c:v>1.3952003269759734E+16</c:v>
                </c:pt>
                <c:pt idx="48">
                  <c:v>1.3357772509033196E+16</c:v>
                </c:pt>
                <c:pt idx="49">
                  <c:v>1.2791422718835256E+16</c:v>
                </c:pt>
                <c:pt idx="50">
                  <c:v>1.2228342246053134E+16</c:v>
                </c:pt>
                <c:pt idx="51">
                  <c:v>1.1691389482144314E+16</c:v>
                </c:pt>
                <c:pt idx="52">
                  <c:v>1.1175915766044828E+16</c:v>
                </c:pt>
                <c:pt idx="53">
                  <c:v>1.067170430883618E+16</c:v>
                </c:pt>
                <c:pt idx="54">
                  <c:v>1.0188695845780912E+16</c:v>
                </c:pt>
                <c:pt idx="55">
                  <c:v>9723027428273776</c:v>
                </c:pt>
                <c:pt idx="56">
                  <c:v>9268524855921810</c:v>
                </c:pt>
                <c:pt idx="57">
                  <c:v>8830132494911343</c:v>
                </c:pt>
                <c:pt idx="58">
                  <c:v>8415155712276733</c:v>
                </c:pt>
                <c:pt idx="59">
                  <c:v>8015370249119123</c:v>
                </c:pt>
                <c:pt idx="60">
                  <c:v>7629358114878411</c:v>
                </c:pt>
                <c:pt idx="61">
                  <c:v>7258454196785485</c:v>
                </c:pt>
                <c:pt idx="62">
                  <c:v>6898797957919162</c:v>
                </c:pt>
                <c:pt idx="63">
                  <c:v>6555183748190976</c:v>
                </c:pt>
                <c:pt idx="64">
                  <c:v>6229907946035368</c:v>
                </c:pt>
                <c:pt idx="65">
                  <c:v>5909031707762267</c:v>
                </c:pt>
                <c:pt idx="66">
                  <c:v>5607392836450895</c:v>
                </c:pt>
                <c:pt idx="67">
                  <c:v>5320844712509435</c:v>
                </c:pt>
                <c:pt idx="68">
                  <c:v>5040019798596362</c:v>
                </c:pt>
                <c:pt idx="69">
                  <c:v>4771887576523291</c:v>
                </c:pt>
                <c:pt idx="70">
                  <c:v>4512337396981311</c:v>
                </c:pt>
                <c:pt idx="71">
                  <c:v>4275391565368183</c:v>
                </c:pt>
                <c:pt idx="72">
                  <c:v>4041626253870791.5</c:v>
                </c:pt>
                <c:pt idx="73">
                  <c:v>3819354091129476</c:v>
                </c:pt>
                <c:pt idx="74">
                  <c:v>3603988836967995.5</c:v>
                </c:pt>
                <c:pt idx="75">
                  <c:v>3401643471428075.5</c:v>
                </c:pt>
                <c:pt idx="76">
                  <c:v>3208899195657342.5</c:v>
                </c:pt>
                <c:pt idx="77">
                  <c:v>3018962786453610</c:v>
                </c:pt>
                <c:pt idx="78">
                  <c:v>2845611067394367.5</c:v>
                </c:pt>
                <c:pt idx="79">
                  <c:v>2674066027359355</c:v>
                </c:pt>
                <c:pt idx="80">
                  <c:v>2516555391124980</c:v>
                </c:pt>
                <c:pt idx="81">
                  <c:v>2365832115869962</c:v>
                </c:pt>
                <c:pt idx="82">
                  <c:v>2222529342929221</c:v>
                </c:pt>
                <c:pt idx="83">
                  <c:v>2086500648841559.5</c:v>
                </c:pt>
                <c:pt idx="84">
                  <c:v>1955121344862912.5</c:v>
                </c:pt>
                <c:pt idx="85">
                  <c:v>1828572164507689</c:v>
                </c:pt>
                <c:pt idx="86">
                  <c:v>1714158199948714</c:v>
                </c:pt>
                <c:pt idx="87">
                  <c:v>1610096488908053</c:v>
                </c:pt>
                <c:pt idx="88">
                  <c:v>1500628408598580</c:v>
                </c:pt>
                <c:pt idx="89">
                  <c:v>1402796560988036.2</c:v>
                </c:pt>
                <c:pt idx="90">
                  <c:v>1306976991724753.3</c:v>
                </c:pt>
                <c:pt idx="91">
                  <c:v>1218830890892429.2</c:v>
                </c:pt>
                <c:pt idx="92">
                  <c:v>1140363735546956.5</c:v>
                </c:pt>
                <c:pt idx="93">
                  <c:v>1061456246912314.4</c:v>
                </c:pt>
                <c:pt idx="94">
                  <c:v>986450230376133.37</c:v>
                </c:pt>
                <c:pt idx="95">
                  <c:v>914627771996622.5</c:v>
                </c:pt>
                <c:pt idx="96">
                  <c:v>851927288391929.25</c:v>
                </c:pt>
                <c:pt idx="97">
                  <c:v>788489703768144.62</c:v>
                </c:pt>
                <c:pt idx="98">
                  <c:v>736022612492943.5</c:v>
                </c:pt>
                <c:pt idx="99">
                  <c:v>680095046389086.5</c:v>
                </c:pt>
                <c:pt idx="100">
                  <c:v>624739411908928.25</c:v>
                </c:pt>
                <c:pt idx="101">
                  <c:v>580494390949184.5</c:v>
                </c:pt>
                <c:pt idx="102">
                  <c:v>535786641707273.44</c:v>
                </c:pt>
                <c:pt idx="103">
                  <c:v>496243044749776.87</c:v>
                </c:pt>
                <c:pt idx="104">
                  <c:v>457121748477130.69</c:v>
                </c:pt>
                <c:pt idx="105">
                  <c:v>420309629123548.56</c:v>
                </c:pt>
                <c:pt idx="106">
                  <c:v>388938674924901.06</c:v>
                </c:pt>
                <c:pt idx="107">
                  <c:v>354678083819167.62</c:v>
                </c:pt>
                <c:pt idx="108">
                  <c:v>327356606310905.94</c:v>
                </c:pt>
                <c:pt idx="109">
                  <c:v>300744724577894.81</c:v>
                </c:pt>
                <c:pt idx="110">
                  <c:v>276403104279416.84</c:v>
                </c:pt>
                <c:pt idx="111">
                  <c:v>255418968852181.31</c:v>
                </c:pt>
                <c:pt idx="112">
                  <c:v>234352345196798.16</c:v>
                </c:pt>
                <c:pt idx="113">
                  <c:v>216527477522434.69</c:v>
                </c:pt>
                <c:pt idx="114">
                  <c:v>202299872969673.41</c:v>
                </c:pt>
                <c:pt idx="115">
                  <c:v>184089462311263.56</c:v>
                </c:pt>
                <c:pt idx="116">
                  <c:v>162945218836781.72</c:v>
                </c:pt>
                <c:pt idx="117">
                  <c:v>156421024782421.25</c:v>
                </c:pt>
                <c:pt idx="118">
                  <c:v>136862944068848.77</c:v>
                </c:pt>
                <c:pt idx="119">
                  <c:v>129160602821975.36</c:v>
                </c:pt>
                <c:pt idx="120">
                  <c:v>117277637166394.08</c:v>
                </c:pt>
                <c:pt idx="121">
                  <c:v>108810738879945.11</c:v>
                </c:pt>
                <c:pt idx="122">
                  <c:v>104682774049520.69</c:v>
                </c:pt>
                <c:pt idx="123">
                  <c:v>87512798119379.937</c:v>
                </c:pt>
                <c:pt idx="124">
                  <c:v>84782178504908.344</c:v>
                </c:pt>
              </c:numCache>
            </c:numRef>
          </c:xVal>
          <c:yVal>
            <c:numRef>
              <c:f>Plots!$M$3:$M$127</c:f>
              <c:numCache>
                <c:formatCode>General</c:formatCode>
                <c:ptCount val="125"/>
                <c:pt idx="0">
                  <c:v>0</c:v>
                </c:pt>
                <c:pt idx="1">
                  <c:v>0</c:v>
                </c:pt>
                <c:pt idx="2">
                  <c:v>1.7687384958035702E-4</c:v>
                </c:pt>
                <c:pt idx="3">
                  <c:v>1.495285600229754E-4</c:v>
                </c:pt>
                <c:pt idx="4">
                  <c:v>1.3692042934449324E-4</c:v>
                </c:pt>
                <c:pt idx="5">
                  <c:v>1.3451357556819462E-4</c:v>
                </c:pt>
                <c:pt idx="6">
                  <c:v>1.3718627361465648E-4</c:v>
                </c:pt>
                <c:pt idx="7">
                  <c:v>1.4102738588333253E-4</c:v>
                </c:pt>
                <c:pt idx="8">
                  <c:v>1.4501656462274557E-4</c:v>
                </c:pt>
                <c:pt idx="9">
                  <c:v>1.4899545226288962E-4</c:v>
                </c:pt>
                <c:pt idx="10">
                  <c:v>1.5297855802592664E-4</c:v>
                </c:pt>
                <c:pt idx="11">
                  <c:v>1.569826088601575E-4</c:v>
                </c:pt>
                <c:pt idx="12">
                  <c:v>1.6102519542428721E-4</c:v>
                </c:pt>
                <c:pt idx="13">
                  <c:v>1.6506590596221431E-4</c:v>
                </c:pt>
                <c:pt idx="14">
                  <c:v>1.690768184498582E-4</c:v>
                </c:pt>
                <c:pt idx="15">
                  <c:v>1.7313124118259181E-4</c:v>
                </c:pt>
                <c:pt idx="16">
                  <c:v>1.7719856401803073E-4</c:v>
                </c:pt>
                <c:pt idx="17">
                  <c:v>1.8127631661387744E-4</c:v>
                </c:pt>
                <c:pt idx="18">
                  <c:v>1.8531362245150949E-4</c:v>
                </c:pt>
                <c:pt idx="19">
                  <c:v>1.8933942758619763E-4</c:v>
                </c:pt>
                <c:pt idx="20">
                  <c:v>1.9333535612813996E-4</c:v>
                </c:pt>
                <c:pt idx="21">
                  <c:v>1.9726498187449583E-4</c:v>
                </c:pt>
                <c:pt idx="22">
                  <c:v>2.0112683735966559E-4</c:v>
                </c:pt>
                <c:pt idx="23">
                  <c:v>2.051094960995193E-4</c:v>
                </c:pt>
                <c:pt idx="24">
                  <c:v>2.088927874779133E-4</c:v>
                </c:pt>
                <c:pt idx="25">
                  <c:v>2.1271396086433103E-4</c:v>
                </c:pt>
                <c:pt idx="26">
                  <c:v>2.1636853455149924E-4</c:v>
                </c:pt>
                <c:pt idx="27">
                  <c:v>2.2004839226471637E-4</c:v>
                </c:pt>
                <c:pt idx="28">
                  <c:v>2.2400525807353386E-4</c:v>
                </c:pt>
                <c:pt idx="29">
                  <c:v>2.2749737838289198E-4</c:v>
                </c:pt>
                <c:pt idx="30">
                  <c:v>2.3087611008941282E-4</c:v>
                </c:pt>
                <c:pt idx="31">
                  <c:v>2.3419037784302071E-4</c:v>
                </c:pt>
                <c:pt idx="32">
                  <c:v>2.3730524937000985E-4</c:v>
                </c:pt>
                <c:pt idx="33">
                  <c:v>2.4041464842914099E-4</c:v>
                </c:pt>
                <c:pt idx="34">
                  <c:v>2.4324613654428342E-4</c:v>
                </c:pt>
                <c:pt idx="35">
                  <c:v>2.4606189106896281E-4</c:v>
                </c:pt>
                <c:pt idx="36">
                  <c:v>2.4873745459886074E-4</c:v>
                </c:pt>
                <c:pt idx="37">
                  <c:v>2.5131375861625084E-4</c:v>
                </c:pt>
                <c:pt idx="38">
                  <c:v>2.5396428027460379E-4</c:v>
                </c:pt>
                <c:pt idx="39">
                  <c:v>2.5626836946012063E-4</c:v>
                </c:pt>
                <c:pt idx="40">
                  <c:v>2.5869350726941029E-4</c:v>
                </c:pt>
                <c:pt idx="41">
                  <c:v>2.605094475054831E-4</c:v>
                </c:pt>
                <c:pt idx="42">
                  <c:v>2.6264795903999512E-4</c:v>
                </c:pt>
                <c:pt idx="43">
                  <c:v>2.6441014384429745E-4</c:v>
                </c:pt>
                <c:pt idx="44">
                  <c:v>2.6606153589023269E-4</c:v>
                </c:pt>
                <c:pt idx="45">
                  <c:v>2.6755821831344159E-4</c:v>
                </c:pt>
                <c:pt idx="46">
                  <c:v>2.6883157059532059E-4</c:v>
                </c:pt>
                <c:pt idx="47">
                  <c:v>2.7003293594826986E-4</c:v>
                </c:pt>
                <c:pt idx="48">
                  <c:v>2.7114253605987383E-4</c:v>
                </c:pt>
                <c:pt idx="49">
                  <c:v>2.7222087516262503E-4</c:v>
                </c:pt>
                <c:pt idx="50">
                  <c:v>2.7273746138302987E-4</c:v>
                </c:pt>
                <c:pt idx="51">
                  <c:v>2.7319236905678308E-4</c:v>
                </c:pt>
                <c:pt idx="52">
                  <c:v>2.7384102360430556E-4</c:v>
                </c:pt>
                <c:pt idx="53">
                  <c:v>2.7407529726239984E-4</c:v>
                </c:pt>
                <c:pt idx="54">
                  <c:v>2.7404739229121554E-4</c:v>
                </c:pt>
                <c:pt idx="55">
                  <c:v>2.7401846202297219E-4</c:v>
                </c:pt>
                <c:pt idx="56">
                  <c:v>2.7367830740972714E-4</c:v>
                </c:pt>
                <c:pt idx="57">
                  <c:v>2.73300550214642E-4</c:v>
                </c:pt>
                <c:pt idx="58">
                  <c:v>2.7329802073950912E-4</c:v>
                </c:pt>
                <c:pt idx="59">
                  <c:v>2.7300533897700488E-4</c:v>
                </c:pt>
                <c:pt idx="60">
                  <c:v>2.7219140005694018E-4</c:v>
                </c:pt>
                <c:pt idx="61">
                  <c:v>2.7151519946634595E-4</c:v>
                </c:pt>
                <c:pt idx="62">
                  <c:v>2.7089810481510548E-4</c:v>
                </c:pt>
                <c:pt idx="63">
                  <c:v>2.6960762032906296E-4</c:v>
                </c:pt>
                <c:pt idx="64">
                  <c:v>2.6839311391008489E-4</c:v>
                </c:pt>
                <c:pt idx="65">
                  <c:v>2.6702992571246947E-4</c:v>
                </c:pt>
                <c:pt idx="66">
                  <c:v>2.6551487628704391E-4</c:v>
                </c:pt>
                <c:pt idx="67">
                  <c:v>2.6424154621738401E-4</c:v>
                </c:pt>
                <c:pt idx="68">
                  <c:v>2.6240748906921995E-4</c:v>
                </c:pt>
                <c:pt idx="69">
                  <c:v>2.6034456749069774E-4</c:v>
                </c:pt>
                <c:pt idx="70">
                  <c:v>2.5840844123095142E-4</c:v>
                </c:pt>
                <c:pt idx="71">
                  <c:v>2.5700664649089375E-4</c:v>
                </c:pt>
                <c:pt idx="72">
                  <c:v>2.5476579681210323E-4</c:v>
                </c:pt>
                <c:pt idx="73">
                  <c:v>2.5206199887032368E-4</c:v>
                </c:pt>
                <c:pt idx="74">
                  <c:v>2.4965803105920532E-4</c:v>
                </c:pt>
                <c:pt idx="75">
                  <c:v>2.4698969761118982E-4</c:v>
                </c:pt>
                <c:pt idx="76">
                  <c:v>2.4455053264947065E-4</c:v>
                </c:pt>
                <c:pt idx="77">
                  <c:v>2.4172421850996619E-4</c:v>
                </c:pt>
                <c:pt idx="78">
                  <c:v>2.3907470072674869E-4</c:v>
                </c:pt>
                <c:pt idx="79">
                  <c:v>2.3629391548746659E-4</c:v>
                </c:pt>
                <c:pt idx="80">
                  <c:v>2.3345248369742582E-4</c:v>
                </c:pt>
                <c:pt idx="81">
                  <c:v>2.3029038901174314E-4</c:v>
                </c:pt>
                <c:pt idx="82">
                  <c:v>2.275294398983538E-4</c:v>
                </c:pt>
                <c:pt idx="83">
                  <c:v>2.2372581692711914E-4</c:v>
                </c:pt>
                <c:pt idx="84">
                  <c:v>2.205495273889309E-4</c:v>
                </c:pt>
                <c:pt idx="85">
                  <c:v>2.1731069824523346E-4</c:v>
                </c:pt>
                <c:pt idx="86">
                  <c:v>2.1427458822845195E-4</c:v>
                </c:pt>
                <c:pt idx="87">
                  <c:v>2.117291540041165E-4</c:v>
                </c:pt>
                <c:pt idx="88">
                  <c:v>2.0696567135609166E-4</c:v>
                </c:pt>
                <c:pt idx="89">
                  <c:v>2.0375891622541079E-4</c:v>
                </c:pt>
                <c:pt idx="90">
                  <c:v>2.0006918615681223E-4</c:v>
                </c:pt>
                <c:pt idx="91">
                  <c:v>1.9694699831458793E-4</c:v>
                </c:pt>
                <c:pt idx="92">
                  <c:v>1.9409494325783774E-4</c:v>
                </c:pt>
                <c:pt idx="93">
                  <c:v>1.8957435625446514E-4</c:v>
                </c:pt>
                <c:pt idx="94">
                  <c:v>1.8621790336676225E-4</c:v>
                </c:pt>
                <c:pt idx="95">
                  <c:v>1.8123850079296169E-4</c:v>
                </c:pt>
                <c:pt idx="96">
                  <c:v>1.7880089446380013E-4</c:v>
                </c:pt>
                <c:pt idx="97">
                  <c:v>1.7463190340321011E-4</c:v>
                </c:pt>
                <c:pt idx="98">
                  <c:v>1.7193557617558734E-4</c:v>
                </c:pt>
                <c:pt idx="99">
                  <c:v>1.6782057149681689E-4</c:v>
                </c:pt>
                <c:pt idx="100">
                  <c:v>1.627140090110182E-4</c:v>
                </c:pt>
                <c:pt idx="101">
                  <c:v>1.6030894521682366E-4</c:v>
                </c:pt>
                <c:pt idx="102">
                  <c:v>1.5767233196272267E-4</c:v>
                </c:pt>
                <c:pt idx="103">
                  <c:v>1.538312664526698E-4</c:v>
                </c:pt>
                <c:pt idx="104">
                  <c:v>1.5024967820102112E-4</c:v>
                </c:pt>
                <c:pt idx="105">
                  <c:v>1.4668593133321543E-4</c:v>
                </c:pt>
                <c:pt idx="106">
                  <c:v>1.4299296784644705E-4</c:v>
                </c:pt>
                <c:pt idx="107">
                  <c:v>1.3942927062524985E-4</c:v>
                </c:pt>
                <c:pt idx="108">
                  <c:v>1.3628130981135675E-4</c:v>
                </c:pt>
                <c:pt idx="109">
                  <c:v>1.3467184663040527E-4</c:v>
                </c:pt>
                <c:pt idx="110">
                  <c:v>1.3058248682418954E-4</c:v>
                </c:pt>
                <c:pt idx="111">
                  <c:v>1.2927107012408086E-4</c:v>
                </c:pt>
                <c:pt idx="112">
                  <c:v>1.2602706335765329E-4</c:v>
                </c:pt>
                <c:pt idx="113">
                  <c:v>1.2441946762140003E-4</c:v>
                </c:pt>
                <c:pt idx="114">
                  <c:v>1.222998608739264E-4</c:v>
                </c:pt>
                <c:pt idx="115">
                  <c:v>1.1965023949277648E-4</c:v>
                </c:pt>
                <c:pt idx="116">
                  <c:v>1.1112609818016915E-4</c:v>
                </c:pt>
                <c:pt idx="117">
                  <c:v>1.1540240233660037E-4</c:v>
                </c:pt>
                <c:pt idx="118">
                  <c:v>1.0896483183988476E-4</c:v>
                </c:pt>
                <c:pt idx="119">
                  <c:v>1.083001282999514E-4</c:v>
                </c:pt>
                <c:pt idx="120">
                  <c:v>1.0877938867782529E-4</c:v>
                </c:pt>
                <c:pt idx="121">
                  <c:v>1.0527768883043544E-4</c:v>
                </c:pt>
                <c:pt idx="122">
                  <c:v>1.0978814472760205E-4</c:v>
                </c:pt>
                <c:pt idx="123">
                  <c:v>0</c:v>
                </c:pt>
                <c:pt idx="124">
                  <c:v>0</c:v>
                </c:pt>
              </c:numCache>
            </c:numRef>
          </c:yVal>
          <c:smooth val="0"/>
        </c:ser>
        <c:ser>
          <c:idx val="7"/>
          <c:order val="7"/>
          <c:tx>
            <c:strRef>
              <c:f>Plots!$N$1</c:f>
              <c:strCache>
                <c:ptCount val="1"/>
                <c:pt idx="0">
                  <c:v>125</c:v>
                </c:pt>
              </c:strCache>
            </c:strRef>
          </c:tx>
          <c:spPr>
            <a:ln w="28575">
              <a:noFill/>
            </a:ln>
          </c:spPr>
          <c:marker>
            <c:symbol val="diamond"/>
            <c:size val="7"/>
            <c:spPr>
              <a:solidFill>
                <a:srgbClr val="FFFF00"/>
              </a:solidFill>
              <a:ln>
                <a:noFill/>
              </a:ln>
            </c:spPr>
          </c:marker>
          <c:xVal>
            <c:numRef>
              <c:f>Plots!$N$3:$N$127</c:f>
              <c:numCache>
                <c:formatCode>General</c:formatCode>
                <c:ptCount val="125"/>
                <c:pt idx="0">
                  <c:v>9839902754440024</c:v>
                </c:pt>
                <c:pt idx="1">
                  <c:v>4.0262920718919768E+16</c:v>
                </c:pt>
                <c:pt idx="2">
                  <c:v>5.8526210866575216E+16</c:v>
                </c:pt>
                <c:pt idx="3">
                  <c:v>6.4627191825150528E+16</c:v>
                </c:pt>
                <c:pt idx="4">
                  <c:v>6.4560171970736312E+16</c:v>
                </c:pt>
                <c:pt idx="5">
                  <c:v>6.30943452456366E+16</c:v>
                </c:pt>
                <c:pt idx="6">
                  <c:v>6.1334575317394376E+16</c:v>
                </c:pt>
                <c:pt idx="7">
                  <c:v>5.9554060266134528E+16</c:v>
                </c:pt>
                <c:pt idx="8">
                  <c:v>5.7775316111643512E+16</c:v>
                </c:pt>
                <c:pt idx="9">
                  <c:v>5.6019706330580376E+16</c:v>
                </c:pt>
                <c:pt idx="10">
                  <c:v>5.425738286812428E+16</c:v>
                </c:pt>
                <c:pt idx="11">
                  <c:v>5.2526280571823784E+16</c:v>
                </c:pt>
                <c:pt idx="12">
                  <c:v>5.0820878884238848E+16</c:v>
                </c:pt>
                <c:pt idx="13">
                  <c:v>4.9161492359661616E+16</c:v>
                </c:pt>
                <c:pt idx="14">
                  <c:v>4.7552029277352704E+16</c:v>
                </c:pt>
                <c:pt idx="15">
                  <c:v>4.5975527283196752E+16</c:v>
                </c:pt>
                <c:pt idx="16">
                  <c:v>4.444427999141096E+16</c:v>
                </c:pt>
                <c:pt idx="17">
                  <c:v>4.2950992390620832E+16</c:v>
                </c:pt>
                <c:pt idx="18">
                  <c:v>4.149421708334868E+16</c:v>
                </c:pt>
                <c:pt idx="19">
                  <c:v>4.0075710543566448E+16</c:v>
                </c:pt>
                <c:pt idx="20">
                  <c:v>3.8689578076974992E+16</c:v>
                </c:pt>
                <c:pt idx="21">
                  <c:v>3.7348858063468944E+16</c:v>
                </c:pt>
                <c:pt idx="22">
                  <c:v>3.6047684522345104E+16</c:v>
                </c:pt>
                <c:pt idx="23">
                  <c:v>3.478519908811246E+16</c:v>
                </c:pt>
                <c:pt idx="24">
                  <c:v>3.3561196403134784E+16</c:v>
                </c:pt>
                <c:pt idx="25">
                  <c:v>3.23600353718311E+16</c:v>
                </c:pt>
                <c:pt idx="26">
                  <c:v>3.11904615523344E+16</c:v>
                </c:pt>
                <c:pt idx="27">
                  <c:v>3.0068492270840868E+16</c:v>
                </c:pt>
                <c:pt idx="28">
                  <c:v>2.8978953421522032E+16</c:v>
                </c:pt>
                <c:pt idx="29">
                  <c:v>2.7911600035684596E+16</c:v>
                </c:pt>
                <c:pt idx="30">
                  <c:v>2.6883564046267444E+16</c:v>
                </c:pt>
                <c:pt idx="31">
                  <c:v>2.588091019929958E+16</c:v>
                </c:pt>
                <c:pt idx="32">
                  <c:v>2.4907536010543592E+16</c:v>
                </c:pt>
                <c:pt idx="33">
                  <c:v>2.3959979537058224E+16</c:v>
                </c:pt>
                <c:pt idx="34">
                  <c:v>2.3042896129323836E+16</c:v>
                </c:pt>
                <c:pt idx="35">
                  <c:v>2.2154822311618924E+16</c:v>
                </c:pt>
                <c:pt idx="36">
                  <c:v>2.1290836730820316E+16</c:v>
                </c:pt>
                <c:pt idx="37">
                  <c:v>2.0446743964080296E+16</c:v>
                </c:pt>
                <c:pt idx="38">
                  <c:v>1.9632402852387704E+16</c:v>
                </c:pt>
                <c:pt idx="39">
                  <c:v>1.8845308118233276E+16</c:v>
                </c:pt>
                <c:pt idx="40">
                  <c:v>1.807464324828394E+16</c:v>
                </c:pt>
                <c:pt idx="41">
                  <c:v>1.7337204831472858E+16</c:v>
                </c:pt>
                <c:pt idx="42">
                  <c:v>1.6626727853719736E+16</c:v>
                </c:pt>
                <c:pt idx="43">
                  <c:v>1.5933717625818428E+16</c:v>
                </c:pt>
                <c:pt idx="44">
                  <c:v>1.5260641874179846E+16</c:v>
                </c:pt>
                <c:pt idx="45">
                  <c:v>1.4616125671801656E+16</c:v>
                </c:pt>
                <c:pt idx="46">
                  <c:v>1.3987759713961266E+16</c:v>
                </c:pt>
                <c:pt idx="47">
                  <c:v>1.3375417275216092E+16</c:v>
                </c:pt>
                <c:pt idx="48">
                  <c:v>1.2788245463681084E+16</c:v>
                </c:pt>
                <c:pt idx="49">
                  <c:v>1.2230832376005364E+16</c:v>
                </c:pt>
                <c:pt idx="50">
                  <c:v>1.1686728463031722E+16</c:v>
                </c:pt>
                <c:pt idx="51">
                  <c:v>1.1161185814304262E+16</c:v>
                </c:pt>
                <c:pt idx="52">
                  <c:v>1.0656691406336982E+16</c:v>
                </c:pt>
                <c:pt idx="53">
                  <c:v>1.016190555702632E+16</c:v>
                </c:pt>
                <c:pt idx="54">
                  <c:v>9687353699876552</c:v>
                </c:pt>
                <c:pt idx="55">
                  <c:v>9232173123151332</c:v>
                </c:pt>
                <c:pt idx="56">
                  <c:v>8800564418456446</c:v>
                </c:pt>
                <c:pt idx="57">
                  <c:v>8374481668879724</c:v>
                </c:pt>
                <c:pt idx="58">
                  <c:v>7967740613258659</c:v>
                </c:pt>
                <c:pt idx="59">
                  <c:v>7579394661019916</c:v>
                </c:pt>
                <c:pt idx="60">
                  <c:v>7203381654263685</c:v>
                </c:pt>
                <c:pt idx="61">
                  <c:v>6835905166254409</c:v>
                </c:pt>
                <c:pt idx="62">
                  <c:v>6496338349434552</c:v>
                </c:pt>
                <c:pt idx="63">
                  <c:v>6163472527067155</c:v>
                </c:pt>
                <c:pt idx="64">
                  <c:v>5842347598356892</c:v>
                </c:pt>
                <c:pt idx="65">
                  <c:v>5536469659420755</c:v>
                </c:pt>
                <c:pt idx="66">
                  <c:v>5242227886505359</c:v>
                </c:pt>
                <c:pt idx="67">
                  <c:v>4969626375051176</c:v>
                </c:pt>
                <c:pt idx="68">
                  <c:v>4700795116888668</c:v>
                </c:pt>
                <c:pt idx="69">
                  <c:v>4443518782581567.5</c:v>
                </c:pt>
                <c:pt idx="70">
                  <c:v>4196971274592455</c:v>
                </c:pt>
                <c:pt idx="71">
                  <c:v>3962176159533566</c:v>
                </c:pt>
                <c:pt idx="72">
                  <c:v>3740650636584304</c:v>
                </c:pt>
                <c:pt idx="73">
                  <c:v>3527642568617999.5</c:v>
                </c:pt>
                <c:pt idx="74">
                  <c:v>3326325954311367.5</c:v>
                </c:pt>
                <c:pt idx="75">
                  <c:v>3129757579138753.5</c:v>
                </c:pt>
                <c:pt idx="76">
                  <c:v>2945969361950936.5</c:v>
                </c:pt>
                <c:pt idx="77">
                  <c:v>2771664949872070</c:v>
                </c:pt>
                <c:pt idx="78">
                  <c:v>2602256641771103</c:v>
                </c:pt>
                <c:pt idx="79">
                  <c:v>2443030497109340.5</c:v>
                </c:pt>
                <c:pt idx="80">
                  <c:v>2290693544753859</c:v>
                </c:pt>
                <c:pt idx="81">
                  <c:v>2144664276417350.7</c:v>
                </c:pt>
                <c:pt idx="82">
                  <c:v>2012292093309934.5</c:v>
                </c:pt>
                <c:pt idx="83">
                  <c:v>1881666701285589.2</c:v>
                </c:pt>
                <c:pt idx="84">
                  <c:v>1759777004786697.7</c:v>
                </c:pt>
                <c:pt idx="85">
                  <c:v>1649871005710614.7</c:v>
                </c:pt>
                <c:pt idx="86">
                  <c:v>1539578043062461.5</c:v>
                </c:pt>
                <c:pt idx="87">
                  <c:v>1438482569901734.5</c:v>
                </c:pt>
                <c:pt idx="88">
                  <c:v>1339386488910274.5</c:v>
                </c:pt>
                <c:pt idx="89">
                  <c:v>1241819929045025</c:v>
                </c:pt>
                <c:pt idx="90">
                  <c:v>1155428667539370.5</c:v>
                </c:pt>
                <c:pt idx="91">
                  <c:v>1078868168121917.2</c:v>
                </c:pt>
                <c:pt idx="92">
                  <c:v>1006130113492819.1</c:v>
                </c:pt>
                <c:pt idx="93">
                  <c:v>929581584854577.12</c:v>
                </c:pt>
                <c:pt idx="94">
                  <c:v>860999325535406.12</c:v>
                </c:pt>
                <c:pt idx="95">
                  <c:v>799532023899708</c:v>
                </c:pt>
                <c:pt idx="96">
                  <c:v>741358447867605</c:v>
                </c:pt>
                <c:pt idx="97">
                  <c:v>682788114441495.87</c:v>
                </c:pt>
                <c:pt idx="98">
                  <c:v>632572223173929.25</c:v>
                </c:pt>
                <c:pt idx="99">
                  <c:v>584248844353868.62</c:v>
                </c:pt>
                <c:pt idx="100">
                  <c:v>535203765227918.87</c:v>
                </c:pt>
                <c:pt idx="101">
                  <c:v>496549364193662.31</c:v>
                </c:pt>
                <c:pt idx="102">
                  <c:v>457051882257697.19</c:v>
                </c:pt>
                <c:pt idx="103">
                  <c:v>426743820424064.87</c:v>
                </c:pt>
                <c:pt idx="104">
                  <c:v>387752507433427.25</c:v>
                </c:pt>
                <c:pt idx="105">
                  <c:v>360713895926452.12</c:v>
                </c:pt>
                <c:pt idx="106">
                  <c:v>329333425386568.31</c:v>
                </c:pt>
                <c:pt idx="107">
                  <c:v>303008920727814.75</c:v>
                </c:pt>
                <c:pt idx="108">
                  <c:v>278649661168574.47</c:v>
                </c:pt>
                <c:pt idx="109">
                  <c:v>258926011991882.97</c:v>
                </c:pt>
                <c:pt idx="110">
                  <c:v>240309133720496.25</c:v>
                </c:pt>
                <c:pt idx="111">
                  <c:v>218893451263379.59</c:v>
                </c:pt>
                <c:pt idx="112">
                  <c:v>201846987236450.81</c:v>
                </c:pt>
                <c:pt idx="113">
                  <c:v>185309889797978.72</c:v>
                </c:pt>
                <c:pt idx="114">
                  <c:v>173818710748954.59</c:v>
                </c:pt>
                <c:pt idx="115">
                  <c:v>156029059634864.5</c:v>
                </c:pt>
                <c:pt idx="116">
                  <c:v>149036534206730.69</c:v>
                </c:pt>
                <c:pt idx="117">
                  <c:v>132602570477704.83</c:v>
                </c:pt>
                <c:pt idx="118">
                  <c:v>123164113392830</c:v>
                </c:pt>
                <c:pt idx="119">
                  <c:v>112308005275797.98</c:v>
                </c:pt>
                <c:pt idx="120">
                  <c:v>102197301618413.5</c:v>
                </c:pt>
                <c:pt idx="121">
                  <c:v>99155401485251.469</c:v>
                </c:pt>
                <c:pt idx="122">
                  <c:v>86653438941655.359</c:v>
                </c:pt>
                <c:pt idx="123">
                  <c:v>81509355674994.437</c:v>
                </c:pt>
                <c:pt idx="124">
                  <c:v>77199949641044.969</c:v>
                </c:pt>
              </c:numCache>
            </c:numRef>
          </c:xVal>
          <c:yVal>
            <c:numRef>
              <c:f>Plots!$O$3:$O$127</c:f>
              <c:numCache>
                <c:formatCode>General</c:formatCode>
                <c:ptCount val="125"/>
                <c:pt idx="0">
                  <c:v>0</c:v>
                </c:pt>
                <c:pt idx="1">
                  <c:v>0</c:v>
                </c:pt>
                <c:pt idx="2">
                  <c:v>1.746111478515189E-4</c:v>
                </c:pt>
                <c:pt idx="3">
                  <c:v>1.4888047291240422E-4</c:v>
                </c:pt>
                <c:pt idx="4">
                  <c:v>1.369573132040798E-4</c:v>
                </c:pt>
                <c:pt idx="5">
                  <c:v>1.3492595831258466E-4</c:v>
                </c:pt>
                <c:pt idx="6">
                  <c:v>1.3750987971580011E-4</c:v>
                </c:pt>
                <c:pt idx="7">
                  <c:v>1.4105625327316354E-4</c:v>
                </c:pt>
                <c:pt idx="8">
                  <c:v>1.4470170108092501E-4</c:v>
                </c:pt>
                <c:pt idx="9">
                  <c:v>1.4852034468123982E-4</c:v>
                </c:pt>
                <c:pt idx="10">
                  <c:v>1.5229781892740828E-4</c:v>
                </c:pt>
                <c:pt idx="11">
                  <c:v>1.5617778915913221E-4</c:v>
                </c:pt>
                <c:pt idx="12">
                  <c:v>1.6009576402556752E-4</c:v>
                </c:pt>
                <c:pt idx="13">
                  <c:v>1.6398150792525746E-4</c:v>
                </c:pt>
                <c:pt idx="14">
                  <c:v>1.678884377234342E-4</c:v>
                </c:pt>
                <c:pt idx="15">
                  <c:v>1.7176634887524779E-4</c:v>
                </c:pt>
                <c:pt idx="16">
                  <c:v>1.7564247111624787E-4</c:v>
                </c:pt>
                <c:pt idx="17">
                  <c:v>1.7952967878731148E-4</c:v>
                </c:pt>
                <c:pt idx="18">
                  <c:v>1.8341725160424648E-4</c:v>
                </c:pt>
                <c:pt idx="19">
                  <c:v>1.8723586496881408E-4</c:v>
                </c:pt>
                <c:pt idx="20">
                  <c:v>1.9101333825688731E-4</c:v>
                </c:pt>
                <c:pt idx="21">
                  <c:v>1.9479098113166945E-4</c:v>
                </c:pt>
                <c:pt idx="22">
                  <c:v>1.9858332085972928E-4</c:v>
                </c:pt>
                <c:pt idx="23">
                  <c:v>2.0232401559067256E-4</c:v>
                </c:pt>
                <c:pt idx="24">
                  <c:v>2.0595333054676003E-4</c:v>
                </c:pt>
                <c:pt idx="25">
                  <c:v>2.0945811785951865E-4</c:v>
                </c:pt>
                <c:pt idx="26">
                  <c:v>2.1284804060617179E-4</c:v>
                </c:pt>
                <c:pt idx="27">
                  <c:v>2.1638439146857597E-4</c:v>
                </c:pt>
                <c:pt idx="28">
                  <c:v>2.2013916165184165E-4</c:v>
                </c:pt>
                <c:pt idx="29">
                  <c:v>2.2335875653052266E-4</c:v>
                </c:pt>
                <c:pt idx="30">
                  <c:v>2.2654997725590862E-4</c:v>
                </c:pt>
                <c:pt idx="31">
                  <c:v>2.2954819412498561E-4</c:v>
                </c:pt>
                <c:pt idx="32">
                  <c:v>2.3247502403307102E-4</c:v>
                </c:pt>
                <c:pt idx="33">
                  <c:v>2.352549395364165E-4</c:v>
                </c:pt>
                <c:pt idx="34">
                  <c:v>2.3798682102626798E-4</c:v>
                </c:pt>
                <c:pt idx="35">
                  <c:v>2.4058977112020806E-4</c:v>
                </c:pt>
                <c:pt idx="36">
                  <c:v>2.4301502494390105E-4</c:v>
                </c:pt>
                <c:pt idx="37">
                  <c:v>2.4516250190408318E-4</c:v>
                </c:pt>
                <c:pt idx="38">
                  <c:v>2.4741479269364158E-4</c:v>
                </c:pt>
                <c:pt idx="39">
                  <c:v>2.4954325104667587E-4</c:v>
                </c:pt>
                <c:pt idx="40">
                  <c:v>2.5149145394924219E-4</c:v>
                </c:pt>
                <c:pt idx="41">
                  <c:v>2.534115695653461E-4</c:v>
                </c:pt>
                <c:pt idx="42">
                  <c:v>2.5519553466654042E-4</c:v>
                </c:pt>
                <c:pt idx="43">
                  <c:v>2.5668810874373904E-4</c:v>
                </c:pt>
                <c:pt idx="44">
                  <c:v>2.5793815673806256E-4</c:v>
                </c:pt>
                <c:pt idx="45">
                  <c:v>2.5903150605780304E-4</c:v>
                </c:pt>
                <c:pt idx="46">
                  <c:v>2.6012921029512035E-4</c:v>
                </c:pt>
                <c:pt idx="47">
                  <c:v>2.6108783624808024E-4</c:v>
                </c:pt>
                <c:pt idx="48">
                  <c:v>2.6187447158181721E-4</c:v>
                </c:pt>
                <c:pt idx="49">
                  <c:v>2.6274406067453411E-4</c:v>
                </c:pt>
                <c:pt idx="50">
                  <c:v>2.6330829914733057E-4</c:v>
                </c:pt>
                <c:pt idx="51">
                  <c:v>2.6336647758294445E-4</c:v>
                </c:pt>
                <c:pt idx="52">
                  <c:v>2.6356980529860049E-4</c:v>
                </c:pt>
                <c:pt idx="53">
                  <c:v>2.6334674610050378E-4</c:v>
                </c:pt>
                <c:pt idx="54">
                  <c:v>2.6320304410722449E-4</c:v>
                </c:pt>
                <c:pt idx="55">
                  <c:v>2.6287454963318458E-4</c:v>
                </c:pt>
                <c:pt idx="56">
                  <c:v>2.6266289672476225E-4</c:v>
                </c:pt>
                <c:pt idx="57">
                  <c:v>2.6194795144866227E-4</c:v>
                </c:pt>
                <c:pt idx="58">
                  <c:v>2.6150741649099693E-4</c:v>
                </c:pt>
                <c:pt idx="59">
                  <c:v>2.6066564689167557E-4</c:v>
                </c:pt>
                <c:pt idx="60">
                  <c:v>2.5969373554661675E-4</c:v>
                </c:pt>
                <c:pt idx="61">
                  <c:v>2.5883113380206996E-4</c:v>
                </c:pt>
                <c:pt idx="62">
                  <c:v>2.5798846769144927E-4</c:v>
                </c:pt>
                <c:pt idx="63">
                  <c:v>2.5659524831868254E-4</c:v>
                </c:pt>
                <c:pt idx="64">
                  <c:v>2.5467787588732759E-4</c:v>
                </c:pt>
                <c:pt idx="65">
                  <c:v>2.5318268936565252E-4</c:v>
                </c:pt>
                <c:pt idx="66">
                  <c:v>2.5149025154993062E-4</c:v>
                </c:pt>
                <c:pt idx="67">
                  <c:v>2.4993677045356897E-4</c:v>
                </c:pt>
                <c:pt idx="68">
                  <c:v>2.4808680039423235E-4</c:v>
                </c:pt>
                <c:pt idx="69">
                  <c:v>2.4572827329546651E-4</c:v>
                </c:pt>
                <c:pt idx="70">
                  <c:v>2.4342643739018718E-4</c:v>
                </c:pt>
                <c:pt idx="71">
                  <c:v>2.4118796917020006E-4</c:v>
                </c:pt>
                <c:pt idx="72">
                  <c:v>2.388354065852543E-4</c:v>
                </c:pt>
                <c:pt idx="73">
                  <c:v>2.3619854499243201E-4</c:v>
                </c:pt>
                <c:pt idx="74">
                  <c:v>2.338186887536229E-4</c:v>
                </c:pt>
                <c:pt idx="75">
                  <c:v>2.3075962924151789E-4</c:v>
                </c:pt>
                <c:pt idx="76">
                  <c:v>2.2824671272891314E-4</c:v>
                </c:pt>
                <c:pt idx="77">
                  <c:v>2.2556826780678767E-4</c:v>
                </c:pt>
                <c:pt idx="78">
                  <c:v>2.2228222224400182E-4</c:v>
                </c:pt>
                <c:pt idx="79">
                  <c:v>2.1900976496872342E-4</c:v>
                </c:pt>
                <c:pt idx="80">
                  <c:v>2.1585117308315228E-4</c:v>
                </c:pt>
                <c:pt idx="81">
                  <c:v>2.1191841183168723E-4</c:v>
                </c:pt>
                <c:pt idx="82">
                  <c:v>2.0921923787887962E-4</c:v>
                </c:pt>
                <c:pt idx="83">
                  <c:v>2.0584360183712846E-4</c:v>
                </c:pt>
                <c:pt idx="84">
                  <c:v>2.0245168955515614E-4</c:v>
                </c:pt>
                <c:pt idx="85">
                  <c:v>1.9964634373028365E-4</c:v>
                </c:pt>
                <c:pt idx="86">
                  <c:v>1.9594288949488942E-4</c:v>
                </c:pt>
                <c:pt idx="87">
                  <c:v>1.9257078676554221E-4</c:v>
                </c:pt>
                <c:pt idx="88">
                  <c:v>1.8855475820470663E-4</c:v>
                </c:pt>
                <c:pt idx="89">
                  <c:v>1.8450867462516942E-4</c:v>
                </c:pt>
                <c:pt idx="90">
                  <c:v>1.815563151458453E-4</c:v>
                </c:pt>
                <c:pt idx="91">
                  <c:v>1.7863048354944483E-4</c:v>
                </c:pt>
                <c:pt idx="92">
                  <c:v>1.7547296325589299E-4</c:v>
                </c:pt>
                <c:pt idx="93">
                  <c:v>1.7094887432477911E-4</c:v>
                </c:pt>
                <c:pt idx="94">
                  <c:v>1.6737099510019023E-4</c:v>
                </c:pt>
                <c:pt idx="95">
                  <c:v>1.6356816871243958E-4</c:v>
                </c:pt>
                <c:pt idx="96">
                  <c:v>1.6092468959185411E-4</c:v>
                </c:pt>
                <c:pt idx="97">
                  <c:v>1.5614208569769998E-4</c:v>
                </c:pt>
                <c:pt idx="98">
                  <c:v>1.5319813419626375E-4</c:v>
                </c:pt>
                <c:pt idx="99">
                  <c:v>1.4942314181121206E-4</c:v>
                </c:pt>
                <c:pt idx="100">
                  <c:v>1.4464675832395212E-4</c:v>
                </c:pt>
                <c:pt idx="101">
                  <c:v>1.4210578591816839E-4</c:v>
                </c:pt>
                <c:pt idx="102">
                  <c:v>1.3849747432555901E-4</c:v>
                </c:pt>
                <c:pt idx="103">
                  <c:v>1.3818551930724985E-4</c:v>
                </c:pt>
                <c:pt idx="104">
                  <c:v>1.3240431182347782E-4</c:v>
                </c:pt>
                <c:pt idx="105">
                  <c:v>1.3034333795482149E-4</c:v>
                </c:pt>
                <c:pt idx="106">
                  <c:v>1.2638439107164171E-4</c:v>
                </c:pt>
                <c:pt idx="107">
                  <c:v>1.2429493190856369E-4</c:v>
                </c:pt>
                <c:pt idx="108">
                  <c:v>1.2096811256367362E-4</c:v>
                </c:pt>
                <c:pt idx="109">
                  <c:v>1.198201542871012E-4</c:v>
                </c:pt>
                <c:pt idx="110">
                  <c:v>1.1777540523963669E-4</c:v>
                </c:pt>
                <c:pt idx="111">
                  <c:v>1.1417994634801379E-4</c:v>
                </c:pt>
                <c:pt idx="112">
                  <c:v>1.1293770970532475E-4</c:v>
                </c:pt>
                <c:pt idx="113">
                  <c:v>1.0974885275118245E-4</c:v>
                </c:pt>
                <c:pt idx="114">
                  <c:v>1.098626821508131E-4</c:v>
                </c:pt>
                <c:pt idx="115">
                  <c:v>1.0488451316464528E-4</c:v>
                </c:pt>
                <c:pt idx="116">
                  <c:v>1.066240353199905E-4</c:v>
                </c:pt>
                <c:pt idx="117">
                  <c:v>1.0184864708290963E-4</c:v>
                </c:pt>
                <c:pt idx="118">
                  <c:v>1.0052680456125843E-4</c:v>
                </c:pt>
                <c:pt idx="119">
                  <c:v>9.9372741816099931E-5</c:v>
                </c:pt>
                <c:pt idx="120">
                  <c:v>9.5613337018804446E-5</c:v>
                </c:pt>
                <c:pt idx="121">
                  <c:v>1.0093111959788897E-4</c:v>
                </c:pt>
                <c:pt idx="122">
                  <c:v>9.4640363814540982E-5</c:v>
                </c:pt>
                <c:pt idx="123">
                  <c:v>0</c:v>
                </c:pt>
                <c:pt idx="124">
                  <c:v>0</c:v>
                </c:pt>
              </c:numCache>
            </c:numRef>
          </c:yVal>
          <c:smooth val="0"/>
        </c:ser>
        <c:ser>
          <c:idx val="8"/>
          <c:order val="8"/>
          <c:tx>
            <c:strRef>
              <c:f>Plots!$P$1</c:f>
              <c:strCache>
                <c:ptCount val="1"/>
                <c:pt idx="0">
                  <c:v>115</c:v>
                </c:pt>
              </c:strCache>
            </c:strRef>
          </c:tx>
          <c:spPr>
            <a:ln w="28575">
              <a:noFill/>
            </a:ln>
          </c:spPr>
          <c:marker>
            <c:symbol val="diamond"/>
            <c:size val="7"/>
            <c:spPr>
              <a:solidFill>
                <a:schemeClr val="accent3">
                  <a:lumMod val="60000"/>
                  <a:lumOff val="40000"/>
                </a:schemeClr>
              </a:solidFill>
              <a:ln>
                <a:noFill/>
              </a:ln>
            </c:spPr>
          </c:marker>
          <c:xVal>
            <c:numRef>
              <c:f>Plots!$P$3:$P$127</c:f>
              <c:numCache>
                <c:formatCode>General</c:formatCode>
                <c:ptCount val="125"/>
                <c:pt idx="0">
                  <c:v>9577283543652926</c:v>
                </c:pt>
                <c:pt idx="1">
                  <c:v>3.905048299004908E+16</c:v>
                </c:pt>
                <c:pt idx="2">
                  <c:v>5.7922508761938496E+16</c:v>
                </c:pt>
                <c:pt idx="3">
                  <c:v>6.4414806567320304E+16</c:v>
                </c:pt>
                <c:pt idx="4">
                  <c:v>6.4274796318021552E+16</c:v>
                </c:pt>
                <c:pt idx="5">
                  <c:v>6.2726404276710392E+16</c:v>
                </c:pt>
                <c:pt idx="6">
                  <c:v>6.0926167300331552E+16</c:v>
                </c:pt>
                <c:pt idx="7">
                  <c:v>5.9108898693962088E+16</c:v>
                </c:pt>
                <c:pt idx="8">
                  <c:v>5.7263155351492456E+16</c:v>
                </c:pt>
                <c:pt idx="9">
                  <c:v>5.5432495101590352E+16</c:v>
                </c:pt>
                <c:pt idx="10">
                  <c:v>5.364623065681576E+16</c:v>
                </c:pt>
                <c:pt idx="11">
                  <c:v>5.1896171294121904E+16</c:v>
                </c:pt>
                <c:pt idx="12">
                  <c:v>5.0177119854007048E+16</c:v>
                </c:pt>
                <c:pt idx="13">
                  <c:v>4.8516378432693544E+16</c:v>
                </c:pt>
                <c:pt idx="14">
                  <c:v>4.6911111970010616E+16</c:v>
                </c:pt>
                <c:pt idx="15">
                  <c:v>4.5341575467463496E+16</c:v>
                </c:pt>
                <c:pt idx="16">
                  <c:v>4.3810239373459544E+16</c:v>
                </c:pt>
                <c:pt idx="17">
                  <c:v>4.2303146385733232E+16</c:v>
                </c:pt>
                <c:pt idx="18">
                  <c:v>4.0847963605267368E+16</c:v>
                </c:pt>
                <c:pt idx="19">
                  <c:v>3.9424596822811976E+16</c:v>
                </c:pt>
                <c:pt idx="20">
                  <c:v>3.803817072249744E+16</c:v>
                </c:pt>
                <c:pt idx="21">
                  <c:v>3.6693562302528952E+16</c:v>
                </c:pt>
                <c:pt idx="22">
                  <c:v>3.5390751425019824E+16</c:v>
                </c:pt>
                <c:pt idx="23">
                  <c:v>3.4116176275937216E+16</c:v>
                </c:pt>
                <c:pt idx="24">
                  <c:v>3.2891060076018728E+16</c:v>
                </c:pt>
                <c:pt idx="25">
                  <c:v>3.1685915666873012E+16</c:v>
                </c:pt>
                <c:pt idx="26">
                  <c:v>3.0520411446108292E+16</c:v>
                </c:pt>
                <c:pt idx="27">
                  <c:v>2.9387020783801376E+16</c:v>
                </c:pt>
                <c:pt idx="28">
                  <c:v>2.8295416713280664E+16</c:v>
                </c:pt>
                <c:pt idx="29">
                  <c:v>2.7232085396008456E+16</c:v>
                </c:pt>
                <c:pt idx="30">
                  <c:v>2.6203031929583292E+16</c:v>
                </c:pt>
                <c:pt idx="31">
                  <c:v>2.5203839478240696E+16</c:v>
                </c:pt>
                <c:pt idx="32">
                  <c:v>2.4231377053659372E+16</c:v>
                </c:pt>
                <c:pt idx="33">
                  <c:v>2.3284151716728552E+16</c:v>
                </c:pt>
                <c:pt idx="34">
                  <c:v>2.2374158075167172E+16</c:v>
                </c:pt>
                <c:pt idx="35">
                  <c:v>2.148983556141888E+16</c:v>
                </c:pt>
                <c:pt idx="36">
                  <c:v>2.0629203445610332E+16</c:v>
                </c:pt>
                <c:pt idx="37">
                  <c:v>1.980101040595794E+16</c:v>
                </c:pt>
                <c:pt idx="38">
                  <c:v>1.8988587315345664E+16</c:v>
                </c:pt>
                <c:pt idx="39">
                  <c:v>1.820779408976798E+16</c:v>
                </c:pt>
                <c:pt idx="40">
                  <c:v>1.7449665493880186E+16</c:v>
                </c:pt>
                <c:pt idx="41">
                  <c:v>1.6718660671079364E+16</c:v>
                </c:pt>
                <c:pt idx="42">
                  <c:v>1.6015002373685814E+16</c:v>
                </c:pt>
                <c:pt idx="43">
                  <c:v>1.5337261514770526E+16</c:v>
                </c:pt>
                <c:pt idx="44">
                  <c:v>1.4669520845009688E+16</c:v>
                </c:pt>
                <c:pt idx="45">
                  <c:v>1.403180102365796E+16</c:v>
                </c:pt>
                <c:pt idx="46">
                  <c:v>1.3412899707012986E+16</c:v>
                </c:pt>
                <c:pt idx="47">
                  <c:v>1.2817501602353432E+16</c:v>
                </c:pt>
                <c:pt idx="48">
                  <c:v>1.2242984791007028E+16</c:v>
                </c:pt>
                <c:pt idx="49">
                  <c:v>1.1692586903652098E+16</c:v>
                </c:pt>
                <c:pt idx="50">
                  <c:v>1.1155945273145258E+16</c:v>
                </c:pt>
                <c:pt idx="51">
                  <c:v>1.064316866161955E+16</c:v>
                </c:pt>
                <c:pt idx="52">
                  <c:v>1.0141107827530352E+16</c:v>
                </c:pt>
                <c:pt idx="53">
                  <c:v>9662069290347256</c:v>
                </c:pt>
                <c:pt idx="54">
                  <c:v>9204858609697124</c:v>
                </c:pt>
                <c:pt idx="55">
                  <c:v>8756876532286551</c:v>
                </c:pt>
                <c:pt idx="56">
                  <c:v>8335064493802140</c:v>
                </c:pt>
                <c:pt idx="57">
                  <c:v>7924425613428076</c:v>
                </c:pt>
                <c:pt idx="58">
                  <c:v>7524081054879491</c:v>
                </c:pt>
                <c:pt idx="59">
                  <c:v>7148931420452661</c:v>
                </c:pt>
                <c:pt idx="60">
                  <c:v>6783494242165700</c:v>
                </c:pt>
                <c:pt idx="61">
                  <c:v>6434818552210963</c:v>
                </c:pt>
                <c:pt idx="62">
                  <c:v>6102059635056763</c:v>
                </c:pt>
                <c:pt idx="63">
                  <c:v>5782363474276812</c:v>
                </c:pt>
                <c:pt idx="64">
                  <c:v>5475486357770645</c:v>
                </c:pt>
                <c:pt idx="65">
                  <c:v>5182756117246805</c:v>
                </c:pt>
                <c:pt idx="66">
                  <c:v>4903659265569532</c:v>
                </c:pt>
                <c:pt idx="67">
                  <c:v>4636813740706478</c:v>
                </c:pt>
                <c:pt idx="68">
                  <c:v>4379197399512719.5</c:v>
                </c:pt>
                <c:pt idx="69">
                  <c:v>4133174451731079</c:v>
                </c:pt>
                <c:pt idx="70">
                  <c:v>3901586121380674</c:v>
                </c:pt>
                <c:pt idx="71">
                  <c:v>3674196927408863</c:v>
                </c:pt>
                <c:pt idx="72">
                  <c:v>3465236591868631</c:v>
                </c:pt>
                <c:pt idx="73">
                  <c:v>3262125346738048</c:v>
                </c:pt>
                <c:pt idx="74">
                  <c:v>3068311582831771.5</c:v>
                </c:pt>
                <c:pt idx="75">
                  <c:v>2886545423279900.5</c:v>
                </c:pt>
                <c:pt idx="76">
                  <c:v>2710286969848841</c:v>
                </c:pt>
                <c:pt idx="77">
                  <c:v>2544467132925370.5</c:v>
                </c:pt>
                <c:pt idx="78">
                  <c:v>2384177395150361</c:v>
                </c:pt>
                <c:pt idx="79">
                  <c:v>2235564287908314</c:v>
                </c:pt>
                <c:pt idx="80">
                  <c:v>2093785637320644.2</c:v>
                </c:pt>
                <c:pt idx="81">
                  <c:v>1956750331244574.7</c:v>
                </c:pt>
                <c:pt idx="82">
                  <c:v>1830312991651898.5</c:v>
                </c:pt>
                <c:pt idx="83">
                  <c:v>1711423277053630.7</c:v>
                </c:pt>
                <c:pt idx="84">
                  <c:v>1598389875193661.5</c:v>
                </c:pt>
                <c:pt idx="85">
                  <c:v>1496197128678269</c:v>
                </c:pt>
                <c:pt idx="86">
                  <c:v>1391970091988405</c:v>
                </c:pt>
                <c:pt idx="87">
                  <c:v>1293601806782926</c:v>
                </c:pt>
                <c:pt idx="88">
                  <c:v>1203775686894232</c:v>
                </c:pt>
                <c:pt idx="89">
                  <c:v>1122384395339948</c:v>
                </c:pt>
                <c:pt idx="90">
                  <c:v>1041957117466401.5</c:v>
                </c:pt>
                <c:pt idx="91">
                  <c:v>964283273248500.12</c:v>
                </c:pt>
                <c:pt idx="92">
                  <c:v>896059355342764.25</c:v>
                </c:pt>
                <c:pt idx="93">
                  <c:v>831977765906501.25</c:v>
                </c:pt>
                <c:pt idx="94">
                  <c:v>769179810290415.5</c:v>
                </c:pt>
                <c:pt idx="95">
                  <c:v>710348922339843.12</c:v>
                </c:pt>
                <c:pt idx="96">
                  <c:v>658866906768938.62</c:v>
                </c:pt>
                <c:pt idx="97">
                  <c:v>607811091994379.12</c:v>
                </c:pt>
                <c:pt idx="98">
                  <c:v>562862694360708.56</c:v>
                </c:pt>
                <c:pt idx="99">
                  <c:v>517941497473928.62</c:v>
                </c:pt>
                <c:pt idx="100">
                  <c:v>476046583655845.5</c:v>
                </c:pt>
                <c:pt idx="101">
                  <c:v>440681108135810.87</c:v>
                </c:pt>
                <c:pt idx="102">
                  <c:v>403565336506224.31</c:v>
                </c:pt>
                <c:pt idx="103">
                  <c:v>372332414061496.44</c:v>
                </c:pt>
                <c:pt idx="104">
                  <c:v>345778002539161.69</c:v>
                </c:pt>
                <c:pt idx="105">
                  <c:v>316233376766892</c:v>
                </c:pt>
                <c:pt idx="106">
                  <c:v>289418255305483.12</c:v>
                </c:pt>
                <c:pt idx="107">
                  <c:v>264807158911234.44</c:v>
                </c:pt>
                <c:pt idx="108">
                  <c:v>244792302665386.44</c:v>
                </c:pt>
                <c:pt idx="109">
                  <c:v>226256952353621.22</c:v>
                </c:pt>
                <c:pt idx="110">
                  <c:v>206753910881972.12</c:v>
                </c:pt>
                <c:pt idx="111">
                  <c:v>191027352566161.12</c:v>
                </c:pt>
                <c:pt idx="112">
                  <c:v>176581269970095.37</c:v>
                </c:pt>
                <c:pt idx="113">
                  <c:v>165473509137408.28</c:v>
                </c:pt>
                <c:pt idx="114">
                  <c:v>146231543346344.22</c:v>
                </c:pt>
                <c:pt idx="115">
                  <c:v>134679293633762.62</c:v>
                </c:pt>
                <c:pt idx="116">
                  <c:v>128463207683718.28</c:v>
                </c:pt>
                <c:pt idx="117">
                  <c:v>116319866816096.08</c:v>
                </c:pt>
                <c:pt idx="118">
                  <c:v>108479430742459.11</c:v>
                </c:pt>
                <c:pt idx="119">
                  <c:v>99384566031275.953</c:v>
                </c:pt>
                <c:pt idx="120">
                  <c:v>89086524445992.734</c:v>
                </c:pt>
                <c:pt idx="121">
                  <c:v>84476244322381.141</c:v>
                </c:pt>
                <c:pt idx="122">
                  <c:v>80379952147557.469</c:v>
                </c:pt>
                <c:pt idx="123">
                  <c:v>76378150427163.703</c:v>
                </c:pt>
                <c:pt idx="124">
                  <c:v>70332067576571.797</c:v>
                </c:pt>
              </c:numCache>
            </c:numRef>
          </c:xVal>
          <c:yVal>
            <c:numRef>
              <c:f>Plots!$Q$3:$Q$127</c:f>
              <c:numCache>
                <c:formatCode>General</c:formatCode>
                <c:ptCount val="125"/>
                <c:pt idx="0">
                  <c:v>0</c:v>
                </c:pt>
                <c:pt idx="1">
                  <c:v>0</c:v>
                </c:pt>
                <c:pt idx="2">
                  <c:v>1.7198376299751479E-4</c:v>
                </c:pt>
                <c:pt idx="3">
                  <c:v>1.4776851174012412E-4</c:v>
                </c:pt>
                <c:pt idx="4">
                  <c:v>1.3554090553640123E-4</c:v>
                </c:pt>
                <c:pt idx="5">
                  <c:v>1.3324487519983134E-4</c:v>
                </c:pt>
                <c:pt idx="6">
                  <c:v>1.3581748541866855E-4</c:v>
                </c:pt>
                <c:pt idx="7">
                  <c:v>1.3935705580078977E-4</c:v>
                </c:pt>
                <c:pt idx="8">
                  <c:v>1.4312180450143505E-4</c:v>
                </c:pt>
                <c:pt idx="9">
                  <c:v>1.4683068317264533E-4</c:v>
                </c:pt>
                <c:pt idx="10">
                  <c:v>1.506111454798536E-4</c:v>
                </c:pt>
                <c:pt idx="11">
                  <c:v>1.5443016031152E-4</c:v>
                </c:pt>
                <c:pt idx="12">
                  <c:v>1.5818315560372972E-4</c:v>
                </c:pt>
                <c:pt idx="13">
                  <c:v>1.6191399397582544E-4</c:v>
                </c:pt>
                <c:pt idx="14">
                  <c:v>1.6568384711159809E-4</c:v>
                </c:pt>
                <c:pt idx="15">
                  <c:v>1.6944545234838545E-4</c:v>
                </c:pt>
                <c:pt idx="16">
                  <c:v>1.7318017916178767E-4</c:v>
                </c:pt>
                <c:pt idx="17">
                  <c:v>1.7684773009771641E-4</c:v>
                </c:pt>
                <c:pt idx="18">
                  <c:v>1.8059736517926739E-4</c:v>
                </c:pt>
                <c:pt idx="19">
                  <c:v>1.842571015082004E-4</c:v>
                </c:pt>
                <c:pt idx="20">
                  <c:v>1.8787287895254078E-4</c:v>
                </c:pt>
                <c:pt idx="21">
                  <c:v>1.9144603516100655E-4</c:v>
                </c:pt>
                <c:pt idx="22">
                  <c:v>1.9503286093468632E-4</c:v>
                </c:pt>
                <c:pt idx="23">
                  <c:v>1.9851773448377629E-4</c:v>
                </c:pt>
                <c:pt idx="24">
                  <c:v>2.0197505790086682E-4</c:v>
                </c:pt>
                <c:pt idx="25">
                  <c:v>2.0526189256792038E-4</c:v>
                </c:pt>
                <c:pt idx="26">
                  <c:v>2.0850783287882542E-4</c:v>
                </c:pt>
                <c:pt idx="27">
                  <c:v>2.1178038727172726E-4</c:v>
                </c:pt>
                <c:pt idx="28">
                  <c:v>2.1528511584799543E-4</c:v>
                </c:pt>
                <c:pt idx="29">
                  <c:v>2.1836977439164694E-4</c:v>
                </c:pt>
                <c:pt idx="30">
                  <c:v>2.2128478032764015E-4</c:v>
                </c:pt>
                <c:pt idx="31">
                  <c:v>2.2402001213978428E-4</c:v>
                </c:pt>
                <c:pt idx="32">
                  <c:v>2.2663756191643034E-4</c:v>
                </c:pt>
                <c:pt idx="33">
                  <c:v>2.2920417460538272E-4</c:v>
                </c:pt>
                <c:pt idx="34">
                  <c:v>2.3167067405021854E-4</c:v>
                </c:pt>
                <c:pt idx="35">
                  <c:v>2.3401487392692166E-4</c:v>
                </c:pt>
                <c:pt idx="36">
                  <c:v>2.3611662824143384E-4</c:v>
                </c:pt>
                <c:pt idx="37">
                  <c:v>2.3803835669246643E-4</c:v>
                </c:pt>
                <c:pt idx="38">
                  <c:v>2.4001832891453457E-4</c:v>
                </c:pt>
                <c:pt idx="39">
                  <c:v>2.4181168900555411E-4</c:v>
                </c:pt>
                <c:pt idx="40">
                  <c:v>2.4359406616863649E-4</c:v>
                </c:pt>
                <c:pt idx="41">
                  <c:v>2.4515604308393422E-4</c:v>
                </c:pt>
                <c:pt idx="42">
                  <c:v>2.4663260026715623E-4</c:v>
                </c:pt>
                <c:pt idx="43">
                  <c:v>2.4781497750355792E-4</c:v>
                </c:pt>
                <c:pt idx="44">
                  <c:v>2.4875361435427068E-4</c:v>
                </c:pt>
                <c:pt idx="45">
                  <c:v>2.496776269201187E-4</c:v>
                </c:pt>
                <c:pt idx="46">
                  <c:v>2.5058058860011253E-4</c:v>
                </c:pt>
                <c:pt idx="47">
                  <c:v>2.5128808657033517E-4</c:v>
                </c:pt>
                <c:pt idx="48">
                  <c:v>2.5181916634788888E-4</c:v>
                </c:pt>
                <c:pt idx="49">
                  <c:v>2.5226676057964745E-4</c:v>
                </c:pt>
                <c:pt idx="50">
                  <c:v>2.5240078238112718E-4</c:v>
                </c:pt>
                <c:pt idx="51">
                  <c:v>2.5239175689755199E-4</c:v>
                </c:pt>
                <c:pt idx="52">
                  <c:v>2.5220988565651919E-4</c:v>
                </c:pt>
                <c:pt idx="53">
                  <c:v>2.5187456968225229E-4</c:v>
                </c:pt>
                <c:pt idx="54">
                  <c:v>2.5167132844507124E-4</c:v>
                </c:pt>
                <c:pt idx="55">
                  <c:v>2.5093124445551022E-4</c:v>
                </c:pt>
                <c:pt idx="56">
                  <c:v>2.5014992028597109E-4</c:v>
                </c:pt>
                <c:pt idx="57">
                  <c:v>2.4939845889793518E-4</c:v>
                </c:pt>
                <c:pt idx="58">
                  <c:v>2.4856364813594339E-4</c:v>
                </c:pt>
                <c:pt idx="59">
                  <c:v>2.4763601141192764E-4</c:v>
                </c:pt>
                <c:pt idx="60">
                  <c:v>2.4631211382521607E-4</c:v>
                </c:pt>
                <c:pt idx="61">
                  <c:v>2.4557089164239828E-4</c:v>
                </c:pt>
                <c:pt idx="62">
                  <c:v>2.4420556777982619E-4</c:v>
                </c:pt>
                <c:pt idx="63">
                  <c:v>2.4261160038649253E-4</c:v>
                </c:pt>
                <c:pt idx="64">
                  <c:v>2.4081716462140976E-4</c:v>
                </c:pt>
                <c:pt idx="65">
                  <c:v>2.3903200733034024E-4</c:v>
                </c:pt>
                <c:pt idx="66">
                  <c:v>2.3696244822353366E-4</c:v>
                </c:pt>
                <c:pt idx="67">
                  <c:v>2.3522184929601075E-4</c:v>
                </c:pt>
                <c:pt idx="68">
                  <c:v>2.3308019161131846E-4</c:v>
                </c:pt>
                <c:pt idx="69">
                  <c:v>2.3053669087766984E-4</c:v>
                </c:pt>
                <c:pt idx="70">
                  <c:v>2.2836705677738552E-4</c:v>
                </c:pt>
                <c:pt idx="71">
                  <c:v>2.2586719203297891E-4</c:v>
                </c:pt>
                <c:pt idx="72">
                  <c:v>2.2346555047268957E-4</c:v>
                </c:pt>
                <c:pt idx="73">
                  <c:v>2.2060423781687834E-4</c:v>
                </c:pt>
                <c:pt idx="74">
                  <c:v>2.177126294409558E-4</c:v>
                </c:pt>
                <c:pt idx="75">
                  <c:v>2.1521943558488126E-4</c:v>
                </c:pt>
                <c:pt idx="76">
                  <c:v>2.1208325699882609E-4</c:v>
                </c:pt>
                <c:pt idx="77">
                  <c:v>2.0925288547223177E-4</c:v>
                </c:pt>
                <c:pt idx="78">
                  <c:v>2.057568211574489E-4</c:v>
                </c:pt>
                <c:pt idx="79">
                  <c:v>2.0277179308988584E-4</c:v>
                </c:pt>
                <c:pt idx="80">
                  <c:v>1.9932371342769109E-4</c:v>
                </c:pt>
                <c:pt idx="81">
                  <c:v>1.9573672038544995E-4</c:v>
                </c:pt>
                <c:pt idx="82">
                  <c:v>1.9242893407524605E-4</c:v>
                </c:pt>
                <c:pt idx="83">
                  <c:v>1.8966117489415153E-4</c:v>
                </c:pt>
                <c:pt idx="84">
                  <c:v>1.8624247408093104E-4</c:v>
                </c:pt>
                <c:pt idx="85">
                  <c:v>1.8290547698642616E-4</c:v>
                </c:pt>
                <c:pt idx="86">
                  <c:v>1.790241349698467E-4</c:v>
                </c:pt>
                <c:pt idx="87">
                  <c:v>1.7491317877277044E-4</c:v>
                </c:pt>
                <c:pt idx="88">
                  <c:v>1.7165210291375134E-4</c:v>
                </c:pt>
                <c:pt idx="89">
                  <c:v>1.6832728596816133E-4</c:v>
                </c:pt>
                <c:pt idx="90">
                  <c:v>1.6525738631059824E-4</c:v>
                </c:pt>
                <c:pt idx="91">
                  <c:v>1.6145297404207868E-4</c:v>
                </c:pt>
                <c:pt idx="92">
                  <c:v>1.5791356947889671E-4</c:v>
                </c:pt>
                <c:pt idx="93">
                  <c:v>1.5434262090503146E-4</c:v>
                </c:pt>
                <c:pt idx="94">
                  <c:v>1.5063390465232943E-4</c:v>
                </c:pt>
                <c:pt idx="95">
                  <c:v>1.4658664217027156E-4</c:v>
                </c:pt>
                <c:pt idx="96">
                  <c:v>1.4402011831028141E-4</c:v>
                </c:pt>
                <c:pt idx="97">
                  <c:v>1.4080401701137174E-4</c:v>
                </c:pt>
                <c:pt idx="98">
                  <c:v>1.3678733746576345E-4</c:v>
                </c:pt>
                <c:pt idx="99">
                  <c:v>1.3362653250123798E-4</c:v>
                </c:pt>
                <c:pt idx="100">
                  <c:v>1.2969833795025055E-4</c:v>
                </c:pt>
                <c:pt idx="101">
                  <c:v>1.2755783744786768E-4</c:v>
                </c:pt>
                <c:pt idx="102">
                  <c:v>1.2357058448802789E-4</c:v>
                </c:pt>
                <c:pt idx="103">
                  <c:v>1.2081500383446802E-4</c:v>
                </c:pt>
                <c:pt idx="104">
                  <c:v>1.189772194238534E-4</c:v>
                </c:pt>
                <c:pt idx="105">
                  <c:v>1.1508998769617667E-4</c:v>
                </c:pt>
                <c:pt idx="106">
                  <c:v>1.119981127856366E-4</c:v>
                </c:pt>
                <c:pt idx="107">
                  <c:v>1.0825501731996901E-4</c:v>
                </c:pt>
                <c:pt idx="108">
                  <c:v>1.0718857544874203E-4</c:v>
                </c:pt>
                <c:pt idx="109">
                  <c:v>1.0580174019232665E-4</c:v>
                </c:pt>
                <c:pt idx="110">
                  <c:v>1.0290427684960826E-4</c:v>
                </c:pt>
                <c:pt idx="111">
                  <c:v>1.0032381808454727E-4</c:v>
                </c:pt>
                <c:pt idx="112">
                  <c:v>9.913181612770224E-5</c:v>
                </c:pt>
                <c:pt idx="113">
                  <c:v>9.8942108491946454E-5</c:v>
                </c:pt>
                <c:pt idx="114">
                  <c:v>9.2701974816799106E-5</c:v>
                </c:pt>
                <c:pt idx="115">
                  <c:v>9.0966421432151556E-5</c:v>
                </c:pt>
                <c:pt idx="116">
                  <c:v>9.3081134451284279E-5</c:v>
                </c:pt>
                <c:pt idx="117">
                  <c:v>9.0651927272076475E-5</c:v>
                </c:pt>
                <c:pt idx="118">
                  <c:v>8.7848825030682461E-5</c:v>
                </c:pt>
                <c:pt idx="119">
                  <c:v>8.7762942015488188E-5</c:v>
                </c:pt>
                <c:pt idx="120">
                  <c:v>8.3551318989680482E-5</c:v>
                </c:pt>
                <c:pt idx="121">
                  <c:v>8.5308886732089534E-5</c:v>
                </c:pt>
                <c:pt idx="122">
                  <c:v>8.7520430480697911E-5</c:v>
                </c:pt>
                <c:pt idx="123">
                  <c:v>0</c:v>
                </c:pt>
                <c:pt idx="124">
                  <c:v>0</c:v>
                </c:pt>
              </c:numCache>
            </c:numRef>
          </c:yVal>
          <c:smooth val="0"/>
        </c:ser>
        <c:ser>
          <c:idx val="9"/>
          <c:order val="9"/>
          <c:tx>
            <c:strRef>
              <c:f>Plots!$R$1</c:f>
              <c:strCache>
                <c:ptCount val="1"/>
                <c:pt idx="0">
                  <c:v>105</c:v>
                </c:pt>
              </c:strCache>
            </c:strRef>
          </c:tx>
          <c:spPr>
            <a:ln w="28575">
              <a:noFill/>
            </a:ln>
          </c:spPr>
          <c:marker>
            <c:spPr>
              <a:solidFill>
                <a:srgbClr val="92D050"/>
              </a:solidFill>
              <a:ln>
                <a:noFill/>
              </a:ln>
            </c:spPr>
          </c:marker>
          <c:xVal>
            <c:numRef>
              <c:f>Plots!$R$3:$R$127</c:f>
              <c:numCache>
                <c:formatCode>General</c:formatCode>
                <c:ptCount val="125"/>
                <c:pt idx="0">
                  <c:v>9915280756384524</c:v>
                </c:pt>
                <c:pt idx="1">
                  <c:v>4.1096902215062584E+16</c:v>
                </c:pt>
                <c:pt idx="2">
                  <c:v>5.9521970707668824E+16</c:v>
                </c:pt>
                <c:pt idx="3">
                  <c:v>6.5006065577776264E+16</c:v>
                </c:pt>
                <c:pt idx="4">
                  <c:v>6.4832581137344464E+16</c:v>
                </c:pt>
                <c:pt idx="5">
                  <c:v>6.3301929910552272E+16</c:v>
                </c:pt>
                <c:pt idx="6">
                  <c:v>6.1453437865669808E+16</c:v>
                </c:pt>
                <c:pt idx="7">
                  <c:v>5.9561693383346144E+16</c:v>
                </c:pt>
                <c:pt idx="8">
                  <c:v>5.7666816082030712E+16</c:v>
                </c:pt>
                <c:pt idx="9">
                  <c:v>5.5807515125763416E+16</c:v>
                </c:pt>
                <c:pt idx="10">
                  <c:v>5.3989330495256624E+16</c:v>
                </c:pt>
                <c:pt idx="11">
                  <c:v>5.2196730009345008E+16</c:v>
                </c:pt>
                <c:pt idx="12">
                  <c:v>5.045646940347452E+16</c:v>
                </c:pt>
                <c:pt idx="13">
                  <c:v>4.8749902360718408E+16</c:v>
                </c:pt>
                <c:pt idx="14">
                  <c:v>4.70911067192174E+16</c:v>
                </c:pt>
                <c:pt idx="15">
                  <c:v>4.5477808775839984E+16</c:v>
                </c:pt>
                <c:pt idx="16">
                  <c:v>4.3901973997238768E+16</c:v>
                </c:pt>
                <c:pt idx="17">
                  <c:v>4.2367009077324056E+16</c:v>
                </c:pt>
                <c:pt idx="18">
                  <c:v>4.087724132957308E+16</c:v>
                </c:pt>
                <c:pt idx="19">
                  <c:v>3.9427687025279888E+16</c:v>
                </c:pt>
                <c:pt idx="20">
                  <c:v>3.8021312354234488E+16</c:v>
                </c:pt>
                <c:pt idx="21">
                  <c:v>3.6648238873261216E+16</c:v>
                </c:pt>
                <c:pt idx="22">
                  <c:v>3.5323496664751252E+16</c:v>
                </c:pt>
                <c:pt idx="23">
                  <c:v>3.4026623247707668E+16</c:v>
                </c:pt>
                <c:pt idx="24">
                  <c:v>3.277068403984012E+16</c:v>
                </c:pt>
                <c:pt idx="25">
                  <c:v>3.1563026413371248E+16</c:v>
                </c:pt>
                <c:pt idx="26">
                  <c:v>3.0391330893345396E+16</c:v>
                </c:pt>
                <c:pt idx="27">
                  <c:v>2.9241672794995744E+16</c:v>
                </c:pt>
                <c:pt idx="28">
                  <c:v>2.8132596140593496E+16</c:v>
                </c:pt>
                <c:pt idx="29">
                  <c:v>2.7058809935843564E+16</c:v>
                </c:pt>
                <c:pt idx="30">
                  <c:v>2.6015515317381092E+16</c:v>
                </c:pt>
                <c:pt idx="31">
                  <c:v>2.5007388289057368E+16</c:v>
                </c:pt>
                <c:pt idx="32">
                  <c:v>2.4022689419901468E+16</c:v>
                </c:pt>
                <c:pt idx="33">
                  <c:v>2.3070073154682416E+16</c:v>
                </c:pt>
                <c:pt idx="34">
                  <c:v>2.2148038828400632E+16</c:v>
                </c:pt>
                <c:pt idx="35">
                  <c:v>2.1249769435465E+16</c:v>
                </c:pt>
                <c:pt idx="36">
                  <c:v>2.0381417126647448E+16</c:v>
                </c:pt>
                <c:pt idx="37">
                  <c:v>1.9543234860677624E+16</c:v>
                </c:pt>
                <c:pt idx="38">
                  <c:v>1.8730883689682984E+16</c:v>
                </c:pt>
                <c:pt idx="39">
                  <c:v>1.794585036495103E+16</c:v>
                </c:pt>
                <c:pt idx="40">
                  <c:v>1.7186192707512108E+16</c:v>
                </c:pt>
                <c:pt idx="41">
                  <c:v>1.6447688782920934E+16</c:v>
                </c:pt>
                <c:pt idx="42">
                  <c:v>1.5739364284249478E+16</c:v>
                </c:pt>
                <c:pt idx="43">
                  <c:v>1.5053052811582864E+16</c:v>
                </c:pt>
                <c:pt idx="44">
                  <c:v>1.439253858936533E+16</c:v>
                </c:pt>
                <c:pt idx="45">
                  <c:v>1.3754438219549856E+16</c:v>
                </c:pt>
                <c:pt idx="46">
                  <c:v>1.313808227866057E+16</c:v>
                </c:pt>
                <c:pt idx="47">
                  <c:v>1.2542704407053758E+16</c:v>
                </c:pt>
                <c:pt idx="48">
                  <c:v>1.1968607683629484E+16</c:v>
                </c:pt>
                <c:pt idx="49">
                  <c:v>1.1411933456826736E+16</c:v>
                </c:pt>
                <c:pt idx="50">
                  <c:v>1.0877408281068394E+16</c:v>
                </c:pt>
                <c:pt idx="51">
                  <c:v>1.036995019670217E+16</c:v>
                </c:pt>
                <c:pt idx="52">
                  <c:v>9872636847928156</c:v>
                </c:pt>
                <c:pt idx="53">
                  <c:v>9397281182710260</c:v>
                </c:pt>
                <c:pt idx="54">
                  <c:v>8939122229217227</c:v>
                </c:pt>
                <c:pt idx="55">
                  <c:v>8499223210097041</c:v>
                </c:pt>
                <c:pt idx="56">
                  <c:v>8076298467571861</c:v>
                </c:pt>
                <c:pt idx="57">
                  <c:v>7668436083459785</c:v>
                </c:pt>
                <c:pt idx="58">
                  <c:v>7280393905642569</c:v>
                </c:pt>
                <c:pt idx="59">
                  <c:v>6909846338120536</c:v>
                </c:pt>
                <c:pt idx="60">
                  <c:v>6551535630259916</c:v>
                </c:pt>
                <c:pt idx="61">
                  <c:v>6205050560843942</c:v>
                </c:pt>
                <c:pt idx="62">
                  <c:v>5877644660223942</c:v>
                </c:pt>
                <c:pt idx="63">
                  <c:v>5560375705256027</c:v>
                </c:pt>
                <c:pt idx="64">
                  <c:v>5260029440205608</c:v>
                </c:pt>
                <c:pt idx="65">
                  <c:v>4972155425664243</c:v>
                </c:pt>
                <c:pt idx="66">
                  <c:v>4698189822116298</c:v>
                </c:pt>
                <c:pt idx="67">
                  <c:v>4438445183016970.5</c:v>
                </c:pt>
                <c:pt idx="68">
                  <c:v>4185863071364651.5</c:v>
                </c:pt>
                <c:pt idx="69">
                  <c:v>3944672503856241</c:v>
                </c:pt>
                <c:pt idx="70">
                  <c:v>3717496881200939.5</c:v>
                </c:pt>
                <c:pt idx="71">
                  <c:v>3500825986566889.5</c:v>
                </c:pt>
                <c:pt idx="72">
                  <c:v>3293497171695404.5</c:v>
                </c:pt>
                <c:pt idx="73">
                  <c:v>3097945141607148.5</c:v>
                </c:pt>
                <c:pt idx="74">
                  <c:v>2910655412703400</c:v>
                </c:pt>
                <c:pt idx="75">
                  <c:v>2733161567517276.5</c:v>
                </c:pt>
                <c:pt idx="76">
                  <c:v>2560816231697153</c:v>
                </c:pt>
                <c:pt idx="77">
                  <c:v>2402412395170722</c:v>
                </c:pt>
                <c:pt idx="78">
                  <c:v>2248559890346140.7</c:v>
                </c:pt>
                <c:pt idx="79">
                  <c:v>2102704228216705</c:v>
                </c:pt>
                <c:pt idx="80">
                  <c:v>1968349720488781.5</c:v>
                </c:pt>
                <c:pt idx="81">
                  <c:v>1840490862648614.5</c:v>
                </c:pt>
                <c:pt idx="82">
                  <c:v>1713101442437849.7</c:v>
                </c:pt>
                <c:pt idx="83">
                  <c:v>1600196222910043.5</c:v>
                </c:pt>
                <c:pt idx="84">
                  <c:v>1494097077501849</c:v>
                </c:pt>
                <c:pt idx="85">
                  <c:v>1388212092682497.5</c:v>
                </c:pt>
                <c:pt idx="86">
                  <c:v>1293886190883441.7</c:v>
                </c:pt>
                <c:pt idx="87">
                  <c:v>1202836489824732</c:v>
                </c:pt>
                <c:pt idx="88">
                  <c:v>1117856579063816.2</c:v>
                </c:pt>
                <c:pt idx="89">
                  <c:v>1039832222792221.5</c:v>
                </c:pt>
                <c:pt idx="90">
                  <c:v>961299431774741.37</c:v>
                </c:pt>
                <c:pt idx="91">
                  <c:v>890596348499578.75</c:v>
                </c:pt>
                <c:pt idx="92">
                  <c:v>821702225137511</c:v>
                </c:pt>
                <c:pt idx="93">
                  <c:v>765632858252292.12</c:v>
                </c:pt>
                <c:pt idx="94">
                  <c:v>708759651636398.5</c:v>
                </c:pt>
                <c:pt idx="95">
                  <c:v>651637607069833.37</c:v>
                </c:pt>
                <c:pt idx="96">
                  <c:v>601363086130106.75</c:v>
                </c:pt>
                <c:pt idx="97">
                  <c:v>550368558860287.37</c:v>
                </c:pt>
                <c:pt idx="98">
                  <c:v>507581674846663.94</c:v>
                </c:pt>
                <c:pt idx="99">
                  <c:v>465954947437248.44</c:v>
                </c:pt>
                <c:pt idx="100">
                  <c:v>430269298750255.37</c:v>
                </c:pt>
                <c:pt idx="101">
                  <c:v>396983180185626.5</c:v>
                </c:pt>
                <c:pt idx="102">
                  <c:v>361362689436902</c:v>
                </c:pt>
                <c:pt idx="103">
                  <c:v>330923389116734.56</c:v>
                </c:pt>
                <c:pt idx="104">
                  <c:v>305645152330600.06</c:v>
                </c:pt>
                <c:pt idx="105">
                  <c:v>278741508629408.91</c:v>
                </c:pt>
                <c:pt idx="106">
                  <c:v>255680695097644.72</c:v>
                </c:pt>
                <c:pt idx="107">
                  <c:v>236671877425114.03</c:v>
                </c:pt>
                <c:pt idx="108">
                  <c:v>218353453709372.37</c:v>
                </c:pt>
                <c:pt idx="109">
                  <c:v>196621925734113.37</c:v>
                </c:pt>
                <c:pt idx="110">
                  <c:v>186725167523168.53</c:v>
                </c:pt>
                <c:pt idx="111">
                  <c:v>170200793026633.41</c:v>
                </c:pt>
                <c:pt idx="112">
                  <c:v>154850721433659.75</c:v>
                </c:pt>
                <c:pt idx="113">
                  <c:v>142494346107124.72</c:v>
                </c:pt>
                <c:pt idx="114">
                  <c:v>128684129257915.19</c:v>
                </c:pt>
                <c:pt idx="115">
                  <c:v>120388448563497.14</c:v>
                </c:pt>
                <c:pt idx="116">
                  <c:v>109482713475173.41</c:v>
                </c:pt>
                <c:pt idx="117">
                  <c:v>101288307074124.75</c:v>
                </c:pt>
                <c:pt idx="118">
                  <c:v>95399969544309.797</c:v>
                </c:pt>
                <c:pt idx="119">
                  <c:v>81071380103869.687</c:v>
                </c:pt>
                <c:pt idx="120">
                  <c:v>79126950498972.469</c:v>
                </c:pt>
                <c:pt idx="121">
                  <c:v>75062679085485.406</c:v>
                </c:pt>
                <c:pt idx="122">
                  <c:v>67424876158588.937</c:v>
                </c:pt>
                <c:pt idx="123">
                  <c:v>61116283497289.102</c:v>
                </c:pt>
                <c:pt idx="124">
                  <c:v>56090429062932.695</c:v>
                </c:pt>
              </c:numCache>
            </c:numRef>
          </c:xVal>
          <c:yVal>
            <c:numRef>
              <c:f>Plots!$S$3:$S$127</c:f>
              <c:numCache>
                <c:formatCode>General</c:formatCode>
                <c:ptCount val="125"/>
                <c:pt idx="0">
                  <c:v>0</c:v>
                </c:pt>
                <c:pt idx="1">
                  <c:v>0</c:v>
                </c:pt>
                <c:pt idx="2">
                  <c:v>1.7103678478685167E-4</c:v>
                </c:pt>
                <c:pt idx="3">
                  <c:v>1.4584847218519084E-4</c:v>
                </c:pt>
                <c:pt idx="4">
                  <c:v>1.3350656574523777E-4</c:v>
                </c:pt>
                <c:pt idx="5">
                  <c:v>1.3095605643917115E-4</c:v>
                </c:pt>
                <c:pt idx="6">
                  <c:v>1.3310772579544492E-4</c:v>
                </c:pt>
                <c:pt idx="7">
                  <c:v>1.3663251913512646E-4</c:v>
                </c:pt>
                <c:pt idx="8">
                  <c:v>1.4028752306194435E-4</c:v>
                </c:pt>
                <c:pt idx="9">
                  <c:v>1.4386511044093888E-4</c:v>
                </c:pt>
                <c:pt idx="10">
                  <c:v>1.4750586860565339E-4</c:v>
                </c:pt>
                <c:pt idx="11">
                  <c:v>1.5112187245876392E-4</c:v>
                </c:pt>
                <c:pt idx="12">
                  <c:v>1.5482602808383308E-4</c:v>
                </c:pt>
                <c:pt idx="13">
                  <c:v>1.5845710006647207E-4</c:v>
                </c:pt>
                <c:pt idx="14">
                  <c:v>1.6204912987560874E-4</c:v>
                </c:pt>
                <c:pt idx="15">
                  <c:v>1.6567396329424095E-4</c:v>
                </c:pt>
                <c:pt idx="16">
                  <c:v>1.6927712080178929E-4</c:v>
                </c:pt>
                <c:pt idx="17">
                  <c:v>1.7282337541164728E-4</c:v>
                </c:pt>
                <c:pt idx="18">
                  <c:v>1.7640235504730168E-4</c:v>
                </c:pt>
                <c:pt idx="19">
                  <c:v>1.7991706477108526E-4</c:v>
                </c:pt>
                <c:pt idx="20">
                  <c:v>1.8338429970170622E-4</c:v>
                </c:pt>
                <c:pt idx="21">
                  <c:v>1.8676627838250606E-4</c:v>
                </c:pt>
                <c:pt idx="22">
                  <c:v>1.900966337278434E-4</c:v>
                </c:pt>
                <c:pt idx="23">
                  <c:v>1.9342016157420757E-4</c:v>
                </c:pt>
                <c:pt idx="24">
                  <c:v>1.9665545955141009E-4</c:v>
                </c:pt>
                <c:pt idx="25">
                  <c:v>1.9987729697392971E-4</c:v>
                </c:pt>
                <c:pt idx="26">
                  <c:v>2.0295891695601997E-4</c:v>
                </c:pt>
                <c:pt idx="27">
                  <c:v>2.0591311324113105E-4</c:v>
                </c:pt>
                <c:pt idx="28">
                  <c:v>2.0912314118734919E-4</c:v>
                </c:pt>
                <c:pt idx="29">
                  <c:v>2.1210541545911321E-4</c:v>
                </c:pt>
                <c:pt idx="30">
                  <c:v>2.1483224764161539E-4</c:v>
                </c:pt>
                <c:pt idx="31">
                  <c:v>2.1744602425330771E-4</c:v>
                </c:pt>
                <c:pt idx="32">
                  <c:v>2.1981257524972936E-4</c:v>
                </c:pt>
                <c:pt idx="33">
                  <c:v>2.2216729288765066E-4</c:v>
                </c:pt>
                <c:pt idx="34">
                  <c:v>2.2441876560501734E-4</c:v>
                </c:pt>
                <c:pt idx="35">
                  <c:v>2.2646075649623791E-4</c:v>
                </c:pt>
                <c:pt idx="36">
                  <c:v>2.2845950900522195E-4</c:v>
                </c:pt>
                <c:pt idx="37">
                  <c:v>2.3027536079792469E-4</c:v>
                </c:pt>
                <c:pt idx="38">
                  <c:v>2.3198033399897709E-4</c:v>
                </c:pt>
                <c:pt idx="39">
                  <c:v>2.3363310071348255E-4</c:v>
                </c:pt>
                <c:pt idx="40">
                  <c:v>2.3514366920901505E-4</c:v>
                </c:pt>
                <c:pt idx="41">
                  <c:v>2.3641793688212984E-4</c:v>
                </c:pt>
                <c:pt idx="42">
                  <c:v>2.3759480518250548E-4</c:v>
                </c:pt>
                <c:pt idx="43">
                  <c:v>2.3866327483820107E-4</c:v>
                </c:pt>
                <c:pt idx="44">
                  <c:v>2.3960902806043102E-4</c:v>
                </c:pt>
                <c:pt idx="45">
                  <c:v>2.4030722639182297E-4</c:v>
                </c:pt>
                <c:pt idx="46">
                  <c:v>2.4085191119765142E-4</c:v>
                </c:pt>
                <c:pt idx="47">
                  <c:v>2.4127965433032571E-4</c:v>
                </c:pt>
                <c:pt idx="48">
                  <c:v>2.4154818423964368E-4</c:v>
                </c:pt>
                <c:pt idx="49">
                  <c:v>2.4161435742635329E-4</c:v>
                </c:pt>
                <c:pt idx="50">
                  <c:v>2.4162079209759922E-4</c:v>
                </c:pt>
                <c:pt idx="51">
                  <c:v>2.4160150764486766E-4</c:v>
                </c:pt>
                <c:pt idx="52">
                  <c:v>2.4113174658649104E-4</c:v>
                </c:pt>
                <c:pt idx="53">
                  <c:v>2.4074416840079961E-4</c:v>
                </c:pt>
                <c:pt idx="54">
                  <c:v>2.4014843875523384E-4</c:v>
                </c:pt>
                <c:pt idx="55">
                  <c:v>2.3926882889219707E-4</c:v>
                </c:pt>
                <c:pt idx="56">
                  <c:v>2.3833151856371692E-4</c:v>
                </c:pt>
                <c:pt idx="57">
                  <c:v>2.3734296370130068E-4</c:v>
                </c:pt>
                <c:pt idx="58">
                  <c:v>2.365397659020738E-4</c:v>
                </c:pt>
                <c:pt idx="59">
                  <c:v>2.3548953242717363E-4</c:v>
                </c:pt>
                <c:pt idx="60">
                  <c:v>2.34144252136854E-4</c:v>
                </c:pt>
                <c:pt idx="61">
                  <c:v>2.3262384071685545E-4</c:v>
                </c:pt>
                <c:pt idx="62">
                  <c:v>2.3159895703455004E-4</c:v>
                </c:pt>
                <c:pt idx="63">
                  <c:v>2.2968854888238667E-4</c:v>
                </c:pt>
                <c:pt idx="64">
                  <c:v>2.2785598066569495E-4</c:v>
                </c:pt>
                <c:pt idx="65">
                  <c:v>2.2600323114191917E-4</c:v>
                </c:pt>
                <c:pt idx="66">
                  <c:v>2.2380283252298558E-4</c:v>
                </c:pt>
                <c:pt idx="67">
                  <c:v>2.2201075694279547E-4</c:v>
                </c:pt>
                <c:pt idx="68">
                  <c:v>2.1942775028518471E-4</c:v>
                </c:pt>
                <c:pt idx="69">
                  <c:v>2.1703024194576103E-4</c:v>
                </c:pt>
                <c:pt idx="70">
                  <c:v>2.1455280434807704E-4</c:v>
                </c:pt>
                <c:pt idx="71">
                  <c:v>2.1189051139531046E-4</c:v>
                </c:pt>
                <c:pt idx="72">
                  <c:v>2.0925957659371629E-4</c:v>
                </c:pt>
                <c:pt idx="73">
                  <c:v>2.0652801193531684E-4</c:v>
                </c:pt>
                <c:pt idx="74">
                  <c:v>2.0345966551850371E-4</c:v>
                </c:pt>
                <c:pt idx="75">
                  <c:v>2.0057521085142899E-4</c:v>
                </c:pt>
                <c:pt idx="76">
                  <c:v>1.9729970254794859E-4</c:v>
                </c:pt>
                <c:pt idx="77">
                  <c:v>1.9448835650360115E-4</c:v>
                </c:pt>
                <c:pt idx="78">
                  <c:v>1.9154604537024848E-4</c:v>
                </c:pt>
                <c:pt idx="79">
                  <c:v>1.88483364220074E-4</c:v>
                </c:pt>
                <c:pt idx="80">
                  <c:v>1.8489109442107192E-4</c:v>
                </c:pt>
                <c:pt idx="81">
                  <c:v>1.8169691645368821E-4</c:v>
                </c:pt>
                <c:pt idx="82">
                  <c:v>1.7775283275960134E-4</c:v>
                </c:pt>
                <c:pt idx="83">
                  <c:v>1.74302542232448E-4</c:v>
                </c:pt>
                <c:pt idx="84">
                  <c:v>1.7159465467212907E-4</c:v>
                </c:pt>
                <c:pt idx="85">
                  <c:v>1.6775254725880548E-4</c:v>
                </c:pt>
                <c:pt idx="86">
                  <c:v>1.6437784528519208E-4</c:v>
                </c:pt>
                <c:pt idx="87">
                  <c:v>1.6126617977282171E-4</c:v>
                </c:pt>
                <c:pt idx="88">
                  <c:v>1.5757058665399204E-4</c:v>
                </c:pt>
                <c:pt idx="89">
                  <c:v>1.5417612233909486E-4</c:v>
                </c:pt>
                <c:pt idx="90">
                  <c:v>1.499333227915044E-4</c:v>
                </c:pt>
                <c:pt idx="91">
                  <c:v>1.4655433230606425E-4</c:v>
                </c:pt>
                <c:pt idx="92">
                  <c:v>1.4295534518724625E-4</c:v>
                </c:pt>
                <c:pt idx="93">
                  <c:v>1.4055838895801179E-4</c:v>
                </c:pt>
                <c:pt idx="94">
                  <c:v>1.3690364136360333E-4</c:v>
                </c:pt>
                <c:pt idx="95">
                  <c:v>1.3223051691777085E-4</c:v>
                </c:pt>
                <c:pt idx="96">
                  <c:v>1.2885743904428348E-4</c:v>
                </c:pt>
                <c:pt idx="97">
                  <c:v>1.2468880486389962E-4</c:v>
                </c:pt>
                <c:pt idx="98">
                  <c:v>1.2221535549131575E-4</c:v>
                </c:pt>
                <c:pt idx="99">
                  <c:v>1.188133744573385E-4</c:v>
                </c:pt>
                <c:pt idx="100">
                  <c:v>1.1631073457527592E-4</c:v>
                </c:pt>
                <c:pt idx="101">
                  <c:v>1.1353841990896387E-4</c:v>
                </c:pt>
                <c:pt idx="102">
                  <c:v>1.0901314584326616E-4</c:v>
                </c:pt>
                <c:pt idx="103">
                  <c:v>1.0572874561524199E-4</c:v>
                </c:pt>
                <c:pt idx="104">
                  <c:v>1.0417241886458403E-4</c:v>
                </c:pt>
                <c:pt idx="105">
                  <c:v>1.0115274839637068E-4</c:v>
                </c:pt>
                <c:pt idx="106">
                  <c:v>9.8021759061025449E-5</c:v>
                </c:pt>
                <c:pt idx="107">
                  <c:v>9.6111558777086506E-5</c:v>
                </c:pt>
                <c:pt idx="108">
                  <c:v>9.5052970577447538E-5</c:v>
                </c:pt>
                <c:pt idx="109">
                  <c:v>9.0096096390598058E-5</c:v>
                </c:pt>
                <c:pt idx="110">
                  <c:v>9.1032083735522793E-5</c:v>
                </c:pt>
                <c:pt idx="111">
                  <c:v>8.8173939685334262E-5</c:v>
                </c:pt>
                <c:pt idx="112">
                  <c:v>8.4501731941507264E-5</c:v>
                </c:pt>
                <c:pt idx="113">
                  <c:v>8.3368008388439498E-5</c:v>
                </c:pt>
                <c:pt idx="114">
                  <c:v>8.0648332654998021E-5</c:v>
                </c:pt>
                <c:pt idx="115">
                  <c:v>7.9155987445568736E-5</c:v>
                </c:pt>
                <c:pt idx="116">
                  <c:v>7.8394612766233E-5</c:v>
                </c:pt>
                <c:pt idx="117">
                  <c:v>7.6914977272323859E-5</c:v>
                </c:pt>
                <c:pt idx="118">
                  <c:v>7.6835358074873252E-5</c:v>
                </c:pt>
                <c:pt idx="119">
                  <c:v>7.0045787425558931E-5</c:v>
                </c:pt>
                <c:pt idx="120">
                  <c:v>7.3358457325897405E-5</c:v>
                </c:pt>
                <c:pt idx="121">
                  <c:v>7.3907129179396572E-5</c:v>
                </c:pt>
                <c:pt idx="122">
                  <c:v>7.1755733371155992E-5</c:v>
                </c:pt>
                <c:pt idx="123">
                  <c:v>0</c:v>
                </c:pt>
                <c:pt idx="124">
                  <c:v>0</c:v>
                </c:pt>
              </c:numCache>
            </c:numRef>
          </c:yVal>
          <c:smooth val="0"/>
        </c:ser>
        <c:ser>
          <c:idx val="10"/>
          <c:order val="10"/>
          <c:tx>
            <c:strRef>
              <c:f>Plots!$T$1</c:f>
              <c:strCache>
                <c:ptCount val="1"/>
                <c:pt idx="0">
                  <c:v>95</c:v>
                </c:pt>
              </c:strCache>
            </c:strRef>
          </c:tx>
          <c:spPr>
            <a:ln w="28575">
              <a:noFill/>
            </a:ln>
          </c:spPr>
          <c:marker>
            <c:symbol val="diamond"/>
            <c:size val="7"/>
            <c:spPr>
              <a:solidFill>
                <a:srgbClr val="00B050"/>
              </a:solidFill>
              <a:ln>
                <a:noFill/>
              </a:ln>
            </c:spPr>
          </c:marker>
          <c:xVal>
            <c:numRef>
              <c:f>Plots!$T$3:$T$127</c:f>
              <c:numCache>
                <c:formatCode>General</c:formatCode>
                <c:ptCount val="125"/>
                <c:pt idx="0">
                  <c:v>9386474872734338</c:v>
                </c:pt>
                <c:pt idx="1">
                  <c:v>3.8865031629792224E+16</c:v>
                </c:pt>
                <c:pt idx="2">
                  <c:v>5.7764566371829296E+16</c:v>
                </c:pt>
                <c:pt idx="3">
                  <c:v>6.4114799076877064E+16</c:v>
                </c:pt>
                <c:pt idx="4">
                  <c:v>6.3983107504193968E+16</c:v>
                </c:pt>
                <c:pt idx="5">
                  <c:v>6.2362517339129728E+16</c:v>
                </c:pt>
                <c:pt idx="6">
                  <c:v>6.0479558020719288E+16</c:v>
                </c:pt>
                <c:pt idx="7">
                  <c:v>5.8567077406220888E+16</c:v>
                </c:pt>
                <c:pt idx="8">
                  <c:v>5.6681051536748192E+16</c:v>
                </c:pt>
                <c:pt idx="9">
                  <c:v>5.4815737817655744E+16</c:v>
                </c:pt>
                <c:pt idx="10">
                  <c:v>5.2991212672183464E+16</c:v>
                </c:pt>
                <c:pt idx="11">
                  <c:v>5.118652364599208E+16</c:v>
                </c:pt>
                <c:pt idx="12">
                  <c:v>4.9430167597858384E+16</c:v>
                </c:pt>
                <c:pt idx="13">
                  <c:v>4.7720844486303E+16</c:v>
                </c:pt>
                <c:pt idx="14">
                  <c:v>4.6056002275381552E+16</c:v>
                </c:pt>
                <c:pt idx="15">
                  <c:v>4.4443533535654512E+16</c:v>
                </c:pt>
                <c:pt idx="16">
                  <c:v>4.287707457427656E+16</c:v>
                </c:pt>
                <c:pt idx="17">
                  <c:v>4.135148984505644E+16</c:v>
                </c:pt>
                <c:pt idx="18">
                  <c:v>3.9857901947779616E+16</c:v>
                </c:pt>
                <c:pt idx="19">
                  <c:v>3.8401305888053648E+16</c:v>
                </c:pt>
                <c:pt idx="20">
                  <c:v>3.7000887623728464E+16</c:v>
                </c:pt>
                <c:pt idx="21">
                  <c:v>3.5635972770287112E+16</c:v>
                </c:pt>
                <c:pt idx="22">
                  <c:v>3.4312774317236664E+16</c:v>
                </c:pt>
                <c:pt idx="23">
                  <c:v>3.3025974739998204E+16</c:v>
                </c:pt>
                <c:pt idx="24">
                  <c:v>3.1779718745042136E+16</c:v>
                </c:pt>
                <c:pt idx="25">
                  <c:v>3.056923985623788E+16</c:v>
                </c:pt>
                <c:pt idx="26">
                  <c:v>2.9401895016633728E+16</c:v>
                </c:pt>
                <c:pt idx="27">
                  <c:v>2.8257567412432408E+16</c:v>
                </c:pt>
                <c:pt idx="28">
                  <c:v>2.714832111206172E+16</c:v>
                </c:pt>
                <c:pt idx="29">
                  <c:v>2.6085382016555296E+16</c:v>
                </c:pt>
                <c:pt idx="30">
                  <c:v>2.5052605051195512E+16</c:v>
                </c:pt>
                <c:pt idx="31">
                  <c:v>2.4053779789595888E+16</c:v>
                </c:pt>
                <c:pt idx="32">
                  <c:v>2.3084625989745764E+16</c:v>
                </c:pt>
                <c:pt idx="33">
                  <c:v>2.2142317964217068E+16</c:v>
                </c:pt>
                <c:pt idx="34">
                  <c:v>2.1226925386451248E+16</c:v>
                </c:pt>
                <c:pt idx="35">
                  <c:v>2.0341384190125328E+16</c:v>
                </c:pt>
                <c:pt idx="36">
                  <c:v>1.948775349332654E+16</c:v>
                </c:pt>
                <c:pt idx="37">
                  <c:v>1.8659293735957212E+16</c:v>
                </c:pt>
                <c:pt idx="38">
                  <c:v>1.786458141679546E+16</c:v>
                </c:pt>
                <c:pt idx="39">
                  <c:v>1.7089494905244828E+16</c:v>
                </c:pt>
                <c:pt idx="40">
                  <c:v>1.6339617958888302E+16</c:v>
                </c:pt>
                <c:pt idx="41">
                  <c:v>1.562089720004593E+16</c:v>
                </c:pt>
                <c:pt idx="42">
                  <c:v>1.492353023537725E+16</c:v>
                </c:pt>
                <c:pt idx="43">
                  <c:v>1.4257380630372498E+16</c:v>
                </c:pt>
                <c:pt idx="44">
                  <c:v>1.361030189435712E+16</c:v>
                </c:pt>
                <c:pt idx="45">
                  <c:v>1.2983976582921304E+16</c:v>
                </c:pt>
                <c:pt idx="46">
                  <c:v>1.2382158930479756E+16</c:v>
                </c:pt>
                <c:pt idx="47">
                  <c:v>1.1803229391535698E+16</c:v>
                </c:pt>
                <c:pt idx="48">
                  <c:v>1.1241313544572748E+16</c:v>
                </c:pt>
                <c:pt idx="49">
                  <c:v>1.070618424106536E+16</c:v>
                </c:pt>
                <c:pt idx="50">
                  <c:v>1.0193378663653312E+16</c:v>
                </c:pt>
                <c:pt idx="51">
                  <c:v>9694689021084988</c:v>
                </c:pt>
                <c:pt idx="52">
                  <c:v>9216414176931254</c:v>
                </c:pt>
                <c:pt idx="53">
                  <c:v>8759911232528005</c:v>
                </c:pt>
                <c:pt idx="54">
                  <c:v>8314437707812356</c:v>
                </c:pt>
                <c:pt idx="55">
                  <c:v>7890449966890655</c:v>
                </c:pt>
                <c:pt idx="56">
                  <c:v>7485466991395662</c:v>
                </c:pt>
                <c:pt idx="57">
                  <c:v>7099813304041680</c:v>
                </c:pt>
                <c:pt idx="58">
                  <c:v>6727194839062510</c:v>
                </c:pt>
                <c:pt idx="59">
                  <c:v>6366034656825018</c:v>
                </c:pt>
                <c:pt idx="60">
                  <c:v>6025666301185776</c:v>
                </c:pt>
                <c:pt idx="61">
                  <c:v>5698884301006076</c:v>
                </c:pt>
                <c:pt idx="62">
                  <c:v>5384064558703370</c:v>
                </c:pt>
                <c:pt idx="63">
                  <c:v>5084423039372229</c:v>
                </c:pt>
                <c:pt idx="64">
                  <c:v>4801938228643731</c:v>
                </c:pt>
                <c:pt idx="65">
                  <c:v>4529382032754981</c:v>
                </c:pt>
                <c:pt idx="66">
                  <c:v>4272462247156899</c:v>
                </c:pt>
                <c:pt idx="67">
                  <c:v>4024129433008175</c:v>
                </c:pt>
                <c:pt idx="68">
                  <c:v>3785193598637365</c:v>
                </c:pt>
                <c:pt idx="69">
                  <c:v>3560125038416537</c:v>
                </c:pt>
                <c:pt idx="70">
                  <c:v>3342752656815598</c:v>
                </c:pt>
                <c:pt idx="71">
                  <c:v>3143873200536049</c:v>
                </c:pt>
                <c:pt idx="72">
                  <c:v>2952613338710662.5</c:v>
                </c:pt>
                <c:pt idx="73">
                  <c:v>2772160331771692</c:v>
                </c:pt>
                <c:pt idx="74">
                  <c:v>2594500014735998</c:v>
                </c:pt>
                <c:pt idx="75">
                  <c:v>2431350570626990</c:v>
                </c:pt>
                <c:pt idx="76">
                  <c:v>2271417919759552.5</c:v>
                </c:pt>
                <c:pt idx="77">
                  <c:v>2126620156413497</c:v>
                </c:pt>
                <c:pt idx="78">
                  <c:v>1986017835012935.2</c:v>
                </c:pt>
                <c:pt idx="79">
                  <c:v>1852200410509732</c:v>
                </c:pt>
                <c:pt idx="80">
                  <c:v>1728308195336418</c:v>
                </c:pt>
                <c:pt idx="81">
                  <c:v>1610474065443703.5</c:v>
                </c:pt>
                <c:pt idx="82">
                  <c:v>1498857504350116.2</c:v>
                </c:pt>
                <c:pt idx="83">
                  <c:v>1399505182204438.5</c:v>
                </c:pt>
                <c:pt idx="84">
                  <c:v>1298090554528713.7</c:v>
                </c:pt>
                <c:pt idx="85">
                  <c:v>1204838286282852</c:v>
                </c:pt>
                <c:pt idx="86">
                  <c:v>1117226161587069.7</c:v>
                </c:pt>
                <c:pt idx="87">
                  <c:v>1037101088705926.2</c:v>
                </c:pt>
                <c:pt idx="88">
                  <c:v>960377530820970.87</c:v>
                </c:pt>
                <c:pt idx="89">
                  <c:v>890137428713961</c:v>
                </c:pt>
                <c:pt idx="90">
                  <c:v>818421731878469.25</c:v>
                </c:pt>
                <c:pt idx="91">
                  <c:v>759700636835538.5</c:v>
                </c:pt>
                <c:pt idx="92">
                  <c:v>701800300496340.87</c:v>
                </c:pt>
                <c:pt idx="93">
                  <c:v>647705407656588.5</c:v>
                </c:pt>
                <c:pt idx="94">
                  <c:v>599856151944430.37</c:v>
                </c:pt>
                <c:pt idx="95">
                  <c:v>552186226927811.87</c:v>
                </c:pt>
                <c:pt idx="96">
                  <c:v>505600843166797.37</c:v>
                </c:pt>
                <c:pt idx="97">
                  <c:v>464604752601754.06</c:v>
                </c:pt>
                <c:pt idx="98">
                  <c:v>425526747817919.37</c:v>
                </c:pt>
                <c:pt idx="99">
                  <c:v>393665874376872.75</c:v>
                </c:pt>
                <c:pt idx="100">
                  <c:v>360401886722173.81</c:v>
                </c:pt>
                <c:pt idx="101">
                  <c:v>331416387256287</c:v>
                </c:pt>
                <c:pt idx="102">
                  <c:v>302346792402768.87</c:v>
                </c:pt>
                <c:pt idx="103">
                  <c:v>276640814210907.72</c:v>
                </c:pt>
                <c:pt idx="104">
                  <c:v>251736207371869.56</c:v>
                </c:pt>
                <c:pt idx="105">
                  <c:v>232043454833846</c:v>
                </c:pt>
                <c:pt idx="106">
                  <c:v>214662843741293.34</c:v>
                </c:pt>
                <c:pt idx="107">
                  <c:v>198993706450696.09</c:v>
                </c:pt>
                <c:pt idx="108">
                  <c:v>179664032869304.25</c:v>
                </c:pt>
                <c:pt idx="109">
                  <c:v>163779255864767.03</c:v>
                </c:pt>
                <c:pt idx="110">
                  <c:v>148926230386919.28</c:v>
                </c:pt>
                <c:pt idx="111">
                  <c:v>134469051634413.97</c:v>
                </c:pt>
                <c:pt idx="112">
                  <c:v>126930390125651.44</c:v>
                </c:pt>
                <c:pt idx="113">
                  <c:v>114223651661084.95</c:v>
                </c:pt>
                <c:pt idx="114">
                  <c:v>107497761780116.28</c:v>
                </c:pt>
                <c:pt idx="115">
                  <c:v>93260036605511.656</c:v>
                </c:pt>
                <c:pt idx="116">
                  <c:v>90658547586044.375</c:v>
                </c:pt>
                <c:pt idx="117">
                  <c:v>82186346411491.281</c:v>
                </c:pt>
                <c:pt idx="118">
                  <c:v>74392112733592.375</c:v>
                </c:pt>
                <c:pt idx="119">
                  <c:v>70204436485068.297</c:v>
                </c:pt>
                <c:pt idx="120">
                  <c:v>64721613509821.937</c:v>
                </c:pt>
                <c:pt idx="121">
                  <c:v>58071746224320.047</c:v>
                </c:pt>
                <c:pt idx="122">
                  <c:v>50383441698169.844</c:v>
                </c:pt>
                <c:pt idx="123">
                  <c:v>48086789275618.477</c:v>
                </c:pt>
                <c:pt idx="124">
                  <c:v>43120374294361.445</c:v>
                </c:pt>
              </c:numCache>
            </c:numRef>
          </c:xVal>
          <c:yVal>
            <c:numRef>
              <c:f>Plots!$U$3:$U$127</c:f>
              <c:numCache>
                <c:formatCode>General</c:formatCode>
                <c:ptCount val="125"/>
                <c:pt idx="0">
                  <c:v>0</c:v>
                </c:pt>
                <c:pt idx="1">
                  <c:v>0</c:v>
                </c:pt>
                <c:pt idx="2">
                  <c:v>1.6978534314989729E-4</c:v>
                </c:pt>
                <c:pt idx="3">
                  <c:v>1.4626761968226698E-4</c:v>
                </c:pt>
                <c:pt idx="4">
                  <c:v>1.3373720844674056E-4</c:v>
                </c:pt>
                <c:pt idx="5">
                  <c:v>1.312023552555443E-4</c:v>
                </c:pt>
                <c:pt idx="6">
                  <c:v>1.3357911878071103E-4</c:v>
                </c:pt>
                <c:pt idx="7">
                  <c:v>1.3702469575013943E-4</c:v>
                </c:pt>
                <c:pt idx="8">
                  <c:v>1.4050829072768107E-4</c:v>
                </c:pt>
                <c:pt idx="9">
                  <c:v>1.439903594450279E-4</c:v>
                </c:pt>
                <c:pt idx="10">
                  <c:v>1.47533163483321E-4</c:v>
                </c:pt>
                <c:pt idx="11">
                  <c:v>1.5105365395116525E-4</c:v>
                </c:pt>
                <c:pt idx="12">
                  <c:v>1.5458424549532007E-4</c:v>
                </c:pt>
                <c:pt idx="13">
                  <c:v>1.5807053956302478E-4</c:v>
                </c:pt>
                <c:pt idx="14">
                  <c:v>1.6150504160727036E-4</c:v>
                </c:pt>
                <c:pt idx="15">
                  <c:v>1.6500245474460425E-4</c:v>
                </c:pt>
                <c:pt idx="16">
                  <c:v>1.6844767773794222E-4</c:v>
                </c:pt>
                <c:pt idx="17">
                  <c:v>1.7182446396883907E-4</c:v>
                </c:pt>
                <c:pt idx="18">
                  <c:v>1.7518720459936543E-4</c:v>
                </c:pt>
                <c:pt idx="19">
                  <c:v>1.7844652321428041E-4</c:v>
                </c:pt>
                <c:pt idx="20">
                  <c:v>1.8175535740111833E-4</c:v>
                </c:pt>
                <c:pt idx="21">
                  <c:v>1.8494649415169096E-4</c:v>
                </c:pt>
                <c:pt idx="22">
                  <c:v>1.8806358202104025E-4</c:v>
                </c:pt>
                <c:pt idx="23">
                  <c:v>1.9115880654471998E-4</c:v>
                </c:pt>
                <c:pt idx="24">
                  <c:v>1.9415839151624447E-4</c:v>
                </c:pt>
                <c:pt idx="25">
                  <c:v>1.9704932706987891E-4</c:v>
                </c:pt>
                <c:pt idx="26">
                  <c:v>1.9984315962140212E-4</c:v>
                </c:pt>
                <c:pt idx="27">
                  <c:v>2.0254862247151551E-4</c:v>
                </c:pt>
                <c:pt idx="28">
                  <c:v>2.0546397629405932E-4</c:v>
                </c:pt>
                <c:pt idx="29">
                  <c:v>2.0811974532917117E-4</c:v>
                </c:pt>
                <c:pt idx="30">
                  <c:v>2.1057210846788462E-4</c:v>
                </c:pt>
                <c:pt idx="31">
                  <c:v>2.1284085053297836E-4</c:v>
                </c:pt>
                <c:pt idx="32">
                  <c:v>2.1499589653340678E-4</c:v>
                </c:pt>
                <c:pt idx="33">
                  <c:v>2.1696085394729163E-4</c:v>
                </c:pt>
                <c:pt idx="34">
                  <c:v>2.1885576497099598E-4</c:v>
                </c:pt>
                <c:pt idx="35">
                  <c:v>2.2063172193456375E-4</c:v>
                </c:pt>
                <c:pt idx="36">
                  <c:v>2.2231790173335401E-4</c:v>
                </c:pt>
                <c:pt idx="37">
                  <c:v>2.2373882231699333E-4</c:v>
                </c:pt>
                <c:pt idx="38">
                  <c:v>2.2516976674126179E-4</c:v>
                </c:pt>
                <c:pt idx="39">
                  <c:v>2.2641370430763556E-4</c:v>
                </c:pt>
                <c:pt idx="40">
                  <c:v>2.2752604373625843E-4</c:v>
                </c:pt>
                <c:pt idx="41">
                  <c:v>2.2850878440548706E-4</c:v>
                </c:pt>
                <c:pt idx="42">
                  <c:v>2.2945226151182925E-4</c:v>
                </c:pt>
                <c:pt idx="43">
                  <c:v>2.3014326503948177E-4</c:v>
                </c:pt>
                <c:pt idx="44">
                  <c:v>2.3069558483124886E-4</c:v>
                </c:pt>
                <c:pt idx="45">
                  <c:v>2.3089654243664724E-4</c:v>
                </c:pt>
                <c:pt idx="46">
                  <c:v>2.3115607357858251E-4</c:v>
                </c:pt>
                <c:pt idx="47">
                  <c:v>2.3128387089251185E-4</c:v>
                </c:pt>
                <c:pt idx="48">
                  <c:v>2.3116102970368105E-4</c:v>
                </c:pt>
                <c:pt idx="49">
                  <c:v>2.3109424902990596E-4</c:v>
                </c:pt>
                <c:pt idx="50">
                  <c:v>2.309042196793719E-4</c:v>
                </c:pt>
                <c:pt idx="51">
                  <c:v>2.3023494083593331E-4</c:v>
                </c:pt>
                <c:pt idx="52">
                  <c:v>2.2957039304362874E-4</c:v>
                </c:pt>
                <c:pt idx="53">
                  <c:v>2.2888333758313247E-4</c:v>
                </c:pt>
                <c:pt idx="54">
                  <c:v>2.2775970725157584E-4</c:v>
                </c:pt>
                <c:pt idx="55">
                  <c:v>2.2676141265111314E-4</c:v>
                </c:pt>
                <c:pt idx="56">
                  <c:v>2.2567165952770585E-4</c:v>
                </c:pt>
                <c:pt idx="57">
                  <c:v>2.244722552417266E-4</c:v>
                </c:pt>
                <c:pt idx="58">
                  <c:v>2.2328129872030794E-4</c:v>
                </c:pt>
                <c:pt idx="59">
                  <c:v>2.2161208492576574E-4</c:v>
                </c:pt>
                <c:pt idx="60">
                  <c:v>2.1998969775002206E-4</c:v>
                </c:pt>
                <c:pt idx="61">
                  <c:v>2.1876337701579518E-4</c:v>
                </c:pt>
                <c:pt idx="62">
                  <c:v>2.1692649643386894E-4</c:v>
                </c:pt>
                <c:pt idx="63">
                  <c:v>2.1491602140387458E-4</c:v>
                </c:pt>
                <c:pt idx="64">
                  <c:v>2.1293777377175477E-4</c:v>
                </c:pt>
                <c:pt idx="65">
                  <c:v>2.1076211306776538E-4</c:v>
                </c:pt>
                <c:pt idx="66">
                  <c:v>2.0847172984767338E-4</c:v>
                </c:pt>
                <c:pt idx="67">
                  <c:v>2.0603719762870545E-4</c:v>
                </c:pt>
                <c:pt idx="68">
                  <c:v>2.0313047769424119E-4</c:v>
                </c:pt>
                <c:pt idx="69">
                  <c:v>2.0072279779251691E-4</c:v>
                </c:pt>
                <c:pt idx="70">
                  <c:v>1.9801896056198401E-4</c:v>
                </c:pt>
                <c:pt idx="71">
                  <c:v>1.9540586861802744E-4</c:v>
                </c:pt>
                <c:pt idx="72">
                  <c:v>1.9259541027771357E-4</c:v>
                </c:pt>
                <c:pt idx="73">
                  <c:v>1.8978558429055169E-4</c:v>
                </c:pt>
                <c:pt idx="74">
                  <c:v>1.8611931355052305E-4</c:v>
                </c:pt>
                <c:pt idx="75">
                  <c:v>1.833789488145255E-4</c:v>
                </c:pt>
                <c:pt idx="76">
                  <c:v>1.7998165250157858E-4</c:v>
                </c:pt>
                <c:pt idx="77">
                  <c:v>1.77168345542847E-4</c:v>
                </c:pt>
                <c:pt idx="78">
                  <c:v>1.7383392516613571E-4</c:v>
                </c:pt>
                <c:pt idx="79">
                  <c:v>1.7062251423756683E-4</c:v>
                </c:pt>
                <c:pt idx="80">
                  <c:v>1.6731878130238958E-4</c:v>
                </c:pt>
                <c:pt idx="81">
                  <c:v>1.6423120064666381E-4</c:v>
                </c:pt>
                <c:pt idx="82">
                  <c:v>1.6040884399473672E-4</c:v>
                </c:pt>
                <c:pt idx="83">
                  <c:v>1.57773104889154E-4</c:v>
                </c:pt>
                <c:pt idx="84">
                  <c:v>1.5392990412992622E-4</c:v>
                </c:pt>
                <c:pt idx="85">
                  <c:v>1.5037552290527053E-4</c:v>
                </c:pt>
                <c:pt idx="86">
                  <c:v>1.4700886450824246E-4</c:v>
                </c:pt>
                <c:pt idx="87">
                  <c:v>1.437673381377999E-4</c:v>
                </c:pt>
                <c:pt idx="88">
                  <c:v>1.4009066540937121E-4</c:v>
                </c:pt>
                <c:pt idx="89">
                  <c:v>1.3659829200253029E-4</c:v>
                </c:pt>
                <c:pt idx="90">
                  <c:v>1.3249610710413195E-4</c:v>
                </c:pt>
                <c:pt idx="91">
                  <c:v>1.3014372630146419E-4</c:v>
                </c:pt>
                <c:pt idx="92">
                  <c:v>1.2722143666601574E-4</c:v>
                </c:pt>
                <c:pt idx="93">
                  <c:v>1.2363680124390382E-4</c:v>
                </c:pt>
                <c:pt idx="94">
                  <c:v>1.2070259959152668E-4</c:v>
                </c:pt>
                <c:pt idx="95">
                  <c:v>1.1708396764377966E-4</c:v>
                </c:pt>
                <c:pt idx="96">
                  <c:v>1.1284302192546642E-4</c:v>
                </c:pt>
                <c:pt idx="97">
                  <c:v>1.1019688809715516E-4</c:v>
                </c:pt>
                <c:pt idx="98">
                  <c:v>1.0656863223093181E-4</c:v>
                </c:pt>
                <c:pt idx="99">
                  <c:v>1.0449658237341444E-4</c:v>
                </c:pt>
                <c:pt idx="100">
                  <c:v>1.0114566571421433E-4</c:v>
                </c:pt>
                <c:pt idx="101">
                  <c:v>9.8678609526902874E-5</c:v>
                </c:pt>
                <c:pt idx="102">
                  <c:v>9.5221930515972152E-5</c:v>
                </c:pt>
                <c:pt idx="103">
                  <c:v>9.2479327564215708E-5</c:v>
                </c:pt>
                <c:pt idx="104">
                  <c:v>8.8698616375088254E-5</c:v>
                </c:pt>
                <c:pt idx="105">
                  <c:v>8.7606841302260511E-5</c:v>
                </c:pt>
                <c:pt idx="106">
                  <c:v>8.5403777480262918E-5</c:v>
                </c:pt>
                <c:pt idx="107">
                  <c:v>8.4237957882903164E-5</c:v>
                </c:pt>
                <c:pt idx="108">
                  <c:v>8.0382782958747333E-5</c:v>
                </c:pt>
                <c:pt idx="109">
                  <c:v>7.7148535243226152E-5</c:v>
                </c:pt>
                <c:pt idx="110">
                  <c:v>7.5031277285254904E-5</c:v>
                </c:pt>
                <c:pt idx="111">
                  <c:v>7.2367491820786984E-5</c:v>
                </c:pt>
                <c:pt idx="112">
                  <c:v>7.3165482689893109E-5</c:v>
                </c:pt>
                <c:pt idx="113">
                  <c:v>6.9916554585589338E-5</c:v>
                </c:pt>
                <c:pt idx="114">
                  <c:v>7.0182882748574338E-5</c:v>
                </c:pt>
                <c:pt idx="115">
                  <c:v>6.542704019568651E-5</c:v>
                </c:pt>
                <c:pt idx="116">
                  <c:v>6.7012386115573164E-5</c:v>
                </c:pt>
                <c:pt idx="117">
                  <c:v>6.5683802482042081E-5</c:v>
                </c:pt>
                <c:pt idx="118">
                  <c:v>6.371623940811353E-5</c:v>
                </c:pt>
                <c:pt idx="119">
                  <c:v>6.4067790903191865E-5</c:v>
                </c:pt>
                <c:pt idx="120">
                  <c:v>6.2188348266554763E-5</c:v>
                </c:pt>
                <c:pt idx="121">
                  <c:v>5.8865596978320862E-5</c:v>
                </c:pt>
                <c:pt idx="122">
                  <c:v>5.5091719833432117E-5</c:v>
                </c:pt>
                <c:pt idx="123">
                  <c:v>0</c:v>
                </c:pt>
                <c:pt idx="124">
                  <c:v>0</c:v>
                </c:pt>
              </c:numCache>
            </c:numRef>
          </c:yVal>
          <c:smooth val="0"/>
        </c:ser>
        <c:ser>
          <c:idx val="11"/>
          <c:order val="11"/>
          <c:tx>
            <c:strRef>
              <c:f>Plots!$V$1</c:f>
              <c:strCache>
                <c:ptCount val="1"/>
                <c:pt idx="0">
                  <c:v>80</c:v>
                </c:pt>
              </c:strCache>
            </c:strRef>
          </c:tx>
          <c:spPr>
            <a:ln w="28575">
              <a:noFill/>
            </a:ln>
          </c:spPr>
          <c:marker>
            <c:symbol val="diamond"/>
            <c:size val="7"/>
            <c:spPr>
              <a:solidFill>
                <a:srgbClr val="00B0F0"/>
              </a:solidFill>
              <a:ln>
                <a:noFill/>
              </a:ln>
            </c:spPr>
          </c:marker>
          <c:xVal>
            <c:numRef>
              <c:f>Plots!$V$3:$V$127</c:f>
              <c:numCache>
                <c:formatCode>General</c:formatCode>
                <c:ptCount val="125"/>
                <c:pt idx="0">
                  <c:v>9575761656130390</c:v>
                </c:pt>
                <c:pt idx="1">
                  <c:v>3.961954798506532E+16</c:v>
                </c:pt>
                <c:pt idx="2">
                  <c:v>5.911175016413232E+16</c:v>
                </c:pt>
                <c:pt idx="3">
                  <c:v>6.4202794338803928E+16</c:v>
                </c:pt>
                <c:pt idx="4">
                  <c:v>6.4190281202809128E+16</c:v>
                </c:pt>
                <c:pt idx="5">
                  <c:v>6.2983104550207576E+16</c:v>
                </c:pt>
                <c:pt idx="6">
                  <c:v>6.0969895694009296E+16</c:v>
                </c:pt>
                <c:pt idx="7">
                  <c:v>5.8964966649508608E+16</c:v>
                </c:pt>
                <c:pt idx="8">
                  <c:v>5.6984416823506328E+16</c:v>
                </c:pt>
                <c:pt idx="9">
                  <c:v>5.5039751004254048E+16</c:v>
                </c:pt>
                <c:pt idx="10">
                  <c:v>5.3135863459374344E+16</c:v>
                </c:pt>
                <c:pt idx="11">
                  <c:v>5.1286591641959264E+16</c:v>
                </c:pt>
                <c:pt idx="12">
                  <c:v>4.9469423274709184E+16</c:v>
                </c:pt>
                <c:pt idx="13">
                  <c:v>4.7697476777422168E+16</c:v>
                </c:pt>
                <c:pt idx="14">
                  <c:v>4.5986351883549816E+16</c:v>
                </c:pt>
                <c:pt idx="15">
                  <c:v>4.4326216728318536E+16</c:v>
                </c:pt>
                <c:pt idx="16">
                  <c:v>4.2705336804901576E+16</c:v>
                </c:pt>
                <c:pt idx="17">
                  <c:v>4.1135378519620976E+16</c:v>
                </c:pt>
                <c:pt idx="18">
                  <c:v>3.9620428864903656E+16</c:v>
                </c:pt>
                <c:pt idx="19">
                  <c:v>3.8132173187500912E+16</c:v>
                </c:pt>
                <c:pt idx="20">
                  <c:v>3.6687366524911704E+16</c:v>
                </c:pt>
                <c:pt idx="21">
                  <c:v>3.5291547106463732E+16</c:v>
                </c:pt>
                <c:pt idx="22">
                  <c:v>3.3940894885027288E+16</c:v>
                </c:pt>
                <c:pt idx="23">
                  <c:v>3.2622031105266724E+16</c:v>
                </c:pt>
                <c:pt idx="24">
                  <c:v>3.134511928779218E+16</c:v>
                </c:pt>
                <c:pt idx="25">
                  <c:v>3.0108420262516408E+16</c:v>
                </c:pt>
                <c:pt idx="26">
                  <c:v>2.8913028159778032E+16</c:v>
                </c:pt>
                <c:pt idx="27">
                  <c:v>2.7759048258279972E+16</c:v>
                </c:pt>
                <c:pt idx="28">
                  <c:v>2.663422918511978E+16</c:v>
                </c:pt>
                <c:pt idx="29">
                  <c:v>2.55525323469304E+16</c:v>
                </c:pt>
                <c:pt idx="30">
                  <c:v>2.4497899088850956E+16</c:v>
                </c:pt>
                <c:pt idx="31">
                  <c:v>2.3481764077649252E+16</c:v>
                </c:pt>
                <c:pt idx="32">
                  <c:v>2.250484816131668E+16</c:v>
                </c:pt>
                <c:pt idx="33">
                  <c:v>2.1547046756628124E+16</c:v>
                </c:pt>
                <c:pt idx="34">
                  <c:v>2.0624759234461812E+16</c:v>
                </c:pt>
                <c:pt idx="35">
                  <c:v>1.973154626162946E+16</c:v>
                </c:pt>
                <c:pt idx="36">
                  <c:v>1.8867782965537908E+16</c:v>
                </c:pt>
                <c:pt idx="37">
                  <c:v>1.8036237028044948E+16</c:v>
                </c:pt>
                <c:pt idx="38">
                  <c:v>1.7230648902609008E+16</c:v>
                </c:pt>
                <c:pt idx="39">
                  <c:v>1.6459007935996988E+16</c:v>
                </c:pt>
                <c:pt idx="40">
                  <c:v>1.5711770326379698E+16</c:v>
                </c:pt>
                <c:pt idx="41">
                  <c:v>1.4986744755722476E+16</c:v>
                </c:pt>
                <c:pt idx="42">
                  <c:v>1.429591272179159E+16</c:v>
                </c:pt>
                <c:pt idx="43">
                  <c:v>1.3630217694308998E+16</c:v>
                </c:pt>
                <c:pt idx="44">
                  <c:v>1.2991560645032672E+16</c:v>
                </c:pt>
                <c:pt idx="45">
                  <c:v>1.237169528831893E+16</c:v>
                </c:pt>
                <c:pt idx="46">
                  <c:v>1.1777385119490692E+16</c:v>
                </c:pt>
                <c:pt idx="47">
                  <c:v>1.120515118550953E+16</c:v>
                </c:pt>
                <c:pt idx="48">
                  <c:v>1.0653805422247168E+16</c:v>
                </c:pt>
                <c:pt idx="49">
                  <c:v>1.0129243135865958E+16</c:v>
                </c:pt>
                <c:pt idx="50">
                  <c:v>9625110348545504</c:v>
                </c:pt>
                <c:pt idx="51">
                  <c:v>9136479458713380</c:v>
                </c:pt>
                <c:pt idx="52">
                  <c:v>8670293550187666</c:v>
                </c:pt>
                <c:pt idx="53">
                  <c:v>8224919518929072</c:v>
                </c:pt>
                <c:pt idx="54">
                  <c:v>7792255442757351</c:v>
                </c:pt>
                <c:pt idx="55">
                  <c:v>7376316834291295</c:v>
                </c:pt>
                <c:pt idx="56">
                  <c:v>6986941510543921</c:v>
                </c:pt>
                <c:pt idx="57">
                  <c:v>6609504625467210</c:v>
                </c:pt>
                <c:pt idx="58">
                  <c:v>6250252578004607</c:v>
                </c:pt>
                <c:pt idx="59">
                  <c:v>5903393326102652</c:v>
                </c:pt>
                <c:pt idx="60">
                  <c:v>5579537473444980</c:v>
                </c:pt>
                <c:pt idx="61">
                  <c:v>5263078452348416</c:v>
                </c:pt>
                <c:pt idx="62">
                  <c:v>4964007604764520</c:v>
                </c:pt>
                <c:pt idx="63">
                  <c:v>4677604139167664</c:v>
                </c:pt>
                <c:pt idx="64">
                  <c:v>4404692812594047.5</c:v>
                </c:pt>
                <c:pt idx="65">
                  <c:v>4146134912452983.5</c:v>
                </c:pt>
                <c:pt idx="66">
                  <c:v>3900523017209902</c:v>
                </c:pt>
                <c:pt idx="67">
                  <c:v>3662365402365997.5</c:v>
                </c:pt>
                <c:pt idx="68">
                  <c:v>3440840627928051.5</c:v>
                </c:pt>
                <c:pt idx="69">
                  <c:v>3227618006897743</c:v>
                </c:pt>
                <c:pt idx="70">
                  <c:v>3025819818674484.5</c:v>
                </c:pt>
                <c:pt idx="71">
                  <c:v>2836068501112710</c:v>
                </c:pt>
                <c:pt idx="72">
                  <c:v>2657651242962364.5</c:v>
                </c:pt>
                <c:pt idx="73">
                  <c:v>2485848574666250</c:v>
                </c:pt>
                <c:pt idx="74">
                  <c:v>2318399863881456.5</c:v>
                </c:pt>
                <c:pt idx="75">
                  <c:v>2164799326465957</c:v>
                </c:pt>
                <c:pt idx="76">
                  <c:v>2021290988903837.7</c:v>
                </c:pt>
                <c:pt idx="77">
                  <c:v>1887381352896081</c:v>
                </c:pt>
                <c:pt idx="78">
                  <c:v>1757412532248602</c:v>
                </c:pt>
                <c:pt idx="79">
                  <c:v>1632623914870869.5</c:v>
                </c:pt>
                <c:pt idx="80">
                  <c:v>1519001867425281</c:v>
                </c:pt>
                <c:pt idx="81">
                  <c:v>1411133376954010</c:v>
                </c:pt>
                <c:pt idx="82">
                  <c:v>1312905603551029</c:v>
                </c:pt>
                <c:pt idx="83">
                  <c:v>1220995998946978</c:v>
                </c:pt>
                <c:pt idx="84">
                  <c:v>1129823279625913.2</c:v>
                </c:pt>
                <c:pt idx="85">
                  <c:v>1045717228967288.4</c:v>
                </c:pt>
                <c:pt idx="86">
                  <c:v>968025433426501.75</c:v>
                </c:pt>
                <c:pt idx="87">
                  <c:v>891481955174565</c:v>
                </c:pt>
                <c:pt idx="88">
                  <c:v>823654459230004.5</c:v>
                </c:pt>
                <c:pt idx="89">
                  <c:v>760383148789632</c:v>
                </c:pt>
                <c:pt idx="90">
                  <c:v>702565616198189.12</c:v>
                </c:pt>
                <c:pt idx="91">
                  <c:v>645486397537567.25</c:v>
                </c:pt>
                <c:pt idx="92">
                  <c:v>594968468273167.87</c:v>
                </c:pt>
                <c:pt idx="93">
                  <c:v>544445011618846.19</c:v>
                </c:pt>
                <c:pt idx="94">
                  <c:v>501187325583757.75</c:v>
                </c:pt>
                <c:pt idx="95">
                  <c:v>459485892682973.44</c:v>
                </c:pt>
                <c:pt idx="96">
                  <c:v>417554010374023.44</c:v>
                </c:pt>
                <c:pt idx="97">
                  <c:v>379304550215704.62</c:v>
                </c:pt>
                <c:pt idx="98">
                  <c:v>350945593295938.69</c:v>
                </c:pt>
                <c:pt idx="99">
                  <c:v>318421631204201.37</c:v>
                </c:pt>
                <c:pt idx="100">
                  <c:v>293499598230372.87</c:v>
                </c:pt>
                <c:pt idx="101">
                  <c:v>268732631176972.09</c:v>
                </c:pt>
                <c:pt idx="102">
                  <c:v>241812295150613.72</c:v>
                </c:pt>
                <c:pt idx="103">
                  <c:v>220217071949391.87</c:v>
                </c:pt>
                <c:pt idx="104">
                  <c:v>201308661980361.47</c:v>
                </c:pt>
                <c:pt idx="105">
                  <c:v>183245571096645.28</c:v>
                </c:pt>
                <c:pt idx="106">
                  <c:v>165596569045794.62</c:v>
                </c:pt>
                <c:pt idx="107">
                  <c:v>149488712088031.5</c:v>
                </c:pt>
                <c:pt idx="108">
                  <c:v>137208433499425.23</c:v>
                </c:pt>
                <c:pt idx="109">
                  <c:v>124205005610614.83</c:v>
                </c:pt>
                <c:pt idx="110">
                  <c:v>111991867313989.03</c:v>
                </c:pt>
                <c:pt idx="111">
                  <c:v>102192898120332.27</c:v>
                </c:pt>
                <c:pt idx="112">
                  <c:v>89350561228118.937</c:v>
                </c:pt>
                <c:pt idx="113">
                  <c:v>84712423687350.906</c:v>
                </c:pt>
                <c:pt idx="114">
                  <c:v>82471797011296.187</c:v>
                </c:pt>
                <c:pt idx="115">
                  <c:v>67729446649408.234</c:v>
                </c:pt>
                <c:pt idx="116">
                  <c:v>65686157811885.828</c:v>
                </c:pt>
                <c:pt idx="117">
                  <c:v>55709078361543.367</c:v>
                </c:pt>
                <c:pt idx="118">
                  <c:v>52014556517458.812</c:v>
                </c:pt>
                <c:pt idx="119">
                  <c:v>47283963660530.305</c:v>
                </c:pt>
                <c:pt idx="120">
                  <c:v>44324244366629.562</c:v>
                </c:pt>
                <c:pt idx="121">
                  <c:v>39791390566856.687</c:v>
                </c:pt>
                <c:pt idx="122">
                  <c:v>33535709551589.816</c:v>
                </c:pt>
                <c:pt idx="123">
                  <c:v>30353116138519.707</c:v>
                </c:pt>
                <c:pt idx="124">
                  <c:v>28130248295923.687</c:v>
                </c:pt>
              </c:numCache>
            </c:numRef>
          </c:xVal>
          <c:yVal>
            <c:numRef>
              <c:f>Plots!$W$3:$W$127</c:f>
              <c:numCache>
                <c:formatCode>General</c:formatCode>
                <c:ptCount val="125"/>
                <c:pt idx="0">
                  <c:v>0</c:v>
                </c:pt>
                <c:pt idx="1">
                  <c:v>0</c:v>
                </c:pt>
                <c:pt idx="2">
                  <c:v>1.6749723040913558E-4</c:v>
                </c:pt>
                <c:pt idx="3">
                  <c:v>1.4257369730250887E-4</c:v>
                </c:pt>
                <c:pt idx="4">
                  <c:v>1.3076334837243156E-4</c:v>
                </c:pt>
                <c:pt idx="5">
                  <c:v>1.2929136462483726E-4</c:v>
                </c:pt>
                <c:pt idx="6">
                  <c:v>1.311340004350596E-4</c:v>
                </c:pt>
                <c:pt idx="7">
                  <c:v>1.342556112639799E-4</c:v>
                </c:pt>
                <c:pt idx="8">
                  <c:v>1.3772798915731398E-4</c:v>
                </c:pt>
                <c:pt idx="9">
                  <c:v>1.4112547402922869E-4</c:v>
                </c:pt>
                <c:pt idx="10">
                  <c:v>1.4444316544100593E-4</c:v>
                </c:pt>
                <c:pt idx="11">
                  <c:v>1.4773411365336553E-4</c:v>
                </c:pt>
                <c:pt idx="12">
                  <c:v>1.5106980046502945E-4</c:v>
                </c:pt>
                <c:pt idx="13">
                  <c:v>1.5431626458273695E-4</c:v>
                </c:pt>
                <c:pt idx="14">
                  <c:v>1.5754392816484775E-4</c:v>
                </c:pt>
                <c:pt idx="15">
                  <c:v>1.6077896567698408E-4</c:v>
                </c:pt>
                <c:pt idx="16">
                  <c:v>1.6397111941265195E-4</c:v>
                </c:pt>
                <c:pt idx="17">
                  <c:v>1.670903385599569E-4</c:v>
                </c:pt>
                <c:pt idx="18">
                  <c:v>1.7020246040634705E-4</c:v>
                </c:pt>
                <c:pt idx="19">
                  <c:v>1.731928094625553E-4</c:v>
                </c:pt>
                <c:pt idx="20">
                  <c:v>1.7609354735917025E-4</c:v>
                </c:pt>
                <c:pt idx="21">
                  <c:v>1.7899060473811865E-4</c:v>
                </c:pt>
                <c:pt idx="22">
                  <c:v>1.8180543684068567E-4</c:v>
                </c:pt>
                <c:pt idx="23">
                  <c:v>1.8455246605905936E-4</c:v>
                </c:pt>
                <c:pt idx="24">
                  <c:v>1.8718562805895161E-4</c:v>
                </c:pt>
                <c:pt idx="25">
                  <c:v>1.897660386690981E-4</c:v>
                </c:pt>
                <c:pt idx="26">
                  <c:v>1.9224678618074605E-4</c:v>
                </c:pt>
                <c:pt idx="27">
                  <c:v>1.9464728751964538E-4</c:v>
                </c:pt>
                <c:pt idx="28">
                  <c:v>1.9714963589517336E-4</c:v>
                </c:pt>
                <c:pt idx="29">
                  <c:v>1.9948397424976097E-4</c:v>
                </c:pt>
                <c:pt idx="30">
                  <c:v>2.0156030090504422E-4</c:v>
                </c:pt>
                <c:pt idx="31">
                  <c:v>2.0345580853771159E-4</c:v>
                </c:pt>
                <c:pt idx="32">
                  <c:v>2.0527916302231505E-4</c:v>
                </c:pt>
                <c:pt idx="33">
                  <c:v>2.0691397256288006E-4</c:v>
                </c:pt>
                <c:pt idx="34">
                  <c:v>2.0840070168202785E-4</c:v>
                </c:pt>
                <c:pt idx="35">
                  <c:v>2.0980511125485236E-4</c:v>
                </c:pt>
                <c:pt idx="36">
                  <c:v>2.1106012631113763E-4</c:v>
                </c:pt>
                <c:pt idx="37">
                  <c:v>2.1212694685235323E-4</c:v>
                </c:pt>
                <c:pt idx="38">
                  <c:v>2.131048790140769E-4</c:v>
                </c:pt>
                <c:pt idx="39">
                  <c:v>2.1410921719198722E-4</c:v>
                </c:pt>
                <c:pt idx="40">
                  <c:v>2.148916565493422E-4</c:v>
                </c:pt>
                <c:pt idx="41">
                  <c:v>2.154175115432921E-4</c:v>
                </c:pt>
                <c:pt idx="42">
                  <c:v>2.159899918708487E-4</c:v>
                </c:pt>
                <c:pt idx="43">
                  <c:v>2.163651588661562E-4</c:v>
                </c:pt>
                <c:pt idx="44">
                  <c:v>2.1656382840909319E-4</c:v>
                </c:pt>
                <c:pt idx="45">
                  <c:v>2.1647863700863631E-4</c:v>
                </c:pt>
                <c:pt idx="46">
                  <c:v>2.1631297290298869E-4</c:v>
                </c:pt>
                <c:pt idx="47">
                  <c:v>2.1611613319553365E-4</c:v>
                </c:pt>
                <c:pt idx="48">
                  <c:v>2.1569453197959921E-4</c:v>
                </c:pt>
                <c:pt idx="49">
                  <c:v>2.1527885982185522E-4</c:v>
                </c:pt>
                <c:pt idx="50">
                  <c:v>2.1472066566473956E-4</c:v>
                </c:pt>
                <c:pt idx="51">
                  <c:v>2.1376140334216441E-4</c:v>
                </c:pt>
                <c:pt idx="52">
                  <c:v>2.1279779734166722E-4</c:v>
                </c:pt>
                <c:pt idx="53">
                  <c:v>2.1190994590003661E-4</c:v>
                </c:pt>
                <c:pt idx="54">
                  <c:v>2.1053753947535456E-4</c:v>
                </c:pt>
                <c:pt idx="55">
                  <c:v>2.0897588468673795E-4</c:v>
                </c:pt>
                <c:pt idx="56">
                  <c:v>2.078248881036109E-4</c:v>
                </c:pt>
                <c:pt idx="57">
                  <c:v>2.0626677223456355E-4</c:v>
                </c:pt>
                <c:pt idx="58">
                  <c:v>2.0483407267621339E-4</c:v>
                </c:pt>
                <c:pt idx="59">
                  <c:v>2.0314824875256404E-4</c:v>
                </c:pt>
                <c:pt idx="60">
                  <c:v>2.0128557515413186E-4</c:v>
                </c:pt>
                <c:pt idx="61">
                  <c:v>1.9939366830709304E-4</c:v>
                </c:pt>
                <c:pt idx="62">
                  <c:v>1.9761897924311096E-4</c:v>
                </c:pt>
                <c:pt idx="63">
                  <c:v>1.9542936437485587E-4</c:v>
                </c:pt>
                <c:pt idx="64">
                  <c:v>1.9313052032771062E-4</c:v>
                </c:pt>
                <c:pt idx="65">
                  <c:v>1.9070116045277551E-4</c:v>
                </c:pt>
                <c:pt idx="66">
                  <c:v>1.8816288629291267E-4</c:v>
                </c:pt>
                <c:pt idx="67">
                  <c:v>1.8545861916683632E-4</c:v>
                </c:pt>
                <c:pt idx="68">
                  <c:v>1.829444237848426E-4</c:v>
                </c:pt>
                <c:pt idx="69">
                  <c:v>1.802954028576315E-4</c:v>
                </c:pt>
                <c:pt idx="70">
                  <c:v>1.7764868892942702E-4</c:v>
                </c:pt>
                <c:pt idx="71">
                  <c:v>1.7467205222061998E-4</c:v>
                </c:pt>
                <c:pt idx="72">
                  <c:v>1.71646696443613E-4</c:v>
                </c:pt>
                <c:pt idx="73">
                  <c:v>1.6853636375491977E-4</c:v>
                </c:pt>
                <c:pt idx="74">
                  <c:v>1.6522125625346773E-4</c:v>
                </c:pt>
                <c:pt idx="75">
                  <c:v>1.6207129625803797E-4</c:v>
                </c:pt>
                <c:pt idx="76">
                  <c:v>1.5912313994479496E-4</c:v>
                </c:pt>
                <c:pt idx="77">
                  <c:v>1.5590735016163916E-4</c:v>
                </c:pt>
                <c:pt idx="78">
                  <c:v>1.5276288981323232E-4</c:v>
                </c:pt>
                <c:pt idx="79">
                  <c:v>1.4906269759328982E-4</c:v>
                </c:pt>
                <c:pt idx="80">
                  <c:v>1.4625437827717709E-4</c:v>
                </c:pt>
                <c:pt idx="81">
                  <c:v>1.427414853060792E-4</c:v>
                </c:pt>
                <c:pt idx="82">
                  <c:v>1.3959018493543812E-4</c:v>
                </c:pt>
                <c:pt idx="83">
                  <c:v>1.3652105146706725E-4</c:v>
                </c:pt>
                <c:pt idx="84">
                  <c:v>1.3270476610511143E-4</c:v>
                </c:pt>
                <c:pt idx="85">
                  <c:v>1.292447441331684E-4</c:v>
                </c:pt>
                <c:pt idx="86">
                  <c:v>1.2574406268057059E-4</c:v>
                </c:pt>
                <c:pt idx="87">
                  <c:v>1.2214706492211046E-4</c:v>
                </c:pt>
                <c:pt idx="88">
                  <c:v>1.1888836765266092E-4</c:v>
                </c:pt>
                <c:pt idx="89">
                  <c:v>1.1574749264735759E-4</c:v>
                </c:pt>
                <c:pt idx="90">
                  <c:v>1.1296019754976992E-4</c:v>
                </c:pt>
                <c:pt idx="91">
                  <c:v>1.0926960538275506E-4</c:v>
                </c:pt>
                <c:pt idx="92">
                  <c:v>1.0593983001073414E-4</c:v>
                </c:pt>
                <c:pt idx="93">
                  <c:v>1.0255822230525526E-4</c:v>
                </c:pt>
                <c:pt idx="94">
                  <c:v>9.9405333824474114E-5</c:v>
                </c:pt>
                <c:pt idx="95">
                  <c:v>9.5990296610102942E-5</c:v>
                </c:pt>
                <c:pt idx="96">
                  <c:v>9.2305724604535517E-5</c:v>
                </c:pt>
                <c:pt idx="97">
                  <c:v>8.8504398455104189E-5</c:v>
                </c:pt>
                <c:pt idx="98">
                  <c:v>8.7050924619238557E-5</c:v>
                </c:pt>
                <c:pt idx="99">
                  <c:v>8.3748521187960247E-5</c:v>
                </c:pt>
                <c:pt idx="100">
                  <c:v>8.1120972241426347E-5</c:v>
                </c:pt>
                <c:pt idx="101">
                  <c:v>7.8931638087504432E-5</c:v>
                </c:pt>
                <c:pt idx="102">
                  <c:v>7.492017125706019E-5</c:v>
                </c:pt>
                <c:pt idx="103">
                  <c:v>7.2299155748984842E-5</c:v>
                </c:pt>
                <c:pt idx="104">
                  <c:v>7.0072577182866947E-5</c:v>
                </c:pt>
                <c:pt idx="105">
                  <c:v>6.7782255023719992E-5</c:v>
                </c:pt>
                <c:pt idx="106">
                  <c:v>6.4811233986965613E-5</c:v>
                </c:pt>
                <c:pt idx="107">
                  <c:v>6.240240716333296E-5</c:v>
                </c:pt>
                <c:pt idx="108">
                  <c:v>6.0648670969953005E-5</c:v>
                </c:pt>
                <c:pt idx="109">
                  <c:v>5.8300485129631211E-5</c:v>
                </c:pt>
                <c:pt idx="110">
                  <c:v>5.6066084328673068E-5</c:v>
                </c:pt>
                <c:pt idx="111">
                  <c:v>5.4448401416191517E-5</c:v>
                </c:pt>
                <c:pt idx="112">
                  <c:v>5.1457245050009668E-5</c:v>
                </c:pt>
                <c:pt idx="113">
                  <c:v>5.1517899360498551E-5</c:v>
                </c:pt>
                <c:pt idx="114">
                  <c:v>5.3128527717133755E-5</c:v>
                </c:pt>
                <c:pt idx="115">
                  <c:v>4.6371273777557123E-5</c:v>
                </c:pt>
                <c:pt idx="116">
                  <c:v>4.71571844057683E-5</c:v>
                </c:pt>
                <c:pt idx="117">
                  <c:v>4.3546153660891478E-5</c:v>
                </c:pt>
                <c:pt idx="118">
                  <c:v>4.3094377737348112E-5</c:v>
                </c:pt>
                <c:pt idx="119">
                  <c:v>4.1717813929721799E-5</c:v>
                </c:pt>
                <c:pt idx="120">
                  <c:v>4.1326630187591486E-5</c:v>
                </c:pt>
                <c:pt idx="121">
                  <c:v>4.0869127169226522E-5</c:v>
                </c:pt>
                <c:pt idx="122">
                  <c:v>3.6158928613971561E-5</c:v>
                </c:pt>
                <c:pt idx="123">
                  <c:v>0</c:v>
                </c:pt>
                <c:pt idx="124">
                  <c:v>0</c:v>
                </c:pt>
              </c:numCache>
            </c:numRef>
          </c:yVal>
          <c:smooth val="0"/>
        </c:ser>
        <c:ser>
          <c:idx val="12"/>
          <c:order val="12"/>
          <c:tx>
            <c:strRef>
              <c:f>Plots!$X$1</c:f>
              <c:strCache>
                <c:ptCount val="1"/>
                <c:pt idx="0">
                  <c:v>70</c:v>
                </c:pt>
              </c:strCache>
            </c:strRef>
          </c:tx>
          <c:spPr>
            <a:ln w="28575">
              <a:noFill/>
            </a:ln>
          </c:spPr>
          <c:marker>
            <c:symbol val="diamond"/>
            <c:size val="7"/>
            <c:spPr>
              <a:solidFill>
                <a:schemeClr val="tx2">
                  <a:lumMod val="60000"/>
                  <a:lumOff val="40000"/>
                </a:schemeClr>
              </a:solidFill>
              <a:ln>
                <a:noFill/>
              </a:ln>
            </c:spPr>
          </c:marker>
          <c:xVal>
            <c:numRef>
              <c:f>Plots!$X$3:$X$127</c:f>
              <c:numCache>
                <c:formatCode>General</c:formatCode>
                <c:ptCount val="125"/>
                <c:pt idx="0">
                  <c:v>9537078821640902</c:v>
                </c:pt>
                <c:pt idx="1">
                  <c:v>3.9948053603391448E+16</c:v>
                </c:pt>
                <c:pt idx="2">
                  <c:v>5.8474650123065848E+16</c:v>
                </c:pt>
                <c:pt idx="3">
                  <c:v>6.1351149125686696E+16</c:v>
                </c:pt>
                <c:pt idx="4">
                  <c:v>6.1351149125686696E+16</c:v>
                </c:pt>
                <c:pt idx="5">
                  <c:v>6.1351149125686696E+16</c:v>
                </c:pt>
                <c:pt idx="6">
                  <c:v>6.0795308026139536E+16</c:v>
                </c:pt>
                <c:pt idx="7">
                  <c:v>5.8858499287548384E+16</c:v>
                </c:pt>
                <c:pt idx="8">
                  <c:v>5.6869018794557048E+16</c:v>
                </c:pt>
                <c:pt idx="9">
                  <c:v>5.4917162951690064E+16</c:v>
                </c:pt>
                <c:pt idx="10">
                  <c:v>5.3002489035482664E+16</c:v>
                </c:pt>
                <c:pt idx="11">
                  <c:v>5.1128521147296152E+16</c:v>
                </c:pt>
                <c:pt idx="12">
                  <c:v>4.9301666626936488E+16</c:v>
                </c:pt>
                <c:pt idx="13">
                  <c:v>4.7506372195546504E+16</c:v>
                </c:pt>
                <c:pt idx="14">
                  <c:v>4.5764806489710904E+16</c:v>
                </c:pt>
                <c:pt idx="15">
                  <c:v>4.407449597139836E+16</c:v>
                </c:pt>
                <c:pt idx="16">
                  <c:v>4.2436745670653032E+16</c:v>
                </c:pt>
                <c:pt idx="17">
                  <c:v>4.0833334991472336E+16</c:v>
                </c:pt>
                <c:pt idx="18">
                  <c:v>3.9287598677772168E+16</c:v>
                </c:pt>
                <c:pt idx="19">
                  <c:v>3.7780281497941608E+16</c:v>
                </c:pt>
                <c:pt idx="20">
                  <c:v>3.6322438487427784E+16</c:v>
                </c:pt>
                <c:pt idx="21">
                  <c:v>3.4896462886003168E+16</c:v>
                </c:pt>
                <c:pt idx="22">
                  <c:v>3.3518965303229608E+16</c:v>
                </c:pt>
                <c:pt idx="23">
                  <c:v>3.2186082015626896E+16</c:v>
                </c:pt>
                <c:pt idx="24">
                  <c:v>3.08958341705151E+16</c:v>
                </c:pt>
                <c:pt idx="25">
                  <c:v>2.9647483779970636E+16</c:v>
                </c:pt>
                <c:pt idx="26">
                  <c:v>2.8434834088629556E+16</c:v>
                </c:pt>
                <c:pt idx="27">
                  <c:v>2.7268188666000736E+16</c:v>
                </c:pt>
                <c:pt idx="28">
                  <c:v>2.6145387271526652E+16</c:v>
                </c:pt>
                <c:pt idx="29">
                  <c:v>2.5045175225287508E+16</c:v>
                </c:pt>
                <c:pt idx="30">
                  <c:v>2.3986339667363876E+16</c:v>
                </c:pt>
                <c:pt idx="31">
                  <c:v>2.2970844497027876E+16</c:v>
                </c:pt>
                <c:pt idx="32">
                  <c:v>2.1981850008924748E+16</c:v>
                </c:pt>
                <c:pt idx="33">
                  <c:v>2.1023420559644064E+16</c:v>
                </c:pt>
                <c:pt idx="34">
                  <c:v>2.0103869767261688E+16</c:v>
                </c:pt>
                <c:pt idx="35">
                  <c:v>1.9205622660936996E+16</c:v>
                </c:pt>
                <c:pt idx="36">
                  <c:v>1.8341793441192324E+16</c:v>
                </c:pt>
                <c:pt idx="37">
                  <c:v>1.7514249058247152E+16</c:v>
                </c:pt>
                <c:pt idx="38">
                  <c:v>1.6710894197938016E+16</c:v>
                </c:pt>
                <c:pt idx="39">
                  <c:v>1.5938094570988296E+16</c:v>
                </c:pt>
                <c:pt idx="40">
                  <c:v>1.519455398604144E+16</c:v>
                </c:pt>
                <c:pt idx="41">
                  <c:v>1.4479764088375522E+16</c:v>
                </c:pt>
                <c:pt idx="42">
                  <c:v>1.3789163068160594E+16</c:v>
                </c:pt>
                <c:pt idx="43">
                  <c:v>1.3123435758072004E+16</c:v>
                </c:pt>
                <c:pt idx="44">
                  <c:v>1.2493643562564412E+16</c:v>
                </c:pt>
                <c:pt idx="45">
                  <c:v>1.188229575284161E+16</c:v>
                </c:pt>
                <c:pt idx="46">
                  <c:v>1.1291615865818762E+16</c:v>
                </c:pt>
                <c:pt idx="47">
                  <c:v>1.072878142486425E+16</c:v>
                </c:pt>
                <c:pt idx="48">
                  <c:v>1.0185389372086168E+16</c:v>
                </c:pt>
                <c:pt idx="49">
                  <c:v>9663263862478264</c:v>
                </c:pt>
                <c:pt idx="50">
                  <c:v>9168004936533196</c:v>
                </c:pt>
                <c:pt idx="51">
                  <c:v>8690231683410684</c:v>
                </c:pt>
                <c:pt idx="52">
                  <c:v>8235942016949335</c:v>
                </c:pt>
                <c:pt idx="53">
                  <c:v>7800845575778128</c:v>
                </c:pt>
                <c:pt idx="54">
                  <c:v>7380679762788361</c:v>
                </c:pt>
                <c:pt idx="55">
                  <c:v>6974087498483031</c:v>
                </c:pt>
                <c:pt idx="56">
                  <c:v>6590103747126765</c:v>
                </c:pt>
                <c:pt idx="57">
                  <c:v>6226718618539893</c:v>
                </c:pt>
                <c:pt idx="58">
                  <c:v>5877898175340924</c:v>
                </c:pt>
                <c:pt idx="59">
                  <c:v>5545176198363897</c:v>
                </c:pt>
                <c:pt idx="60">
                  <c:v>5228173004469852</c:v>
                </c:pt>
                <c:pt idx="61">
                  <c:v>4924594974360704</c:v>
                </c:pt>
                <c:pt idx="62">
                  <c:v>4633184605360370</c:v>
                </c:pt>
                <c:pt idx="63">
                  <c:v>4358077112359256</c:v>
                </c:pt>
                <c:pt idx="64">
                  <c:v>4097686054568385.5</c:v>
                </c:pt>
                <c:pt idx="65">
                  <c:v>3848052005446180</c:v>
                </c:pt>
                <c:pt idx="66">
                  <c:v>3617290362741461</c:v>
                </c:pt>
                <c:pt idx="67">
                  <c:v>3393517390946978.5</c:v>
                </c:pt>
                <c:pt idx="68">
                  <c:v>3178658351501039.5</c:v>
                </c:pt>
                <c:pt idx="69">
                  <c:v>2976322202690862</c:v>
                </c:pt>
                <c:pt idx="70">
                  <c:v>2783231664050590</c:v>
                </c:pt>
                <c:pt idx="71">
                  <c:v>2606158625645000</c:v>
                </c:pt>
                <c:pt idx="72">
                  <c:v>2433635405228443</c:v>
                </c:pt>
                <c:pt idx="73">
                  <c:v>2273568233411664.5</c:v>
                </c:pt>
                <c:pt idx="74">
                  <c:v>2120518775953084.2</c:v>
                </c:pt>
                <c:pt idx="75">
                  <c:v>1975288667868800.3</c:v>
                </c:pt>
                <c:pt idx="76">
                  <c:v>1838188647706040.3</c:v>
                </c:pt>
                <c:pt idx="77">
                  <c:v>1710987583085653.5</c:v>
                </c:pt>
                <c:pt idx="78">
                  <c:v>1588142575290642.5</c:v>
                </c:pt>
                <c:pt idx="79">
                  <c:v>1472258563887601.5</c:v>
                </c:pt>
                <c:pt idx="80">
                  <c:v>1367968850688522</c:v>
                </c:pt>
                <c:pt idx="81">
                  <c:v>1270187945107089.5</c:v>
                </c:pt>
                <c:pt idx="82">
                  <c:v>1176543536528701.5</c:v>
                </c:pt>
                <c:pt idx="83">
                  <c:v>1086734605405313.6</c:v>
                </c:pt>
                <c:pt idx="84">
                  <c:v>1004142707216890.1</c:v>
                </c:pt>
                <c:pt idx="85">
                  <c:v>929022298750414.75</c:v>
                </c:pt>
                <c:pt idx="86">
                  <c:v>855699579093942.75</c:v>
                </c:pt>
                <c:pt idx="87">
                  <c:v>791052724570734.37</c:v>
                </c:pt>
                <c:pt idx="88">
                  <c:v>727194167137089.75</c:v>
                </c:pt>
                <c:pt idx="89">
                  <c:v>670415095219724</c:v>
                </c:pt>
                <c:pt idx="90">
                  <c:v>614311065930982.62</c:v>
                </c:pt>
                <c:pt idx="91">
                  <c:v>563938590900432.12</c:v>
                </c:pt>
                <c:pt idx="92">
                  <c:v>520768349524520.37</c:v>
                </c:pt>
                <c:pt idx="93">
                  <c:v>476488309932254.69</c:v>
                </c:pt>
                <c:pt idx="94">
                  <c:v>435534319605590.94</c:v>
                </c:pt>
                <c:pt idx="95">
                  <c:v>398300758615910.62</c:v>
                </c:pt>
                <c:pt idx="96">
                  <c:v>364095656118622.56</c:v>
                </c:pt>
                <c:pt idx="97">
                  <c:v>333126237933651.37</c:v>
                </c:pt>
                <c:pt idx="98">
                  <c:v>303518332237020.06</c:v>
                </c:pt>
                <c:pt idx="99">
                  <c:v>278051788012994.66</c:v>
                </c:pt>
                <c:pt idx="100">
                  <c:v>253109821215845.87</c:v>
                </c:pt>
                <c:pt idx="101">
                  <c:v>232099318465887.87</c:v>
                </c:pt>
                <c:pt idx="102">
                  <c:v>210602171028425.97</c:v>
                </c:pt>
                <c:pt idx="103">
                  <c:v>193571069191811.31</c:v>
                </c:pt>
                <c:pt idx="104">
                  <c:v>175714283383207.19</c:v>
                </c:pt>
                <c:pt idx="105">
                  <c:v>156742724983323.41</c:v>
                </c:pt>
                <c:pt idx="106">
                  <c:v>143206533589496.03</c:v>
                </c:pt>
                <c:pt idx="107">
                  <c:v>129245906611478.67</c:v>
                </c:pt>
                <c:pt idx="108">
                  <c:v>119557943582485.25</c:v>
                </c:pt>
                <c:pt idx="109">
                  <c:v>106253469549483.56</c:v>
                </c:pt>
                <c:pt idx="110">
                  <c:v>94503700360181.578</c:v>
                </c:pt>
                <c:pt idx="111">
                  <c:v>87958713064902.844</c:v>
                </c:pt>
                <c:pt idx="112">
                  <c:v>78460410307386.375</c:v>
                </c:pt>
                <c:pt idx="113">
                  <c:v>73971358084874.953</c:v>
                </c:pt>
                <c:pt idx="114">
                  <c:v>65474671703230.391</c:v>
                </c:pt>
                <c:pt idx="115">
                  <c:v>57170038675822.086</c:v>
                </c:pt>
                <c:pt idx="116">
                  <c:v>54003808730634.242</c:v>
                </c:pt>
                <c:pt idx="117">
                  <c:v>50148239233763.812</c:v>
                </c:pt>
                <c:pt idx="118">
                  <c:v>42480755322476.312</c:v>
                </c:pt>
                <c:pt idx="119">
                  <c:v>37290140512937.984</c:v>
                </c:pt>
                <c:pt idx="120">
                  <c:v>34751083557629.707</c:v>
                </c:pt>
                <c:pt idx="121">
                  <c:v>31959660270921.402</c:v>
                </c:pt>
                <c:pt idx="122">
                  <c:v>30691323022814.898</c:v>
                </c:pt>
                <c:pt idx="123">
                  <c:v>26562595353404.449</c:v>
                </c:pt>
                <c:pt idx="124">
                  <c:v>21461385671421.18</c:v>
                </c:pt>
              </c:numCache>
            </c:numRef>
          </c:xVal>
          <c:yVal>
            <c:numRef>
              <c:f>Plots!$Y$3:$Y$127</c:f>
              <c:numCache>
                <c:formatCode>General</c:formatCode>
                <c:ptCount val="125"/>
                <c:pt idx="0">
                  <c:v>0</c:v>
                </c:pt>
                <c:pt idx="1">
                  <c:v>0</c:v>
                </c:pt>
                <c:pt idx="2">
                  <c:v>1.6226870359727276E-4</c:v>
                </c:pt>
                <c:pt idx="3">
                  <c:v>1.3445832179237769E-4</c:v>
                </c:pt>
                <c:pt idx="4">
                  <c:v>1.255271133118026E-4</c:v>
                </c:pt>
                <c:pt idx="5">
                  <c:v>1.2796962308687544E-4</c:v>
                </c:pt>
                <c:pt idx="6">
                  <c:v>1.3251402345632678E-4</c:v>
                </c:pt>
                <c:pt idx="7">
                  <c:v>1.3455928701912748E-4</c:v>
                </c:pt>
                <c:pt idx="8">
                  <c:v>1.3691951544193167E-4</c:v>
                </c:pt>
                <c:pt idx="9">
                  <c:v>1.4010512795262903E-4</c:v>
                </c:pt>
                <c:pt idx="10">
                  <c:v>1.4333031115381243E-4</c:v>
                </c:pt>
                <c:pt idx="11">
                  <c:v>1.4642297280839759E-4</c:v>
                </c:pt>
                <c:pt idx="12">
                  <c:v>1.4960771578893605E-4</c:v>
                </c:pt>
                <c:pt idx="13">
                  <c:v>1.5266491114658651E-4</c:v>
                </c:pt>
                <c:pt idx="14">
                  <c:v>1.5569689271785375E-4</c:v>
                </c:pt>
                <c:pt idx="15">
                  <c:v>1.5874328664339951E-4</c:v>
                </c:pt>
                <c:pt idx="16">
                  <c:v>1.6175402085618363E-4</c:v>
                </c:pt>
                <c:pt idx="17">
                  <c:v>1.6466880424592252E-4</c:v>
                </c:pt>
                <c:pt idx="18">
                  <c:v>1.6759572185388812E-4</c:v>
                </c:pt>
                <c:pt idx="19">
                  <c:v>1.7043020708274053E-4</c:v>
                </c:pt>
                <c:pt idx="20">
                  <c:v>1.7315830942202443E-4</c:v>
                </c:pt>
                <c:pt idx="21">
                  <c:v>1.7577399475388527E-4</c:v>
                </c:pt>
                <c:pt idx="22">
                  <c:v>1.7831677824706074E-4</c:v>
                </c:pt>
                <c:pt idx="23">
                  <c:v>1.8087523150577521E-4</c:v>
                </c:pt>
                <c:pt idx="24">
                  <c:v>1.8328642982012281E-4</c:v>
                </c:pt>
                <c:pt idx="25">
                  <c:v>1.8559586338774437E-4</c:v>
                </c:pt>
                <c:pt idx="26">
                  <c:v>1.8781223932337794E-4</c:v>
                </c:pt>
                <c:pt idx="27">
                  <c:v>1.8993977134588948E-4</c:v>
                </c:pt>
                <c:pt idx="28">
                  <c:v>1.9221364498305825E-4</c:v>
                </c:pt>
                <c:pt idx="29">
                  <c:v>1.9426748369267297E-4</c:v>
                </c:pt>
                <c:pt idx="30">
                  <c:v>1.9606642745667005E-4</c:v>
                </c:pt>
                <c:pt idx="31">
                  <c:v>1.9780541042718779E-4</c:v>
                </c:pt>
                <c:pt idx="32">
                  <c:v>1.9927418256340023E-4</c:v>
                </c:pt>
                <c:pt idx="33">
                  <c:v>2.0061304994652311E-4</c:v>
                </c:pt>
                <c:pt idx="34">
                  <c:v>2.0188650149409253E-4</c:v>
                </c:pt>
                <c:pt idx="35">
                  <c:v>2.0292770304851309E-4</c:v>
                </c:pt>
                <c:pt idx="36">
                  <c:v>2.0394238327573388E-4</c:v>
                </c:pt>
                <c:pt idx="37">
                  <c:v>2.0484247606100195E-4</c:v>
                </c:pt>
                <c:pt idx="38">
                  <c:v>2.0546097906140934E-4</c:v>
                </c:pt>
                <c:pt idx="39">
                  <c:v>2.0615778377873554E-4</c:v>
                </c:pt>
                <c:pt idx="40">
                  <c:v>2.0658727433035985E-4</c:v>
                </c:pt>
                <c:pt idx="41">
                  <c:v>2.0693987060474284E-4</c:v>
                </c:pt>
                <c:pt idx="42">
                  <c:v>2.0707450782723891E-4</c:v>
                </c:pt>
                <c:pt idx="43">
                  <c:v>2.0711623329295088E-4</c:v>
                </c:pt>
                <c:pt idx="44">
                  <c:v>2.0706034864488657E-4</c:v>
                </c:pt>
                <c:pt idx="45">
                  <c:v>2.068760592817002E-4</c:v>
                </c:pt>
                <c:pt idx="46">
                  <c:v>2.0632032333832981E-4</c:v>
                </c:pt>
                <c:pt idx="47">
                  <c:v>2.0590425135084622E-4</c:v>
                </c:pt>
                <c:pt idx="48">
                  <c:v>2.0532422747102829E-4</c:v>
                </c:pt>
                <c:pt idx="49">
                  <c:v>2.0440487813082306E-4</c:v>
                </c:pt>
                <c:pt idx="50">
                  <c:v>2.0368763653282276E-4</c:v>
                </c:pt>
                <c:pt idx="51">
                  <c:v>2.0267342050767282E-4</c:v>
                </c:pt>
                <c:pt idx="52">
                  <c:v>2.0158279173149269E-4</c:v>
                </c:pt>
                <c:pt idx="53">
                  <c:v>2.0039312435009103E-4</c:v>
                </c:pt>
                <c:pt idx="54">
                  <c:v>1.9882728142834536E-4</c:v>
                </c:pt>
                <c:pt idx="55">
                  <c:v>1.9708660235526963E-4</c:v>
                </c:pt>
                <c:pt idx="56">
                  <c:v>1.9547414376747834E-4</c:v>
                </c:pt>
                <c:pt idx="57">
                  <c:v>1.938585723139357E-4</c:v>
                </c:pt>
                <c:pt idx="58">
                  <c:v>1.9210113353469553E-4</c:v>
                </c:pt>
                <c:pt idx="59">
                  <c:v>1.9030219206279118E-4</c:v>
                </c:pt>
                <c:pt idx="60">
                  <c:v>1.8812535476468126E-4</c:v>
                </c:pt>
                <c:pt idx="61">
                  <c:v>1.8591899006055782E-4</c:v>
                </c:pt>
                <c:pt idx="62">
                  <c:v>1.838320343718858E-4</c:v>
                </c:pt>
                <c:pt idx="63">
                  <c:v>1.8159327366843424E-4</c:v>
                </c:pt>
                <c:pt idx="64">
                  <c:v>1.7929596938103437E-4</c:v>
                </c:pt>
                <c:pt idx="65">
                  <c:v>1.7666119479055038E-4</c:v>
                </c:pt>
                <c:pt idx="66">
                  <c:v>1.7428196397586187E-4</c:v>
                </c:pt>
                <c:pt idx="67">
                  <c:v>1.7150890113682649E-4</c:v>
                </c:pt>
                <c:pt idx="68">
                  <c:v>1.6873192669465567E-4</c:v>
                </c:pt>
                <c:pt idx="69">
                  <c:v>1.6607069666308449E-4</c:v>
                </c:pt>
                <c:pt idx="70">
                  <c:v>1.6308160138149384E-4</c:v>
                </c:pt>
                <c:pt idx="71">
                  <c:v>1.602353811462705E-4</c:v>
                </c:pt>
                <c:pt idx="72">
                  <c:v>1.5720430331742319E-4</c:v>
                </c:pt>
                <c:pt idx="73">
                  <c:v>1.5396016910898322E-4</c:v>
                </c:pt>
                <c:pt idx="74">
                  <c:v>1.5095397814119389E-4</c:v>
                </c:pt>
                <c:pt idx="75">
                  <c:v>1.4755628164114156E-4</c:v>
                </c:pt>
                <c:pt idx="76">
                  <c:v>1.4443478676285406E-4</c:v>
                </c:pt>
                <c:pt idx="77">
                  <c:v>1.4125738901254946E-4</c:v>
                </c:pt>
                <c:pt idx="78">
                  <c:v>1.3803592970268498E-4</c:v>
                </c:pt>
                <c:pt idx="79">
                  <c:v>1.345078175426079E-4</c:v>
                </c:pt>
                <c:pt idx="80">
                  <c:v>1.3166526237095278E-4</c:v>
                </c:pt>
                <c:pt idx="81">
                  <c:v>1.2829760570111725E-4</c:v>
                </c:pt>
                <c:pt idx="82">
                  <c:v>1.2501064472505107E-4</c:v>
                </c:pt>
                <c:pt idx="83">
                  <c:v>1.2138802012434103E-4</c:v>
                </c:pt>
                <c:pt idx="84">
                  <c:v>1.1803754857076036E-4</c:v>
                </c:pt>
                <c:pt idx="85">
                  <c:v>1.1488448294925549E-4</c:v>
                </c:pt>
                <c:pt idx="86">
                  <c:v>1.1133835661747771E-4</c:v>
                </c:pt>
                <c:pt idx="87">
                  <c:v>1.0845090520707624E-4</c:v>
                </c:pt>
                <c:pt idx="88">
                  <c:v>1.0510296140034825E-4</c:v>
                </c:pt>
                <c:pt idx="89">
                  <c:v>1.0173370189545254E-4</c:v>
                </c:pt>
                <c:pt idx="90">
                  <c:v>9.8506008011968295E-5</c:v>
                </c:pt>
                <c:pt idx="91">
                  <c:v>9.5353282656238333E-5</c:v>
                </c:pt>
                <c:pt idx="92">
                  <c:v>9.2996878235138667E-5</c:v>
                </c:pt>
                <c:pt idx="93">
                  <c:v>8.9635481754712232E-5</c:v>
                </c:pt>
                <c:pt idx="94">
                  <c:v>8.6322565360695669E-5</c:v>
                </c:pt>
                <c:pt idx="95">
                  <c:v>8.3587554642156474E-5</c:v>
                </c:pt>
                <c:pt idx="96">
                  <c:v>8.0550375109823404E-5</c:v>
                </c:pt>
                <c:pt idx="97">
                  <c:v>7.7921108403151081E-5</c:v>
                </c:pt>
                <c:pt idx="98">
                  <c:v>7.4802797161645335E-5</c:v>
                </c:pt>
                <c:pt idx="99">
                  <c:v>7.2875556283115948E-5</c:v>
                </c:pt>
                <c:pt idx="100">
                  <c:v>7.0089210627386395E-5</c:v>
                </c:pt>
                <c:pt idx="101">
                  <c:v>6.820842448030813E-5</c:v>
                </c:pt>
                <c:pt idx="102">
                  <c:v>6.5567691450034318E-5</c:v>
                </c:pt>
                <c:pt idx="103">
                  <c:v>6.3317305765686158E-5</c:v>
                </c:pt>
                <c:pt idx="104">
                  <c:v>6.1098126497086857E-5</c:v>
                </c:pt>
                <c:pt idx="105">
                  <c:v>5.7726375801009536E-5</c:v>
                </c:pt>
                <c:pt idx="106">
                  <c:v>5.6349747821270571E-5</c:v>
                </c:pt>
                <c:pt idx="107">
                  <c:v>5.3956901831952116E-5</c:v>
                </c:pt>
                <c:pt idx="108">
                  <c:v>5.2949540907340637E-5</c:v>
                </c:pt>
                <c:pt idx="109">
                  <c:v>4.9546240022257491E-5</c:v>
                </c:pt>
                <c:pt idx="110">
                  <c:v>4.6934775721160228E-5</c:v>
                </c:pt>
                <c:pt idx="111">
                  <c:v>4.6695003568883158E-5</c:v>
                </c:pt>
                <c:pt idx="112">
                  <c:v>4.4254943168459301E-5</c:v>
                </c:pt>
                <c:pt idx="113">
                  <c:v>4.4705006720597663E-5</c:v>
                </c:pt>
                <c:pt idx="114">
                  <c:v>4.1891392547280545E-5</c:v>
                </c:pt>
                <c:pt idx="115">
                  <c:v>3.9440836495357927E-5</c:v>
                </c:pt>
                <c:pt idx="116">
                  <c:v>3.9714947500346058E-5</c:v>
                </c:pt>
                <c:pt idx="117">
                  <c:v>3.9253820489617144E-5</c:v>
                </c:pt>
                <c:pt idx="118">
                  <c:v>3.5213128683595304E-5</c:v>
                </c:pt>
                <c:pt idx="119">
                  <c:v>3.3267228834560111E-5</c:v>
                </c:pt>
                <c:pt idx="120">
                  <c:v>3.3194494949803271E-5</c:v>
                </c:pt>
                <c:pt idx="121">
                  <c:v>3.3268903714725484E-5</c:v>
                </c:pt>
                <c:pt idx="122">
                  <c:v>3.3562103871978403E-5</c:v>
                </c:pt>
                <c:pt idx="123">
                  <c:v>0</c:v>
                </c:pt>
                <c:pt idx="124">
                  <c:v>0</c:v>
                </c:pt>
              </c:numCache>
            </c:numRef>
          </c:yVal>
          <c:smooth val="0"/>
        </c:ser>
        <c:ser>
          <c:idx val="13"/>
          <c:order val="13"/>
          <c:tx>
            <c:strRef>
              <c:f>Plots!$Z$1</c:f>
              <c:strCache>
                <c:ptCount val="1"/>
                <c:pt idx="0">
                  <c:v>60</c:v>
                </c:pt>
              </c:strCache>
            </c:strRef>
          </c:tx>
          <c:spPr>
            <a:ln w="28575">
              <a:noFill/>
            </a:ln>
          </c:spPr>
          <c:marker>
            <c:symbol val="diamond"/>
            <c:size val="7"/>
            <c:spPr>
              <a:solidFill>
                <a:srgbClr val="0070C0"/>
              </a:solidFill>
              <a:ln>
                <a:noFill/>
              </a:ln>
            </c:spPr>
          </c:marker>
          <c:xVal>
            <c:numRef>
              <c:f>Plots!$Z$3:$Z$127</c:f>
              <c:numCache>
                <c:formatCode>General</c:formatCode>
                <c:ptCount val="125"/>
                <c:pt idx="0">
                  <c:v>9041688825896214</c:v>
                </c:pt>
                <c:pt idx="1">
                  <c:v>3.8112590007369576E+16</c:v>
                </c:pt>
                <c:pt idx="2">
                  <c:v>5.6131364702214064E+16</c:v>
                </c:pt>
                <c:pt idx="3">
                  <c:v>5.8581397009252104E+16</c:v>
                </c:pt>
                <c:pt idx="4">
                  <c:v>5.8581397009252104E+16</c:v>
                </c:pt>
                <c:pt idx="5">
                  <c:v>5.8581397009252104E+16</c:v>
                </c:pt>
                <c:pt idx="6">
                  <c:v>5.856075586940628E+16</c:v>
                </c:pt>
                <c:pt idx="7">
                  <c:v>5.7302410374423592E+16</c:v>
                </c:pt>
                <c:pt idx="8">
                  <c:v>5.534727545735716E+16</c:v>
                </c:pt>
                <c:pt idx="9">
                  <c:v>5.3410149895469216E+16</c:v>
                </c:pt>
                <c:pt idx="10">
                  <c:v>5.1510680613676952E+16</c:v>
                </c:pt>
                <c:pt idx="11">
                  <c:v>4.965193372948092E+16</c:v>
                </c:pt>
                <c:pt idx="12">
                  <c:v>4.782633762552724E+16</c:v>
                </c:pt>
                <c:pt idx="13">
                  <c:v>4.6040136945080504E+16</c:v>
                </c:pt>
                <c:pt idx="14">
                  <c:v>4.4304999531609728E+16</c:v>
                </c:pt>
                <c:pt idx="15">
                  <c:v>4.2615134782105736E+16</c:v>
                </c:pt>
                <c:pt idx="16">
                  <c:v>4.0974270881513184E+16</c:v>
                </c:pt>
                <c:pt idx="17">
                  <c:v>3.9374435697214176E+16</c:v>
                </c:pt>
                <c:pt idx="18">
                  <c:v>3.7830877370605096E+16</c:v>
                </c:pt>
                <c:pt idx="19">
                  <c:v>3.6335177644158576E+16</c:v>
                </c:pt>
                <c:pt idx="20">
                  <c:v>3.487938656666518E+16</c:v>
                </c:pt>
                <c:pt idx="21">
                  <c:v>3.3469091678082772E+16</c:v>
                </c:pt>
                <c:pt idx="22">
                  <c:v>3.2105252397252952E+16</c:v>
                </c:pt>
                <c:pt idx="23">
                  <c:v>3.0782762763190136E+16</c:v>
                </c:pt>
                <c:pt idx="24">
                  <c:v>2.9500412339926184E+16</c:v>
                </c:pt>
                <c:pt idx="25">
                  <c:v>2.8266647392139656E+16</c:v>
                </c:pt>
                <c:pt idx="26">
                  <c:v>2.7070798933771392E+16</c:v>
                </c:pt>
                <c:pt idx="27">
                  <c:v>2.5916313322839516E+16</c:v>
                </c:pt>
                <c:pt idx="28">
                  <c:v>2.480889420374668E+16</c:v>
                </c:pt>
                <c:pt idx="29">
                  <c:v>2.3723039332795312E+16</c:v>
                </c:pt>
                <c:pt idx="30">
                  <c:v>2.2683207285638412E+16</c:v>
                </c:pt>
                <c:pt idx="31">
                  <c:v>2.1678064416816884E+16</c:v>
                </c:pt>
                <c:pt idx="32">
                  <c:v>2.0712621089528064E+16</c:v>
                </c:pt>
                <c:pt idx="33">
                  <c:v>1.9777707659078016E+16</c:v>
                </c:pt>
                <c:pt idx="34">
                  <c:v>1.8874300708956804E+16</c:v>
                </c:pt>
                <c:pt idx="35">
                  <c:v>1.8007390306177006E+16</c:v>
                </c:pt>
                <c:pt idx="36">
                  <c:v>1.7172787778329024E+16</c:v>
                </c:pt>
                <c:pt idx="37">
                  <c:v>1.6365347514467898E+16</c:v>
                </c:pt>
                <c:pt idx="38">
                  <c:v>1.5579750744501078E+16</c:v>
                </c:pt>
                <c:pt idx="39">
                  <c:v>1.4833811460920074E+16</c:v>
                </c:pt>
                <c:pt idx="40">
                  <c:v>1.4118432013446044E+16</c:v>
                </c:pt>
                <c:pt idx="41">
                  <c:v>1.342533343371153E+16</c:v>
                </c:pt>
                <c:pt idx="42">
                  <c:v>1.2760418742630872E+16</c:v>
                </c:pt>
                <c:pt idx="43">
                  <c:v>1.2126681356629566E+16</c:v>
                </c:pt>
                <c:pt idx="44">
                  <c:v>1.1517331266489294E+16</c:v>
                </c:pt>
                <c:pt idx="45">
                  <c:v>1.0929780887056608E+16</c:v>
                </c:pt>
                <c:pt idx="46">
                  <c:v>1.0367589358974468E+16</c:v>
                </c:pt>
                <c:pt idx="47">
                  <c:v>9829210748557032</c:v>
                </c:pt>
                <c:pt idx="48">
                  <c:v>9312142358025166</c:v>
                </c:pt>
                <c:pt idx="49">
                  <c:v>8823411590078802</c:v>
                </c:pt>
                <c:pt idx="50">
                  <c:v>8349365073641192</c:v>
                </c:pt>
                <c:pt idx="51">
                  <c:v>7894990304183270</c:v>
                </c:pt>
                <c:pt idx="52">
                  <c:v>7463029561355147</c:v>
                </c:pt>
                <c:pt idx="53">
                  <c:v>7051194977239873</c:v>
                </c:pt>
                <c:pt idx="54">
                  <c:v>6656415974641290</c:v>
                </c:pt>
                <c:pt idx="55">
                  <c:v>6281703247445749</c:v>
                </c:pt>
                <c:pt idx="56">
                  <c:v>5922391929068829</c:v>
                </c:pt>
                <c:pt idx="57">
                  <c:v>5578723041184434</c:v>
                </c:pt>
                <c:pt idx="58">
                  <c:v>5250888500189571</c:v>
                </c:pt>
                <c:pt idx="59">
                  <c:v>4940655244594947</c:v>
                </c:pt>
                <c:pt idx="60">
                  <c:v>4645530154324203</c:v>
                </c:pt>
                <c:pt idx="61">
                  <c:v>4364296902043052.5</c:v>
                </c:pt>
                <c:pt idx="62">
                  <c:v>4095644720732873</c:v>
                </c:pt>
                <c:pt idx="63">
                  <c:v>3841943097631979.5</c:v>
                </c:pt>
                <c:pt idx="64">
                  <c:v>3603968852948931</c:v>
                </c:pt>
                <c:pt idx="65">
                  <c:v>3375413196955873</c:v>
                </c:pt>
                <c:pt idx="66">
                  <c:v>3158229005471878</c:v>
                </c:pt>
                <c:pt idx="67">
                  <c:v>2953814113459821.5</c:v>
                </c:pt>
                <c:pt idx="68">
                  <c:v>2758800162421949</c:v>
                </c:pt>
                <c:pt idx="69">
                  <c:v>2576523402053155</c:v>
                </c:pt>
                <c:pt idx="70">
                  <c:v>2403276213253540.5</c:v>
                </c:pt>
                <c:pt idx="71">
                  <c:v>2236999134917229.2</c:v>
                </c:pt>
                <c:pt idx="72">
                  <c:v>2084435395374959.5</c:v>
                </c:pt>
                <c:pt idx="73">
                  <c:v>1938084460826298</c:v>
                </c:pt>
                <c:pt idx="74">
                  <c:v>1802043553632294.7</c:v>
                </c:pt>
                <c:pt idx="75">
                  <c:v>1672600501864045.5</c:v>
                </c:pt>
                <c:pt idx="76">
                  <c:v>1548526196302439</c:v>
                </c:pt>
                <c:pt idx="77">
                  <c:v>1432339491626313.2</c:v>
                </c:pt>
                <c:pt idx="78">
                  <c:v>1327487035563067.7</c:v>
                </c:pt>
                <c:pt idx="79">
                  <c:v>1225655617535742.7</c:v>
                </c:pt>
                <c:pt idx="80">
                  <c:v>1133305201461116.5</c:v>
                </c:pt>
                <c:pt idx="81">
                  <c:v>1051107511093650.1</c:v>
                </c:pt>
                <c:pt idx="82">
                  <c:v>962161186344912.75</c:v>
                </c:pt>
                <c:pt idx="83">
                  <c:v>888626988951859.12</c:v>
                </c:pt>
                <c:pt idx="84">
                  <c:v>818294179895186.12</c:v>
                </c:pt>
                <c:pt idx="85">
                  <c:v>750557490179943</c:v>
                </c:pt>
                <c:pt idx="86">
                  <c:v>690541634458271.62</c:v>
                </c:pt>
                <c:pt idx="87">
                  <c:v>631986778430438.75</c:v>
                </c:pt>
                <c:pt idx="88">
                  <c:v>580035131249478.75</c:v>
                </c:pt>
                <c:pt idx="89">
                  <c:v>531752073050433</c:v>
                </c:pt>
                <c:pt idx="90">
                  <c:v>486757807262195.56</c:v>
                </c:pt>
                <c:pt idx="91">
                  <c:v>443791232370860.94</c:v>
                </c:pt>
                <c:pt idx="92">
                  <c:v>406099492122641.87</c:v>
                </c:pt>
                <c:pt idx="93">
                  <c:v>368457266458185.87</c:v>
                </c:pt>
                <c:pt idx="94">
                  <c:v>338025436114536.12</c:v>
                </c:pt>
                <c:pt idx="95">
                  <c:v>305611983895301.81</c:v>
                </c:pt>
                <c:pt idx="96">
                  <c:v>279240530782150.72</c:v>
                </c:pt>
                <c:pt idx="97">
                  <c:v>254707053791584.5</c:v>
                </c:pt>
                <c:pt idx="98">
                  <c:v>233997799218255.06</c:v>
                </c:pt>
                <c:pt idx="99">
                  <c:v>212867667783213.87</c:v>
                </c:pt>
                <c:pt idx="100">
                  <c:v>190063562339771.5</c:v>
                </c:pt>
                <c:pt idx="101">
                  <c:v>173991000162696.12</c:v>
                </c:pt>
                <c:pt idx="102">
                  <c:v>158428816757530.06</c:v>
                </c:pt>
                <c:pt idx="103">
                  <c:v>144105206981979.09</c:v>
                </c:pt>
                <c:pt idx="104">
                  <c:v>131362831475459.94</c:v>
                </c:pt>
                <c:pt idx="105">
                  <c:v>119399383638682.42</c:v>
                </c:pt>
                <c:pt idx="106">
                  <c:v>108316882659271.81</c:v>
                </c:pt>
                <c:pt idx="107">
                  <c:v>95658538906070.141</c:v>
                </c:pt>
                <c:pt idx="108">
                  <c:v>88508117462542.234</c:v>
                </c:pt>
                <c:pt idx="109">
                  <c:v>75639479833559.594</c:v>
                </c:pt>
                <c:pt idx="110">
                  <c:v>72399877363537.547</c:v>
                </c:pt>
                <c:pt idx="111">
                  <c:v>66407370397759.266</c:v>
                </c:pt>
                <c:pt idx="112">
                  <c:v>57875520933297.43</c:v>
                </c:pt>
                <c:pt idx="113">
                  <c:v>53442028641593.125</c:v>
                </c:pt>
                <c:pt idx="114">
                  <c:v>46677958537091.633</c:v>
                </c:pt>
                <c:pt idx="115">
                  <c:v>44207826153395.617</c:v>
                </c:pt>
                <c:pt idx="116">
                  <c:v>38928216049186.297</c:v>
                </c:pt>
                <c:pt idx="117">
                  <c:v>37386553536830.164</c:v>
                </c:pt>
                <c:pt idx="118">
                  <c:v>34818116035065.426</c:v>
                </c:pt>
                <c:pt idx="119">
                  <c:v>31019317867179.402</c:v>
                </c:pt>
                <c:pt idx="120">
                  <c:v>25720247923250.832</c:v>
                </c:pt>
                <c:pt idx="121">
                  <c:v>21997867873541.367</c:v>
                </c:pt>
                <c:pt idx="122">
                  <c:v>21861345346908.344</c:v>
                </c:pt>
                <c:pt idx="123">
                  <c:v>21485916935583.32</c:v>
                </c:pt>
                <c:pt idx="124">
                  <c:v>19472857091087.43</c:v>
                </c:pt>
              </c:numCache>
            </c:numRef>
          </c:xVal>
          <c:yVal>
            <c:numRef>
              <c:f>Plots!$AA$3:$AA$127</c:f>
              <c:numCache>
                <c:formatCode>General</c:formatCode>
                <c:ptCount val="125"/>
                <c:pt idx="0">
                  <c:v>0</c:v>
                </c:pt>
                <c:pt idx="1">
                  <c:v>0</c:v>
                </c:pt>
                <c:pt idx="2">
                  <c:v>1.5812278136155227E-4</c:v>
                </c:pt>
                <c:pt idx="3">
                  <c:v>1.3086118633489681E-4</c:v>
                </c:pt>
                <c:pt idx="4">
                  <c:v>1.2346730656128798E-4</c:v>
                </c:pt>
                <c:pt idx="5">
                  <c:v>1.2760243446823297E-4</c:v>
                </c:pt>
                <c:pt idx="6">
                  <c:v>1.337425839318689E-4</c:v>
                </c:pt>
                <c:pt idx="7">
                  <c:v>1.3689526795637459E-4</c:v>
                </c:pt>
                <c:pt idx="8">
                  <c:v>1.384860524582395E-4</c:v>
                </c:pt>
                <c:pt idx="9">
                  <c:v>1.4102034554813649E-4</c:v>
                </c:pt>
                <c:pt idx="10">
                  <c:v>1.4396128977423899E-4</c:v>
                </c:pt>
                <c:pt idx="11">
                  <c:v>1.4690360236163129E-4</c:v>
                </c:pt>
                <c:pt idx="12">
                  <c:v>1.498280058169723E-4</c:v>
                </c:pt>
                <c:pt idx="13">
                  <c:v>1.5267666567566883E-4</c:v>
                </c:pt>
                <c:pt idx="14">
                  <c:v>1.5551677878943541E-4</c:v>
                </c:pt>
                <c:pt idx="15">
                  <c:v>1.583415148437747E-4</c:v>
                </c:pt>
                <c:pt idx="16">
                  <c:v>1.6109482908826129E-4</c:v>
                </c:pt>
                <c:pt idx="17">
                  <c:v>1.6377535372344174E-4</c:v>
                </c:pt>
                <c:pt idx="18">
                  <c:v>1.6645473583445212E-4</c:v>
                </c:pt>
                <c:pt idx="19">
                  <c:v>1.690204319712702E-4</c:v>
                </c:pt>
                <c:pt idx="20">
                  <c:v>1.7144338122601464E-4</c:v>
                </c:pt>
                <c:pt idx="21">
                  <c:v>1.7378844784575194E-4</c:v>
                </c:pt>
                <c:pt idx="22">
                  <c:v>1.7606288475116051E-4</c:v>
                </c:pt>
                <c:pt idx="23">
                  <c:v>1.7825669131750306E-4</c:v>
                </c:pt>
                <c:pt idx="24">
                  <c:v>1.802952918837408E-4</c:v>
                </c:pt>
                <c:pt idx="25">
                  <c:v>1.8230964001580968E-4</c:v>
                </c:pt>
                <c:pt idx="26">
                  <c:v>1.841929503259703E-4</c:v>
                </c:pt>
                <c:pt idx="27">
                  <c:v>1.8598625131565049E-4</c:v>
                </c:pt>
                <c:pt idx="28">
                  <c:v>1.8802021614207251E-4</c:v>
                </c:pt>
                <c:pt idx="29">
                  <c:v>1.8950969353137123E-4</c:v>
                </c:pt>
                <c:pt idx="30">
                  <c:v>1.9097112995335221E-4</c:v>
                </c:pt>
                <c:pt idx="31">
                  <c:v>1.9222378748379911E-4</c:v>
                </c:pt>
                <c:pt idx="32">
                  <c:v>1.9333610219736768E-4</c:v>
                </c:pt>
                <c:pt idx="33">
                  <c:v>1.9437823058578106E-4</c:v>
                </c:pt>
                <c:pt idx="34">
                  <c:v>1.9520988973920726E-4</c:v>
                </c:pt>
                <c:pt idx="35">
                  <c:v>1.9597809799538617E-4</c:v>
                </c:pt>
                <c:pt idx="36">
                  <c:v>1.9658804096667673E-4</c:v>
                </c:pt>
                <c:pt idx="37">
                  <c:v>1.9693055608134184E-4</c:v>
                </c:pt>
                <c:pt idx="38">
                  <c:v>1.9719909511999549E-4</c:v>
                </c:pt>
                <c:pt idx="39">
                  <c:v>1.974866836513987E-4</c:v>
                </c:pt>
                <c:pt idx="40">
                  <c:v>1.9771245227096187E-4</c:v>
                </c:pt>
                <c:pt idx="41">
                  <c:v>1.9756235920969476E-4</c:v>
                </c:pt>
                <c:pt idx="42">
                  <c:v>1.9736746939101886E-4</c:v>
                </c:pt>
                <c:pt idx="43">
                  <c:v>1.9707756858035899E-4</c:v>
                </c:pt>
                <c:pt idx="44">
                  <c:v>1.9661043556534896E-4</c:v>
                </c:pt>
                <c:pt idx="45">
                  <c:v>1.9598404802538926E-4</c:v>
                </c:pt>
                <c:pt idx="46">
                  <c:v>1.9526946475219986E-4</c:v>
                </c:pt>
                <c:pt idx="47">
                  <c:v>1.9452612313205781E-4</c:v>
                </c:pt>
                <c:pt idx="48">
                  <c:v>1.9349248173333253E-4</c:v>
                </c:pt>
                <c:pt idx="49">
                  <c:v>1.9251597420960639E-4</c:v>
                </c:pt>
                <c:pt idx="50">
                  <c:v>1.9113391437174815E-4</c:v>
                </c:pt>
                <c:pt idx="51">
                  <c:v>1.8964313274126519E-4</c:v>
                </c:pt>
                <c:pt idx="52">
                  <c:v>1.8829757294441907E-4</c:v>
                </c:pt>
                <c:pt idx="53">
                  <c:v>1.8678737899588201E-4</c:v>
                </c:pt>
                <c:pt idx="54">
                  <c:v>1.8509009322229125E-4</c:v>
                </c:pt>
                <c:pt idx="55">
                  <c:v>1.8319306984417041E-4</c:v>
                </c:pt>
                <c:pt idx="56">
                  <c:v>1.8134194031902453E-4</c:v>
                </c:pt>
                <c:pt idx="57">
                  <c:v>1.7915767657327567E-4</c:v>
                </c:pt>
                <c:pt idx="58">
                  <c:v>1.7725455017255246E-4</c:v>
                </c:pt>
                <c:pt idx="59">
                  <c:v>1.7506171938880486E-4</c:v>
                </c:pt>
                <c:pt idx="60">
                  <c:v>1.7284754464032918E-4</c:v>
                </c:pt>
                <c:pt idx="61">
                  <c:v>1.7071039370837213E-4</c:v>
                </c:pt>
                <c:pt idx="62">
                  <c:v>1.6824878736536946E-4</c:v>
                </c:pt>
                <c:pt idx="63">
                  <c:v>1.6572667874755368E-4</c:v>
                </c:pt>
                <c:pt idx="64">
                  <c:v>1.6308384175623512E-4</c:v>
                </c:pt>
                <c:pt idx="65">
                  <c:v>1.6033721396741736E-4</c:v>
                </c:pt>
                <c:pt idx="66">
                  <c:v>1.574569792967871E-4</c:v>
                </c:pt>
                <c:pt idx="67">
                  <c:v>1.5482757198597474E-4</c:v>
                </c:pt>
                <c:pt idx="68">
                  <c:v>1.5187906620049742E-4</c:v>
                </c:pt>
                <c:pt idx="69">
                  <c:v>1.4900666765503253E-4</c:v>
                </c:pt>
                <c:pt idx="70">
                  <c:v>1.4581895289427632E-4</c:v>
                </c:pt>
                <c:pt idx="71">
                  <c:v>1.4260034514937839E-4</c:v>
                </c:pt>
                <c:pt idx="72">
                  <c:v>1.3953349665257045E-4</c:v>
                </c:pt>
                <c:pt idx="73">
                  <c:v>1.3639166336913391E-4</c:v>
                </c:pt>
                <c:pt idx="74">
                  <c:v>1.3319339071761149E-4</c:v>
                </c:pt>
                <c:pt idx="75">
                  <c:v>1.2981669494521709E-4</c:v>
                </c:pt>
                <c:pt idx="76">
                  <c:v>1.2626997303312007E-4</c:v>
                </c:pt>
                <c:pt idx="77">
                  <c:v>1.2296142980015173E-4</c:v>
                </c:pt>
                <c:pt idx="78">
                  <c:v>1.2009418401670585E-4</c:v>
                </c:pt>
                <c:pt idx="79">
                  <c:v>1.1689162656315068E-4</c:v>
                </c:pt>
                <c:pt idx="80">
                  <c:v>1.1345787305088084E-4</c:v>
                </c:pt>
                <c:pt idx="81">
                  <c:v>1.1077962703491647E-4</c:v>
                </c:pt>
                <c:pt idx="82">
                  <c:v>1.0669075594323166E-4</c:v>
                </c:pt>
                <c:pt idx="83">
                  <c:v>1.0363890492052239E-4</c:v>
                </c:pt>
                <c:pt idx="84">
                  <c:v>1.0069372119316653E-4</c:v>
                </c:pt>
                <c:pt idx="85">
                  <c:v>9.7172898504446705E-5</c:v>
                </c:pt>
                <c:pt idx="86">
                  <c:v>9.3915429735368328E-5</c:v>
                </c:pt>
                <c:pt idx="87">
                  <c:v>9.0695119735441409E-5</c:v>
                </c:pt>
                <c:pt idx="88">
                  <c:v>8.7878331770205751E-5</c:v>
                </c:pt>
                <c:pt idx="89">
                  <c:v>8.4971354034627715E-5</c:v>
                </c:pt>
                <c:pt idx="90">
                  <c:v>8.190266504454396E-5</c:v>
                </c:pt>
                <c:pt idx="91">
                  <c:v>7.8604560920191867E-5</c:v>
                </c:pt>
                <c:pt idx="92">
                  <c:v>7.6163923842375547E-5</c:v>
                </c:pt>
                <c:pt idx="93">
                  <c:v>7.3079819030753371E-5</c:v>
                </c:pt>
                <c:pt idx="94">
                  <c:v>7.0668524042680718E-5</c:v>
                </c:pt>
                <c:pt idx="95">
                  <c:v>6.7649240409267691E-5</c:v>
                </c:pt>
                <c:pt idx="96">
                  <c:v>6.5354459330174493E-5</c:v>
                </c:pt>
                <c:pt idx="97">
                  <c:v>6.2864487607235215E-5</c:v>
                </c:pt>
                <c:pt idx="98">
                  <c:v>6.0976292595496653E-5</c:v>
                </c:pt>
                <c:pt idx="99">
                  <c:v>5.8567900954294842E-5</c:v>
                </c:pt>
                <c:pt idx="100">
                  <c:v>5.544522073717458E-5</c:v>
                </c:pt>
                <c:pt idx="101">
                  <c:v>5.3831896548700446E-5</c:v>
                </c:pt>
                <c:pt idx="102">
                  <c:v>5.2036874592223656E-5</c:v>
                </c:pt>
                <c:pt idx="103">
                  <c:v>5.0262604055628191E-5</c:v>
                </c:pt>
                <c:pt idx="104">
                  <c:v>4.8208733305579057E-5</c:v>
                </c:pt>
                <c:pt idx="105">
                  <c:v>4.6352955259251705E-5</c:v>
                </c:pt>
                <c:pt idx="106">
                  <c:v>4.4364821041467226E-5</c:v>
                </c:pt>
                <c:pt idx="107">
                  <c:v>4.1716770229809903E-5</c:v>
                </c:pt>
                <c:pt idx="108">
                  <c:v>4.1036951963735093E-5</c:v>
                </c:pt>
                <c:pt idx="109">
                  <c:v>3.7382273757588242E-5</c:v>
                </c:pt>
                <c:pt idx="110">
                  <c:v>3.7980135283609943E-5</c:v>
                </c:pt>
                <c:pt idx="111">
                  <c:v>3.7517863254212823E-5</c:v>
                </c:pt>
                <c:pt idx="112">
                  <c:v>3.4861753148787948E-5</c:v>
                </c:pt>
                <c:pt idx="113">
                  <c:v>3.405546779879853E-5</c:v>
                </c:pt>
                <c:pt idx="114">
                  <c:v>3.1715902517065636E-5</c:v>
                </c:pt>
                <c:pt idx="115">
                  <c:v>3.2286200037258766E-5</c:v>
                </c:pt>
                <c:pt idx="116">
                  <c:v>3.024364060243715E-5</c:v>
                </c:pt>
                <c:pt idx="117">
                  <c:v>3.096584483664333E-5</c:v>
                </c:pt>
                <c:pt idx="118">
                  <c:v>3.0501874583670582E-5</c:v>
                </c:pt>
                <c:pt idx="119">
                  <c:v>2.8750428435234285E-5</c:v>
                </c:pt>
                <c:pt idx="120">
                  <c:v>2.5394968549882204E-5</c:v>
                </c:pt>
                <c:pt idx="121">
                  <c:v>2.3803207437880003E-5</c:v>
                </c:pt>
                <c:pt idx="122">
                  <c:v>2.5442029210290621E-5</c:v>
                </c:pt>
                <c:pt idx="123">
                  <c:v>0</c:v>
                </c:pt>
                <c:pt idx="124">
                  <c:v>0</c:v>
                </c:pt>
              </c:numCache>
            </c:numRef>
          </c:yVal>
          <c:smooth val="0"/>
        </c:ser>
        <c:ser>
          <c:idx val="14"/>
          <c:order val="14"/>
          <c:tx>
            <c:strRef>
              <c:f>Plots!$AB$1</c:f>
              <c:strCache>
                <c:ptCount val="1"/>
                <c:pt idx="0">
                  <c:v>50</c:v>
                </c:pt>
              </c:strCache>
            </c:strRef>
          </c:tx>
          <c:spPr>
            <a:ln w="28575">
              <a:noFill/>
            </a:ln>
          </c:spPr>
          <c:marker>
            <c:symbol val="diamond"/>
            <c:size val="7"/>
            <c:spPr>
              <a:solidFill>
                <a:srgbClr val="7030A0"/>
              </a:solidFill>
              <a:ln>
                <a:noFill/>
              </a:ln>
            </c:spPr>
          </c:marker>
          <c:xVal>
            <c:numRef>
              <c:f>Plots!$AB$3:$AB$127</c:f>
              <c:numCache>
                <c:formatCode>General</c:formatCode>
                <c:ptCount val="125"/>
                <c:pt idx="0">
                  <c:v>9143708357670370</c:v>
                </c:pt>
                <c:pt idx="1">
                  <c:v>3.897007029351944E+16</c:v>
                </c:pt>
                <c:pt idx="2">
                  <c:v>5.5255609129628608E+16</c:v>
                </c:pt>
                <c:pt idx="3">
                  <c:v>5.5914616366951992E+16</c:v>
                </c:pt>
                <c:pt idx="4">
                  <c:v>5.5914616366951992E+16</c:v>
                </c:pt>
                <c:pt idx="5">
                  <c:v>5.5914616366951992E+16</c:v>
                </c:pt>
                <c:pt idx="6">
                  <c:v>5.5914616366951992E+16</c:v>
                </c:pt>
                <c:pt idx="7">
                  <c:v>5.5914616366951992E+16</c:v>
                </c:pt>
                <c:pt idx="8">
                  <c:v>5.5624140804672432E+16</c:v>
                </c:pt>
                <c:pt idx="9">
                  <c:v>5.380330976537004E+16</c:v>
                </c:pt>
                <c:pt idx="10">
                  <c:v>5.1792004334997168E+16</c:v>
                </c:pt>
                <c:pt idx="11">
                  <c:v>4.9817724330299312E+16</c:v>
                </c:pt>
                <c:pt idx="12">
                  <c:v>4.7907798657486768E+16</c:v>
                </c:pt>
                <c:pt idx="13">
                  <c:v>4.6056244899695464E+16</c:v>
                </c:pt>
                <c:pt idx="14">
                  <c:v>4.4261276153444872E+16</c:v>
                </c:pt>
                <c:pt idx="15">
                  <c:v>4.2518776034703656E+16</c:v>
                </c:pt>
                <c:pt idx="16">
                  <c:v>4.082940241314964E+16</c:v>
                </c:pt>
                <c:pt idx="17">
                  <c:v>3.9190455397370912E+16</c:v>
                </c:pt>
                <c:pt idx="18">
                  <c:v>3.7597490622319632E+16</c:v>
                </c:pt>
                <c:pt idx="19">
                  <c:v>3.605470986120632E+16</c:v>
                </c:pt>
                <c:pt idx="20">
                  <c:v>3.4567670887632128E+16</c:v>
                </c:pt>
                <c:pt idx="21">
                  <c:v>3.3120557372392E+16</c:v>
                </c:pt>
                <c:pt idx="22">
                  <c:v>3.1718021281642208E+16</c:v>
                </c:pt>
                <c:pt idx="23">
                  <c:v>3.036843507926642E+16</c:v>
                </c:pt>
                <c:pt idx="24">
                  <c:v>2.906253182698012E+16</c:v>
                </c:pt>
                <c:pt idx="25">
                  <c:v>2.7796346440703808E+16</c:v>
                </c:pt>
                <c:pt idx="26">
                  <c:v>2.6573627915258668E+16</c:v>
                </c:pt>
                <c:pt idx="27">
                  <c:v>2.5400976669063488E+16</c:v>
                </c:pt>
                <c:pt idx="28">
                  <c:v>2.427341212314858E+16</c:v>
                </c:pt>
                <c:pt idx="29">
                  <c:v>2.3189690062854612E+16</c:v>
                </c:pt>
                <c:pt idx="30">
                  <c:v>2.2132488782319776E+16</c:v>
                </c:pt>
                <c:pt idx="31">
                  <c:v>2.1114948857363984E+16</c:v>
                </c:pt>
                <c:pt idx="32">
                  <c:v>2.0141172806994636E+16</c:v>
                </c:pt>
                <c:pt idx="33">
                  <c:v>1.9201475262717648E+16</c:v>
                </c:pt>
                <c:pt idx="34">
                  <c:v>1.829930047601354E+16</c:v>
                </c:pt>
                <c:pt idx="35">
                  <c:v>1.7426058893147542E+16</c:v>
                </c:pt>
                <c:pt idx="36">
                  <c:v>1.6586283719738034E+16</c:v>
                </c:pt>
                <c:pt idx="37">
                  <c:v>1.5778243617595608E+16</c:v>
                </c:pt>
                <c:pt idx="38">
                  <c:v>1.50031453820748E+16</c:v>
                </c:pt>
                <c:pt idx="39">
                  <c:v>1.4255392196508926E+16</c:v>
                </c:pt>
                <c:pt idx="40">
                  <c:v>1.3539763726866414E+16</c:v>
                </c:pt>
                <c:pt idx="41">
                  <c:v>1.2852424153633758E+16</c:v>
                </c:pt>
                <c:pt idx="42">
                  <c:v>1.2198729350835882E+16</c:v>
                </c:pt>
                <c:pt idx="43">
                  <c:v>1.1567440989144788E+16</c:v>
                </c:pt>
                <c:pt idx="44">
                  <c:v>1.0965906003081386E+16</c:v>
                </c:pt>
                <c:pt idx="45">
                  <c:v>1.0386893106529308E+16</c:v>
                </c:pt>
                <c:pt idx="46">
                  <c:v>9829318171489254</c:v>
                </c:pt>
                <c:pt idx="47">
                  <c:v>9299762914841018</c:v>
                </c:pt>
                <c:pt idx="48">
                  <c:v>8792241676320552</c:v>
                </c:pt>
                <c:pt idx="49">
                  <c:v>8313258518505281</c:v>
                </c:pt>
                <c:pt idx="50">
                  <c:v>7855303491549923</c:v>
                </c:pt>
                <c:pt idx="51">
                  <c:v>7412554090057232</c:v>
                </c:pt>
                <c:pt idx="52">
                  <c:v>6990998594171791</c:v>
                </c:pt>
                <c:pt idx="53">
                  <c:v>6589116714085686</c:v>
                </c:pt>
                <c:pt idx="54">
                  <c:v>6205197817122229</c:v>
                </c:pt>
                <c:pt idx="55">
                  <c:v>5844701090557190</c:v>
                </c:pt>
                <c:pt idx="56">
                  <c:v>5496962008568964</c:v>
                </c:pt>
                <c:pt idx="57">
                  <c:v>5168887162409875</c:v>
                </c:pt>
                <c:pt idx="58">
                  <c:v>4852104673928478</c:v>
                </c:pt>
                <c:pt idx="59">
                  <c:v>4553192424310319</c:v>
                </c:pt>
                <c:pt idx="60">
                  <c:v>4266531787766704</c:v>
                </c:pt>
                <c:pt idx="61">
                  <c:v>4001853158365227.5</c:v>
                </c:pt>
                <c:pt idx="62">
                  <c:v>3745064928345583</c:v>
                </c:pt>
                <c:pt idx="63">
                  <c:v>3505782173305825.5</c:v>
                </c:pt>
                <c:pt idx="64">
                  <c:v>3279842736652691.5</c:v>
                </c:pt>
                <c:pt idx="65">
                  <c:v>3063397760885286.5</c:v>
                </c:pt>
                <c:pt idx="66">
                  <c:v>2857133025429140.5</c:v>
                </c:pt>
                <c:pt idx="67">
                  <c:v>2662807287977520.5</c:v>
                </c:pt>
                <c:pt idx="68">
                  <c:v>2480020524068258</c:v>
                </c:pt>
                <c:pt idx="69">
                  <c:v>2307443571658370.5</c:v>
                </c:pt>
                <c:pt idx="70">
                  <c:v>2145286199338391</c:v>
                </c:pt>
                <c:pt idx="71">
                  <c:v>1993008141068232.7</c:v>
                </c:pt>
                <c:pt idx="72">
                  <c:v>1844955360118915</c:v>
                </c:pt>
                <c:pt idx="73">
                  <c:v>1710701313684866.5</c:v>
                </c:pt>
                <c:pt idx="74">
                  <c:v>1583213477752986.2</c:v>
                </c:pt>
                <c:pt idx="75">
                  <c:v>1460304704264606.2</c:v>
                </c:pt>
                <c:pt idx="76">
                  <c:v>1349242857239406.5</c:v>
                </c:pt>
                <c:pt idx="77">
                  <c:v>1245005300740346.5</c:v>
                </c:pt>
                <c:pt idx="78">
                  <c:v>1149719049380960.2</c:v>
                </c:pt>
                <c:pt idx="79">
                  <c:v>1062972592835206.5</c:v>
                </c:pt>
                <c:pt idx="80">
                  <c:v>975276214829085.87</c:v>
                </c:pt>
                <c:pt idx="81">
                  <c:v>893510140343994.5</c:v>
                </c:pt>
                <c:pt idx="82">
                  <c:v>820438435526973.37</c:v>
                </c:pt>
                <c:pt idx="83">
                  <c:v>752117402897568.62</c:v>
                </c:pt>
                <c:pt idx="84">
                  <c:v>689874222227115.62</c:v>
                </c:pt>
                <c:pt idx="85">
                  <c:v>630474758422430.62</c:v>
                </c:pt>
                <c:pt idx="86">
                  <c:v>578356478034527.62</c:v>
                </c:pt>
                <c:pt idx="87">
                  <c:v>528544201469059.19</c:v>
                </c:pt>
                <c:pt idx="88">
                  <c:v>480047860231841.37</c:v>
                </c:pt>
                <c:pt idx="89">
                  <c:v>439471528954728.12</c:v>
                </c:pt>
                <c:pt idx="90">
                  <c:v>400434227783315.44</c:v>
                </c:pt>
                <c:pt idx="91">
                  <c:v>364498876546941.44</c:v>
                </c:pt>
                <c:pt idx="92">
                  <c:v>330314463166626.94</c:v>
                </c:pt>
                <c:pt idx="93">
                  <c:v>299501493043207.81</c:v>
                </c:pt>
                <c:pt idx="94">
                  <c:v>271278247031749.69</c:v>
                </c:pt>
                <c:pt idx="95">
                  <c:v>248346069349766.56</c:v>
                </c:pt>
                <c:pt idx="96">
                  <c:v>224993548980574.66</c:v>
                </c:pt>
                <c:pt idx="97">
                  <c:v>200564817890213.16</c:v>
                </c:pt>
                <c:pt idx="98">
                  <c:v>182442135110014.25</c:v>
                </c:pt>
                <c:pt idx="99">
                  <c:v>166256999149026.84</c:v>
                </c:pt>
                <c:pt idx="100">
                  <c:v>152559009503161.97</c:v>
                </c:pt>
                <c:pt idx="101">
                  <c:v>138978134854767.36</c:v>
                </c:pt>
                <c:pt idx="102">
                  <c:v>124925611202022.95</c:v>
                </c:pt>
                <c:pt idx="103">
                  <c:v>112235920339602.55</c:v>
                </c:pt>
                <c:pt idx="104">
                  <c:v>103939188962514.36</c:v>
                </c:pt>
                <c:pt idx="105">
                  <c:v>93922586052599.172</c:v>
                </c:pt>
                <c:pt idx="106">
                  <c:v>83755760386848.328</c:v>
                </c:pt>
                <c:pt idx="107">
                  <c:v>77734484426165.266</c:v>
                </c:pt>
                <c:pt idx="108">
                  <c:v>67916402510952.523</c:v>
                </c:pt>
                <c:pt idx="109">
                  <c:v>61097949860062.617</c:v>
                </c:pt>
                <c:pt idx="110">
                  <c:v>59216130126171.109</c:v>
                </c:pt>
                <c:pt idx="111">
                  <c:v>53509367693264.906</c:v>
                </c:pt>
                <c:pt idx="112">
                  <c:v>46610681277457.82</c:v>
                </c:pt>
                <c:pt idx="113">
                  <c:v>46643096379192.133</c:v>
                </c:pt>
                <c:pt idx="114">
                  <c:v>41693251573261.805</c:v>
                </c:pt>
                <c:pt idx="115">
                  <c:v>36296168273918.523</c:v>
                </c:pt>
                <c:pt idx="116">
                  <c:v>30518331640417.738</c:v>
                </c:pt>
                <c:pt idx="117">
                  <c:v>30163532037802.422</c:v>
                </c:pt>
                <c:pt idx="118">
                  <c:v>28389995442606.91</c:v>
                </c:pt>
                <c:pt idx="119">
                  <c:v>28454438024804.344</c:v>
                </c:pt>
                <c:pt idx="120">
                  <c:v>21625691622369</c:v>
                </c:pt>
                <c:pt idx="121">
                  <c:v>20242197825264.293</c:v>
                </c:pt>
                <c:pt idx="122">
                  <c:v>17316227962444.148</c:v>
                </c:pt>
                <c:pt idx="123">
                  <c:v>16577169712256.27</c:v>
                </c:pt>
                <c:pt idx="124">
                  <c:v>14682069090794.621</c:v>
                </c:pt>
              </c:numCache>
            </c:numRef>
          </c:xVal>
          <c:yVal>
            <c:numRef>
              <c:f>Plots!$AC$3:$AC$127</c:f>
              <c:numCache>
                <c:formatCode>General</c:formatCode>
                <c:ptCount val="125"/>
                <c:pt idx="0">
                  <c:v>0</c:v>
                </c:pt>
                <c:pt idx="1">
                  <c:v>0</c:v>
                </c:pt>
                <c:pt idx="2">
                  <c:v>1.4788823303101789E-4</c:v>
                </c:pt>
                <c:pt idx="3">
                  <c:v>1.2047526913645844E-4</c:v>
                </c:pt>
                <c:pt idx="4">
                  <c:v>1.1487937869445322E-4</c:v>
                </c:pt>
                <c:pt idx="5">
                  <c:v>1.197244490088633E-4</c:v>
                </c:pt>
                <c:pt idx="6">
                  <c:v>1.2694479973546029E-4</c:v>
                </c:pt>
                <c:pt idx="7">
                  <c:v>1.338068358942254E-4</c:v>
                </c:pt>
                <c:pt idx="8">
                  <c:v>1.3935436215413855E-4</c:v>
                </c:pt>
                <c:pt idx="9">
                  <c:v>1.4094099821138729E-4</c:v>
                </c:pt>
                <c:pt idx="10">
                  <c:v>1.424528498895949E-4</c:v>
                </c:pt>
                <c:pt idx="11">
                  <c:v>1.450945995167296E-4</c:v>
                </c:pt>
                <c:pt idx="12">
                  <c:v>1.4792511540831634E-4</c:v>
                </c:pt>
                <c:pt idx="13">
                  <c:v>1.5065991959738455E-4</c:v>
                </c:pt>
                <c:pt idx="14">
                  <c:v>1.5331072866865017E-4</c:v>
                </c:pt>
                <c:pt idx="15">
                  <c:v>1.5591507158951206E-4</c:v>
                </c:pt>
                <c:pt idx="16">
                  <c:v>1.5845182315307008E-4</c:v>
                </c:pt>
                <c:pt idx="17">
                  <c:v>1.6092077479415431E-4</c:v>
                </c:pt>
                <c:pt idx="18">
                  <c:v>1.6333186107331149E-4</c:v>
                </c:pt>
                <c:pt idx="19">
                  <c:v>1.6566477869230225E-4</c:v>
                </c:pt>
                <c:pt idx="20">
                  <c:v>1.6789017258789788E-4</c:v>
                </c:pt>
                <c:pt idx="21">
                  <c:v>1.6998501037162212E-4</c:v>
                </c:pt>
                <c:pt idx="22">
                  <c:v>1.7196157138132392E-4</c:v>
                </c:pt>
                <c:pt idx="23">
                  <c:v>1.7393916236027915E-4</c:v>
                </c:pt>
                <c:pt idx="24">
                  <c:v>1.7574065452554793E-4</c:v>
                </c:pt>
                <c:pt idx="25">
                  <c:v>1.7740525794493066E-4</c:v>
                </c:pt>
                <c:pt idx="26">
                  <c:v>1.7894319312810534E-4</c:v>
                </c:pt>
                <c:pt idx="27">
                  <c:v>1.8046808237076153E-4</c:v>
                </c:pt>
                <c:pt idx="28">
                  <c:v>1.8219195830134882E-4</c:v>
                </c:pt>
                <c:pt idx="29">
                  <c:v>1.8351636815854892E-4</c:v>
                </c:pt>
                <c:pt idx="30">
                  <c:v>1.845944544834721E-4</c:v>
                </c:pt>
                <c:pt idx="31">
                  <c:v>1.8555512412651851E-4</c:v>
                </c:pt>
                <c:pt idx="32">
                  <c:v>1.8641447647682708E-4</c:v>
                </c:pt>
                <c:pt idx="33">
                  <c:v>1.8714665869897843E-4</c:v>
                </c:pt>
                <c:pt idx="34">
                  <c:v>1.8768016399421352E-4</c:v>
                </c:pt>
                <c:pt idx="35">
                  <c:v>1.8809499519350582E-4</c:v>
                </c:pt>
                <c:pt idx="36">
                  <c:v>1.8840263702970704E-4</c:v>
                </c:pt>
                <c:pt idx="37">
                  <c:v>1.8844383692249897E-4</c:v>
                </c:pt>
                <c:pt idx="38">
                  <c:v>1.8855413334604304E-4</c:v>
                </c:pt>
                <c:pt idx="39">
                  <c:v>1.884590119697895E-4</c:v>
                </c:pt>
                <c:pt idx="40">
                  <c:v>1.8830525289749653E-4</c:v>
                </c:pt>
                <c:pt idx="41">
                  <c:v>1.879819399809433E-4</c:v>
                </c:pt>
                <c:pt idx="42">
                  <c:v>1.8759656975108271E-4</c:v>
                </c:pt>
                <c:pt idx="43">
                  <c:v>1.8689473243139665E-4</c:v>
                </c:pt>
                <c:pt idx="44">
                  <c:v>1.8622099537634893E-4</c:v>
                </c:pt>
                <c:pt idx="45">
                  <c:v>1.8526632141601437E-4</c:v>
                </c:pt>
                <c:pt idx="46">
                  <c:v>1.8417144849429106E-4</c:v>
                </c:pt>
                <c:pt idx="47">
                  <c:v>1.8318671619218941E-4</c:v>
                </c:pt>
                <c:pt idx="48">
                  <c:v>1.8197221479091826E-4</c:v>
                </c:pt>
                <c:pt idx="49">
                  <c:v>1.806942021734953E-4</c:v>
                </c:pt>
                <c:pt idx="50">
                  <c:v>1.7924967363504621E-4</c:v>
                </c:pt>
                <c:pt idx="51">
                  <c:v>1.7750150283498228E-4</c:v>
                </c:pt>
                <c:pt idx="52">
                  <c:v>1.7577625856322733E-4</c:v>
                </c:pt>
                <c:pt idx="53">
                  <c:v>1.7397268458011159E-4</c:v>
                </c:pt>
                <c:pt idx="54">
                  <c:v>1.7200864952861557E-4</c:v>
                </c:pt>
                <c:pt idx="55">
                  <c:v>1.7017262569936882E-4</c:v>
                </c:pt>
                <c:pt idx="56">
                  <c:v>1.6797462917685852E-4</c:v>
                </c:pt>
                <c:pt idx="57">
                  <c:v>1.6577431693272289E-4</c:v>
                </c:pt>
                <c:pt idx="58">
                  <c:v>1.6355616430392816E-4</c:v>
                </c:pt>
                <c:pt idx="59">
                  <c:v>1.6118610234756248E-4</c:v>
                </c:pt>
                <c:pt idx="60">
                  <c:v>1.5863024950931844E-4</c:v>
                </c:pt>
                <c:pt idx="61">
                  <c:v>1.564486995271964E-4</c:v>
                </c:pt>
                <c:pt idx="62">
                  <c:v>1.539767307207079E-4</c:v>
                </c:pt>
                <c:pt idx="63">
                  <c:v>1.5123723592697783E-4</c:v>
                </c:pt>
                <c:pt idx="64">
                  <c:v>1.4847311532069802E-4</c:v>
                </c:pt>
                <c:pt idx="65">
                  <c:v>1.4547465819713648E-4</c:v>
                </c:pt>
                <c:pt idx="66">
                  <c:v>1.4257280412840789E-4</c:v>
                </c:pt>
                <c:pt idx="67">
                  <c:v>1.3968473097017396E-4</c:v>
                </c:pt>
                <c:pt idx="68">
                  <c:v>1.3694332909990273E-4</c:v>
                </c:pt>
                <c:pt idx="69">
                  <c:v>1.3369721422780716E-4</c:v>
                </c:pt>
                <c:pt idx="70">
                  <c:v>1.3058741777075789E-4</c:v>
                </c:pt>
                <c:pt idx="71">
                  <c:v>1.275026147819194E-4</c:v>
                </c:pt>
                <c:pt idx="72">
                  <c:v>1.2398706570121521E-4</c:v>
                </c:pt>
                <c:pt idx="73">
                  <c:v>1.2085970778868509E-4</c:v>
                </c:pt>
                <c:pt idx="74">
                  <c:v>1.1749095534498594E-4</c:v>
                </c:pt>
                <c:pt idx="75">
                  <c:v>1.1400807755044417E-4</c:v>
                </c:pt>
                <c:pt idx="76">
                  <c:v>1.1073422407390784E-4</c:v>
                </c:pt>
                <c:pt idx="77">
                  <c:v>1.0770774044106746E-4</c:v>
                </c:pt>
                <c:pt idx="78">
                  <c:v>1.0467388021474334E-4</c:v>
                </c:pt>
                <c:pt idx="79">
                  <c:v>1.0166246926504881E-4</c:v>
                </c:pt>
                <c:pt idx="80">
                  <c:v>9.8074245899787494E-5</c:v>
                </c:pt>
                <c:pt idx="81">
                  <c:v>9.4684128312090001E-5</c:v>
                </c:pt>
                <c:pt idx="82">
                  <c:v>9.1664536061102444E-5</c:v>
                </c:pt>
                <c:pt idx="83">
                  <c:v>8.8419972020757675E-5</c:v>
                </c:pt>
                <c:pt idx="84">
                  <c:v>8.5235084992506881E-5</c:v>
                </c:pt>
                <c:pt idx="85">
                  <c:v>8.2254420289199563E-5</c:v>
                </c:pt>
                <c:pt idx="86">
                  <c:v>7.9433812462782933E-5</c:v>
                </c:pt>
                <c:pt idx="87">
                  <c:v>7.6362718483865392E-5</c:v>
                </c:pt>
                <c:pt idx="88">
                  <c:v>7.2961255675001957E-5</c:v>
                </c:pt>
                <c:pt idx="89">
                  <c:v>7.0538291724527017E-5</c:v>
                </c:pt>
                <c:pt idx="90">
                  <c:v>6.7785042326963497E-5</c:v>
                </c:pt>
                <c:pt idx="91">
                  <c:v>6.4833117663959584E-5</c:v>
                </c:pt>
                <c:pt idx="92">
                  <c:v>6.2002172927437757E-5</c:v>
                </c:pt>
                <c:pt idx="93">
                  <c:v>5.9507211796371522E-5</c:v>
                </c:pt>
                <c:pt idx="94">
                  <c:v>5.6959035924224412E-5</c:v>
                </c:pt>
                <c:pt idx="95">
                  <c:v>5.4946961616196616E-5</c:v>
                </c:pt>
                <c:pt idx="96">
                  <c:v>5.2783685849699434E-5</c:v>
                </c:pt>
                <c:pt idx="97">
                  <c:v>4.9756620353758999E-5</c:v>
                </c:pt>
                <c:pt idx="98">
                  <c:v>4.7877818652429147E-5</c:v>
                </c:pt>
                <c:pt idx="99">
                  <c:v>4.6359608191399831E-5</c:v>
                </c:pt>
                <c:pt idx="100">
                  <c:v>4.492488901208238E-5</c:v>
                </c:pt>
                <c:pt idx="101">
                  <c:v>4.3175686078002304E-5</c:v>
                </c:pt>
                <c:pt idx="102">
                  <c:v>4.1063077625926103E-5</c:v>
                </c:pt>
                <c:pt idx="103">
                  <c:v>3.902368237848779E-5</c:v>
                </c:pt>
                <c:pt idx="104">
                  <c:v>3.8562848812295978E-5</c:v>
                </c:pt>
                <c:pt idx="105">
                  <c:v>3.6611479224083158E-5</c:v>
                </c:pt>
                <c:pt idx="106">
                  <c:v>3.4826579470573544E-5</c:v>
                </c:pt>
                <c:pt idx="107">
                  <c:v>3.3982694697535575E-5</c:v>
                </c:pt>
                <c:pt idx="108">
                  <c:v>3.1666698057355665E-5</c:v>
                </c:pt>
                <c:pt idx="109">
                  <c:v>3.0397644695742172E-5</c:v>
                </c:pt>
                <c:pt idx="110">
                  <c:v>3.1014312205000376E-5</c:v>
                </c:pt>
                <c:pt idx="111">
                  <c:v>3.0142658649403312E-5</c:v>
                </c:pt>
                <c:pt idx="112">
                  <c:v>2.7866756521465638E-5</c:v>
                </c:pt>
                <c:pt idx="113">
                  <c:v>2.9588954317023163E-5</c:v>
                </c:pt>
                <c:pt idx="114">
                  <c:v>2.8118407832870506E-5</c:v>
                </c:pt>
                <c:pt idx="115">
                  <c:v>2.5997929233873759E-5</c:v>
                </c:pt>
                <c:pt idx="116">
                  <c:v>2.3441902930888811E-5</c:v>
                </c:pt>
                <c:pt idx="117">
                  <c:v>2.4811356299709466E-5</c:v>
                </c:pt>
                <c:pt idx="118">
                  <c:v>2.480310522095035E-5</c:v>
                </c:pt>
                <c:pt idx="119">
                  <c:v>2.6524704687423027E-5</c:v>
                </c:pt>
                <c:pt idx="120">
                  <c:v>2.1512186872327993E-5</c:v>
                </c:pt>
                <c:pt idx="121">
                  <c:v>2.1282822265142616E-5</c:v>
                </c:pt>
                <c:pt idx="122">
                  <c:v>1.9621219259511654E-5</c:v>
                </c:pt>
                <c:pt idx="123">
                  <c:v>0</c:v>
                </c:pt>
                <c:pt idx="124">
                  <c:v>0</c:v>
                </c:pt>
              </c:numCache>
            </c:numRef>
          </c:yVal>
          <c:smooth val="0"/>
        </c:ser>
        <c:ser>
          <c:idx val="0"/>
          <c:order val="0"/>
          <c:tx>
            <c:strRef>
              <c:f>Plots!$AD$1</c:f>
              <c:strCache>
                <c:ptCount val="1"/>
                <c:pt idx="0">
                  <c:v>35</c:v>
                </c:pt>
              </c:strCache>
            </c:strRef>
          </c:tx>
          <c:spPr>
            <a:ln w="28575">
              <a:noFill/>
            </a:ln>
          </c:spPr>
          <c:marker>
            <c:spPr>
              <a:solidFill>
                <a:schemeClr val="accent4">
                  <a:lumMod val="50000"/>
                </a:schemeClr>
              </a:solidFill>
              <a:ln>
                <a:noFill/>
              </a:ln>
            </c:spPr>
          </c:marker>
          <c:xVal>
            <c:numRef>
              <c:f>Plots!$AD$3:$AD$127</c:f>
              <c:numCache>
                <c:formatCode>General</c:formatCode>
                <c:ptCount val="125"/>
                <c:pt idx="0">
                  <c:v>8984270978808332</c:v>
                </c:pt>
                <c:pt idx="1">
                  <c:v>3.8619909260557984E+16</c:v>
                </c:pt>
                <c:pt idx="2">
                  <c:v>5.1970380339175648E+16</c:v>
                </c:pt>
                <c:pt idx="3">
                  <c:v>5.2026036746357208E+16</c:v>
                </c:pt>
                <c:pt idx="4">
                  <c:v>5.2026036746357208E+16</c:v>
                </c:pt>
                <c:pt idx="5">
                  <c:v>5.2026036746357208E+16</c:v>
                </c:pt>
                <c:pt idx="6">
                  <c:v>5.2026036746357208E+16</c:v>
                </c:pt>
                <c:pt idx="7">
                  <c:v>5.2026036746357208E+16</c:v>
                </c:pt>
                <c:pt idx="8">
                  <c:v>5.2026036746357208E+16</c:v>
                </c:pt>
                <c:pt idx="9">
                  <c:v>5.2013948081466216E+16</c:v>
                </c:pt>
                <c:pt idx="10">
                  <c:v>5.0773485096633512E+16</c:v>
                </c:pt>
                <c:pt idx="11">
                  <c:v>4.8757879264362536E+16</c:v>
                </c:pt>
                <c:pt idx="12">
                  <c:v>4.6784758491489496E+16</c:v>
                </c:pt>
                <c:pt idx="13">
                  <c:v>4.487878794563816E+16</c:v>
                </c:pt>
                <c:pt idx="14">
                  <c:v>4.3031153215258848E+16</c:v>
                </c:pt>
                <c:pt idx="15">
                  <c:v>4.1238707250754864E+16</c:v>
                </c:pt>
                <c:pt idx="16">
                  <c:v>3.950017372885296E+16</c:v>
                </c:pt>
                <c:pt idx="17">
                  <c:v>3.78126213718818E+16</c:v>
                </c:pt>
                <c:pt idx="18">
                  <c:v>3.6187091115367704E+16</c:v>
                </c:pt>
                <c:pt idx="19">
                  <c:v>3.4602750369678396E+16</c:v>
                </c:pt>
                <c:pt idx="20">
                  <c:v>3.3087633836506652E+16</c:v>
                </c:pt>
                <c:pt idx="21">
                  <c:v>3.1618728278715068E+16</c:v>
                </c:pt>
                <c:pt idx="22">
                  <c:v>3.0192975810282412E+16</c:v>
                </c:pt>
                <c:pt idx="23">
                  <c:v>2.8822536267712164E+16</c:v>
                </c:pt>
                <c:pt idx="24">
                  <c:v>2.7495567520674884E+16</c:v>
                </c:pt>
                <c:pt idx="25">
                  <c:v>2.6223350176377768E+16</c:v>
                </c:pt>
                <c:pt idx="26">
                  <c:v>2.4998869847838296E+16</c:v>
                </c:pt>
                <c:pt idx="27">
                  <c:v>2.3816397735887984E+16</c:v>
                </c:pt>
                <c:pt idx="28">
                  <c:v>2.2688066943653968E+16</c:v>
                </c:pt>
                <c:pt idx="29">
                  <c:v>2.1600930686647804E+16</c:v>
                </c:pt>
                <c:pt idx="30">
                  <c:v>2.0555686508262216E+16</c:v>
                </c:pt>
                <c:pt idx="31">
                  <c:v>1.9546577929605804E+16</c:v>
                </c:pt>
                <c:pt idx="32">
                  <c:v>1.8586990390344212E+16</c:v>
                </c:pt>
                <c:pt idx="33">
                  <c:v>1.7654557046110988E+16</c:v>
                </c:pt>
                <c:pt idx="34">
                  <c:v>1.6765499005896626E+16</c:v>
                </c:pt>
                <c:pt idx="35">
                  <c:v>1.591041447702518E+16</c:v>
                </c:pt>
                <c:pt idx="36">
                  <c:v>1.5088206084509412E+16</c:v>
                </c:pt>
                <c:pt idx="37">
                  <c:v>1.4302153920531412E+16</c:v>
                </c:pt>
                <c:pt idx="38">
                  <c:v>1.354623314631166E+16</c:v>
                </c:pt>
                <c:pt idx="39">
                  <c:v>1.2826218181369952E+16</c:v>
                </c:pt>
                <c:pt idx="40">
                  <c:v>1.2135253580488122E+16</c:v>
                </c:pt>
                <c:pt idx="41">
                  <c:v>1.148211116942456E+16</c:v>
                </c:pt>
                <c:pt idx="42">
                  <c:v>1.0851233229987238E+16</c:v>
                </c:pt>
                <c:pt idx="43">
                  <c:v>1.0256931427627252E+16</c:v>
                </c:pt>
                <c:pt idx="44">
                  <c:v>9683989797812950</c:v>
                </c:pt>
                <c:pt idx="45">
                  <c:v>9140908309771554</c:v>
                </c:pt>
                <c:pt idx="46">
                  <c:v>8620774946768362</c:v>
                </c:pt>
                <c:pt idx="47">
                  <c:v>8123234825620185</c:v>
                </c:pt>
                <c:pt idx="48">
                  <c:v>7654029768246220</c:v>
                </c:pt>
                <c:pt idx="49">
                  <c:v>7204231213323801</c:v>
                </c:pt>
                <c:pt idx="50">
                  <c:v>6778217281180770</c:v>
                </c:pt>
                <c:pt idx="51">
                  <c:v>6369566126721776</c:v>
                </c:pt>
                <c:pt idx="52">
                  <c:v>5985273503833316</c:v>
                </c:pt>
                <c:pt idx="53">
                  <c:v>5612771342035677</c:v>
                </c:pt>
                <c:pt idx="54">
                  <c:v>5263234749654164</c:v>
                </c:pt>
                <c:pt idx="55">
                  <c:v>4935554914535466</c:v>
                </c:pt>
                <c:pt idx="56">
                  <c:v>4621038939032045</c:v>
                </c:pt>
                <c:pt idx="57">
                  <c:v>4321134505446425</c:v>
                </c:pt>
                <c:pt idx="58">
                  <c:v>4041785753429148</c:v>
                </c:pt>
                <c:pt idx="59">
                  <c:v>3773790477286341.5</c:v>
                </c:pt>
                <c:pt idx="60">
                  <c:v>3521789677648033</c:v>
                </c:pt>
                <c:pt idx="61">
                  <c:v>3280616098459796</c:v>
                </c:pt>
                <c:pt idx="62">
                  <c:v>3056235735884297.5</c:v>
                </c:pt>
                <c:pt idx="63">
                  <c:v>2843367280130164</c:v>
                </c:pt>
                <c:pt idx="64">
                  <c:v>2645789041127380.5</c:v>
                </c:pt>
                <c:pt idx="65">
                  <c:v>2454907649110743</c:v>
                </c:pt>
                <c:pt idx="66">
                  <c:v>2279096217709575</c:v>
                </c:pt>
                <c:pt idx="67">
                  <c:v>2110183482339978.5</c:v>
                </c:pt>
                <c:pt idx="68">
                  <c:v>1951586799628186</c:v>
                </c:pt>
                <c:pt idx="69">
                  <c:v>1804948813713532</c:v>
                </c:pt>
                <c:pt idx="70">
                  <c:v>1668499854874733.7</c:v>
                </c:pt>
                <c:pt idx="71">
                  <c:v>1538775386370625.2</c:v>
                </c:pt>
                <c:pt idx="72">
                  <c:v>1417831418274960.7</c:v>
                </c:pt>
                <c:pt idx="73">
                  <c:v>1303623589639482.2</c:v>
                </c:pt>
                <c:pt idx="74">
                  <c:v>1200389928685442</c:v>
                </c:pt>
                <c:pt idx="75">
                  <c:v>1102233216331581.5</c:v>
                </c:pt>
                <c:pt idx="76">
                  <c:v>1013544112994347.6</c:v>
                </c:pt>
                <c:pt idx="77">
                  <c:v>927121933789796.75</c:v>
                </c:pt>
                <c:pt idx="78">
                  <c:v>847590918195712.37</c:v>
                </c:pt>
                <c:pt idx="79">
                  <c:v>776610257422666.37</c:v>
                </c:pt>
                <c:pt idx="80">
                  <c:v>707734020441370.12</c:v>
                </c:pt>
                <c:pt idx="81">
                  <c:v>644733768040229.75</c:v>
                </c:pt>
                <c:pt idx="82">
                  <c:v>589068337905270.12</c:v>
                </c:pt>
                <c:pt idx="83">
                  <c:v>536218500668563.62</c:v>
                </c:pt>
                <c:pt idx="84">
                  <c:v>489405479215103.75</c:v>
                </c:pt>
                <c:pt idx="85">
                  <c:v>443964099186424.87</c:v>
                </c:pt>
                <c:pt idx="86">
                  <c:v>402681757323470.44</c:v>
                </c:pt>
                <c:pt idx="87">
                  <c:v>364425959597825.56</c:v>
                </c:pt>
                <c:pt idx="88">
                  <c:v>331528780997945.56</c:v>
                </c:pt>
                <c:pt idx="89">
                  <c:v>298075132108584.37</c:v>
                </c:pt>
                <c:pt idx="90">
                  <c:v>269297908886361.12</c:v>
                </c:pt>
                <c:pt idx="91">
                  <c:v>243137722392296.69</c:v>
                </c:pt>
                <c:pt idx="92">
                  <c:v>221756416639188.34</c:v>
                </c:pt>
                <c:pt idx="93">
                  <c:v>200146207059703.28</c:v>
                </c:pt>
                <c:pt idx="94">
                  <c:v>179364762459111</c:v>
                </c:pt>
                <c:pt idx="95">
                  <c:v>161966290330959.31</c:v>
                </c:pt>
                <c:pt idx="96">
                  <c:v>146491290288118.47</c:v>
                </c:pt>
                <c:pt idx="97">
                  <c:v>131913501937820.28</c:v>
                </c:pt>
                <c:pt idx="98">
                  <c:v>119604808446187.81</c:v>
                </c:pt>
                <c:pt idx="99">
                  <c:v>108511133058881.77</c:v>
                </c:pt>
                <c:pt idx="100">
                  <c:v>96001934641095.437</c:v>
                </c:pt>
                <c:pt idx="101">
                  <c:v>87923388082664.016</c:v>
                </c:pt>
                <c:pt idx="102">
                  <c:v>78515324523758.891</c:v>
                </c:pt>
                <c:pt idx="103">
                  <c:v>67874460910863.133</c:v>
                </c:pt>
                <c:pt idx="104">
                  <c:v>64371082353262.195</c:v>
                </c:pt>
                <c:pt idx="105">
                  <c:v>56037485865647.883</c:v>
                </c:pt>
                <c:pt idx="106">
                  <c:v>51091088454249.281</c:v>
                </c:pt>
                <c:pt idx="107">
                  <c:v>45380771864236.062</c:v>
                </c:pt>
                <c:pt idx="108">
                  <c:v>40297685737087.211</c:v>
                </c:pt>
                <c:pt idx="109">
                  <c:v>36046570508861.305</c:v>
                </c:pt>
                <c:pt idx="110">
                  <c:v>33922677517466.73</c:v>
                </c:pt>
                <c:pt idx="111">
                  <c:v>30591615026106.937</c:v>
                </c:pt>
                <c:pt idx="112">
                  <c:v>26821974319084.117</c:v>
                </c:pt>
                <c:pt idx="113">
                  <c:v>23115236924667.164</c:v>
                </c:pt>
                <c:pt idx="114">
                  <c:v>21527861316623.66</c:v>
                </c:pt>
                <c:pt idx="115">
                  <c:v>20822687338503.367</c:v>
                </c:pt>
                <c:pt idx="116">
                  <c:v>17034975158253.322</c:v>
                </c:pt>
                <c:pt idx="117">
                  <c:v>13633537498870.896</c:v>
                </c:pt>
                <c:pt idx="118">
                  <c:v>14161049282395.039</c:v>
                </c:pt>
                <c:pt idx="119">
                  <c:v>13867959726404.762</c:v>
                </c:pt>
                <c:pt idx="120">
                  <c:v>12080971802786.779</c:v>
                </c:pt>
                <c:pt idx="121">
                  <c:v>9300794632949.9102</c:v>
                </c:pt>
                <c:pt idx="122">
                  <c:v>8803679412687.748</c:v>
                </c:pt>
                <c:pt idx="123">
                  <c:v>6991881279076.6855</c:v>
                </c:pt>
                <c:pt idx="124">
                  <c:v>7371646287148.1045</c:v>
                </c:pt>
              </c:numCache>
            </c:numRef>
          </c:xVal>
          <c:yVal>
            <c:numRef>
              <c:f>Plots!$AE$3:$AE$127</c:f>
              <c:numCache>
                <c:formatCode>General</c:formatCode>
                <c:ptCount val="125"/>
                <c:pt idx="0">
                  <c:v>0</c:v>
                </c:pt>
                <c:pt idx="1">
                  <c:v>0</c:v>
                </c:pt>
                <c:pt idx="2">
                  <c:v>1.3417804507876878E-4</c:v>
                </c:pt>
                <c:pt idx="3">
                  <c:v>1.1021388823813468E-4</c:v>
                </c:pt>
                <c:pt idx="4">
                  <c:v>1.0692231886130217E-4</c:v>
                </c:pt>
                <c:pt idx="5">
                  <c:v>1.1202638020035421E-4</c:v>
                </c:pt>
                <c:pt idx="6">
                  <c:v>1.18821107333955E-4</c:v>
                </c:pt>
                <c:pt idx="7">
                  <c:v>1.2625150741205977E-4</c:v>
                </c:pt>
                <c:pt idx="8">
                  <c:v>1.3327145945317591E-4</c:v>
                </c:pt>
                <c:pt idx="9">
                  <c:v>1.3956275029491119E-4</c:v>
                </c:pt>
                <c:pt idx="10">
                  <c:v>1.4212803995937404E-4</c:v>
                </c:pt>
                <c:pt idx="11">
                  <c:v>1.4271955978045636E-4</c:v>
                </c:pt>
                <c:pt idx="12">
                  <c:v>1.4446947875747663E-4</c:v>
                </c:pt>
                <c:pt idx="13">
                  <c:v>1.4681178556465188E-4</c:v>
                </c:pt>
                <c:pt idx="14">
                  <c:v>1.4907994120486138E-4</c:v>
                </c:pt>
                <c:pt idx="15">
                  <c:v>1.5128158826291488E-4</c:v>
                </c:pt>
                <c:pt idx="16">
                  <c:v>1.5339003601929477E-4</c:v>
                </c:pt>
                <c:pt idx="17">
                  <c:v>1.5542210405339074E-4</c:v>
                </c:pt>
                <c:pt idx="18">
                  <c:v>1.5742875610768047E-4</c:v>
                </c:pt>
                <c:pt idx="19">
                  <c:v>1.5925865054472268E-4</c:v>
                </c:pt>
                <c:pt idx="20">
                  <c:v>1.6103664020258746E-4</c:v>
                </c:pt>
                <c:pt idx="21">
                  <c:v>1.6268975679088524E-4</c:v>
                </c:pt>
                <c:pt idx="22">
                  <c:v>1.6411961821743783E-4</c:v>
                </c:pt>
                <c:pt idx="23">
                  <c:v>1.6555967990242301E-4</c:v>
                </c:pt>
                <c:pt idx="24">
                  <c:v>1.6682865909768951E-4</c:v>
                </c:pt>
                <c:pt idx="25">
                  <c:v>1.6797412818170797E-4</c:v>
                </c:pt>
                <c:pt idx="26">
                  <c:v>1.6900943283540152E-4</c:v>
                </c:pt>
                <c:pt idx="27">
                  <c:v>1.6995375636822112E-4</c:v>
                </c:pt>
                <c:pt idx="28">
                  <c:v>1.7107406053861824E-4</c:v>
                </c:pt>
                <c:pt idx="29">
                  <c:v>1.7180539741691508E-4</c:v>
                </c:pt>
                <c:pt idx="30">
                  <c:v>1.7240009393270419E-4</c:v>
                </c:pt>
                <c:pt idx="31">
                  <c:v>1.7277898949044634E-4</c:v>
                </c:pt>
                <c:pt idx="32">
                  <c:v>1.730886020268032E-4</c:v>
                </c:pt>
                <c:pt idx="33">
                  <c:v>1.7319482657732893E-4</c:v>
                </c:pt>
                <c:pt idx="34">
                  <c:v>1.7320981165905921E-4</c:v>
                </c:pt>
                <c:pt idx="35">
                  <c:v>1.7310220480599314E-4</c:v>
                </c:pt>
                <c:pt idx="36">
                  <c:v>1.7280732474522217E-4</c:v>
                </c:pt>
                <c:pt idx="37">
                  <c:v>1.7233251213552973E-4</c:v>
                </c:pt>
                <c:pt idx="38">
                  <c:v>1.7183671472355212E-4</c:v>
                </c:pt>
                <c:pt idx="39">
                  <c:v>1.71274322808756E-4</c:v>
                </c:pt>
                <c:pt idx="40">
                  <c:v>1.7053432758074009E-4</c:v>
                </c:pt>
                <c:pt idx="41">
                  <c:v>1.6973346904038201E-4</c:v>
                </c:pt>
                <c:pt idx="42">
                  <c:v>1.6874694183553483E-4</c:v>
                </c:pt>
                <c:pt idx="43">
                  <c:v>1.676757795523587E-4</c:v>
                </c:pt>
                <c:pt idx="44">
                  <c:v>1.6645735295763416E-4</c:v>
                </c:pt>
                <c:pt idx="45">
                  <c:v>1.650663716840773E-4</c:v>
                </c:pt>
                <c:pt idx="46">
                  <c:v>1.6363756855896359E-4</c:v>
                </c:pt>
                <c:pt idx="47">
                  <c:v>1.6209205188155216E-4</c:v>
                </c:pt>
                <c:pt idx="48">
                  <c:v>1.6057071796066487E-4</c:v>
                </c:pt>
                <c:pt idx="49">
                  <c:v>1.5873101671421823E-4</c:v>
                </c:pt>
                <c:pt idx="50">
                  <c:v>1.5693861503800601E-4</c:v>
                </c:pt>
                <c:pt idx="51">
                  <c:v>1.5487184194493635E-4</c:v>
                </c:pt>
                <c:pt idx="52">
                  <c:v>1.5287346527730812E-4</c:v>
                </c:pt>
                <c:pt idx="53">
                  <c:v>1.5063372913382125E-4</c:v>
                </c:pt>
                <c:pt idx="54">
                  <c:v>1.4831696459419725E-4</c:v>
                </c:pt>
                <c:pt idx="55">
                  <c:v>1.4623250806846544E-4</c:v>
                </c:pt>
                <c:pt idx="56">
                  <c:v>1.437817063320368E-4</c:v>
                </c:pt>
                <c:pt idx="57">
                  <c:v>1.4122252533992874E-4</c:v>
                </c:pt>
                <c:pt idx="58">
                  <c:v>1.388368792197433E-4</c:v>
                </c:pt>
                <c:pt idx="59">
                  <c:v>1.3606194543135439E-4</c:v>
                </c:pt>
                <c:pt idx="60">
                  <c:v>1.3340244960910282E-4</c:v>
                </c:pt>
                <c:pt idx="61">
                  <c:v>1.3077973015828963E-4</c:v>
                </c:pt>
                <c:pt idx="62">
                  <c:v>1.2814845454984191E-4</c:v>
                </c:pt>
                <c:pt idx="63">
                  <c:v>1.2534087286258794E-4</c:v>
                </c:pt>
                <c:pt idx="64">
                  <c:v>1.224612741488277E-4</c:v>
                </c:pt>
                <c:pt idx="65">
                  <c:v>1.1938810099173661E-4</c:v>
                </c:pt>
                <c:pt idx="66">
                  <c:v>1.1634471165608758E-4</c:v>
                </c:pt>
                <c:pt idx="67">
                  <c:v>1.1329953097079958E-4</c:v>
                </c:pt>
                <c:pt idx="68">
                  <c:v>1.1022568819933569E-4</c:v>
                </c:pt>
                <c:pt idx="69">
                  <c:v>1.0712376604185369E-4</c:v>
                </c:pt>
                <c:pt idx="70">
                  <c:v>1.0407155899405569E-4</c:v>
                </c:pt>
                <c:pt idx="71">
                  <c:v>1.0081859359492499E-4</c:v>
                </c:pt>
                <c:pt idx="72">
                  <c:v>9.7508667419684869E-5</c:v>
                </c:pt>
                <c:pt idx="73">
                  <c:v>9.435922606384288E-5</c:v>
                </c:pt>
                <c:pt idx="74">
                  <c:v>9.136248223849108E-5</c:v>
                </c:pt>
                <c:pt idx="75">
                  <c:v>8.8411789630937098E-5</c:v>
                </c:pt>
                <c:pt idx="76">
                  <c:v>8.5382785132386327E-5</c:v>
                </c:pt>
                <c:pt idx="77">
                  <c:v>8.2300410873662928E-5</c:v>
                </c:pt>
                <c:pt idx="78">
                  <c:v>7.9198310307788413E-5</c:v>
                </c:pt>
                <c:pt idx="79">
                  <c:v>7.6368504370029423E-5</c:v>
                </c:pt>
                <c:pt idx="80">
                  <c:v>7.3183665170867016E-5</c:v>
                </c:pt>
                <c:pt idx="81">
                  <c:v>7.0168448687885955E-5</c:v>
                </c:pt>
                <c:pt idx="82">
                  <c:v>6.7650941149800947E-5</c:v>
                </c:pt>
                <c:pt idx="83">
                  <c:v>6.4868022072610317E-5</c:v>
                </c:pt>
                <c:pt idx="84">
                  <c:v>6.2252807522985383E-5</c:v>
                </c:pt>
                <c:pt idx="85">
                  <c:v>5.9427358648644249E-5</c:v>
                </c:pt>
                <c:pt idx="86">
                  <c:v>5.6718494304574738E-5</c:v>
                </c:pt>
                <c:pt idx="87">
                  <c:v>5.4270338277293005E-5</c:v>
                </c:pt>
                <c:pt idx="88">
                  <c:v>5.1962634266157338E-5</c:v>
                </c:pt>
                <c:pt idx="89">
                  <c:v>4.9244478119696203E-5</c:v>
                </c:pt>
                <c:pt idx="90">
                  <c:v>4.6966412917348694E-5</c:v>
                </c:pt>
                <c:pt idx="91">
                  <c:v>4.4806868081671803E-5</c:v>
                </c:pt>
                <c:pt idx="92">
                  <c:v>4.3173837954366961E-5</c:v>
                </c:pt>
                <c:pt idx="93">
                  <c:v>4.1093775819611686E-5</c:v>
                </c:pt>
                <c:pt idx="94">
                  <c:v>3.8636961458443548E-5</c:v>
                </c:pt>
                <c:pt idx="95">
                  <c:v>3.6967056294440355E-5</c:v>
                </c:pt>
                <c:pt idx="96">
                  <c:v>3.5409432632617366E-5</c:v>
                </c:pt>
                <c:pt idx="97">
                  <c:v>3.3552127545897157E-5</c:v>
                </c:pt>
                <c:pt idx="98">
                  <c:v>3.2084195480027124E-5</c:v>
                </c:pt>
                <c:pt idx="99">
                  <c:v>3.0950162101501506E-5</c:v>
                </c:pt>
                <c:pt idx="100">
                  <c:v>2.8776441133891697E-5</c:v>
                </c:pt>
                <c:pt idx="101">
                  <c:v>2.8007004882798113E-5</c:v>
                </c:pt>
                <c:pt idx="102">
                  <c:v>2.6389677273490557E-5</c:v>
                </c:pt>
                <c:pt idx="103">
                  <c:v>2.4386860049978057E-5</c:v>
                </c:pt>
                <c:pt idx="104">
                  <c:v>2.4386570048238881E-5</c:v>
                </c:pt>
                <c:pt idx="105">
                  <c:v>2.2418881838856699E-5</c:v>
                </c:pt>
                <c:pt idx="106">
                  <c:v>2.1663324109250735E-5</c:v>
                </c:pt>
                <c:pt idx="107">
                  <c:v>2.0532025684480641E-5</c:v>
                </c:pt>
                <c:pt idx="108">
                  <c:v>1.9489676634762881E-5</c:v>
                </c:pt>
                <c:pt idx="109">
                  <c:v>1.8456253325316921E-5</c:v>
                </c:pt>
                <c:pt idx="110">
                  <c:v>1.8455921748488665E-5</c:v>
                </c:pt>
                <c:pt idx="111">
                  <c:v>1.7477650973230187E-5</c:v>
                </c:pt>
                <c:pt idx="112">
                  <c:v>1.6537584222513131E-5</c:v>
                </c:pt>
                <c:pt idx="113">
                  <c:v>1.5192072785948273E-5</c:v>
                </c:pt>
                <c:pt idx="114">
                  <c:v>1.5026797359486575E-5</c:v>
                </c:pt>
                <c:pt idx="115">
                  <c:v>1.5294623920554733E-5</c:v>
                </c:pt>
                <c:pt idx="116">
                  <c:v>1.3274837698731347E-5</c:v>
                </c:pt>
                <c:pt idx="117">
                  <c:v>1.1495611467334397E-5</c:v>
                </c:pt>
                <c:pt idx="118">
                  <c:v>1.2669810908589058E-5</c:v>
                </c:pt>
                <c:pt idx="119">
                  <c:v>1.3518386291801784E-5</c:v>
                </c:pt>
                <c:pt idx="120">
                  <c:v>1.221092018960375E-5</c:v>
                </c:pt>
                <c:pt idx="121">
                  <c:v>1.0162240535509595E-5</c:v>
                </c:pt>
                <c:pt idx="122">
                  <c:v>1.0372387115133804E-5</c:v>
                </c:pt>
                <c:pt idx="123">
                  <c:v>0</c:v>
                </c:pt>
                <c:pt idx="124">
                  <c:v>0</c:v>
                </c:pt>
              </c:numCache>
            </c:numRef>
          </c:yVal>
          <c:smooth val="0"/>
        </c:ser>
        <c:dLbls>
          <c:showLegendKey val="0"/>
          <c:showVal val="0"/>
          <c:showCatName val="0"/>
          <c:showSerName val="0"/>
          <c:showPercent val="0"/>
          <c:showBubbleSize val="0"/>
        </c:dLbls>
        <c:axId val="143778944"/>
        <c:axId val="143781248"/>
      </c:scatterChart>
      <c:valAx>
        <c:axId val="143778944"/>
        <c:scaling>
          <c:logBase val="10"/>
          <c:orientation val="minMax"/>
          <c:min val="10000000000000"/>
        </c:scaling>
        <c:delete val="0"/>
        <c:axPos val="b"/>
        <c:title>
          <c:tx>
            <c:rich>
              <a:bodyPr/>
              <a:lstStyle/>
              <a:p>
                <a:pPr>
                  <a:defRPr/>
                </a:pPr>
                <a:r>
                  <a:rPr lang="en-US"/>
                  <a:t>Minority</a:t>
                </a:r>
                <a:r>
                  <a:rPr lang="en-US" baseline="0"/>
                  <a:t> Carrier Density (cm</a:t>
                </a:r>
                <a:r>
                  <a:rPr lang="en-US" baseline="30000"/>
                  <a:t>-3</a:t>
                </a:r>
                <a:r>
                  <a:rPr lang="en-US" baseline="0"/>
                  <a:t>)</a:t>
                </a:r>
                <a:endParaRPr lang="en-US"/>
              </a:p>
            </c:rich>
          </c:tx>
          <c:layout/>
          <c:overlay val="0"/>
        </c:title>
        <c:numFmt formatCode="General" sourceLinked="1"/>
        <c:majorTickMark val="none"/>
        <c:minorTickMark val="none"/>
        <c:tickLblPos val="nextTo"/>
        <c:crossAx val="143781248"/>
        <c:crosses val="autoZero"/>
        <c:crossBetween val="midCat"/>
      </c:valAx>
      <c:valAx>
        <c:axId val="143781248"/>
        <c:scaling>
          <c:orientation val="minMax"/>
        </c:scaling>
        <c:delete val="0"/>
        <c:axPos val="l"/>
        <c:majorGridlines/>
        <c:title>
          <c:tx>
            <c:rich>
              <a:bodyPr/>
              <a:lstStyle/>
              <a:p>
                <a:pPr>
                  <a:defRPr/>
                </a:pPr>
                <a:r>
                  <a:rPr lang="en-US"/>
                  <a:t>Lifetime (s)</a:t>
                </a:r>
              </a:p>
            </c:rich>
          </c:tx>
          <c:layout/>
          <c:overlay val="0"/>
        </c:title>
        <c:numFmt formatCode="0.00E+00" sourceLinked="0"/>
        <c:majorTickMark val="none"/>
        <c:minorTickMark val="none"/>
        <c:tickLblPos val="nextTo"/>
        <c:crossAx val="143778944"/>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ViewPoint" max="34" min="1" page="10" val="34"/>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104775</xdr:rowOff>
        </xdr:from>
        <xdr:to>
          <xdr:col>9</xdr:col>
          <xdr:colOff>381000</xdr:colOff>
          <xdr:row>2</xdr:row>
          <xdr:rowOff>85725</xdr:rowOff>
        </xdr:to>
        <xdr:sp macro="" textlink="">
          <xdr:nvSpPr>
            <xdr:cNvPr id="51322" name="Spinner 122" hidden="1">
              <a:extLst>
                <a:ext uri="{63B3BB69-23CF-44E3-9099-C40C66FF867C}">
                  <a14:compatExt spid="_x0000_s51322"/>
                </a:ext>
              </a:extLst>
            </xdr:cNvPr>
            <xdr:cNvSpPr/>
          </xdr:nvSpPr>
          <xdr:spPr>
            <a:xfrm>
              <a:off x="0" y="0"/>
              <a:ext cx="0" cy="0"/>
            </a:xfrm>
            <a:prstGeom prst="rect">
              <a:avLst/>
            </a:prstGeom>
          </xdr:spPr>
        </xdr:sp>
        <xdr:clientData/>
      </xdr:twoCellAnchor>
    </mc:Choice>
    <mc:Fallback/>
  </mc:AlternateContent>
  <xdr:twoCellAnchor editAs="oneCell">
    <xdr:from>
      <xdr:col>9</xdr:col>
      <xdr:colOff>448235</xdr:colOff>
      <xdr:row>0</xdr:row>
      <xdr:rowOff>67236</xdr:rowOff>
    </xdr:from>
    <xdr:to>
      <xdr:col>11</xdr:col>
      <xdr:colOff>124722</xdr:colOff>
      <xdr:row>3</xdr:row>
      <xdr:rowOff>22411</xdr:rowOff>
    </xdr:to>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3441" y="67236"/>
          <a:ext cx="1559075" cy="537881"/>
        </a:xfrm>
        <a:prstGeom prst="rect">
          <a:avLst/>
        </a:prstGeom>
      </xdr:spPr>
    </xdr:pic>
    <xdr:clientData/>
  </xdr:twoCellAnchor>
  <xdr:twoCellAnchor>
    <xdr:from>
      <xdr:col>0</xdr:col>
      <xdr:colOff>33618</xdr:colOff>
      <xdr:row>0</xdr:row>
      <xdr:rowOff>44817</xdr:rowOff>
    </xdr:from>
    <xdr:to>
      <xdr:col>1</xdr:col>
      <xdr:colOff>488756</xdr:colOff>
      <xdr:row>2</xdr:row>
      <xdr:rowOff>182963</xdr:rowOff>
    </xdr:to>
    <xdr:sp macro="[0]!ZeroInstrumentButton_Click" textlink="">
      <xdr:nvSpPr>
        <xdr:cNvPr id="17" name="Rectangle 16"/>
        <xdr:cNvSpPr/>
      </xdr:nvSpPr>
      <xdr:spPr>
        <a:xfrm>
          <a:off x="3361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Zero Instrument</a:t>
          </a:r>
          <a:endParaRPr lang="en-US" sz="1200" b="1">
            <a:solidFill>
              <a:sysClr val="windowText" lastClr="000000"/>
            </a:solidFill>
          </a:endParaRPr>
        </a:p>
      </xdr:txBody>
    </xdr:sp>
    <xdr:clientData/>
  </xdr:twoCellAnchor>
  <xdr:twoCellAnchor>
    <xdr:from>
      <xdr:col>1</xdr:col>
      <xdr:colOff>560295</xdr:colOff>
      <xdr:row>0</xdr:row>
      <xdr:rowOff>44817</xdr:rowOff>
    </xdr:from>
    <xdr:to>
      <xdr:col>3</xdr:col>
      <xdr:colOff>118963</xdr:colOff>
      <xdr:row>2</xdr:row>
      <xdr:rowOff>182963</xdr:rowOff>
    </xdr:to>
    <xdr:sp macro="[0]!MeasureButton_Click" textlink="">
      <xdr:nvSpPr>
        <xdr:cNvPr id="18" name="Rectangle 17"/>
        <xdr:cNvSpPr/>
      </xdr:nvSpPr>
      <xdr:spPr>
        <a:xfrm>
          <a:off x="1714501"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Wafer</a:t>
          </a:r>
          <a:endParaRPr lang="en-US" sz="1200" b="1">
            <a:solidFill>
              <a:sysClr val="windowText" lastClr="000000"/>
            </a:solidFill>
          </a:endParaRPr>
        </a:p>
      </xdr:txBody>
    </xdr:sp>
    <xdr:clientData/>
  </xdr:twoCellAnchor>
  <xdr:twoCellAnchor>
    <xdr:from>
      <xdr:col>3</xdr:col>
      <xdr:colOff>190502</xdr:colOff>
      <xdr:row>0</xdr:row>
      <xdr:rowOff>44817</xdr:rowOff>
    </xdr:from>
    <xdr:to>
      <xdr:col>4</xdr:col>
      <xdr:colOff>813728</xdr:colOff>
      <xdr:row>2</xdr:row>
      <xdr:rowOff>182963</xdr:rowOff>
    </xdr:to>
    <xdr:sp macro="[0]!LogToSummaryButton_Click" textlink="">
      <xdr:nvSpPr>
        <xdr:cNvPr id="19" name="Rectangle 18"/>
        <xdr:cNvSpPr/>
      </xdr:nvSpPr>
      <xdr:spPr>
        <a:xfrm>
          <a:off x="3395384"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4</xdr:col>
      <xdr:colOff>885267</xdr:colOff>
      <xdr:row>0</xdr:row>
      <xdr:rowOff>44817</xdr:rowOff>
    </xdr:from>
    <xdr:to>
      <xdr:col>6</xdr:col>
      <xdr:colOff>656846</xdr:colOff>
      <xdr:row>2</xdr:row>
      <xdr:rowOff>182963</xdr:rowOff>
    </xdr:to>
    <xdr:sp macro="[0]!SaveGraphtoTextButton_Click" textlink="">
      <xdr:nvSpPr>
        <xdr:cNvPr id="20" name="Rectangle 19"/>
        <xdr:cNvSpPr/>
      </xdr:nvSpPr>
      <xdr:spPr>
        <a:xfrm>
          <a:off x="5076267"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Save Graph Data to .txt File</a:t>
          </a:r>
          <a:endParaRPr lang="en-US" sz="1200" b="1">
            <a:solidFill>
              <a:sysClr val="windowText" lastClr="000000"/>
            </a:solidFill>
          </a:endParaRPr>
        </a:p>
      </xdr:txBody>
    </xdr:sp>
    <xdr:clientData/>
  </xdr:twoCellAnchor>
  <xdr:twoCellAnchor>
    <xdr:from>
      <xdr:col>6</xdr:col>
      <xdr:colOff>728383</xdr:colOff>
      <xdr:row>0</xdr:row>
      <xdr:rowOff>44817</xdr:rowOff>
    </xdr:from>
    <xdr:to>
      <xdr:col>8</xdr:col>
      <xdr:colOff>264639</xdr:colOff>
      <xdr:row>2</xdr:row>
      <xdr:rowOff>182963</xdr:rowOff>
    </xdr:to>
    <xdr:sp macro="[0]!TempScanButton_Click" textlink="">
      <xdr:nvSpPr>
        <xdr:cNvPr id="21" name="Rectangle 20"/>
        <xdr:cNvSpPr/>
      </xdr:nvSpPr>
      <xdr:spPr>
        <a:xfrm>
          <a:off x="675714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Temperature Scan</a:t>
          </a:r>
          <a:endParaRPr 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707571</xdr:colOff>
      <xdr:row>20</xdr:row>
      <xdr:rowOff>77560</xdr:rowOff>
    </xdr:from>
    <xdr:to>
      <xdr:col>30</xdr:col>
      <xdr:colOff>326572</xdr:colOff>
      <xdr:row>37</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8</xdr:row>
      <xdr:rowOff>147637</xdr:rowOff>
    </xdr:from>
    <xdr:to>
      <xdr:col>12</xdr:col>
      <xdr:colOff>476250</xdr:colOff>
      <xdr:row>37</xdr:row>
      <xdr:rowOff>23812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0.6627</cdr:x>
      <cdr:y>0.74861</cdr:y>
    </cdr:from>
    <cdr:to>
      <cdr:x>0.87882</cdr:x>
      <cdr:y>0.86193</cdr:y>
    </cdr:to>
    <cdr:pic>
      <cdr:nvPicPr>
        <cdr:cNvPr id="2" name="SintonLog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cstate="print"/>
        <a:srcRect xmlns:a="http://schemas.openxmlformats.org/drawingml/2006/main"/>
        <a:stretch xmlns:a="http://schemas.openxmlformats.org/drawingml/2006/main">
          <a:fillRect/>
        </a:stretch>
      </cdr:blipFill>
      <cdr:spPr bwMode="auto">
        <a:xfrm xmlns:a="http://schemas.openxmlformats.org/drawingml/2006/main">
          <a:off x="4241800" y="3422650"/>
          <a:ext cx="1383324" cy="518094"/>
        </a:xfrm>
        <a:prstGeom xmlns:a="http://schemas.openxmlformats.org/drawingml/2006/main" prst="rect">
          <a:avLst/>
        </a:prstGeom>
        <a:noFill xmlns:a="http://schemas.openxmlformats.org/drawingml/2006/main"/>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tabSelected="1" zoomScale="85" zoomScaleNormal="85" workbookViewId="0">
      <selection activeCell="A6" sqref="A6"/>
    </sheetView>
  </sheetViews>
  <sheetFormatPr defaultRowHeight="12.75" x14ac:dyDescent="0.2"/>
  <cols>
    <col min="1" max="1" width="17.28515625" style="39" customWidth="1"/>
    <col min="2" max="2" width="14.85546875" style="39" customWidth="1"/>
    <col min="3" max="3" width="16" style="39" customWidth="1"/>
    <col min="4" max="4" width="14.85546875" style="39" customWidth="1"/>
    <col min="5" max="6" width="13.7109375" style="39" customWidth="1"/>
    <col min="7" max="7" width="13.42578125" style="39" customWidth="1"/>
    <col min="8" max="8" width="17.7109375" style="39" customWidth="1"/>
    <col min="9" max="9" width="15.7109375" style="39" customWidth="1"/>
    <col min="10" max="11" width="14.140625" style="39" customWidth="1"/>
    <col min="12" max="12" width="12.42578125" style="39" customWidth="1"/>
    <col min="13" max="13" width="11.28515625" style="39" customWidth="1"/>
    <col min="14" max="14" width="9.28515625" style="39" bestFit="1" customWidth="1"/>
    <col min="15" max="15" width="10.5703125" style="39" bestFit="1" customWidth="1"/>
    <col min="16" max="16384" width="9.140625" style="39"/>
  </cols>
  <sheetData>
    <row r="1" spans="1:20" ht="15.75" customHeight="1" x14ac:dyDescent="0.25">
      <c r="C1" s="40"/>
      <c r="E1" s="41"/>
      <c r="L1" s="42" t="s">
        <v>158</v>
      </c>
      <c r="R1" s="41"/>
    </row>
    <row r="2" spans="1:20" s="46" customFormat="1" ht="15" customHeight="1" x14ac:dyDescent="0.25">
      <c r="A2" s="43"/>
      <c r="B2" s="43"/>
      <c r="C2" s="44"/>
      <c r="D2" s="43"/>
      <c r="E2" s="43"/>
      <c r="F2" s="43"/>
      <c r="G2" s="43"/>
      <c r="H2" s="43"/>
      <c r="I2" s="45">
        <v>34</v>
      </c>
      <c r="L2" s="47" t="s">
        <v>48</v>
      </c>
      <c r="M2" s="48" t="s">
        <v>335</v>
      </c>
      <c r="N2" s="49" t="s">
        <v>336</v>
      </c>
      <c r="P2" s="50"/>
      <c r="Q2" s="43"/>
      <c r="R2" s="43"/>
      <c r="S2" s="43"/>
    </row>
    <row r="3" spans="1:20" s="46" customFormat="1" ht="15" customHeight="1" x14ac:dyDescent="0.2">
      <c r="A3" s="51"/>
      <c r="B3" s="52"/>
      <c r="C3" s="53"/>
      <c r="D3" s="54"/>
      <c r="E3" s="54"/>
      <c r="F3" s="54"/>
      <c r="G3" s="55"/>
      <c r="H3" s="43"/>
      <c r="M3" s="43"/>
      <c r="N3" s="43"/>
      <c r="P3" s="43"/>
      <c r="Q3" s="43"/>
      <c r="R3" s="43"/>
      <c r="S3" s="43"/>
    </row>
    <row r="4" spans="1:20" s="46" customFormat="1" ht="15" customHeight="1" x14ac:dyDescent="0.25">
      <c r="A4" s="56" t="s">
        <v>156</v>
      </c>
      <c r="B4" s="56"/>
      <c r="C4" s="57"/>
      <c r="D4" s="56"/>
      <c r="E4" s="56" t="s">
        <v>13</v>
      </c>
      <c r="F4" s="56"/>
      <c r="G4" s="56"/>
      <c r="I4" s="56" t="s">
        <v>159</v>
      </c>
      <c r="J4" s="58"/>
      <c r="K4" s="58"/>
      <c r="L4" s="56" t="s">
        <v>320</v>
      </c>
      <c r="M4" s="50"/>
      <c r="O4" s="50"/>
      <c r="P4" s="50"/>
      <c r="Q4" s="59"/>
      <c r="R4" s="43"/>
      <c r="S4" s="43"/>
    </row>
    <row r="5" spans="1:20" ht="35.25" customHeight="1" x14ac:dyDescent="0.25">
      <c r="A5" s="60" t="s">
        <v>14</v>
      </c>
      <c r="B5" s="61" t="s">
        <v>157</v>
      </c>
      <c r="C5" s="61" t="s">
        <v>161</v>
      </c>
      <c r="D5" s="62" t="s">
        <v>261</v>
      </c>
      <c r="E5" s="60" t="s">
        <v>20</v>
      </c>
      <c r="F5" s="61" t="s">
        <v>337</v>
      </c>
      <c r="G5" s="63" t="s">
        <v>170</v>
      </c>
      <c r="H5" s="64" t="s">
        <v>155</v>
      </c>
      <c r="I5" s="61" t="s">
        <v>15</v>
      </c>
      <c r="J5" s="61" t="s">
        <v>19</v>
      </c>
      <c r="K5" s="61" t="s">
        <v>22</v>
      </c>
      <c r="L5" s="65" t="s">
        <v>321</v>
      </c>
      <c r="M5" s="66" t="s">
        <v>322</v>
      </c>
      <c r="N5" s="66" t="s">
        <v>323</v>
      </c>
      <c r="O5" s="67" t="s">
        <v>324</v>
      </c>
      <c r="P5" s="46"/>
      <c r="Q5" s="59"/>
      <c r="R5" s="43"/>
      <c r="S5" s="43"/>
      <c r="T5" s="46"/>
    </row>
    <row r="6" spans="1:20" s="83" customFormat="1" ht="15.75" customHeight="1" x14ac:dyDescent="0.25">
      <c r="A6" s="68" t="s">
        <v>389</v>
      </c>
      <c r="B6" s="69">
        <v>1.9900000000000001E-2</v>
      </c>
      <c r="C6" s="70">
        <v>2.6</v>
      </c>
      <c r="D6" s="71" t="s">
        <v>224</v>
      </c>
      <c r="E6" s="72">
        <v>0.7</v>
      </c>
      <c r="F6" s="73">
        <v>1000000000000000</v>
      </c>
      <c r="G6" s="74">
        <v>0</v>
      </c>
      <c r="H6" s="75" t="s">
        <v>287</v>
      </c>
      <c r="I6" s="76">
        <f>MeasDate</f>
        <v>42055</v>
      </c>
      <c r="J6" s="77">
        <f>MeasTime</f>
        <v>0.77865740740740741</v>
      </c>
      <c r="K6" s="78" t="s">
        <v>355</v>
      </c>
      <c r="L6" s="79">
        <v>35</v>
      </c>
      <c r="M6" s="74">
        <v>200</v>
      </c>
      <c r="N6" s="74">
        <v>5</v>
      </c>
      <c r="O6" s="80">
        <v>0.5</v>
      </c>
      <c r="P6" s="81"/>
      <c r="Q6" s="46"/>
      <c r="R6" s="81"/>
      <c r="S6" s="82"/>
      <c r="T6" s="81"/>
    </row>
    <row r="7" spans="1:20" ht="18.75" customHeight="1" x14ac:dyDescent="0.25">
      <c r="A7" s="56" t="s">
        <v>23</v>
      </c>
      <c r="B7" s="56"/>
      <c r="C7" s="50"/>
      <c r="D7" s="49"/>
      <c r="E7" s="84"/>
      <c r="F7" s="85"/>
      <c r="G7" s="49" t="s">
        <v>258</v>
      </c>
      <c r="H7" s="50"/>
      <c r="I7" s="50"/>
      <c r="J7" s="49"/>
      <c r="K7" s="86"/>
      <c r="M7" s="56" t="s">
        <v>254</v>
      </c>
      <c r="O7" s="50"/>
      <c r="P7" s="43"/>
      <c r="Q7" s="43"/>
      <c r="R7" s="43"/>
      <c r="S7" s="43"/>
      <c r="T7" s="46"/>
    </row>
    <row r="8" spans="1:20" ht="49.5" customHeight="1" x14ac:dyDescent="0.25">
      <c r="A8" s="60" t="s">
        <v>25</v>
      </c>
      <c r="B8" s="87" t="s">
        <v>338</v>
      </c>
      <c r="C8" s="61" t="s">
        <v>339</v>
      </c>
      <c r="D8" s="61" t="s">
        <v>340</v>
      </c>
      <c r="E8" s="61" t="s">
        <v>262</v>
      </c>
      <c r="F8" s="61" t="s">
        <v>341</v>
      </c>
      <c r="G8" s="61" t="s">
        <v>342</v>
      </c>
      <c r="H8" s="61" t="s">
        <v>343</v>
      </c>
      <c r="I8" s="61" t="s">
        <v>344</v>
      </c>
      <c r="J8" s="61" t="s">
        <v>345</v>
      </c>
      <c r="K8" s="88" t="s">
        <v>266</v>
      </c>
      <c r="L8" s="88" t="s">
        <v>346</v>
      </c>
      <c r="M8" s="283" t="str">
        <f ca="1">RefCellErrorMsg&amp;MCDErrorMsg&amp;LightBiasErrorMsg&amp;AirVoltageError&amp;AnalysisModeErrorMsg&amp;mobilitymodelerror</f>
        <v xml:space="preserve">  Saturated Reference Cell  - Data for MCD&gt; 5.2E+16 not valid </v>
      </c>
      <c r="N8" s="284"/>
      <c r="O8" s="285"/>
      <c r="P8" s="43"/>
      <c r="Q8" s="43"/>
      <c r="R8" s="43"/>
      <c r="S8" s="43"/>
      <c r="T8" s="46"/>
    </row>
    <row r="9" spans="1:20" s="83" customFormat="1" ht="17.25" customHeight="1" x14ac:dyDescent="0.25">
      <c r="A9" s="89">
        <f>MeasuredLifetime</f>
        <v>84.151369560621319</v>
      </c>
      <c r="B9" s="90">
        <f>CorrectedSheetRho</f>
        <v>113.22507217802554</v>
      </c>
      <c r="C9" s="91">
        <f>CorrectedResistivity</f>
        <v>2.2531789363427084</v>
      </c>
      <c r="D9" s="92">
        <f>Jo</f>
        <v>-1.2889439650975909E-12</v>
      </c>
      <c r="E9" s="90">
        <f>TauFitIntercept</f>
        <v>21.133548465477574</v>
      </c>
      <c r="F9" s="93">
        <f>MinApparentCD</f>
        <v>6991881279076.6855</v>
      </c>
      <c r="G9" s="93">
        <f>MaxApparentCD</f>
        <v>5.2026036746357208E+16</v>
      </c>
      <c r="H9" s="93">
        <f>BiasPtCD</f>
        <v>0</v>
      </c>
      <c r="I9" s="93">
        <f>Traps</f>
        <v>0</v>
      </c>
      <c r="J9" s="93">
        <f>SampleDoping</f>
        <v>5483178979107481</v>
      </c>
      <c r="K9" s="94">
        <f ca="1">ImpliedVoc1sun</f>
        <v>0.62983628762493005</v>
      </c>
      <c r="L9" s="95">
        <f>Temperature</f>
        <v>35.487552999999998</v>
      </c>
      <c r="M9" s="286"/>
      <c r="N9" s="287"/>
      <c r="O9" s="288"/>
      <c r="P9" s="43"/>
      <c r="Q9" s="82"/>
      <c r="R9" s="82"/>
      <c r="S9" s="82"/>
      <c r="T9" s="81"/>
    </row>
    <row r="10" spans="1:20" s="83" customFormat="1" ht="18" customHeight="1" x14ac:dyDescent="0.2">
      <c r="A10" s="275" t="str">
        <f>LifetimeTextLabel</f>
        <v>Lifetime = 84.15 µs @ 1.0E+15 cm-3</v>
      </c>
      <c r="B10" s="276"/>
      <c r="C10" s="276"/>
      <c r="D10" s="276"/>
      <c r="E10" s="276"/>
      <c r="F10" s="276"/>
      <c r="G10" s="276"/>
      <c r="H10" s="276"/>
      <c r="I10" s="277"/>
      <c r="J10" s="281" t="str">
        <f>PassFailMsg</f>
        <v/>
      </c>
      <c r="K10" s="96"/>
      <c r="M10" s="286"/>
      <c r="N10" s="287"/>
      <c r="O10" s="288"/>
      <c r="P10" s="96"/>
      <c r="Q10" s="97"/>
      <c r="R10" s="97"/>
      <c r="S10" s="97"/>
    </row>
    <row r="11" spans="1:20" ht="11.25" customHeight="1" x14ac:dyDescent="0.2">
      <c r="A11" s="278"/>
      <c r="B11" s="279"/>
      <c r="C11" s="279"/>
      <c r="D11" s="279"/>
      <c r="E11" s="279"/>
      <c r="F11" s="279"/>
      <c r="G11" s="279"/>
      <c r="H11" s="279"/>
      <c r="I11" s="280"/>
      <c r="J11" s="282"/>
      <c r="K11" s="41"/>
      <c r="M11" s="289"/>
      <c r="N11" s="290"/>
      <c r="O11" s="291"/>
      <c r="P11" s="41"/>
      <c r="Q11" s="41"/>
      <c r="R11" s="41"/>
      <c r="S11" s="41"/>
    </row>
    <row r="12" spans="1:20" x14ac:dyDescent="0.2">
      <c r="A12" s="98"/>
      <c r="B12" s="98"/>
      <c r="C12" s="98"/>
      <c r="D12" s="98"/>
      <c r="E12" s="43"/>
      <c r="F12" s="41"/>
      <c r="G12" s="41"/>
      <c r="H12" s="41"/>
      <c r="I12" s="41"/>
      <c r="J12" s="41"/>
      <c r="K12" s="41"/>
      <c r="L12" s="41"/>
      <c r="M12" s="41"/>
      <c r="N12" s="41"/>
      <c r="O12" s="41"/>
      <c r="P12" s="41"/>
      <c r="Q12" s="41"/>
      <c r="R12" s="41"/>
      <c r="S12" s="41"/>
    </row>
    <row r="13" spans="1:20" x14ac:dyDescent="0.2">
      <c r="A13" s="99"/>
      <c r="B13" s="82"/>
      <c r="C13" s="100"/>
      <c r="D13" s="101"/>
      <c r="E13" s="43"/>
      <c r="F13" s="41"/>
      <c r="G13" s="41"/>
      <c r="H13" s="41"/>
      <c r="I13" s="41"/>
      <c r="J13" s="41"/>
      <c r="K13" s="41"/>
      <c r="L13" s="41"/>
      <c r="M13" s="41"/>
      <c r="N13" s="41"/>
      <c r="O13" s="41"/>
      <c r="P13" s="41"/>
      <c r="Q13" s="41"/>
      <c r="R13" s="41"/>
      <c r="S13" s="41"/>
    </row>
    <row r="14" spans="1:20" x14ac:dyDescent="0.2">
      <c r="A14" s="43"/>
      <c r="B14" s="43"/>
      <c r="C14" s="43"/>
      <c r="D14" s="43"/>
      <c r="E14" s="43"/>
      <c r="F14" s="41"/>
      <c r="G14" s="41"/>
      <c r="H14" s="41"/>
      <c r="I14" s="41"/>
      <c r="J14" s="41"/>
      <c r="K14" s="41"/>
      <c r="L14" s="41"/>
      <c r="M14" s="41"/>
      <c r="N14" s="41"/>
      <c r="O14" s="41"/>
      <c r="P14" s="41"/>
      <c r="Q14" s="41"/>
      <c r="R14" s="41"/>
      <c r="S14" s="41"/>
    </row>
    <row r="15" spans="1:20" x14ac:dyDescent="0.2">
      <c r="A15" s="98"/>
      <c r="B15" s="98"/>
      <c r="C15" s="98"/>
      <c r="D15" s="98"/>
      <c r="E15" s="43"/>
      <c r="F15" s="41"/>
      <c r="G15" s="41"/>
      <c r="H15" s="41"/>
      <c r="I15" s="41"/>
      <c r="J15" s="41"/>
      <c r="K15" s="41"/>
      <c r="L15" s="41"/>
      <c r="M15" s="41"/>
      <c r="N15" s="41"/>
      <c r="O15" s="41"/>
      <c r="P15" s="41"/>
      <c r="Q15" s="41"/>
      <c r="R15" s="41"/>
      <c r="S15" s="41"/>
    </row>
    <row r="16" spans="1:20" x14ac:dyDescent="0.2">
      <c r="A16" s="99"/>
      <c r="B16" s="43"/>
      <c r="C16" s="102"/>
      <c r="D16" s="103"/>
      <c r="E16" s="43"/>
      <c r="F16" s="41"/>
      <c r="G16" s="41"/>
      <c r="H16" s="41"/>
      <c r="I16" s="41"/>
      <c r="J16" s="41"/>
      <c r="K16" s="41"/>
      <c r="L16" s="41"/>
      <c r="M16" s="41"/>
      <c r="N16" s="41"/>
      <c r="O16" s="41"/>
      <c r="P16" s="41"/>
      <c r="Q16" s="41"/>
      <c r="R16" s="41"/>
      <c r="S16" s="41"/>
    </row>
    <row r="17" spans="1:19" x14ac:dyDescent="0.2">
      <c r="A17" s="99"/>
      <c r="B17" s="43"/>
      <c r="C17" s="102"/>
      <c r="D17" s="103"/>
      <c r="E17" s="43"/>
      <c r="F17" s="41"/>
      <c r="G17" s="41"/>
      <c r="H17" s="41"/>
      <c r="I17" s="41"/>
      <c r="J17" s="41"/>
      <c r="K17" s="41"/>
      <c r="L17" s="41"/>
      <c r="M17" s="41"/>
      <c r="N17" s="41"/>
      <c r="O17" s="41"/>
      <c r="P17" s="41"/>
      <c r="Q17" s="41"/>
      <c r="R17" s="41"/>
      <c r="S17" s="41"/>
    </row>
    <row r="18" spans="1:19" x14ac:dyDescent="0.2">
      <c r="A18" s="43"/>
      <c r="B18" s="43"/>
      <c r="C18" s="43"/>
      <c r="D18" s="43"/>
      <c r="E18" s="43"/>
      <c r="F18" s="41"/>
      <c r="G18" s="41"/>
      <c r="H18" s="41"/>
      <c r="I18" s="41"/>
      <c r="J18" s="41"/>
      <c r="K18" s="41"/>
      <c r="L18" s="41"/>
      <c r="M18" s="41"/>
      <c r="N18" s="41"/>
      <c r="O18" s="41"/>
      <c r="P18" s="41"/>
      <c r="Q18" s="41"/>
      <c r="R18" s="41"/>
      <c r="S18" s="41"/>
    </row>
    <row r="19" spans="1:19" x14ac:dyDescent="0.2">
      <c r="A19" s="43"/>
      <c r="B19" s="43"/>
      <c r="C19" s="43"/>
      <c r="D19" s="43"/>
      <c r="E19" s="43"/>
      <c r="F19" s="41"/>
      <c r="G19" s="41"/>
      <c r="H19" s="41"/>
      <c r="I19" s="41"/>
      <c r="J19" s="41"/>
      <c r="K19" s="41"/>
      <c r="L19" s="41"/>
      <c r="M19" s="41"/>
      <c r="N19" s="41"/>
      <c r="O19" s="41"/>
      <c r="P19" s="41"/>
      <c r="Q19" s="41"/>
      <c r="R19" s="41"/>
      <c r="S19" s="41"/>
    </row>
    <row r="20" spans="1:19" x14ac:dyDescent="0.2">
      <c r="A20" s="41"/>
      <c r="B20" s="41"/>
      <c r="C20" s="41"/>
      <c r="D20" s="41"/>
      <c r="E20" s="41"/>
      <c r="F20" s="41"/>
      <c r="G20" s="41"/>
      <c r="H20" s="41"/>
      <c r="I20" s="41"/>
      <c r="J20" s="41"/>
      <c r="K20" s="41"/>
      <c r="L20" s="41"/>
      <c r="M20" s="41"/>
      <c r="N20" s="41"/>
      <c r="O20" s="41"/>
      <c r="P20" s="41"/>
      <c r="Q20" s="41"/>
      <c r="R20" s="41"/>
      <c r="S20" s="41"/>
    </row>
    <row r="21" spans="1:19" x14ac:dyDescent="0.2">
      <c r="A21" s="41"/>
      <c r="B21" s="41"/>
      <c r="C21" s="41"/>
      <c r="D21" s="41"/>
      <c r="E21" s="41"/>
      <c r="F21" s="41"/>
      <c r="G21" s="41"/>
      <c r="H21" s="41"/>
      <c r="I21" s="41"/>
      <c r="J21" s="41"/>
      <c r="K21" s="41"/>
      <c r="L21" s="41"/>
      <c r="M21" s="41"/>
      <c r="N21" s="41"/>
      <c r="O21" s="41"/>
      <c r="P21" s="41"/>
      <c r="Q21" s="41"/>
      <c r="R21" s="41"/>
      <c r="S21" s="41"/>
    </row>
    <row r="22" spans="1:19" x14ac:dyDescent="0.2">
      <c r="A22" s="41"/>
      <c r="B22" s="41"/>
      <c r="C22" s="41"/>
      <c r="D22" s="41"/>
      <c r="E22" s="41"/>
      <c r="F22" s="41"/>
      <c r="G22" s="41"/>
      <c r="H22" s="41"/>
      <c r="I22" s="41"/>
      <c r="J22" s="41"/>
      <c r="K22" s="41"/>
      <c r="L22" s="41"/>
      <c r="M22" s="41"/>
      <c r="N22" s="41"/>
      <c r="O22" s="41"/>
      <c r="P22" s="41"/>
      <c r="Q22" s="41"/>
      <c r="R22" s="41"/>
      <c r="S22" s="41"/>
    </row>
    <row r="23" spans="1:19" x14ac:dyDescent="0.2">
      <c r="A23" s="41"/>
      <c r="B23" s="41"/>
      <c r="C23" s="41"/>
      <c r="D23" s="41"/>
      <c r="E23" s="41"/>
      <c r="F23" s="41"/>
      <c r="G23" s="41"/>
      <c r="H23" s="41"/>
      <c r="I23" s="41"/>
      <c r="J23" s="41"/>
      <c r="K23" s="41"/>
      <c r="L23" s="41"/>
      <c r="M23" s="41"/>
      <c r="N23" s="41"/>
      <c r="O23" s="41"/>
      <c r="P23" s="41"/>
      <c r="Q23" s="41"/>
      <c r="R23" s="41"/>
      <c r="S23" s="41"/>
    </row>
    <row r="24" spans="1:19" x14ac:dyDescent="0.2">
      <c r="A24" s="41"/>
      <c r="B24" s="41"/>
      <c r="C24" s="41"/>
      <c r="D24" s="41"/>
      <c r="E24" s="41"/>
      <c r="F24" s="41"/>
      <c r="G24" s="41"/>
      <c r="H24" s="41"/>
      <c r="I24" s="41"/>
      <c r="J24" s="41"/>
      <c r="K24" s="41"/>
      <c r="L24" s="41"/>
      <c r="M24" s="41"/>
      <c r="N24" s="41"/>
      <c r="O24" s="41"/>
      <c r="P24" s="41"/>
      <c r="Q24" s="41"/>
      <c r="R24" s="41"/>
      <c r="S24" s="41"/>
    </row>
    <row r="25" spans="1:19" x14ac:dyDescent="0.2">
      <c r="A25" s="41"/>
      <c r="B25" s="41"/>
      <c r="C25" s="41"/>
      <c r="D25" s="41"/>
      <c r="E25" s="41"/>
      <c r="F25" s="41"/>
      <c r="G25" s="41"/>
      <c r="H25" s="41"/>
      <c r="I25" s="41"/>
      <c r="J25" s="41"/>
      <c r="K25" s="41"/>
      <c r="L25" s="41"/>
      <c r="M25" s="41"/>
      <c r="N25" s="41"/>
      <c r="O25" s="41"/>
      <c r="P25" s="41"/>
      <c r="Q25" s="41"/>
      <c r="R25" s="41"/>
      <c r="S25" s="41"/>
    </row>
    <row r="26" spans="1:19" x14ac:dyDescent="0.2">
      <c r="A26" s="41"/>
      <c r="B26" s="41"/>
      <c r="C26" s="41"/>
      <c r="D26" s="41"/>
      <c r="E26" s="41"/>
      <c r="F26" s="41"/>
      <c r="G26" s="41"/>
      <c r="H26" s="41"/>
      <c r="I26" s="41"/>
      <c r="J26" s="41"/>
      <c r="K26" s="41"/>
      <c r="L26" s="41"/>
      <c r="M26" s="41"/>
      <c r="N26" s="41"/>
      <c r="O26" s="41"/>
      <c r="P26" s="41"/>
      <c r="Q26" s="41"/>
      <c r="R26" s="41"/>
      <c r="S26" s="41"/>
    </row>
    <row r="27" spans="1:19" x14ac:dyDescent="0.2">
      <c r="A27" s="41"/>
      <c r="B27" s="41"/>
      <c r="C27" s="41"/>
      <c r="D27" s="41"/>
      <c r="E27" s="41"/>
      <c r="F27" s="41"/>
      <c r="G27" s="41"/>
      <c r="H27" s="41"/>
      <c r="I27" s="41"/>
      <c r="J27" s="41"/>
      <c r="K27" s="41"/>
      <c r="L27" s="41"/>
      <c r="M27" s="41"/>
      <c r="N27" s="41"/>
      <c r="O27" s="41"/>
      <c r="P27" s="41"/>
      <c r="Q27" s="41"/>
      <c r="R27" s="41"/>
      <c r="S27" s="41"/>
    </row>
    <row r="28" spans="1:19" x14ac:dyDescent="0.2">
      <c r="A28" s="41"/>
      <c r="B28" s="41"/>
      <c r="C28" s="41"/>
      <c r="D28" s="41"/>
      <c r="E28" s="41"/>
      <c r="F28" s="41"/>
      <c r="G28" s="41"/>
      <c r="H28" s="41"/>
      <c r="I28" s="41"/>
      <c r="J28" s="41"/>
      <c r="K28" s="41"/>
      <c r="L28" s="41"/>
      <c r="M28" s="41"/>
      <c r="N28" s="41"/>
      <c r="O28" s="41"/>
      <c r="P28" s="41"/>
      <c r="Q28" s="41"/>
      <c r="R28" s="41"/>
      <c r="S28" s="41"/>
    </row>
    <row r="29" spans="1:19" x14ac:dyDescent="0.2">
      <c r="A29" s="41"/>
      <c r="B29" s="41"/>
      <c r="C29" s="41"/>
      <c r="D29" s="41"/>
      <c r="E29" s="41"/>
      <c r="F29" s="41"/>
      <c r="G29" s="41"/>
      <c r="H29" s="41"/>
      <c r="I29" s="41"/>
      <c r="J29" s="41"/>
      <c r="K29" s="41"/>
      <c r="L29" s="41"/>
      <c r="M29" s="41"/>
      <c r="N29" s="41"/>
      <c r="O29" s="41"/>
      <c r="P29" s="41"/>
      <c r="Q29" s="41"/>
      <c r="R29" s="41"/>
      <c r="S29" s="41"/>
    </row>
    <row r="30" spans="1:19" x14ac:dyDescent="0.2">
      <c r="A30" s="41"/>
      <c r="B30" s="41"/>
      <c r="C30" s="41"/>
      <c r="D30" s="41"/>
      <c r="E30" s="41"/>
      <c r="F30" s="41"/>
      <c r="G30" s="41"/>
      <c r="H30" s="41"/>
      <c r="I30" s="41"/>
      <c r="J30" s="41"/>
      <c r="K30" s="41"/>
      <c r="L30" s="41"/>
      <c r="M30" s="41"/>
      <c r="N30" s="41"/>
      <c r="O30" s="41"/>
      <c r="P30" s="41"/>
      <c r="Q30" s="41"/>
      <c r="R30" s="41"/>
      <c r="S30" s="41"/>
    </row>
    <row r="31" spans="1:19" x14ac:dyDescent="0.2">
      <c r="A31" s="41"/>
      <c r="B31" s="41"/>
      <c r="C31" s="41"/>
      <c r="D31" s="41"/>
      <c r="E31" s="41"/>
      <c r="F31" s="41"/>
      <c r="G31" s="41"/>
      <c r="H31" s="41"/>
      <c r="I31" s="41"/>
      <c r="J31" s="41"/>
      <c r="K31" s="41"/>
      <c r="L31" s="41"/>
      <c r="M31" s="41"/>
      <c r="N31" s="41"/>
      <c r="O31" s="41"/>
      <c r="P31" s="41"/>
      <c r="Q31" s="41"/>
      <c r="R31" s="41"/>
      <c r="S31" s="41"/>
    </row>
    <row r="32" spans="1:19" x14ac:dyDescent="0.2">
      <c r="A32" s="41"/>
      <c r="B32" s="41"/>
      <c r="C32" s="41"/>
      <c r="D32" s="41"/>
      <c r="E32" s="41"/>
      <c r="F32" s="41"/>
      <c r="G32" s="41"/>
      <c r="H32" s="41"/>
      <c r="I32" s="41"/>
      <c r="J32" s="41"/>
      <c r="K32" s="41"/>
      <c r="L32" s="41"/>
      <c r="M32" s="41"/>
      <c r="N32" s="41"/>
      <c r="O32" s="41"/>
      <c r="P32" s="41"/>
      <c r="Q32" s="41"/>
      <c r="R32" s="41"/>
      <c r="S32" s="41"/>
    </row>
    <row r="33" spans="1:19" x14ac:dyDescent="0.2">
      <c r="A33" s="41"/>
      <c r="B33" s="41"/>
      <c r="C33" s="41"/>
      <c r="D33" s="41"/>
      <c r="E33" s="41"/>
      <c r="F33" s="41"/>
      <c r="G33" s="41"/>
      <c r="H33" s="41"/>
      <c r="I33" s="41"/>
      <c r="J33" s="41"/>
      <c r="K33" s="41"/>
      <c r="L33" s="41"/>
      <c r="M33" s="41"/>
      <c r="N33" s="41"/>
      <c r="O33" s="41"/>
      <c r="P33" s="41"/>
      <c r="Q33" s="41"/>
      <c r="R33" s="41"/>
      <c r="S33" s="41"/>
    </row>
    <row r="34" spans="1:19" x14ac:dyDescent="0.2">
      <c r="A34" s="41"/>
      <c r="B34" s="41"/>
      <c r="C34" s="41"/>
      <c r="D34" s="41"/>
      <c r="E34" s="41"/>
      <c r="F34" s="41"/>
      <c r="G34" s="41"/>
      <c r="H34" s="41"/>
      <c r="I34" s="41"/>
      <c r="J34" s="41"/>
      <c r="K34" s="41"/>
      <c r="L34" s="41"/>
      <c r="M34" s="41"/>
      <c r="N34" s="41"/>
      <c r="O34" s="41"/>
      <c r="P34" s="41"/>
      <c r="Q34" s="41"/>
      <c r="R34" s="41"/>
      <c r="S34" s="41"/>
    </row>
    <row r="35" spans="1:19" x14ac:dyDescent="0.2">
      <c r="A35" s="41"/>
      <c r="B35" s="41"/>
      <c r="C35" s="41"/>
      <c r="D35" s="41"/>
      <c r="E35" s="41"/>
      <c r="F35" s="41"/>
      <c r="G35" s="41"/>
      <c r="H35" s="41"/>
      <c r="I35" s="41"/>
      <c r="J35" s="41"/>
      <c r="K35" s="41"/>
      <c r="L35" s="41"/>
      <c r="M35" s="41"/>
      <c r="N35" s="41"/>
      <c r="O35" s="41"/>
      <c r="P35" s="41"/>
      <c r="Q35" s="41"/>
      <c r="R35" s="41"/>
      <c r="S35" s="41"/>
    </row>
    <row r="36" spans="1:19" x14ac:dyDescent="0.2">
      <c r="A36" s="41"/>
      <c r="B36" s="41"/>
      <c r="C36" s="41"/>
      <c r="D36" s="41"/>
      <c r="E36" s="41"/>
      <c r="F36" s="41"/>
      <c r="G36" s="41"/>
      <c r="H36" s="41"/>
      <c r="I36" s="41"/>
      <c r="J36" s="41"/>
      <c r="K36" s="41"/>
      <c r="L36" s="41"/>
      <c r="M36" s="41"/>
      <c r="N36" s="41"/>
      <c r="O36" s="41"/>
      <c r="P36" s="41"/>
      <c r="Q36" s="41"/>
      <c r="R36" s="41"/>
      <c r="S36" s="41"/>
    </row>
    <row r="37" spans="1:19" x14ac:dyDescent="0.2">
      <c r="A37" s="41"/>
      <c r="B37" s="41"/>
      <c r="C37" s="41"/>
      <c r="D37" s="41"/>
      <c r="E37" s="41"/>
      <c r="F37" s="41"/>
      <c r="G37" s="41"/>
      <c r="H37" s="41"/>
      <c r="I37" s="41"/>
      <c r="J37" s="41"/>
      <c r="K37" s="41"/>
      <c r="L37" s="41"/>
      <c r="M37" s="41"/>
      <c r="N37" s="41"/>
      <c r="O37" s="41"/>
      <c r="P37" s="41"/>
      <c r="Q37" s="41"/>
      <c r="R37" s="41"/>
      <c r="S37" s="41"/>
    </row>
    <row r="38" spans="1:19" x14ac:dyDescent="0.2">
      <c r="A38" s="41"/>
      <c r="B38" s="41"/>
      <c r="C38" s="41"/>
      <c r="D38" s="41"/>
      <c r="E38" s="41"/>
      <c r="F38" s="41"/>
      <c r="G38" s="41"/>
      <c r="H38" s="41"/>
      <c r="I38" s="41"/>
      <c r="J38" s="41"/>
      <c r="K38" s="41"/>
      <c r="L38" s="41"/>
      <c r="M38" s="41"/>
      <c r="N38" s="41"/>
      <c r="O38" s="41"/>
      <c r="P38" s="41"/>
      <c r="Q38" s="41"/>
      <c r="R38" s="41"/>
      <c r="S38" s="41"/>
    </row>
    <row r="39" spans="1:19" x14ac:dyDescent="0.2">
      <c r="A39" s="41"/>
      <c r="B39" s="41"/>
      <c r="C39" s="41"/>
      <c r="D39" s="41"/>
      <c r="E39" s="41"/>
      <c r="F39" s="41"/>
      <c r="G39" s="41"/>
      <c r="H39" s="41"/>
      <c r="I39" s="41"/>
      <c r="J39" s="41"/>
      <c r="K39" s="41"/>
      <c r="L39" s="41"/>
      <c r="M39" s="41"/>
      <c r="N39" s="41"/>
      <c r="O39" s="41"/>
      <c r="P39" s="41"/>
      <c r="Q39" s="41"/>
      <c r="R39" s="41"/>
      <c r="S39" s="41"/>
    </row>
    <row r="40" spans="1:19" x14ac:dyDescent="0.2">
      <c r="A40" s="41"/>
      <c r="B40" s="41"/>
      <c r="C40" s="41"/>
      <c r="D40" s="41"/>
      <c r="E40" s="41"/>
      <c r="F40" s="41"/>
      <c r="G40" s="41"/>
      <c r="H40" s="41"/>
      <c r="I40" s="41"/>
      <c r="J40" s="41"/>
      <c r="K40" s="41"/>
      <c r="L40" s="41"/>
      <c r="M40" s="41"/>
      <c r="N40" s="41"/>
      <c r="O40" s="41"/>
      <c r="P40" s="41"/>
      <c r="Q40" s="41"/>
      <c r="R40" s="41"/>
      <c r="S40" s="41"/>
    </row>
    <row r="41" spans="1:19" x14ac:dyDescent="0.2">
      <c r="A41" s="41"/>
      <c r="B41" s="41"/>
      <c r="C41" s="41"/>
      <c r="D41" s="41"/>
      <c r="E41" s="41"/>
      <c r="F41" s="41"/>
      <c r="G41" s="41"/>
      <c r="H41" s="41"/>
      <c r="I41" s="41"/>
      <c r="J41" s="41"/>
      <c r="K41" s="41"/>
      <c r="L41" s="41"/>
      <c r="M41" s="41"/>
      <c r="N41" s="41"/>
      <c r="O41" s="41"/>
      <c r="P41" s="41"/>
      <c r="Q41" s="41"/>
      <c r="R41" s="41"/>
      <c r="S41" s="41"/>
    </row>
    <row r="42" spans="1:19" x14ac:dyDescent="0.2">
      <c r="A42" s="41"/>
      <c r="B42" s="41"/>
      <c r="C42" s="41"/>
      <c r="D42" s="41"/>
      <c r="E42" s="41"/>
      <c r="F42" s="41"/>
      <c r="G42" s="41"/>
      <c r="H42" s="41"/>
      <c r="I42" s="41"/>
      <c r="J42" s="41"/>
      <c r="K42" s="41"/>
      <c r="L42" s="41"/>
      <c r="M42" s="41"/>
      <c r="N42" s="41"/>
      <c r="O42" s="41"/>
      <c r="P42" s="41"/>
      <c r="Q42" s="41"/>
      <c r="R42" s="41"/>
      <c r="S42" s="41"/>
    </row>
    <row r="43" spans="1:19" x14ac:dyDescent="0.2">
      <c r="A43" s="41"/>
      <c r="B43" s="41"/>
      <c r="C43" s="41"/>
      <c r="D43" s="41"/>
      <c r="E43" s="41"/>
      <c r="F43" s="41"/>
      <c r="G43" s="41"/>
      <c r="H43" s="41"/>
      <c r="I43" s="41"/>
      <c r="J43" s="41"/>
      <c r="K43" s="41"/>
      <c r="L43" s="41"/>
      <c r="M43" s="41"/>
      <c r="N43" s="41"/>
      <c r="O43" s="41"/>
      <c r="P43" s="41"/>
      <c r="Q43" s="41"/>
      <c r="R43" s="41"/>
      <c r="S43" s="41"/>
    </row>
    <row r="44" spans="1:19" x14ac:dyDescent="0.2">
      <c r="A44" s="41"/>
      <c r="B44" s="41"/>
      <c r="C44" s="41"/>
      <c r="D44" s="41"/>
      <c r="E44" s="41"/>
      <c r="F44" s="41"/>
      <c r="G44" s="41"/>
      <c r="H44" s="41"/>
      <c r="I44" s="41"/>
      <c r="J44" s="41"/>
      <c r="K44" s="41"/>
      <c r="L44" s="41"/>
      <c r="M44" s="41"/>
      <c r="N44" s="41"/>
      <c r="O44" s="41"/>
      <c r="P44" s="41"/>
      <c r="Q44" s="41"/>
      <c r="R44" s="41"/>
      <c r="S44" s="41"/>
    </row>
    <row r="45" spans="1:19" x14ac:dyDescent="0.2">
      <c r="A45" s="41"/>
      <c r="B45" s="41"/>
      <c r="C45" s="41"/>
      <c r="D45" s="41"/>
      <c r="E45" s="41"/>
      <c r="F45" s="41"/>
      <c r="G45" s="41"/>
      <c r="H45" s="41"/>
      <c r="I45" s="41"/>
      <c r="J45" s="41"/>
      <c r="K45" s="41"/>
      <c r="L45" s="41"/>
      <c r="M45" s="41"/>
      <c r="N45" s="41"/>
      <c r="O45" s="41"/>
      <c r="P45" s="41"/>
      <c r="Q45" s="41"/>
      <c r="R45" s="41"/>
      <c r="S45" s="41"/>
    </row>
    <row r="46" spans="1:19" x14ac:dyDescent="0.2">
      <c r="A46" s="41"/>
      <c r="B46" s="41"/>
      <c r="C46" s="41"/>
      <c r="D46" s="41"/>
      <c r="E46" s="41"/>
      <c r="F46" s="41"/>
      <c r="G46" s="41"/>
      <c r="H46" s="41"/>
      <c r="I46" s="41"/>
      <c r="J46" s="41"/>
      <c r="K46" s="41"/>
      <c r="L46" s="41"/>
      <c r="M46" s="41"/>
      <c r="N46" s="41"/>
      <c r="O46" s="41"/>
      <c r="P46" s="41"/>
      <c r="Q46" s="41"/>
      <c r="R46" s="41"/>
      <c r="S46" s="41"/>
    </row>
    <row r="47" spans="1:19" x14ac:dyDescent="0.2">
      <c r="A47" s="41"/>
      <c r="B47" s="41"/>
      <c r="C47" s="41"/>
      <c r="D47" s="41"/>
      <c r="E47" s="41"/>
      <c r="F47" s="41"/>
      <c r="G47" s="41"/>
      <c r="H47" s="41"/>
      <c r="I47" s="41"/>
      <c r="J47" s="41"/>
      <c r="K47" s="41"/>
      <c r="L47" s="41"/>
      <c r="M47" s="41"/>
      <c r="N47" s="41"/>
      <c r="O47" s="41"/>
      <c r="P47" s="41"/>
      <c r="Q47" s="41"/>
      <c r="R47" s="41"/>
      <c r="S47" s="41"/>
    </row>
    <row r="48" spans="1:19" x14ac:dyDescent="0.2">
      <c r="A48" s="41"/>
      <c r="B48" s="41"/>
      <c r="C48" s="41"/>
      <c r="D48" s="41"/>
      <c r="E48" s="41"/>
      <c r="F48" s="41"/>
      <c r="G48" s="41"/>
      <c r="H48" s="41"/>
      <c r="I48" s="41"/>
      <c r="J48" s="41"/>
      <c r="K48" s="41"/>
      <c r="L48" s="41"/>
      <c r="M48" s="41"/>
      <c r="N48" s="41"/>
      <c r="O48" s="41"/>
      <c r="P48" s="41"/>
      <c r="Q48" s="41"/>
      <c r="R48" s="41"/>
      <c r="S48" s="41"/>
    </row>
    <row r="49" spans="1:19" x14ac:dyDescent="0.2">
      <c r="A49" s="41"/>
      <c r="B49" s="41"/>
      <c r="C49" s="41"/>
      <c r="D49" s="41"/>
      <c r="E49" s="41"/>
      <c r="F49" s="41"/>
      <c r="G49" s="41"/>
      <c r="H49" s="41"/>
      <c r="I49" s="41"/>
      <c r="J49" s="41"/>
      <c r="K49" s="41"/>
      <c r="L49" s="41"/>
      <c r="M49" s="41"/>
      <c r="N49" s="41"/>
      <c r="O49" s="41"/>
      <c r="P49" s="41"/>
      <c r="Q49" s="41"/>
      <c r="R49" s="41"/>
      <c r="S49" s="41"/>
    </row>
    <row r="50" spans="1:19" x14ac:dyDescent="0.2">
      <c r="A50" s="41"/>
      <c r="B50" s="41"/>
      <c r="C50" s="41"/>
      <c r="D50" s="41"/>
      <c r="E50" s="41"/>
      <c r="F50" s="41"/>
      <c r="G50" s="41"/>
      <c r="H50" s="41"/>
      <c r="I50" s="41"/>
      <c r="J50" s="41"/>
      <c r="K50" s="41"/>
      <c r="L50" s="41"/>
      <c r="M50" s="41"/>
      <c r="N50" s="41"/>
      <c r="O50" s="41"/>
      <c r="P50" s="41"/>
      <c r="Q50" s="41"/>
      <c r="R50" s="41"/>
      <c r="S50" s="41"/>
    </row>
    <row r="51" spans="1:19" x14ac:dyDescent="0.2">
      <c r="A51" s="41"/>
      <c r="B51" s="41"/>
      <c r="C51" s="41"/>
      <c r="D51" s="41"/>
      <c r="E51" s="41"/>
      <c r="F51" s="41"/>
      <c r="G51" s="41"/>
      <c r="H51" s="41"/>
      <c r="I51" s="41"/>
      <c r="J51" s="41"/>
      <c r="K51" s="41"/>
      <c r="L51" s="41"/>
      <c r="M51" s="41"/>
      <c r="N51" s="41"/>
      <c r="O51" s="41"/>
      <c r="P51" s="41"/>
      <c r="Q51" s="41"/>
      <c r="R51" s="41"/>
      <c r="S51" s="41"/>
    </row>
    <row r="52" spans="1:19" x14ac:dyDescent="0.2">
      <c r="A52" s="41"/>
      <c r="B52" s="41"/>
      <c r="C52" s="41"/>
      <c r="D52" s="41"/>
      <c r="E52" s="41"/>
      <c r="F52" s="41"/>
      <c r="G52" s="41"/>
      <c r="H52" s="41"/>
      <c r="I52" s="41"/>
      <c r="J52" s="41"/>
      <c r="K52" s="41"/>
      <c r="L52" s="41"/>
      <c r="M52" s="41"/>
      <c r="N52" s="41"/>
      <c r="O52" s="41"/>
      <c r="P52" s="41"/>
      <c r="Q52" s="41"/>
      <c r="R52" s="41"/>
      <c r="S52" s="41"/>
    </row>
    <row r="53" spans="1:19" x14ac:dyDescent="0.2">
      <c r="A53" s="41"/>
      <c r="B53" s="41"/>
      <c r="C53" s="41"/>
      <c r="D53" s="41"/>
      <c r="E53" s="41"/>
      <c r="F53" s="41"/>
      <c r="G53" s="41"/>
      <c r="H53" s="41"/>
      <c r="I53" s="41"/>
      <c r="J53" s="41"/>
      <c r="K53" s="41"/>
      <c r="L53" s="41"/>
      <c r="M53" s="41"/>
      <c r="N53" s="41"/>
      <c r="O53" s="41"/>
      <c r="P53" s="41"/>
      <c r="Q53" s="41"/>
      <c r="R53" s="41"/>
      <c r="S53" s="41"/>
    </row>
    <row r="54" spans="1:19" x14ac:dyDescent="0.2">
      <c r="A54" s="41"/>
      <c r="B54" s="41"/>
      <c r="C54" s="41"/>
      <c r="D54" s="41"/>
      <c r="E54" s="41"/>
      <c r="F54" s="41"/>
      <c r="G54" s="41"/>
      <c r="H54" s="41"/>
      <c r="I54" s="41"/>
      <c r="J54" s="41"/>
      <c r="K54" s="41"/>
      <c r="L54" s="41"/>
      <c r="M54" s="41"/>
      <c r="N54" s="41"/>
      <c r="O54" s="41"/>
      <c r="P54" s="41"/>
      <c r="Q54" s="41"/>
      <c r="R54" s="41"/>
      <c r="S54" s="41"/>
    </row>
    <row r="55" spans="1:19" x14ac:dyDescent="0.2">
      <c r="A55" s="41"/>
      <c r="B55" s="41"/>
      <c r="C55" s="41"/>
      <c r="D55" s="41"/>
      <c r="E55" s="41"/>
      <c r="F55" s="41"/>
      <c r="G55" s="41"/>
      <c r="H55" s="41"/>
      <c r="I55" s="41"/>
      <c r="J55" s="41"/>
      <c r="K55" s="41"/>
      <c r="L55" s="41"/>
      <c r="M55" s="41"/>
      <c r="N55" s="41"/>
      <c r="O55" s="41"/>
      <c r="P55" s="41"/>
      <c r="Q55" s="41"/>
      <c r="R55" s="41"/>
      <c r="S55" s="41"/>
    </row>
    <row r="56" spans="1:19" x14ac:dyDescent="0.2">
      <c r="A56" s="41"/>
      <c r="B56" s="41"/>
      <c r="C56" s="41"/>
      <c r="D56" s="41"/>
      <c r="E56" s="41"/>
      <c r="F56" s="41"/>
      <c r="G56" s="41"/>
      <c r="H56" s="41"/>
      <c r="I56" s="41"/>
      <c r="J56" s="41"/>
      <c r="K56" s="41"/>
      <c r="L56" s="41"/>
      <c r="M56" s="41"/>
      <c r="N56" s="41"/>
      <c r="O56" s="41"/>
      <c r="P56" s="41"/>
      <c r="Q56" s="41"/>
      <c r="R56" s="41"/>
      <c r="S56" s="41"/>
    </row>
    <row r="57" spans="1:19" x14ac:dyDescent="0.2">
      <c r="A57" s="41"/>
      <c r="B57" s="41"/>
      <c r="C57" s="41"/>
      <c r="D57" s="41"/>
      <c r="E57" s="41"/>
      <c r="F57" s="41"/>
      <c r="G57" s="41"/>
      <c r="H57" s="41"/>
      <c r="I57" s="41"/>
      <c r="J57" s="41"/>
      <c r="K57" s="41"/>
      <c r="L57" s="41"/>
      <c r="M57" s="41"/>
      <c r="N57" s="41"/>
      <c r="O57" s="41"/>
      <c r="P57" s="41"/>
      <c r="Q57" s="41"/>
      <c r="R57" s="41"/>
      <c r="S57" s="41"/>
    </row>
    <row r="66" spans="2:2" x14ac:dyDescent="0.2">
      <c r="B66" s="104"/>
    </row>
    <row r="67" spans="2:2" x14ac:dyDescent="0.2">
      <c r="B67" s="104"/>
    </row>
    <row r="68" spans="2:2" x14ac:dyDescent="0.2">
      <c r="B68" s="104"/>
    </row>
    <row r="69" spans="2:2" x14ac:dyDescent="0.2">
      <c r="B69" s="104"/>
    </row>
    <row r="70" spans="2:2" x14ac:dyDescent="0.2">
      <c r="B70" s="104"/>
    </row>
    <row r="71" spans="2:2" x14ac:dyDescent="0.2">
      <c r="B71" s="104"/>
    </row>
    <row r="72" spans="2:2" x14ac:dyDescent="0.2">
      <c r="B72" s="104"/>
    </row>
    <row r="73" spans="2:2" x14ac:dyDescent="0.2">
      <c r="B73" s="104"/>
    </row>
    <row r="74" spans="2:2" x14ac:dyDescent="0.2">
      <c r="B74" s="104"/>
    </row>
    <row r="75" spans="2:2" x14ac:dyDescent="0.2">
      <c r="B75" s="104"/>
    </row>
    <row r="76" spans="2:2" x14ac:dyDescent="0.2">
      <c r="B76" s="104"/>
    </row>
    <row r="135" spans="1:3" x14ac:dyDescent="0.2">
      <c r="A135" s="39" t="s">
        <v>9</v>
      </c>
    </row>
    <row r="136" spans="1:3" x14ac:dyDescent="0.2">
      <c r="C136" s="105">
        <v>1.46738701E-2</v>
      </c>
    </row>
  </sheetData>
  <sheetProtection sheet="1" objects="1" scenarios="1" selectLockedCells="1"/>
  <mergeCells count="3">
    <mergeCell ref="A10:I11"/>
    <mergeCell ref="J10:J11"/>
    <mergeCell ref="M8:O11"/>
  </mergeCells>
  <phoneticPr fontId="3"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99" r:id="rId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mc:AlternateContent xmlns:mc="http://schemas.openxmlformats.org/markup-compatibility/2006">
          <mc:Choice Requires="x14">
            <control shapeId="51322" r:id="rId6" name="Spinner 122">
              <controlPr defaultSize="0" autoPict="0" macro="[0]!Spinner122_Change">
                <anchor>
                  <from>
                    <xdr:col>9</xdr:col>
                    <xdr:colOff>0</xdr:colOff>
                    <xdr:row>0</xdr:row>
                    <xdr:rowOff>104775</xdr:rowOff>
                  </from>
                  <to>
                    <xdr:col>9</xdr:col>
                    <xdr:colOff>381000</xdr:colOff>
                    <xdr:row>2</xdr:row>
                    <xdr:rowOff>85725</xdr:rowOff>
                  </to>
                </anchor>
              </controlPr>
            </control>
          </mc:Choice>
        </mc:AlternateContent>
      </controls>
    </mc:Choice>
  </mc:AlternateContent>
  <webPublishItems count="1">
    <webPublishItem id="5403" divId="QSS2PC99f_5403" sourceType="sheet" destinationFile="C:\Stu\Consulting\New XL Files\PCfiles\Pag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08"/>
  <sheetViews>
    <sheetView zoomScale="85" zoomScaleNormal="85" workbookViewId="0">
      <selection activeCell="F3" sqref="F3"/>
    </sheetView>
  </sheetViews>
  <sheetFormatPr defaultColWidth="11.42578125" defaultRowHeight="12.75" x14ac:dyDescent="0.2"/>
  <cols>
    <col min="1" max="1" width="11.7109375" style="200" customWidth="1"/>
    <col min="2" max="2" width="13.85546875" style="200" customWidth="1"/>
    <col min="3" max="3" width="12" style="200" customWidth="1"/>
    <col min="4" max="4" width="11" style="200" customWidth="1"/>
    <col min="5" max="5" width="11.85546875" style="200" customWidth="1"/>
    <col min="6" max="6" width="13.42578125" style="200" customWidth="1"/>
    <col min="7" max="7" width="12" style="200" customWidth="1"/>
    <col min="8" max="8" width="13.85546875" style="200" customWidth="1"/>
    <col min="9" max="9" width="14" style="200" customWidth="1"/>
    <col min="10" max="10" width="14.5703125" style="200" customWidth="1"/>
    <col min="11" max="11" width="13.85546875" style="200" customWidth="1"/>
    <col min="12" max="12" width="14.5703125" style="200" customWidth="1"/>
    <col min="13" max="13" width="13.7109375" style="200" customWidth="1"/>
    <col min="14" max="14" width="13.28515625" style="200" customWidth="1"/>
    <col min="15" max="15" width="14.5703125" style="200" customWidth="1"/>
    <col min="16" max="16" width="12.85546875" style="200" customWidth="1"/>
    <col min="17" max="17" width="15.7109375" style="200" customWidth="1"/>
    <col min="18" max="18" width="13.42578125" style="200" customWidth="1"/>
    <col min="19" max="19" width="14" style="200" customWidth="1"/>
    <col min="20" max="20" width="15.42578125" style="200" customWidth="1"/>
    <col min="21" max="21" width="16.85546875" style="200" customWidth="1"/>
    <col min="22" max="22" width="17.5703125" style="200" customWidth="1"/>
    <col min="23" max="23" width="15.140625" style="200" customWidth="1"/>
    <col min="24" max="24" width="13.7109375" style="200" customWidth="1"/>
    <col min="25" max="25" width="13.140625" style="200" customWidth="1"/>
    <col min="26" max="26" width="12.42578125" style="200" customWidth="1"/>
    <col min="27" max="27" width="10.5703125" style="200" customWidth="1"/>
    <col min="28" max="28" width="14.85546875" style="200" customWidth="1"/>
    <col min="29" max="29" width="10.42578125" style="200" customWidth="1"/>
    <col min="30" max="30" width="13" style="200" bestFit="1" customWidth="1"/>
    <col min="31" max="31" width="12.85546875" style="200" customWidth="1"/>
    <col min="32" max="33" width="11.42578125" style="200"/>
    <col min="34" max="34" width="13" style="200" bestFit="1" customWidth="1"/>
    <col min="35" max="16384" width="11.42578125" style="200"/>
  </cols>
  <sheetData>
    <row r="1" spans="1:31" ht="19.5" customHeight="1" x14ac:dyDescent="0.25">
      <c r="A1" s="195" t="s">
        <v>160</v>
      </c>
      <c r="B1" s="196"/>
      <c r="C1" s="196"/>
      <c r="D1" s="196"/>
      <c r="E1" s="197" t="s">
        <v>15</v>
      </c>
      <c r="F1" s="198">
        <v>42055</v>
      </c>
      <c r="G1" s="199"/>
      <c r="H1" s="196"/>
      <c r="J1" s="196" t="s">
        <v>191</v>
      </c>
      <c r="K1" s="200" t="s">
        <v>36</v>
      </c>
      <c r="L1" s="201" t="s">
        <v>192</v>
      </c>
      <c r="M1" s="292" t="str">
        <f>"Lifetime = "&amp;K2&amp;" "&amp;L1&amp;" @ "&amp;J2&amp;" "&amp;L2</f>
        <v>Lifetime = 84.15 µs @ 1.0E+15 cm-3</v>
      </c>
      <c r="N1" s="292"/>
      <c r="O1" s="292"/>
      <c r="P1" s="196"/>
      <c r="Q1" s="202" t="s">
        <v>255</v>
      </c>
      <c r="R1" s="203" t="str">
        <f>IF(MAX(C9:C133)&gt;0.6,"  Saturated Reference Cell  - Data for MCD&gt; "&amp;J4&amp; " not valid ","")</f>
        <v xml:space="preserve">  Saturated Reference Cell  - Data for MCD&gt; 5.2E+16 not valid </v>
      </c>
      <c r="S1" s="201" t="s">
        <v>155</v>
      </c>
      <c r="T1" s="204" t="str">
        <f>IF(AND(PCRefRatio&gt;1000,AnalysisMode&lt;&gt;"Transient"),"Recommended Analysis Mode is Transient for this sample",IF(AND(PCRefRatio&lt;1000,AnalysisMode="Transient"),"Recommended Analysis Mode is Generalized for this sample",""))</f>
        <v/>
      </c>
      <c r="U1" s="196"/>
      <c r="V1" s="196"/>
      <c r="W1" s="201"/>
      <c r="X1" s="201"/>
      <c r="Y1" s="201"/>
      <c r="Z1" s="201"/>
    </row>
    <row r="2" spans="1:31" ht="15" x14ac:dyDescent="0.2">
      <c r="A2" s="202" t="s">
        <v>336</v>
      </c>
      <c r="B2" s="121"/>
      <c r="C2" s="205"/>
      <c r="D2" s="121"/>
      <c r="E2" s="206" t="s">
        <v>19</v>
      </c>
      <c r="F2" s="207">
        <v>0.77865740740740741</v>
      </c>
      <c r="G2" s="201"/>
      <c r="H2" s="208"/>
      <c r="I2" s="196" t="s">
        <v>190</v>
      </c>
      <c r="J2" s="208" t="str">
        <f>TEXT(SpecMCD,"0.0E+00")</f>
        <v>1.0E+15</v>
      </c>
      <c r="K2" s="201" t="str">
        <f>TEXT(MeasuredLifetime,"0.00")</f>
        <v>84.15</v>
      </c>
      <c r="L2" s="201" t="s">
        <v>349</v>
      </c>
      <c r="M2" s="201"/>
      <c r="N2" s="208"/>
      <c r="O2" s="201"/>
      <c r="P2" s="121"/>
      <c r="Q2" s="209" t="s">
        <v>256</v>
      </c>
      <c r="R2" s="203" t="str">
        <f>IF(OR(SpecMCD&gt;MaxApparentCD,SpecMCD&lt;MinApparentCD),"  Choose Specificed MCD within Data, Min MCD &lt; Spec MCD &lt; Max MCD","")</f>
        <v/>
      </c>
      <c r="S2" s="201" t="s">
        <v>317</v>
      </c>
      <c r="T2" s="196" t="str">
        <f>IF(AND(Temperature&gt;30,MobilityModel=DK),"Use Dorkel/ Leturqc mobility model for this analysis","")</f>
        <v/>
      </c>
      <c r="U2" s="196"/>
      <c r="V2" s="196"/>
      <c r="W2" s="210"/>
      <c r="X2" s="210"/>
      <c r="Y2" s="210"/>
      <c r="Z2" s="210"/>
    </row>
    <row r="3" spans="1:31" x14ac:dyDescent="0.2">
      <c r="A3" s="199"/>
      <c r="B3" s="211"/>
      <c r="C3" s="196"/>
      <c r="D3" s="196"/>
      <c r="E3" s="206" t="s">
        <v>313</v>
      </c>
      <c r="F3" s="212">
        <v>35.487552999999998</v>
      </c>
      <c r="G3" s="201"/>
      <c r="H3" s="201"/>
      <c r="I3" s="201"/>
      <c r="J3" s="196" t="s">
        <v>269</v>
      </c>
      <c r="K3" s="201"/>
      <c r="L3" s="208"/>
      <c r="M3" s="201"/>
      <c r="N3" s="208"/>
      <c r="O3" s="201"/>
      <c r="P3" s="213"/>
      <c r="Q3" s="214" t="s">
        <v>257</v>
      </c>
      <c r="R3" s="203" t="str">
        <f>IF(BiasLight=0,"",IF(MAX(M9:M133)=0,"  Choose Bias Light within data  ",""))</f>
        <v/>
      </c>
      <c r="S3" s="201"/>
      <c r="T3" s="196"/>
      <c r="U3" s="196"/>
      <c r="V3" s="196"/>
      <c r="W3" s="210"/>
      <c r="X3" s="210"/>
      <c r="Y3" s="210"/>
      <c r="Z3" s="210"/>
    </row>
    <row r="4" spans="1:31" ht="15.75" customHeight="1" x14ac:dyDescent="0.2">
      <c r="A4" s="215"/>
      <c r="B4" s="196"/>
      <c r="C4" s="201"/>
      <c r="D4" s="215"/>
      <c r="E4" s="201"/>
      <c r="F4" s="196"/>
      <c r="G4" s="201"/>
      <c r="H4" s="201"/>
      <c r="I4" s="201"/>
      <c r="J4" s="196" t="str">
        <f>TEXT(AC6,"0.0E+00")</f>
        <v>5.2E+16</v>
      </c>
      <c r="K4" s="196"/>
      <c r="L4" s="205"/>
      <c r="M4" s="201"/>
      <c r="N4" s="121"/>
      <c r="O4" s="201"/>
      <c r="P4" s="215"/>
      <c r="Q4" s="202" t="s">
        <v>163</v>
      </c>
      <c r="R4" s="216" t="str">
        <f ca="1">IF(OR(Air_Voltage&lt;-0.95,Air_Voltage&gt;-0.5,(NOW()-ZeroInstTime)&gt;0.5,AirVStdev&gt;0.01),"  Remove Sample From Stage and Re-Zero Instrument  ","")</f>
        <v/>
      </c>
      <c r="S4" s="208"/>
      <c r="T4" s="208"/>
      <c r="U4" s="215"/>
      <c r="V4" s="196"/>
      <c r="W4" s="217"/>
      <c r="X4" s="201"/>
      <c r="Y4" s="201"/>
      <c r="Z4" s="201"/>
    </row>
    <row r="5" spans="1:31" ht="43.5" customHeight="1" x14ac:dyDescent="0.25">
      <c r="A5" s="218" t="s">
        <v>173</v>
      </c>
      <c r="B5" s="219" t="s">
        <v>174</v>
      </c>
      <c r="C5" s="219" t="s">
        <v>303</v>
      </c>
      <c r="D5" s="219" t="s">
        <v>16</v>
      </c>
      <c r="E5" s="219" t="s">
        <v>296</v>
      </c>
      <c r="F5" s="219" t="s">
        <v>31</v>
      </c>
      <c r="G5" s="219" t="s">
        <v>183</v>
      </c>
      <c r="H5" s="219" t="s">
        <v>184</v>
      </c>
      <c r="I5" s="219" t="s">
        <v>186</v>
      </c>
      <c r="J5" s="219" t="s">
        <v>182</v>
      </c>
      <c r="K5" s="220" t="s">
        <v>185</v>
      </c>
      <c r="L5" s="220" t="s">
        <v>187</v>
      </c>
      <c r="M5" s="219" t="s">
        <v>3</v>
      </c>
      <c r="N5" s="219" t="s">
        <v>17</v>
      </c>
      <c r="O5" s="219" t="s">
        <v>188</v>
      </c>
      <c r="P5" s="219" t="s">
        <v>177</v>
      </c>
      <c r="Q5" s="219" t="s">
        <v>178</v>
      </c>
      <c r="R5" s="219" t="s">
        <v>350</v>
      </c>
      <c r="S5" s="219" t="s">
        <v>302</v>
      </c>
      <c r="T5" s="219" t="s">
        <v>279</v>
      </c>
      <c r="U5" s="220" t="s">
        <v>280</v>
      </c>
      <c r="V5" s="219" t="s">
        <v>314</v>
      </c>
      <c r="W5" s="219" t="s">
        <v>315</v>
      </c>
      <c r="X5" s="219" t="s">
        <v>316</v>
      </c>
      <c r="Y5" s="219" t="s">
        <v>351</v>
      </c>
      <c r="Z5" s="220" t="s">
        <v>352</v>
      </c>
      <c r="AA5" s="219" t="s">
        <v>18</v>
      </c>
      <c r="AB5" s="219" t="s">
        <v>189</v>
      </c>
      <c r="AC5" s="220" t="s">
        <v>267</v>
      </c>
      <c r="AD5" s="219" t="s">
        <v>311</v>
      </c>
      <c r="AE5" s="221" t="s">
        <v>312</v>
      </c>
    </row>
    <row r="6" spans="1:31" x14ac:dyDescent="0.2">
      <c r="A6" s="222">
        <f>B166</f>
        <v>-0.44396999999999998</v>
      </c>
      <c r="B6" s="154">
        <f>CalcDarkSheetResistance(Dark_Voltage,A_cal,B_cal,C_cal)</f>
        <v>96.263154398418152</v>
      </c>
      <c r="C6" s="223">
        <f>SheetResistance*Thickness</f>
        <v>1.9156367725285213</v>
      </c>
      <c r="D6" s="224">
        <f>calcdoping(InputResistivity,SampleType)</f>
        <v>5483178979107481</v>
      </c>
      <c r="E6" s="225">
        <f>SUMSQ(B9:B133)/SUMSQ(C9:C133)</f>
        <v>121.89780753458086</v>
      </c>
      <c r="F6" s="154">
        <f>MAX(E9:E133)</f>
        <v>59.794282272230511</v>
      </c>
      <c r="G6" s="226">
        <f>SpecMCD*(1-Fit_Range)</f>
        <v>700000000000000</v>
      </c>
      <c r="H6" s="226">
        <f>SpecMCD*(1+Fit_Range)</f>
        <v>1300000000000000</v>
      </c>
      <c r="I6" s="227">
        <f>MIN($I$14:$I$133)</f>
        <v>6991881279076.6855</v>
      </c>
      <c r="J6" s="226">
        <f>MAX($I$9:$I$132)</f>
        <v>5.2026036746357208E+16</v>
      </c>
      <c r="K6" s="227">
        <f>LOOKUP(2,1/(I9:I133=MaxApparentCD),A9:A133)</f>
        <v>8.499E-4</v>
      </c>
      <c r="L6" s="227">
        <f>LOOKUP(2,1/(I9:I133=MaxApparentCD),H9:H133)</f>
        <v>0.16047695382993338</v>
      </c>
      <c r="M6" s="226">
        <f>IF(BiasLight=0,0,INTERCEPT($N18:$N130,$M18:$M130)+BiasLight*SLOPE($N18:$N130,$M18:$M130))</f>
        <v>0</v>
      </c>
      <c r="N6" s="226">
        <f>BiasPtCD-(BiasLight*0.038*OptConst)*MeasuredLifetimeAuger*0.000001/(1.6E-19*Thickness)</f>
        <v>0</v>
      </c>
      <c r="O6" s="227">
        <f>SpecMCD-Traps</f>
        <v>1000000000000000</v>
      </c>
      <c r="P6" s="156">
        <f>IF(MAX(R10:R131)=0,0,SLOPE(R10:R131,J10:J131))</f>
        <v>-5.4627489808191398E-12</v>
      </c>
      <c r="Q6" s="154">
        <f>IF(MAX(R10:R131)=0,0,INTERCEPT(R10:R130,J10:J130))</f>
        <v>17346.096871902668</v>
      </c>
      <c r="R6" s="156">
        <f>IF(MaxSuns&gt;0.1,1000000*1/(Q6+(SpecMCD)*P6),0)</f>
        <v>84.151369560621319</v>
      </c>
      <c r="S6" s="156">
        <f>R6/1000000</f>
        <v>8.4151369560621323E-5</v>
      </c>
      <c r="T6" s="228">
        <f>IF(MAX(T10:T131)=0,0,SLOPE(T10:T131,J10:J131))</f>
        <v>-5.4659116896617726E-12</v>
      </c>
      <c r="U6" s="156">
        <f>IF(MAX(T10:T131)=0,0,INTERCEPT(T10:T130,J10:J130))</f>
        <v>17347.558222022482</v>
      </c>
      <c r="V6" s="229">
        <f>IF(MaxSuns&gt;0.1,1000000*1/(FitInterceptAuger+(SpecMCD)*FitSlopeAuger),0)</f>
        <v>84.163419377643663</v>
      </c>
      <c r="W6" s="227">
        <f>MeasuredLifetimeAuger/1000000</f>
        <v>8.416341937764367E-5</v>
      </c>
      <c r="X6" s="227">
        <f>IF(MeasuredLifetimeAuger&gt;0,1000000/MeasuredLifetimeAuger,0)</f>
        <v>11881.64653236071</v>
      </c>
      <c r="Y6" s="230">
        <f>IF(MaxSuns&gt;0.1,1000000/(FitInterceptAuger-(FitSlopeAuger*(SampleDoping-Traps))),0)</f>
        <v>21.133548465477574</v>
      </c>
      <c r="Z6" s="156" t="str">
        <f>IF(AugerModel="Richter",SLOPE(W10:W131,J10:J131),"")</f>
        <v/>
      </c>
      <c r="AA6" s="228">
        <f>IF(AugerModel="Sinton",calcjo(FitSlopeAuger,Thickness),calcJoRichter(Thickness,Z6))</f>
        <v>-1.2889439650975909E-12</v>
      </c>
      <c r="AB6" s="231">
        <f ca="1">FORECAST(1,OFFSET(X9,MATCH(1,Y9:Y133,-1)-1,0,2),OFFSET(Y9,MATCH(1,Y9:Y133,-1)-1,0,2))</f>
        <v>0.62983628762493005</v>
      </c>
      <c r="AC6" s="232">
        <f>MIN(Z9:Z133)</f>
        <v>5.1970380339175648E+16</v>
      </c>
      <c r="AD6" s="233">
        <f>1/((1/SheetResistance)-(AD9*Temperature^3+AD10*Temperature^2+AD11*Temperature+AD12))</f>
        <v>113.22507217802554</v>
      </c>
      <c r="AE6" s="234">
        <f>AD6*Thickness</f>
        <v>2.2531789363427084</v>
      </c>
    </row>
    <row r="7" spans="1:31" s="201" customFormat="1" x14ac:dyDescent="0.2">
      <c r="A7" s="235"/>
      <c r="B7" s="196"/>
      <c r="C7" s="196"/>
      <c r="D7" s="235"/>
      <c r="K7" s="236"/>
      <c r="L7" s="237"/>
      <c r="M7" s="208"/>
      <c r="O7" s="208"/>
      <c r="S7" s="238"/>
      <c r="T7" s="235"/>
      <c r="U7" s="239"/>
      <c r="V7" s="196"/>
      <c r="W7" s="240"/>
    </row>
    <row r="8" spans="1:31" ht="42" customHeight="1" x14ac:dyDescent="0.2">
      <c r="A8" s="241" t="s">
        <v>276</v>
      </c>
      <c r="B8" s="242" t="s">
        <v>55</v>
      </c>
      <c r="C8" s="219" t="s">
        <v>56</v>
      </c>
      <c r="D8" s="219" t="s">
        <v>6</v>
      </c>
      <c r="E8" s="219" t="s">
        <v>4</v>
      </c>
      <c r="F8" s="219" t="s">
        <v>10</v>
      </c>
      <c r="G8" s="219" t="s">
        <v>5</v>
      </c>
      <c r="H8" s="220" t="s">
        <v>47</v>
      </c>
      <c r="I8" s="219" t="s">
        <v>180</v>
      </c>
      <c r="J8" s="219" t="s">
        <v>175</v>
      </c>
      <c r="K8" s="219" t="s">
        <v>8</v>
      </c>
      <c r="L8" s="219" t="s">
        <v>12</v>
      </c>
      <c r="M8" s="219" t="s">
        <v>7</v>
      </c>
      <c r="N8" s="219" t="s">
        <v>179</v>
      </c>
      <c r="O8" s="219" t="s">
        <v>11</v>
      </c>
      <c r="P8" s="219" t="s">
        <v>181</v>
      </c>
      <c r="Q8" s="220" t="s">
        <v>176</v>
      </c>
      <c r="R8" s="220" t="s">
        <v>281</v>
      </c>
      <c r="S8" s="219" t="s">
        <v>299</v>
      </c>
      <c r="T8" s="220" t="s">
        <v>300</v>
      </c>
      <c r="U8" s="219" t="s">
        <v>294</v>
      </c>
      <c r="V8" s="220" t="s">
        <v>295</v>
      </c>
      <c r="W8" s="220" t="s">
        <v>332</v>
      </c>
      <c r="X8" s="219" t="s">
        <v>278</v>
      </c>
      <c r="Y8" s="220" t="s">
        <v>277</v>
      </c>
      <c r="Z8" s="220" t="s">
        <v>268</v>
      </c>
      <c r="AA8" s="220" t="s">
        <v>304</v>
      </c>
      <c r="AB8" s="220" t="s">
        <v>305</v>
      </c>
      <c r="AC8" s="220" t="s">
        <v>306</v>
      </c>
      <c r="AD8" s="220" t="s">
        <v>307</v>
      </c>
      <c r="AE8" s="243" t="s">
        <v>308</v>
      </c>
    </row>
    <row r="9" spans="1:31" x14ac:dyDescent="0.2">
      <c r="A9" s="244">
        <v>4.99E-5</v>
      </c>
      <c r="B9" s="244">
        <v>1.2362200000000001</v>
      </c>
      <c r="C9" s="245">
        <v>0.36374400000000001</v>
      </c>
      <c r="D9" s="246">
        <f>IF(CouplingMode="AC",B9-(A$11-A$10)*SUM(B$9:B9)/0.21,B9)</f>
        <v>1.2362200000000001</v>
      </c>
      <c r="E9" s="247">
        <f>IF(C9&gt;0,C9/RefCellCal,0.00001)</f>
        <v>34.563340310945975</v>
      </c>
      <c r="F9" s="247">
        <f t="shared" ref="F9:F40" si="0">E9-BiasLight</f>
        <v>34.563340310945975</v>
      </c>
      <c r="G9" s="248">
        <f t="shared" ref="G9:G40" si="1">F9*0.038*OptConst/1.602E-19</f>
        <v>5.738981599695148E+18</v>
      </c>
      <c r="H9" s="249">
        <f>CalcConductance(B9,Dark_Voltage,A_cal,B_cal,C_cal)</f>
        <v>3.7623701376639958E-2</v>
      </c>
      <c r="I9" s="248">
        <f>IF(MobilityModel=DK,CalcDeltaN(H9,SampleDoping,Thickness,AreaFrac),CalcDeltaNDL(H9,AreaFrac,Thickness,SampleType,SampleDoping,Temperature))</f>
        <v>8984270978808332</v>
      </c>
      <c r="J9" s="248" t="str">
        <f t="shared" ref="J9:J40" si="2">IF(AND(AND(I9&gt;=FitRangeMin,I9&lt;=FitRangeMax),A9&gt;TimeofMaxCD),I9,"")</f>
        <v/>
      </c>
      <c r="K9" s="248">
        <f>IF(I9-BiasPtCD=0,0.00001,I9-BiasPtCD)</f>
        <v>8984270978808332</v>
      </c>
      <c r="L9" s="250"/>
      <c r="M9" s="196" t="str">
        <f t="shared" ref="M9:M40" si="3">IF(E9&gt;0.85*BiasLight,IF( E9&lt;1.15*BiasLight,E9,""),"")</f>
        <v/>
      </c>
      <c r="N9" s="196" t="str">
        <f t="shared" ref="N9:N40" si="4">IF(E9&gt;0.85*BiasLight,IF(E9&lt;1.15*BiasLight,I9,""),"")</f>
        <v/>
      </c>
      <c r="O9" s="250">
        <f t="shared" ref="O9:O40" si="5">I9-Traps</f>
        <v>8984270978808332</v>
      </c>
      <c r="P9" s="248"/>
      <c r="Q9" s="250"/>
      <c r="R9" s="251"/>
      <c r="S9" s="252"/>
      <c r="T9" s="201"/>
      <c r="U9" s="252">
        <f>FitInterceptAuger+FitSlopeAuger*(I9+Traps)</f>
        <v>-31759.673544134996</v>
      </c>
      <c r="V9" s="251" t="str">
        <f>IF(AugerModel="Sinton","",IF(SampleType="n-type",n_intr_boltzmann(SampleDoping,0,K9,Temperature+273.15),n_intr_boltzmann(0,SampleDoping,K9,Temperature+273.15)))</f>
        <v/>
      </c>
      <c r="W9" s="251" t="str">
        <f>IF(V9="","",IF(T9="","",(V9^2)*T9))</f>
        <v/>
      </c>
      <c r="X9" s="246" t="str">
        <f>IF(AND(A9&gt;TimeofMaxCD,I9&gt;Traps),IF(AugerModel="Sinton",CalcImpliedV(SampleDoping,O9),CalcImpliedVRichter(O9,SampleDoping,V9)),"")</f>
        <v/>
      </c>
      <c r="Y9" s="253" t="str">
        <f t="shared" ref="Y9:Y40" si="6">IF(OR(P9="",P9&lt;0,A9&lt;=TimeofMaxCD),"",(O9*Thickness*1.602E-19/(0.038*OptConst*P9)))</f>
        <v/>
      </c>
      <c r="Z9" s="200" t="str">
        <f t="shared" ref="Z9:Z40" si="7">IF(C9&gt;0.6,O9,"")</f>
        <v/>
      </c>
      <c r="AA9" s="254">
        <v>25.574943999999999</v>
      </c>
      <c r="AB9" s="254">
        <v>4293.71516748875</v>
      </c>
      <c r="AC9" s="251">
        <f>1/AB9</f>
        <v>2.328985414709906E-4</v>
      </c>
      <c r="AD9" s="251">
        <f>INDEX(LINEST(AC9:AC44,AA9:AA44^{1,2,3}),1)</f>
        <v>-1.0460341881812718E-9</v>
      </c>
      <c r="AE9" s="251">
        <f t="shared" ref="AE9:AE40" si="8">H9/(K9*AreaFrac*Thickness*1.602E-19)</f>
        <v>1313.5998438240799</v>
      </c>
    </row>
    <row r="10" spans="1:31" x14ac:dyDescent="0.2">
      <c r="A10" s="244">
        <v>1.4990000000000001E-4</v>
      </c>
      <c r="B10" s="244">
        <v>4.0390300000000003</v>
      </c>
      <c r="C10" s="245">
        <v>0.54524700000000004</v>
      </c>
      <c r="D10" s="246">
        <f>IF(CouplingMode="AC",B10-(A$11-A$10)*SUM(B$9:B10)/0.21,B10)</f>
        <v>4.0390300000000003</v>
      </c>
      <c r="E10" s="247">
        <f t="shared" ref="E10:E40" si="9">IF(C10&gt;0,C10/RefCellCal,0.00001)</f>
        <v>51.80994769541865</v>
      </c>
      <c r="F10" s="247">
        <f t="shared" si="0"/>
        <v>51.80994769541865</v>
      </c>
      <c r="G10" s="248">
        <f t="shared" si="1"/>
        <v>8.6026504912492882E+18</v>
      </c>
      <c r="H10" s="249">
        <f t="shared" ref="H10:H40" si="10">CalcConductance(B10,Dark_Voltage,A_cal,B_cal,C_cal)</f>
        <v>0.12794702856749796</v>
      </c>
      <c r="I10" s="248">
        <f>IF(MobilityModel=DK,CalcDeltaN(H10,SampleDoping,Thickness,AreaFrac),CalcDeltaNDL(H10,AreaFrac,Thickness,SampleType,SampleDoping,Temperature))</f>
        <v>3.8619909260557984E+16</v>
      </c>
      <c r="J10" s="248" t="str">
        <f t="shared" si="2"/>
        <v/>
      </c>
      <c r="K10" s="248">
        <f t="shared" ref="K10:K40" si="11">IF(I10-BiasPtCD=0,0.00001,I10-BiasPtCD)</f>
        <v>3.8619909260557984E+16</v>
      </c>
      <c r="L10" s="250"/>
      <c r="M10" s="196" t="str">
        <f t="shared" si="3"/>
        <v/>
      </c>
      <c r="N10" s="196" t="str">
        <f t="shared" si="4"/>
        <v/>
      </c>
      <c r="O10" s="250">
        <f t="shared" si="5"/>
        <v>3.8619909260557984E+16</v>
      </c>
      <c r="P10" s="248"/>
      <c r="Q10" s="250"/>
      <c r="R10" s="251"/>
      <c r="S10" s="252"/>
      <c r="T10" s="201"/>
      <c r="U10" s="252">
        <f t="shared" ref="U10:U40" si="12">FitInterceptAuger+FitSlopeAuger*(I10+Traps)</f>
        <v>-193745.45525893834</v>
      </c>
      <c r="V10" s="251" t="str">
        <f>IF(AugerModel="Sinton","",IF(SampleType="n-type",n_intr_boltzmann(SampleDoping,0,K10,Temperature+273.15),n_intr_boltzmann(0,SampleDoping,K10,Temperature+273.15)))</f>
        <v/>
      </c>
      <c r="W10" s="251" t="str">
        <f t="shared" ref="W10:W73" si="13">IF(V10="","",IF(T10="","",(V10^2)*T10))</f>
        <v/>
      </c>
      <c r="X10" s="246" t="str">
        <f>IF(AND(A10&gt;TimeofMaxCD,I10&gt;Traps),IF(AugerModel="Sinton",CalcImpliedV(SampleDoping,O10),CalcImpliedVRichter(O10,SampleDoping,V10)),"")</f>
        <v/>
      </c>
      <c r="Y10" s="253" t="str">
        <f t="shared" si="6"/>
        <v/>
      </c>
      <c r="Z10" s="200" t="str">
        <f t="shared" si="7"/>
        <v/>
      </c>
      <c r="AA10" s="254">
        <v>30.514984999999999</v>
      </c>
      <c r="AB10" s="254">
        <v>950.53301340631413</v>
      </c>
      <c r="AC10" s="251">
        <f t="shared" ref="AC10:AC44" si="14">1/AB10</f>
        <v>1.0520413135535576E-3</v>
      </c>
      <c r="AD10" s="251">
        <f>INDEX(LINEST(AC9:AC44,AA9:AA44^{1,2,3}),1,2)</f>
        <v>9.461477656792033E-8</v>
      </c>
      <c r="AE10" s="251">
        <f t="shared" si="8"/>
        <v>1039.2101195076484</v>
      </c>
    </row>
    <row r="11" spans="1:31" x14ac:dyDescent="0.2">
      <c r="A11" s="244">
        <v>2.499E-4</v>
      </c>
      <c r="B11" s="244">
        <v>4.9950299999999999</v>
      </c>
      <c r="C11" s="245">
        <v>0.614012</v>
      </c>
      <c r="D11" s="246">
        <f>IF(CouplingMode="AC",B11-(A$11-A$10)*SUM(B$9:B11)/0.21,B11)</f>
        <v>4.9950299999999999</v>
      </c>
      <c r="E11" s="247">
        <f t="shared" si="9"/>
        <v>58.344070860287893</v>
      </c>
      <c r="F11" s="247">
        <f t="shared" si="0"/>
        <v>58.344070860287893</v>
      </c>
      <c r="G11" s="248">
        <f t="shared" si="1"/>
        <v>9.6875922901601608E+18</v>
      </c>
      <c r="H11" s="249">
        <f t="shared" si="10"/>
        <v>0.16034894430553615</v>
      </c>
      <c r="I11" s="248">
        <f>IF(MobilityModel=DK,CalcDeltaN(H11,SampleDoping,Thickness,AreaFrac),CalcDeltaNDL(H11,AreaFrac,Thickness,SampleType,SampleDoping,Temperature))</f>
        <v>5.1970380339175648E+16</v>
      </c>
      <c r="J11" s="248" t="str">
        <f t="shared" si="2"/>
        <v/>
      </c>
      <c r="K11" s="248">
        <f t="shared" si="11"/>
        <v>5.1970380339175648E+16</v>
      </c>
      <c r="L11" s="250">
        <f t="shared" ref="L11:L42" si="15">IF(ABS(SLOPE(K9:K13,A9:A13))&lt;1000000000000,-1000000000000,(SLOPE(K9:K13,A9:A13)))</f>
        <v>9.9489659020896993E+19</v>
      </c>
      <c r="M11" s="196" t="str">
        <f t="shared" si="3"/>
        <v/>
      </c>
      <c r="N11" s="196" t="str">
        <f t="shared" si="4"/>
        <v/>
      </c>
      <c r="O11" s="250">
        <f t="shared" si="5"/>
        <v>5.1970380339175648E+16</v>
      </c>
      <c r="P11" s="248">
        <f>calclifetime(AnalysisMode,K11,Thickness,G11,L11)</f>
        <v>1.3417804507876878E-4</v>
      </c>
      <c r="Q11" s="250"/>
      <c r="R11" s="251"/>
      <c r="S11" s="252">
        <f>IF(AND(E11&gt;0.95*BiasLight,E11&lt;1.05*BiasLight),"",IF(AugerModel="Sinton",calclifetimeauger(Auger_Coefficient,I11,P11),calclifetimerichter(SampleType,I11,SampleDoping,P11)))</f>
        <v>2969.2561749393935</v>
      </c>
      <c r="T11" s="201"/>
      <c r="U11" s="252">
        <f t="shared" si="12"/>
        <v>-266717.95119004603</v>
      </c>
      <c r="V11" s="251" t="str">
        <f>IF(AugerModel="Sinton","",IF(SampleType="n-type",n_intr_boltzmann(SampleDoping,0,K11,Temperature+273.15),n_intr_boltzmann(0,SampleDoping,K11,Temperature+273.15)))</f>
        <v/>
      </c>
      <c r="W11" s="251" t="str">
        <f t="shared" si="13"/>
        <v/>
      </c>
      <c r="X11" s="246" t="str">
        <f>IF(AND(A11&gt;TimeofMaxCD,I11&gt;Traps),IF(AugerModel="Sinton",CalcImpliedV(SampleDoping,O11),CalcImpliedVRichter(O11,SampleDoping,V11)),"")</f>
        <v/>
      </c>
      <c r="Y11" s="253" t="str">
        <f t="shared" si="6"/>
        <v/>
      </c>
      <c r="Z11" s="200">
        <f t="shared" si="7"/>
        <v>5.1970380339175648E+16</v>
      </c>
      <c r="AA11" s="254">
        <v>35.505572999999998</v>
      </c>
      <c r="AB11" s="254">
        <v>579.01823372252954</v>
      </c>
      <c r="AC11" s="251">
        <f t="shared" si="14"/>
        <v>1.7270613285715775E-3</v>
      </c>
      <c r="AD11" s="251">
        <f>INDEX(LINEST(AC9:AC44,AA9:AA44^{1,2,3}),1,3)</f>
        <v>1.3220590164630849E-4</v>
      </c>
      <c r="AE11" s="251">
        <f t="shared" si="8"/>
        <v>967.82006486851014</v>
      </c>
    </row>
    <row r="12" spans="1:31" x14ac:dyDescent="0.2">
      <c r="A12" s="244">
        <v>3.4989999999999999E-4</v>
      </c>
      <c r="B12" s="244">
        <v>4.9987599999999999</v>
      </c>
      <c r="C12" s="245">
        <v>0.629274</v>
      </c>
      <c r="D12" s="246">
        <f>IF(CouplingMode="AC",B12-(A$11-A$10)*SUM(B$9:B12)/0.21,B12)</f>
        <v>4.9987599999999999</v>
      </c>
      <c r="E12" s="247">
        <f t="shared" si="9"/>
        <v>59.794282272230511</v>
      </c>
      <c r="F12" s="247">
        <f t="shared" si="0"/>
        <v>59.794282272230511</v>
      </c>
      <c r="G12" s="248">
        <f t="shared" si="1"/>
        <v>9.9283889415813448E+18</v>
      </c>
      <c r="H12" s="249">
        <f t="shared" si="10"/>
        <v>0.16047695382993338</v>
      </c>
      <c r="I12" s="248">
        <f>IF(MobilityModel=DK,CalcDeltaN(H12,SampleDoping,Thickness,AreaFrac),CalcDeltaNDL(H12,AreaFrac,Thickness,SampleType,SampleDoping,Temperature))</f>
        <v>5.2026036746357208E+16</v>
      </c>
      <c r="J12" s="248" t="str">
        <f t="shared" si="2"/>
        <v/>
      </c>
      <c r="K12" s="248">
        <f t="shared" si="11"/>
        <v>5.2026036746357208E+16</v>
      </c>
      <c r="L12" s="250">
        <f t="shared" si="15"/>
        <v>2.6867911378780008E+19</v>
      </c>
      <c r="M12" s="196" t="str">
        <f t="shared" si="3"/>
        <v/>
      </c>
      <c r="N12" s="196" t="str">
        <f t="shared" si="4"/>
        <v/>
      </c>
      <c r="O12" s="250">
        <f t="shared" si="5"/>
        <v>5.2026036746357208E+16</v>
      </c>
      <c r="P12" s="248">
        <f t="shared" ref="P12:P42" si="16">calclifetime(AnalysisMode,K12,Thickness,G12,L12)</f>
        <v>1.1021388823813468E-4</v>
      </c>
      <c r="Q12" s="250" t="str">
        <f t="shared" ref="Q12:Q43" si="17">IF($J12="","",P12)</f>
        <v/>
      </c>
      <c r="R12" s="251" t="str">
        <f t="shared" ref="R12:R43" si="18">IF(Q12="","",1/Q12)</f>
        <v/>
      </c>
      <c r="S12" s="252">
        <f>IF(AND(E12&gt;0.95*BiasLight,E12&lt;1.05*BiasLight),"",IF(AugerModel="Sinton",calclifetimeauger(Auger_Coefficient,I12,P12),calclifetimerichter(SampleType,I12,SampleDoping,P12)))</f>
        <v>4580.1305723687747</v>
      </c>
      <c r="T12" s="201" t="str">
        <f t="shared" ref="T12:T43" si="19">IF($J12="","",S12)</f>
        <v/>
      </c>
      <c r="U12" s="252">
        <f t="shared" si="12"/>
        <v>-267022.16419666429</v>
      </c>
      <c r="V12" s="251" t="str">
        <f>IF(AugerModel="Sinton","",IF(SampleType="n-type",n_intr_boltzmann(SampleDoping,0,K12,Temperature+273.15),n_intr_boltzmann(0,SampleDoping,K12,Temperature+273.15)))</f>
        <v/>
      </c>
      <c r="W12" s="251" t="str">
        <f t="shared" si="13"/>
        <v/>
      </c>
      <c r="X12" s="246" t="str">
        <f>IF(AND(A12&gt;TimeofMaxCD,I12&gt;Traps),IF(AugerModel="Sinton",CalcImpliedV(SampleDoping,O12),CalcImpliedVRichter(O12,SampleDoping,V12)),"")</f>
        <v/>
      </c>
      <c r="Y12" s="253" t="str">
        <f t="shared" si="6"/>
        <v/>
      </c>
      <c r="Z12" s="200">
        <f t="shared" si="7"/>
        <v>5.2026036746357208E+16</v>
      </c>
      <c r="AA12" s="254">
        <v>40.471617000000002</v>
      </c>
      <c r="AB12" s="254">
        <v>480.02527736007789</v>
      </c>
      <c r="AC12" s="251">
        <f t="shared" si="14"/>
        <v>2.083223628346299E-3</v>
      </c>
      <c r="AD12" s="251">
        <f>INDEX(LINEST(AC9:AC44,AA9:AA44^{1,2,3}),1,4)</f>
        <v>-3.2078448914350591E-3</v>
      </c>
      <c r="AE12" s="251">
        <f t="shared" si="8"/>
        <v>967.55651253268911</v>
      </c>
    </row>
    <row r="13" spans="1:31" x14ac:dyDescent="0.2">
      <c r="A13" s="244">
        <v>4.4989999999999999E-4</v>
      </c>
      <c r="B13" s="244">
        <v>4.9987599999999999</v>
      </c>
      <c r="C13" s="245">
        <v>0.61385500000000004</v>
      </c>
      <c r="D13" s="246">
        <f>IF(CouplingMode="AC",B13-(A$11-A$10)*SUM(B$9:B13)/0.21,B13)</f>
        <v>4.9987599999999999</v>
      </c>
      <c r="E13" s="247">
        <f t="shared" si="9"/>
        <v>58.329152553927329</v>
      </c>
      <c r="F13" s="247">
        <f t="shared" si="0"/>
        <v>58.329152553927329</v>
      </c>
      <c r="G13" s="248">
        <f t="shared" si="1"/>
        <v>9.6851152180678349E+18</v>
      </c>
      <c r="H13" s="249">
        <f t="shared" si="10"/>
        <v>0.16047695382993338</v>
      </c>
      <c r="I13" s="248">
        <f>IF(MobilityModel=DK,CalcDeltaN(H13,SampleDoping,Thickness,AreaFrac),CalcDeltaNDL(H13,AreaFrac,Thickness,SampleType,SampleDoping,Temperature))</f>
        <v>5.2026036746357208E+16</v>
      </c>
      <c r="J13" s="248" t="str">
        <f t="shared" si="2"/>
        <v/>
      </c>
      <c r="K13" s="248">
        <f t="shared" si="11"/>
        <v>5.2026036746357208E+16</v>
      </c>
      <c r="L13" s="250">
        <f t="shared" si="15"/>
        <v>1.1131281436311998E+17</v>
      </c>
      <c r="M13" s="196" t="str">
        <f t="shared" si="3"/>
        <v/>
      </c>
      <c r="N13" s="196" t="str">
        <f t="shared" si="4"/>
        <v/>
      </c>
      <c r="O13" s="250">
        <f t="shared" si="5"/>
        <v>5.2026036746357208E+16</v>
      </c>
      <c r="P13" s="248">
        <f t="shared" si="16"/>
        <v>1.0692231886130217E-4</v>
      </c>
      <c r="Q13" s="250" t="str">
        <f t="shared" si="17"/>
        <v/>
      </c>
      <c r="R13" s="251" t="str">
        <f t="shared" si="18"/>
        <v/>
      </c>
      <c r="S13" s="252">
        <f>IF(AND(E13&gt;0.95*BiasLight,E13&lt;1.05*BiasLight),"",IF(AugerModel="Sinton",calclifetimeauger(Auger_Coefficient,I13,P13),calclifetimerichter(SampleType,I13,SampleDoping,P13)))</f>
        <v>4859.4481842109817</v>
      </c>
      <c r="T13" s="201" t="str">
        <f t="shared" si="19"/>
        <v/>
      </c>
      <c r="U13" s="252">
        <f t="shared" si="12"/>
        <v>-267022.16419666429</v>
      </c>
      <c r="V13" s="251" t="str">
        <f>IF(AugerModel="Sinton","",IF(SampleType="n-type",n_intr_boltzmann(SampleDoping,0,K13,Temperature+273.15),n_intr_boltzmann(0,SampleDoping,K13,Temperature+273.15)))</f>
        <v/>
      </c>
      <c r="W13" s="251" t="str">
        <f t="shared" si="13"/>
        <v/>
      </c>
      <c r="X13" s="246" t="str">
        <f>IF(AND(A13&gt;TimeofMaxCD,I13&gt;Traps),IF(AugerModel="Sinton",CalcImpliedV(SampleDoping,O13),CalcImpliedVRichter(O13,SampleDoping,V13)),"")</f>
        <v/>
      </c>
      <c r="Y13" s="253" t="str">
        <f t="shared" si="6"/>
        <v/>
      </c>
      <c r="Z13" s="200">
        <f t="shared" si="7"/>
        <v>5.2026036746357208E+16</v>
      </c>
      <c r="AA13" s="254">
        <v>45.471893999999999</v>
      </c>
      <c r="AB13" s="254">
        <v>370.16472897680944</v>
      </c>
      <c r="AC13" s="251">
        <f t="shared" si="14"/>
        <v>2.7014999585837076E-3</v>
      </c>
      <c r="AE13" s="251">
        <f t="shared" si="8"/>
        <v>967.55651253268911</v>
      </c>
    </row>
    <row r="14" spans="1:31" x14ac:dyDescent="0.2">
      <c r="A14" s="244">
        <v>5.4989999999999998E-4</v>
      </c>
      <c r="B14" s="244">
        <v>4.9987599999999999</v>
      </c>
      <c r="C14" s="245">
        <v>0.58575299999999997</v>
      </c>
      <c r="D14" s="246">
        <f>IF(CouplingMode="AC",B14-(A$11-A$10)*SUM(B$9:B14)/0.21,B14)</f>
        <v>4.9987599999999999</v>
      </c>
      <c r="E14" s="247">
        <f t="shared" si="9"/>
        <v>55.658870736445238</v>
      </c>
      <c r="F14" s="247">
        <f t="shared" si="0"/>
        <v>55.658870736445238</v>
      </c>
      <c r="G14" s="248">
        <f t="shared" si="1"/>
        <v>9.2417350910701834E+18</v>
      </c>
      <c r="H14" s="249">
        <f t="shared" si="10"/>
        <v>0.16047695382993338</v>
      </c>
      <c r="I14" s="248">
        <f>IF(MobilityModel=DK,CalcDeltaN(H14,SampleDoping,Thickness,AreaFrac),CalcDeltaNDL(H14,AreaFrac,Thickness,SampleType,SampleDoping,Temperature))</f>
        <v>5.2026036746357208E+16</v>
      </c>
      <c r="J14" s="248" t="str">
        <f t="shared" si="2"/>
        <v/>
      </c>
      <c r="K14" s="248">
        <f t="shared" si="11"/>
        <v>5.2026036746357208E+16</v>
      </c>
      <c r="L14" s="250">
        <f t="shared" si="15"/>
        <v>-1000000000000</v>
      </c>
      <c r="M14" s="196" t="str">
        <f t="shared" si="3"/>
        <v/>
      </c>
      <c r="N14" s="196" t="str">
        <f t="shared" si="4"/>
        <v/>
      </c>
      <c r="O14" s="250">
        <f t="shared" si="5"/>
        <v>5.2026036746357208E+16</v>
      </c>
      <c r="P14" s="248">
        <f t="shared" si="16"/>
        <v>1.1202638020035421E-4</v>
      </c>
      <c r="Q14" s="250" t="str">
        <f t="shared" si="17"/>
        <v/>
      </c>
      <c r="R14" s="251" t="str">
        <f t="shared" si="18"/>
        <v/>
      </c>
      <c r="S14" s="252">
        <f>IF(AND(E14&gt;0.95*BiasLight,E14&lt;1.05*BiasLight),"",IF(AugerModel="Sinton",calclifetimeauger(Auger_Coefficient,I14,P14),calclifetimerichter(SampleType,I14,SampleDoping,P14)))</f>
        <v>4433.3328011469257</v>
      </c>
      <c r="T14" s="201" t="str">
        <f t="shared" si="19"/>
        <v/>
      </c>
      <c r="U14" s="252">
        <f t="shared" si="12"/>
        <v>-267022.16419666429</v>
      </c>
      <c r="V14" s="251" t="str">
        <f>IF(AugerModel="Sinton","",IF(SampleType="n-type",n_intr_boltzmann(SampleDoping,0,K14,Temperature+273.15),n_intr_boltzmann(0,SampleDoping,K14,Temperature+273.15)))</f>
        <v/>
      </c>
      <c r="W14" s="251" t="str">
        <f t="shared" si="13"/>
        <v/>
      </c>
      <c r="X14" s="246" t="str">
        <f>IF(AND(A14&gt;TimeofMaxCD,I14&gt;Traps),IF(AugerModel="Sinton",CalcImpliedV(SampleDoping,O14),CalcImpliedVRichter(O14,SampleDoping,V14)),"")</f>
        <v/>
      </c>
      <c r="Y14" s="253" t="str">
        <f t="shared" si="6"/>
        <v/>
      </c>
      <c r="Z14" s="200" t="str">
        <f t="shared" si="7"/>
        <v/>
      </c>
      <c r="AA14" s="254">
        <v>50.503872000000001</v>
      </c>
      <c r="AB14" s="254">
        <v>277.34000992042826</v>
      </c>
      <c r="AC14" s="251">
        <f t="shared" si="14"/>
        <v>3.6056824267328411E-3</v>
      </c>
      <c r="AE14" s="251">
        <f t="shared" si="8"/>
        <v>967.55651253268911</v>
      </c>
    </row>
    <row r="15" spans="1:31" x14ac:dyDescent="0.2">
      <c r="A15" s="244">
        <v>6.4990000000000002E-4</v>
      </c>
      <c r="B15" s="244">
        <v>4.9987599999999999</v>
      </c>
      <c r="C15" s="245">
        <v>0.552257</v>
      </c>
      <c r="D15" s="246">
        <f>IF(CouplingMode="AC",B15-(A$11-A$10)*SUM(B$9:B15)/0.21,B15)</f>
        <v>4.9987599999999999</v>
      </c>
      <c r="E15" s="247">
        <f t="shared" si="9"/>
        <v>52.476045323365028</v>
      </c>
      <c r="F15" s="247">
        <f t="shared" si="0"/>
        <v>52.476045323365028</v>
      </c>
      <c r="G15" s="248">
        <f t="shared" si="1"/>
        <v>8.713250971295316E+18</v>
      </c>
      <c r="H15" s="249">
        <f t="shared" si="10"/>
        <v>0.16047695382993338</v>
      </c>
      <c r="I15" s="248">
        <f>IF(MobilityModel=DK,CalcDeltaN(H15,SampleDoping,Thickness,AreaFrac),CalcDeltaNDL(H15,AreaFrac,Thickness,SampleType,SampleDoping,Temperature))</f>
        <v>5.2026036746357208E+16</v>
      </c>
      <c r="J15" s="248" t="str">
        <f t="shared" si="2"/>
        <v/>
      </c>
      <c r="K15" s="248">
        <f t="shared" si="11"/>
        <v>5.2026036746357208E+16</v>
      </c>
      <c r="L15" s="250">
        <f t="shared" si="15"/>
        <v>-1000000000000</v>
      </c>
      <c r="M15" s="196" t="str">
        <f t="shared" si="3"/>
        <v/>
      </c>
      <c r="N15" s="196" t="str">
        <f t="shared" si="4"/>
        <v/>
      </c>
      <c r="O15" s="250">
        <f t="shared" si="5"/>
        <v>5.2026036746357208E+16</v>
      </c>
      <c r="P15" s="248">
        <f t="shared" si="16"/>
        <v>1.18821107333955E-4</v>
      </c>
      <c r="Q15" s="250" t="str">
        <f t="shared" si="17"/>
        <v/>
      </c>
      <c r="R15" s="251" t="str">
        <f t="shared" si="18"/>
        <v/>
      </c>
      <c r="S15" s="252">
        <f>IF(AND(E15&gt;0.95*BiasLight,E15&lt;1.05*BiasLight),"",IF(AugerModel="Sinton",calclifetimeauger(Auger_Coefficient,I15,P15),calclifetimerichter(SampleType,I15,SampleDoping,P15)))</f>
        <v>3922.8770254564934</v>
      </c>
      <c r="T15" s="201" t="str">
        <f t="shared" si="19"/>
        <v/>
      </c>
      <c r="U15" s="252">
        <f t="shared" si="12"/>
        <v>-267022.16419666429</v>
      </c>
      <c r="V15" s="251" t="str">
        <f>IF(AugerModel="Sinton","",IF(SampleType="n-type",n_intr_boltzmann(SampleDoping,0,K15,Temperature+273.15),n_intr_boltzmann(0,SampleDoping,K15,Temperature+273.15)))</f>
        <v/>
      </c>
      <c r="W15" s="251" t="str">
        <f t="shared" si="13"/>
        <v/>
      </c>
      <c r="X15" s="246" t="str">
        <f>IF(AND(A15&gt;TimeofMaxCD,I15&gt;Traps),IF(AugerModel="Sinton",CalcImpliedV(SampleDoping,O15),CalcImpliedVRichter(O15,SampleDoping,V15)),"")</f>
        <v/>
      </c>
      <c r="Y15" s="253" t="str">
        <f t="shared" si="6"/>
        <v/>
      </c>
      <c r="Z15" s="200" t="str">
        <f t="shared" si="7"/>
        <v/>
      </c>
      <c r="AA15" s="254">
        <v>55.478293000000001</v>
      </c>
      <c r="AB15" s="254">
        <v>235.07848136567836</v>
      </c>
      <c r="AC15" s="251">
        <f t="shared" si="14"/>
        <v>4.2538985031319873E-3</v>
      </c>
      <c r="AE15" s="251">
        <f t="shared" si="8"/>
        <v>967.55651253268911</v>
      </c>
    </row>
    <row r="16" spans="1:31" x14ac:dyDescent="0.2">
      <c r="A16" s="244">
        <v>7.4989999999999996E-4</v>
      </c>
      <c r="B16" s="244">
        <v>4.9987599999999999</v>
      </c>
      <c r="C16" s="245">
        <v>0.51972399999999996</v>
      </c>
      <c r="D16" s="246">
        <f>IF(CouplingMode="AC",B16-(A$11-A$10)*SUM(B$9:B16)/0.21,B16)</f>
        <v>4.9987599999999999</v>
      </c>
      <c r="E16" s="247">
        <f t="shared" si="9"/>
        <v>49.38472519070028</v>
      </c>
      <c r="F16" s="247">
        <f t="shared" si="0"/>
        <v>49.38472519070028</v>
      </c>
      <c r="G16" s="248">
        <f t="shared" si="1"/>
        <v>8.1999606121886853E+18</v>
      </c>
      <c r="H16" s="249">
        <f t="shared" si="10"/>
        <v>0.16047695382993338</v>
      </c>
      <c r="I16" s="248">
        <f>IF(MobilityModel=DK,CalcDeltaN(H16,SampleDoping,Thickness,AreaFrac),CalcDeltaNDL(H16,AreaFrac,Thickness,SampleType,SampleDoping,Temperature))</f>
        <v>5.2026036746357208E+16</v>
      </c>
      <c r="J16" s="248" t="str">
        <f t="shared" si="2"/>
        <v/>
      </c>
      <c r="K16" s="248">
        <f t="shared" si="11"/>
        <v>5.2026036746357208E+16</v>
      </c>
      <c r="L16" s="250">
        <f t="shared" si="15"/>
        <v>-2.4177329781984E+16</v>
      </c>
      <c r="M16" s="196" t="str">
        <f t="shared" si="3"/>
        <v/>
      </c>
      <c r="N16" s="196" t="str">
        <f t="shared" si="4"/>
        <v/>
      </c>
      <c r="O16" s="250">
        <f t="shared" si="5"/>
        <v>5.2026036746357208E+16</v>
      </c>
      <c r="P16" s="248">
        <f t="shared" si="16"/>
        <v>1.2625150741205977E-4</v>
      </c>
      <c r="Q16" s="250" t="str">
        <f t="shared" si="17"/>
        <v/>
      </c>
      <c r="R16" s="251" t="str">
        <f t="shared" si="18"/>
        <v/>
      </c>
      <c r="S16" s="252">
        <f>IF(AND(E16&gt;0.95*BiasLight,E16&lt;1.05*BiasLight),"",IF(AugerModel="Sinton",calclifetimeauger(Auger_Coefficient,I16,P16),calclifetimerichter(SampleType,I16,SampleDoping,P16)))</f>
        <v>3427.5613976662398</v>
      </c>
      <c r="T16" s="201" t="str">
        <f t="shared" si="19"/>
        <v/>
      </c>
      <c r="U16" s="252">
        <f t="shared" si="12"/>
        <v>-267022.16419666429</v>
      </c>
      <c r="V16" s="251" t="str">
        <f>IF(AugerModel="Sinton","",IF(SampleType="n-type",n_intr_boltzmann(SampleDoping,0,K16,Temperature+273.15),n_intr_boltzmann(0,SampleDoping,K16,Temperature+273.15)))</f>
        <v/>
      </c>
      <c r="W16" s="251" t="str">
        <f t="shared" si="13"/>
        <v/>
      </c>
      <c r="X16" s="246" t="str">
        <f>IF(AND(A16&gt;TimeofMaxCD,I16&gt;Traps),IF(AugerModel="Sinton",CalcImpliedV(SampleDoping,O16),CalcImpliedVRichter(O16,SampleDoping,V16)),"")</f>
        <v/>
      </c>
      <c r="Y16" s="253" t="str">
        <f t="shared" si="6"/>
        <v/>
      </c>
      <c r="Z16" s="200" t="str">
        <f t="shared" si="7"/>
        <v/>
      </c>
      <c r="AA16" s="254">
        <v>60.477620000000002</v>
      </c>
      <c r="AB16" s="254">
        <v>211.94597692788435</v>
      </c>
      <c r="AC16" s="251">
        <f t="shared" si="14"/>
        <v>4.7181834470028886E-3</v>
      </c>
      <c r="AE16" s="251">
        <f t="shared" si="8"/>
        <v>967.55651253268911</v>
      </c>
    </row>
    <row r="17" spans="1:31" x14ac:dyDescent="0.2">
      <c r="A17" s="244">
        <v>8.499E-4</v>
      </c>
      <c r="B17" s="244">
        <v>4.9987599999999999</v>
      </c>
      <c r="C17" s="245">
        <v>0.48920200000000003</v>
      </c>
      <c r="D17" s="246">
        <f>IF(CouplingMode="AC",B17-(A$11-A$10)*SUM(B$9:B17)/0.21,B17)</f>
        <v>4.9987599999999999</v>
      </c>
      <c r="E17" s="247">
        <f t="shared" si="9"/>
        <v>46.484492408934287</v>
      </c>
      <c r="F17" s="247">
        <f t="shared" si="0"/>
        <v>46.484492408934287</v>
      </c>
      <c r="G17" s="248">
        <f t="shared" si="1"/>
        <v>7.7183988644048189E+18</v>
      </c>
      <c r="H17" s="249">
        <f t="shared" si="10"/>
        <v>0.16047695382993338</v>
      </c>
      <c r="I17" s="248">
        <f>IF(MobilityModel=DK,CalcDeltaN(H17,SampleDoping,Thickness,AreaFrac),CalcDeltaNDL(H17,AreaFrac,Thickness,SampleType,SampleDoping,Temperature))</f>
        <v>5.2026036746357208E+16</v>
      </c>
      <c r="J17" s="248" t="str">
        <f t="shared" si="2"/>
        <v/>
      </c>
      <c r="K17" s="248">
        <f t="shared" si="11"/>
        <v>5.2026036746357208E+16</v>
      </c>
      <c r="L17" s="250">
        <f t="shared" si="15"/>
        <v>-2.5171919643383839E+18</v>
      </c>
      <c r="M17" s="196" t="str">
        <f t="shared" si="3"/>
        <v/>
      </c>
      <c r="N17" s="196" t="str">
        <f t="shared" si="4"/>
        <v/>
      </c>
      <c r="O17" s="250">
        <f t="shared" si="5"/>
        <v>5.2026036746357208E+16</v>
      </c>
      <c r="P17" s="248">
        <f t="shared" si="16"/>
        <v>1.3327145945317591E-4</v>
      </c>
      <c r="Q17" s="250" t="str">
        <f t="shared" si="17"/>
        <v/>
      </c>
      <c r="R17" s="251" t="str">
        <f t="shared" si="18"/>
        <v/>
      </c>
      <c r="S17" s="252">
        <f>IF(AND(E17&gt;0.95*BiasLight,E17&lt;1.05*BiasLight),"",IF(AugerModel="Sinton",calclifetimeauger(Auger_Coefficient,I17,P17),calclifetimerichter(SampleType,I17,SampleDoping,P17)))</f>
        <v>3010.3459123799657</v>
      </c>
      <c r="T17" s="201" t="str">
        <f t="shared" si="19"/>
        <v/>
      </c>
      <c r="U17" s="252">
        <f t="shared" si="12"/>
        <v>-267022.16419666429</v>
      </c>
      <c r="V17" s="251" t="str">
        <f>IF(AugerModel="Sinton","",IF(SampleType="n-type",n_intr_boltzmann(SampleDoping,0,K17,Temperature+273.15),n_intr_boltzmann(0,SampleDoping,K17,Temperature+273.15)))</f>
        <v/>
      </c>
      <c r="W17" s="251" t="str">
        <f t="shared" si="13"/>
        <v/>
      </c>
      <c r="X17" s="246" t="str">
        <f>IF(AND(A17&gt;TimeofMaxCD,I17&gt;Traps),IF(AugerModel="Sinton",CalcImpliedV(SampleDoping,O17),CalcImpliedVRichter(O17,SampleDoping,V17)),"")</f>
        <v/>
      </c>
      <c r="Y17" s="253" t="str">
        <f t="shared" si="6"/>
        <v/>
      </c>
      <c r="Z17" s="200" t="str">
        <f t="shared" si="7"/>
        <v/>
      </c>
      <c r="AA17" s="254">
        <v>65.476241999999999</v>
      </c>
      <c r="AB17" s="254">
        <v>177.12104469091474</v>
      </c>
      <c r="AC17" s="251">
        <f t="shared" si="14"/>
        <v>5.6458564917853272E-3</v>
      </c>
      <c r="AE17" s="251">
        <f t="shared" si="8"/>
        <v>967.55651253268911</v>
      </c>
    </row>
    <row r="18" spans="1:31" x14ac:dyDescent="0.2">
      <c r="A18" s="244">
        <v>9.4990000000000005E-4</v>
      </c>
      <c r="B18" s="244">
        <v>4.9979500000000003</v>
      </c>
      <c r="C18" s="245">
        <v>0.46024799999999999</v>
      </c>
      <c r="D18" s="246">
        <f>IF(CouplingMode="AC",B18-(A$11-A$10)*SUM(B$9:B18)/0.21,B18)</f>
        <v>4.9979500000000003</v>
      </c>
      <c r="E18" s="247">
        <f t="shared" si="9"/>
        <v>43.73325264865472</v>
      </c>
      <c r="F18" s="247">
        <f t="shared" si="0"/>
        <v>43.73325264865472</v>
      </c>
      <c r="G18" s="248">
        <f t="shared" si="1"/>
        <v>7.2615762824857395E+18</v>
      </c>
      <c r="H18" s="249">
        <f t="shared" si="10"/>
        <v>0.16044915446589497</v>
      </c>
      <c r="I18" s="248">
        <f>IF(MobilityModel=DK,CalcDeltaN(H18,SampleDoping,Thickness,AreaFrac),CalcDeltaNDL(H18,AreaFrac,Thickness,SampleType,SampleDoping,Temperature))</f>
        <v>5.2013948081466216E+16</v>
      </c>
      <c r="J18" s="248" t="str">
        <f t="shared" si="2"/>
        <v/>
      </c>
      <c r="K18" s="248">
        <f t="shared" si="11"/>
        <v>5.2013948081466216E+16</v>
      </c>
      <c r="L18" s="250">
        <f t="shared" si="15"/>
        <v>-7.7888666137130383E+18</v>
      </c>
      <c r="M18" s="196" t="str">
        <f t="shared" si="3"/>
        <v/>
      </c>
      <c r="N18" s="196" t="str">
        <f t="shared" si="4"/>
        <v/>
      </c>
      <c r="O18" s="250">
        <f t="shared" si="5"/>
        <v>5.2013948081466216E+16</v>
      </c>
      <c r="P18" s="248">
        <f t="shared" si="16"/>
        <v>1.3956275029491119E-4</v>
      </c>
      <c r="Q18" s="250" t="str">
        <f t="shared" si="17"/>
        <v/>
      </c>
      <c r="R18" s="251" t="str">
        <f t="shared" si="18"/>
        <v/>
      </c>
      <c r="S18" s="252">
        <f>IF(AND(E18&gt;0.95*BiasLight,E18&lt;1.05*BiasLight),"",IF(AugerModel="Sinton",calclifetimeauger(Auger_Coefficient,I18,P18),calclifetimerichter(SampleType,I18,SampleDoping,P18)))</f>
        <v>2674.1873745086577</v>
      </c>
      <c r="T18" s="201" t="str">
        <f t="shared" si="19"/>
        <v/>
      </c>
      <c r="U18" s="252">
        <f t="shared" si="12"/>
        <v>-266956.08862192422</v>
      </c>
      <c r="V18" s="251" t="str">
        <f>IF(AugerModel="Sinton","",IF(SampleType="n-type",n_intr_boltzmann(SampleDoping,0,K18,Temperature+273.15),n_intr_boltzmann(0,SampleDoping,K18,Temperature+273.15)))</f>
        <v/>
      </c>
      <c r="W18" s="251" t="str">
        <f t="shared" si="13"/>
        <v/>
      </c>
      <c r="X18" s="246">
        <f>IF(AND(A18&gt;TimeofMaxCD,I18&gt;Traps),IF(AugerModel="Sinton",CalcImpliedV(SampleDoping,O18),CalcImpliedVRichter(O18,SampleDoping,V18)),"")</f>
        <v>0.80487291301646868</v>
      </c>
      <c r="Y18" s="253">
        <f t="shared" si="6"/>
        <v>44.666739527872188</v>
      </c>
      <c r="Z18" s="200" t="str">
        <f t="shared" si="7"/>
        <v/>
      </c>
      <c r="AA18" s="254">
        <v>70.471900000000005</v>
      </c>
      <c r="AB18" s="254">
        <v>163.55334972624357</v>
      </c>
      <c r="AC18" s="251">
        <f t="shared" si="14"/>
        <v>6.1142128955096612E-3</v>
      </c>
      <c r="AE18" s="251">
        <f t="shared" si="8"/>
        <v>967.61373584644707</v>
      </c>
    </row>
    <row r="19" spans="1:31" x14ac:dyDescent="0.2">
      <c r="A19" s="244">
        <v>1.0499000000000001E-3</v>
      </c>
      <c r="B19" s="244">
        <v>4.9143499999999998</v>
      </c>
      <c r="C19" s="245">
        <v>0.433251</v>
      </c>
      <c r="D19" s="246">
        <f>IF(CouplingMode="AC",B19-(A$11-A$10)*SUM(B$9:B19)/0.21,B19)</f>
        <v>4.9143499999999998</v>
      </c>
      <c r="E19" s="247">
        <f t="shared" si="9"/>
        <v>41.167969102054336</v>
      </c>
      <c r="F19" s="247">
        <f t="shared" si="0"/>
        <v>41.167969102054336</v>
      </c>
      <c r="G19" s="248">
        <f t="shared" si="1"/>
        <v>6.8356303253098957E+18</v>
      </c>
      <c r="H19" s="249">
        <f t="shared" si="10"/>
        <v>0.15758311553741483</v>
      </c>
      <c r="I19" s="248">
        <f>IF(MobilityModel=DK,CalcDeltaN(H19,SampleDoping,Thickness,AreaFrac),CalcDeltaNDL(H19,AreaFrac,Thickness,SampleType,SampleDoping,Temperature))</f>
        <v>5.0773485096633512E+16</v>
      </c>
      <c r="J19" s="248" t="str">
        <f t="shared" si="2"/>
        <v/>
      </c>
      <c r="K19" s="248">
        <f t="shared" si="11"/>
        <v>5.0773485096633512E+16</v>
      </c>
      <c r="L19" s="250">
        <f t="shared" si="15"/>
        <v>-1.373862532683911E+19</v>
      </c>
      <c r="M19" s="196" t="str">
        <f t="shared" si="3"/>
        <v/>
      </c>
      <c r="N19" s="196" t="str">
        <f t="shared" si="4"/>
        <v/>
      </c>
      <c r="O19" s="250">
        <f t="shared" si="5"/>
        <v>5.0773485096633512E+16</v>
      </c>
      <c r="P19" s="248">
        <f t="shared" si="16"/>
        <v>1.4212803995937404E-4</v>
      </c>
      <c r="Q19" s="250" t="str">
        <f t="shared" si="17"/>
        <v/>
      </c>
      <c r="R19" s="251" t="str">
        <f t="shared" si="18"/>
        <v/>
      </c>
      <c r="S19" s="252">
        <f>IF(AND(E19&gt;0.95*BiasLight,E19&lt;1.05*BiasLight),"",IF(AugerModel="Sinton",calclifetimeauger(Auger_Coefficient,I19,P19),calclifetimerichter(SampleType,I19,SampleDoping,P19)))</f>
        <v>2756.5176435758494</v>
      </c>
      <c r="T19" s="201" t="str">
        <f t="shared" si="19"/>
        <v/>
      </c>
      <c r="U19" s="252">
        <f t="shared" si="12"/>
        <v>-260175.82749253442</v>
      </c>
      <c r="V19" s="251" t="str">
        <f>IF(AugerModel="Sinton","",IF(SampleType="n-type",n_intr_boltzmann(SampleDoping,0,K19,Temperature+273.15),n_intr_boltzmann(0,SampleDoping,K19,Temperature+273.15)))</f>
        <v/>
      </c>
      <c r="W19" s="251" t="str">
        <f t="shared" si="13"/>
        <v/>
      </c>
      <c r="X19" s="246">
        <f>IF(AND(A19&gt;TimeofMaxCD,I19&gt;Traps),IF(AugerModel="Sinton",CalcImpliedV(SampleDoping,O19),CalcImpliedVRichter(O19,SampleDoping,V19)),"")</f>
        <v>0.80369250582883422</v>
      </c>
      <c r="Y19" s="253">
        <f t="shared" si="6"/>
        <v>42.81452785278578</v>
      </c>
      <c r="Z19" s="200" t="str">
        <f t="shared" si="7"/>
        <v/>
      </c>
      <c r="AA19" s="254">
        <v>75.441408999999993</v>
      </c>
      <c r="AB19" s="254">
        <v>148.09635600709825</v>
      </c>
      <c r="AC19" s="251">
        <f t="shared" si="14"/>
        <v>6.7523606046867891E-3</v>
      </c>
      <c r="AE19" s="251">
        <f t="shared" si="8"/>
        <v>973.54744190476026</v>
      </c>
    </row>
    <row r="20" spans="1:31" x14ac:dyDescent="0.2">
      <c r="A20" s="244">
        <v>1.1498999999999999E-3</v>
      </c>
      <c r="B20" s="244">
        <v>4.7764199999999999</v>
      </c>
      <c r="C20" s="245">
        <v>0.40786899999999998</v>
      </c>
      <c r="D20" s="246">
        <f>IF(CouplingMode="AC",B20-(A$11-A$10)*SUM(B$9:B20)/0.21,B20)</f>
        <v>4.7764199999999999</v>
      </c>
      <c r="E20" s="247">
        <f t="shared" si="9"/>
        <v>38.756144566742606</v>
      </c>
      <c r="F20" s="247">
        <f t="shared" si="0"/>
        <v>38.756144566742606</v>
      </c>
      <c r="G20" s="248">
        <f t="shared" si="1"/>
        <v>6.4351650778736159E+18</v>
      </c>
      <c r="H20" s="249">
        <f t="shared" si="10"/>
        <v>0.15286804714146646</v>
      </c>
      <c r="I20" s="248">
        <f>IF(MobilityModel=DK,CalcDeltaN(H20,SampleDoping,Thickness,AreaFrac),CalcDeltaNDL(H20,AreaFrac,Thickness,SampleType,SampleDoping,Temperature))</f>
        <v>4.8757879264362536E+16</v>
      </c>
      <c r="J20" s="248" t="str">
        <f t="shared" si="2"/>
        <v/>
      </c>
      <c r="K20" s="248">
        <f t="shared" si="11"/>
        <v>4.8757879264362536E+16</v>
      </c>
      <c r="L20" s="250">
        <f t="shared" si="15"/>
        <v>-1.8259046876800133E+19</v>
      </c>
      <c r="M20" s="196" t="str">
        <f t="shared" si="3"/>
        <v/>
      </c>
      <c r="N20" s="196" t="str">
        <f t="shared" si="4"/>
        <v/>
      </c>
      <c r="O20" s="250">
        <f t="shared" si="5"/>
        <v>4.8757879264362536E+16</v>
      </c>
      <c r="P20" s="248">
        <f t="shared" si="16"/>
        <v>1.4271955978045636E-4</v>
      </c>
      <c r="Q20" s="250" t="str">
        <f t="shared" si="17"/>
        <v/>
      </c>
      <c r="R20" s="251" t="str">
        <f t="shared" si="18"/>
        <v/>
      </c>
      <c r="S20" s="252">
        <f>IF(AND(E20&gt;0.95*BiasLight,E20&lt;1.05*BiasLight),"",IF(AugerModel="Sinton",calclifetimeauger(Auger_Coefficient,I20,P20),calclifetimerichter(SampleType,I20,SampleDoping,P20)))</f>
        <v>3060.3789577044386</v>
      </c>
      <c r="T20" s="201" t="str">
        <f t="shared" si="19"/>
        <v/>
      </c>
      <c r="U20" s="252">
        <f t="shared" si="12"/>
        <v>-249158.70401217404</v>
      </c>
      <c r="V20" s="251" t="str">
        <f>IF(AugerModel="Sinton","",IF(SampleType="n-type",n_intr_boltzmann(SampleDoping,0,K20,Temperature+273.15),n_intr_boltzmann(0,SampleDoping,K20,Temperature+273.15)))</f>
        <v/>
      </c>
      <c r="W20" s="251" t="str">
        <f t="shared" si="13"/>
        <v/>
      </c>
      <c r="X20" s="246">
        <f>IF(AND(A20&gt;TimeofMaxCD,I20&gt;Traps),IF(AugerModel="Sinton",CalcImpliedV(SampleDoping,O20),CalcImpliedVRichter(O20,SampleDoping,V20)),"")</f>
        <v>0.8017145347527953</v>
      </c>
      <c r="Y20" s="253">
        <f t="shared" si="6"/>
        <v>40.944470742017089</v>
      </c>
      <c r="Z20" s="200" t="str">
        <f t="shared" si="7"/>
        <v/>
      </c>
      <c r="AA20" s="254">
        <v>80.439930000000004</v>
      </c>
      <c r="AB20" s="254">
        <v>134.50246490751914</v>
      </c>
      <c r="AC20" s="251">
        <f t="shared" si="14"/>
        <v>7.4348079842817558E-3</v>
      </c>
      <c r="AE20" s="251">
        <f t="shared" si="8"/>
        <v>983.45914207572605</v>
      </c>
    </row>
    <row r="21" spans="1:31" x14ac:dyDescent="0.2">
      <c r="A21" s="244">
        <v>1.2499E-3</v>
      </c>
      <c r="B21" s="244">
        <v>4.6387900000000002</v>
      </c>
      <c r="C21" s="245">
        <v>0.38402999999999998</v>
      </c>
      <c r="D21" s="246">
        <f>IF(CouplingMode="AC",B21-(A$11-A$10)*SUM(B$9:B21)/0.21,B21)</f>
        <v>4.6387900000000002</v>
      </c>
      <c r="E21" s="247">
        <f t="shared" si="9"/>
        <v>36.490937526426777</v>
      </c>
      <c r="F21" s="247">
        <f t="shared" si="0"/>
        <v>36.490937526426777</v>
      </c>
      <c r="G21" s="248">
        <f t="shared" si="1"/>
        <v>6.0590445580708628E+18</v>
      </c>
      <c r="H21" s="249">
        <f t="shared" si="10"/>
        <v>0.14818005594442629</v>
      </c>
      <c r="I21" s="248">
        <f>IF(MobilityModel=DK,CalcDeltaN(H21,SampleDoping,Thickness,AreaFrac),CalcDeltaNDL(H21,AreaFrac,Thickness,SampleType,SampleDoping,Temperature))</f>
        <v>4.6784758491489496E+16</v>
      </c>
      <c r="J21" s="248" t="str">
        <f t="shared" si="2"/>
        <v/>
      </c>
      <c r="K21" s="248">
        <f t="shared" si="11"/>
        <v>4.6784758491489496E+16</v>
      </c>
      <c r="L21" s="250">
        <f t="shared" si="15"/>
        <v>-1.9363755081473704E+19</v>
      </c>
      <c r="M21" s="196" t="str">
        <f t="shared" si="3"/>
        <v/>
      </c>
      <c r="N21" s="196" t="str">
        <f t="shared" si="4"/>
        <v/>
      </c>
      <c r="O21" s="250">
        <f t="shared" si="5"/>
        <v>4.6784758491489496E+16</v>
      </c>
      <c r="P21" s="248">
        <f t="shared" si="16"/>
        <v>1.4446947875747663E-4</v>
      </c>
      <c r="Q21" s="250" t="str">
        <f t="shared" si="17"/>
        <v/>
      </c>
      <c r="R21" s="251" t="str">
        <f t="shared" si="18"/>
        <v/>
      </c>
      <c r="S21" s="252">
        <f>IF(AND(E21&gt;0.95*BiasLight,E21&lt;1.05*BiasLight),"",IF(AugerModel="Sinton",calclifetimeauger(Auger_Coefficient,I21,P21),calclifetimerichter(SampleType,I21,SampleDoping,P21)))</f>
        <v>3288.4466405568241</v>
      </c>
      <c r="T21" s="201" t="str">
        <f t="shared" si="19"/>
        <v/>
      </c>
      <c r="U21" s="252">
        <f t="shared" si="12"/>
        <v>-238373.80011461282</v>
      </c>
      <c r="V21" s="251" t="str">
        <f>IF(AugerModel="Sinton","",IF(SampleType="n-type",n_intr_boltzmann(SampleDoping,0,K21,Temperature+273.15),n_intr_boltzmann(0,SampleDoping,K21,Temperature+273.15)))</f>
        <v/>
      </c>
      <c r="W21" s="251" t="str">
        <f t="shared" si="13"/>
        <v/>
      </c>
      <c r="X21" s="246">
        <f>IF(AND(A21&gt;TimeofMaxCD,I21&gt;Traps),IF(AugerModel="Sinton",CalcImpliedV(SampleDoping,O21),CalcImpliedVRichter(O21,SampleDoping,V21)),"")</f>
        <v>0.7997013544799203</v>
      </c>
      <c r="Y21" s="253">
        <f t="shared" si="6"/>
        <v>38.81166173411988</v>
      </c>
      <c r="Z21" s="200" t="str">
        <f t="shared" si="7"/>
        <v/>
      </c>
      <c r="AA21" s="254">
        <v>85.464177000000007</v>
      </c>
      <c r="AB21" s="254">
        <v>123.36174290106487</v>
      </c>
      <c r="AC21" s="251">
        <f t="shared" si="14"/>
        <v>8.1062408529846402E-3</v>
      </c>
      <c r="AE21" s="251">
        <f t="shared" si="8"/>
        <v>993.50435304773418</v>
      </c>
    </row>
    <row r="22" spans="1:31" x14ac:dyDescent="0.2">
      <c r="A22" s="244">
        <v>1.3499E-3</v>
      </c>
      <c r="B22" s="244">
        <v>4.5032800000000002</v>
      </c>
      <c r="C22" s="245">
        <v>0.36186000000000001</v>
      </c>
      <c r="D22" s="246">
        <f>IF(CouplingMode="AC",B22-(A$11-A$10)*SUM(B$9:B22)/0.21,B22)</f>
        <v>4.5032800000000002</v>
      </c>
      <c r="E22" s="247">
        <f t="shared" si="9"/>
        <v>34.384320634619158</v>
      </c>
      <c r="F22" s="247">
        <f t="shared" si="0"/>
        <v>34.384320634619158</v>
      </c>
      <c r="G22" s="248">
        <f t="shared" si="1"/>
        <v>5.7092567345872015E+18</v>
      </c>
      <c r="H22" s="249">
        <f t="shared" si="10"/>
        <v>0.14358069404990448</v>
      </c>
      <c r="I22" s="248">
        <f>IF(MobilityModel=DK,CalcDeltaN(H22,SampleDoping,Thickness,AreaFrac),CalcDeltaNDL(H22,AreaFrac,Thickness,SampleType,SampleDoping,Temperature))</f>
        <v>4.487878794563816E+16</v>
      </c>
      <c r="J22" s="248" t="str">
        <f t="shared" si="2"/>
        <v/>
      </c>
      <c r="K22" s="248">
        <f t="shared" si="11"/>
        <v>4.487878794563816E+16</v>
      </c>
      <c r="L22" s="250">
        <f t="shared" si="15"/>
        <v>-1.8791949303445983E+19</v>
      </c>
      <c r="M22" s="196" t="str">
        <f t="shared" si="3"/>
        <v/>
      </c>
      <c r="N22" s="196" t="str">
        <f t="shared" si="4"/>
        <v/>
      </c>
      <c r="O22" s="250">
        <f t="shared" si="5"/>
        <v>4.487878794563816E+16</v>
      </c>
      <c r="P22" s="248">
        <f t="shared" si="16"/>
        <v>1.4681178556465188E-4</v>
      </c>
      <c r="Q22" s="250" t="str">
        <f t="shared" si="17"/>
        <v/>
      </c>
      <c r="R22" s="251" t="str">
        <f t="shared" si="18"/>
        <v/>
      </c>
      <c r="S22" s="252">
        <f>IF(AND(E22&gt;0.95*BiasLight,E22&lt;1.05*BiasLight),"",IF(AugerModel="Sinton",calclifetimeauger(Auger_Coefficient,I22,P22),calclifetimerichter(SampleType,I22,SampleDoping,P22)))</f>
        <v>3468.0269484595906</v>
      </c>
      <c r="T22" s="201" t="str">
        <f t="shared" si="19"/>
        <v/>
      </c>
      <c r="U22" s="252">
        <f t="shared" si="12"/>
        <v>-227955.93342789297</v>
      </c>
      <c r="V22" s="251" t="str">
        <f>IF(AugerModel="Sinton","",IF(SampleType="n-type",n_intr_boltzmann(SampleDoping,0,K22,Temperature+273.15),n_intr_boltzmann(0,SampleDoping,K22,Temperature+273.15)))</f>
        <v/>
      </c>
      <c r="W22" s="251" t="str">
        <f t="shared" si="13"/>
        <v/>
      </c>
      <c r="X22" s="246">
        <f>IF(AND(A22&gt;TimeofMaxCD,I22&gt;Traps),IF(AugerModel="Sinton",CalcImpliedV(SampleDoping,O22),CalcImpliedVRichter(O22,SampleDoping,V22)),"")</f>
        <v>0.79767854727225018</v>
      </c>
      <c r="Y22" s="253">
        <f t="shared" si="6"/>
        <v>36.63651456470938</v>
      </c>
      <c r="Z22" s="200" t="str">
        <f t="shared" si="7"/>
        <v/>
      </c>
      <c r="AA22" s="254">
        <v>90.457423000000006</v>
      </c>
      <c r="AB22" s="254">
        <v>114.31083543570352</v>
      </c>
      <c r="AC22" s="251">
        <f t="shared" si="14"/>
        <v>8.7480770846300963E-3</v>
      </c>
      <c r="AE22" s="251">
        <f t="shared" si="8"/>
        <v>1003.5507523914988</v>
      </c>
    </row>
    <row r="23" spans="1:31" x14ac:dyDescent="0.2">
      <c r="A23" s="244">
        <v>1.4499000000000001E-3</v>
      </c>
      <c r="B23" s="244">
        <v>4.3693999999999997</v>
      </c>
      <c r="C23" s="245">
        <v>0.34109699999999998</v>
      </c>
      <c r="D23" s="246">
        <f>IF(CouplingMode="AC",B23-(A$11-A$10)*SUM(B$9:B23)/0.21,B23)</f>
        <v>4.3693999999999997</v>
      </c>
      <c r="E23" s="247">
        <f t="shared" si="9"/>
        <v>32.411398373698916</v>
      </c>
      <c r="F23" s="247">
        <f t="shared" si="0"/>
        <v>32.411398373698916</v>
      </c>
      <c r="G23" s="248">
        <f t="shared" si="1"/>
        <v>5.381667894758996E+18</v>
      </c>
      <c r="H23" s="249">
        <f t="shared" si="10"/>
        <v>0.13905265330216221</v>
      </c>
      <c r="I23" s="248">
        <f>IF(MobilityModel=DK,CalcDeltaN(H23,SampleDoping,Thickness,AreaFrac),CalcDeltaNDL(H23,AreaFrac,Thickness,SampleType,SampleDoping,Temperature))</f>
        <v>4.3031153215258848E+16</v>
      </c>
      <c r="J23" s="248" t="str">
        <f t="shared" si="2"/>
        <v/>
      </c>
      <c r="K23" s="248">
        <f t="shared" si="11"/>
        <v>4.3031153215258848E+16</v>
      </c>
      <c r="L23" s="250">
        <f t="shared" si="15"/>
        <v>-1.8209250220156369E+19</v>
      </c>
      <c r="M23" s="196" t="str">
        <f t="shared" si="3"/>
        <v/>
      </c>
      <c r="N23" s="196" t="str">
        <f t="shared" si="4"/>
        <v/>
      </c>
      <c r="O23" s="250">
        <f t="shared" si="5"/>
        <v>4.3031153215258848E+16</v>
      </c>
      <c r="P23" s="248">
        <f t="shared" si="16"/>
        <v>1.4907994120486138E-4</v>
      </c>
      <c r="Q23" s="250" t="str">
        <f t="shared" si="17"/>
        <v/>
      </c>
      <c r="R23" s="251" t="str">
        <f t="shared" si="18"/>
        <v/>
      </c>
      <c r="S23" s="252">
        <f>IF(AND(E23&gt;0.95*BiasLight,E23&lt;1.05*BiasLight),"",IF(AugerModel="Sinton",calclifetimeauger(Auger_Coefficient,I23,P23),calclifetimerichter(SampleType,I23,SampleDoping,P23)))</f>
        <v>3634.0214897737237</v>
      </c>
      <c r="T23" s="201" t="str">
        <f t="shared" si="19"/>
        <v/>
      </c>
      <c r="U23" s="252">
        <f t="shared" si="12"/>
        <v>-217856.92515688762</v>
      </c>
      <c r="V23" s="251" t="str">
        <f>IF(AugerModel="Sinton","",IF(SampleType="n-type",n_intr_boltzmann(SampleDoping,0,K23,Temperature+273.15),n_intr_boltzmann(0,SampleDoping,K23,Temperature+273.15)))</f>
        <v/>
      </c>
      <c r="W23" s="251" t="str">
        <f t="shared" si="13"/>
        <v/>
      </c>
      <c r="X23" s="246">
        <f>IF(AND(A23&gt;TimeofMaxCD,I23&gt;Traps),IF(AugerModel="Sinton",CalcImpliedV(SampleDoping,O23),CalcImpliedVRichter(O23,SampleDoping,V23)),"")</f>
        <v>0.79563830116994128</v>
      </c>
      <c r="Y23" s="253">
        <f t="shared" si="6"/>
        <v>34.593756475836294</v>
      </c>
      <c r="Z23" s="200" t="str">
        <f t="shared" si="7"/>
        <v/>
      </c>
      <c r="AA23" s="254">
        <v>95.445974000000007</v>
      </c>
      <c r="AB23" s="254">
        <v>106.56239300774862</v>
      </c>
      <c r="AC23" s="251">
        <f t="shared" si="14"/>
        <v>9.3841736448925794E-3</v>
      </c>
      <c r="AE23" s="251">
        <f t="shared" si="8"/>
        <v>1013.6329202134806</v>
      </c>
    </row>
    <row r="24" spans="1:31" x14ac:dyDescent="0.2">
      <c r="A24" s="244">
        <v>1.5499000000000001E-3</v>
      </c>
      <c r="B24" s="244">
        <v>4.2370400000000004</v>
      </c>
      <c r="C24" s="245">
        <v>0.32154300000000002</v>
      </c>
      <c r="D24" s="246">
        <f>IF(CouplingMode="AC",B24-(A$11-A$10)*SUM(B$9:B24)/0.21,B24)</f>
        <v>4.2370400000000004</v>
      </c>
      <c r="E24" s="247">
        <f t="shared" si="9"/>
        <v>30.553356573861016</v>
      </c>
      <c r="F24" s="247">
        <f t="shared" si="0"/>
        <v>30.553356573861016</v>
      </c>
      <c r="G24" s="248">
        <f t="shared" si="1"/>
        <v>5.0731540877946501E+18</v>
      </c>
      <c r="H24" s="249">
        <f t="shared" si="10"/>
        <v>0.13459165200069206</v>
      </c>
      <c r="I24" s="248">
        <f>IF(MobilityModel=DK,CalcDeltaN(H24,SampleDoping,Thickness,AreaFrac),CalcDeltaNDL(H24,AreaFrac,Thickness,SampleType,SampleDoping,Temperature))</f>
        <v>4.1238707250754864E+16</v>
      </c>
      <c r="J24" s="248" t="str">
        <f t="shared" si="2"/>
        <v/>
      </c>
      <c r="K24" s="248">
        <f t="shared" si="11"/>
        <v>4.1238707250754864E+16</v>
      </c>
      <c r="L24" s="250">
        <f t="shared" si="15"/>
        <v>-1.7663312633918614E+19</v>
      </c>
      <c r="M24" s="196" t="str">
        <f t="shared" si="3"/>
        <v/>
      </c>
      <c r="N24" s="196" t="str">
        <f t="shared" si="4"/>
        <v/>
      </c>
      <c r="O24" s="250">
        <f t="shared" si="5"/>
        <v>4.1238707250754864E+16</v>
      </c>
      <c r="P24" s="248">
        <f t="shared" si="16"/>
        <v>1.5128158826291488E-4</v>
      </c>
      <c r="Q24" s="250" t="str">
        <f t="shared" si="17"/>
        <v/>
      </c>
      <c r="R24" s="251" t="str">
        <f t="shared" si="18"/>
        <v/>
      </c>
      <c r="S24" s="252">
        <f>IF(AND(E24&gt;0.95*BiasLight,E24&lt;1.05*BiasLight),"",IF(AugerModel="Sinton",calclifetimeauger(Auger_Coefficient,I24,P24),calclifetimerichter(SampleType,I24,SampleDoping,P24)))</f>
        <v>3787.1423032188982</v>
      </c>
      <c r="T24" s="201" t="str">
        <f t="shared" si="19"/>
        <v/>
      </c>
      <c r="U24" s="252">
        <f t="shared" si="12"/>
        <v>-208059.57380641822</v>
      </c>
      <c r="V24" s="251" t="str">
        <f>IF(AugerModel="Sinton","",IF(SampleType="n-type",n_intr_boltzmann(SampleDoping,0,K24,Temperature+273.15),n_intr_boltzmann(0,SampleDoping,K24,Temperature+273.15)))</f>
        <v/>
      </c>
      <c r="W24" s="251" t="str">
        <f t="shared" si="13"/>
        <v/>
      </c>
      <c r="X24" s="246">
        <f>IF(AND(A24&gt;TimeofMaxCD,I24&gt;Traps),IF(AugerModel="Sinton",CalcImpliedV(SampleDoping,O24),CalcImpliedVRichter(O24,SampleDoping,V24)),"")</f>
        <v>0.79357812790074078</v>
      </c>
      <c r="Y24" s="253">
        <f t="shared" si="6"/>
        <v>32.670284672006879</v>
      </c>
      <c r="Z24" s="200" t="str">
        <f t="shared" si="7"/>
        <v/>
      </c>
      <c r="AA24" s="254">
        <v>100.439252</v>
      </c>
      <c r="AB24" s="254">
        <v>99.557426474107885</v>
      </c>
      <c r="AC24" s="251">
        <f t="shared" si="14"/>
        <v>1.0044454094643277E-2</v>
      </c>
      <c r="AE24" s="251">
        <f t="shared" si="8"/>
        <v>1023.7584349564793</v>
      </c>
    </row>
    <row r="25" spans="1:31" x14ac:dyDescent="0.2">
      <c r="A25" s="244">
        <v>1.6498999999999999E-3</v>
      </c>
      <c r="B25" s="244">
        <v>4.1062200000000004</v>
      </c>
      <c r="C25" s="245">
        <v>0.30321399999999998</v>
      </c>
      <c r="D25" s="246">
        <f>IF(CouplingMode="AC",B25-(A$11-A$10)*SUM(B$9:B25)/0.21,B25)</f>
        <v>4.1062200000000004</v>
      </c>
      <c r="E25" s="247">
        <f t="shared" si="9"/>
        <v>28.811715572059391</v>
      </c>
      <c r="F25" s="247">
        <f t="shared" si="0"/>
        <v>28.811715572059391</v>
      </c>
      <c r="G25" s="248">
        <f t="shared" si="1"/>
        <v>4.7839677541621709E+18</v>
      </c>
      <c r="H25" s="249">
        <f t="shared" si="10"/>
        <v>0.13019782529927582</v>
      </c>
      <c r="I25" s="248">
        <f>IF(MobilityModel=DK,CalcDeltaN(H25,SampleDoping,Thickness,AreaFrac),CalcDeltaNDL(H25,AreaFrac,Thickness,SampleType,SampleDoping,Temperature))</f>
        <v>3.950017372885296E+16</v>
      </c>
      <c r="J25" s="248" t="str">
        <f t="shared" si="2"/>
        <v/>
      </c>
      <c r="K25" s="248">
        <f t="shared" si="11"/>
        <v>3.950017372885296E+16</v>
      </c>
      <c r="L25" s="250">
        <f t="shared" si="15"/>
        <v>-1.7114210078655359E+19</v>
      </c>
      <c r="M25" s="196" t="str">
        <f t="shared" si="3"/>
        <v/>
      </c>
      <c r="N25" s="196" t="str">
        <f t="shared" si="4"/>
        <v/>
      </c>
      <c r="O25" s="250">
        <f t="shared" si="5"/>
        <v>3.950017372885296E+16</v>
      </c>
      <c r="P25" s="248">
        <f t="shared" si="16"/>
        <v>1.5339003601929477E-4</v>
      </c>
      <c r="Q25" s="250" t="str">
        <f t="shared" si="17"/>
        <v/>
      </c>
      <c r="R25" s="251" t="str">
        <f t="shared" si="18"/>
        <v/>
      </c>
      <c r="S25" s="252">
        <f>IF(AND(E25&gt;0.95*BiasLight,E25&lt;1.05*BiasLight),"",IF(AugerModel="Sinton",calclifetimeauger(Auger_Coefficient,I25,P25),calclifetimerichter(SampleType,I25,SampleDoping,P25)))</f>
        <v>3929.2904991638511</v>
      </c>
      <c r="T25" s="201" t="str">
        <f t="shared" si="19"/>
        <v/>
      </c>
      <c r="U25" s="252">
        <f t="shared" si="12"/>
        <v>-198556.90310618575</v>
      </c>
      <c r="V25" s="251" t="str">
        <f>IF(AugerModel="Sinton","",IF(SampleType="n-type",n_intr_boltzmann(SampleDoping,0,K25,Temperature+273.15),n_intr_boltzmann(0,SampleDoping,K25,Temperature+273.15)))</f>
        <v/>
      </c>
      <c r="W25" s="251" t="str">
        <f t="shared" si="13"/>
        <v/>
      </c>
      <c r="X25" s="246">
        <f>IF(AND(A25&gt;TimeofMaxCD,I25&gt;Traps),IF(AugerModel="Sinton",CalcImpliedV(SampleDoping,O25),CalcImpliedVRichter(O25,SampleDoping,V25)),"")</f>
        <v>0.7914974313243629</v>
      </c>
      <c r="Y25" s="253">
        <f t="shared" si="6"/>
        <v>30.862834348245546</v>
      </c>
      <c r="Z25" s="200" t="str">
        <f t="shared" si="7"/>
        <v/>
      </c>
      <c r="AA25" s="254">
        <v>105.532697</v>
      </c>
      <c r="AB25" s="254">
        <v>93.924023141841204</v>
      </c>
      <c r="AC25" s="251">
        <f t="shared" si="14"/>
        <v>1.0646903385833786E-2</v>
      </c>
      <c r="AE25" s="251">
        <f t="shared" si="8"/>
        <v>1033.9252375745427</v>
      </c>
    </row>
    <row r="26" spans="1:31" x14ac:dyDescent="0.2">
      <c r="A26" s="244">
        <v>1.7499E-3</v>
      </c>
      <c r="B26" s="244">
        <v>3.9768300000000001</v>
      </c>
      <c r="C26" s="245">
        <v>0.28594000000000003</v>
      </c>
      <c r="D26" s="246">
        <f>IF(CouplingMode="AC",B26-(A$11-A$10)*SUM(B$9:B26)/0.21,B26)</f>
        <v>3.9768300000000001</v>
      </c>
      <c r="E26" s="247">
        <f t="shared" si="9"/>
        <v>27.170321788158411</v>
      </c>
      <c r="F26" s="247">
        <f t="shared" si="0"/>
        <v>27.170321788158411</v>
      </c>
      <c r="G26" s="248">
        <f t="shared" si="1"/>
        <v>4.5114267138889743E+18</v>
      </c>
      <c r="H26" s="249">
        <f t="shared" si="10"/>
        <v>0.12586696149690096</v>
      </c>
      <c r="I26" s="248">
        <f>IF(MobilityModel=DK,CalcDeltaN(H26,SampleDoping,Thickness,AreaFrac),CalcDeltaNDL(H26,AreaFrac,Thickness,SampleType,SampleDoping,Temperature))</f>
        <v>3.78126213718818E+16</v>
      </c>
      <c r="J26" s="248" t="str">
        <f t="shared" si="2"/>
        <v/>
      </c>
      <c r="K26" s="248">
        <f t="shared" si="11"/>
        <v>3.78126213718818E+16</v>
      </c>
      <c r="L26" s="250">
        <f t="shared" si="15"/>
        <v>-1.6584996375638192E+19</v>
      </c>
      <c r="M26" s="196" t="str">
        <f t="shared" si="3"/>
        <v/>
      </c>
      <c r="N26" s="196" t="str">
        <f t="shared" si="4"/>
        <v/>
      </c>
      <c r="O26" s="250">
        <f t="shared" si="5"/>
        <v>3.78126213718818E+16</v>
      </c>
      <c r="P26" s="248">
        <f t="shared" si="16"/>
        <v>1.5542210405339074E-4</v>
      </c>
      <c r="Q26" s="250" t="str">
        <f t="shared" si="17"/>
        <v/>
      </c>
      <c r="R26" s="251" t="str">
        <f t="shared" si="18"/>
        <v/>
      </c>
      <c r="S26" s="252">
        <f>IF(AND(E26&gt;0.95*BiasLight,E26&lt;1.05*BiasLight),"",IF(AugerModel="Sinton",calclifetimeauger(Auger_Coefficient,I26,P26),calclifetimerichter(SampleType,I26,SampleDoping,P26)))</f>
        <v>4060.6326555089063</v>
      </c>
      <c r="T26" s="201" t="str">
        <f t="shared" si="19"/>
        <v/>
      </c>
      <c r="U26" s="252">
        <f t="shared" si="12"/>
        <v>-189332.89095130083</v>
      </c>
      <c r="V26" s="251" t="str">
        <f>IF(AugerModel="Sinton","",IF(SampleType="n-type",n_intr_boltzmann(SampleDoping,0,K26,Temperature+273.15),n_intr_boltzmann(0,SampleDoping,K26,Temperature+273.15)))</f>
        <v/>
      </c>
      <c r="W26" s="251" t="str">
        <f t="shared" si="13"/>
        <v/>
      </c>
      <c r="X26" s="246">
        <f>IF(AND(A26&gt;TimeofMaxCD,I26&gt;Traps),IF(AugerModel="Sinton",CalcImpliedV(SampleDoping,O26),CalcImpliedVRichter(O26,SampleDoping,V26)),"")</f>
        <v>0.78939344690688729</v>
      </c>
      <c r="Y26" s="253">
        <f t="shared" si="6"/>
        <v>29.158014898895519</v>
      </c>
      <c r="Z26" s="200" t="str">
        <f t="shared" si="7"/>
        <v/>
      </c>
      <c r="AA26" s="254">
        <v>110.37857200000001</v>
      </c>
      <c r="AB26" s="254">
        <v>89.146194899335541</v>
      </c>
      <c r="AC26" s="251">
        <f t="shared" si="14"/>
        <v>1.1217528702478064E-2</v>
      </c>
      <c r="AE26" s="251">
        <f t="shared" si="8"/>
        <v>1044.1415400153287</v>
      </c>
    </row>
    <row r="27" spans="1:31" x14ac:dyDescent="0.2">
      <c r="A27" s="244">
        <v>1.8499E-3</v>
      </c>
      <c r="B27" s="244">
        <v>3.84985</v>
      </c>
      <c r="C27" s="245">
        <v>0.26969900000000002</v>
      </c>
      <c r="D27" s="246">
        <f>IF(CouplingMode="AC",B27-(A$11-A$10)*SUM(B$9:B27)/0.21,B27)</f>
        <v>3.84985</v>
      </c>
      <c r="E27" s="247">
        <f t="shared" si="9"/>
        <v>25.627084758846383</v>
      </c>
      <c r="F27" s="247">
        <f t="shared" si="0"/>
        <v>25.627084758846383</v>
      </c>
      <c r="G27" s="248">
        <f t="shared" si="1"/>
        <v>4.2551838613315461E+18</v>
      </c>
      <c r="H27" s="249">
        <f t="shared" si="10"/>
        <v>0.12163120308349919</v>
      </c>
      <c r="I27" s="248">
        <f>IF(MobilityModel=DK,CalcDeltaN(H27,SampleDoping,Thickness,AreaFrac),CalcDeltaNDL(H27,AreaFrac,Thickness,SampleType,SampleDoping,Temperature))</f>
        <v>3.6187091115367704E+16</v>
      </c>
      <c r="J27" s="248" t="str">
        <f t="shared" si="2"/>
        <v/>
      </c>
      <c r="K27" s="248">
        <f t="shared" si="11"/>
        <v>3.6187091115367704E+16</v>
      </c>
      <c r="L27" s="250">
        <f t="shared" si="15"/>
        <v>-1.6034950786896022E+19</v>
      </c>
      <c r="M27" s="196" t="str">
        <f t="shared" si="3"/>
        <v/>
      </c>
      <c r="N27" s="196" t="str">
        <f t="shared" si="4"/>
        <v/>
      </c>
      <c r="O27" s="250">
        <f t="shared" si="5"/>
        <v>3.6187091115367704E+16</v>
      </c>
      <c r="P27" s="248">
        <f t="shared" si="16"/>
        <v>1.5742875610768047E-4</v>
      </c>
      <c r="Q27" s="250" t="str">
        <f t="shared" si="17"/>
        <v/>
      </c>
      <c r="R27" s="251" t="str">
        <f t="shared" si="18"/>
        <v/>
      </c>
      <c r="S27" s="252">
        <f>IF(AND(E27&gt;0.95*BiasLight,E27&lt;1.05*BiasLight),"",IF(AugerModel="Sinton",calclifetimeauger(Auger_Coefficient,I27,P27),calclifetimerichter(SampleType,I27,SampleDoping,P27)))</f>
        <v>4178.300427496366</v>
      </c>
      <c r="T27" s="201" t="str">
        <f t="shared" si="19"/>
        <v/>
      </c>
      <c r="U27" s="252">
        <f t="shared" si="12"/>
        <v>-180447.88612032152</v>
      </c>
      <c r="V27" s="251" t="str">
        <f>IF(AugerModel="Sinton","",IF(SampleType="n-type",n_intr_boltzmann(SampleDoping,0,K27,Temperature+273.15),n_intr_boltzmann(0,SampleDoping,K27,Temperature+273.15)))</f>
        <v/>
      </c>
      <c r="W27" s="251" t="str">
        <f t="shared" si="13"/>
        <v/>
      </c>
      <c r="X27" s="246">
        <f>IF(AND(A27&gt;TimeofMaxCD,I27&gt;Traps),IF(AugerModel="Sinton",CalcImpliedV(SampleDoping,O27),CalcImpliedVRichter(O27,SampleDoping,V27)),"")</f>
        <v>0.78728151817267766</v>
      </c>
      <c r="Y27" s="253">
        <f t="shared" si="6"/>
        <v>27.54885552612491</v>
      </c>
      <c r="Z27" s="200" t="str">
        <f t="shared" si="7"/>
        <v/>
      </c>
      <c r="AA27" s="254">
        <v>115.414168</v>
      </c>
      <c r="AB27" s="254">
        <v>84.784474294357636</v>
      </c>
      <c r="AC27" s="251">
        <f t="shared" si="14"/>
        <v>1.179461226035519E-2</v>
      </c>
      <c r="AE27" s="251">
        <f t="shared" si="8"/>
        <v>1054.3280001806297</v>
      </c>
    </row>
    <row r="28" spans="1:31" x14ac:dyDescent="0.2">
      <c r="A28" s="244">
        <v>1.9499000000000001E-3</v>
      </c>
      <c r="B28" s="244">
        <v>3.72377</v>
      </c>
      <c r="C28" s="245">
        <v>0.25451099999999999</v>
      </c>
      <c r="D28" s="246">
        <f>IF(CouplingMode="AC",B28-(A$11-A$10)*SUM(B$9:B28)/0.21,B28)</f>
        <v>3.72377</v>
      </c>
      <c r="E28" s="247">
        <f t="shared" si="9"/>
        <v>24.183904905315742</v>
      </c>
      <c r="F28" s="247">
        <f t="shared" si="0"/>
        <v>24.183904905315742</v>
      </c>
      <c r="G28" s="248">
        <f t="shared" si="1"/>
        <v>4.0155547470748984E+18</v>
      </c>
      <c r="H28" s="249">
        <f t="shared" si="10"/>
        <v>0.11743961846327021</v>
      </c>
      <c r="I28" s="248">
        <f>IF(MobilityModel=DK,CalcDeltaN(H28,SampleDoping,Thickness,AreaFrac),CalcDeltaNDL(H28,AreaFrac,Thickness,SampleType,SampleDoping,Temperature))</f>
        <v>3.4602750369678396E+16</v>
      </c>
      <c r="J28" s="248" t="str">
        <f t="shared" si="2"/>
        <v/>
      </c>
      <c r="K28" s="248">
        <f t="shared" si="11"/>
        <v>3.4602750369678396E+16</v>
      </c>
      <c r="L28" s="250">
        <f t="shared" si="15"/>
        <v>-1.5487243465194514E+19</v>
      </c>
      <c r="M28" s="196" t="str">
        <f t="shared" si="3"/>
        <v/>
      </c>
      <c r="N28" s="196" t="str">
        <f t="shared" si="4"/>
        <v/>
      </c>
      <c r="O28" s="250">
        <f t="shared" si="5"/>
        <v>3.4602750369678396E+16</v>
      </c>
      <c r="P28" s="248">
        <f t="shared" si="16"/>
        <v>1.5925865054472268E-4</v>
      </c>
      <c r="Q28" s="250" t="str">
        <f t="shared" si="17"/>
        <v/>
      </c>
      <c r="R28" s="251" t="str">
        <f t="shared" si="18"/>
        <v/>
      </c>
      <c r="S28" s="252">
        <f>IF(AND(E28&gt;0.95*BiasLight,E28&lt;1.05*BiasLight),"",IF(AugerModel="Sinton",calclifetimeauger(Auger_Coefficient,I28,P28),calclifetimerichter(SampleType,I28,SampleDoping,P28)))</f>
        <v>4291.4922141266243</v>
      </c>
      <c r="T28" s="201" t="str">
        <f t="shared" si="19"/>
        <v/>
      </c>
      <c r="U28" s="252">
        <f t="shared" si="12"/>
        <v>-171788.01951805089</v>
      </c>
      <c r="V28" s="251" t="str">
        <f>IF(AugerModel="Sinton","",IF(SampleType="n-type",n_intr_boltzmann(SampleDoping,0,K28,Temperature+273.15),n_intr_boltzmann(0,SampleDoping,K28,Temperature+273.15)))</f>
        <v/>
      </c>
      <c r="W28" s="251" t="str">
        <f t="shared" si="13"/>
        <v/>
      </c>
      <c r="X28" s="246">
        <f>IF(AND(A28&gt;TimeofMaxCD,I28&gt;Traps),IF(AugerModel="Sinton",CalcImpliedV(SampleDoping,O28),CalcImpliedVRichter(O28,SampleDoping,V28)),"")</f>
        <v>0.78513558545129591</v>
      </c>
      <c r="Y28" s="253">
        <f t="shared" si="6"/>
        <v>26.040033567803363</v>
      </c>
      <c r="Z28" s="200" t="str">
        <f t="shared" si="7"/>
        <v/>
      </c>
      <c r="AA28" s="254">
        <v>120.43200899999999</v>
      </c>
      <c r="AB28" s="254">
        <v>81.005726711876193</v>
      </c>
      <c r="AC28" s="251">
        <f t="shared" si="14"/>
        <v>1.2344806232735032E-2</v>
      </c>
      <c r="AE28" s="251">
        <f t="shared" si="8"/>
        <v>1064.6048094309717</v>
      </c>
    </row>
    <row r="29" spans="1:31" x14ac:dyDescent="0.2">
      <c r="A29" s="244">
        <v>2.0498999999999999E-3</v>
      </c>
      <c r="B29" s="244">
        <v>3.6009600000000002</v>
      </c>
      <c r="C29" s="245">
        <v>0.24026800000000001</v>
      </c>
      <c r="D29" s="246">
        <f>IF(CouplingMode="AC",B29-(A$11-A$10)*SUM(B$9:B29)/0.21,B29)</f>
        <v>3.6009600000000002</v>
      </c>
      <c r="E29" s="247">
        <f t="shared" si="9"/>
        <v>22.830519953127386</v>
      </c>
      <c r="F29" s="247">
        <f t="shared" si="0"/>
        <v>22.830519953127386</v>
      </c>
      <c r="G29" s="248">
        <f t="shared" si="1"/>
        <v>3.790835397959978E+18</v>
      </c>
      <c r="H29" s="249">
        <f t="shared" si="10"/>
        <v>0.11337030410704722</v>
      </c>
      <c r="I29" s="248">
        <f>IF(MobilityModel=DK,CalcDeltaN(H29,SampleDoping,Thickness,AreaFrac),CalcDeltaNDL(H29,AreaFrac,Thickness,SampleType,SampleDoping,Temperature))</f>
        <v>3.3087633836506652E+16</v>
      </c>
      <c r="J29" s="248" t="str">
        <f t="shared" si="2"/>
        <v/>
      </c>
      <c r="K29" s="248">
        <f t="shared" si="11"/>
        <v>3.3087633836506652E+16</v>
      </c>
      <c r="L29" s="250">
        <f t="shared" si="15"/>
        <v>-1.497225270113391E+19</v>
      </c>
      <c r="M29" s="196" t="str">
        <f t="shared" si="3"/>
        <v/>
      </c>
      <c r="N29" s="196" t="str">
        <f t="shared" si="4"/>
        <v/>
      </c>
      <c r="O29" s="250">
        <f t="shared" si="5"/>
        <v>3.3087633836506652E+16</v>
      </c>
      <c r="P29" s="248">
        <f t="shared" si="16"/>
        <v>1.6103664020258746E-4</v>
      </c>
      <c r="Q29" s="250" t="str">
        <f t="shared" si="17"/>
        <v/>
      </c>
      <c r="R29" s="251" t="str">
        <f t="shared" si="18"/>
        <v/>
      </c>
      <c r="S29" s="252">
        <f>IF(AND(E29&gt;0.95*BiasLight,E29&lt;1.05*BiasLight),"",IF(AugerModel="Sinton",calclifetimeauger(Auger_Coefficient,I29,P29),calclifetimerichter(SampleType,I29,SampleDoping,P29)))</f>
        <v>4392.4130009005885</v>
      </c>
      <c r="T29" s="201" t="str">
        <f t="shared" si="19"/>
        <v/>
      </c>
      <c r="U29" s="252">
        <f t="shared" si="12"/>
        <v>-163506.52634818762</v>
      </c>
      <c r="V29" s="251" t="str">
        <f>IF(AugerModel="Sinton","",IF(SampleType="n-type",n_intr_boltzmann(SampleDoping,0,K29,Temperature+273.15),n_intr_boltzmann(0,SampleDoping,K29,Temperature+273.15)))</f>
        <v/>
      </c>
      <c r="W29" s="251" t="str">
        <f t="shared" si="13"/>
        <v/>
      </c>
      <c r="X29" s="246">
        <f>IF(AND(A29&gt;TimeofMaxCD,I29&gt;Traps),IF(AugerModel="Sinton",CalcImpliedV(SampleDoping,O29),CalcImpliedVRichter(O29,SampleDoping,V29)),"")</f>
        <v>0.78299552894616953</v>
      </c>
      <c r="Y29" s="253">
        <f t="shared" si="6"/>
        <v>24.624927553359001</v>
      </c>
      <c r="Z29" s="200" t="str">
        <f t="shared" si="7"/>
        <v/>
      </c>
      <c r="AA29" s="254">
        <v>125.43118</v>
      </c>
      <c r="AB29" s="254">
        <v>77.809397610286311</v>
      </c>
      <c r="AC29" s="251">
        <f t="shared" si="14"/>
        <v>1.2851918029343556E-2</v>
      </c>
      <c r="AE29" s="251">
        <f t="shared" si="8"/>
        <v>1074.7761298622663</v>
      </c>
    </row>
    <row r="30" spans="1:31" x14ac:dyDescent="0.2">
      <c r="A30" s="244">
        <v>2.1499000000000002E-3</v>
      </c>
      <c r="B30" s="244">
        <v>3.4797099999999999</v>
      </c>
      <c r="C30" s="245">
        <v>0.22689899999999999</v>
      </c>
      <c r="D30" s="246">
        <f>IF(CouplingMode="AC",B30-(A$11-A$10)*SUM(B$9:B30)/0.21,B30)</f>
        <v>3.4797099999999999</v>
      </c>
      <c r="E30" s="247">
        <f t="shared" si="9"/>
        <v>21.560183407048171</v>
      </c>
      <c r="F30" s="247">
        <f t="shared" si="0"/>
        <v>21.560183407048171</v>
      </c>
      <c r="G30" s="248">
        <f t="shared" si="1"/>
        <v>3.5799056094099958E+18</v>
      </c>
      <c r="H30" s="249">
        <f t="shared" si="10"/>
        <v>0.10936580612362906</v>
      </c>
      <c r="I30" s="248">
        <f>IF(MobilityModel=DK,CalcDeltaN(H30,SampleDoping,Thickness,AreaFrac),CalcDeltaNDL(H30,AreaFrac,Thickness,SampleType,SampleDoping,Temperature))</f>
        <v>3.1618728278715068E+16</v>
      </c>
      <c r="J30" s="248" t="str">
        <f t="shared" si="2"/>
        <v/>
      </c>
      <c r="K30" s="248">
        <f t="shared" si="11"/>
        <v>3.1618728278715068E+16</v>
      </c>
      <c r="L30" s="250">
        <f t="shared" si="15"/>
        <v>-1.4455086230156712E+19</v>
      </c>
      <c r="M30" s="196" t="str">
        <f t="shared" si="3"/>
        <v/>
      </c>
      <c r="N30" s="196" t="str">
        <f t="shared" si="4"/>
        <v/>
      </c>
      <c r="O30" s="250">
        <f t="shared" si="5"/>
        <v>3.1618728278715068E+16</v>
      </c>
      <c r="P30" s="248">
        <f t="shared" si="16"/>
        <v>1.6268975679088524E-4</v>
      </c>
      <c r="Q30" s="250" t="str">
        <f t="shared" si="17"/>
        <v/>
      </c>
      <c r="R30" s="251" t="str">
        <f t="shared" si="18"/>
        <v/>
      </c>
      <c r="S30" s="252">
        <f>IF(AND(E30&gt;0.95*BiasLight,E30&lt;1.05*BiasLight),"",IF(AugerModel="Sinton",calclifetimeauger(Auger_Coefficient,I30,P30),calclifetimerichter(SampleType,I30,SampleDoping,P30)))</f>
        <v>4487.093476056134</v>
      </c>
      <c r="T30" s="201" t="str">
        <f t="shared" si="19"/>
        <v/>
      </c>
      <c r="U30" s="252">
        <f t="shared" si="12"/>
        <v>-155477.61828884546</v>
      </c>
      <c r="V30" s="251" t="str">
        <f>IF(AugerModel="Sinton","",IF(SampleType="n-type",n_intr_boltzmann(SampleDoping,0,K30,Temperature+273.15),n_intr_boltzmann(0,SampleDoping,K30,Temperature+273.15)))</f>
        <v/>
      </c>
      <c r="W30" s="251" t="str">
        <f t="shared" si="13"/>
        <v/>
      </c>
      <c r="X30" s="246">
        <f>IF(AND(A30&gt;TimeofMaxCD,I30&gt;Traps),IF(AugerModel="Sinton",CalcImpliedV(SampleDoping,O30),CalcImpliedVRichter(O30,SampleDoping,V30)),"")</f>
        <v>0.78083146835970207</v>
      </c>
      <c r="Y30" s="253">
        <f t="shared" si="6"/>
        <v>23.29260918900362</v>
      </c>
      <c r="Z30" s="200" t="str">
        <f t="shared" si="7"/>
        <v/>
      </c>
      <c r="AA30" s="254">
        <v>130.38081299999999</v>
      </c>
      <c r="AB30" s="254">
        <v>74.589379511139683</v>
      </c>
      <c r="AC30" s="251">
        <f t="shared" si="14"/>
        <v>1.3406734397765747E-2</v>
      </c>
      <c r="AE30" s="251">
        <f t="shared" si="8"/>
        <v>1084.9795982732098</v>
      </c>
    </row>
    <row r="31" spans="1:31" x14ac:dyDescent="0.2">
      <c r="A31" s="244">
        <v>2.2499E-3</v>
      </c>
      <c r="B31" s="244">
        <v>3.3598699999999999</v>
      </c>
      <c r="C31" s="245">
        <v>0.21440500000000001</v>
      </c>
      <c r="D31" s="246">
        <f>IF(CouplingMode="AC",B31-(A$11-A$10)*SUM(B$9:B31)/0.21,B31)</f>
        <v>3.3598699999999999</v>
      </c>
      <c r="E31" s="247">
        <f t="shared" si="9"/>
        <v>20.372990288137732</v>
      </c>
      <c r="F31" s="247">
        <f t="shared" si="0"/>
        <v>20.372990288137732</v>
      </c>
      <c r="G31" s="248">
        <f t="shared" si="1"/>
        <v>3.3827811589542047E+18</v>
      </c>
      <c r="H31" s="249">
        <f t="shared" si="10"/>
        <v>0.10542069111156034</v>
      </c>
      <c r="I31" s="248">
        <f>IF(MobilityModel=DK,CalcDeltaN(H31,SampleDoping,Thickness,AreaFrac),CalcDeltaNDL(H31,AreaFrac,Thickness,SampleType,SampleDoping,Temperature))</f>
        <v>3.0192975810282412E+16</v>
      </c>
      <c r="J31" s="248" t="str">
        <f t="shared" si="2"/>
        <v/>
      </c>
      <c r="K31" s="248">
        <f t="shared" si="11"/>
        <v>3.0192975810282412E+16</v>
      </c>
      <c r="L31" s="250">
        <f t="shared" si="15"/>
        <v>-1.3980324642666441E+19</v>
      </c>
      <c r="M31" s="196" t="str">
        <f t="shared" si="3"/>
        <v/>
      </c>
      <c r="N31" s="196" t="str">
        <f t="shared" si="4"/>
        <v/>
      </c>
      <c r="O31" s="250">
        <f t="shared" si="5"/>
        <v>3.0192975810282412E+16</v>
      </c>
      <c r="P31" s="248">
        <f t="shared" si="16"/>
        <v>1.6411961821743783E-4</v>
      </c>
      <c r="Q31" s="250" t="str">
        <f t="shared" si="17"/>
        <v/>
      </c>
      <c r="R31" s="251" t="str">
        <f t="shared" si="18"/>
        <v/>
      </c>
      <c r="S31" s="252">
        <f>IF(AND(E31&gt;0.95*BiasLight,E31&lt;1.05*BiasLight),"",IF(AugerModel="Sinton",calclifetimeauger(Auger_Coefficient,I31,P31),calclifetimerichter(SampleType,I31,SampleDoping,P31)))</f>
        <v>4579.8345733565839</v>
      </c>
      <c r="T31" s="201" t="str">
        <f t="shared" si="19"/>
        <v/>
      </c>
      <c r="U31" s="252">
        <f t="shared" si="12"/>
        <v>-147684.58120507529</v>
      </c>
      <c r="V31" s="251" t="str">
        <f>IF(AugerModel="Sinton","",IF(SampleType="n-type",n_intr_boltzmann(SampleDoping,0,K31,Temperature+273.15),n_intr_boltzmann(0,SampleDoping,K31,Temperature+273.15)))</f>
        <v/>
      </c>
      <c r="W31" s="251" t="str">
        <f t="shared" si="13"/>
        <v/>
      </c>
      <c r="X31" s="246">
        <f>IF(AND(A31&gt;TimeofMaxCD,I31&gt;Traps),IF(AugerModel="Sinton",CalcImpliedV(SampleDoping,O31),CalcImpliedVRichter(O31,SampleDoping,V31)),"")</f>
        <v>0.77863943961427284</v>
      </c>
      <c r="Y31" s="253">
        <f t="shared" si="6"/>
        <v>22.048516429277871</v>
      </c>
      <c r="Z31" s="200" t="str">
        <f t="shared" si="7"/>
        <v/>
      </c>
      <c r="AA31" s="254">
        <v>135.37871899999999</v>
      </c>
      <c r="AB31" s="254">
        <v>72.14800624853477</v>
      </c>
      <c r="AC31" s="251">
        <f t="shared" si="14"/>
        <v>1.3860396870222712E-2</v>
      </c>
      <c r="AE31" s="251">
        <f t="shared" si="8"/>
        <v>1095.2275299046503</v>
      </c>
    </row>
    <row r="32" spans="1:31" x14ac:dyDescent="0.2">
      <c r="A32" s="244">
        <v>2.3498999999999998E-3</v>
      </c>
      <c r="B32" s="244">
        <v>3.2425899999999999</v>
      </c>
      <c r="C32" s="245">
        <v>0.202567</v>
      </c>
      <c r="D32" s="246">
        <f>IF(CouplingMode="AC",B32-(A$11-A$10)*SUM(B$9:B32)/0.21,B32)</f>
        <v>3.2425899999999999</v>
      </c>
      <c r="E32" s="247">
        <f t="shared" si="9"/>
        <v>19.248130984338967</v>
      </c>
      <c r="F32" s="247">
        <f t="shared" si="0"/>
        <v>19.248130984338967</v>
      </c>
      <c r="G32" s="248">
        <f t="shared" si="1"/>
        <v>3.1960067676867446E+18</v>
      </c>
      <c r="H32" s="249">
        <f t="shared" si="10"/>
        <v>0.10157218584606729</v>
      </c>
      <c r="I32" s="248">
        <f>IF(MobilityModel=DK,CalcDeltaN(H32,SampleDoping,Thickness,AreaFrac),CalcDeltaNDL(H32,AreaFrac,Thickness,SampleType,SampleDoping,Temperature))</f>
        <v>2.8822536267712164E+16</v>
      </c>
      <c r="J32" s="248" t="str">
        <f t="shared" si="2"/>
        <v/>
      </c>
      <c r="K32" s="248">
        <f t="shared" si="11"/>
        <v>2.8822536267712164E+16</v>
      </c>
      <c r="L32" s="250">
        <f t="shared" si="15"/>
        <v>-1.3488164494282134E+19</v>
      </c>
      <c r="M32" s="196" t="str">
        <f t="shared" si="3"/>
        <v/>
      </c>
      <c r="N32" s="196" t="str">
        <f t="shared" si="4"/>
        <v/>
      </c>
      <c r="O32" s="250">
        <f t="shared" si="5"/>
        <v>2.8822536267712164E+16</v>
      </c>
      <c r="P32" s="248">
        <f t="shared" si="16"/>
        <v>1.6555967990242301E-4</v>
      </c>
      <c r="Q32" s="250" t="str">
        <f t="shared" si="17"/>
        <v/>
      </c>
      <c r="R32" s="251" t="str">
        <f t="shared" si="18"/>
        <v/>
      </c>
      <c r="S32" s="252">
        <f>IF(AND(E32&gt;0.95*BiasLight,E32&lt;1.05*BiasLight),"",IF(AugerModel="Sinton",calclifetimeauger(Auger_Coefficient,I32,P32),calclifetimerichter(SampleType,I32,SampleDoping,P32)))</f>
        <v>4661.0919131164437</v>
      </c>
      <c r="T32" s="201" t="str">
        <f t="shared" si="19"/>
        <v/>
      </c>
      <c r="U32" s="252">
        <f t="shared" si="12"/>
        <v>-140193.87968936583</v>
      </c>
      <c r="V32" s="251" t="str">
        <f>IF(AugerModel="Sinton","",IF(SampleType="n-type",n_intr_boltzmann(SampleDoping,0,K32,Temperature+273.15),n_intr_boltzmann(0,SampleDoping,K32,Temperature+273.15)))</f>
        <v/>
      </c>
      <c r="W32" s="251" t="str">
        <f t="shared" si="13"/>
        <v/>
      </c>
      <c r="X32" s="246">
        <f>IF(AND(A32&gt;TimeofMaxCD,I32&gt;Traps),IF(AugerModel="Sinton",CalcImpliedV(SampleDoping,O32),CalcImpliedVRichter(O32,SampleDoping,V32)),"")</f>
        <v>0.77643980311742522</v>
      </c>
      <c r="Y32" s="253">
        <f t="shared" si="6"/>
        <v>20.864672286763081</v>
      </c>
      <c r="Z32" s="200" t="str">
        <f t="shared" si="7"/>
        <v/>
      </c>
      <c r="AA32" s="254">
        <v>140.399551</v>
      </c>
      <c r="AB32" s="254">
        <v>69.778635882549878</v>
      </c>
      <c r="AC32" s="251">
        <f t="shared" si="14"/>
        <v>1.4331033952615263E-2</v>
      </c>
      <c r="AE32" s="251">
        <f t="shared" si="8"/>
        <v>1105.4192319950012</v>
      </c>
    </row>
    <row r="33" spans="1:31" x14ac:dyDescent="0.2">
      <c r="A33" s="244">
        <v>2.4499000000000001E-3</v>
      </c>
      <c r="B33" s="244">
        <v>3.1269900000000002</v>
      </c>
      <c r="C33" s="245">
        <v>0.191496</v>
      </c>
      <c r="D33" s="246">
        <f>IF(CouplingMode="AC",B33-(A$11-A$10)*SUM(B$9:B33)/0.21,B33)</f>
        <v>3.1269900000000002</v>
      </c>
      <c r="E33" s="247">
        <f t="shared" si="9"/>
        <v>18.196152833269856</v>
      </c>
      <c r="F33" s="247">
        <f t="shared" si="0"/>
        <v>18.196152833269856</v>
      </c>
      <c r="G33" s="248">
        <f t="shared" si="1"/>
        <v>3.0213337413544202E+18</v>
      </c>
      <c r="H33" s="249">
        <f t="shared" si="10"/>
        <v>9.7790750065402887E-2</v>
      </c>
      <c r="I33" s="248">
        <f>IF(MobilityModel=DK,CalcDeltaN(H33,SampleDoping,Thickness,AreaFrac),CalcDeltaNDL(H33,AreaFrac,Thickness,SampleType,SampleDoping,Temperature))</f>
        <v>2.7495567520674884E+16</v>
      </c>
      <c r="J33" s="248" t="str">
        <f t="shared" si="2"/>
        <v/>
      </c>
      <c r="K33" s="248">
        <f t="shared" si="11"/>
        <v>2.7495567520674884E+16</v>
      </c>
      <c r="L33" s="250">
        <f t="shared" si="15"/>
        <v>-1.2987398016222622E+19</v>
      </c>
      <c r="M33" s="196" t="str">
        <f t="shared" si="3"/>
        <v/>
      </c>
      <c r="N33" s="196" t="str">
        <f t="shared" si="4"/>
        <v/>
      </c>
      <c r="O33" s="250">
        <f t="shared" si="5"/>
        <v>2.7495567520674884E+16</v>
      </c>
      <c r="P33" s="248">
        <f t="shared" si="16"/>
        <v>1.6682865909768951E-4</v>
      </c>
      <c r="Q33" s="250" t="str">
        <f t="shared" si="17"/>
        <v/>
      </c>
      <c r="R33" s="251" t="str">
        <f t="shared" si="18"/>
        <v/>
      </c>
      <c r="S33" s="252">
        <f>IF(AND(E33&gt;0.95*BiasLight,E33&lt;1.05*BiasLight),"",IF(AugerModel="Sinton",calclifetimeauger(Auger_Coefficient,I33,P33),calclifetimerichter(SampleType,I33,SampleDoping,P33)))</f>
        <v>4739.2035879021987</v>
      </c>
      <c r="T33" s="201" t="str">
        <f t="shared" si="19"/>
        <v/>
      </c>
      <c r="U33" s="252">
        <f t="shared" si="12"/>
        <v>-132940.78570311892</v>
      </c>
      <c r="V33" s="251" t="str">
        <f>IF(AugerModel="Sinton","",IF(SampleType="n-type",n_intr_boltzmann(SampleDoping,0,K33,Temperature+273.15),n_intr_boltzmann(0,SampleDoping,K33,Temperature+273.15)))</f>
        <v/>
      </c>
      <c r="W33" s="251" t="str">
        <f t="shared" si="13"/>
        <v/>
      </c>
      <c r="X33" s="246">
        <f>IF(AND(A33&gt;TimeofMaxCD,I33&gt;Traps),IF(AugerModel="Sinton",CalcImpliedV(SampleDoping,O33),CalcImpliedVRichter(O33,SampleDoping,V33)),"")</f>
        <v>0.7742155260043434</v>
      </c>
      <c r="Y33" s="253">
        <f t="shared" si="6"/>
        <v>19.752677838072767</v>
      </c>
      <c r="Z33" s="200" t="str">
        <f t="shared" si="7"/>
        <v/>
      </c>
      <c r="AA33" s="254">
        <v>145.42892699999999</v>
      </c>
      <c r="AB33" s="254">
        <v>67.451837995844173</v>
      </c>
      <c r="AC33" s="251">
        <f t="shared" si="14"/>
        <v>1.4825392898287097E-2</v>
      </c>
      <c r="AE33" s="251">
        <f t="shared" si="8"/>
        <v>1115.6282447731523</v>
      </c>
    </row>
    <row r="34" spans="1:31" x14ac:dyDescent="0.2">
      <c r="A34" s="244">
        <v>2.5498999999999999E-3</v>
      </c>
      <c r="B34" s="244">
        <v>3.0141900000000001</v>
      </c>
      <c r="C34" s="245">
        <v>0.18112900000000001</v>
      </c>
      <c r="D34" s="246">
        <f>IF(CouplingMode="AC",B34-(A$11-A$10)*SUM(B$9:B34)/0.21,B34)</f>
        <v>3.0141900000000001</v>
      </c>
      <c r="E34" s="247">
        <f t="shared" si="9"/>
        <v>17.211069508174248</v>
      </c>
      <c r="F34" s="247">
        <f t="shared" si="0"/>
        <v>17.211069508174248</v>
      </c>
      <c r="G34" s="248">
        <f t="shared" si="1"/>
        <v>2.8577680956144502E+18</v>
      </c>
      <c r="H34" s="249">
        <f t="shared" si="10"/>
        <v>9.4112333612592705E-2</v>
      </c>
      <c r="I34" s="248">
        <f>IF(MobilityModel=DK,CalcDeltaN(H34,SampleDoping,Thickness,AreaFrac),CalcDeltaNDL(H34,AreaFrac,Thickness,SampleType,SampleDoping,Temperature))</f>
        <v>2.6223350176377768E+16</v>
      </c>
      <c r="J34" s="248" t="str">
        <f t="shared" si="2"/>
        <v/>
      </c>
      <c r="K34" s="248">
        <f t="shared" si="11"/>
        <v>2.6223350176377768E+16</v>
      </c>
      <c r="L34" s="250">
        <f t="shared" si="15"/>
        <v>-1.2508974736484944E+19</v>
      </c>
      <c r="M34" s="196" t="str">
        <f t="shared" si="3"/>
        <v/>
      </c>
      <c r="N34" s="196" t="str">
        <f t="shared" si="4"/>
        <v/>
      </c>
      <c r="O34" s="250">
        <f t="shared" si="5"/>
        <v>2.6223350176377768E+16</v>
      </c>
      <c r="P34" s="248">
        <f t="shared" si="16"/>
        <v>1.6797412818170797E-4</v>
      </c>
      <c r="Q34" s="250" t="str">
        <f t="shared" si="17"/>
        <v/>
      </c>
      <c r="R34" s="251" t="str">
        <f t="shared" si="18"/>
        <v/>
      </c>
      <c r="S34" s="252">
        <f>IF(AND(E34&gt;0.95*BiasLight,E34&lt;1.05*BiasLight),"",IF(AugerModel="Sinton",calclifetimeauger(Auger_Coefficient,I34,P34),calclifetimerichter(SampleType,I34,SampleDoping,P34)))</f>
        <v>4811.775356970913</v>
      </c>
      <c r="T34" s="201" t="str">
        <f t="shared" si="19"/>
        <v/>
      </c>
      <c r="U34" s="252">
        <f t="shared" si="12"/>
        <v>-125986.95804913485</v>
      </c>
      <c r="V34" s="251" t="str">
        <f>IF(AugerModel="Sinton","",IF(SampleType="n-type",n_intr_boltzmann(SampleDoping,0,K34,Temperature+273.15),n_intr_boltzmann(0,SampleDoping,K34,Temperature+273.15)))</f>
        <v/>
      </c>
      <c r="W34" s="251" t="str">
        <f t="shared" si="13"/>
        <v/>
      </c>
      <c r="X34" s="246">
        <f>IF(AND(A34&gt;TimeofMaxCD,I34&gt;Traps),IF(AugerModel="Sinton",CalcImpliedV(SampleDoping,O34),CalcImpliedVRichter(O34,SampleDoping,V34)),"")</f>
        <v>0.7719878112204368</v>
      </c>
      <c r="Y34" s="253">
        <f t="shared" si="6"/>
        <v>18.710256022475718</v>
      </c>
      <c r="Z34" s="200" t="str">
        <f t="shared" si="7"/>
        <v/>
      </c>
      <c r="AA34" s="254">
        <v>150.45680400000001</v>
      </c>
      <c r="AB34" s="254">
        <v>65.353998089210194</v>
      </c>
      <c r="AC34" s="251">
        <f t="shared" si="14"/>
        <v>1.5301282694824113E-2</v>
      </c>
      <c r="AE34" s="251">
        <f t="shared" si="8"/>
        <v>1125.752136297913</v>
      </c>
    </row>
    <row r="35" spans="1:31" x14ac:dyDescent="0.2">
      <c r="A35" s="244">
        <v>2.6499000000000002E-3</v>
      </c>
      <c r="B35" s="244">
        <v>2.9037199999999999</v>
      </c>
      <c r="C35" s="245">
        <v>0.171399</v>
      </c>
      <c r="D35" s="246">
        <f>IF(CouplingMode="AC",B35-(A$11-A$10)*SUM(B$9:B35)/0.21,B35)</f>
        <v>2.9037199999999999</v>
      </c>
      <c r="E35" s="247">
        <f t="shared" si="9"/>
        <v>16.286514598057504</v>
      </c>
      <c r="F35" s="247">
        <f t="shared" si="0"/>
        <v>16.286514598057504</v>
      </c>
      <c r="G35" s="248">
        <f t="shared" si="1"/>
        <v>2.7042527360070513E+18</v>
      </c>
      <c r="H35" s="249">
        <f t="shared" si="10"/>
        <v>9.0520838680453311E-2</v>
      </c>
      <c r="I35" s="248">
        <f>IF(MobilityModel=DK,CalcDeltaN(H35,SampleDoping,Thickness,AreaFrac),CalcDeltaNDL(H35,AreaFrac,Thickness,SampleType,SampleDoping,Temperature))</f>
        <v>2.4998869847838296E+16</v>
      </c>
      <c r="J35" s="248" t="str">
        <f t="shared" si="2"/>
        <v/>
      </c>
      <c r="K35" s="248">
        <f t="shared" si="11"/>
        <v>2.4998869847838296E+16</v>
      </c>
      <c r="L35" s="250">
        <f t="shared" si="15"/>
        <v>-1.2021953594531621E+19</v>
      </c>
      <c r="M35" s="196" t="str">
        <f t="shared" si="3"/>
        <v/>
      </c>
      <c r="N35" s="196" t="str">
        <f t="shared" si="4"/>
        <v/>
      </c>
      <c r="O35" s="250">
        <f t="shared" si="5"/>
        <v>2.4998869847838296E+16</v>
      </c>
      <c r="P35" s="248">
        <f t="shared" si="16"/>
        <v>1.6900943283540152E-4</v>
      </c>
      <c r="Q35" s="250" t="str">
        <f t="shared" si="17"/>
        <v/>
      </c>
      <c r="R35" s="251" t="str">
        <f t="shared" si="18"/>
        <v/>
      </c>
      <c r="S35" s="252">
        <f>IF(AND(E35&gt;0.95*BiasLight,E35&lt;1.05*BiasLight),"",IF(AugerModel="Sinton",calclifetimeauger(Auger_Coefficient,I35,P35),calclifetimerichter(SampleType,I35,SampleDoping,P35)))</f>
        <v>4879.4233124684561</v>
      </c>
      <c r="T35" s="201" t="str">
        <f t="shared" si="19"/>
        <v/>
      </c>
      <c r="U35" s="252">
        <f t="shared" si="12"/>
        <v>-119294.05670761006</v>
      </c>
      <c r="V35" s="251" t="str">
        <f>IF(AugerModel="Sinton","",IF(SampleType="n-type",n_intr_boltzmann(SampleDoping,0,K35,Temperature+273.15),n_intr_boltzmann(0,SampleDoping,K35,Temperature+273.15)))</f>
        <v/>
      </c>
      <c r="W35" s="251" t="str">
        <f t="shared" si="13"/>
        <v/>
      </c>
      <c r="X35" s="246">
        <f>IF(AND(A35&gt;TimeofMaxCD,I35&gt;Traps),IF(AugerModel="Sinton",CalcImpliedV(SampleDoping,O35),CalcImpliedVRichter(O35,SampleDoping,V35)),"")</f>
        <v>0.76974753265995177</v>
      </c>
      <c r="Y35" s="253">
        <f t="shared" si="6"/>
        <v>17.727332177767842</v>
      </c>
      <c r="Z35" s="200" t="str">
        <f t="shared" si="7"/>
        <v/>
      </c>
      <c r="AA35" s="254">
        <v>155.38770099999999</v>
      </c>
      <c r="AB35" s="254">
        <v>63.892573017993726</v>
      </c>
      <c r="AC35" s="251">
        <f t="shared" si="14"/>
        <v>1.5651271388278185E-2</v>
      </c>
      <c r="AE35" s="251">
        <f t="shared" si="8"/>
        <v>1135.8280912466166</v>
      </c>
    </row>
    <row r="36" spans="1:31" x14ac:dyDescent="0.2">
      <c r="A36" s="244">
        <v>2.7499E-3</v>
      </c>
      <c r="B36" s="244">
        <v>2.7951899999999998</v>
      </c>
      <c r="C36" s="245">
        <v>0.16217500000000001</v>
      </c>
      <c r="D36" s="246">
        <f>IF(CouplingMode="AC",B36-(A$11-A$10)*SUM(B$9:B36)/0.21,B36)</f>
        <v>2.7951899999999998</v>
      </c>
      <c r="E36" s="247">
        <f t="shared" si="9"/>
        <v>15.410040344109218</v>
      </c>
      <c r="F36" s="247">
        <f t="shared" si="0"/>
        <v>15.410040344109218</v>
      </c>
      <c r="G36" s="248">
        <f t="shared" si="1"/>
        <v>2.5587208062004065E+18</v>
      </c>
      <c r="H36" s="249">
        <f t="shared" si="10"/>
        <v>8.7002957544078593E-2</v>
      </c>
      <c r="I36" s="248">
        <f>IF(MobilityModel=DK,CalcDeltaN(H36,SampleDoping,Thickness,AreaFrac),CalcDeltaNDL(H36,AreaFrac,Thickness,SampleType,SampleDoping,Temperature))</f>
        <v>2.3816397735887984E+16</v>
      </c>
      <c r="J36" s="248" t="str">
        <f t="shared" si="2"/>
        <v/>
      </c>
      <c r="K36" s="248">
        <f t="shared" si="11"/>
        <v>2.3816397735887984E+16</v>
      </c>
      <c r="L36" s="250">
        <f t="shared" si="15"/>
        <v>-1.1555641883644256E+19</v>
      </c>
      <c r="M36" s="196" t="str">
        <f t="shared" si="3"/>
        <v/>
      </c>
      <c r="N36" s="196" t="str">
        <f t="shared" si="4"/>
        <v/>
      </c>
      <c r="O36" s="250">
        <f t="shared" si="5"/>
        <v>2.3816397735887984E+16</v>
      </c>
      <c r="P36" s="248">
        <f t="shared" si="16"/>
        <v>1.6995375636822112E-4</v>
      </c>
      <c r="Q36" s="250" t="str">
        <f t="shared" si="17"/>
        <v/>
      </c>
      <c r="R36" s="251" t="str">
        <f t="shared" si="18"/>
        <v/>
      </c>
      <c r="S36" s="252">
        <f>IF(AND(E36&gt;0.95*BiasLight,E36&lt;1.05*BiasLight),"",IF(AugerModel="Sinton",calclifetimeauger(Auger_Coefficient,I36,P36),calclifetimerichter(SampleType,I36,SampleDoping,P36)))</f>
        <v>4942.3669723811026</v>
      </c>
      <c r="T36" s="201" t="str">
        <f t="shared" si="19"/>
        <v/>
      </c>
      <c r="U36" s="252">
        <f t="shared" si="12"/>
        <v>-112830.76856820183</v>
      </c>
      <c r="V36" s="251" t="str">
        <f>IF(AugerModel="Sinton","",IF(SampleType="n-type",n_intr_boltzmann(SampleDoping,0,K36,Temperature+273.15),n_intr_boltzmann(0,SampleDoping,K36,Temperature+273.15)))</f>
        <v/>
      </c>
      <c r="W36" s="251" t="str">
        <f t="shared" si="13"/>
        <v/>
      </c>
      <c r="X36" s="246">
        <f>IF(AND(A36&gt;TimeofMaxCD,I36&gt;Traps),IF(AugerModel="Sinton",CalcImpliedV(SampleDoping,O36),CalcImpliedVRichter(O36,SampleDoping,V36)),"")</f>
        <v>0.76748626875690351</v>
      </c>
      <c r="Y36" s="253">
        <f t="shared" si="6"/>
        <v>16.794970991185167</v>
      </c>
      <c r="Z36" s="200" t="str">
        <f t="shared" si="7"/>
        <v/>
      </c>
      <c r="AA36" s="254">
        <v>160.34243699999999</v>
      </c>
      <c r="AB36" s="254">
        <v>62.267960240370883</v>
      </c>
      <c r="AC36" s="251">
        <f t="shared" si="14"/>
        <v>1.6059623538971474E-2</v>
      </c>
      <c r="AE36" s="251">
        <f t="shared" si="8"/>
        <v>1145.8884803992776</v>
      </c>
    </row>
    <row r="37" spans="1:31" x14ac:dyDescent="0.2">
      <c r="A37" s="244">
        <v>2.8498999999999998E-3</v>
      </c>
      <c r="B37" s="244">
        <v>2.6898599999999999</v>
      </c>
      <c r="C37" s="245">
        <v>0.15327099999999999</v>
      </c>
      <c r="D37" s="246">
        <f>IF(CouplingMode="AC",B37-(A$11-A$10)*SUM(B$9:B37)/0.21,B37)</f>
        <v>2.6898599999999999</v>
      </c>
      <c r="E37" s="247">
        <f t="shared" si="9"/>
        <v>14.563972829239795</v>
      </c>
      <c r="F37" s="247">
        <f t="shared" si="0"/>
        <v>14.563972829239795</v>
      </c>
      <c r="G37" s="248">
        <f t="shared" si="1"/>
        <v>2.4182376857539236E+18</v>
      </c>
      <c r="H37" s="249">
        <f t="shared" si="10"/>
        <v>8.3598792298167052E-2</v>
      </c>
      <c r="I37" s="248">
        <f>IF(MobilityModel=DK,CalcDeltaN(H37,SampleDoping,Thickness,AreaFrac),CalcDeltaNDL(H37,AreaFrac,Thickness,SampleType,SampleDoping,Temperature))</f>
        <v>2.2688066943653968E+16</v>
      </c>
      <c r="J37" s="248" t="str">
        <f t="shared" si="2"/>
        <v/>
      </c>
      <c r="K37" s="248">
        <f t="shared" si="11"/>
        <v>2.2688066943653968E+16</v>
      </c>
      <c r="L37" s="250">
        <f t="shared" si="15"/>
        <v>-1.1101833728392344E+19</v>
      </c>
      <c r="M37" s="196" t="str">
        <f t="shared" si="3"/>
        <v/>
      </c>
      <c r="N37" s="196" t="str">
        <f t="shared" si="4"/>
        <v/>
      </c>
      <c r="O37" s="250">
        <f t="shared" si="5"/>
        <v>2.2688066943653968E+16</v>
      </c>
      <c r="P37" s="248">
        <f t="shared" si="16"/>
        <v>1.7107406053861824E-4</v>
      </c>
      <c r="Q37" s="250" t="str">
        <f t="shared" si="17"/>
        <v/>
      </c>
      <c r="R37" s="251" t="str">
        <f t="shared" si="18"/>
        <v/>
      </c>
      <c r="S37" s="252">
        <f>IF(AND(E37&gt;0.95*BiasLight,E37&lt;1.05*BiasLight),"",IF(AugerModel="Sinton",calclifetimeauger(Auger_Coefficient,I37,P37),calclifetimerichter(SampleType,I37,SampleDoping,P37)))</f>
        <v>4990.939235785705</v>
      </c>
      <c r="T37" s="201" t="str">
        <f t="shared" si="19"/>
        <v/>
      </c>
      <c r="U37" s="252">
        <f t="shared" si="12"/>
        <v>-106663.41210112459</v>
      </c>
      <c r="V37" s="251" t="str">
        <f>IF(AugerModel="Sinton","",IF(SampleType="n-type",n_intr_boltzmann(SampleDoping,0,K37,Temperature+273.15),n_intr_boltzmann(0,SampleDoping,K37,Temperature+273.15)))</f>
        <v/>
      </c>
      <c r="W37" s="251" t="str">
        <f t="shared" si="13"/>
        <v/>
      </c>
      <c r="X37" s="246">
        <f>IF(AND(A37&gt;TimeofMaxCD,I37&gt;Traps),IF(AugerModel="Sinton",CalcImpliedV(SampleDoping,O37),CalcImpliedVRichter(O37,SampleDoping,V37)),"")</f>
        <v>0.76523052021671945</v>
      </c>
      <c r="Y37" s="253">
        <f t="shared" si="6"/>
        <v>15.894515080722512</v>
      </c>
      <c r="Z37" s="200" t="str">
        <f t="shared" si="7"/>
        <v/>
      </c>
      <c r="AA37" s="254">
        <v>165.35217</v>
      </c>
      <c r="AB37" s="254">
        <v>60.81068744931104</v>
      </c>
      <c r="AC37" s="251">
        <f t="shared" si="14"/>
        <v>1.6444477803898426E-2</v>
      </c>
      <c r="AE37" s="251">
        <f t="shared" si="8"/>
        <v>1155.81125817468</v>
      </c>
    </row>
    <row r="38" spans="1:31" x14ac:dyDescent="0.2">
      <c r="A38" s="244">
        <v>2.9499000000000001E-3</v>
      </c>
      <c r="B38" s="244">
        <v>2.5866699999999998</v>
      </c>
      <c r="C38" s="245">
        <v>0.14512</v>
      </c>
      <c r="D38" s="246">
        <f>IF(CouplingMode="AC",B38-(A$11-A$10)*SUM(B$9:B38)/0.21,B38)</f>
        <v>2.5866699999999998</v>
      </c>
      <c r="E38" s="247">
        <f t="shared" si="9"/>
        <v>13.789456172265329</v>
      </c>
      <c r="F38" s="247">
        <f t="shared" si="0"/>
        <v>13.789456172265329</v>
      </c>
      <c r="G38" s="248">
        <f t="shared" si="1"/>
        <v>2.2896350448330696E+18</v>
      </c>
      <c r="H38" s="249">
        <f t="shared" si="10"/>
        <v>8.0273333798463048E-2</v>
      </c>
      <c r="I38" s="248">
        <f>IF(MobilityModel=DK,CalcDeltaN(H38,SampleDoping,Thickness,AreaFrac),CalcDeltaNDL(H38,AreaFrac,Thickness,SampleType,SampleDoping,Temperature))</f>
        <v>2.1600930686647804E+16</v>
      </c>
      <c r="J38" s="248" t="str">
        <f t="shared" si="2"/>
        <v/>
      </c>
      <c r="K38" s="248">
        <f t="shared" si="11"/>
        <v>2.1600930686647804E+16</v>
      </c>
      <c r="L38" s="250">
        <f t="shared" si="15"/>
        <v>-1.0672020047956105E+19</v>
      </c>
      <c r="M38" s="196" t="str">
        <f t="shared" si="3"/>
        <v/>
      </c>
      <c r="N38" s="196" t="str">
        <f t="shared" si="4"/>
        <v/>
      </c>
      <c r="O38" s="250">
        <f t="shared" si="5"/>
        <v>2.1600930686647804E+16</v>
      </c>
      <c r="P38" s="248">
        <f t="shared" si="16"/>
        <v>1.7180539741691508E-4</v>
      </c>
      <c r="Q38" s="250" t="str">
        <f t="shared" si="17"/>
        <v/>
      </c>
      <c r="R38" s="251" t="str">
        <f t="shared" si="18"/>
        <v/>
      </c>
      <c r="S38" s="252">
        <f>IF(AND(E38&gt;0.95*BiasLight,E38&lt;1.05*BiasLight),"",IF(AugerModel="Sinton",calclifetimeauger(Auger_Coefficient,I38,P38),calclifetimerichter(SampleType,I38,SampleDoping,P38)))</f>
        <v>5045.9825635922916</v>
      </c>
      <c r="T38" s="201" t="str">
        <f t="shared" si="19"/>
        <v/>
      </c>
      <c r="U38" s="252">
        <f t="shared" si="12"/>
        <v>-100721.22132569944</v>
      </c>
      <c r="V38" s="251" t="str">
        <f>IF(AugerModel="Sinton","",IF(SampleType="n-type",n_intr_boltzmann(SampleDoping,0,K38,Temperature+273.15),n_intr_boltzmann(0,SampleDoping,K38,Temperature+273.15)))</f>
        <v/>
      </c>
      <c r="W38" s="251" t="str">
        <f t="shared" si="13"/>
        <v/>
      </c>
      <c r="X38" s="246">
        <f>IF(AND(A38&gt;TimeofMaxCD,I38&gt;Traps),IF(AugerModel="Sinton",CalcImpliedV(SampleDoping,O38),CalcImpliedVRichter(O38,SampleDoping,V38)),"")</f>
        <v>0.76295805185176824</v>
      </c>
      <c r="Y38" s="253">
        <f t="shared" si="6"/>
        <v>15.068485738900032</v>
      </c>
      <c r="Z38" s="200" t="str">
        <f t="shared" si="7"/>
        <v/>
      </c>
      <c r="AA38" s="254">
        <v>170.34768399999999</v>
      </c>
      <c r="AB38" s="254">
        <v>59.644777195860506</v>
      </c>
      <c r="AC38" s="251">
        <f t="shared" si="14"/>
        <v>1.6765927328661435E-2</v>
      </c>
      <c r="AE38" s="251">
        <f t="shared" si="8"/>
        <v>1165.6904764533576</v>
      </c>
    </row>
    <row r="39" spans="1:31" x14ac:dyDescent="0.2">
      <c r="A39" s="244">
        <v>3.0498999999999999E-3</v>
      </c>
      <c r="B39" s="244">
        <v>2.4858099999999999</v>
      </c>
      <c r="C39" s="245">
        <v>0.13744999999999999</v>
      </c>
      <c r="D39" s="246">
        <f>IF(CouplingMode="AC",B39-(A$11-A$10)*SUM(B$9:B39)/0.21,B39)</f>
        <v>2.4858099999999999</v>
      </c>
      <c r="E39" s="247">
        <f t="shared" si="9"/>
        <v>13.060644644968779</v>
      </c>
      <c r="F39" s="247">
        <f t="shared" si="0"/>
        <v>13.060644644968779</v>
      </c>
      <c r="G39" s="248">
        <f t="shared" si="1"/>
        <v>2.168621395481707E+18</v>
      </c>
      <c r="H39" s="249">
        <f t="shared" si="10"/>
        <v>7.703209169036862E-2</v>
      </c>
      <c r="I39" s="248">
        <f>IF(MobilityModel=DK,CalcDeltaN(H39,SampleDoping,Thickness,AreaFrac),CalcDeltaNDL(H39,AreaFrac,Thickness,SampleType,SampleDoping,Temperature))</f>
        <v>2.0555686508262216E+16</v>
      </c>
      <c r="J39" s="248" t="str">
        <f t="shared" si="2"/>
        <v/>
      </c>
      <c r="K39" s="248">
        <f t="shared" si="11"/>
        <v>2.0555686508262216E+16</v>
      </c>
      <c r="L39" s="250">
        <f t="shared" si="15"/>
        <v>-1.0256505863661507E+19</v>
      </c>
      <c r="M39" s="196" t="str">
        <f t="shared" si="3"/>
        <v/>
      </c>
      <c r="N39" s="196" t="str">
        <f t="shared" si="4"/>
        <v/>
      </c>
      <c r="O39" s="250">
        <f t="shared" si="5"/>
        <v>2.0555686508262216E+16</v>
      </c>
      <c r="P39" s="248">
        <f t="shared" si="16"/>
        <v>1.7240009393270419E-4</v>
      </c>
      <c r="Q39" s="250" t="str">
        <f t="shared" si="17"/>
        <v/>
      </c>
      <c r="R39" s="251" t="str">
        <f t="shared" si="18"/>
        <v/>
      </c>
      <c r="S39" s="252">
        <f>IF(AND(E39&gt;0.95*BiasLight,E39&lt;1.05*BiasLight),"",IF(AugerModel="Sinton",calclifetimeauger(Auger_Coefficient,I39,P39),calclifetimerichter(SampleType,I39,SampleDoping,P39)))</f>
        <v>5099.050705331797</v>
      </c>
      <c r="T39" s="201" t="str">
        <f t="shared" si="19"/>
        <v/>
      </c>
      <c r="U39" s="252">
        <f t="shared" si="12"/>
        <v>-95008.008952510747</v>
      </c>
      <c r="V39" s="251" t="str">
        <f>IF(AugerModel="Sinton","",IF(SampleType="n-type",n_intr_boltzmann(SampleDoping,0,K39,Temperature+273.15),n_intr_boltzmann(0,SampleDoping,K39,Temperature+273.15)))</f>
        <v/>
      </c>
      <c r="W39" s="251" t="str">
        <f t="shared" si="13"/>
        <v/>
      </c>
      <c r="X39" s="246">
        <f>IF(AND(A39&gt;TimeofMaxCD,I39&gt;Traps),IF(AugerModel="Sinton",CalcImpliedV(SampleDoping,O39),CalcImpliedVRichter(O39,SampleDoping,V39)),"")</f>
        <v>0.76067277911961861</v>
      </c>
      <c r="Y39" s="253">
        <f t="shared" si="6"/>
        <v>14.289875305240791</v>
      </c>
      <c r="Z39" s="200" t="str">
        <f t="shared" si="7"/>
        <v/>
      </c>
      <c r="AA39" s="254">
        <v>175.25808599999999</v>
      </c>
      <c r="AB39" s="254">
        <v>58.524343925683908</v>
      </c>
      <c r="AC39" s="251">
        <f t="shared" si="14"/>
        <v>1.7086906625896261E-2</v>
      </c>
      <c r="AE39" s="251">
        <f t="shared" si="8"/>
        <v>1175.5040148707203</v>
      </c>
    </row>
    <row r="40" spans="1:31" x14ac:dyDescent="0.2">
      <c r="A40" s="244">
        <v>3.1499000000000002E-3</v>
      </c>
      <c r="B40" s="244">
        <v>2.3868399999999999</v>
      </c>
      <c r="C40" s="245">
        <v>0.13025200000000001</v>
      </c>
      <c r="D40" s="246">
        <f>IF(CouplingMode="AC",B40-(A$11-A$10)*SUM(B$9:B40)/0.21,B40)</f>
        <v>2.3868399999999999</v>
      </c>
      <c r="E40" s="247">
        <f t="shared" si="9"/>
        <v>12.376683057813558</v>
      </c>
      <c r="F40" s="247">
        <f t="shared" si="0"/>
        <v>12.376683057813558</v>
      </c>
      <c r="G40" s="248">
        <f t="shared" si="1"/>
        <v>2.0550547399365829E+18</v>
      </c>
      <c r="H40" s="249">
        <f t="shared" si="10"/>
        <v>7.3860358921942509E-2</v>
      </c>
      <c r="I40" s="248">
        <f>IF(MobilityModel=DK,CalcDeltaN(H40,SampleDoping,Thickness,AreaFrac),CalcDeltaNDL(H40,AreaFrac,Thickness,SampleType,SampleDoping,Temperature))</f>
        <v>1.9546577929605804E+16</v>
      </c>
      <c r="J40" s="248" t="str">
        <f t="shared" si="2"/>
        <v/>
      </c>
      <c r="K40" s="248">
        <f t="shared" si="11"/>
        <v>1.9546577929605804E+16</v>
      </c>
      <c r="L40" s="250">
        <f t="shared" si="15"/>
        <v>-9.8614433989916385E+18</v>
      </c>
      <c r="M40" s="196" t="str">
        <f t="shared" si="3"/>
        <v/>
      </c>
      <c r="N40" s="196" t="str">
        <f t="shared" si="4"/>
        <v/>
      </c>
      <c r="O40" s="250">
        <f t="shared" si="5"/>
        <v>1.9546577929605804E+16</v>
      </c>
      <c r="P40" s="248">
        <f t="shared" si="16"/>
        <v>1.7277898949044634E-4</v>
      </c>
      <c r="Q40" s="250" t="str">
        <f t="shared" si="17"/>
        <v/>
      </c>
      <c r="R40" s="251" t="str">
        <f t="shared" si="18"/>
        <v/>
      </c>
      <c r="S40" s="252">
        <f>IF(AND(E40&gt;0.95*BiasLight,E40&lt;1.05*BiasLight),"",IF(AugerModel="Sinton",calclifetimeauger(Auger_Coefficient,I40,P40),calclifetimerichter(SampleType,I40,SampleDoping,P40)))</f>
        <v>5153.5067037770832</v>
      </c>
      <c r="T40" s="201" t="str">
        <f t="shared" si="19"/>
        <v/>
      </c>
      <c r="U40" s="252">
        <f t="shared" si="12"/>
        <v>-89492.310576294694</v>
      </c>
      <c r="V40" s="251" t="str">
        <f>IF(AugerModel="Sinton","",IF(SampleType="n-type",n_intr_boltzmann(SampleDoping,0,K40,Temperature+273.15),n_intr_boltzmann(0,SampleDoping,K40,Temperature+273.15)))</f>
        <v/>
      </c>
      <c r="W40" s="251" t="str">
        <f t="shared" si="13"/>
        <v/>
      </c>
      <c r="X40" s="246">
        <f>IF(AND(A40&gt;TimeofMaxCD,I40&gt;Traps),IF(AugerModel="Sinton",CalcImpliedV(SampleDoping,O40),CalcImpliedVRichter(O40,SampleDoping,V40)),"")</f>
        <v>0.75836421806697796</v>
      </c>
      <c r="Y40" s="253">
        <f t="shared" si="6"/>
        <v>13.558565927254058</v>
      </c>
      <c r="Z40" s="200" t="str">
        <f t="shared" si="7"/>
        <v/>
      </c>
      <c r="AA40" s="254">
        <v>180.42495400000001</v>
      </c>
      <c r="AB40" s="254">
        <v>57.237296527056941</v>
      </c>
      <c r="AC40" s="251">
        <f t="shared" si="14"/>
        <v>1.7471125658901181E-2</v>
      </c>
      <c r="AE40" s="251">
        <f t="shared" si="8"/>
        <v>1185.2912824718087</v>
      </c>
    </row>
    <row r="41" spans="1:31" x14ac:dyDescent="0.2">
      <c r="A41" s="244">
        <v>3.2499E-3</v>
      </c>
      <c r="B41" s="244">
        <v>2.29121</v>
      </c>
      <c r="C41" s="245">
        <v>0.12349499999999999</v>
      </c>
      <c r="D41" s="246">
        <f>IF(CouplingMode="AC",B41-(A$11-A$10)*SUM(B$9:B41)/0.21,B41)</f>
        <v>2.29121</v>
      </c>
      <c r="E41" s="247">
        <f t="shared" ref="E41:E72" si="20">IF(C41&gt;0,C41/RefCellCal,0.00001)</f>
        <v>11.734625757951397</v>
      </c>
      <c r="F41" s="247">
        <f t="shared" ref="F41:F72" si="21">E41-BiasLight</f>
        <v>11.734625757951397</v>
      </c>
      <c r="G41" s="248">
        <f t="shared" ref="G41:G72" si="22">F41*0.038*OptConst/1.602E-19</f>
        <v>1.9484459747909307E+18</v>
      </c>
      <c r="H41" s="249">
        <f t="shared" ref="H41:H72" si="23">CalcConductance(B41,Dark_Voltage,A_cal,B_cal,C_cal)</f>
        <v>7.0803918845370489E-2</v>
      </c>
      <c r="I41" s="248">
        <f>IF(MobilityModel=DK,CalcDeltaN(H41,SampleDoping,Thickness,AreaFrac),CalcDeltaNDL(H41,AreaFrac,Thickness,SampleType,SampleDoping,Temperature))</f>
        <v>1.8586990390344212E+16</v>
      </c>
      <c r="J41" s="248" t="str">
        <f t="shared" ref="J41:J72" si="24">IF(AND(AND(I41&gt;=FitRangeMin,I41&lt;=FitRangeMax),A41&gt;TimeofMaxCD),I41,"")</f>
        <v/>
      </c>
      <c r="K41" s="248">
        <f t="shared" ref="K41:K72" si="25">IF(I41-BiasPtCD=0,0.00001,I41-BiasPtCD)</f>
        <v>1.8586990390344212E+16</v>
      </c>
      <c r="L41" s="250">
        <f t="shared" si="15"/>
        <v>-9.4723958882259968E+18</v>
      </c>
      <c r="M41" s="196" t="str">
        <f t="shared" ref="M41:M72" si="26">IF(E41&gt;0.85*BiasLight,IF( E41&lt;1.15*BiasLight,E41,""),"")</f>
        <v/>
      </c>
      <c r="N41" s="196" t="str">
        <f t="shared" ref="N41:N72" si="27">IF(E41&gt;0.85*BiasLight,IF(E41&lt;1.15*BiasLight,I41,""),"")</f>
        <v/>
      </c>
      <c r="O41" s="250">
        <f t="shared" ref="O41:O72" si="28">I41-Traps</f>
        <v>1.8586990390344212E+16</v>
      </c>
      <c r="P41" s="248">
        <f t="shared" si="16"/>
        <v>1.730886020268032E-4</v>
      </c>
      <c r="Q41" s="250" t="str">
        <f t="shared" si="17"/>
        <v/>
      </c>
      <c r="R41" s="251" t="str">
        <f t="shared" si="18"/>
        <v/>
      </c>
      <c r="S41" s="252">
        <f>IF(AND(E41&gt;0.95*BiasLight,E41&lt;1.05*BiasLight),"",IF(AugerModel="Sinton",calclifetimeauger(Auger_Coefficient,I41,P41),calclifetimerichter(SampleType,I41,SampleDoping,P41)))</f>
        <v>5203.8974174770938</v>
      </c>
      <c r="T41" s="201" t="str">
        <f t="shared" si="19"/>
        <v/>
      </c>
      <c r="U41" s="252">
        <f t="shared" ref="U41:U72" si="29">FitInterceptAuger+FitSlopeAuger*(I41+Traps)</f>
        <v>-84247.289828190987</v>
      </c>
      <c r="V41" s="251" t="str">
        <f>IF(AugerModel="Sinton","",IF(SampleType="n-type",n_intr_boltzmann(SampleDoping,0,K41,Temperature+273.15),n_intr_boltzmann(0,SampleDoping,K41,Temperature+273.15)))</f>
        <v/>
      </c>
      <c r="W41" s="251" t="str">
        <f t="shared" si="13"/>
        <v/>
      </c>
      <c r="X41" s="246">
        <f>IF(AND(A41&gt;TimeofMaxCD,I41&gt;Traps),IF(AugerModel="Sinton",CalcImpliedV(SampleDoping,O41),CalcImpliedVRichter(O41,SampleDoping,V41)),"")</f>
        <v>0.75606675007310808</v>
      </c>
      <c r="Y41" s="253">
        <f t="shared" ref="Y41:Y72" si="30">IF(OR(P41="",P41&lt;0,A41&lt;=TimeofMaxCD),"",(O41*Thickness*1.602E-19/(0.038*OptConst*P41)))</f>
        <v>12.869881722002024</v>
      </c>
      <c r="Z41" s="200" t="str">
        <f t="shared" ref="Z41:Z72" si="31">IF(C41&gt;0.6,O41,"")</f>
        <v/>
      </c>
      <c r="AA41" s="254">
        <v>185.40361999999999</v>
      </c>
      <c r="AB41" s="254">
        <v>56.123379453491729</v>
      </c>
      <c r="AC41" s="251">
        <f t="shared" si="14"/>
        <v>1.7817886409151093E-2</v>
      </c>
      <c r="AE41" s="251">
        <f t="shared" ref="AE41:AE72" si="32">H41/(K41*AreaFrac*Thickness*1.602E-19)</f>
        <v>1194.9029492778891</v>
      </c>
    </row>
    <row r="42" spans="1:31" x14ac:dyDescent="0.2">
      <c r="A42" s="244">
        <v>3.3498999999999998E-3</v>
      </c>
      <c r="B42" s="244">
        <v>2.1968100000000002</v>
      </c>
      <c r="C42" s="245">
        <v>0.11709899999999999</v>
      </c>
      <c r="D42" s="246">
        <f>IF(CouplingMode="AC",B42-(A$11-A$10)*SUM(B$9:B42)/0.21,B42)</f>
        <v>2.1968100000000002</v>
      </c>
      <c r="E42" s="247">
        <f t="shared" si="20"/>
        <v>11.126871060612579</v>
      </c>
      <c r="F42" s="247">
        <f t="shared" si="21"/>
        <v>11.126871060612579</v>
      </c>
      <c r="G42" s="248">
        <f t="shared" si="22"/>
        <v>1.8475328977047101E+18</v>
      </c>
      <c r="H42" s="249">
        <f t="shared" si="23"/>
        <v>6.7794747725534038E-2</v>
      </c>
      <c r="I42" s="248">
        <f>IF(MobilityModel=DK,CalcDeltaN(H42,SampleDoping,Thickness,AreaFrac),CalcDeltaNDL(H42,AreaFrac,Thickness,SampleType,SampleDoping,Temperature))</f>
        <v>1.7654557046110988E+16</v>
      </c>
      <c r="J42" s="248" t="str">
        <f t="shared" si="24"/>
        <v/>
      </c>
      <c r="K42" s="248">
        <f t="shared" si="25"/>
        <v>1.7654557046110988E+16</v>
      </c>
      <c r="L42" s="250">
        <f t="shared" si="15"/>
        <v>-9.0938182896088381E+18</v>
      </c>
      <c r="M42" s="196" t="str">
        <f t="shared" si="26"/>
        <v/>
      </c>
      <c r="N42" s="196" t="str">
        <f t="shared" si="27"/>
        <v/>
      </c>
      <c r="O42" s="250">
        <f t="shared" si="28"/>
        <v>1.7654557046110988E+16</v>
      </c>
      <c r="P42" s="248">
        <f t="shared" si="16"/>
        <v>1.7319482657732893E-4</v>
      </c>
      <c r="Q42" s="250" t="str">
        <f t="shared" si="17"/>
        <v/>
      </c>
      <c r="R42" s="251" t="str">
        <f t="shared" si="18"/>
        <v/>
      </c>
      <c r="S42" s="252">
        <f>IF(AND(E42&gt;0.95*BiasLight,E42&lt;1.05*BiasLight),"",IF(AugerModel="Sinton",calclifetimeauger(Auger_Coefficient,I42,P42),calclifetimerichter(SampleType,I42,SampleDoping,P42)))</f>
        <v>5256.450099857846</v>
      </c>
      <c r="T42" s="201" t="str">
        <f t="shared" si="19"/>
        <v/>
      </c>
      <c r="U42" s="252">
        <f t="shared" si="29"/>
        <v>-79150.691512116173</v>
      </c>
      <c r="V42" s="251" t="str">
        <f>IF(AugerModel="Sinton","",IF(SampleType="n-type",n_intr_boltzmann(SampleDoping,0,K42,Temperature+273.15),n_intr_boltzmann(0,SampleDoping,K42,Temperature+273.15)))</f>
        <v/>
      </c>
      <c r="W42" s="251" t="str">
        <f t="shared" si="13"/>
        <v/>
      </c>
      <c r="X42" s="246">
        <f>IF(AND(A42&gt;TimeofMaxCD,I42&gt;Traps),IF(AugerModel="Sinton",CalcImpliedV(SampleDoping,O42),CalcImpliedVRichter(O42,SampleDoping,V42)),"")</f>
        <v>0.75372956727015372</v>
      </c>
      <c r="Y42" s="253">
        <f t="shared" si="30"/>
        <v>12.216754926436156</v>
      </c>
      <c r="Z42" s="200" t="str">
        <f t="shared" si="31"/>
        <v/>
      </c>
      <c r="AA42" s="254">
        <v>190.424297</v>
      </c>
      <c r="AB42" s="254">
        <v>55.128683927355013</v>
      </c>
      <c r="AC42" s="251">
        <f t="shared" si="14"/>
        <v>1.8139377339711844E-2</v>
      </c>
      <c r="AE42" s="251">
        <f t="shared" si="32"/>
        <v>1204.5466809163299</v>
      </c>
    </row>
    <row r="43" spans="1:31" x14ac:dyDescent="0.2">
      <c r="A43" s="244">
        <v>3.4499000000000001E-3</v>
      </c>
      <c r="B43" s="244">
        <v>2.1053899999999999</v>
      </c>
      <c r="C43" s="245">
        <v>0.111058</v>
      </c>
      <c r="D43" s="246">
        <f>IF(CouplingMode="AC",B43-(A$11-A$10)*SUM(B$9:B43)/0.21,B43)</f>
        <v>2.1053899999999999</v>
      </c>
      <c r="E43" s="247">
        <f t="shared" si="20"/>
        <v>10.552848839439381</v>
      </c>
      <c r="F43" s="247">
        <f t="shared" si="21"/>
        <v>10.552848839439381</v>
      </c>
      <c r="G43" s="248">
        <f t="shared" si="22"/>
        <v>1.7522208435024189E+18</v>
      </c>
      <c r="H43" s="249">
        <f t="shared" si="23"/>
        <v>6.4888104418057105E-2</v>
      </c>
      <c r="I43" s="248">
        <f>IF(MobilityModel=DK,CalcDeltaN(H43,SampleDoping,Thickness,AreaFrac),CalcDeltaNDL(H43,AreaFrac,Thickness,SampleType,SampleDoping,Temperature))</f>
        <v>1.6765499005896626E+16</v>
      </c>
      <c r="J43" s="248" t="str">
        <f t="shared" si="24"/>
        <v/>
      </c>
      <c r="K43" s="248">
        <f t="shared" si="25"/>
        <v>1.6765499005896626E+16</v>
      </c>
      <c r="L43" s="250">
        <f t="shared" ref="L43:L74" si="33">IF(ABS(SLOPE(K41:K45,A41:A45))&lt;1000000000000,-1000000000000,(SLOPE(K41:K45,A41:A45)))</f>
        <v>-8.7417111807554038E+18</v>
      </c>
      <c r="M43" s="196" t="str">
        <f t="shared" si="26"/>
        <v/>
      </c>
      <c r="N43" s="196" t="str">
        <f t="shared" si="27"/>
        <v/>
      </c>
      <c r="O43" s="250">
        <f t="shared" si="28"/>
        <v>1.6765499005896626E+16</v>
      </c>
      <c r="P43" s="248">
        <f t="shared" ref="P43:P74" si="34">calclifetime(AnalysisMode,K43,Thickness,G43,L43)</f>
        <v>1.7320981165905921E-4</v>
      </c>
      <c r="Q43" s="250" t="str">
        <f t="shared" si="17"/>
        <v/>
      </c>
      <c r="R43" s="251" t="str">
        <f t="shared" si="18"/>
        <v/>
      </c>
      <c r="S43" s="252">
        <f>IF(AND(E43&gt;0.95*BiasLight,E43&lt;1.05*BiasLight),"",IF(AugerModel="Sinton",calclifetimeauger(Auger_Coefficient,I43,P43),calclifetimerichter(SampleType,I43,SampleDoping,P43)))</f>
        <v>5306.7489509826437</v>
      </c>
      <c r="T43" s="201" t="str">
        <f t="shared" si="19"/>
        <v/>
      </c>
      <c r="U43" s="252">
        <f t="shared" si="29"/>
        <v>-74291.178777320718</v>
      </c>
      <c r="V43" s="251" t="str">
        <f>IF(AugerModel="Sinton","",IF(SampleType="n-type",n_intr_boltzmann(SampleDoping,0,K43,Temperature+273.15),n_intr_boltzmann(0,SampleDoping,K43,Temperature+273.15)))</f>
        <v/>
      </c>
      <c r="W43" s="251" t="str">
        <f t="shared" si="13"/>
        <v/>
      </c>
      <c r="X43" s="246">
        <f>IF(AND(A43&gt;TimeofMaxCD,I43&gt;Traps),IF(AugerModel="Sinton",CalcImpliedV(SampleDoping,O43),CalcImpliedVRichter(O43,SampleDoping,V43)),"")</f>
        <v>0.75139555154719873</v>
      </c>
      <c r="Y43" s="253">
        <f t="shared" si="30"/>
        <v>11.600533065380153</v>
      </c>
      <c r="Z43" s="200" t="str">
        <f t="shared" si="31"/>
        <v/>
      </c>
      <c r="AA43" s="254">
        <v>195.404594</v>
      </c>
      <c r="AB43" s="254">
        <v>54.035804574498634</v>
      </c>
      <c r="AC43" s="251">
        <f t="shared" si="14"/>
        <v>1.850624799379659E-2</v>
      </c>
      <c r="AE43" s="251">
        <f t="shared" si="32"/>
        <v>1214.0400526260823</v>
      </c>
    </row>
    <row r="44" spans="1:31" x14ac:dyDescent="0.2">
      <c r="A44" s="244">
        <v>3.5498999999999999E-3</v>
      </c>
      <c r="B44" s="244">
        <v>2.0161099999999998</v>
      </c>
      <c r="C44" s="245">
        <v>0.10535700000000001</v>
      </c>
      <c r="D44" s="246">
        <f>IF(CouplingMode="AC",B44-(A$11-A$10)*SUM(B$9:B44)/0.21,B44)</f>
        <v>2.0161099999999998</v>
      </c>
      <c r="E44" s="247">
        <f t="shared" si="20"/>
        <v>10.011133778537474</v>
      </c>
      <c r="F44" s="247">
        <f t="shared" si="21"/>
        <v>10.011133778537474</v>
      </c>
      <c r="G44" s="248">
        <f t="shared" si="22"/>
        <v>1.6622731492452982E+18</v>
      </c>
      <c r="H44" s="249">
        <f t="shared" si="23"/>
        <v>6.2056656885598166E-2</v>
      </c>
      <c r="I44" s="248">
        <f>IF(MobilityModel=DK,CalcDeltaN(H44,SampleDoping,Thickness,AreaFrac),CalcDeltaNDL(H44,AreaFrac,Thickness,SampleType,SampleDoping,Temperature))</f>
        <v>1.591041447702518E+16</v>
      </c>
      <c r="J44" s="248" t="str">
        <f t="shared" si="24"/>
        <v/>
      </c>
      <c r="K44" s="248">
        <f t="shared" si="25"/>
        <v>1.591041447702518E+16</v>
      </c>
      <c r="L44" s="250">
        <f t="shared" si="33"/>
        <v>-8.3820991725463624E+18</v>
      </c>
      <c r="M44" s="196" t="str">
        <f t="shared" si="26"/>
        <v/>
      </c>
      <c r="N44" s="196" t="str">
        <f t="shared" si="27"/>
        <v/>
      </c>
      <c r="O44" s="250">
        <f t="shared" si="28"/>
        <v>1.591041447702518E+16</v>
      </c>
      <c r="P44" s="248">
        <f t="shared" si="34"/>
        <v>1.7310220480599314E-4</v>
      </c>
      <c r="Q44" s="250" t="str">
        <f t="shared" ref="Q44:Q75" si="35">IF($J44="","",P44)</f>
        <v/>
      </c>
      <c r="R44" s="251" t="str">
        <f t="shared" ref="R44:R75" si="36">IF(Q44="","",1/Q44)</f>
        <v/>
      </c>
      <c r="S44" s="252">
        <f>IF(AND(E44&gt;0.95*BiasLight,E44&lt;1.05*BiasLight),"",IF(AugerModel="Sinton",calclifetimeauger(Auger_Coefficient,I44,P44),calclifetimerichter(SampleType,I44,SampleDoping,P44)))</f>
        <v>5356.7193887989442</v>
      </c>
      <c r="T44" s="201" t="str">
        <f t="shared" ref="T44:T75" si="37">IF($J44="","",S44)</f>
        <v/>
      </c>
      <c r="U44" s="252">
        <f t="shared" si="29"/>
        <v>-69617.362255313346</v>
      </c>
      <c r="V44" s="251" t="str">
        <f>IF(AugerModel="Sinton","",IF(SampleType="n-type",n_intr_boltzmann(SampleDoping,0,K44,Temperature+273.15),n_intr_boltzmann(0,SampleDoping,K44,Temperature+273.15)))</f>
        <v/>
      </c>
      <c r="W44" s="251" t="str">
        <f t="shared" si="13"/>
        <v/>
      </c>
      <c r="X44" s="246">
        <f>IF(AND(A44&gt;TimeofMaxCD,I44&gt;Traps),IF(AugerModel="Sinton",CalcImpliedV(SampleDoping,O44),CalcImpliedVRichter(O44,SampleDoping,V44)),"")</f>
        <v>0.74904388033339508</v>
      </c>
      <c r="Y44" s="253">
        <f t="shared" si="30"/>
        <v>11.015718910871849</v>
      </c>
      <c r="Z44" s="200" t="str">
        <f t="shared" si="31"/>
        <v/>
      </c>
      <c r="AA44" s="200">
        <v>200.29631699999999</v>
      </c>
      <c r="AB44" s="200">
        <v>52.927235684808402</v>
      </c>
      <c r="AC44" s="251">
        <f t="shared" si="14"/>
        <v>1.8893864133679439E-2</v>
      </c>
      <c r="AE44" s="251">
        <f t="shared" si="32"/>
        <v>1223.4642790369683</v>
      </c>
    </row>
    <row r="45" spans="1:31" x14ac:dyDescent="0.2">
      <c r="A45" s="244">
        <v>3.6499000000000002E-3</v>
      </c>
      <c r="B45" s="244">
        <v>1.92896</v>
      </c>
      <c r="C45" s="245">
        <v>9.9976599999999999E-2</v>
      </c>
      <c r="D45" s="246">
        <f>IF(CouplingMode="AC",B45-(A$11-A$10)*SUM(B$9:B45)/0.21,B45)</f>
        <v>1.92896</v>
      </c>
      <c r="E45" s="247">
        <f t="shared" si="20"/>
        <v>9.4998824693502062</v>
      </c>
      <c r="F45" s="247">
        <f t="shared" si="21"/>
        <v>9.4998824693502062</v>
      </c>
      <c r="G45" s="248">
        <f t="shared" si="22"/>
        <v>1.5773837308658893E+18</v>
      </c>
      <c r="H45" s="249">
        <f t="shared" si="23"/>
        <v>5.9299580686801912E-2</v>
      </c>
      <c r="I45" s="248">
        <f>IF(MobilityModel=DK,CalcDeltaN(H45,SampleDoping,Thickness,AreaFrac),CalcDeltaNDL(H45,AreaFrac,Thickness,SampleType,SampleDoping,Temperature))</f>
        <v>1.5088206084509412E+16</v>
      </c>
      <c r="J45" s="248" t="str">
        <f t="shared" si="24"/>
        <v/>
      </c>
      <c r="K45" s="248">
        <f t="shared" si="25"/>
        <v>1.5088206084509412E+16</v>
      </c>
      <c r="L45" s="250">
        <f t="shared" si="33"/>
        <v>-8.046792275663703E+18</v>
      </c>
      <c r="M45" s="196" t="str">
        <f t="shared" si="26"/>
        <v/>
      </c>
      <c r="N45" s="196" t="str">
        <f t="shared" si="27"/>
        <v/>
      </c>
      <c r="O45" s="250">
        <f t="shared" si="28"/>
        <v>1.5088206084509412E+16</v>
      </c>
      <c r="P45" s="248">
        <f t="shared" si="34"/>
        <v>1.7280732474522217E-4</v>
      </c>
      <c r="Q45" s="250" t="str">
        <f t="shared" si="35"/>
        <v/>
      </c>
      <c r="R45" s="251" t="str">
        <f t="shared" si="36"/>
        <v/>
      </c>
      <c r="S45" s="252">
        <f>IF(AND(E45&gt;0.95*BiasLight,E45&lt;1.05*BiasLight),"",IF(AugerModel="Sinton",calclifetimeauger(Auger_Coefficient,I45,P45),calclifetimerichter(SampleType,I45,SampleDoping,P45)))</f>
        <v>5408.8861648705115</v>
      </c>
      <c r="T45" s="201" t="str">
        <f t="shared" si="37"/>
        <v/>
      </c>
      <c r="U45" s="252">
        <f t="shared" si="29"/>
        <v>-65123.243791323395</v>
      </c>
      <c r="V45" s="251" t="str">
        <f>IF(AugerModel="Sinton","",IF(SampleType="n-type",n_intr_boltzmann(SampleDoping,0,K45,Temperature+273.15),n_intr_boltzmann(0,SampleDoping,K45,Temperature+273.15)))</f>
        <v/>
      </c>
      <c r="W45" s="251" t="str">
        <f t="shared" si="13"/>
        <v/>
      </c>
      <c r="X45" s="246">
        <f>IF(AND(A45&gt;TimeofMaxCD,I45&gt;Traps),IF(AugerModel="Sinton",CalcImpliedV(SampleDoping,O45),CalcImpliedVRichter(O45,SampleDoping,V45)),"")</f>
        <v>0.74667395267843606</v>
      </c>
      <c r="Y45" s="253">
        <f t="shared" si="30"/>
        <v>10.464281448258866</v>
      </c>
      <c r="Z45" s="200" t="str">
        <f t="shared" si="31"/>
        <v/>
      </c>
      <c r="AE45" s="251">
        <f t="shared" si="32"/>
        <v>1232.8164677170137</v>
      </c>
    </row>
    <row r="46" spans="1:31" x14ac:dyDescent="0.2">
      <c r="A46" s="244">
        <v>3.7499E-3</v>
      </c>
      <c r="B46" s="244">
        <v>1.8444</v>
      </c>
      <c r="C46" s="245">
        <v>9.4951300000000002E-2</v>
      </c>
      <c r="D46" s="246">
        <f>IF(CouplingMode="AC",B46-(A$11-A$10)*SUM(B$9:B46)/0.21,B46)</f>
        <v>1.8444</v>
      </c>
      <c r="E46" s="247">
        <f t="shared" si="20"/>
        <v>9.0223731384345154</v>
      </c>
      <c r="F46" s="247">
        <f t="shared" si="21"/>
        <v>9.0223731384345154</v>
      </c>
      <c r="G46" s="248">
        <f t="shared" si="22"/>
        <v>1.4980969131233339E+18</v>
      </c>
      <c r="H46" s="249">
        <f t="shared" si="23"/>
        <v>5.6630881975831576E-2</v>
      </c>
      <c r="I46" s="248">
        <f>IF(MobilityModel=DK,CalcDeltaN(H46,SampleDoping,Thickness,AreaFrac),CalcDeltaNDL(H46,AreaFrac,Thickness,SampleType,SampleDoping,Temperature))</f>
        <v>1.4302153920531412E+16</v>
      </c>
      <c r="J46" s="248" t="str">
        <f t="shared" si="24"/>
        <v/>
      </c>
      <c r="K46" s="248">
        <f t="shared" si="25"/>
        <v>1.4302153920531412E+16</v>
      </c>
      <c r="L46" s="250">
        <f t="shared" si="33"/>
        <v>-7.7103655295082076E+18</v>
      </c>
      <c r="M46" s="196" t="str">
        <f t="shared" si="26"/>
        <v/>
      </c>
      <c r="N46" s="196" t="str">
        <f t="shared" si="27"/>
        <v/>
      </c>
      <c r="O46" s="250">
        <f t="shared" si="28"/>
        <v>1.4302153920531412E+16</v>
      </c>
      <c r="P46" s="248">
        <f t="shared" si="34"/>
        <v>1.7233251213552973E-4</v>
      </c>
      <c r="Q46" s="250" t="str">
        <f t="shared" si="35"/>
        <v/>
      </c>
      <c r="R46" s="251" t="str">
        <f t="shared" si="36"/>
        <v/>
      </c>
      <c r="S46" s="252">
        <f>IF(AND(E46&gt;0.95*BiasLight,E46&lt;1.05*BiasLight),"",IF(AugerModel="Sinton",calclifetimeauger(Auger_Coefficient,I46,P46),calclifetimerichter(SampleType,I46,SampleDoping,P46)))</f>
        <v>5463.1799141623515</v>
      </c>
      <c r="T46" s="201" t="str">
        <f t="shared" si="37"/>
        <v/>
      </c>
      <c r="U46" s="252">
        <f t="shared" si="29"/>
        <v>-60826.75207955212</v>
      </c>
      <c r="V46" s="251" t="str">
        <f>IF(AugerModel="Sinton","",IF(SampleType="n-type",n_intr_boltzmann(SampleDoping,0,K46,Temperature+273.15),n_intr_boltzmann(0,SampleDoping,K46,Temperature+273.15)))</f>
        <v/>
      </c>
      <c r="W46" s="251" t="str">
        <f t="shared" si="13"/>
        <v/>
      </c>
      <c r="X46" s="246">
        <f>IF(AND(A46&gt;TimeofMaxCD,I46&gt;Traps),IF(AugerModel="Sinton",CalcImpliedV(SampleDoping,O46),CalcImpliedVRichter(O46,SampleDoping,V46)),"")</f>
        <v>0.74429856870580091</v>
      </c>
      <c r="Y46" s="253">
        <f t="shared" si="30"/>
        <v>9.9464517512451014</v>
      </c>
      <c r="Z46" s="200" t="str">
        <f t="shared" si="31"/>
        <v/>
      </c>
      <c r="AE46" s="251">
        <f t="shared" si="32"/>
        <v>1242.0420222046146</v>
      </c>
    </row>
    <row r="47" spans="1:31" x14ac:dyDescent="0.2">
      <c r="A47" s="244">
        <v>3.8498999999999999E-3</v>
      </c>
      <c r="B47" s="244">
        <v>1.76189</v>
      </c>
      <c r="C47" s="245">
        <v>9.0119199999999997E-2</v>
      </c>
      <c r="D47" s="246">
        <f>IF(CouplingMode="AC",B47-(A$11-A$10)*SUM(B$9:B47)/0.21,B47)</f>
        <v>1.76189</v>
      </c>
      <c r="E47" s="247">
        <f t="shared" si="20"/>
        <v>8.563221876237689</v>
      </c>
      <c r="F47" s="247">
        <f t="shared" si="21"/>
        <v>8.563221876237689</v>
      </c>
      <c r="G47" s="248">
        <f t="shared" si="22"/>
        <v>1.4218583140319757E+18</v>
      </c>
      <c r="H47" s="249">
        <f t="shared" si="23"/>
        <v>5.4032995242486906E-2</v>
      </c>
      <c r="I47" s="248">
        <f>IF(MobilityModel=DK,CalcDeltaN(H47,SampleDoping,Thickness,AreaFrac),CalcDeltaNDL(H47,AreaFrac,Thickness,SampleType,SampleDoping,Temperature))</f>
        <v>1.354623314631166E+16</v>
      </c>
      <c r="J47" s="248" t="str">
        <f t="shared" si="24"/>
        <v/>
      </c>
      <c r="K47" s="248">
        <f t="shared" si="25"/>
        <v>1.354623314631166E+16</v>
      </c>
      <c r="L47" s="250">
        <f t="shared" si="33"/>
        <v>-7.3818407472040356E+18</v>
      </c>
      <c r="M47" s="196" t="str">
        <f t="shared" si="26"/>
        <v/>
      </c>
      <c r="N47" s="196" t="str">
        <f t="shared" si="27"/>
        <v/>
      </c>
      <c r="O47" s="250">
        <f t="shared" si="28"/>
        <v>1.354623314631166E+16</v>
      </c>
      <c r="P47" s="248">
        <f t="shared" si="34"/>
        <v>1.7183671472355212E-4</v>
      </c>
      <c r="Q47" s="250" t="str">
        <f t="shared" si="35"/>
        <v/>
      </c>
      <c r="R47" s="251" t="str">
        <f t="shared" si="36"/>
        <v/>
      </c>
      <c r="S47" s="252">
        <f>IF(AND(E47&gt;0.95*BiasLight,E47&lt;1.05*BiasLight),"",IF(AugerModel="Sinton",calclifetimeauger(Auger_Coefficient,I47,P47),calclifetimerichter(SampleType,I47,SampleDoping,P47)))</f>
        <v>5514.8673931267713</v>
      </c>
      <c r="T47" s="201" t="str">
        <f t="shared" si="37"/>
        <v/>
      </c>
      <c r="U47" s="252">
        <f t="shared" si="29"/>
        <v>-56694.955883286188</v>
      </c>
      <c r="V47" s="251" t="str">
        <f>IF(AugerModel="Sinton","",IF(SampleType="n-type",n_intr_boltzmann(SampleDoping,0,K47,Temperature+273.15),n_intr_boltzmann(0,SampleDoping,K47,Temperature+273.15)))</f>
        <v/>
      </c>
      <c r="W47" s="251" t="str">
        <f t="shared" si="13"/>
        <v/>
      </c>
      <c r="X47" s="246">
        <f>IF(AND(A47&gt;TimeofMaxCD,I47&gt;Traps),IF(AugerModel="Sinton",CalcImpliedV(SampleDoping,O47),CalcImpliedVRichter(O47,SampleDoping,V47)),"")</f>
        <v>0.74190280281482579</v>
      </c>
      <c r="Y47" s="253">
        <f t="shared" si="30"/>
        <v>9.4479271644057921</v>
      </c>
      <c r="Z47" s="200" t="str">
        <f t="shared" si="31"/>
        <v/>
      </c>
      <c r="AE47" s="251">
        <f t="shared" si="32"/>
        <v>1251.194735822211</v>
      </c>
    </row>
    <row r="48" spans="1:31" x14ac:dyDescent="0.2">
      <c r="A48" s="244">
        <v>3.9499000000000001E-3</v>
      </c>
      <c r="B48" s="244">
        <v>1.6821699999999999</v>
      </c>
      <c r="C48" s="245">
        <v>8.5560600000000001E-2</v>
      </c>
      <c r="D48" s="246">
        <f>IF(CouplingMode="AC",B48-(A$11-A$10)*SUM(B$9:B48)/0.21,B48)</f>
        <v>1.6821699999999999</v>
      </c>
      <c r="E48" s="247">
        <f t="shared" si="20"/>
        <v>8.1300588738473323</v>
      </c>
      <c r="F48" s="247">
        <f t="shared" si="21"/>
        <v>8.1300588738473323</v>
      </c>
      <c r="G48" s="248">
        <f t="shared" si="22"/>
        <v>1.3499348691906307E+18</v>
      </c>
      <c r="H48" s="249">
        <f t="shared" si="23"/>
        <v>5.1528690112778421E-2</v>
      </c>
      <c r="I48" s="248">
        <f>IF(MobilityModel=DK,CalcDeltaN(H48,SampleDoping,Thickness,AreaFrac),CalcDeltaNDL(H48,AreaFrac,Thickness,SampleType,SampleDoping,Temperature))</f>
        <v>1.2826218181369952E+16</v>
      </c>
      <c r="J48" s="248" t="str">
        <f t="shared" si="24"/>
        <v/>
      </c>
      <c r="K48" s="248">
        <f t="shared" si="25"/>
        <v>1.2826218181369952E+16</v>
      </c>
      <c r="L48" s="250">
        <f t="shared" si="33"/>
        <v>-7.0510650680372419E+18</v>
      </c>
      <c r="M48" s="196" t="str">
        <f t="shared" si="26"/>
        <v/>
      </c>
      <c r="N48" s="196" t="str">
        <f t="shared" si="27"/>
        <v/>
      </c>
      <c r="O48" s="250">
        <f t="shared" si="28"/>
        <v>1.2826218181369952E+16</v>
      </c>
      <c r="P48" s="248">
        <f t="shared" si="34"/>
        <v>1.71274322808756E-4</v>
      </c>
      <c r="Q48" s="250" t="str">
        <f t="shared" si="35"/>
        <v/>
      </c>
      <c r="R48" s="251" t="str">
        <f t="shared" si="36"/>
        <v/>
      </c>
      <c r="S48" s="252">
        <f>IF(AND(E48&gt;0.95*BiasLight,E48&lt;1.05*BiasLight),"",IF(AugerModel="Sinton",calclifetimeauger(Auger_Coefficient,I48,P48),calclifetimerichter(SampleType,I48,SampleDoping,P48)))</f>
        <v>5565.4970891645044</v>
      </c>
      <c r="T48" s="201" t="str">
        <f t="shared" si="37"/>
        <v/>
      </c>
      <c r="U48" s="252">
        <f t="shared" si="29"/>
        <v>-52759.417669679904</v>
      </c>
      <c r="V48" s="251" t="str">
        <f>IF(AugerModel="Sinton","",IF(SampleType="n-type",n_intr_boltzmann(SampleDoping,0,K48,Temperature+273.15),n_intr_boltzmann(0,SampleDoping,K48,Temperature+273.15)))</f>
        <v/>
      </c>
      <c r="W48" s="251" t="str">
        <f t="shared" si="13"/>
        <v/>
      </c>
      <c r="X48" s="246">
        <f>IF(AND(A48&gt;TimeofMaxCD,I48&gt;Traps),IF(AugerModel="Sinton",CalcImpliedV(SampleDoping,O48),CalcImpliedVRichter(O48,SampleDoping,V48)),"")</f>
        <v>0.73950879036794437</v>
      </c>
      <c r="Y48" s="253">
        <f t="shared" si="30"/>
        <v>8.9751210699225705</v>
      </c>
      <c r="Z48" s="200" t="str">
        <f t="shared" si="31"/>
        <v/>
      </c>
      <c r="AE48" s="251">
        <f t="shared" si="32"/>
        <v>1260.1866983628477</v>
      </c>
    </row>
    <row r="49" spans="1:31" x14ac:dyDescent="0.2">
      <c r="A49" s="244">
        <v>4.0499000000000004E-3</v>
      </c>
      <c r="B49" s="244">
        <v>1.60459</v>
      </c>
      <c r="C49" s="245">
        <v>8.1259799999999993E-2</v>
      </c>
      <c r="D49" s="246">
        <f>IF(CouplingMode="AC",B49-(A$11-A$10)*SUM(B$9:B49)/0.21,B49)</f>
        <v>1.60459</v>
      </c>
      <c r="E49" s="247">
        <f t="shared" si="20"/>
        <v>7.7213923006273841</v>
      </c>
      <c r="F49" s="247">
        <f t="shared" si="21"/>
        <v>7.7213923006273841</v>
      </c>
      <c r="G49" s="248">
        <f t="shared" si="22"/>
        <v>1.2820788713900649E+18</v>
      </c>
      <c r="H49" s="249">
        <f t="shared" si="23"/>
        <v>4.9097023246108547E-2</v>
      </c>
      <c r="I49" s="248">
        <f>IF(MobilityModel=DK,CalcDeltaN(H49,SampleDoping,Thickness,AreaFrac),CalcDeltaNDL(H49,AreaFrac,Thickness,SampleType,SampleDoping,Temperature))</f>
        <v>1.2135253580488122E+16</v>
      </c>
      <c r="J49" s="248" t="str">
        <f t="shared" si="24"/>
        <v/>
      </c>
      <c r="K49" s="248">
        <f t="shared" si="25"/>
        <v>1.2135253580488122E+16</v>
      </c>
      <c r="L49" s="250">
        <f t="shared" si="33"/>
        <v>-6.7341068445942364E+18</v>
      </c>
      <c r="M49" s="196" t="str">
        <f t="shared" si="26"/>
        <v/>
      </c>
      <c r="N49" s="196" t="str">
        <f t="shared" si="27"/>
        <v/>
      </c>
      <c r="O49" s="250">
        <f t="shared" si="28"/>
        <v>1.2135253580488122E+16</v>
      </c>
      <c r="P49" s="248">
        <f t="shared" si="34"/>
        <v>1.7053432758074009E-4</v>
      </c>
      <c r="Q49" s="250" t="str">
        <f t="shared" si="35"/>
        <v/>
      </c>
      <c r="R49" s="251" t="str">
        <f t="shared" si="36"/>
        <v/>
      </c>
      <c r="S49" s="252">
        <f>IF(AND(E49&gt;0.95*BiasLight,E49&lt;1.05*BiasLight),"",IF(AugerModel="Sinton",calclifetimeauger(Auger_Coefficient,I49,P49),calclifetimerichter(SampleType,I49,SampleDoping,P49)))</f>
        <v>5619.4631579108172</v>
      </c>
      <c r="T49" s="201" t="str">
        <f t="shared" si="37"/>
        <v/>
      </c>
      <c r="U49" s="252">
        <f t="shared" si="29"/>
        <v>-48982.666180577427</v>
      </c>
      <c r="V49" s="251" t="str">
        <f>IF(AugerModel="Sinton","",IF(SampleType="n-type",n_intr_boltzmann(SampleDoping,0,K49,Temperature+273.15),n_intr_boltzmann(0,SampleDoping,K49,Temperature+273.15)))</f>
        <v/>
      </c>
      <c r="W49" s="251" t="str">
        <f t="shared" si="13"/>
        <v/>
      </c>
      <c r="X49" s="246">
        <f>IF(AND(A49&gt;TimeofMaxCD,I49&gt;Traps),IF(AugerModel="Sinton",CalcImpliedV(SampleDoping,O49),CalcImpliedVRichter(O49,SampleDoping,V49)),"")</f>
        <v>0.73709790174838297</v>
      </c>
      <c r="Y49" s="253">
        <f t="shared" si="30"/>
        <v>8.5284674110946597</v>
      </c>
      <c r="Z49" s="200" t="str">
        <f t="shared" si="31"/>
        <v/>
      </c>
      <c r="AE49" s="251">
        <f t="shared" si="32"/>
        <v>1269.0850193950855</v>
      </c>
    </row>
    <row r="50" spans="1:31" x14ac:dyDescent="0.2">
      <c r="A50" s="244">
        <v>4.1498999999999998E-3</v>
      </c>
      <c r="B50" s="244">
        <v>1.5302500000000001</v>
      </c>
      <c r="C50" s="245">
        <v>7.7222700000000005E-2</v>
      </c>
      <c r="D50" s="246">
        <f>IF(CouplingMode="AC",B50-(A$11-A$10)*SUM(B$9:B50)/0.21,B50)</f>
        <v>1.5302500000000001</v>
      </c>
      <c r="E50" s="247">
        <f t="shared" si="20"/>
        <v>7.3377827808296159</v>
      </c>
      <c r="F50" s="247">
        <f t="shared" si="21"/>
        <v>7.3377827808296159</v>
      </c>
      <c r="G50" s="248">
        <f t="shared" si="22"/>
        <v>1.2183834080528576E+18</v>
      </c>
      <c r="H50" s="249">
        <f t="shared" si="23"/>
        <v>4.6771920268570362E-2</v>
      </c>
      <c r="I50" s="248">
        <f>IF(MobilityModel=DK,CalcDeltaN(H50,SampleDoping,Thickness,AreaFrac),CalcDeltaNDL(H50,AreaFrac,Thickness,SampleType,SampleDoping,Temperature))</f>
        <v>1.148211116942456E+16</v>
      </c>
      <c r="J50" s="248" t="str">
        <f t="shared" si="24"/>
        <v/>
      </c>
      <c r="K50" s="248">
        <f t="shared" si="25"/>
        <v>1.148211116942456E+16</v>
      </c>
      <c r="L50" s="250">
        <f t="shared" si="33"/>
        <v>-6.4225938579862835E+18</v>
      </c>
      <c r="M50" s="196" t="str">
        <f t="shared" si="26"/>
        <v/>
      </c>
      <c r="N50" s="196" t="str">
        <f t="shared" si="27"/>
        <v/>
      </c>
      <c r="O50" s="250">
        <f t="shared" si="28"/>
        <v>1.148211116942456E+16</v>
      </c>
      <c r="P50" s="248">
        <f t="shared" si="34"/>
        <v>1.6973346904038201E-4</v>
      </c>
      <c r="Q50" s="250" t="str">
        <f t="shared" si="35"/>
        <v/>
      </c>
      <c r="R50" s="251" t="str">
        <f t="shared" si="36"/>
        <v/>
      </c>
      <c r="S50" s="252">
        <f>IF(AND(E50&gt;0.95*BiasLight,E50&lt;1.05*BiasLight),"",IF(AugerModel="Sinton",calclifetimeauger(Auger_Coefficient,I50,P50),calclifetimerichter(SampleType,I50,SampleDoping,P50)))</f>
        <v>5672.7374121135008</v>
      </c>
      <c r="T50" s="201" t="str">
        <f t="shared" si="37"/>
        <v/>
      </c>
      <c r="U50" s="252">
        <f t="shared" si="29"/>
        <v>-45412.647440931229</v>
      </c>
      <c r="V50" s="251" t="str">
        <f>IF(AugerModel="Sinton","",IF(SampleType="n-type",n_intr_boltzmann(SampleDoping,0,K50,Temperature+273.15),n_intr_boltzmann(0,SampleDoping,K50,Temperature+273.15)))</f>
        <v/>
      </c>
      <c r="W50" s="251" t="str">
        <f t="shared" si="13"/>
        <v/>
      </c>
      <c r="X50" s="246">
        <f>IF(AND(A50&gt;TimeofMaxCD,I50&gt;Traps),IF(AugerModel="Sinton",CalcImpliedV(SampleDoping,O50),CalcImpliedVRichter(O50,SampleDoping,V50)),"")</f>
        <v>0.73470614683382407</v>
      </c>
      <c r="Y50" s="253">
        <f t="shared" si="30"/>
        <v>8.1075234111823651</v>
      </c>
      <c r="Z50" s="200" t="str">
        <f t="shared" si="31"/>
        <v/>
      </c>
      <c r="AE50" s="251">
        <f t="shared" si="32"/>
        <v>1277.7558122236217</v>
      </c>
    </row>
    <row r="51" spans="1:31" x14ac:dyDescent="0.2">
      <c r="A51" s="244">
        <v>4.2499E-3</v>
      </c>
      <c r="B51" s="244">
        <v>1.4574800000000001</v>
      </c>
      <c r="C51" s="245">
        <v>7.3377999999999999E-2</v>
      </c>
      <c r="D51" s="246">
        <f>IF(CouplingMode="AC",B51-(A$11-A$10)*SUM(B$9:B51)/0.21,B51)</f>
        <v>1.4574800000000001</v>
      </c>
      <c r="E51" s="247">
        <f t="shared" si="20"/>
        <v>6.9724553129030129</v>
      </c>
      <c r="F51" s="247">
        <f t="shared" si="21"/>
        <v>6.9724553129030129</v>
      </c>
      <c r="G51" s="248">
        <f t="shared" si="22"/>
        <v>1.1577235413434465E+18</v>
      </c>
      <c r="H51" s="249">
        <f t="shared" si="23"/>
        <v>4.4500669873536229E-2</v>
      </c>
      <c r="I51" s="248">
        <f>IF(MobilityModel=DK,CalcDeltaN(H51,SampleDoping,Thickness,AreaFrac),CalcDeltaNDL(H51,AreaFrac,Thickness,SampleType,SampleDoping,Temperature))</f>
        <v>1.0851233229987238E+16</v>
      </c>
      <c r="J51" s="248" t="str">
        <f t="shared" si="24"/>
        <v/>
      </c>
      <c r="K51" s="248">
        <f t="shared" si="25"/>
        <v>1.0851233229987238E+16</v>
      </c>
      <c r="L51" s="250">
        <f t="shared" si="33"/>
        <v>-6.1277073071476562E+18</v>
      </c>
      <c r="M51" s="196" t="str">
        <f t="shared" si="26"/>
        <v/>
      </c>
      <c r="N51" s="196" t="str">
        <f t="shared" si="27"/>
        <v/>
      </c>
      <c r="O51" s="250">
        <f t="shared" si="28"/>
        <v>1.0851233229987238E+16</v>
      </c>
      <c r="P51" s="248">
        <f t="shared" si="34"/>
        <v>1.6874694183553483E-4</v>
      </c>
      <c r="Q51" s="250" t="str">
        <f t="shared" si="35"/>
        <v/>
      </c>
      <c r="R51" s="251" t="str">
        <f t="shared" si="36"/>
        <v/>
      </c>
      <c r="S51" s="252">
        <f>IF(AND(E51&gt;0.95*BiasLight,E51&lt;1.05*BiasLight),"",IF(AugerModel="Sinton",calclifetimeauger(Auger_Coefficient,I51,P51),calclifetimerichter(SampleType,I51,SampleDoping,P51)))</f>
        <v>5730.5695442693368</v>
      </c>
      <c r="T51" s="201" t="str">
        <f t="shared" si="37"/>
        <v/>
      </c>
      <c r="U51" s="252">
        <f t="shared" si="29"/>
        <v>-41964.324337011036</v>
      </c>
      <c r="V51" s="251" t="str">
        <f>IF(AugerModel="Sinton","",IF(SampleType="n-type",n_intr_boltzmann(SampleDoping,0,K51,Temperature+273.15),n_intr_boltzmann(0,SampleDoping,K51,Temperature+273.15)))</f>
        <v/>
      </c>
      <c r="W51" s="251" t="str">
        <f t="shared" si="13"/>
        <v/>
      </c>
      <c r="X51" s="246">
        <f>IF(AND(A51&gt;TimeofMaxCD,I51&gt;Traps),IF(AugerModel="Sinton",CalcImpliedV(SampleDoping,O51),CalcImpliedVRichter(O51,SampleDoping,V51)),"")</f>
        <v>0.73228083155705115</v>
      </c>
      <c r="Y51" s="253">
        <f t="shared" si="30"/>
        <v>7.7068541227165692</v>
      </c>
      <c r="Z51" s="200" t="str">
        <f t="shared" si="31"/>
        <v/>
      </c>
      <c r="AE51" s="251">
        <f t="shared" si="32"/>
        <v>1286.3876509977533</v>
      </c>
    </row>
    <row r="52" spans="1:31" x14ac:dyDescent="0.2">
      <c r="A52" s="244">
        <v>4.3499000000000003E-3</v>
      </c>
      <c r="B52" s="244">
        <v>1.3880300000000001</v>
      </c>
      <c r="C52" s="245">
        <v>6.9776400000000002E-2</v>
      </c>
      <c r="D52" s="246">
        <f>IF(CouplingMode="AC",B52-(A$11-A$10)*SUM(B$9:B52)/0.21,B52)</f>
        <v>1.3880300000000001</v>
      </c>
      <c r="E52" s="247">
        <f t="shared" si="20"/>
        <v>6.6302274645703863</v>
      </c>
      <c r="F52" s="247">
        <f t="shared" si="21"/>
        <v>6.6302274645703863</v>
      </c>
      <c r="G52" s="248">
        <f t="shared" si="22"/>
        <v>1.1008991919948333E+18</v>
      </c>
      <c r="H52" s="249">
        <f t="shared" si="23"/>
        <v>4.2337422222600687E-2</v>
      </c>
      <c r="I52" s="248">
        <f>IF(MobilityModel=DK,CalcDeltaN(H52,SampleDoping,Thickness,AreaFrac),CalcDeltaNDL(H52,AreaFrac,Thickness,SampleType,SampleDoping,Temperature))</f>
        <v>1.0256931427627252E+16</v>
      </c>
      <c r="J52" s="248" t="str">
        <f t="shared" si="24"/>
        <v/>
      </c>
      <c r="K52" s="248">
        <f t="shared" si="25"/>
        <v>1.0256931427627252E+16</v>
      </c>
      <c r="L52" s="250">
        <f t="shared" si="33"/>
        <v>-5.8496491514802995E+18</v>
      </c>
      <c r="M52" s="196" t="str">
        <f t="shared" si="26"/>
        <v/>
      </c>
      <c r="N52" s="196" t="str">
        <f t="shared" si="27"/>
        <v/>
      </c>
      <c r="O52" s="250">
        <f t="shared" si="28"/>
        <v>1.0256931427627252E+16</v>
      </c>
      <c r="P52" s="248">
        <f t="shared" si="34"/>
        <v>1.676757795523587E-4</v>
      </c>
      <c r="Q52" s="250" t="str">
        <f t="shared" si="35"/>
        <v/>
      </c>
      <c r="R52" s="251" t="str">
        <f t="shared" si="36"/>
        <v/>
      </c>
      <c r="S52" s="252">
        <f>IF(AND(E52&gt;0.95*BiasLight,E52&lt;1.05*BiasLight),"",IF(AugerModel="Sinton",calclifetimeauger(Auger_Coefficient,I52,P52),calclifetimerichter(SampleType,I52,SampleDoping,P52)))</f>
        <v>5789.250860843079</v>
      </c>
      <c r="T52" s="201" t="str">
        <f t="shared" si="37"/>
        <v/>
      </c>
      <c r="U52" s="252">
        <f t="shared" si="29"/>
        <v>-38715.923168304529</v>
      </c>
      <c r="V52" s="251" t="str">
        <f>IF(AugerModel="Sinton","",IF(SampleType="n-type",n_intr_boltzmann(SampleDoping,0,K52,Temperature+273.15),n_intr_boltzmann(0,SampleDoping,K52,Temperature+273.15)))</f>
        <v/>
      </c>
      <c r="W52" s="251" t="str">
        <f t="shared" si="13"/>
        <v/>
      </c>
      <c r="X52" s="246">
        <f>IF(AND(A52&gt;TimeofMaxCD,I52&gt;Traps),IF(AugerModel="Sinton",CalcImpliedV(SampleDoping,O52),CalcImpliedVRichter(O52,SampleDoping,V52)),"")</f>
        <v>0.72988172402521867</v>
      </c>
      <c r="Y52" s="253">
        <f t="shared" si="30"/>
        <v>7.3313013180266342</v>
      </c>
      <c r="Z52" s="200" t="str">
        <f t="shared" si="31"/>
        <v/>
      </c>
      <c r="AE52" s="251">
        <f t="shared" si="32"/>
        <v>1294.766253715316</v>
      </c>
    </row>
    <row r="53" spans="1:31" x14ac:dyDescent="0.2">
      <c r="A53" s="244">
        <v>4.4498999999999997E-3</v>
      </c>
      <c r="B53" s="244">
        <v>1.3202199999999999</v>
      </c>
      <c r="C53" s="245">
        <v>6.6343799999999994E-2</v>
      </c>
      <c r="D53" s="246">
        <f>IF(CouplingMode="AC",B53-(A$11-A$10)*SUM(B$9:B53)/0.21,B53)</f>
        <v>1.3202199999999999</v>
      </c>
      <c r="E53" s="247">
        <f t="shared" si="20"/>
        <v>6.3040581753137843</v>
      </c>
      <c r="F53" s="247">
        <f t="shared" si="21"/>
        <v>6.3040581753137843</v>
      </c>
      <c r="G53" s="248">
        <f t="shared" si="22"/>
        <v>1.0467412450895548E+18</v>
      </c>
      <c r="H53" s="249">
        <f t="shared" si="23"/>
        <v>4.0229386145281522E-2</v>
      </c>
      <c r="I53" s="248">
        <f>IF(MobilityModel=DK,CalcDeltaN(H53,SampleDoping,Thickness,AreaFrac),CalcDeltaNDL(H53,AreaFrac,Thickness,SampleType,SampleDoping,Temperature))</f>
        <v>9683989797812950</v>
      </c>
      <c r="J53" s="248" t="str">
        <f t="shared" si="24"/>
        <v/>
      </c>
      <c r="K53" s="248">
        <f t="shared" si="25"/>
        <v>9683989797812950</v>
      </c>
      <c r="L53" s="250">
        <f t="shared" si="33"/>
        <v>-5.5769396842934508E+18</v>
      </c>
      <c r="M53" s="196" t="str">
        <f t="shared" si="26"/>
        <v/>
      </c>
      <c r="N53" s="196" t="str">
        <f t="shared" si="27"/>
        <v/>
      </c>
      <c r="O53" s="250">
        <f t="shared" si="28"/>
        <v>9683989797812950</v>
      </c>
      <c r="P53" s="248">
        <f t="shared" si="34"/>
        <v>1.6645735295763416E-4</v>
      </c>
      <c r="Q53" s="250" t="str">
        <f t="shared" si="35"/>
        <v/>
      </c>
      <c r="R53" s="251" t="str">
        <f t="shared" si="36"/>
        <v/>
      </c>
      <c r="S53" s="252">
        <f>IF(AND(E53&gt;0.95*BiasLight,E53&lt;1.05*BiasLight),"",IF(AugerModel="Sinton",calclifetimeauger(Auger_Coefficient,I53,P53),calclifetimerichter(SampleType,I53,SampleDoping,P53)))</f>
        <v>5851.8705359156202</v>
      </c>
      <c r="T53" s="201" t="str">
        <f t="shared" si="37"/>
        <v/>
      </c>
      <c r="U53" s="252">
        <f t="shared" si="29"/>
        <v>-35584.274816408666</v>
      </c>
      <c r="V53" s="251" t="str">
        <f>IF(AugerModel="Sinton","",IF(SampleType="n-type",n_intr_boltzmann(SampleDoping,0,K53,Temperature+273.15),n_intr_boltzmann(0,SampleDoping,K53,Temperature+273.15)))</f>
        <v/>
      </c>
      <c r="W53" s="251" t="str">
        <f t="shared" si="13"/>
        <v/>
      </c>
      <c r="X53" s="246">
        <f>IF(AND(A53&gt;TimeofMaxCD,I53&gt;Traps),IF(AugerModel="Sinton",CalcImpliedV(SampleDoping,O53),CalcImpliedVRichter(O53,SampleDoping,V53)),"")</f>
        <v>0.72745250735436406</v>
      </c>
      <c r="Y53" s="253">
        <f t="shared" si="30"/>
        <v>6.9724481066947561</v>
      </c>
      <c r="Z53" s="200" t="str">
        <f t="shared" si="31"/>
        <v/>
      </c>
      <c r="AE53" s="251">
        <f t="shared" si="32"/>
        <v>1303.0872467497697</v>
      </c>
    </row>
    <row r="54" spans="1:31" x14ac:dyDescent="0.2">
      <c r="A54" s="244">
        <v>4.5499E-3</v>
      </c>
      <c r="B54" s="244">
        <v>1.2551399999999999</v>
      </c>
      <c r="C54" s="245">
        <v>6.3123100000000001E-2</v>
      </c>
      <c r="D54" s="246">
        <f>IF(CouplingMode="AC",B54-(A$11-A$10)*SUM(B$9:B54)/0.21,B54)</f>
        <v>1.2551399999999999</v>
      </c>
      <c r="E54" s="247">
        <f t="shared" si="20"/>
        <v>5.9980238485909698</v>
      </c>
      <c r="F54" s="247">
        <f t="shared" si="21"/>
        <v>5.9980238485909698</v>
      </c>
      <c r="G54" s="248">
        <f t="shared" si="22"/>
        <v>9.9592655663245811E+17</v>
      </c>
      <c r="H54" s="249">
        <f t="shared" si="23"/>
        <v>3.8210054699257402E-2</v>
      </c>
      <c r="I54" s="248">
        <f>IF(MobilityModel=DK,CalcDeltaN(H54,SampleDoping,Thickness,AreaFrac),CalcDeltaNDL(H54,AreaFrac,Thickness,SampleType,SampleDoping,Temperature))</f>
        <v>9140908309771554</v>
      </c>
      <c r="J54" s="248" t="str">
        <f t="shared" si="24"/>
        <v/>
      </c>
      <c r="K54" s="248">
        <f t="shared" si="25"/>
        <v>9140908309771554</v>
      </c>
      <c r="L54" s="250">
        <f t="shared" si="33"/>
        <v>-5.3306080550587259E+18</v>
      </c>
      <c r="M54" s="196" t="str">
        <f t="shared" si="26"/>
        <v/>
      </c>
      <c r="N54" s="196" t="str">
        <f t="shared" si="27"/>
        <v/>
      </c>
      <c r="O54" s="250">
        <f t="shared" si="28"/>
        <v>9140908309771554</v>
      </c>
      <c r="P54" s="248">
        <f t="shared" si="34"/>
        <v>1.650663716840773E-4</v>
      </c>
      <c r="Q54" s="250" t="str">
        <f t="shared" si="35"/>
        <v/>
      </c>
      <c r="R54" s="251" t="str">
        <f t="shared" si="36"/>
        <v/>
      </c>
      <c r="S54" s="252">
        <f>IF(AND(E54&gt;0.95*BiasLight,E54&lt;1.05*BiasLight),"",IF(AugerModel="Sinton",calclifetimeauger(Auger_Coefficient,I54,P54),calclifetimerichter(SampleType,I54,SampleDoping,P54)))</f>
        <v>5919.4658462814714</v>
      </c>
      <c r="T54" s="201" t="str">
        <f t="shared" si="37"/>
        <v/>
      </c>
      <c r="U54" s="252">
        <f t="shared" si="29"/>
        <v>-32615.839362484287</v>
      </c>
      <c r="V54" s="251" t="str">
        <f>IF(AugerModel="Sinton","",IF(SampleType="n-type",n_intr_boltzmann(SampleDoping,0,K54,Temperature+273.15),n_intr_boltzmann(0,SampleDoping,K54,Temperature+273.15)))</f>
        <v/>
      </c>
      <c r="W54" s="251" t="str">
        <f t="shared" si="13"/>
        <v/>
      </c>
      <c r="X54" s="246">
        <f>IF(AND(A54&gt;TimeofMaxCD,I54&gt;Traps),IF(AugerModel="Sinton",CalcImpliedV(SampleDoping,O54),CalcImpliedVRichter(O54,SampleDoping,V54)),"")</f>
        <v>0.72503309028389107</v>
      </c>
      <c r="Y54" s="253">
        <f t="shared" si="30"/>
        <v>6.6368912120257866</v>
      </c>
      <c r="Z54" s="200" t="str">
        <f t="shared" si="31"/>
        <v/>
      </c>
      <c r="AE54" s="251">
        <f t="shared" si="32"/>
        <v>1311.2114064479372</v>
      </c>
    </row>
    <row r="55" spans="1:31" x14ac:dyDescent="0.2">
      <c r="A55" s="244">
        <v>4.6499000000000002E-3</v>
      </c>
      <c r="B55" s="244">
        <v>1.1920500000000001</v>
      </c>
      <c r="C55" s="245">
        <v>6.0042999999999999E-2</v>
      </c>
      <c r="D55" s="246">
        <f>IF(CouplingMode="AC",B55-(A$11-A$10)*SUM(B$9:B55)/0.21,B55)</f>
        <v>1.1920500000000001</v>
      </c>
      <c r="E55" s="247">
        <f t="shared" si="20"/>
        <v>5.7053494828509308</v>
      </c>
      <c r="F55" s="247">
        <f t="shared" si="21"/>
        <v>5.7053494828509308</v>
      </c>
      <c r="G55" s="248">
        <f t="shared" si="22"/>
        <v>9.4733018878798221E+17</v>
      </c>
      <c r="H55" s="249">
        <f t="shared" si="23"/>
        <v>3.6256056535593689E-2</v>
      </c>
      <c r="I55" s="248">
        <f>IF(MobilityModel=DK,CalcDeltaN(H55,SampleDoping,Thickness,AreaFrac),CalcDeltaNDL(H55,AreaFrac,Thickness,SampleType,SampleDoping,Temperature))</f>
        <v>8620774946768362</v>
      </c>
      <c r="J55" s="248" t="str">
        <f t="shared" si="24"/>
        <v/>
      </c>
      <c r="K55" s="248">
        <f t="shared" si="25"/>
        <v>8620774946768362</v>
      </c>
      <c r="L55" s="250">
        <f t="shared" si="33"/>
        <v>-5.0775935432848292E+18</v>
      </c>
      <c r="M55" s="196" t="str">
        <f t="shared" si="26"/>
        <v/>
      </c>
      <c r="N55" s="196" t="str">
        <f t="shared" si="27"/>
        <v/>
      </c>
      <c r="O55" s="250">
        <f t="shared" si="28"/>
        <v>8620774946768362</v>
      </c>
      <c r="P55" s="248">
        <f t="shared" si="34"/>
        <v>1.6363756855896359E-4</v>
      </c>
      <c r="Q55" s="250" t="str">
        <f t="shared" si="35"/>
        <v/>
      </c>
      <c r="R55" s="251" t="str">
        <f t="shared" si="36"/>
        <v/>
      </c>
      <c r="S55" s="252">
        <f>IF(AND(E55&gt;0.95*BiasLight,E55&lt;1.05*BiasLight),"",IF(AugerModel="Sinton",calclifetimeauger(Auger_Coefficient,I55,P55),calclifetimerichter(SampleType,I55,SampleDoping,P55)))</f>
        <v>5987.698630056304</v>
      </c>
      <c r="T55" s="201" t="str">
        <f t="shared" si="37"/>
        <v/>
      </c>
      <c r="U55" s="252">
        <f t="shared" si="29"/>
        <v>-29772.836333462052</v>
      </c>
      <c r="V55" s="251" t="str">
        <f>IF(AugerModel="Sinton","",IF(SampleType="n-type",n_intr_boltzmann(SampleDoping,0,K55,Temperature+273.15),n_intr_boltzmann(0,SampleDoping,K55,Temperature+273.15)))</f>
        <v/>
      </c>
      <c r="W55" s="251" t="str">
        <f t="shared" si="13"/>
        <v/>
      </c>
      <c r="X55" s="246">
        <f>IF(AND(A55&gt;TimeofMaxCD,I55&gt;Traps),IF(AugerModel="Sinton",CalcImpliedV(SampleDoping,O55),CalcImpliedVRichter(O55,SampleDoping,V55)),"")</f>
        <v>0.72259768903420341</v>
      </c>
      <c r="Y55" s="253">
        <f t="shared" si="30"/>
        <v>6.3138933424043575</v>
      </c>
      <c r="Z55" s="200" t="str">
        <f t="shared" si="31"/>
        <v/>
      </c>
      <c r="AE55" s="251">
        <f t="shared" si="32"/>
        <v>1319.2243828552539</v>
      </c>
    </row>
    <row r="56" spans="1:31" x14ac:dyDescent="0.2">
      <c r="A56" s="244">
        <v>4.7498999999999996E-3</v>
      </c>
      <c r="B56" s="244">
        <v>1.1309800000000001</v>
      </c>
      <c r="C56" s="245">
        <v>5.7104599999999998E-2</v>
      </c>
      <c r="D56" s="246">
        <f>IF(CouplingMode="AC",B56-(A$11-A$10)*SUM(B$9:B56)/0.21,B56)</f>
        <v>1.1309800000000001</v>
      </c>
      <c r="E56" s="247">
        <f t="shared" si="20"/>
        <v>5.4261396012592522</v>
      </c>
      <c r="F56" s="247">
        <f t="shared" si="21"/>
        <v>5.4261396012592522</v>
      </c>
      <c r="G56" s="248">
        <f t="shared" si="22"/>
        <v>9.0096949683830272E+17</v>
      </c>
      <c r="H56" s="249">
        <f t="shared" si="23"/>
        <v>3.4367984211843401E-2</v>
      </c>
      <c r="I56" s="248">
        <f>IF(MobilityModel=DK,CalcDeltaN(H56,SampleDoping,Thickness,AreaFrac),CalcDeltaNDL(H56,AreaFrac,Thickness,SampleType,SampleDoping,Temperature))</f>
        <v>8123234825620185</v>
      </c>
      <c r="J56" s="248" t="str">
        <f t="shared" si="24"/>
        <v/>
      </c>
      <c r="K56" s="248">
        <f t="shared" si="25"/>
        <v>8123234825620185</v>
      </c>
      <c r="L56" s="250">
        <f t="shared" si="33"/>
        <v>-4.8400993714176471E+18</v>
      </c>
      <c r="M56" s="196" t="str">
        <f t="shared" si="26"/>
        <v/>
      </c>
      <c r="N56" s="196" t="str">
        <f t="shared" si="27"/>
        <v/>
      </c>
      <c r="O56" s="250">
        <f t="shared" si="28"/>
        <v>8123234825620185</v>
      </c>
      <c r="P56" s="248">
        <f t="shared" si="34"/>
        <v>1.6209205188155216E-4</v>
      </c>
      <c r="Q56" s="250" t="str">
        <f t="shared" si="35"/>
        <v/>
      </c>
      <c r="R56" s="251" t="str">
        <f t="shared" si="36"/>
        <v/>
      </c>
      <c r="S56" s="252">
        <f>IF(AND(E56&gt;0.95*BiasLight,E56&lt;1.05*BiasLight),"",IF(AugerModel="Sinton",calclifetimeauger(Auger_Coefficient,I56,P56),calclifetimerichter(SampleType,I56,SampleDoping,P56)))</f>
        <v>6059.7956309389428</v>
      </c>
      <c r="T56" s="201" t="str">
        <f t="shared" si="37"/>
        <v/>
      </c>
      <c r="U56" s="252">
        <f t="shared" si="29"/>
        <v>-27053.325969202495</v>
      </c>
      <c r="V56" s="251" t="str">
        <f>IF(AugerModel="Sinton","",IF(SampleType="n-type",n_intr_boltzmann(SampleDoping,0,K56,Temperature+273.15),n_intr_boltzmann(0,SampleDoping,K56,Temperature+273.15)))</f>
        <v/>
      </c>
      <c r="W56" s="251" t="str">
        <f t="shared" si="13"/>
        <v/>
      </c>
      <c r="X56" s="246">
        <f>IF(AND(A56&gt;TimeofMaxCD,I56&gt;Traps),IF(AugerModel="Sinton",CalcImpliedV(SampleDoping,O56),CalcImpliedVRichter(O56,SampleDoping,V56)),"")</f>
        <v>0.72014787977355377</v>
      </c>
      <c r="Y56" s="253">
        <f t="shared" si="30"/>
        <v>6.0062200521649682</v>
      </c>
      <c r="Z56" s="200" t="str">
        <f t="shared" si="31"/>
        <v/>
      </c>
      <c r="AE56" s="251">
        <f t="shared" si="32"/>
        <v>1327.1177690265104</v>
      </c>
    </row>
    <row r="57" spans="1:31" x14ac:dyDescent="0.2">
      <c r="A57" s="244">
        <v>4.8498999999999999E-3</v>
      </c>
      <c r="B57" s="244">
        <v>1.0727199999999999</v>
      </c>
      <c r="C57" s="245">
        <v>5.4315500000000003E-2</v>
      </c>
      <c r="D57" s="246">
        <f>IF(CouplingMode="AC",B57-(A$11-A$10)*SUM(B$9:B57)/0.21,B57)</f>
        <v>1.0727199999999999</v>
      </c>
      <c r="E57" s="247">
        <f t="shared" si="20"/>
        <v>5.1611163638690565</v>
      </c>
      <c r="F57" s="247">
        <f t="shared" si="21"/>
        <v>5.1611163638690565</v>
      </c>
      <c r="G57" s="248">
        <f t="shared" si="22"/>
        <v>8.5696439000572326E+17</v>
      </c>
      <c r="H57" s="249">
        <f t="shared" si="23"/>
        <v>3.2569870976088391E-2</v>
      </c>
      <c r="I57" s="248">
        <f>IF(MobilityModel=DK,CalcDeltaN(H57,SampleDoping,Thickness,AreaFrac),CalcDeltaNDL(H57,AreaFrac,Thickness,SampleType,SampleDoping,Temperature))</f>
        <v>7654029768246220</v>
      </c>
      <c r="J57" s="248" t="str">
        <f t="shared" si="24"/>
        <v/>
      </c>
      <c r="K57" s="248">
        <f t="shared" si="25"/>
        <v>7654029768246220</v>
      </c>
      <c r="L57" s="250">
        <f t="shared" si="33"/>
        <v>-4.6041189434715633E+18</v>
      </c>
      <c r="M57" s="196" t="str">
        <f t="shared" si="26"/>
        <v/>
      </c>
      <c r="N57" s="196" t="str">
        <f t="shared" si="27"/>
        <v/>
      </c>
      <c r="O57" s="250">
        <f t="shared" si="28"/>
        <v>7654029768246220</v>
      </c>
      <c r="P57" s="248">
        <f t="shared" si="34"/>
        <v>1.6057071796066487E-4</v>
      </c>
      <c r="Q57" s="250" t="str">
        <f t="shared" si="35"/>
        <v/>
      </c>
      <c r="R57" s="251" t="str">
        <f t="shared" si="36"/>
        <v/>
      </c>
      <c r="S57" s="252">
        <f>IF(AND(E57&gt;0.95*BiasLight,E57&lt;1.05*BiasLight),"",IF(AugerModel="Sinton",calclifetimeauger(Auger_Coefficient,I57,P57),calclifetimerichter(SampleType,I57,SampleDoping,P57)))</f>
        <v>6130.5358432457051</v>
      </c>
      <c r="T57" s="201" t="str">
        <f t="shared" si="37"/>
        <v/>
      </c>
      <c r="U57" s="252">
        <f t="shared" si="29"/>
        <v>-24488.692561253716</v>
      </c>
      <c r="V57" s="251" t="str">
        <f>IF(AugerModel="Sinton","",IF(SampleType="n-type",n_intr_boltzmann(SampleDoping,0,K57,Temperature+273.15),n_intr_boltzmann(0,SampleDoping,K57,Temperature+273.15)))</f>
        <v/>
      </c>
      <c r="W57" s="251" t="str">
        <f t="shared" si="13"/>
        <v/>
      </c>
      <c r="X57" s="246">
        <f>IF(AND(A57&gt;TimeofMaxCD,I57&gt;Traps),IF(AugerModel="Sinton",CalcImpliedV(SampleDoping,O57),CalcImpliedVRichter(O57,SampleDoping,V57)),"")</f>
        <v>0.71771789107094763</v>
      </c>
      <c r="Y57" s="253">
        <f t="shared" si="30"/>
        <v>5.712914826628773</v>
      </c>
      <c r="Z57" s="200" t="str">
        <f t="shared" si="31"/>
        <v/>
      </c>
      <c r="AE57" s="251">
        <f t="shared" si="32"/>
        <v>1334.7818819910253</v>
      </c>
    </row>
    <row r="58" spans="1:31" x14ac:dyDescent="0.2">
      <c r="A58" s="244">
        <v>4.9499000000000001E-3</v>
      </c>
      <c r="B58" s="244">
        <v>1.01624</v>
      </c>
      <c r="C58" s="245">
        <v>5.1716900000000003E-2</v>
      </c>
      <c r="D58" s="246">
        <f>IF(CouplingMode="AC",B58-(A$11-A$10)*SUM(B$9:B58)/0.21,B58)</f>
        <v>1.01624</v>
      </c>
      <c r="E58" s="247">
        <f t="shared" si="20"/>
        <v>4.9141946383367472</v>
      </c>
      <c r="F58" s="247">
        <f t="shared" si="21"/>
        <v>4.9141946383367472</v>
      </c>
      <c r="G58" s="248">
        <f t="shared" si="22"/>
        <v>8.1596490249536499E+17</v>
      </c>
      <c r="H58" s="249">
        <f t="shared" si="23"/>
        <v>3.0829569389971702E-2</v>
      </c>
      <c r="I58" s="248">
        <f>IF(MobilityModel=DK,CalcDeltaN(H58,SampleDoping,Thickness,AreaFrac),CalcDeltaNDL(H58,AreaFrac,Thickness,SampleType,SampleDoping,Temperature))</f>
        <v>7204231213323801</v>
      </c>
      <c r="J58" s="248" t="str">
        <f t="shared" si="24"/>
        <v/>
      </c>
      <c r="K58" s="248">
        <f t="shared" si="25"/>
        <v>7204231213323801</v>
      </c>
      <c r="L58" s="250">
        <f t="shared" si="33"/>
        <v>-4.3831498848622643E+18</v>
      </c>
      <c r="M58" s="196" t="str">
        <f t="shared" si="26"/>
        <v/>
      </c>
      <c r="N58" s="196" t="str">
        <f t="shared" si="27"/>
        <v/>
      </c>
      <c r="O58" s="250">
        <f t="shared" si="28"/>
        <v>7204231213323801</v>
      </c>
      <c r="P58" s="248">
        <f t="shared" si="34"/>
        <v>1.5873101671421823E-4</v>
      </c>
      <c r="Q58" s="250" t="str">
        <f t="shared" si="35"/>
        <v/>
      </c>
      <c r="R58" s="251" t="str">
        <f t="shared" si="36"/>
        <v/>
      </c>
      <c r="S58" s="252">
        <f>IF(AND(E58&gt;0.95*BiasLight,E58&lt;1.05*BiasLight),"",IF(AugerModel="Sinton",calclifetimeauger(Auger_Coefficient,I58,P58),calclifetimerichter(SampleType,I58,SampleDoping,P58)))</f>
        <v>6213.8103741541981</v>
      </c>
      <c r="T58" s="201" t="str">
        <f t="shared" si="37"/>
        <v/>
      </c>
      <c r="U58" s="252">
        <f t="shared" si="29"/>
        <v>-22030.133381910295</v>
      </c>
      <c r="V58" s="251" t="str">
        <f>IF(AugerModel="Sinton","",IF(SampleType="n-type",n_intr_boltzmann(SampleDoping,0,K58,Temperature+273.15),n_intr_boltzmann(0,SampleDoping,K58,Temperature+273.15)))</f>
        <v/>
      </c>
      <c r="W58" s="251" t="str">
        <f t="shared" si="13"/>
        <v/>
      </c>
      <c r="X58" s="246">
        <f>IF(AND(A58&gt;TimeofMaxCD,I58&gt;Traps),IF(AugerModel="Sinton",CalcImpliedV(SampleDoping,O58),CalcImpliedVRichter(O58,SampleDoping,V58)),"")</f>
        <v>0.71526701003392024</v>
      </c>
      <c r="Y58" s="253">
        <f t="shared" si="30"/>
        <v>5.4395102086353644</v>
      </c>
      <c r="Z58" s="200" t="str">
        <f t="shared" si="31"/>
        <v/>
      </c>
      <c r="AE58" s="251">
        <f t="shared" si="32"/>
        <v>1342.3452426298318</v>
      </c>
    </row>
    <row r="59" spans="1:31" x14ac:dyDescent="0.2">
      <c r="A59" s="244">
        <v>5.0499000000000004E-3</v>
      </c>
      <c r="B59" s="244">
        <v>0.96215899999999999</v>
      </c>
      <c r="C59" s="245">
        <v>4.9213E-2</v>
      </c>
      <c r="D59" s="246">
        <f>IF(CouplingMode="AC",B59-(A$11-A$10)*SUM(B$9:B59)/0.21,B59)</f>
        <v>0.96215899999999999</v>
      </c>
      <c r="E59" s="247">
        <f t="shared" si="20"/>
        <v>4.6762714071505895</v>
      </c>
      <c r="F59" s="247">
        <f t="shared" si="21"/>
        <v>4.6762714071505895</v>
      </c>
      <c r="G59" s="248">
        <f t="shared" si="22"/>
        <v>7.7645954700502925E+17</v>
      </c>
      <c r="H59" s="249">
        <f t="shared" si="23"/>
        <v>2.9165839590808991E-2</v>
      </c>
      <c r="I59" s="248">
        <f>IF(MobilityModel=DK,CalcDeltaN(H59,SampleDoping,Thickness,AreaFrac),CalcDeltaNDL(H59,AreaFrac,Thickness,SampleType,SampleDoping,Temperature))</f>
        <v>6778217281180770</v>
      </c>
      <c r="J59" s="248" t="str">
        <f t="shared" si="24"/>
        <v/>
      </c>
      <c r="K59" s="248">
        <f t="shared" si="25"/>
        <v>6778217281180770</v>
      </c>
      <c r="L59" s="250">
        <f t="shared" si="33"/>
        <v>-4.1721776154278333E+18</v>
      </c>
      <c r="M59" s="196" t="str">
        <f t="shared" si="26"/>
        <v/>
      </c>
      <c r="N59" s="196" t="str">
        <f t="shared" si="27"/>
        <v/>
      </c>
      <c r="O59" s="250">
        <f t="shared" si="28"/>
        <v>6778217281180770</v>
      </c>
      <c r="P59" s="248">
        <f t="shared" si="34"/>
        <v>1.5693861503800601E-4</v>
      </c>
      <c r="Q59" s="250" t="str">
        <f t="shared" si="35"/>
        <v/>
      </c>
      <c r="R59" s="251" t="str">
        <f t="shared" si="36"/>
        <v/>
      </c>
      <c r="S59" s="252">
        <f>IF(AND(E59&gt;0.95*BiasLight,E59&lt;1.05*BiasLight),"",IF(AugerModel="Sinton",calclifetimeauger(Auger_Coefficient,I59,P59),calclifetimerichter(SampleType,I59,SampleDoping,P59)))</f>
        <v>6295.6506678635851</v>
      </c>
      <c r="T59" s="201" t="str">
        <f t="shared" si="37"/>
        <v/>
      </c>
      <c r="U59" s="252">
        <f t="shared" si="29"/>
        <v>-19701.578850250924</v>
      </c>
      <c r="V59" s="251" t="str">
        <f>IF(AugerModel="Sinton","",IF(SampleType="n-type",n_intr_boltzmann(SampleDoping,0,K59,Temperature+273.15),n_intr_boltzmann(0,SampleDoping,K59,Temperature+273.15)))</f>
        <v/>
      </c>
      <c r="W59" s="251" t="str">
        <f t="shared" si="13"/>
        <v/>
      </c>
      <c r="X59" s="246">
        <f>IF(AND(A59&gt;TimeofMaxCD,I59&gt;Traps),IF(AugerModel="Sinton",CalcImpliedV(SampleDoping,O59),CalcImpliedVRichter(O59,SampleDoping,V59)),"")</f>
        <v>0.7128236660076902</v>
      </c>
      <c r="Y59" s="253">
        <f t="shared" si="30"/>
        <v>5.1763021888961394</v>
      </c>
      <c r="Z59" s="200" t="str">
        <f t="shared" si="31"/>
        <v/>
      </c>
      <c r="AE59" s="251">
        <f t="shared" si="32"/>
        <v>1349.719145619548</v>
      </c>
    </row>
    <row r="60" spans="1:31" x14ac:dyDescent="0.2">
      <c r="A60" s="244">
        <v>5.1498999999999998E-3</v>
      </c>
      <c r="B60" s="244">
        <v>0.90972699999999995</v>
      </c>
      <c r="C60" s="245">
        <v>4.6859499999999998E-2</v>
      </c>
      <c r="D60" s="246">
        <f>IF(CouplingMode="AC",B60-(A$11-A$10)*SUM(B$9:B60)/0.21,B60)</f>
        <v>0.90972699999999995</v>
      </c>
      <c r="E60" s="247">
        <f t="shared" si="20"/>
        <v>4.4526393433314988</v>
      </c>
      <c r="F60" s="247">
        <f t="shared" si="21"/>
        <v>4.4526393433314988</v>
      </c>
      <c r="G60" s="248">
        <f t="shared" si="22"/>
        <v>7.3932713191396915E+17</v>
      </c>
      <c r="H60" s="249">
        <f t="shared" si="23"/>
        <v>2.7555316175795118E-2</v>
      </c>
      <c r="I60" s="248">
        <f>IF(MobilityModel=DK,CalcDeltaN(H60,SampleDoping,Thickness,AreaFrac),CalcDeltaNDL(H60,AreaFrac,Thickness,SampleType,SampleDoping,Temperature))</f>
        <v>6369566126721776</v>
      </c>
      <c r="J60" s="248" t="str">
        <f t="shared" si="24"/>
        <v/>
      </c>
      <c r="K60" s="248">
        <f t="shared" si="25"/>
        <v>6369566126721776</v>
      </c>
      <c r="L60" s="250">
        <f t="shared" si="33"/>
        <v>-3.9758635199237023E+18</v>
      </c>
      <c r="M60" s="196" t="str">
        <f t="shared" si="26"/>
        <v/>
      </c>
      <c r="N60" s="196" t="str">
        <f t="shared" si="27"/>
        <v/>
      </c>
      <c r="O60" s="250">
        <f t="shared" si="28"/>
        <v>6369566126721776</v>
      </c>
      <c r="P60" s="248">
        <f t="shared" si="34"/>
        <v>1.5487184194493635E-4</v>
      </c>
      <c r="Q60" s="250" t="str">
        <f t="shared" si="35"/>
        <v/>
      </c>
      <c r="R60" s="251" t="str">
        <f t="shared" si="36"/>
        <v/>
      </c>
      <c r="S60" s="252">
        <f>IF(AND(E60&gt;0.95*BiasLight,E60&lt;1.05*BiasLight),"",IF(AugerModel="Sinton",calclifetimeauger(Auger_Coefficient,I60,P60),calclifetimerichter(SampleType,I60,SampleDoping,P60)))</f>
        <v>6389.6032012126525</v>
      </c>
      <c r="T60" s="201" t="str">
        <f t="shared" si="37"/>
        <v/>
      </c>
      <c r="U60" s="252">
        <f t="shared" si="29"/>
        <v>-17467.927728099734</v>
      </c>
      <c r="V60" s="251" t="str">
        <f>IF(AugerModel="Sinton","",IF(SampleType="n-type",n_intr_boltzmann(SampleDoping,0,K60,Temperature+273.15),n_intr_boltzmann(0,SampleDoping,K60,Temperature+273.15)))</f>
        <v/>
      </c>
      <c r="W60" s="251" t="str">
        <f t="shared" si="13"/>
        <v/>
      </c>
      <c r="X60" s="246">
        <f>IF(AND(A60&gt;TimeofMaxCD,I60&gt;Traps),IF(AugerModel="Sinton",CalcImpliedV(SampleDoping,O60),CalcImpliedVRichter(O60,SampleDoping,V60)),"")</f>
        <v>0.71035539417425131</v>
      </c>
      <c r="Y60" s="253">
        <f t="shared" si="30"/>
        <v>4.9291421021377531</v>
      </c>
      <c r="Z60" s="200" t="str">
        <f t="shared" si="31"/>
        <v/>
      </c>
      <c r="AE60" s="251">
        <f t="shared" si="32"/>
        <v>1357.0003502380275</v>
      </c>
    </row>
    <row r="61" spans="1:31" x14ac:dyDescent="0.2">
      <c r="A61" s="244">
        <v>5.2499000000000001E-3</v>
      </c>
      <c r="B61" s="244">
        <v>0.85990800000000001</v>
      </c>
      <c r="C61" s="245">
        <v>4.4605499999999999E-2</v>
      </c>
      <c r="D61" s="246">
        <f>IF(CouplingMode="AC",B61-(A$11-A$10)*SUM(B$9:B61)/0.21,B61)</f>
        <v>0.85990800000000001</v>
      </c>
      <c r="E61" s="247">
        <f t="shared" si="20"/>
        <v>4.2384618749447434</v>
      </c>
      <c r="F61" s="247">
        <f t="shared" si="21"/>
        <v>4.2384618749447434</v>
      </c>
      <c r="G61" s="248">
        <f t="shared" si="22"/>
        <v>7.037645809833344E+17</v>
      </c>
      <c r="H61" s="249">
        <f t="shared" si="23"/>
        <v>2.6027314242465412E-2</v>
      </c>
      <c r="I61" s="248">
        <f>IF(MobilityModel=DK,CalcDeltaN(H61,SampleDoping,Thickness,AreaFrac),CalcDeltaNDL(H61,AreaFrac,Thickness,SampleType,SampleDoping,Temperature))</f>
        <v>5985273503833316</v>
      </c>
      <c r="J61" s="248" t="str">
        <f t="shared" si="24"/>
        <v/>
      </c>
      <c r="K61" s="248">
        <f t="shared" si="25"/>
        <v>5985273503833316</v>
      </c>
      <c r="L61" s="250">
        <f t="shared" si="33"/>
        <v>-3.7867598477393142E+18</v>
      </c>
      <c r="M61" s="196" t="str">
        <f t="shared" si="26"/>
        <v/>
      </c>
      <c r="N61" s="196" t="str">
        <f t="shared" si="27"/>
        <v/>
      </c>
      <c r="O61" s="250">
        <f t="shared" si="28"/>
        <v>5985273503833316</v>
      </c>
      <c r="P61" s="248">
        <f t="shared" si="34"/>
        <v>1.5287346527730812E-4</v>
      </c>
      <c r="Q61" s="250" t="str">
        <f t="shared" si="35"/>
        <v/>
      </c>
      <c r="R61" s="251" t="str">
        <f t="shared" si="36"/>
        <v/>
      </c>
      <c r="S61" s="252">
        <f>IF(AND(E61&gt;0.95*BiasLight,E61&lt;1.05*BiasLight),"",IF(AugerModel="Sinton",calclifetimeauger(Auger_Coefficient,I61,P61),calclifetimerichter(SampleType,I61,SampleDoping,P61)))</f>
        <v>6481.8905660920573</v>
      </c>
      <c r="T61" s="201" t="str">
        <f t="shared" si="37"/>
        <v/>
      </c>
      <c r="U61" s="252">
        <f t="shared" si="29"/>
        <v>-15367.418188402917</v>
      </c>
      <c r="V61" s="251" t="str">
        <f>IF(AugerModel="Sinton","",IF(SampleType="n-type",n_intr_boltzmann(SampleDoping,0,K61,Temperature+273.15),n_intr_boltzmann(0,SampleDoping,K61,Temperature+273.15)))</f>
        <v/>
      </c>
      <c r="W61" s="251" t="str">
        <f t="shared" si="13"/>
        <v/>
      </c>
      <c r="X61" s="246">
        <f>IF(AND(A61&gt;TimeofMaxCD,I61&gt;Traps),IF(AugerModel="Sinton",CalcImpliedV(SampleDoping,O61),CalcImpliedVRichter(O61,SampleDoping,V61)),"")</f>
        <v>0.70790999362008511</v>
      </c>
      <c r="Y61" s="253">
        <f t="shared" si="30"/>
        <v>4.6923007719145167</v>
      </c>
      <c r="Z61" s="200" t="str">
        <f t="shared" si="31"/>
        <v/>
      </c>
      <c r="AE61" s="251">
        <f t="shared" si="32"/>
        <v>1364.0483565422701</v>
      </c>
    </row>
    <row r="62" spans="1:31" x14ac:dyDescent="0.2">
      <c r="A62" s="244">
        <v>5.3499000000000003E-3</v>
      </c>
      <c r="B62" s="244">
        <v>0.81112799999999996</v>
      </c>
      <c r="C62" s="245">
        <v>4.2468800000000001E-2</v>
      </c>
      <c r="D62" s="246">
        <f>IF(CouplingMode="AC",B62-(A$11-A$10)*SUM(B$9:B62)/0.21,B62)</f>
        <v>0.81112799999999996</v>
      </c>
      <c r="E62" s="247">
        <f t="shared" si="20"/>
        <v>4.0354303768515836</v>
      </c>
      <c r="F62" s="247">
        <f t="shared" si="21"/>
        <v>4.0354303768515836</v>
      </c>
      <c r="G62" s="248">
        <f t="shared" si="22"/>
        <v>6.7005273423378355E+17</v>
      </c>
      <c r="H62" s="249">
        <f t="shared" si="23"/>
        <v>2.4533312882107319E-2</v>
      </c>
      <c r="I62" s="248">
        <f>IF(MobilityModel=DK,CalcDeltaN(H62,SampleDoping,Thickness,AreaFrac),CalcDeltaNDL(H62,AreaFrac,Thickness,SampleType,SampleDoping,Temperature))</f>
        <v>5612771342035677</v>
      </c>
      <c r="J62" s="248" t="str">
        <f t="shared" si="24"/>
        <v/>
      </c>
      <c r="K62" s="248">
        <f t="shared" si="25"/>
        <v>5612771342035677</v>
      </c>
      <c r="L62" s="250">
        <f t="shared" si="33"/>
        <v>-3.5900611785517727E+18</v>
      </c>
      <c r="M62" s="196" t="str">
        <f t="shared" si="26"/>
        <v/>
      </c>
      <c r="N62" s="196" t="str">
        <f t="shared" si="27"/>
        <v/>
      </c>
      <c r="O62" s="250">
        <f t="shared" si="28"/>
        <v>5612771342035677</v>
      </c>
      <c r="P62" s="248">
        <f t="shared" si="34"/>
        <v>1.5063372913382125E-4</v>
      </c>
      <c r="Q62" s="250" t="str">
        <f t="shared" si="35"/>
        <v/>
      </c>
      <c r="R62" s="251" t="str">
        <f t="shared" si="36"/>
        <v/>
      </c>
      <c r="S62" s="252">
        <f>IF(AND(E62&gt;0.95*BiasLight,E62&lt;1.05*BiasLight),"",IF(AugerModel="Sinton",calclifetimeauger(Auger_Coefficient,I62,P62),calclifetimerichter(SampleType,I62,SampleDoping,P62)))</f>
        <v>6586.3241075392079</v>
      </c>
      <c r="T62" s="201" t="str">
        <f t="shared" si="37"/>
        <v/>
      </c>
      <c r="U62" s="252">
        <f t="shared" si="29"/>
        <v>-13331.354267808918</v>
      </c>
      <c r="V62" s="251" t="str">
        <f>IF(AugerModel="Sinton","",IF(SampleType="n-type",n_intr_boltzmann(SampleDoping,0,K62,Temperature+273.15),n_intr_boltzmann(0,SampleDoping,K62,Temperature+273.15)))</f>
        <v/>
      </c>
      <c r="W62" s="251" t="str">
        <f t="shared" si="13"/>
        <v/>
      </c>
      <c r="X62" s="246">
        <f>IF(AND(A62&gt;TimeofMaxCD,I62&gt;Traps),IF(AugerModel="Sinton",CalcImpliedV(SampleDoping,O62),CalcImpliedVRichter(O62,SampleDoping,V62)),"")</f>
        <v>0.70541094143176408</v>
      </c>
      <c r="Y62" s="253">
        <f t="shared" si="30"/>
        <v>4.4656951601598349</v>
      </c>
      <c r="Z62" s="200" t="str">
        <f t="shared" si="31"/>
        <v/>
      </c>
      <c r="AE62" s="251">
        <f t="shared" si="32"/>
        <v>1371.0814639146865</v>
      </c>
    </row>
    <row r="63" spans="1:31" x14ac:dyDescent="0.2">
      <c r="A63" s="244">
        <v>5.4498999999999997E-3</v>
      </c>
      <c r="B63" s="244">
        <v>0.764903</v>
      </c>
      <c r="C63" s="245">
        <v>4.0462999999999999E-2</v>
      </c>
      <c r="D63" s="246">
        <f>IF(CouplingMode="AC",B63-(A$11-A$10)*SUM(B$9:B63)/0.21,B63)</f>
        <v>0.764903</v>
      </c>
      <c r="E63" s="247">
        <f t="shared" si="20"/>
        <v>3.8448371354628716</v>
      </c>
      <c r="F63" s="247">
        <f t="shared" si="21"/>
        <v>3.8448371354628716</v>
      </c>
      <c r="G63" s="248">
        <f t="shared" si="22"/>
        <v>6.3840616606312346E+17</v>
      </c>
      <c r="H63" s="249">
        <f t="shared" si="23"/>
        <v>2.3119512265683227E-2</v>
      </c>
      <c r="I63" s="248">
        <f>IF(MobilityModel=DK,CalcDeltaN(H63,SampleDoping,Thickness,AreaFrac),CalcDeltaNDL(H63,AreaFrac,Thickness,SampleType,SampleDoping,Temperature))</f>
        <v>5263234749654164</v>
      </c>
      <c r="J63" s="248" t="str">
        <f t="shared" si="24"/>
        <v/>
      </c>
      <c r="K63" s="248">
        <f t="shared" si="25"/>
        <v>5263234749654164</v>
      </c>
      <c r="L63" s="250">
        <f t="shared" si="33"/>
        <v>-3.4056855571027523E+18</v>
      </c>
      <c r="M63" s="196" t="str">
        <f t="shared" si="26"/>
        <v/>
      </c>
      <c r="N63" s="196" t="str">
        <f t="shared" si="27"/>
        <v/>
      </c>
      <c r="O63" s="250">
        <f t="shared" si="28"/>
        <v>5263234749654164</v>
      </c>
      <c r="P63" s="248">
        <f t="shared" si="34"/>
        <v>1.4831696459419725E-4</v>
      </c>
      <c r="Q63" s="250" t="str">
        <f t="shared" si="35"/>
        <v/>
      </c>
      <c r="R63" s="251" t="str">
        <f t="shared" si="36"/>
        <v/>
      </c>
      <c r="S63" s="252">
        <f>IF(AND(E63&gt;0.95*BiasLight,E63&lt;1.05*BiasLight),"",IF(AugerModel="Sinton",calclifetimeauger(Auger_Coefficient,I63,P63),calclifetimerichter(SampleType,I63,SampleDoping,P63)))</f>
        <v>6696.3323330270223</v>
      </c>
      <c r="T63" s="201" t="str">
        <f t="shared" si="37"/>
        <v/>
      </c>
      <c r="U63" s="252">
        <f t="shared" si="29"/>
        <v>-11420.818121546265</v>
      </c>
      <c r="V63" s="251" t="str">
        <f>IF(AugerModel="Sinton","",IF(SampleType="n-type",n_intr_boltzmann(SampleDoping,0,K63,Temperature+273.15),n_intr_boltzmann(0,SampleDoping,K63,Temperature+273.15)))</f>
        <v/>
      </c>
      <c r="W63" s="251" t="str">
        <f t="shared" si="13"/>
        <v/>
      </c>
      <c r="X63" s="246">
        <f>IF(AND(A63&gt;TimeofMaxCD,I63&gt;Traps),IF(AugerModel="Sinton",CalcImpliedV(SampleDoping,O63),CalcImpliedVRichter(O63,SampleDoping,V63)),"")</f>
        <v>0.70293681711170863</v>
      </c>
      <c r="Y63" s="253">
        <f t="shared" si="30"/>
        <v>4.2530047084828881</v>
      </c>
      <c r="Z63" s="200" t="str">
        <f t="shared" si="31"/>
        <v/>
      </c>
      <c r="AE63" s="251">
        <f t="shared" si="32"/>
        <v>1377.8766451471802</v>
      </c>
    </row>
    <row r="64" spans="1:31" x14ac:dyDescent="0.2">
      <c r="A64" s="244">
        <v>5.5499E-3</v>
      </c>
      <c r="B64" s="244">
        <v>0.72115799999999997</v>
      </c>
      <c r="C64" s="245">
        <v>3.8502000000000002E-2</v>
      </c>
      <c r="D64" s="246">
        <f>IF(CouplingMode="AC",B64-(A$11-A$10)*SUM(B$9:B64)/0.21,B64)</f>
        <v>0.72115799999999997</v>
      </c>
      <c r="E64" s="247">
        <f t="shared" si="20"/>
        <v>3.6585008375452017</v>
      </c>
      <c r="F64" s="247">
        <f t="shared" si="21"/>
        <v>3.6585008375452017</v>
      </c>
      <c r="G64" s="248">
        <f t="shared" si="22"/>
        <v>6.0746643120288614E+17</v>
      </c>
      <c r="H64" s="249">
        <f t="shared" si="23"/>
        <v>2.1783308635488927E-2</v>
      </c>
      <c r="I64" s="248">
        <f>IF(MobilityModel=DK,CalcDeltaN(H64,SampleDoping,Thickness,AreaFrac),CalcDeltaNDL(H64,AreaFrac,Thickness,SampleType,SampleDoping,Temperature))</f>
        <v>4935554914535466</v>
      </c>
      <c r="J64" s="248" t="str">
        <f t="shared" si="24"/>
        <v/>
      </c>
      <c r="K64" s="248">
        <f t="shared" si="25"/>
        <v>4935554914535466</v>
      </c>
      <c r="L64" s="250">
        <f t="shared" si="33"/>
        <v>-3.2254694838006252E+18</v>
      </c>
      <c r="M64" s="196" t="str">
        <f t="shared" si="26"/>
        <v/>
      </c>
      <c r="N64" s="196" t="str">
        <f t="shared" si="27"/>
        <v/>
      </c>
      <c r="O64" s="250">
        <f t="shared" si="28"/>
        <v>4935554914535466</v>
      </c>
      <c r="P64" s="248">
        <f t="shared" si="34"/>
        <v>1.4623250806846544E-4</v>
      </c>
      <c r="Q64" s="250" t="str">
        <f t="shared" si="35"/>
        <v/>
      </c>
      <c r="R64" s="251" t="str">
        <f t="shared" si="36"/>
        <v/>
      </c>
      <c r="S64" s="252">
        <f>IF(AND(E64&gt;0.95*BiasLight,E64&lt;1.05*BiasLight),"",IF(AugerModel="Sinton",calclifetimeauger(Auger_Coefficient,I64,P64),calclifetimerichter(SampleType,I64,SampleDoping,P64)))</f>
        <v>6797.9876275409461</v>
      </c>
      <c r="T64" s="201" t="str">
        <f t="shared" si="37"/>
        <v/>
      </c>
      <c r="U64" s="252">
        <f t="shared" si="29"/>
        <v>-9629.749080304533</v>
      </c>
      <c r="V64" s="251" t="str">
        <f>IF(AugerModel="Sinton","",IF(SampleType="n-type",n_intr_boltzmann(SampleDoping,0,K64,Temperature+273.15),n_intr_boltzmann(0,SampleDoping,K64,Temperature+273.15)))</f>
        <v/>
      </c>
      <c r="W64" s="251" t="str">
        <f t="shared" si="13"/>
        <v/>
      </c>
      <c r="X64" s="246">
        <f>IF(AND(A64&gt;TimeofMaxCD,I64&gt;Traps),IF(AugerModel="Sinton",CalcImpliedV(SampleDoping,O64),CalcImpliedVRichter(O64,SampleDoping,V64)),"")</f>
        <v>0.70048991478213551</v>
      </c>
      <c r="Y64" s="253">
        <f t="shared" si="30"/>
        <v>4.0450697174311676</v>
      </c>
      <c r="Z64" s="200" t="str">
        <f t="shared" si="31"/>
        <v/>
      </c>
      <c r="AE64" s="251">
        <f t="shared" si="32"/>
        <v>1384.43403754311</v>
      </c>
    </row>
    <row r="65" spans="1:31" x14ac:dyDescent="0.2">
      <c r="A65" s="244">
        <v>5.6499000000000002E-3</v>
      </c>
      <c r="B65" s="244">
        <v>0.67878499999999997</v>
      </c>
      <c r="C65" s="245">
        <v>3.6680699999999997E-2</v>
      </c>
      <c r="D65" s="246">
        <f>IF(CouplingMode="AC",B65-(A$11-A$10)*SUM(B$9:B65)/0.21,B65)</f>
        <v>0.67878499999999997</v>
      </c>
      <c r="E65" s="247">
        <f t="shared" si="20"/>
        <v>3.4854389816566482</v>
      </c>
      <c r="F65" s="247">
        <f t="shared" si="21"/>
        <v>3.4854389816566482</v>
      </c>
      <c r="G65" s="248">
        <f t="shared" si="22"/>
        <v>5.78730817178944E+17</v>
      </c>
      <c r="H65" s="249">
        <f t="shared" si="23"/>
        <v>2.0490631696052492E-2</v>
      </c>
      <c r="I65" s="248">
        <f>IF(MobilityModel=DK,CalcDeltaN(H65,SampleDoping,Thickness,AreaFrac),CalcDeltaNDL(H65,AreaFrac,Thickness,SampleType,SampleDoping,Temperature))</f>
        <v>4621038939032045</v>
      </c>
      <c r="J65" s="248" t="str">
        <f t="shared" si="24"/>
        <v/>
      </c>
      <c r="K65" s="248">
        <f t="shared" si="25"/>
        <v>4621038939032045</v>
      </c>
      <c r="L65" s="250">
        <f t="shared" si="33"/>
        <v>-3.0573184015390725E+18</v>
      </c>
      <c r="M65" s="196" t="str">
        <f t="shared" si="26"/>
        <v/>
      </c>
      <c r="N65" s="196" t="str">
        <f t="shared" si="27"/>
        <v/>
      </c>
      <c r="O65" s="250">
        <f t="shared" si="28"/>
        <v>4621038939032045</v>
      </c>
      <c r="P65" s="248">
        <f t="shared" si="34"/>
        <v>1.437817063320368E-4</v>
      </c>
      <c r="Q65" s="250" t="str">
        <f t="shared" si="35"/>
        <v/>
      </c>
      <c r="R65" s="251" t="str">
        <f t="shared" si="36"/>
        <v/>
      </c>
      <c r="S65" s="252">
        <f>IF(AND(E65&gt;0.95*BiasLight,E65&lt;1.05*BiasLight),"",IF(AugerModel="Sinton",calclifetimeauger(Auger_Coefficient,I65,P65),calclifetimerichter(SampleType,I65,SampleDoping,P65)))</f>
        <v>6919.5400653315428</v>
      </c>
      <c r="T65" s="201" t="str">
        <f t="shared" si="37"/>
        <v/>
      </c>
      <c r="U65" s="252">
        <f t="shared" si="29"/>
        <v>-7910.6325332150082</v>
      </c>
      <c r="V65" s="251" t="str">
        <f>IF(AugerModel="Sinton","",IF(SampleType="n-type",n_intr_boltzmann(SampleDoping,0,K65,Temperature+273.15),n_intr_boltzmann(0,SampleDoping,K65,Temperature+273.15)))</f>
        <v/>
      </c>
      <c r="W65" s="251" t="str">
        <f t="shared" si="13"/>
        <v/>
      </c>
      <c r="X65" s="246">
        <f>IF(AND(A65&gt;TimeofMaxCD,I65&gt;Traps),IF(AugerModel="Sinton",CalcImpliedV(SampleDoping,O65),CalcImpliedVRichter(O65,SampleDoping,V65)),"")</f>
        <v>0.69801087802413619</v>
      </c>
      <c r="Y65" s="253">
        <f t="shared" si="30"/>
        <v>3.8518551439776449</v>
      </c>
      <c r="Z65" s="200" t="str">
        <f t="shared" si="31"/>
        <v/>
      </c>
      <c r="AE65" s="251">
        <f t="shared" si="32"/>
        <v>1390.9135277530736</v>
      </c>
    </row>
    <row r="66" spans="1:31" x14ac:dyDescent="0.2">
      <c r="A66" s="244">
        <v>5.7498999999999996E-3</v>
      </c>
      <c r="B66" s="244">
        <v>0.63801799999999997</v>
      </c>
      <c r="C66" s="245">
        <v>3.4931700000000003E-2</v>
      </c>
      <c r="D66" s="246">
        <f>IF(CouplingMode="AC",B66-(A$11-A$10)*SUM(B$9:B66)/0.21,B66)</f>
        <v>0.63801799999999997</v>
      </c>
      <c r="E66" s="247">
        <f t="shared" si="20"/>
        <v>3.3192471483787265</v>
      </c>
      <c r="F66" s="247">
        <f t="shared" si="21"/>
        <v>3.3192471483787265</v>
      </c>
      <c r="G66" s="248">
        <f t="shared" si="22"/>
        <v>5.511359185198135E+17</v>
      </c>
      <c r="H66" s="249">
        <f t="shared" si="23"/>
        <v>1.9248452504436863E-2</v>
      </c>
      <c r="I66" s="248">
        <f>IF(MobilityModel=DK,CalcDeltaN(H66,SampleDoping,Thickness,AreaFrac),CalcDeltaNDL(H66,AreaFrac,Thickness,SampleType,SampleDoping,Temperature))</f>
        <v>4321134505446425</v>
      </c>
      <c r="J66" s="248" t="str">
        <f t="shared" si="24"/>
        <v/>
      </c>
      <c r="K66" s="248">
        <f t="shared" si="25"/>
        <v>4321134505446425</v>
      </c>
      <c r="L66" s="250">
        <f t="shared" si="33"/>
        <v>-2.9027820601011461E+18</v>
      </c>
      <c r="M66" s="196" t="str">
        <f t="shared" si="26"/>
        <v/>
      </c>
      <c r="N66" s="196" t="str">
        <f t="shared" si="27"/>
        <v/>
      </c>
      <c r="O66" s="250">
        <f t="shared" si="28"/>
        <v>4321134505446425</v>
      </c>
      <c r="P66" s="248">
        <f t="shared" si="34"/>
        <v>1.4122252533992874E-4</v>
      </c>
      <c r="Q66" s="250" t="str">
        <f t="shared" si="35"/>
        <v/>
      </c>
      <c r="R66" s="251" t="str">
        <f t="shared" si="36"/>
        <v/>
      </c>
      <c r="S66" s="252">
        <f>IF(AND(E66&gt;0.95*BiasLight,E66&lt;1.05*BiasLight),"",IF(AugerModel="Sinton",calclifetimeauger(Auger_Coefficient,I66,P66),calclifetimerichter(SampleType,I66,SampleDoping,P66)))</f>
        <v>7050.0274960287743</v>
      </c>
      <c r="T66" s="201" t="str">
        <f t="shared" si="37"/>
        <v/>
      </c>
      <c r="U66" s="252">
        <f t="shared" si="29"/>
        <v>-6271.3813838979731</v>
      </c>
      <c r="V66" s="251" t="str">
        <f>IF(AugerModel="Sinton","",IF(SampleType="n-type",n_intr_boltzmann(SampleDoping,0,K66,Temperature+273.15),n_intr_boltzmann(0,SampleDoping,K66,Temperature+273.15)))</f>
        <v/>
      </c>
      <c r="W66" s="251" t="str">
        <f t="shared" si="13"/>
        <v/>
      </c>
      <c r="X66" s="246">
        <f>IF(AND(A66&gt;TimeofMaxCD,I66&gt;Traps),IF(AugerModel="Sinton",CalcImpliedV(SampleDoping,O66),CalcImpliedVRichter(O66,SampleDoping,V66)),"")</f>
        <v>0.69551298574468712</v>
      </c>
      <c r="Y66" s="253">
        <f t="shared" si="30"/>
        <v>3.6671423044674953</v>
      </c>
      <c r="Z66" s="200" t="str">
        <f t="shared" si="31"/>
        <v/>
      </c>
      <c r="AE66" s="251">
        <f t="shared" si="32"/>
        <v>1397.2767950303166</v>
      </c>
    </row>
    <row r="67" spans="1:31" x14ac:dyDescent="0.2">
      <c r="A67" s="244">
        <v>5.8498999999999999E-3</v>
      </c>
      <c r="B67" s="244">
        <v>0.59971699999999994</v>
      </c>
      <c r="C67" s="245">
        <v>3.3255E-2</v>
      </c>
      <c r="D67" s="246">
        <f>IF(CouplingMode="AC",B67-(A$11-A$10)*SUM(B$9:B67)/0.21,B67)</f>
        <v>0.59971699999999994</v>
      </c>
      <c r="E67" s="247">
        <f t="shared" si="20"/>
        <v>3.1599253377114351</v>
      </c>
      <c r="F67" s="247">
        <f t="shared" si="21"/>
        <v>3.1599253377114351</v>
      </c>
      <c r="G67" s="248">
        <f t="shared" si="22"/>
        <v>5.2468173522549414E+17</v>
      </c>
      <c r="H67" s="249">
        <f t="shared" si="23"/>
        <v>1.808275610436379E-2</v>
      </c>
      <c r="I67" s="248">
        <f>IF(MobilityModel=DK,CalcDeltaN(H67,SampleDoping,Thickness,AreaFrac),CalcDeltaNDL(H67,AreaFrac,Thickness,SampleType,SampleDoping,Temperature))</f>
        <v>4041785753429148</v>
      </c>
      <c r="J67" s="248" t="str">
        <f t="shared" si="24"/>
        <v/>
      </c>
      <c r="K67" s="248">
        <f t="shared" si="25"/>
        <v>4041785753429148</v>
      </c>
      <c r="L67" s="250">
        <f t="shared" si="33"/>
        <v>-2.745842550928105E+18</v>
      </c>
      <c r="M67" s="196" t="str">
        <f t="shared" si="26"/>
        <v/>
      </c>
      <c r="N67" s="196" t="str">
        <f t="shared" si="27"/>
        <v/>
      </c>
      <c r="O67" s="250">
        <f t="shared" si="28"/>
        <v>4041785753429148</v>
      </c>
      <c r="P67" s="248">
        <f t="shared" si="34"/>
        <v>1.388368792197433E-4</v>
      </c>
      <c r="Q67" s="250" t="str">
        <f t="shared" si="35"/>
        <v/>
      </c>
      <c r="R67" s="251" t="str">
        <f t="shared" si="36"/>
        <v/>
      </c>
      <c r="S67" s="252">
        <f>IF(AND(E67&gt;0.95*BiasLight,E67&lt;1.05*BiasLight),"",IF(AugerModel="Sinton",calclifetimeauger(Auger_Coefficient,I67,P67),calclifetimerichter(SampleType,I67,SampleDoping,P67)))</f>
        <v>7175.5793780174954</v>
      </c>
      <c r="T67" s="201" t="str">
        <f t="shared" si="37"/>
        <v/>
      </c>
      <c r="U67" s="252">
        <f t="shared" si="29"/>
        <v>-4744.4857747543138</v>
      </c>
      <c r="V67" s="251" t="str">
        <f>IF(AugerModel="Sinton","",IF(SampleType="n-type",n_intr_boltzmann(SampleDoping,0,K67,Temperature+273.15),n_intr_boltzmann(0,SampleDoping,K67,Temperature+273.15)))</f>
        <v/>
      </c>
      <c r="W67" s="251" t="str">
        <f t="shared" si="13"/>
        <v/>
      </c>
      <c r="X67" s="246">
        <f>IF(AND(A67&gt;TimeofMaxCD,I67&gt;Traps),IF(AugerModel="Sinton",CalcImpliedV(SampleDoping,O67),CalcImpliedVRichter(O67,SampleDoping,V67)),"")</f>
        <v>0.69305348694890179</v>
      </c>
      <c r="Y67" s="253">
        <f t="shared" si="30"/>
        <v>3.4890114706252615</v>
      </c>
      <c r="Z67" s="200" t="str">
        <f t="shared" si="31"/>
        <v/>
      </c>
      <c r="AE67" s="251">
        <f t="shared" si="32"/>
        <v>1403.3815019640838</v>
      </c>
    </row>
    <row r="68" spans="1:31" x14ac:dyDescent="0.2">
      <c r="A68" s="244">
        <v>5.9499000000000002E-3</v>
      </c>
      <c r="B68" s="244">
        <v>0.562666</v>
      </c>
      <c r="C68" s="245">
        <v>3.17022E-2</v>
      </c>
      <c r="D68" s="246">
        <f>IF(CouplingMode="AC",B68-(A$11-A$10)*SUM(B$9:B68)/0.21,B68)</f>
        <v>0.562666</v>
      </c>
      <c r="E68" s="247">
        <f t="shared" si="20"/>
        <v>3.0123766363312425</v>
      </c>
      <c r="F68" s="247">
        <f t="shared" si="21"/>
        <v>3.0123766363312425</v>
      </c>
      <c r="G68" s="248">
        <f t="shared" si="22"/>
        <v>5.0018238780531238E+17</v>
      </c>
      <c r="H68" s="249">
        <f t="shared" si="23"/>
        <v>1.695634197048565E-2</v>
      </c>
      <c r="I68" s="248">
        <f>IF(MobilityModel=DK,CalcDeltaN(H68,SampleDoping,Thickness,AreaFrac),CalcDeltaNDL(H68,AreaFrac,Thickness,SampleType,SampleDoping,Temperature))</f>
        <v>3773790477286341.5</v>
      </c>
      <c r="J68" s="248" t="str">
        <f t="shared" si="24"/>
        <v/>
      </c>
      <c r="K68" s="248">
        <f t="shared" si="25"/>
        <v>3773790477286341.5</v>
      </c>
      <c r="L68" s="250">
        <f t="shared" si="33"/>
        <v>-2.6010328897543711E+18</v>
      </c>
      <c r="M68" s="196" t="str">
        <f t="shared" si="26"/>
        <v/>
      </c>
      <c r="N68" s="196" t="str">
        <f t="shared" si="27"/>
        <v/>
      </c>
      <c r="O68" s="250">
        <f t="shared" si="28"/>
        <v>3773790477286341.5</v>
      </c>
      <c r="P68" s="248">
        <f t="shared" si="34"/>
        <v>1.3606194543135439E-4</v>
      </c>
      <c r="Q68" s="250" t="str">
        <f t="shared" si="35"/>
        <v/>
      </c>
      <c r="R68" s="251" t="str">
        <f t="shared" si="36"/>
        <v/>
      </c>
      <c r="S68" s="252">
        <f>IF(AND(E68&gt;0.95*BiasLight,E68&lt;1.05*BiasLight),"",IF(AugerModel="Sinton",calclifetimeauger(Auger_Coefficient,I68,P68),calclifetimerichter(SampleType,I68,SampleDoping,P68)))</f>
        <v>7325.9526944291802</v>
      </c>
      <c r="T68" s="201" t="str">
        <f t="shared" si="37"/>
        <v/>
      </c>
      <c r="U68" s="252">
        <f t="shared" si="29"/>
        <v>-3279.6472621112116</v>
      </c>
      <c r="V68" s="251" t="str">
        <f>IF(AugerModel="Sinton","",IF(SampleType="n-type",n_intr_boltzmann(SampleDoping,0,K68,Temperature+273.15),n_intr_boltzmann(0,SampleDoping,K68,Temperature+273.15)))</f>
        <v/>
      </c>
      <c r="W68" s="251" t="str">
        <f t="shared" si="13"/>
        <v/>
      </c>
      <c r="X68" s="246">
        <f>IF(AND(A68&gt;TimeofMaxCD,I68&gt;Traps),IF(AugerModel="Sinton",CalcImpliedV(SampleDoping,O68),CalcImpliedVRichter(O68,SampleDoping,V68)),"")</f>
        <v>0.69055780157662661</v>
      </c>
      <c r="Y68" s="253">
        <f t="shared" si="30"/>
        <v>3.3241074946725631</v>
      </c>
      <c r="Z68" s="200" t="str">
        <f t="shared" si="31"/>
        <v/>
      </c>
      <c r="AE68" s="251">
        <f t="shared" si="32"/>
        <v>1409.4146918191736</v>
      </c>
    </row>
    <row r="69" spans="1:31" x14ac:dyDescent="0.2">
      <c r="A69" s="244">
        <v>6.0499000000000004E-3</v>
      </c>
      <c r="B69" s="244">
        <v>0.52754400000000001</v>
      </c>
      <c r="C69" s="245">
        <v>3.0189500000000001E-2</v>
      </c>
      <c r="D69" s="246">
        <f>IF(CouplingMode="AC",B69-(A$11-A$10)*SUM(B$9:B69)/0.21,B69)</f>
        <v>0.52754400000000001</v>
      </c>
      <c r="E69" s="247">
        <f t="shared" si="20"/>
        <v>2.8686382794418699</v>
      </c>
      <c r="F69" s="247">
        <f t="shared" si="21"/>
        <v>2.8686382794418699</v>
      </c>
      <c r="G69" s="248">
        <f t="shared" si="22"/>
        <v>4.7631571930807578E+17</v>
      </c>
      <c r="H69" s="249">
        <f t="shared" si="23"/>
        <v>1.5889697096773965E-2</v>
      </c>
      <c r="I69" s="248">
        <f>IF(MobilityModel=DK,CalcDeltaN(H69,SampleDoping,Thickness,AreaFrac),CalcDeltaNDL(H69,AreaFrac,Thickness,SampleType,SampleDoping,Temperature))</f>
        <v>3521789677648033</v>
      </c>
      <c r="J69" s="248" t="str">
        <f t="shared" si="24"/>
        <v/>
      </c>
      <c r="K69" s="248">
        <f t="shared" si="25"/>
        <v>3521789677648033</v>
      </c>
      <c r="L69" s="250">
        <f t="shared" si="33"/>
        <v>-2.464274413916246E+18</v>
      </c>
      <c r="M69" s="196" t="str">
        <f t="shared" si="26"/>
        <v/>
      </c>
      <c r="N69" s="196" t="str">
        <f t="shared" si="27"/>
        <v/>
      </c>
      <c r="O69" s="250">
        <f t="shared" si="28"/>
        <v>3521789677648033</v>
      </c>
      <c r="P69" s="248">
        <f t="shared" si="34"/>
        <v>1.3340244960910282E-4</v>
      </c>
      <c r="Q69" s="250" t="str">
        <f t="shared" si="35"/>
        <v/>
      </c>
      <c r="R69" s="251" t="str">
        <f t="shared" si="36"/>
        <v/>
      </c>
      <c r="S69" s="252">
        <f>IF(AND(E69&gt;0.95*BiasLight,E69&lt;1.05*BiasLight),"",IF(AugerModel="Sinton",calclifetimeauger(Auger_Coefficient,I69,P69),calclifetimerichter(SampleType,I69,SampleDoping,P69)))</f>
        <v>7475.5252395600728</v>
      </c>
      <c r="T69" s="201" t="str">
        <f t="shared" si="37"/>
        <v/>
      </c>
      <c r="U69" s="252">
        <f t="shared" si="29"/>
        <v>-1902.2331455640669</v>
      </c>
      <c r="V69" s="251" t="str">
        <f>IF(AugerModel="Sinton","",IF(SampleType="n-type",n_intr_boltzmann(SampleDoping,0,K69,Temperature+273.15),n_intr_boltzmann(0,SampleDoping,K69,Temperature+273.15)))</f>
        <v/>
      </c>
      <c r="W69" s="251" t="str">
        <f t="shared" si="13"/>
        <v/>
      </c>
      <c r="X69" s="246">
        <f>IF(AND(A69&gt;TimeofMaxCD,I69&gt;Traps),IF(AugerModel="Sinton",CalcImpliedV(SampleDoping,O69),CalcImpliedVRichter(O69,SampleDoping,V69)),"")</f>
        <v>0.68807329955670005</v>
      </c>
      <c r="Y69" s="253">
        <f t="shared" si="30"/>
        <v>3.1639787886928743</v>
      </c>
      <c r="Z69" s="200" t="str">
        <f t="shared" si="31"/>
        <v/>
      </c>
      <c r="AE69" s="251">
        <f t="shared" si="32"/>
        <v>1415.2612441927304</v>
      </c>
    </row>
    <row r="70" spans="1:31" x14ac:dyDescent="0.2">
      <c r="A70" s="244">
        <v>6.1498999999999998E-3</v>
      </c>
      <c r="B70" s="244">
        <v>0.49366700000000002</v>
      </c>
      <c r="C70" s="245">
        <v>2.87052E-2</v>
      </c>
      <c r="D70" s="246">
        <f>IF(CouplingMode="AC",B70-(A$11-A$10)*SUM(B$9:B70)/0.21,B70)</f>
        <v>0.49366700000000002</v>
      </c>
      <c r="E70" s="247">
        <f t="shared" si="20"/>
        <v>2.7275985206457465</v>
      </c>
      <c r="F70" s="247">
        <f t="shared" si="21"/>
        <v>2.7275985206457465</v>
      </c>
      <c r="G70" s="248">
        <f t="shared" si="22"/>
        <v>4.5289713264155341E+17</v>
      </c>
      <c r="H70" s="249">
        <f t="shared" si="23"/>
        <v>1.4861899302403985E-2</v>
      </c>
      <c r="I70" s="248">
        <f>IF(MobilityModel=DK,CalcDeltaN(H70,SampleDoping,Thickness,AreaFrac),CalcDeltaNDL(H70,AreaFrac,Thickness,SampleType,SampleDoping,Temperature))</f>
        <v>3280616098459796</v>
      </c>
      <c r="J70" s="248" t="str">
        <f t="shared" si="24"/>
        <v/>
      </c>
      <c r="K70" s="248">
        <f t="shared" si="25"/>
        <v>3280616098459796</v>
      </c>
      <c r="L70" s="250">
        <f t="shared" si="33"/>
        <v>-2.3264003360760904E+18</v>
      </c>
      <c r="M70" s="196" t="str">
        <f t="shared" si="26"/>
        <v/>
      </c>
      <c r="N70" s="196" t="str">
        <f t="shared" si="27"/>
        <v/>
      </c>
      <c r="O70" s="250">
        <f t="shared" si="28"/>
        <v>3280616098459796</v>
      </c>
      <c r="P70" s="248">
        <f t="shared" si="34"/>
        <v>1.3077973015828963E-4</v>
      </c>
      <c r="Q70" s="250" t="str">
        <f t="shared" si="35"/>
        <v/>
      </c>
      <c r="R70" s="251" t="str">
        <f t="shared" si="36"/>
        <v/>
      </c>
      <c r="S70" s="252">
        <f>IF(AND(E70&gt;0.95*BiasLight,E70&lt;1.05*BiasLight),"",IF(AugerModel="Sinton",calclifetimeauger(Auger_Coefficient,I70,P70),calclifetimerichter(SampleType,I70,SampleDoping,P70)))</f>
        <v>7628.5792410110162</v>
      </c>
      <c r="T70" s="201" t="str">
        <f t="shared" si="37"/>
        <v/>
      </c>
      <c r="U70" s="252">
        <f t="shared" si="29"/>
        <v>-583.99965984151277</v>
      </c>
      <c r="V70" s="251" t="str">
        <f>IF(AugerModel="Sinton","",IF(SampleType="n-type",n_intr_boltzmann(SampleDoping,0,K70,Temperature+273.15),n_intr_boltzmann(0,SampleDoping,K70,Temperature+273.15)))</f>
        <v/>
      </c>
      <c r="W70" s="251" t="str">
        <f t="shared" si="13"/>
        <v/>
      </c>
      <c r="X70" s="246">
        <f>IF(AND(A70&gt;TimeofMaxCD,I70&gt;Traps),IF(AugerModel="Sinton",CalcImpliedV(SampleDoping,O70),CalcImpliedVRichter(O70,SampleDoping,V70)),"")</f>
        <v>0.6855534827866363</v>
      </c>
      <c r="Y70" s="253">
        <f t="shared" si="30"/>
        <v>3.0064149771646882</v>
      </c>
      <c r="Z70" s="200" t="str">
        <f t="shared" si="31"/>
        <v/>
      </c>
      <c r="AE70" s="251">
        <f t="shared" si="32"/>
        <v>1421.030222225387</v>
      </c>
    </row>
    <row r="71" spans="1:31" x14ac:dyDescent="0.2">
      <c r="A71" s="244">
        <v>6.2499000000000001E-3</v>
      </c>
      <c r="B71" s="244">
        <v>0.46190999999999999</v>
      </c>
      <c r="C71" s="245">
        <v>2.7319400000000001E-2</v>
      </c>
      <c r="D71" s="246">
        <f>IF(CouplingMode="AC",B71-(A$11-A$10)*SUM(B$9:B71)/0.21,B71)</f>
        <v>0.46190999999999999</v>
      </c>
      <c r="E71" s="247">
        <f t="shared" si="20"/>
        <v>2.5959183362223359</v>
      </c>
      <c r="F71" s="247">
        <f t="shared" si="21"/>
        <v>2.5959183362223359</v>
      </c>
      <c r="G71" s="248">
        <f t="shared" si="22"/>
        <v>4.310326326062055E+17</v>
      </c>
      <c r="H71" s="249">
        <f t="shared" si="23"/>
        <v>1.3899344918976344E-2</v>
      </c>
      <c r="I71" s="248">
        <f>IF(MobilityModel=DK,CalcDeltaN(H71,SampleDoping,Thickness,AreaFrac),CalcDeltaNDL(H71,AreaFrac,Thickness,SampleType,SampleDoping,Temperature))</f>
        <v>3056235735884297.5</v>
      </c>
      <c r="J71" s="248" t="str">
        <f t="shared" si="24"/>
        <v/>
      </c>
      <c r="K71" s="248">
        <f t="shared" si="25"/>
        <v>3056235735884297.5</v>
      </c>
      <c r="L71" s="250">
        <f t="shared" si="33"/>
        <v>-2.1892500913709386E+18</v>
      </c>
      <c r="M71" s="196" t="str">
        <f t="shared" si="26"/>
        <v/>
      </c>
      <c r="N71" s="196" t="str">
        <f t="shared" si="27"/>
        <v/>
      </c>
      <c r="O71" s="250">
        <f t="shared" si="28"/>
        <v>3056235735884297.5</v>
      </c>
      <c r="P71" s="248">
        <f t="shared" si="34"/>
        <v>1.2814845454984191E-4</v>
      </c>
      <c r="Q71" s="250" t="str">
        <f t="shared" si="35"/>
        <v/>
      </c>
      <c r="R71" s="251" t="str">
        <f t="shared" si="36"/>
        <v/>
      </c>
      <c r="S71" s="252">
        <f>IF(AND(E71&gt;0.95*BiasLight,E71&lt;1.05*BiasLight),"",IF(AugerModel="Sinton",calclifetimeauger(Auger_Coefficient,I71,P71),calclifetimerichter(SampleType,I71,SampleDoping,P71)))</f>
        <v>7787.94419246712</v>
      </c>
      <c r="T71" s="201" t="str">
        <f t="shared" si="37"/>
        <v/>
      </c>
      <c r="U71" s="252">
        <f t="shared" si="29"/>
        <v>642.44358689045112</v>
      </c>
      <c r="V71" s="251" t="str">
        <f>IF(AugerModel="Sinton","",IF(SampleType="n-type",n_intr_boltzmann(SampleDoping,0,K71,Temperature+273.15),n_intr_boltzmann(0,SampleDoping,K71,Temperature+273.15)))</f>
        <v/>
      </c>
      <c r="W71" s="251" t="str">
        <f t="shared" si="13"/>
        <v/>
      </c>
      <c r="X71" s="246">
        <f>IF(AND(A71&gt;TimeofMaxCD,I71&gt;Traps),IF(AugerModel="Sinton",CalcImpliedV(SampleDoping,O71),CalcImpliedVRichter(O71,SampleDoping,V71)),"")</f>
        <v>0.68306710694213013</v>
      </c>
      <c r="Y71" s="253">
        <f t="shared" si="30"/>
        <v>2.8582974905940923</v>
      </c>
      <c r="Z71" s="200" t="str">
        <f t="shared" si="31"/>
        <v/>
      </c>
      <c r="AE71" s="251">
        <f t="shared" si="32"/>
        <v>1426.5660838665003</v>
      </c>
    </row>
    <row r="72" spans="1:31" x14ac:dyDescent="0.2">
      <c r="A72" s="244">
        <v>6.3499000000000003E-3</v>
      </c>
      <c r="B72" s="244">
        <v>0.43156299999999997</v>
      </c>
      <c r="C72" s="245">
        <v>2.6011800000000002E-2</v>
      </c>
      <c r="D72" s="246">
        <f>IF(CouplingMode="AC",B72-(A$11-A$10)*SUM(B$9:B72)/0.21,B72)</f>
        <v>0.43156299999999997</v>
      </c>
      <c r="E72" s="247">
        <f t="shared" si="20"/>
        <v>2.4716687986613235</v>
      </c>
      <c r="F72" s="247">
        <f t="shared" si="21"/>
        <v>2.4716687986613235</v>
      </c>
      <c r="G72" s="248">
        <f t="shared" si="22"/>
        <v>4.1040193535824723E+17</v>
      </c>
      <c r="H72" s="249">
        <f t="shared" si="23"/>
        <v>1.2980363571785912E-2</v>
      </c>
      <c r="I72" s="248">
        <f>IF(MobilityModel=DK,CalcDeltaN(H72,SampleDoping,Thickness,AreaFrac),CalcDeltaNDL(H72,AreaFrac,Thickness,SampleType,SampleDoping,Temperature))</f>
        <v>2843367280130164</v>
      </c>
      <c r="J72" s="248" t="str">
        <f t="shared" si="24"/>
        <v/>
      </c>
      <c r="K72" s="248">
        <f t="shared" si="25"/>
        <v>2843367280130164</v>
      </c>
      <c r="L72" s="250">
        <f t="shared" si="33"/>
        <v>-2.0618635934550234E+18</v>
      </c>
      <c r="M72" s="196" t="str">
        <f t="shared" si="26"/>
        <v/>
      </c>
      <c r="N72" s="196" t="str">
        <f t="shared" si="27"/>
        <v/>
      </c>
      <c r="O72" s="250">
        <f t="shared" si="28"/>
        <v>2843367280130164</v>
      </c>
      <c r="P72" s="248">
        <f t="shared" si="34"/>
        <v>1.2534087286258794E-4</v>
      </c>
      <c r="Q72" s="250" t="str">
        <f t="shared" si="35"/>
        <v/>
      </c>
      <c r="R72" s="251" t="str">
        <f t="shared" si="36"/>
        <v/>
      </c>
      <c r="S72" s="252">
        <f>IF(AND(E72&gt;0.95*BiasLight,E72&lt;1.05*BiasLight),"",IF(AugerModel="Sinton",calclifetimeauger(Auger_Coefficient,I72,P72),calclifetimerichter(SampleType,I72,SampleDoping,P72)))</f>
        <v>7964.822802256308</v>
      </c>
      <c r="T72" s="201" t="str">
        <f t="shared" si="37"/>
        <v/>
      </c>
      <c r="U72" s="252">
        <f t="shared" si="29"/>
        <v>1805.9637675572194</v>
      </c>
      <c r="V72" s="251" t="str">
        <f>IF(AugerModel="Sinton","",IF(SampleType="n-type",n_intr_boltzmann(SampleDoping,0,K72,Temperature+273.15),n_intr_boltzmann(0,SampleDoping,K72,Temperature+273.15)))</f>
        <v/>
      </c>
      <c r="W72" s="251" t="str">
        <f t="shared" si="13"/>
        <v/>
      </c>
      <c r="X72" s="246">
        <f>IF(AND(A72&gt;TimeofMaxCD,I72&gt;Traps),IF(AugerModel="Sinton",CalcImpliedV(SampleDoping,O72),CalcImpliedVRichter(O72,SampleDoping,V72)),"")</f>
        <v>0.68056390646607556</v>
      </c>
      <c r="Y72" s="253">
        <f t="shared" si="30"/>
        <v>2.7187808249268399</v>
      </c>
      <c r="Z72" s="200" t="str">
        <f t="shared" si="31"/>
        <v/>
      </c>
      <c r="AE72" s="251">
        <f t="shared" si="32"/>
        <v>1431.9844675625377</v>
      </c>
    </row>
    <row r="73" spans="1:31" x14ac:dyDescent="0.2">
      <c r="A73" s="244">
        <v>6.4498999999999997E-3</v>
      </c>
      <c r="B73" s="244">
        <v>0.40319899999999997</v>
      </c>
      <c r="C73" s="245">
        <v>2.47999E-2</v>
      </c>
      <c r="D73" s="246">
        <f>IF(CouplingMode="AC",B73-(A$11-A$10)*SUM(B$9:B73)/0.21,B73)</f>
        <v>0.40319899999999997</v>
      </c>
      <c r="E73" s="247">
        <f t="shared" ref="E73:E104" si="38">IF(C73&gt;0,C73/RefCellCal,0.00001)</f>
        <v>2.3565127765060838</v>
      </c>
      <c r="F73" s="247">
        <f t="shared" ref="F73:F104" si="39">E73-BiasLight</f>
        <v>2.3565127765060838</v>
      </c>
      <c r="G73" s="248">
        <f t="shared" ref="G73:G104" si="40">F73*0.038*OptConst/1.602E-19</f>
        <v>3.9128114765956198E+17</v>
      </c>
      <c r="H73" s="249">
        <f t="shared" ref="H73:H104" si="41">CalcConductance(B73,Dark_Voltage,A_cal,B_cal,C_cal)</f>
        <v>1.212217094984145E-2</v>
      </c>
      <c r="I73" s="248">
        <f>IF(MobilityModel=DK,CalcDeltaN(H73,SampleDoping,Thickness,AreaFrac),CalcDeltaNDL(H73,AreaFrac,Thickness,SampleType,SampleDoping,Temperature))</f>
        <v>2645789041127380.5</v>
      </c>
      <c r="J73" s="248" t="str">
        <f t="shared" ref="J73:J104" si="42">IF(AND(AND(I73&gt;=FitRangeMin,I73&lt;=FitRangeMax),A73&gt;TimeofMaxCD),I73,"")</f>
        <v/>
      </c>
      <c r="K73" s="248">
        <f t="shared" ref="K73:K104" si="43">IF(I73-BiasPtCD=0,0.00001,I73-BiasPtCD)</f>
        <v>2645789041127380.5</v>
      </c>
      <c r="L73" s="250">
        <f t="shared" si="33"/>
        <v>-1.9427386673688658E+18</v>
      </c>
      <c r="M73" s="196" t="str">
        <f t="shared" ref="M73:M104" si="44">IF(E73&gt;0.85*BiasLight,IF( E73&lt;1.15*BiasLight,E73,""),"")</f>
        <v/>
      </c>
      <c r="N73" s="196" t="str">
        <f t="shared" ref="N73:N104" si="45">IF(E73&gt;0.85*BiasLight,IF(E73&lt;1.15*BiasLight,I73,""),"")</f>
        <v/>
      </c>
      <c r="O73" s="250">
        <f t="shared" ref="O73:O104" si="46">I73-Traps</f>
        <v>2645789041127380.5</v>
      </c>
      <c r="P73" s="248">
        <f t="shared" si="34"/>
        <v>1.224612741488277E-4</v>
      </c>
      <c r="Q73" s="250" t="str">
        <f t="shared" si="35"/>
        <v/>
      </c>
      <c r="R73" s="251" t="str">
        <f t="shared" si="36"/>
        <v/>
      </c>
      <c r="S73" s="252">
        <f>IF(AND(E73&gt;0.95*BiasLight,E73&lt;1.05*BiasLight),"",IF(AugerModel="Sinton",calclifetimeauger(Auger_Coefficient,I73,P73),calclifetimerichter(SampleType,I73,SampleDoping,P73)))</f>
        <v>8154.226438921356</v>
      </c>
      <c r="T73" s="201" t="str">
        <f t="shared" si="37"/>
        <v/>
      </c>
      <c r="U73" s="252">
        <f t="shared" ref="U73:U104" si="47">FitInterceptAuger+FitSlopeAuger*(I73+Traps)</f>
        <v>2885.9089737453214</v>
      </c>
      <c r="V73" s="251" t="str">
        <f>IF(AugerModel="Sinton","",IF(SampleType="n-type",n_intr_boltzmann(SampleDoping,0,K73,Temperature+273.15),n_intr_boltzmann(0,SampleDoping,K73,Temperature+273.15)))</f>
        <v/>
      </c>
      <c r="W73" s="251" t="str">
        <f t="shared" si="13"/>
        <v/>
      </c>
      <c r="X73" s="246">
        <f>IF(AND(A73&gt;TimeofMaxCD,I73&gt;Traps),IF(AugerModel="Sinton",CalcImpliedV(SampleDoping,O73),CalcImpliedVRichter(O73,SampleDoping,V73)),"")</f>
        <v>0.67809678140596252</v>
      </c>
      <c r="Y73" s="253">
        <f t="shared" ref="Y73:Y104" si="48">IF(OR(P73="",P73&lt;0,A73&lt;=TimeofMaxCD),"",(O73*Thickness*1.602E-19/(0.038*OptConst*P73)))</f>
        <v>2.5893478147315956</v>
      </c>
      <c r="Z73" s="200" t="str">
        <f t="shared" ref="Z73:Z104" si="49">IF(C73&gt;0.6,O73,"")</f>
        <v/>
      </c>
      <c r="AE73" s="251">
        <f t="shared" ref="AE73:AE104" si="50">H73/(K73*AreaFrac*Thickness*1.602E-19)</f>
        <v>1437.1748308038907</v>
      </c>
    </row>
    <row r="74" spans="1:31" x14ac:dyDescent="0.2">
      <c r="A74" s="244">
        <v>6.5499E-3</v>
      </c>
      <c r="B74" s="244">
        <v>0.37561099999999997</v>
      </c>
      <c r="C74" s="245">
        <v>2.3623100000000001E-2</v>
      </c>
      <c r="D74" s="246">
        <f>IF(CouplingMode="AC",B74-(A$11-A$10)*SUM(B$9:B74)/0.21,B74)</f>
        <v>0.37561099999999997</v>
      </c>
      <c r="E74" s="247">
        <f t="shared" si="38"/>
        <v>2.2446919935435576</v>
      </c>
      <c r="F74" s="247">
        <f t="shared" si="39"/>
        <v>2.2446919935435576</v>
      </c>
      <c r="G74" s="248">
        <f t="shared" si="40"/>
        <v>3.7271415123756941E+17</v>
      </c>
      <c r="H74" s="249">
        <f t="shared" si="41"/>
        <v>1.1288141965180402E-2</v>
      </c>
      <c r="I74" s="248">
        <f>IF(MobilityModel=DK,CalcDeltaN(H74,SampleDoping,Thickness,AreaFrac),CalcDeltaNDL(H74,AreaFrac,Thickness,SampleType,SampleDoping,Temperature))</f>
        <v>2454907649110743</v>
      </c>
      <c r="J74" s="248" t="str">
        <f t="shared" si="42"/>
        <v/>
      </c>
      <c r="K74" s="248">
        <f t="shared" si="43"/>
        <v>2454907649110743</v>
      </c>
      <c r="L74" s="250">
        <f t="shared" si="33"/>
        <v>-1.833060418998178E+18</v>
      </c>
      <c r="M74" s="196" t="str">
        <f t="shared" si="44"/>
        <v/>
      </c>
      <c r="N74" s="196" t="str">
        <f t="shared" si="45"/>
        <v/>
      </c>
      <c r="O74" s="250">
        <f t="shared" si="46"/>
        <v>2454907649110743</v>
      </c>
      <c r="P74" s="248">
        <f t="shared" si="34"/>
        <v>1.1938810099173661E-4</v>
      </c>
      <c r="Q74" s="250" t="str">
        <f t="shared" si="35"/>
        <v/>
      </c>
      <c r="R74" s="251" t="str">
        <f t="shared" si="36"/>
        <v/>
      </c>
      <c r="S74" s="252">
        <f>IF(AND(E74&gt;0.95*BiasLight,E74&lt;1.05*BiasLight),"",IF(AugerModel="Sinton",calclifetimeauger(Auger_Coefficient,I74,P74),calclifetimerichter(SampleType,I74,SampleDoping,P74)))</f>
        <v>8366.0400002300448</v>
      </c>
      <c r="T74" s="201" t="str">
        <f t="shared" si="37"/>
        <v/>
      </c>
      <c r="U74" s="252">
        <f t="shared" si="47"/>
        <v>3929.249805707972</v>
      </c>
      <c r="V74" s="251" t="str">
        <f>IF(AugerModel="Sinton","",IF(SampleType="n-type",n_intr_boltzmann(SampleDoping,0,K74,Temperature+273.15),n_intr_boltzmann(0,SampleDoping,K74,Temperature+273.15)))</f>
        <v/>
      </c>
      <c r="W74" s="251" t="str">
        <f t="shared" ref="W74:W134" si="51">IF(V74="","",IF(T74="","",(V74^2)*T74))</f>
        <v/>
      </c>
      <c r="X74" s="246">
        <f>IF(AND(A74&gt;TimeofMaxCD,I74&gt;Traps),IF(AugerModel="Sinton",CalcImpliedV(SampleDoping,O74),CalcImpliedVRichter(O74,SampleDoping,V74)),"")</f>
        <v>0.67556267085886434</v>
      </c>
      <c r="Y74" s="253">
        <f t="shared" si="48"/>
        <v>2.4643822173991143</v>
      </c>
      <c r="Z74" s="200" t="str">
        <f t="shared" si="49"/>
        <v/>
      </c>
      <c r="AE74" s="251">
        <f t="shared" si="50"/>
        <v>1442.3535089650663</v>
      </c>
    </row>
    <row r="75" spans="1:31" x14ac:dyDescent="0.2">
      <c r="A75" s="244">
        <v>6.6499000000000003E-3</v>
      </c>
      <c r="B75" s="244">
        <v>0.35003499999999999</v>
      </c>
      <c r="C75" s="245">
        <v>2.2521599999999999E-2</v>
      </c>
      <c r="D75" s="246">
        <f>IF(CouplingMode="AC",B75-(A$11-A$10)*SUM(B$9:B75)/0.21,B75)</f>
        <v>0.35003499999999999</v>
      </c>
      <c r="E75" s="247">
        <f t="shared" si="38"/>
        <v>2.1400262963705265</v>
      </c>
      <c r="F75" s="247">
        <f t="shared" si="39"/>
        <v>2.1400262963705265</v>
      </c>
      <c r="G75" s="248">
        <f t="shared" si="40"/>
        <v>3.5533520276813984E+17</v>
      </c>
      <c r="H75" s="249">
        <f t="shared" si="41"/>
        <v>1.0515542038284177E-2</v>
      </c>
      <c r="I75" s="248">
        <f>IF(MobilityModel=DK,CalcDeltaN(H75,SampleDoping,Thickness,AreaFrac),CalcDeltaNDL(H75,AreaFrac,Thickness,SampleType,SampleDoping,Temperature))</f>
        <v>2279096217709575</v>
      </c>
      <c r="J75" s="248" t="str">
        <f t="shared" si="42"/>
        <v/>
      </c>
      <c r="K75" s="248">
        <f t="shared" si="43"/>
        <v>2279096217709575</v>
      </c>
      <c r="L75" s="250">
        <f t="shared" ref="L75:L106" si="52">IF(ABS(SLOPE(K73:K77,A73:A77))&lt;1000000000000,-1000000000000,(SLOPE(K73:K77,A73:A77)))</f>
        <v>-1.7331286497691538E+18</v>
      </c>
      <c r="M75" s="196" t="str">
        <f t="shared" si="44"/>
        <v/>
      </c>
      <c r="N75" s="196" t="str">
        <f t="shared" si="45"/>
        <v/>
      </c>
      <c r="O75" s="250">
        <f t="shared" si="46"/>
        <v>2279096217709575</v>
      </c>
      <c r="P75" s="248">
        <f t="shared" ref="P75:P106" si="53">calclifetime(AnalysisMode,K75,Thickness,G75,L75)</f>
        <v>1.1634471165608758E-4</v>
      </c>
      <c r="Q75" s="250" t="str">
        <f t="shared" si="35"/>
        <v/>
      </c>
      <c r="R75" s="251" t="str">
        <f t="shared" si="36"/>
        <v/>
      </c>
      <c r="S75" s="252">
        <f>IF(AND(E75&gt;0.95*BiasLight,E75&lt;1.05*BiasLight),"",IF(AugerModel="Sinton",calclifetimeauger(Auger_Coefficient,I75,P75),calclifetimerichter(SampleType,I75,SampleDoping,P75)))</f>
        <v>8586.5253609586653</v>
      </c>
      <c r="T75" s="201" t="str">
        <f t="shared" si="37"/>
        <v/>
      </c>
      <c r="U75" s="252">
        <f t="shared" si="47"/>
        <v>4890.2195637797849</v>
      </c>
      <c r="V75" s="251" t="str">
        <f>IF(AugerModel="Sinton","",IF(SampleType="n-type",n_intr_boltzmann(SampleDoping,0,K75,Temperature+273.15),n_intr_boltzmann(0,SampleDoping,K75,Temperature+273.15)))</f>
        <v/>
      </c>
      <c r="W75" s="251" t="str">
        <f t="shared" si="51"/>
        <v/>
      </c>
      <c r="X75" s="246">
        <f>IF(AND(A75&gt;TimeofMaxCD,I75&gt;Traps),IF(AugerModel="Sinton",CalcImpliedV(SampleDoping,O75),CalcImpliedVRichter(O75,SampleDoping,V75)),"")</f>
        <v>0.67307826918114577</v>
      </c>
      <c r="Y75" s="253">
        <f t="shared" si="48"/>
        <v>2.3477398103889873</v>
      </c>
      <c r="Z75" s="200" t="str">
        <f t="shared" si="49"/>
        <v/>
      </c>
      <c r="AE75" s="251">
        <f t="shared" si="50"/>
        <v>1447.2828484314364</v>
      </c>
    </row>
    <row r="76" spans="1:31" x14ac:dyDescent="0.2">
      <c r="A76" s="244">
        <v>6.7498999999999997E-3</v>
      </c>
      <c r="B76" s="244">
        <v>0.32530799999999999</v>
      </c>
      <c r="C76" s="245">
        <v>2.1438599999999999E-2</v>
      </c>
      <c r="D76" s="246">
        <f>IF(CouplingMode="AC",B76-(A$11-A$10)*SUM(B$9:B76)/0.21,B76)</f>
        <v>0.32530799999999999</v>
      </c>
      <c r="E76" s="247">
        <f t="shared" si="38"/>
        <v>2.0371184888004925</v>
      </c>
      <c r="F76" s="247">
        <f t="shared" si="39"/>
        <v>2.0371184888004925</v>
      </c>
      <c r="G76" s="248">
        <f t="shared" si="40"/>
        <v>3.3824813858984454E+17</v>
      </c>
      <c r="H76" s="249">
        <f t="shared" si="41"/>
        <v>9.7691404159170325E-3</v>
      </c>
      <c r="I76" s="248">
        <f>IF(MobilityModel=DK,CalcDeltaN(H76,SampleDoping,Thickness,AreaFrac),CalcDeltaNDL(H76,AreaFrac,Thickness,SampleType,SampleDoping,Temperature))</f>
        <v>2110183482339978.5</v>
      </c>
      <c r="J76" s="248" t="str">
        <f t="shared" si="42"/>
        <v/>
      </c>
      <c r="K76" s="248">
        <f t="shared" si="43"/>
        <v>2110183482339978.5</v>
      </c>
      <c r="L76" s="250">
        <f t="shared" si="52"/>
        <v>-1.6274270888758108E+18</v>
      </c>
      <c r="M76" s="196" t="str">
        <f t="shared" si="44"/>
        <v/>
      </c>
      <c r="N76" s="196" t="str">
        <f t="shared" si="45"/>
        <v/>
      </c>
      <c r="O76" s="250">
        <f t="shared" si="46"/>
        <v>2110183482339978.5</v>
      </c>
      <c r="P76" s="248">
        <f t="shared" si="53"/>
        <v>1.1329953097079958E-4</v>
      </c>
      <c r="Q76" s="250" t="str">
        <f t="shared" ref="Q76:Q107" si="54">IF($J76="","",P76)</f>
        <v/>
      </c>
      <c r="R76" s="251" t="str">
        <f t="shared" ref="R76" si="55">IF(Q76="","",1/Q76)</f>
        <v/>
      </c>
      <c r="S76" s="252">
        <f>IF(AND(E76&gt;0.95*BiasLight,E76&lt;1.05*BiasLight),"",IF(AugerModel="Sinton",calclifetimeauger(Auger_Coefficient,I76,P76),calclifetimerichter(SampleType,I76,SampleDoping,P76)))</f>
        <v>8818.7700973483479</v>
      </c>
      <c r="T76" s="201" t="str">
        <f t="shared" ref="T76:T107" si="56">IF($J76="","",S76)</f>
        <v/>
      </c>
      <c r="U76" s="252">
        <f t="shared" si="47"/>
        <v>5813.4816585692079</v>
      </c>
      <c r="V76" s="251" t="str">
        <f>IF(AugerModel="Sinton","",IF(SampleType="n-type",n_intr_boltzmann(SampleDoping,0,K76,Temperature+273.15),n_intr_boltzmann(0,SampleDoping,K76,Temperature+273.15)))</f>
        <v/>
      </c>
      <c r="W76" s="251" t="str">
        <f t="shared" si="51"/>
        <v/>
      </c>
      <c r="X76" s="246">
        <f>IF(AND(A76&gt;TimeofMaxCD,I76&gt;Traps),IF(AugerModel="Sinton",CalcImpliedV(SampleDoping,O76),CalcImpliedVRichter(O76,SampleDoping,V76)),"")</f>
        <v>0.67053482950291032</v>
      </c>
      <c r="Y76" s="253">
        <f t="shared" si="48"/>
        <v>2.232163789958173</v>
      </c>
      <c r="Z76" s="200" t="str">
        <f t="shared" si="49"/>
        <v/>
      </c>
      <c r="AE76" s="251">
        <f t="shared" si="50"/>
        <v>1452.1803121948551</v>
      </c>
    </row>
    <row r="77" spans="1:31" x14ac:dyDescent="0.2">
      <c r="A77" s="244">
        <v>6.8498999999999999E-3</v>
      </c>
      <c r="B77" s="244">
        <v>0.30194900000000002</v>
      </c>
      <c r="C77" s="245">
        <v>2.0406299999999999E-2</v>
      </c>
      <c r="D77" s="246">
        <f>IF(CouplingMode="AC",B77-(A$11-A$10)*SUM(B$9:B77)/0.21,B77)</f>
        <v>0.30194900000000002</v>
      </c>
      <c r="E77" s="247">
        <f t="shared" si="38"/>
        <v>1.939028248953266</v>
      </c>
      <c r="F77" s="247">
        <f t="shared" si="39"/>
        <v>1.939028248953266</v>
      </c>
      <c r="G77" s="248">
        <f t="shared" si="40"/>
        <v>3.2196099514454976E+17</v>
      </c>
      <c r="H77" s="249">
        <f t="shared" si="41"/>
        <v>9.0645310367082274E-3</v>
      </c>
      <c r="I77" s="248">
        <f>IF(MobilityModel=DK,CalcDeltaN(H77,SampleDoping,Thickness,AreaFrac),CalcDeltaNDL(H77,AreaFrac,Thickness,SampleType,SampleDoping,Temperature))</f>
        <v>1951586799628186</v>
      </c>
      <c r="J77" s="248" t="str">
        <f t="shared" si="42"/>
        <v/>
      </c>
      <c r="K77" s="248">
        <f t="shared" si="43"/>
        <v>1951586799628186</v>
      </c>
      <c r="L77" s="250">
        <f t="shared" si="52"/>
        <v>-1.52642739429613E+18</v>
      </c>
      <c r="M77" s="196" t="str">
        <f t="shared" si="44"/>
        <v/>
      </c>
      <c r="N77" s="196" t="str">
        <f t="shared" si="45"/>
        <v/>
      </c>
      <c r="O77" s="250">
        <f t="shared" si="46"/>
        <v>1951586799628186</v>
      </c>
      <c r="P77" s="248">
        <f t="shared" si="53"/>
        <v>1.1022568819933569E-4</v>
      </c>
      <c r="Q77" s="250" t="str">
        <f t="shared" si="54"/>
        <v/>
      </c>
      <c r="R77" s="251" t="str">
        <f t="shared" ref="R77:R108" si="57">IF(Q77="","",1/Q77)</f>
        <v/>
      </c>
      <c r="S77" s="252">
        <f>IF(AND(E77&gt;0.95*BiasLight,E77&lt;1.05*BiasLight),"",IF(AugerModel="Sinton",calclifetimeauger(Auger_Coefficient,I77,P77),calclifetimerichter(SampleType,I77,SampleDoping,P77)))</f>
        <v>9065.972936475333</v>
      </c>
      <c r="T77" s="201" t="str">
        <f t="shared" si="56"/>
        <v/>
      </c>
      <c r="U77" s="252">
        <f t="shared" si="47"/>
        <v>6680.3571205451735</v>
      </c>
      <c r="V77" s="251" t="str">
        <f>IF(AugerModel="Sinton","",IF(SampleType="n-type",n_intr_boltzmann(SampleDoping,0,K77,Temperature+273.15),n_intr_boltzmann(0,SampleDoping,K77,Temperature+273.15)))</f>
        <v/>
      </c>
      <c r="W77" s="251" t="str">
        <f t="shared" si="51"/>
        <v/>
      </c>
      <c r="X77" s="246">
        <f>IF(AND(A77&gt;TimeofMaxCD,I77&gt;Traps),IF(AugerModel="Sinton",CalcImpliedV(SampleDoping,O77),CalcImpliedVRichter(O77,SampleDoping,V77)),"")</f>
        <v>0.66798536557746946</v>
      </c>
      <c r="Y77" s="253">
        <f t="shared" si="48"/>
        <v>2.1219688506250018</v>
      </c>
      <c r="Z77" s="200" t="str">
        <f t="shared" si="49"/>
        <v/>
      </c>
      <c r="AE77" s="251">
        <f t="shared" si="50"/>
        <v>1456.9407155929109</v>
      </c>
    </row>
    <row r="78" spans="1:31" x14ac:dyDescent="0.2">
      <c r="A78" s="244">
        <v>6.9499000000000002E-3</v>
      </c>
      <c r="B78" s="244">
        <v>0.280225</v>
      </c>
      <c r="C78" s="245">
        <v>1.94532E-2</v>
      </c>
      <c r="D78" s="246">
        <f>IF(CouplingMode="AC",B78-(A$11-A$10)*SUM(B$9:B78)/0.21,B78)</f>
        <v>0.280225</v>
      </c>
      <c r="E78" s="247">
        <f t="shared" si="38"/>
        <v>1.8484636770280587</v>
      </c>
      <c r="F78" s="247">
        <f t="shared" si="39"/>
        <v>1.8484636770280587</v>
      </c>
      <c r="G78" s="248">
        <f t="shared" si="40"/>
        <v>3.0692343201589485E+17</v>
      </c>
      <c r="H78" s="249">
        <f t="shared" si="41"/>
        <v>8.4096747998885189E-3</v>
      </c>
      <c r="I78" s="248">
        <f>IF(MobilityModel=DK,CalcDeltaN(H78,SampleDoping,Thickness,AreaFrac),CalcDeltaNDL(H78,AreaFrac,Thickness,SampleType,SampleDoping,Temperature))</f>
        <v>1804948813713532</v>
      </c>
      <c r="J78" s="248" t="str">
        <f t="shared" si="42"/>
        <v/>
      </c>
      <c r="K78" s="248">
        <f t="shared" si="43"/>
        <v>1804948813713532</v>
      </c>
      <c r="L78" s="250">
        <f t="shared" si="52"/>
        <v>-1.4259031366921587E+18</v>
      </c>
      <c r="M78" s="196" t="str">
        <f t="shared" si="44"/>
        <v/>
      </c>
      <c r="N78" s="196" t="str">
        <f t="shared" si="45"/>
        <v/>
      </c>
      <c r="O78" s="250">
        <f t="shared" si="46"/>
        <v>1804948813713532</v>
      </c>
      <c r="P78" s="248">
        <f t="shared" si="53"/>
        <v>1.0712376604185369E-4</v>
      </c>
      <c r="Q78" s="250" t="str">
        <f t="shared" si="54"/>
        <v/>
      </c>
      <c r="R78" s="251" t="str">
        <f t="shared" si="57"/>
        <v/>
      </c>
      <c r="S78" s="252">
        <f>IF(AND(E78&gt;0.95*BiasLight,E78&lt;1.05*BiasLight),"",IF(AugerModel="Sinton",calclifetimeauger(Auger_Coefficient,I78,P78),calclifetimerichter(SampleType,I78,SampleDoping,P78)))</f>
        <v>9329.588661969201</v>
      </c>
      <c r="T78" s="201" t="str">
        <f t="shared" si="56"/>
        <v/>
      </c>
      <c r="U78" s="252">
        <f t="shared" si="47"/>
        <v>7481.8674019045393</v>
      </c>
      <c r="V78" s="251" t="str">
        <f>IF(AugerModel="Sinton","",IF(SampleType="n-type",n_intr_boltzmann(SampleDoping,0,K78,Temperature+273.15),n_intr_boltzmann(0,SampleDoping,K78,Temperature+273.15)))</f>
        <v/>
      </c>
      <c r="W78" s="251" t="str">
        <f t="shared" si="51"/>
        <v/>
      </c>
      <c r="X78" s="246">
        <f>IF(AND(A78&gt;TimeofMaxCD,I78&gt;Traps),IF(AugerModel="Sinton",CalcImpliedV(SampleDoping,O78),CalcImpliedVRichter(O78,SampleDoping,V78)),"")</f>
        <v>0.66546695087956909</v>
      </c>
      <c r="Y78" s="253">
        <f t="shared" si="48"/>
        <v>2.0193565597991814</v>
      </c>
      <c r="Z78" s="200" t="str">
        <f t="shared" si="49"/>
        <v/>
      </c>
      <c r="AE78" s="251">
        <f t="shared" si="50"/>
        <v>1461.4996765567116</v>
      </c>
    </row>
    <row r="79" spans="1:31" x14ac:dyDescent="0.2">
      <c r="A79" s="244">
        <v>7.0498999999999996E-3</v>
      </c>
      <c r="B79" s="244">
        <v>0.25989800000000002</v>
      </c>
      <c r="C79" s="245">
        <v>1.8539099999999999E-2</v>
      </c>
      <c r="D79" s="246">
        <f>IF(CouplingMode="AC",B79-(A$11-A$10)*SUM(B$9:B79)/0.21,B79)</f>
        <v>0.25989800000000002</v>
      </c>
      <c r="E79" s="247">
        <f t="shared" si="38"/>
        <v>1.761604926428088</v>
      </c>
      <c r="F79" s="247">
        <f t="shared" si="39"/>
        <v>1.761604926428088</v>
      </c>
      <c r="G79" s="248">
        <f t="shared" si="40"/>
        <v>2.9250119252800966E+17</v>
      </c>
      <c r="H79" s="249">
        <f t="shared" si="41"/>
        <v>7.7973093794302985E-3</v>
      </c>
      <c r="I79" s="248">
        <f>IF(MobilityModel=DK,CalcDeltaN(H79,SampleDoping,Thickness,AreaFrac),CalcDeltaNDL(H79,AreaFrac,Thickness,SampleType,SampleDoping,Temperature))</f>
        <v>1668499854874733.7</v>
      </c>
      <c r="J79" s="248" t="str">
        <f t="shared" si="42"/>
        <v/>
      </c>
      <c r="K79" s="248">
        <f t="shared" si="43"/>
        <v>1668499854874733.7</v>
      </c>
      <c r="L79" s="250">
        <f t="shared" si="52"/>
        <v>-1.3336841900493573E+18</v>
      </c>
      <c r="M79" s="196" t="str">
        <f t="shared" si="44"/>
        <v/>
      </c>
      <c r="N79" s="196" t="str">
        <f t="shared" si="45"/>
        <v/>
      </c>
      <c r="O79" s="250">
        <f t="shared" si="46"/>
        <v>1668499854874733.7</v>
      </c>
      <c r="P79" s="248">
        <f t="shared" si="53"/>
        <v>1.0407155899405569E-4</v>
      </c>
      <c r="Q79" s="250" t="str">
        <f t="shared" si="54"/>
        <v/>
      </c>
      <c r="R79" s="251" t="str">
        <f t="shared" si="57"/>
        <v/>
      </c>
      <c r="S79" s="252">
        <f>IF(AND(E79&gt;0.95*BiasLight,E79&lt;1.05*BiasLight),"",IF(AugerModel="Sinton",calclifetimeauger(Auger_Coefficient,I79,P79),calclifetimerichter(SampleType,I79,SampleDoping,P79)))</f>
        <v>9604.1518729426934</v>
      </c>
      <c r="T79" s="201" t="str">
        <f t="shared" si="56"/>
        <v/>
      </c>
      <c r="U79" s="252">
        <f t="shared" si="47"/>
        <v>8227.6853610637045</v>
      </c>
      <c r="V79" s="251" t="str">
        <f>IF(AugerModel="Sinton","",IF(SampleType="n-type",n_intr_boltzmann(SampleDoping,0,K79,Temperature+273.15),n_intr_boltzmann(0,SampleDoping,K79,Temperature+273.15)))</f>
        <v/>
      </c>
      <c r="W79" s="251" t="str">
        <f t="shared" si="51"/>
        <v/>
      </c>
      <c r="X79" s="246">
        <f>IF(AND(A79&gt;TimeofMaxCD,I79&gt;Traps),IF(AugerModel="Sinton",CalcImpliedV(SampleDoping,O79),CalcImpliedVRichter(O79,SampleDoping,V79)),"")</f>
        <v>0.6629619995307271</v>
      </c>
      <c r="Y79" s="253">
        <f t="shared" si="48"/>
        <v>1.9214454724504022</v>
      </c>
      <c r="Z79" s="200" t="str">
        <f t="shared" si="49"/>
        <v/>
      </c>
      <c r="AE79" s="251">
        <f t="shared" si="50"/>
        <v>1465.8954775659654</v>
      </c>
    </row>
    <row r="80" spans="1:31" x14ac:dyDescent="0.2">
      <c r="A80" s="244">
        <v>7.1498999999999998E-3</v>
      </c>
      <c r="B80" s="244">
        <v>0.24046899999999999</v>
      </c>
      <c r="C80" s="245">
        <v>1.7670000000000002E-2</v>
      </c>
      <c r="D80" s="246">
        <f>IF(CouplingMode="AC",B80-(A$11-A$10)*SUM(B$9:B80)/0.21,B80)</f>
        <v>0.24046899999999999</v>
      </c>
      <c r="E80" s="247">
        <f t="shared" si="38"/>
        <v>1.6790221235110832</v>
      </c>
      <c r="F80" s="247">
        <f t="shared" si="39"/>
        <v>1.6790221235110832</v>
      </c>
      <c r="G80" s="248">
        <f t="shared" si="40"/>
        <v>2.7878894185639706E+17</v>
      </c>
      <c r="H80" s="249">
        <f t="shared" si="41"/>
        <v>7.21233945960029E-3</v>
      </c>
      <c r="I80" s="248">
        <f>IF(MobilityModel=DK,CalcDeltaN(H80,SampleDoping,Thickness,AreaFrac),CalcDeltaNDL(H80,AreaFrac,Thickness,SampleType,SampleDoping,Temperature))</f>
        <v>1538775386370625.2</v>
      </c>
      <c r="J80" s="248" t="str">
        <f t="shared" si="42"/>
        <v/>
      </c>
      <c r="K80" s="248">
        <f t="shared" si="43"/>
        <v>1538775386370625.2</v>
      </c>
      <c r="L80" s="250">
        <f t="shared" si="52"/>
        <v>-1.2533188847478712E+18</v>
      </c>
      <c r="M80" s="196" t="str">
        <f t="shared" si="44"/>
        <v/>
      </c>
      <c r="N80" s="196" t="str">
        <f t="shared" si="45"/>
        <v/>
      </c>
      <c r="O80" s="250">
        <f t="shared" si="46"/>
        <v>1538775386370625.2</v>
      </c>
      <c r="P80" s="248">
        <f t="shared" si="53"/>
        <v>1.0081859359492499E-4</v>
      </c>
      <c r="Q80" s="250" t="str">
        <f t="shared" si="54"/>
        <v/>
      </c>
      <c r="R80" s="251" t="str">
        <f t="shared" si="57"/>
        <v/>
      </c>
      <c r="S80" s="252">
        <f>IF(AND(E80&gt;0.95*BiasLight,E80&lt;1.05*BiasLight),"",IF(AugerModel="Sinton",calclifetimeauger(Auger_Coefficient,I80,P80),calclifetimerichter(SampleType,I80,SampleDoping,P80)))</f>
        <v>9914.8746978758318</v>
      </c>
      <c r="T80" s="201" t="str">
        <f t="shared" si="56"/>
        <v/>
      </c>
      <c r="U80" s="252">
        <f t="shared" si="47"/>
        <v>8936.7478498954715</v>
      </c>
      <c r="V80" s="251" t="str">
        <f>IF(AugerModel="Sinton","",IF(SampleType="n-type",n_intr_boltzmann(SampleDoping,0,K80,Temperature+273.15),n_intr_boltzmann(0,SampleDoping,K80,Temperature+273.15)))</f>
        <v/>
      </c>
      <c r="W80" s="251" t="str">
        <f t="shared" si="51"/>
        <v/>
      </c>
      <c r="X80" s="246">
        <f>IF(AND(A80&gt;TimeofMaxCD,I80&gt;Traps),IF(AugerModel="Sinton",CalcImpliedV(SampleDoping,O80),CalcImpliedVRichter(O80,SampleDoping,V80)),"")</f>
        <v>0.66041243175579911</v>
      </c>
      <c r="Y80" s="253">
        <f t="shared" si="48"/>
        <v>1.8292309783305762</v>
      </c>
      <c r="Z80" s="200" t="str">
        <f t="shared" si="49"/>
        <v/>
      </c>
      <c r="AE80" s="251">
        <f t="shared" si="50"/>
        <v>1470.2302028991116</v>
      </c>
    </row>
    <row r="81" spans="1:31" x14ac:dyDescent="0.2">
      <c r="A81" s="244">
        <v>7.2499000000000001E-3</v>
      </c>
      <c r="B81" s="244">
        <v>0.22226099999999999</v>
      </c>
      <c r="C81" s="245">
        <v>1.68624E-2</v>
      </c>
      <c r="D81" s="246">
        <f>IF(CouplingMode="AC",B81-(A$11-A$10)*SUM(B$9:B81)/0.21,B81)</f>
        <v>0.22226099999999999</v>
      </c>
      <c r="E81" s="247">
        <f t="shared" si="38"/>
        <v>1.6022831157607971</v>
      </c>
      <c r="F81" s="247">
        <f t="shared" si="39"/>
        <v>1.6022831157607971</v>
      </c>
      <c r="G81" s="248">
        <f t="shared" si="40"/>
        <v>2.660470092336904E+17</v>
      </c>
      <c r="H81" s="249">
        <f t="shared" si="41"/>
        <v>6.6644354712183211E-3</v>
      </c>
      <c r="I81" s="248">
        <f>IF(MobilityModel=DK,CalcDeltaN(H81,SampleDoping,Thickness,AreaFrac),CalcDeltaNDL(H81,AreaFrac,Thickness,SampleType,SampleDoping,Temperature))</f>
        <v>1417831418274960.7</v>
      </c>
      <c r="J81" s="248" t="str">
        <f t="shared" si="42"/>
        <v/>
      </c>
      <c r="K81" s="248">
        <f t="shared" si="43"/>
        <v>1417831418274960.7</v>
      </c>
      <c r="L81" s="250">
        <f t="shared" si="52"/>
        <v>-1.1713716491097254E+18</v>
      </c>
      <c r="M81" s="196" t="str">
        <f t="shared" si="44"/>
        <v/>
      </c>
      <c r="N81" s="196" t="str">
        <f t="shared" si="45"/>
        <v/>
      </c>
      <c r="O81" s="250">
        <f t="shared" si="46"/>
        <v>1417831418274960.7</v>
      </c>
      <c r="P81" s="248">
        <f t="shared" si="53"/>
        <v>9.7508667419684869E-5</v>
      </c>
      <c r="Q81" s="250" t="str">
        <f t="shared" si="54"/>
        <v/>
      </c>
      <c r="R81" s="251" t="str">
        <f t="shared" si="57"/>
        <v/>
      </c>
      <c r="S81" s="252">
        <f>IF(AND(E81&gt;0.95*BiasLight,E81&lt;1.05*BiasLight),"",IF(AugerModel="Sinton",calclifetimeauger(Auger_Coefficient,I81,P81),calclifetimerichter(SampleType,I81,SampleDoping,P81)))</f>
        <v>10252.161569085922</v>
      </c>
      <c r="T81" s="201" t="str">
        <f t="shared" si="56"/>
        <v/>
      </c>
      <c r="U81" s="252">
        <f t="shared" si="47"/>
        <v>9597.816898903644</v>
      </c>
      <c r="V81" s="251" t="str">
        <f>IF(AugerModel="Sinton","",IF(SampleType="n-type",n_intr_boltzmann(SampleDoping,0,K81,Temperature+273.15),n_intr_boltzmann(0,SampleDoping,K81,Temperature+273.15)))</f>
        <v/>
      </c>
      <c r="W81" s="251" t="str">
        <f t="shared" si="51"/>
        <v/>
      </c>
      <c r="X81" s="246">
        <f>IF(AND(A81&gt;TimeofMaxCD,I81&gt;Traps),IF(AugerModel="Sinton",CalcImpliedV(SampleDoping,O81),CalcImpliedVRichter(O81,SampleDoping,V81)),"")</f>
        <v>0.65786315895257574</v>
      </c>
      <c r="Y81" s="253">
        <f t="shared" si="48"/>
        <v>1.7426706868107529</v>
      </c>
      <c r="Z81" s="200" t="str">
        <f t="shared" si="49"/>
        <v/>
      </c>
      <c r="AE81" s="251">
        <f t="shared" si="50"/>
        <v>1474.426687948642</v>
      </c>
    </row>
    <row r="82" spans="1:31" x14ac:dyDescent="0.2">
      <c r="A82" s="244">
        <v>7.3499000000000004E-3</v>
      </c>
      <c r="B82" s="244">
        <v>0.204981</v>
      </c>
      <c r="C82" s="245">
        <v>1.6049899999999999E-2</v>
      </c>
      <c r="D82" s="246">
        <f>IF(CouplingMode="AC",B82-(A$11-A$10)*SUM(B$9:B82)/0.21,B82)</f>
        <v>0.204981</v>
      </c>
      <c r="E82" s="247">
        <f t="shared" si="38"/>
        <v>1.5250785048183659</v>
      </c>
      <c r="F82" s="247">
        <f t="shared" si="39"/>
        <v>1.5250785048183659</v>
      </c>
      <c r="G82" s="248">
        <f t="shared" si="40"/>
        <v>2.5322776671765626E+17</v>
      </c>
      <c r="H82" s="249">
        <f t="shared" si="41"/>
        <v>6.1447282911704891E-3</v>
      </c>
      <c r="I82" s="248">
        <f>IF(MobilityModel=DK,CalcDeltaN(H82,SampleDoping,Thickness,AreaFrac),CalcDeltaNDL(H82,AreaFrac,Thickness,SampleType,SampleDoping,Temperature))</f>
        <v>1303623589639482.2</v>
      </c>
      <c r="J82" s="248" t="str">
        <f t="shared" si="42"/>
        <v/>
      </c>
      <c r="K82" s="248">
        <f t="shared" si="43"/>
        <v>1303623589639482.2</v>
      </c>
      <c r="L82" s="250">
        <f t="shared" si="52"/>
        <v>-1.0905258296676063E+18</v>
      </c>
      <c r="M82" s="196" t="str">
        <f t="shared" si="44"/>
        <v/>
      </c>
      <c r="N82" s="196" t="str">
        <f t="shared" si="45"/>
        <v/>
      </c>
      <c r="O82" s="250">
        <f t="shared" si="46"/>
        <v>1303623589639482.2</v>
      </c>
      <c r="P82" s="248">
        <f t="shared" si="53"/>
        <v>9.435922606384288E-5</v>
      </c>
      <c r="Q82" s="250" t="str">
        <f t="shared" si="54"/>
        <v/>
      </c>
      <c r="R82" s="251" t="str">
        <f t="shared" si="57"/>
        <v/>
      </c>
      <c r="S82" s="252">
        <f>IF(AND(E82&gt;0.95*BiasLight,E82&lt;1.05*BiasLight),"",IF(AugerModel="Sinton",calclifetimeauger(Auger_Coefficient,I82,P82),calclifetimerichter(SampleType,I82,SampleDoping,P82)))</f>
        <v>10594.976755862675</v>
      </c>
      <c r="T82" s="201" t="str">
        <f t="shared" si="56"/>
        <v/>
      </c>
      <c r="U82" s="252">
        <f t="shared" si="47"/>
        <v>10222.066804493195</v>
      </c>
      <c r="V82" s="251" t="str">
        <f>IF(AugerModel="Sinton","",IF(SampleType="n-type",n_intr_boltzmann(SampleDoping,0,K82,Temperature+273.15),n_intr_boltzmann(0,SampleDoping,K82,Temperature+273.15)))</f>
        <v/>
      </c>
      <c r="W82" s="251" t="str">
        <f t="shared" si="51"/>
        <v/>
      </c>
      <c r="X82" s="246">
        <f>IF(AND(A82&gt;TimeofMaxCD,I82&gt;Traps),IF(AugerModel="Sinton",CalcImpliedV(SampleDoping,O82),CalcImpliedVRichter(O82,SampleDoping,V82)),"")</f>
        <v>0.65527698061228234</v>
      </c>
      <c r="Y82" s="253">
        <f t="shared" si="48"/>
        <v>1.6557767955876794</v>
      </c>
      <c r="Z82" s="200" t="str">
        <f t="shared" si="49"/>
        <v/>
      </c>
      <c r="AE82" s="251">
        <f t="shared" si="50"/>
        <v>1478.5461513867838</v>
      </c>
    </row>
    <row r="83" spans="1:31" x14ac:dyDescent="0.2">
      <c r="A83" s="244">
        <v>7.4498999999999998E-3</v>
      </c>
      <c r="B83" s="244">
        <v>0.18928700000000001</v>
      </c>
      <c r="C83" s="245">
        <v>1.52979E-2</v>
      </c>
      <c r="D83" s="246">
        <f>IF(CouplingMode="AC",B83-(A$11-A$10)*SUM(B$9:B83)/0.21,B83)</f>
        <v>0.18928700000000001</v>
      </c>
      <c r="E83" s="247">
        <f t="shared" si="38"/>
        <v>1.4536226679830331</v>
      </c>
      <c r="F83" s="247">
        <f t="shared" si="39"/>
        <v>1.4536226679830331</v>
      </c>
      <c r="G83" s="248">
        <f t="shared" si="40"/>
        <v>2.4136306472127763E+17</v>
      </c>
      <c r="H83" s="249">
        <f t="shared" si="41"/>
        <v>5.6729506226714972E-3</v>
      </c>
      <c r="I83" s="248">
        <f>IF(MobilityModel=DK,CalcDeltaN(H83,SampleDoping,Thickness,AreaFrac),CalcDeltaNDL(H83,AreaFrac,Thickness,SampleType,SampleDoping,Temperature))</f>
        <v>1200389928685442</v>
      </c>
      <c r="J83" s="248">
        <f t="shared" si="42"/>
        <v>1200389928685442</v>
      </c>
      <c r="K83" s="248">
        <f t="shared" si="43"/>
        <v>1200389928685442</v>
      </c>
      <c r="L83" s="250">
        <f t="shared" si="52"/>
        <v>-1.0099649838691268E+18</v>
      </c>
      <c r="M83" s="196" t="str">
        <f t="shared" si="44"/>
        <v/>
      </c>
      <c r="N83" s="196" t="str">
        <f t="shared" si="45"/>
        <v/>
      </c>
      <c r="O83" s="250">
        <f t="shared" si="46"/>
        <v>1200389928685442</v>
      </c>
      <c r="P83" s="248">
        <f t="shared" si="53"/>
        <v>9.136248223849108E-5</v>
      </c>
      <c r="Q83" s="250">
        <f t="shared" si="54"/>
        <v>9.136248223849108E-5</v>
      </c>
      <c r="R83" s="251">
        <f t="shared" si="57"/>
        <v>10945.411896642836</v>
      </c>
      <c r="S83" s="252">
        <f>IF(AND(E83&gt;0.95*BiasLight,E83&lt;1.05*BiasLight),"",IF(AugerModel="Sinton",calclifetimeauger(Auger_Coefficient,I83,P83),calclifetimerichter(SampleType,I83,SampleDoping,P83)))</f>
        <v>10943.01994291456</v>
      </c>
      <c r="T83" s="201">
        <f t="shared" si="56"/>
        <v>10943.01994291456</v>
      </c>
      <c r="U83" s="252">
        <f t="shared" si="47"/>
        <v>10786.332878668463</v>
      </c>
      <c r="V83" s="251" t="str">
        <f>IF(AugerModel="Sinton","",IF(SampleType="n-type",n_intr_boltzmann(SampleDoping,0,K83,Temperature+273.15),n_intr_boltzmann(0,SampleDoping,K83,Temperature+273.15)))</f>
        <v/>
      </c>
      <c r="W83" s="251" t="str">
        <f t="shared" si="51"/>
        <v/>
      </c>
      <c r="X83" s="246">
        <f>IF(AND(A83&gt;TimeofMaxCD,I83&gt;Traps),IF(AugerModel="Sinton",CalcImpliedV(SampleDoping,O83),CalcImpliedVRichter(O83,SampleDoping,V83)),"")</f>
        <v>0.65276375015557242</v>
      </c>
      <c r="Y83" s="253">
        <f t="shared" si="48"/>
        <v>1.5746658322414955</v>
      </c>
      <c r="Z83" s="200" t="str">
        <f t="shared" si="49"/>
        <v/>
      </c>
      <c r="AE83" s="251">
        <f t="shared" si="50"/>
        <v>1482.4193401588379</v>
      </c>
    </row>
    <row r="84" spans="1:31" x14ac:dyDescent="0.2">
      <c r="A84" s="244">
        <v>7.5499E-3</v>
      </c>
      <c r="B84" s="244">
        <v>0.17429700000000001</v>
      </c>
      <c r="C84" s="245">
        <v>1.4539099999999999E-2</v>
      </c>
      <c r="D84" s="246">
        <f>IF(CouplingMode="AC",B84-(A$11-A$10)*SUM(B$9:B84)/0.21,B84)</f>
        <v>0.17429700000000001</v>
      </c>
      <c r="E84" s="247">
        <f t="shared" si="38"/>
        <v>1.3815206879422741</v>
      </c>
      <c r="F84" s="247">
        <f t="shared" si="39"/>
        <v>1.3815206879422741</v>
      </c>
      <c r="G84" s="248">
        <f t="shared" si="40"/>
        <v>2.2939107552599558E+17</v>
      </c>
      <c r="H84" s="249">
        <f t="shared" si="41"/>
        <v>5.2225399262663119E-3</v>
      </c>
      <c r="I84" s="248">
        <f>IF(MobilityModel=DK,CalcDeltaN(H84,SampleDoping,Thickness,AreaFrac),CalcDeltaNDL(H84,AreaFrac,Thickness,SampleType,SampleDoping,Temperature))</f>
        <v>1102233216331581.5</v>
      </c>
      <c r="J84" s="248">
        <f t="shared" si="42"/>
        <v>1102233216331581.5</v>
      </c>
      <c r="K84" s="248">
        <f t="shared" si="43"/>
        <v>1102233216331581.5</v>
      </c>
      <c r="L84" s="250">
        <f t="shared" si="52"/>
        <v>-9.3984912739046618E+17</v>
      </c>
      <c r="M84" s="196" t="str">
        <f t="shared" si="44"/>
        <v/>
      </c>
      <c r="N84" s="196" t="str">
        <f t="shared" si="45"/>
        <v/>
      </c>
      <c r="O84" s="250">
        <f t="shared" si="46"/>
        <v>1102233216331581.5</v>
      </c>
      <c r="P84" s="248">
        <f t="shared" si="53"/>
        <v>8.8411789630937098E-5</v>
      </c>
      <c r="Q84" s="250">
        <f t="shared" si="54"/>
        <v>8.8411789630937098E-5</v>
      </c>
      <c r="R84" s="251">
        <f t="shared" si="57"/>
        <v>11310.708720798018</v>
      </c>
      <c r="S84" s="252">
        <f>IF(AND(E84&gt;0.95*BiasLight,E84&lt;1.05*BiasLight),"",IF(AugerModel="Sinton",calclifetimeauger(Auger_Coefficient,I84,P84),calclifetimerichter(SampleType,I84,SampleDoping,P84)))</f>
        <v>11308.691956813132</v>
      </c>
      <c r="T84" s="201">
        <f t="shared" si="56"/>
        <v>11308.691956813132</v>
      </c>
      <c r="U84" s="252">
        <f t="shared" si="47"/>
        <v>11322.848800142197</v>
      </c>
      <c r="V84" s="251" t="str">
        <f>IF(AugerModel="Sinton","",IF(SampleType="n-type",n_intr_boltzmann(SampleDoping,0,K84,Temperature+273.15),n_intr_boltzmann(0,SampleDoping,K84,Temperature+273.15)))</f>
        <v/>
      </c>
      <c r="W84" s="251" t="str">
        <f t="shared" si="51"/>
        <v/>
      </c>
      <c r="X84" s="246">
        <f>IF(AND(A84&gt;TimeofMaxCD,I84&gt;Traps),IF(AugerModel="Sinton",CalcImpliedV(SampleDoping,O84),CalcImpliedVRichter(O84,SampleDoping,V84)),"")</f>
        <v>0.65019209613873585</v>
      </c>
      <c r="Y84" s="253">
        <f t="shared" si="48"/>
        <v>1.4941605458798026</v>
      </c>
      <c r="Z84" s="200" t="str">
        <f t="shared" si="49"/>
        <v/>
      </c>
      <c r="AE84" s="251">
        <f t="shared" si="50"/>
        <v>1486.2528010746137</v>
      </c>
    </row>
    <row r="85" spans="1:31" x14ac:dyDescent="0.2">
      <c r="A85" s="244">
        <v>7.6499000000000003E-3</v>
      </c>
      <c r="B85" s="244">
        <v>0.160694</v>
      </c>
      <c r="C85" s="245">
        <v>1.3861399999999999E-2</v>
      </c>
      <c r="D85" s="246">
        <f>IF(CouplingMode="AC",B85-(A$11-A$10)*SUM(B$9:B85)/0.21,B85)</f>
        <v>0.160694</v>
      </c>
      <c r="E85" s="247">
        <f t="shared" si="38"/>
        <v>1.3171249158368152</v>
      </c>
      <c r="F85" s="247">
        <f t="shared" si="39"/>
        <v>1.3171249158368152</v>
      </c>
      <c r="G85" s="248">
        <f t="shared" si="40"/>
        <v>2.1869864395292931E+17</v>
      </c>
      <c r="H85" s="249">
        <f t="shared" si="41"/>
        <v>4.8139775091890231E-3</v>
      </c>
      <c r="I85" s="248">
        <f>IF(MobilityModel=DK,CalcDeltaN(H85,SampleDoping,Thickness,AreaFrac),CalcDeltaNDL(H85,AreaFrac,Thickness,SampleType,SampleDoping,Temperature))</f>
        <v>1013544112994347.6</v>
      </c>
      <c r="J85" s="248">
        <f t="shared" si="42"/>
        <v>1013544112994347.6</v>
      </c>
      <c r="K85" s="248">
        <f t="shared" si="43"/>
        <v>1013544112994347.6</v>
      </c>
      <c r="L85" s="250">
        <f t="shared" si="52"/>
        <v>-8.807093035212439E+17</v>
      </c>
      <c r="M85" s="196" t="str">
        <f t="shared" si="44"/>
        <v/>
      </c>
      <c r="N85" s="196" t="str">
        <f t="shared" si="45"/>
        <v/>
      </c>
      <c r="O85" s="250">
        <f t="shared" si="46"/>
        <v>1013544112994347.6</v>
      </c>
      <c r="P85" s="248">
        <f t="shared" si="53"/>
        <v>8.5382785132386327E-5</v>
      </c>
      <c r="Q85" s="250">
        <f t="shared" si="54"/>
        <v>8.5382785132386327E-5</v>
      </c>
      <c r="R85" s="251">
        <f t="shared" si="57"/>
        <v>11711.962762159799</v>
      </c>
      <c r="S85" s="252">
        <f>IF(AND(E85&gt;0.95*BiasLight,E85&lt;1.05*BiasLight),"",IF(AugerModel="Sinton",calclifetimeauger(Auger_Coefficient,I85,P85),calclifetimerichter(SampleType,I85,SampleDoping,P85)))</f>
        <v>11710.257491189283</v>
      </c>
      <c r="T85" s="201">
        <f t="shared" si="56"/>
        <v>11710.257491189283</v>
      </c>
      <c r="U85" s="252">
        <f t="shared" si="47"/>
        <v>11807.615606818807</v>
      </c>
      <c r="V85" s="251" t="str">
        <f>IF(AugerModel="Sinton","",IF(SampleType="n-type",n_intr_boltzmann(SampleDoping,0,K85,Temperature+273.15),n_intr_boltzmann(0,SampleDoping,K85,Temperature+273.15)))</f>
        <v/>
      </c>
      <c r="W85" s="251" t="str">
        <f t="shared" si="51"/>
        <v/>
      </c>
      <c r="X85" s="246">
        <f>IF(AND(A85&gt;TimeofMaxCD,I85&gt;Traps),IF(AugerModel="Sinton",CalcImpliedV(SampleDoping,O85),CalcImpliedVRichter(O85,SampleDoping,V85)),"")</f>
        <v>0.64768875653430125</v>
      </c>
      <c r="Y85" s="253">
        <f t="shared" si="48"/>
        <v>1.4226769325826667</v>
      </c>
      <c r="Z85" s="200" t="str">
        <f t="shared" si="49"/>
        <v/>
      </c>
      <c r="AE85" s="251">
        <f t="shared" si="50"/>
        <v>1489.8612110076417</v>
      </c>
    </row>
    <row r="86" spans="1:31" x14ac:dyDescent="0.2">
      <c r="A86" s="244">
        <v>7.7498999999999997E-3</v>
      </c>
      <c r="B86" s="244">
        <v>0.14738299999999999</v>
      </c>
      <c r="C86" s="245">
        <v>1.31778E-2</v>
      </c>
      <c r="D86" s="246">
        <f>IF(CouplingMode="AC",B86-(A$11-A$10)*SUM(B$9:B86)/0.21,B86)</f>
        <v>0.14738299999999999</v>
      </c>
      <c r="E86" s="247">
        <f t="shared" si="38"/>
        <v>1.2521685194795895</v>
      </c>
      <c r="F86" s="247">
        <f t="shared" si="39"/>
        <v>1.2521685194795895</v>
      </c>
      <c r="G86" s="248">
        <f t="shared" si="40"/>
        <v>2.0791312495728515E+17</v>
      </c>
      <c r="H86" s="249">
        <f t="shared" si="41"/>
        <v>4.4143441364081423E-3</v>
      </c>
      <c r="I86" s="248">
        <f>IF(MobilityModel=DK,CalcDeltaN(H86,SampleDoping,Thickness,AreaFrac),CalcDeltaNDL(H86,AreaFrac,Thickness,SampleType,SampleDoping,Temperature))</f>
        <v>927121933789796.75</v>
      </c>
      <c r="J86" s="248">
        <f t="shared" si="42"/>
        <v>927121933789796.75</v>
      </c>
      <c r="K86" s="248">
        <f t="shared" si="43"/>
        <v>927121933789796.75</v>
      </c>
      <c r="L86" s="250">
        <f t="shared" si="52"/>
        <v>-8.1719911261646707E+17</v>
      </c>
      <c r="M86" s="196" t="str">
        <f t="shared" si="44"/>
        <v/>
      </c>
      <c r="N86" s="196" t="str">
        <f t="shared" si="45"/>
        <v/>
      </c>
      <c r="O86" s="250">
        <f t="shared" si="46"/>
        <v>927121933789796.75</v>
      </c>
      <c r="P86" s="248">
        <f t="shared" si="53"/>
        <v>8.2300410873662928E-5</v>
      </c>
      <c r="Q86" s="250">
        <f t="shared" si="54"/>
        <v>8.2300410873662928E-5</v>
      </c>
      <c r="R86" s="251">
        <f t="shared" si="57"/>
        <v>12150.607626188796</v>
      </c>
      <c r="S86" s="252">
        <f>IF(AND(E86&gt;0.95*BiasLight,E86&lt;1.05*BiasLight),"",IF(AugerModel="Sinton",calclifetimeauger(Auger_Coefficient,I86,P86),calclifetimerichter(SampleType,I86,SampleDoping,P86)))</f>
        <v>12149.180764755805</v>
      </c>
      <c r="T86" s="201">
        <f t="shared" si="56"/>
        <v>12149.180764755805</v>
      </c>
      <c r="U86" s="252">
        <f t="shared" si="47"/>
        <v>12279.991606379004</v>
      </c>
      <c r="V86" s="251" t="str">
        <f>IF(AugerModel="Sinton","",IF(SampleType="n-type",n_intr_boltzmann(SampleDoping,0,K86,Temperature+273.15),n_intr_boltzmann(0,SampleDoping,K86,Temperature+273.15)))</f>
        <v/>
      </c>
      <c r="W86" s="251" t="str">
        <f t="shared" si="51"/>
        <v/>
      </c>
      <c r="X86" s="246">
        <f>IF(AND(A86&gt;TimeofMaxCD,I86&gt;Traps),IF(AugerModel="Sinton",CalcImpliedV(SampleDoping,O86),CalcImpliedVRichter(O86,SampleDoping,V86)),"")</f>
        <v>0.64505514378222117</v>
      </c>
      <c r="Y86" s="253">
        <f t="shared" si="48"/>
        <v>1.3501089114735385</v>
      </c>
      <c r="Z86" s="200" t="str">
        <f t="shared" si="49"/>
        <v/>
      </c>
      <c r="AE86" s="251">
        <f t="shared" si="50"/>
        <v>1493.5292872908813</v>
      </c>
    </row>
    <row r="87" spans="1:31" x14ac:dyDescent="0.2">
      <c r="A87" s="244">
        <v>7.8498999999999999E-3</v>
      </c>
      <c r="B87" s="244">
        <v>0.13508300000000001</v>
      </c>
      <c r="C87" s="245">
        <v>1.25372E-2</v>
      </c>
      <c r="D87" s="246">
        <f>IF(CouplingMode="AC",B87-(A$11-A$10)*SUM(B$9:B87)/0.21,B87)</f>
        <v>0.13508300000000001</v>
      </c>
      <c r="E87" s="247">
        <f t="shared" si="38"/>
        <v>1.1912980286860866</v>
      </c>
      <c r="F87" s="247">
        <f t="shared" si="39"/>
        <v>1.1912980286860866</v>
      </c>
      <c r="G87" s="248">
        <f t="shared" si="40"/>
        <v>1.9780603971941261E+17</v>
      </c>
      <c r="H87" s="249">
        <f t="shared" si="41"/>
        <v>4.0452035310920287E-3</v>
      </c>
      <c r="I87" s="248">
        <f>IF(MobilityModel=DK,CalcDeltaN(H87,SampleDoping,Thickness,AreaFrac),CalcDeltaNDL(H87,AreaFrac,Thickness,SampleType,SampleDoping,Temperature))</f>
        <v>847590918195712.37</v>
      </c>
      <c r="J87" s="248">
        <f t="shared" si="42"/>
        <v>847590918195712.37</v>
      </c>
      <c r="K87" s="248">
        <f t="shared" si="43"/>
        <v>847590918195712.37</v>
      </c>
      <c r="L87" s="250">
        <f t="shared" si="52"/>
        <v>-7.6213186147308531E+17</v>
      </c>
      <c r="M87" s="196" t="str">
        <f t="shared" si="44"/>
        <v/>
      </c>
      <c r="N87" s="196" t="str">
        <f t="shared" si="45"/>
        <v/>
      </c>
      <c r="O87" s="250">
        <f t="shared" si="46"/>
        <v>847590918195712.37</v>
      </c>
      <c r="P87" s="248">
        <f t="shared" si="53"/>
        <v>7.9198310307788413E-5</v>
      </c>
      <c r="Q87" s="250">
        <f t="shared" si="54"/>
        <v>7.9198310307788413E-5</v>
      </c>
      <c r="R87" s="251">
        <f t="shared" si="57"/>
        <v>12626.532006979691</v>
      </c>
      <c r="S87" s="252">
        <f>IF(AND(E87&gt;0.95*BiasLight,E87&lt;1.05*BiasLight),"",IF(AugerModel="Sinton",calclifetimeauger(Auger_Coefficient,I87,P87),calclifetimerichter(SampleType,I87,SampleDoping,P87)))</f>
        <v>12625.339445774442</v>
      </c>
      <c r="T87" s="201">
        <f t="shared" si="56"/>
        <v>12625.339445774442</v>
      </c>
      <c r="U87" s="252">
        <f t="shared" si="47"/>
        <v>12714.701114205382</v>
      </c>
      <c r="V87" s="251" t="str">
        <f>IF(AugerModel="Sinton","",IF(SampleType="n-type",n_intr_boltzmann(SampleDoping,0,K87,Temperature+273.15),n_intr_boltzmann(0,SampleDoping,K87,Temperature+273.15)))</f>
        <v/>
      </c>
      <c r="W87" s="251" t="str">
        <f t="shared" si="51"/>
        <v/>
      </c>
      <c r="X87" s="246">
        <f>IF(AND(A87&gt;TimeofMaxCD,I87&gt;Traps),IF(AugerModel="Sinton",CalcImpliedV(SampleDoping,O87),CalcImpliedVRichter(O87,SampleDoping,V87)),"")</f>
        <v>0.64243036206189863</v>
      </c>
      <c r="Y87" s="253">
        <f t="shared" si="48"/>
        <v>1.2826386727364236</v>
      </c>
      <c r="Z87" s="200" t="str">
        <f t="shared" si="49"/>
        <v/>
      </c>
      <c r="AE87" s="251">
        <f t="shared" si="50"/>
        <v>1497.057546547954</v>
      </c>
    </row>
    <row r="88" spans="1:31" x14ac:dyDescent="0.2">
      <c r="A88" s="244">
        <v>7.9498999999999993E-3</v>
      </c>
      <c r="B88" s="244">
        <v>0.12406300000000001</v>
      </c>
      <c r="C88" s="245">
        <v>1.19376E-2</v>
      </c>
      <c r="D88" s="246">
        <f>IF(CouplingMode="AC",B88-(A$11-A$10)*SUM(B$9:B88)/0.21,B88)</f>
        <v>0.12406300000000001</v>
      </c>
      <c r="E88" s="247">
        <f t="shared" si="38"/>
        <v>1.1343234013370629</v>
      </c>
      <c r="F88" s="247">
        <f t="shared" si="39"/>
        <v>1.1343234013370629</v>
      </c>
      <c r="G88" s="248">
        <f t="shared" si="40"/>
        <v>1.8834583318081069E+17</v>
      </c>
      <c r="H88" s="249">
        <f t="shared" si="41"/>
        <v>3.7145915446747356E-3</v>
      </c>
      <c r="I88" s="248">
        <f>IF(MobilityModel=DK,CalcDeltaN(H88,SampleDoping,Thickness,AreaFrac),CalcDeltaNDL(H88,AreaFrac,Thickness,SampleType,SampleDoping,Temperature))</f>
        <v>776610257422666.37</v>
      </c>
      <c r="J88" s="248">
        <f t="shared" si="42"/>
        <v>776610257422666.37</v>
      </c>
      <c r="K88" s="248">
        <f t="shared" si="43"/>
        <v>776610257422666.37</v>
      </c>
      <c r="L88" s="250">
        <f t="shared" si="52"/>
        <v>-7.0463322925347558E+17</v>
      </c>
      <c r="M88" s="196" t="str">
        <f t="shared" si="44"/>
        <v/>
      </c>
      <c r="N88" s="196" t="str">
        <f t="shared" si="45"/>
        <v/>
      </c>
      <c r="O88" s="250">
        <f t="shared" si="46"/>
        <v>776610257422666.37</v>
      </c>
      <c r="P88" s="248">
        <f t="shared" si="53"/>
        <v>7.6368504370029423E-5</v>
      </c>
      <c r="Q88" s="250">
        <f t="shared" si="54"/>
        <v>7.6368504370029423E-5</v>
      </c>
      <c r="R88" s="251">
        <f t="shared" si="57"/>
        <v>13094.403357104986</v>
      </c>
      <c r="S88" s="252">
        <f>IF(AND(E88&gt;0.95*BiasLight,E88&lt;1.05*BiasLight),"",IF(AugerModel="Sinton",calclifetimeauger(Auger_Coefficient,I88,P88),calclifetimerichter(SampleType,I88,SampleDoping,P88)))</f>
        <v>13093.402172108375</v>
      </c>
      <c r="T88" s="201">
        <f t="shared" si="56"/>
        <v>13093.402172108375</v>
      </c>
      <c r="U88" s="252">
        <f t="shared" si="47"/>
        <v>13102.675137664692</v>
      </c>
      <c r="V88" s="251" t="str">
        <f>IF(AugerModel="Sinton","",IF(SampleType="n-type",n_intr_boltzmann(SampleDoping,0,K88,Temperature+273.15),n_intr_boltzmann(0,SampleDoping,K88,Temperature+273.15)))</f>
        <v/>
      </c>
      <c r="W88" s="251" t="str">
        <f t="shared" si="51"/>
        <v/>
      </c>
      <c r="X88" s="246">
        <f>IF(AND(A88&gt;TimeofMaxCD,I88&gt;Traps),IF(AugerModel="Sinton",CalcImpliedV(SampleDoping,O88),CalcImpliedVRichter(O88,SampleDoping,V88)),"")</f>
        <v>0.63989386439406604</v>
      </c>
      <c r="Y88" s="253">
        <f t="shared" si="48"/>
        <v>1.2187728991639613</v>
      </c>
      <c r="Z88" s="200" t="str">
        <f t="shared" si="49"/>
        <v/>
      </c>
      <c r="AE88" s="251">
        <f t="shared" si="50"/>
        <v>1500.3492146830995</v>
      </c>
    </row>
    <row r="89" spans="1:31" x14ac:dyDescent="0.2">
      <c r="A89" s="244">
        <v>8.0499000000000005E-3</v>
      </c>
      <c r="B89" s="244">
        <v>0.11333</v>
      </c>
      <c r="C89" s="245">
        <v>1.1379E-2</v>
      </c>
      <c r="D89" s="246">
        <f>IF(CouplingMode="AC",B89-(A$11-A$10)*SUM(B$9:B89)/0.21,B89)</f>
        <v>0.11333</v>
      </c>
      <c r="E89" s="247">
        <f t="shared" si="38"/>
        <v>1.0812446374325191</v>
      </c>
      <c r="F89" s="247">
        <f t="shared" si="39"/>
        <v>1.0812446374325191</v>
      </c>
      <c r="G89" s="248">
        <f t="shared" si="40"/>
        <v>1.7953250534147942E+17</v>
      </c>
      <c r="H89" s="249">
        <f t="shared" si="41"/>
        <v>3.392693428678973E-3</v>
      </c>
      <c r="I89" s="248">
        <f>IF(MobilityModel=DK,CalcDeltaN(H89,SampleDoping,Thickness,AreaFrac),CalcDeltaNDL(H89,AreaFrac,Thickness,SampleType,SampleDoping,Temperature))</f>
        <v>707734020441370.12</v>
      </c>
      <c r="J89" s="248">
        <f t="shared" si="42"/>
        <v>707734020441370.12</v>
      </c>
      <c r="K89" s="248">
        <f t="shared" si="43"/>
        <v>707734020441370.12</v>
      </c>
      <c r="L89" s="250">
        <f t="shared" si="52"/>
        <v>-6.4892164996332173E+17</v>
      </c>
      <c r="M89" s="196" t="str">
        <f t="shared" si="44"/>
        <v/>
      </c>
      <c r="N89" s="196" t="str">
        <f t="shared" si="45"/>
        <v/>
      </c>
      <c r="O89" s="250">
        <f t="shared" si="46"/>
        <v>707734020441370.12</v>
      </c>
      <c r="P89" s="248">
        <f t="shared" si="53"/>
        <v>7.3183665170867016E-5</v>
      </c>
      <c r="Q89" s="250">
        <f t="shared" si="54"/>
        <v>7.3183665170867016E-5</v>
      </c>
      <c r="R89" s="251">
        <f t="shared" si="57"/>
        <v>13664.25141000017</v>
      </c>
      <c r="S89" s="252">
        <f>IF(AND(E89&gt;0.95*BiasLight,E89&lt;1.05*BiasLight),"",IF(AugerModel="Sinton",calclifetimeauger(Auger_Coefficient,I89,P89),calclifetimerichter(SampleType,I89,SampleDoping,P89)))</f>
        <v>13663.419936843644</v>
      </c>
      <c r="T89" s="201">
        <f t="shared" si="56"/>
        <v>13663.419936843644</v>
      </c>
      <c r="U89" s="252">
        <f t="shared" si="47"/>
        <v>13479.146566520674</v>
      </c>
      <c r="V89" s="251" t="str">
        <f>IF(AugerModel="Sinton","",IF(SampleType="n-type",n_intr_boltzmann(SampleDoping,0,K89,Temperature+273.15),n_intr_boltzmann(0,SampleDoping,K89,Temperature+273.15)))</f>
        <v/>
      </c>
      <c r="W89" s="251" t="str">
        <f t="shared" si="51"/>
        <v/>
      </c>
      <c r="X89" s="246">
        <f>IF(AND(A89&gt;TimeofMaxCD,I89&gt;Traps),IF(AugerModel="Sinton",CalcImpliedV(SampleDoping,O89),CalcImpliedVRichter(O89,SampleDoping,V89)),"")</f>
        <v>0.63722379417667119</v>
      </c>
      <c r="Y89" s="253">
        <f t="shared" si="48"/>
        <v>1.1590171653141006</v>
      </c>
      <c r="Z89" s="200" t="str">
        <f t="shared" si="49"/>
        <v/>
      </c>
      <c r="AE89" s="251">
        <f t="shared" si="50"/>
        <v>1503.69223483518</v>
      </c>
    </row>
    <row r="90" spans="1:31" x14ac:dyDescent="0.2">
      <c r="A90" s="244">
        <v>8.1498999999999999E-3</v>
      </c>
      <c r="B90" s="244">
        <v>0.103477</v>
      </c>
      <c r="C90" s="245">
        <v>1.08331E-2</v>
      </c>
      <c r="D90" s="246">
        <f>IF(CouplingMode="AC",B90-(A$11-A$10)*SUM(B$9:B90)/0.21,B90)</f>
        <v>0.103477</v>
      </c>
      <c r="E90" s="247">
        <f t="shared" si="38"/>
        <v>1.0293726409851676</v>
      </c>
      <c r="F90" s="247">
        <f t="shared" si="39"/>
        <v>1.0293726409851676</v>
      </c>
      <c r="G90" s="248">
        <f t="shared" si="40"/>
        <v>1.7091955212362957E+17</v>
      </c>
      <c r="H90" s="249">
        <f t="shared" si="41"/>
        <v>3.0972777464413868E-3</v>
      </c>
      <c r="I90" s="248">
        <f>IF(MobilityModel=DK,CalcDeltaN(H90,SampleDoping,Thickness,AreaFrac),CalcDeltaNDL(H90,AreaFrac,Thickness,SampleType,SampleDoping,Temperature))</f>
        <v>644733768040229.75</v>
      </c>
      <c r="J90" s="248" t="str">
        <f t="shared" si="42"/>
        <v/>
      </c>
      <c r="K90" s="248">
        <f t="shared" si="43"/>
        <v>644733768040229.75</v>
      </c>
      <c r="L90" s="250">
        <f t="shared" si="52"/>
        <v>-5.994491960443049E+17</v>
      </c>
      <c r="M90" s="196" t="str">
        <f t="shared" si="44"/>
        <v/>
      </c>
      <c r="N90" s="196" t="str">
        <f t="shared" si="45"/>
        <v/>
      </c>
      <c r="O90" s="250">
        <f t="shared" si="46"/>
        <v>644733768040229.75</v>
      </c>
      <c r="P90" s="248">
        <f t="shared" si="53"/>
        <v>7.0168448687885955E-5</v>
      </c>
      <c r="Q90" s="250" t="str">
        <f t="shared" si="54"/>
        <v/>
      </c>
      <c r="R90" s="251" t="str">
        <f t="shared" si="57"/>
        <v/>
      </c>
      <c r="S90" s="252">
        <f>IF(AND(E90&gt;0.95*BiasLight,E90&lt;1.05*BiasLight),"",IF(AugerModel="Sinton",calclifetimeauger(Auger_Coefficient,I90,P90),calclifetimerichter(SampleType,I90,SampleDoping,P90)))</f>
        <v>14250.729498201576</v>
      </c>
      <c r="T90" s="201" t="str">
        <f t="shared" si="56"/>
        <v/>
      </c>
      <c r="U90" s="252">
        <f t="shared" si="47"/>
        <v>13823.500382571709</v>
      </c>
      <c r="V90" s="251" t="str">
        <f>IF(AugerModel="Sinton","",IF(SampleType="n-type",n_intr_boltzmann(SampleDoping,0,K90,Temperature+273.15),n_intr_boltzmann(0,SampleDoping,K90,Temperature+273.15)))</f>
        <v/>
      </c>
      <c r="W90" s="251" t="str">
        <f t="shared" si="51"/>
        <v/>
      </c>
      <c r="X90" s="246">
        <f>IF(AND(A90&gt;TimeofMaxCD,I90&gt;Traps),IF(AugerModel="Sinton",CalcImpliedV(SampleDoping,O90),CalcImpliedVRichter(O90,SampleDoping,V90)),"")</f>
        <v>0.63456592592418981</v>
      </c>
      <c r="Y90" s="253">
        <f t="shared" si="48"/>
        <v>1.1012159510605555</v>
      </c>
      <c r="Z90" s="200" t="str">
        <f t="shared" si="49"/>
        <v/>
      </c>
      <c r="AE90" s="251">
        <f t="shared" si="50"/>
        <v>1506.8990079864484</v>
      </c>
    </row>
    <row r="91" spans="1:31" x14ac:dyDescent="0.2">
      <c r="A91" s="244">
        <v>8.2498999999999992E-3</v>
      </c>
      <c r="B91" s="244">
        <v>9.4741599999999995E-2</v>
      </c>
      <c r="C91" s="245">
        <v>1.0295E-2</v>
      </c>
      <c r="D91" s="246">
        <f>IF(CouplingMode="AC",B91-(A$11-A$10)*SUM(B$9:B91)/0.21,B91)</f>
        <v>9.4741599999999995E-2</v>
      </c>
      <c r="E91" s="247">
        <f t="shared" si="38"/>
        <v>0.9782418088028636</v>
      </c>
      <c r="F91" s="247">
        <f t="shared" si="39"/>
        <v>0.9782418088028636</v>
      </c>
      <c r="G91" s="248">
        <f t="shared" si="40"/>
        <v>1.6242966363393366E+17</v>
      </c>
      <c r="H91" s="249">
        <f t="shared" si="41"/>
        <v>2.835442314468424E-3</v>
      </c>
      <c r="I91" s="248">
        <f>IF(MobilityModel=DK,CalcDeltaN(H91,SampleDoping,Thickness,AreaFrac),CalcDeltaNDL(H91,AreaFrac,Thickness,SampleType,SampleDoping,Temperature))</f>
        <v>589068337905270.12</v>
      </c>
      <c r="J91" s="248" t="str">
        <f t="shared" si="42"/>
        <v/>
      </c>
      <c r="K91" s="248">
        <f t="shared" si="43"/>
        <v>589068337905270.12</v>
      </c>
      <c r="L91" s="250">
        <f t="shared" si="52"/>
        <v>-5.451723498241993E+17</v>
      </c>
      <c r="M91" s="196" t="str">
        <f t="shared" si="44"/>
        <v/>
      </c>
      <c r="N91" s="196" t="str">
        <f t="shared" si="45"/>
        <v/>
      </c>
      <c r="O91" s="250">
        <f t="shared" si="46"/>
        <v>589068337905270.12</v>
      </c>
      <c r="P91" s="248">
        <f t="shared" si="53"/>
        <v>6.7650941149800947E-5</v>
      </c>
      <c r="Q91" s="250" t="str">
        <f t="shared" si="54"/>
        <v/>
      </c>
      <c r="R91" s="251" t="str">
        <f t="shared" si="57"/>
        <v/>
      </c>
      <c r="S91" s="252">
        <f>IF(AND(E91&gt;0.95*BiasLight,E91&lt;1.05*BiasLight),"",IF(AugerModel="Sinton",calclifetimeauger(Auger_Coefficient,I91,P91),calclifetimerichter(SampleType,I91,SampleDoping,P91)))</f>
        <v>14781.184334471232</v>
      </c>
      <c r="T91" s="201" t="str">
        <f t="shared" si="56"/>
        <v/>
      </c>
      <c r="U91" s="252">
        <f t="shared" si="47"/>
        <v>14127.762707856436</v>
      </c>
      <c r="V91" s="251" t="str">
        <f>IF(AugerModel="Sinton","",IF(SampleType="n-type",n_intr_boltzmann(SampleDoping,0,K91,Temperature+273.15),n_intr_boltzmann(0,SampleDoping,K91,Temperature+273.15)))</f>
        <v/>
      </c>
      <c r="W91" s="251" t="str">
        <f t="shared" si="51"/>
        <v/>
      </c>
      <c r="X91" s="246">
        <f>IF(AND(A91&gt;TimeofMaxCD,I91&gt;Traps),IF(AugerModel="Sinton",CalcImpliedV(SampleDoping,O91),CalcImpliedVRichter(O91,SampleDoping,V91)),"")</f>
        <v>0.63201180833957216</v>
      </c>
      <c r="Y91" s="253">
        <f t="shared" si="48"/>
        <v>1.0435801000732603</v>
      </c>
      <c r="Z91" s="200" t="str">
        <f t="shared" si="49"/>
        <v/>
      </c>
      <c r="AE91" s="251">
        <f t="shared" si="50"/>
        <v>1509.8699711423876</v>
      </c>
    </row>
    <row r="92" spans="1:31" x14ac:dyDescent="0.2">
      <c r="A92" s="244">
        <v>8.3499000000000004E-3</v>
      </c>
      <c r="B92" s="244">
        <v>8.6421300000000006E-2</v>
      </c>
      <c r="C92" s="245">
        <v>9.7940200000000005E-3</v>
      </c>
      <c r="D92" s="246">
        <f>IF(CouplingMode="AC",B92-(A$11-A$10)*SUM(B$9:B92)/0.21,B92)</f>
        <v>8.6421300000000006E-2</v>
      </c>
      <c r="E92" s="247">
        <f t="shared" si="38"/>
        <v>0.93063815835370778</v>
      </c>
      <c r="F92" s="247">
        <f t="shared" si="39"/>
        <v>0.93063815835370778</v>
      </c>
      <c r="G92" s="248">
        <f t="shared" si="40"/>
        <v>1.5452543703001638E+17</v>
      </c>
      <c r="H92" s="249">
        <f t="shared" si="41"/>
        <v>2.5861120599438708E-3</v>
      </c>
      <c r="I92" s="248">
        <f>IF(MobilityModel=DK,CalcDeltaN(H92,SampleDoping,Thickness,AreaFrac),CalcDeltaNDL(H92,AreaFrac,Thickness,SampleType,SampleDoping,Temperature))</f>
        <v>536218500668563.62</v>
      </c>
      <c r="J92" s="248" t="str">
        <f t="shared" si="42"/>
        <v/>
      </c>
      <c r="K92" s="248">
        <f t="shared" si="43"/>
        <v>536218500668563.62</v>
      </c>
      <c r="L92" s="250">
        <f t="shared" si="52"/>
        <v>-5.0120219639777658E+17</v>
      </c>
      <c r="M92" s="196" t="str">
        <f t="shared" si="44"/>
        <v/>
      </c>
      <c r="N92" s="196" t="str">
        <f t="shared" si="45"/>
        <v/>
      </c>
      <c r="O92" s="250">
        <f t="shared" si="46"/>
        <v>536218500668563.62</v>
      </c>
      <c r="P92" s="248">
        <f t="shared" si="53"/>
        <v>6.4868022072610317E-5</v>
      </c>
      <c r="Q92" s="250" t="str">
        <f t="shared" si="54"/>
        <v/>
      </c>
      <c r="R92" s="251" t="str">
        <f t="shared" si="57"/>
        <v/>
      </c>
      <c r="S92" s="252">
        <f>IF(AND(E92&gt;0.95*BiasLight,E92&lt;1.05*BiasLight),"",IF(AugerModel="Sinton",calclifetimeauger(Auger_Coefficient,I92,P92),calclifetimerichter(SampleType,I92,SampleDoping,P92)))</f>
        <v>15415.439017957389</v>
      </c>
      <c r="T92" s="201" t="str">
        <f t="shared" si="56"/>
        <v/>
      </c>
      <c r="U92" s="252">
        <f t="shared" si="47"/>
        <v>14416.635251005271</v>
      </c>
      <c r="V92" s="251" t="str">
        <f>IF(AugerModel="Sinton","",IF(SampleType="n-type",n_intr_boltzmann(SampleDoping,0,K92,Temperature+273.15),n_intr_boltzmann(0,SampleDoping,K92,Temperature+273.15)))</f>
        <v/>
      </c>
      <c r="W92" s="251" t="str">
        <f t="shared" si="51"/>
        <v/>
      </c>
      <c r="X92" s="246">
        <f>IF(AND(A92&gt;TimeofMaxCD,I92&gt;Traps),IF(AugerModel="Sinton",CalcImpliedV(SampleDoping,O92),CalcImpliedVRichter(O92,SampleDoping,V92)),"")</f>
        <v>0.62937236445527411</v>
      </c>
      <c r="Y92" s="253">
        <f t="shared" si="48"/>
        <v>0.99070667632634624</v>
      </c>
      <c r="Z92" s="200" t="str">
        <f t="shared" si="49"/>
        <v/>
      </c>
      <c r="AE92" s="251">
        <f t="shared" si="50"/>
        <v>1512.8294052675976</v>
      </c>
    </row>
    <row r="93" spans="1:31" x14ac:dyDescent="0.2">
      <c r="A93" s="244">
        <v>8.4498999999999998E-3</v>
      </c>
      <c r="B93" s="244">
        <v>7.9028699999999993E-2</v>
      </c>
      <c r="C93" s="245">
        <v>9.3291799999999994E-3</v>
      </c>
      <c r="D93" s="246">
        <f>IF(CouplingMode="AC",B93-(A$11-A$10)*SUM(B$9:B93)/0.21,B93)</f>
        <v>7.9028699999999993E-2</v>
      </c>
      <c r="E93" s="247">
        <f t="shared" si="38"/>
        <v>0.88646856899927129</v>
      </c>
      <c r="F93" s="247">
        <f t="shared" si="39"/>
        <v>0.88646856899927129</v>
      </c>
      <c r="G93" s="248">
        <f t="shared" si="40"/>
        <v>1.4719141033321232E+17</v>
      </c>
      <c r="H93" s="249">
        <f t="shared" si="41"/>
        <v>2.364633248374097E-3</v>
      </c>
      <c r="I93" s="248">
        <f>IF(MobilityModel=DK,CalcDeltaN(H93,SampleDoping,Thickness,AreaFrac),CalcDeltaNDL(H93,AreaFrac,Thickness,SampleType,SampleDoping,Temperature))</f>
        <v>489405479215103.75</v>
      </c>
      <c r="J93" s="248" t="str">
        <f t="shared" si="42"/>
        <v/>
      </c>
      <c r="K93" s="248">
        <f t="shared" si="43"/>
        <v>489405479215103.75</v>
      </c>
      <c r="L93" s="250">
        <f t="shared" si="52"/>
        <v>-4.6502756264573766E+17</v>
      </c>
      <c r="M93" s="196" t="str">
        <f t="shared" si="44"/>
        <v/>
      </c>
      <c r="N93" s="196" t="str">
        <f t="shared" si="45"/>
        <v/>
      </c>
      <c r="O93" s="250">
        <f t="shared" si="46"/>
        <v>489405479215103.75</v>
      </c>
      <c r="P93" s="248">
        <f t="shared" si="53"/>
        <v>6.2252807522985383E-5</v>
      </c>
      <c r="Q93" s="250" t="str">
        <f t="shared" si="54"/>
        <v/>
      </c>
      <c r="R93" s="251" t="str">
        <f t="shared" si="57"/>
        <v/>
      </c>
      <c r="S93" s="252">
        <f>IF(AND(E93&gt;0.95*BiasLight,E93&lt;1.05*BiasLight),"",IF(AugerModel="Sinton",calclifetimeauger(Auger_Coefficient,I93,P93),calclifetimerichter(SampleType,I93,SampleDoping,P93)))</f>
        <v>16063.134950991536</v>
      </c>
      <c r="T93" s="201" t="str">
        <f t="shared" si="56"/>
        <v/>
      </c>
      <c r="U93" s="252">
        <f t="shared" si="47"/>
        <v>14672.511092196124</v>
      </c>
      <c r="V93" s="251" t="str">
        <f>IF(AugerModel="Sinton","",IF(SampleType="n-type",n_intr_boltzmann(SampleDoping,0,K93,Temperature+273.15),n_intr_boltzmann(0,SampleDoping,K93,Temperature+273.15)))</f>
        <v/>
      </c>
      <c r="W93" s="251" t="str">
        <f t="shared" si="51"/>
        <v/>
      </c>
      <c r="X93" s="246">
        <f>IF(AND(A93&gt;TimeofMaxCD,I93&gt;Traps),IF(AugerModel="Sinton",CalcImpliedV(SampleDoping,O93),CalcImpliedVRichter(O93,SampleDoping,V93)),"")</f>
        <v>0.62682500035862543</v>
      </c>
      <c r="Y93" s="253">
        <f t="shared" si="48"/>
        <v>0.94220159791518698</v>
      </c>
      <c r="Z93" s="200" t="str">
        <f t="shared" si="49"/>
        <v/>
      </c>
      <c r="AE93" s="251">
        <f t="shared" si="50"/>
        <v>1515.581782515522</v>
      </c>
    </row>
    <row r="94" spans="1:31" x14ac:dyDescent="0.2">
      <c r="A94" s="244">
        <v>8.5498999999999992E-3</v>
      </c>
      <c r="B94" s="244">
        <v>7.1831400000000004E-2</v>
      </c>
      <c r="C94" s="245">
        <v>8.8799599999999992E-3</v>
      </c>
      <c r="D94" s="246">
        <f>IF(CouplingMode="AC",B94-(A$11-A$10)*SUM(B$9:B94)/0.21,B94)</f>
        <v>7.1831400000000004E-2</v>
      </c>
      <c r="E94" s="247">
        <f t="shared" si="38"/>
        <v>0.84378320859612188</v>
      </c>
      <c r="F94" s="247">
        <f t="shared" si="39"/>
        <v>0.84378320859612188</v>
      </c>
      <c r="G94" s="248">
        <f t="shared" si="40"/>
        <v>1.4010382864330114E+17</v>
      </c>
      <c r="H94" s="249">
        <f t="shared" si="41"/>
        <v>2.149052109197391E-3</v>
      </c>
      <c r="I94" s="248">
        <f>IF(MobilityModel=DK,CalcDeltaN(H94,SampleDoping,Thickness,AreaFrac),CalcDeltaNDL(H94,AreaFrac,Thickness,SampleType,SampleDoping,Temperature))</f>
        <v>443964099186424.87</v>
      </c>
      <c r="J94" s="248" t="str">
        <f t="shared" si="42"/>
        <v/>
      </c>
      <c r="K94" s="248">
        <f t="shared" si="43"/>
        <v>443964099186424.87</v>
      </c>
      <c r="L94" s="250">
        <f t="shared" si="52"/>
        <v>-4.3030880403310976E+17</v>
      </c>
      <c r="M94" s="196" t="str">
        <f t="shared" si="44"/>
        <v/>
      </c>
      <c r="N94" s="196" t="str">
        <f t="shared" si="45"/>
        <v/>
      </c>
      <c r="O94" s="250">
        <f t="shared" si="46"/>
        <v>443964099186424.87</v>
      </c>
      <c r="P94" s="248">
        <f t="shared" si="53"/>
        <v>5.9427358648644249E-5</v>
      </c>
      <c r="Q94" s="250" t="str">
        <f t="shared" si="54"/>
        <v/>
      </c>
      <c r="R94" s="251" t="str">
        <f t="shared" si="57"/>
        <v/>
      </c>
      <c r="S94" s="252">
        <f>IF(AND(E94&gt;0.95*BiasLight,E94&lt;1.05*BiasLight),"",IF(AugerModel="Sinton",calclifetimeauger(Auger_Coefficient,I94,P94),calclifetimerichter(SampleType,I94,SampleDoping,P94)))</f>
        <v>16826.939284074608</v>
      </c>
      <c r="T94" s="201" t="str">
        <f t="shared" si="56"/>
        <v/>
      </c>
      <c r="U94" s="252">
        <f t="shared" si="47"/>
        <v>14920.889662489244</v>
      </c>
      <c r="V94" s="251" t="str">
        <f>IF(AugerModel="Sinton","",IF(SampleType="n-type",n_intr_boltzmann(SampleDoping,0,K94,Temperature+273.15),n_intr_boltzmann(0,SampleDoping,K94,Temperature+273.15)))</f>
        <v/>
      </c>
      <c r="W94" s="251" t="str">
        <f t="shared" si="51"/>
        <v/>
      </c>
      <c r="X94" s="246">
        <f>IF(AND(A94&gt;TimeofMaxCD,I94&gt;Traps),IF(AugerModel="Sinton",CalcImpliedV(SampleDoping,O94),CalcImpliedVRichter(O94,SampleDoping,V94)),"")</f>
        <v>0.62412536506524741</v>
      </c>
      <c r="Y94" s="253">
        <f t="shared" si="48"/>
        <v>0.89535523344880896</v>
      </c>
      <c r="Z94" s="200" t="str">
        <f t="shared" si="49"/>
        <v/>
      </c>
      <c r="AE94" s="251">
        <f t="shared" si="50"/>
        <v>1518.3905961706698</v>
      </c>
    </row>
    <row r="95" spans="1:31" x14ac:dyDescent="0.2">
      <c r="A95" s="244">
        <v>8.6499000000000003E-3</v>
      </c>
      <c r="B95" s="244">
        <v>6.5273800000000007E-2</v>
      </c>
      <c r="C95" s="245">
        <v>8.4561299999999992E-3</v>
      </c>
      <c r="D95" s="246">
        <f>IF(CouplingMode="AC",B95-(A$11-A$10)*SUM(B$9:B95)/0.21,B95)</f>
        <v>6.5273800000000007E-2</v>
      </c>
      <c r="E95" s="247">
        <f t="shared" si="38"/>
        <v>0.80351043289676127</v>
      </c>
      <c r="F95" s="247">
        <f t="shared" si="39"/>
        <v>0.80351043289676127</v>
      </c>
      <c r="G95" s="248">
        <f t="shared" si="40"/>
        <v>1.3341683842106024E+17</v>
      </c>
      <c r="H95" s="249">
        <f t="shared" si="41"/>
        <v>1.9526719487587586E-3</v>
      </c>
      <c r="I95" s="248">
        <f>IF(MobilityModel=DK,CalcDeltaN(H95,SampleDoping,Thickness,AreaFrac),CalcDeltaNDL(H95,AreaFrac,Thickness,SampleType,SampleDoping,Temperature))</f>
        <v>402681757323470.44</v>
      </c>
      <c r="J95" s="248" t="str">
        <f t="shared" si="42"/>
        <v/>
      </c>
      <c r="K95" s="248">
        <f t="shared" si="43"/>
        <v>402681757323470.44</v>
      </c>
      <c r="L95" s="250">
        <f t="shared" si="52"/>
        <v>-3.9529153602291462E+17</v>
      </c>
      <c r="M95" s="196" t="str">
        <f t="shared" si="44"/>
        <v/>
      </c>
      <c r="N95" s="196" t="str">
        <f t="shared" si="45"/>
        <v/>
      </c>
      <c r="O95" s="250">
        <f t="shared" si="46"/>
        <v>402681757323470.44</v>
      </c>
      <c r="P95" s="248">
        <f t="shared" si="53"/>
        <v>5.6718494304574738E-5</v>
      </c>
      <c r="Q95" s="250" t="str">
        <f t="shared" si="54"/>
        <v/>
      </c>
      <c r="R95" s="251" t="str">
        <f t="shared" si="57"/>
        <v/>
      </c>
      <c r="S95" s="252">
        <f>IF(AND(E95&gt;0.95*BiasLight,E95&lt;1.05*BiasLight),"",IF(AugerModel="Sinton",calclifetimeauger(Auger_Coefficient,I95,P95),calclifetimerichter(SampleType,I95,SampleDoping,P95)))</f>
        <v>17630.664303695597</v>
      </c>
      <c r="T95" s="201" t="str">
        <f t="shared" si="56"/>
        <v/>
      </c>
      <c r="U95" s="252">
        <f t="shared" si="47"/>
        <v>15146.53529745458</v>
      </c>
      <c r="V95" s="251" t="str">
        <f>IF(AugerModel="Sinton","",IF(SampleType="n-type",n_intr_boltzmann(SampleDoping,0,K95,Temperature+273.15),n_intr_boltzmann(0,SampleDoping,K95,Temperature+273.15)))</f>
        <v/>
      </c>
      <c r="W95" s="251" t="str">
        <f t="shared" si="51"/>
        <v/>
      </c>
      <c r="X95" s="246">
        <f>IF(AND(A95&gt;TimeofMaxCD,I95&gt;Traps),IF(AugerModel="Sinton",CalcImpliedV(SampleDoping,O95),CalcImpliedVRichter(O95,SampleDoping,V95)),"")</f>
        <v>0.62143853868278143</v>
      </c>
      <c r="Y95" s="253">
        <f t="shared" si="48"/>
        <v>0.85088567767158585</v>
      </c>
      <c r="Z95" s="200" t="str">
        <f t="shared" si="49"/>
        <v/>
      </c>
      <c r="AE95" s="251">
        <f t="shared" si="50"/>
        <v>1521.0789072694699</v>
      </c>
    </row>
    <row r="96" spans="1:31" x14ac:dyDescent="0.2">
      <c r="A96" s="244">
        <v>8.7498999999999997E-3</v>
      </c>
      <c r="B96" s="244">
        <v>5.9180000000000003E-2</v>
      </c>
      <c r="C96" s="245">
        <v>8.0117999999999995E-3</v>
      </c>
      <c r="D96" s="246">
        <f>IF(CouplingMode="AC",B96-(A$11-A$10)*SUM(B$9:B96)/0.21,B96)</f>
        <v>5.9180000000000003E-2</v>
      </c>
      <c r="E96" s="247">
        <f t="shared" si="38"/>
        <v>0.76128972547516094</v>
      </c>
      <c r="F96" s="247">
        <f t="shared" si="39"/>
        <v>0.76128972547516094</v>
      </c>
      <c r="G96" s="248">
        <f t="shared" si="40"/>
        <v>1.2640640884918402E+17</v>
      </c>
      <c r="H96" s="249">
        <f t="shared" si="41"/>
        <v>1.7702153823154643E-3</v>
      </c>
      <c r="I96" s="248">
        <f>IF(MobilityModel=DK,CalcDeltaN(H96,SampleDoping,Thickness,AreaFrac),CalcDeltaNDL(H96,AreaFrac,Thickness,SampleType,SampleDoping,Temperature))</f>
        <v>364425959597825.56</v>
      </c>
      <c r="J96" s="248" t="str">
        <f t="shared" si="42"/>
        <v/>
      </c>
      <c r="K96" s="248">
        <f t="shared" si="43"/>
        <v>364425959597825.56</v>
      </c>
      <c r="L96" s="250">
        <f t="shared" si="52"/>
        <v>-3.6293091048120493E+17</v>
      </c>
      <c r="M96" s="196" t="str">
        <f t="shared" si="44"/>
        <v/>
      </c>
      <c r="N96" s="196" t="str">
        <f t="shared" si="45"/>
        <v/>
      </c>
      <c r="O96" s="250">
        <f t="shared" si="46"/>
        <v>364425959597825.56</v>
      </c>
      <c r="P96" s="248">
        <f t="shared" si="53"/>
        <v>5.4270338277293005E-5</v>
      </c>
      <c r="Q96" s="250" t="str">
        <f t="shared" si="54"/>
        <v/>
      </c>
      <c r="R96" s="251" t="str">
        <f t="shared" si="57"/>
        <v/>
      </c>
      <c r="S96" s="252">
        <f>IF(AND(E96&gt;0.95*BiasLight,E96&lt;1.05*BiasLight),"",IF(AugerModel="Sinton",calclifetimeauger(Auger_Coefficient,I96,P96),calclifetimerichter(SampleType,I96,SampleDoping,P96)))</f>
        <v>18426.051272009627</v>
      </c>
      <c r="T96" s="201" t="str">
        <f t="shared" si="56"/>
        <v/>
      </c>
      <c r="U96" s="252">
        <f t="shared" si="47"/>
        <v>15355.638109440519</v>
      </c>
      <c r="V96" s="251" t="str">
        <f>IF(AugerModel="Sinton","",IF(SampleType="n-type",n_intr_boltzmann(SampleDoping,0,K96,Temperature+273.15),n_intr_boltzmann(0,SampleDoping,K96,Temperature+273.15)))</f>
        <v/>
      </c>
      <c r="W96" s="251" t="str">
        <f t="shared" si="51"/>
        <v/>
      </c>
      <c r="X96" s="246">
        <f>IF(AND(A96&gt;TimeofMaxCD,I96&gt;Traps),IF(AugerModel="Sinton",CalcImpliedV(SampleDoping,O96),CalcImpliedVRichter(O96,SampleDoping,V96)),"")</f>
        <v>0.61870656163233217</v>
      </c>
      <c r="Y96" s="253">
        <f t="shared" si="48"/>
        <v>0.80478658577575757</v>
      </c>
      <c r="Z96" s="200" t="str">
        <f t="shared" si="49"/>
        <v/>
      </c>
      <c r="AE96" s="251">
        <f t="shared" si="50"/>
        <v>1523.7061345400869</v>
      </c>
    </row>
    <row r="97" spans="1:31" x14ac:dyDescent="0.2">
      <c r="A97" s="244">
        <v>8.8499000000000008E-3</v>
      </c>
      <c r="B97" s="244">
        <v>5.3926099999999998E-2</v>
      </c>
      <c r="C97" s="245">
        <v>7.6270299999999999E-3</v>
      </c>
      <c r="D97" s="246">
        <f>IF(CouplingMode="AC",B97-(A$11-A$10)*SUM(B$9:B97)/0.21,B97)</f>
        <v>5.3926099999999998E-2</v>
      </c>
      <c r="E97" s="247">
        <f t="shared" si="38"/>
        <v>0.72472847236461424</v>
      </c>
      <c r="F97" s="247">
        <f t="shared" si="39"/>
        <v>0.72472847236461424</v>
      </c>
      <c r="G97" s="248">
        <f t="shared" si="40"/>
        <v>1.2033568891946776E+17</v>
      </c>
      <c r="H97" s="249">
        <f t="shared" si="41"/>
        <v>1.6129329957225314E-3</v>
      </c>
      <c r="I97" s="248">
        <f>IF(MobilityModel=DK,CalcDeltaN(H97,SampleDoping,Thickness,AreaFrac),CalcDeltaNDL(H97,AreaFrac,Thickness,SampleType,SampleDoping,Temperature))</f>
        <v>331528780997945.56</v>
      </c>
      <c r="J97" s="248" t="str">
        <f t="shared" si="42"/>
        <v/>
      </c>
      <c r="K97" s="248">
        <f t="shared" si="43"/>
        <v>331528780997945.56</v>
      </c>
      <c r="L97" s="250">
        <f t="shared" si="52"/>
        <v>-3.331185243634601E+17</v>
      </c>
      <c r="M97" s="196" t="str">
        <f t="shared" si="44"/>
        <v/>
      </c>
      <c r="N97" s="196" t="str">
        <f t="shared" si="45"/>
        <v/>
      </c>
      <c r="O97" s="250">
        <f t="shared" si="46"/>
        <v>331528780997945.56</v>
      </c>
      <c r="P97" s="248">
        <f t="shared" si="53"/>
        <v>5.1962634266157338E-5</v>
      </c>
      <c r="Q97" s="250" t="str">
        <f t="shared" si="54"/>
        <v/>
      </c>
      <c r="R97" s="251" t="str">
        <f t="shared" si="57"/>
        <v/>
      </c>
      <c r="S97" s="252">
        <f>IF(AND(E97&gt;0.95*BiasLight,E97&lt;1.05*BiasLight),"",IF(AugerModel="Sinton",calclifetimeauger(Auger_Coefficient,I97,P97),calclifetimerichter(SampleType,I97,SampleDoping,P97)))</f>
        <v>19244.415403368665</v>
      </c>
      <c r="T97" s="201" t="str">
        <f t="shared" si="56"/>
        <v/>
      </c>
      <c r="U97" s="252">
        <f t="shared" si="47"/>
        <v>15535.451182506495</v>
      </c>
      <c r="V97" s="251" t="str">
        <f>IF(AugerModel="Sinton","",IF(SampleType="n-type",n_intr_boltzmann(SampleDoping,0,K97,Temperature+273.15),n_intr_boltzmann(0,SampleDoping,K97,Temperature+273.15)))</f>
        <v/>
      </c>
      <c r="W97" s="251" t="str">
        <f t="shared" si="51"/>
        <v/>
      </c>
      <c r="X97" s="246">
        <f>IF(AND(A97&gt;TimeofMaxCD,I97&gt;Traps),IF(AugerModel="Sinton",CalcImpliedV(SampleDoping,O97),CalcImpliedVRichter(O97,SampleDoping,V97)),"")</f>
        <v>0.61613112853498508</v>
      </c>
      <c r="Y97" s="253">
        <f t="shared" si="48"/>
        <v>0.76465235181199109</v>
      </c>
      <c r="Z97" s="200" t="str">
        <f t="shared" si="49"/>
        <v/>
      </c>
      <c r="AE97" s="251">
        <f t="shared" si="50"/>
        <v>1526.0877330158482</v>
      </c>
    </row>
    <row r="98" spans="1:31" x14ac:dyDescent="0.2">
      <c r="A98" s="244">
        <v>8.9499000000000002E-3</v>
      </c>
      <c r="B98" s="244">
        <v>4.85697E-2</v>
      </c>
      <c r="C98" s="245">
        <v>7.2500799999999999E-3</v>
      </c>
      <c r="D98" s="246">
        <f>IF(CouplingMode="AC",B98-(A$11-A$10)*SUM(B$9:B98)/0.21,B98)</f>
        <v>4.85697E-2</v>
      </c>
      <c r="E98" s="247">
        <f t="shared" si="38"/>
        <v>0.6889102839403074</v>
      </c>
      <c r="F98" s="247">
        <f t="shared" si="39"/>
        <v>0.6889102839403074</v>
      </c>
      <c r="G98" s="248">
        <f t="shared" si="40"/>
        <v>1.1438834926849048E+17</v>
      </c>
      <c r="H98" s="249">
        <f t="shared" si="41"/>
        <v>1.4526073455974411E-3</v>
      </c>
      <c r="I98" s="248">
        <f>IF(MobilityModel=DK,CalcDeltaN(H98,SampleDoping,Thickness,AreaFrac),CalcDeltaNDL(H98,AreaFrac,Thickness,SampleType,SampleDoping,Temperature))</f>
        <v>298075132108584.37</v>
      </c>
      <c r="J98" s="248" t="str">
        <f t="shared" si="42"/>
        <v/>
      </c>
      <c r="K98" s="248">
        <f t="shared" si="43"/>
        <v>298075132108584.37</v>
      </c>
      <c r="L98" s="250">
        <f t="shared" si="52"/>
        <v>-3.0480734652264192E+17</v>
      </c>
      <c r="M98" s="196" t="str">
        <f t="shared" si="44"/>
        <v/>
      </c>
      <c r="N98" s="196" t="str">
        <f t="shared" si="45"/>
        <v/>
      </c>
      <c r="O98" s="250">
        <f t="shared" si="46"/>
        <v>298075132108584.37</v>
      </c>
      <c r="P98" s="248">
        <f t="shared" si="53"/>
        <v>4.9244478119696203E-5</v>
      </c>
      <c r="Q98" s="250" t="str">
        <f t="shared" si="54"/>
        <v/>
      </c>
      <c r="R98" s="251" t="str">
        <f t="shared" si="57"/>
        <v/>
      </c>
      <c r="S98" s="252">
        <f>IF(AND(E98&gt;0.95*BiasLight,E98&lt;1.05*BiasLight),"",IF(AugerModel="Sinton",calclifetimeauger(Auger_Coefficient,I98,P98),calclifetimerichter(SampleType,I98,SampleDoping,P98)))</f>
        <v>20306.697830189503</v>
      </c>
      <c r="T98" s="201" t="str">
        <f t="shared" si="56"/>
        <v/>
      </c>
      <c r="U98" s="252">
        <f t="shared" si="47"/>
        <v>15718.305873032694</v>
      </c>
      <c r="V98" s="251" t="str">
        <f>IF(AugerModel="Sinton","",IF(SampleType="n-type",n_intr_boltzmann(SampleDoping,0,K98,Temperature+273.15),n_intr_boltzmann(0,SampleDoping,K98,Temperature+273.15)))</f>
        <v/>
      </c>
      <c r="W98" s="251" t="str">
        <f t="shared" si="51"/>
        <v/>
      </c>
      <c r="X98" s="246">
        <f>IF(AND(A98&gt;TimeofMaxCD,I98&gt;Traps),IF(AugerModel="Sinton",CalcImpliedV(SampleDoping,O98),CalcImpliedVRichter(O98,SampleDoping,V98)),"")</f>
        <v>0.61325027902379803</v>
      </c>
      <c r="Y98" s="253">
        <f t="shared" si="48"/>
        <v>0.72544110065336198</v>
      </c>
      <c r="Z98" s="200" t="str">
        <f t="shared" si="49"/>
        <v/>
      </c>
      <c r="AE98" s="251">
        <f t="shared" si="50"/>
        <v>1528.6459242880501</v>
      </c>
    </row>
    <row r="99" spans="1:31" x14ac:dyDescent="0.2">
      <c r="A99" s="244">
        <v>9.0498999999999996E-3</v>
      </c>
      <c r="B99" s="244">
        <v>4.3950500000000003E-2</v>
      </c>
      <c r="C99" s="245">
        <v>6.88582E-3</v>
      </c>
      <c r="D99" s="246">
        <f>IF(CouplingMode="AC",B99-(A$11-A$10)*SUM(B$9:B99)/0.21,B99)</f>
        <v>4.3950500000000003E-2</v>
      </c>
      <c r="E99" s="247">
        <f t="shared" si="38"/>
        <v>0.65429791276259675</v>
      </c>
      <c r="F99" s="247">
        <f t="shared" si="39"/>
        <v>0.65429791276259675</v>
      </c>
      <c r="G99" s="248">
        <f t="shared" si="40"/>
        <v>1.0864122646370208E+17</v>
      </c>
      <c r="H99" s="249">
        <f t="shared" si="41"/>
        <v>1.314367713386555E-3</v>
      </c>
      <c r="I99" s="248">
        <f>IF(MobilityModel=DK,CalcDeltaN(H99,SampleDoping,Thickness,AreaFrac),CalcDeltaNDL(H99,AreaFrac,Thickness,SampleType,SampleDoping,Temperature))</f>
        <v>269297908886361.12</v>
      </c>
      <c r="J99" s="248" t="str">
        <f t="shared" si="42"/>
        <v/>
      </c>
      <c r="K99" s="248">
        <f t="shared" si="43"/>
        <v>269297908886361.12</v>
      </c>
      <c r="L99" s="250">
        <f t="shared" si="52"/>
        <v>-2.7448213843380234E+17</v>
      </c>
      <c r="M99" s="196" t="str">
        <f t="shared" si="44"/>
        <v/>
      </c>
      <c r="N99" s="196" t="str">
        <f t="shared" si="45"/>
        <v/>
      </c>
      <c r="O99" s="250">
        <f t="shared" si="46"/>
        <v>269297908886361.12</v>
      </c>
      <c r="P99" s="248">
        <f t="shared" si="53"/>
        <v>4.6966412917348694E-5</v>
      </c>
      <c r="Q99" s="250" t="str">
        <f t="shared" si="54"/>
        <v/>
      </c>
      <c r="R99" s="251" t="str">
        <f t="shared" si="57"/>
        <v/>
      </c>
      <c r="S99" s="252">
        <f>IF(AND(E99&gt;0.95*BiasLight,E99&lt;1.05*BiasLight),"",IF(AugerModel="Sinton",calclifetimeauger(Auger_Coefficient,I99,P99),calclifetimerichter(SampleType,I99,SampleDoping,P99)))</f>
        <v>21291.690887408931</v>
      </c>
      <c r="T99" s="201" t="str">
        <f t="shared" si="56"/>
        <v/>
      </c>
      <c r="U99" s="252">
        <f t="shared" si="47"/>
        <v>15875.599633839051</v>
      </c>
      <c r="V99" s="251" t="str">
        <f>IF(AugerModel="Sinton","",IF(SampleType="n-type",n_intr_boltzmann(SampleDoping,0,K99,Temperature+273.15),n_intr_boltzmann(0,SampleDoping,K99,Temperature+273.15)))</f>
        <v/>
      </c>
      <c r="W99" s="251" t="str">
        <f t="shared" si="51"/>
        <v/>
      </c>
      <c r="X99" s="246">
        <f>IF(AND(A99&gt;TimeofMaxCD,I99&gt;Traps),IF(AugerModel="Sinton",CalcImpliedV(SampleDoping,O99),CalcImpliedVRichter(O99,SampleDoping,V99)),"")</f>
        <v>0.61051384575055823</v>
      </c>
      <c r="Y99" s="253">
        <f t="shared" si="48"/>
        <v>0.6871942874875665</v>
      </c>
      <c r="Z99" s="200" t="str">
        <f t="shared" si="49"/>
        <v/>
      </c>
      <c r="AE99" s="251">
        <f t="shared" si="50"/>
        <v>1530.9757549806313</v>
      </c>
    </row>
    <row r="100" spans="1:31" x14ac:dyDescent="0.2">
      <c r="A100" s="244">
        <v>9.1499000000000007E-3</v>
      </c>
      <c r="B100" s="244">
        <v>3.9741600000000002E-2</v>
      </c>
      <c r="C100" s="245">
        <v>6.53719E-3</v>
      </c>
      <c r="D100" s="246">
        <f>IF(CouplingMode="AC",B100-(A$11-A$10)*SUM(B$9:B100)/0.21,B100)</f>
        <v>3.9741600000000002E-2</v>
      </c>
      <c r="E100" s="247">
        <f t="shared" si="38"/>
        <v>0.62117072074676949</v>
      </c>
      <c r="F100" s="247">
        <f t="shared" si="39"/>
        <v>0.62117072074676949</v>
      </c>
      <c r="G100" s="248">
        <f t="shared" si="40"/>
        <v>1.0314070644109904E+17</v>
      </c>
      <c r="H100" s="249">
        <f t="shared" si="41"/>
        <v>1.1884236842142348E-3</v>
      </c>
      <c r="I100" s="248">
        <f>IF(MobilityModel=DK,CalcDeltaN(H100,SampleDoping,Thickness,AreaFrac),CalcDeltaNDL(H100,AreaFrac,Thickness,SampleType,SampleDoping,Temperature))</f>
        <v>243137722392296.69</v>
      </c>
      <c r="J100" s="248" t="str">
        <f t="shared" si="42"/>
        <v/>
      </c>
      <c r="K100" s="248">
        <f t="shared" si="43"/>
        <v>243137722392296.69</v>
      </c>
      <c r="L100" s="250">
        <f t="shared" si="52"/>
        <v>-2.4339934234493517E+17</v>
      </c>
      <c r="M100" s="196" t="str">
        <f t="shared" si="44"/>
        <v/>
      </c>
      <c r="N100" s="196" t="str">
        <f t="shared" si="45"/>
        <v/>
      </c>
      <c r="O100" s="250">
        <f t="shared" si="46"/>
        <v>243137722392296.69</v>
      </c>
      <c r="P100" s="248">
        <f t="shared" si="53"/>
        <v>4.4806868081671803E-5</v>
      </c>
      <c r="Q100" s="250" t="str">
        <f t="shared" si="54"/>
        <v/>
      </c>
      <c r="R100" s="251" t="str">
        <f t="shared" si="57"/>
        <v/>
      </c>
      <c r="S100" s="252">
        <f>IF(AND(E100&gt;0.95*BiasLight,E100&lt;1.05*BiasLight),"",IF(AugerModel="Sinton",calclifetimeauger(Auger_Coefficient,I100,P100),calclifetimerichter(SampleType,I100,SampleDoping,P100)))</f>
        <v>22317.908968066062</v>
      </c>
      <c r="T100" s="201" t="str">
        <f t="shared" si="56"/>
        <v/>
      </c>
      <c r="U100" s="252">
        <f t="shared" si="47"/>
        <v>16018.588903000689</v>
      </c>
      <c r="V100" s="251" t="str">
        <f>IF(AugerModel="Sinton","",IF(SampleType="n-type",n_intr_boltzmann(SampleDoping,0,K100,Temperature+273.15),n_intr_boltzmann(0,SampleDoping,K100,Temperature+273.15)))</f>
        <v/>
      </c>
      <c r="W100" s="251" t="str">
        <f t="shared" si="51"/>
        <v/>
      </c>
      <c r="X100" s="246">
        <f>IF(AND(A100&gt;TimeofMaxCD,I100&gt;Traps),IF(AugerModel="Sinton",CalcImpliedV(SampleDoping,O100),CalcImpliedVRichter(O100,SampleDoping,V100)),"")</f>
        <v>0.60777148439382367</v>
      </c>
      <c r="Y100" s="253">
        <f t="shared" si="48"/>
        <v>0.65034185741627337</v>
      </c>
      <c r="Z100" s="200" t="str">
        <f t="shared" si="49"/>
        <v/>
      </c>
      <c r="AE100" s="251">
        <f t="shared" si="50"/>
        <v>1533.2160823872998</v>
      </c>
    </row>
    <row r="101" spans="1:31" x14ac:dyDescent="0.2">
      <c r="A101" s="244">
        <v>9.2499000000000001E-3</v>
      </c>
      <c r="B101" s="244">
        <v>3.6294300000000002E-2</v>
      </c>
      <c r="C101" s="245">
        <v>6.19734E-3</v>
      </c>
      <c r="D101" s="246">
        <f>IF(CouplingMode="AC",B101-(A$11-A$10)*SUM(B$9:B101)/0.21,B101)</f>
        <v>3.6294300000000002E-2</v>
      </c>
      <c r="E101" s="247">
        <f t="shared" si="38"/>
        <v>0.58887781363441849</v>
      </c>
      <c r="F101" s="247">
        <f t="shared" si="39"/>
        <v>0.58887781363441849</v>
      </c>
      <c r="G101" s="248">
        <f t="shared" si="40"/>
        <v>9.777871312531544E+16</v>
      </c>
      <c r="H101" s="249">
        <f t="shared" si="41"/>
        <v>1.085280920267143E-3</v>
      </c>
      <c r="I101" s="248">
        <f>IF(MobilityModel=DK,CalcDeltaN(H101,SampleDoping,Thickness,AreaFrac),CalcDeltaNDL(H101,AreaFrac,Thickness,SampleType,SampleDoping,Temperature))</f>
        <v>221756416639188.34</v>
      </c>
      <c r="J101" s="248" t="str">
        <f t="shared" si="42"/>
        <v/>
      </c>
      <c r="K101" s="248">
        <f t="shared" si="43"/>
        <v>221756416639188.34</v>
      </c>
      <c r="L101" s="250">
        <f t="shared" si="52"/>
        <v>-2.2285780818709347E+17</v>
      </c>
      <c r="M101" s="196" t="str">
        <f t="shared" si="44"/>
        <v/>
      </c>
      <c r="N101" s="196" t="str">
        <f t="shared" si="45"/>
        <v/>
      </c>
      <c r="O101" s="250">
        <f t="shared" si="46"/>
        <v>221756416639188.34</v>
      </c>
      <c r="P101" s="248">
        <f t="shared" si="53"/>
        <v>4.3173837954366961E-5</v>
      </c>
      <c r="Q101" s="250" t="str">
        <f t="shared" si="54"/>
        <v/>
      </c>
      <c r="R101" s="251" t="str">
        <f t="shared" si="57"/>
        <v/>
      </c>
      <c r="S101" s="252">
        <f>IF(AND(E101&gt;0.95*BiasLight,E101&lt;1.05*BiasLight),"",IF(AugerModel="Sinton",calclifetimeauger(Auger_Coefficient,I101,P101),calclifetimerichter(SampleType,I101,SampleDoping,P101)))</f>
        <v>23162.093596818508</v>
      </c>
      <c r="T101" s="201" t="str">
        <f t="shared" si="56"/>
        <v/>
      </c>
      <c r="U101" s="252">
        <f t="shared" si="47"/>
        <v>16135.457232056837</v>
      </c>
      <c r="V101" s="251" t="str">
        <f>IF(AugerModel="Sinton","",IF(SampleType="n-type",n_intr_boltzmann(SampleDoping,0,K101,Temperature+273.15),n_intr_boltzmann(0,SampleDoping,K101,Temperature+273.15)))</f>
        <v/>
      </c>
      <c r="W101" s="251" t="str">
        <f t="shared" si="51"/>
        <v/>
      </c>
      <c r="X101" s="246">
        <f>IF(AND(A101&gt;TimeofMaxCD,I101&gt;Traps),IF(AugerModel="Sinton",CalcImpliedV(SampleDoping,O101),CalcImpliedVRichter(O101,SampleDoping,V101)),"")</f>
        <v>0.60531065625196989</v>
      </c>
      <c r="Y101" s="253">
        <f t="shared" si="48"/>
        <v>0.61558707060224904</v>
      </c>
      <c r="Z101" s="200" t="str">
        <f t="shared" si="49"/>
        <v/>
      </c>
      <c r="AE101" s="251">
        <f t="shared" si="50"/>
        <v>1535.148471753929</v>
      </c>
    </row>
    <row r="102" spans="1:31" x14ac:dyDescent="0.2">
      <c r="A102" s="244">
        <v>9.3498999999999995E-3</v>
      </c>
      <c r="B102" s="244">
        <v>3.2803100000000002E-2</v>
      </c>
      <c r="C102" s="245">
        <v>5.8848399999999997E-3</v>
      </c>
      <c r="D102" s="246">
        <f>IF(CouplingMode="AC",B102-(A$11-A$10)*SUM(B$9:B102)/0.21,B102)</f>
        <v>3.2803100000000002E-2</v>
      </c>
      <c r="E102" s="247">
        <f t="shared" si="38"/>
        <v>0.55918373250271425</v>
      </c>
      <c r="F102" s="247">
        <f t="shared" si="39"/>
        <v>0.55918373250271425</v>
      </c>
      <c r="G102" s="248">
        <f t="shared" si="40"/>
        <v>9.2848235234533072E+16</v>
      </c>
      <c r="H102" s="249">
        <f t="shared" si="41"/>
        <v>9.8083541854054011E-4</v>
      </c>
      <c r="I102" s="248">
        <f>IF(MobilityModel=DK,CalcDeltaN(H102,SampleDoping,Thickness,AreaFrac),CalcDeltaNDL(H102,AreaFrac,Thickness,SampleType,SampleDoping,Temperature))</f>
        <v>200146207059703.28</v>
      </c>
      <c r="J102" s="248" t="str">
        <f t="shared" si="42"/>
        <v/>
      </c>
      <c r="K102" s="248">
        <f t="shared" si="43"/>
        <v>200146207059703.28</v>
      </c>
      <c r="L102" s="250">
        <f t="shared" si="52"/>
        <v>-2.0473451830275226E+17</v>
      </c>
      <c r="M102" s="196" t="str">
        <f t="shared" si="44"/>
        <v/>
      </c>
      <c r="N102" s="196" t="str">
        <f t="shared" si="45"/>
        <v/>
      </c>
      <c r="O102" s="250">
        <f t="shared" si="46"/>
        <v>200146207059703.28</v>
      </c>
      <c r="P102" s="248">
        <f t="shared" si="53"/>
        <v>4.1093775819611686E-5</v>
      </c>
      <c r="Q102" s="250" t="str">
        <f t="shared" si="54"/>
        <v/>
      </c>
      <c r="R102" s="251" t="str">
        <f t="shared" si="57"/>
        <v/>
      </c>
      <c r="S102" s="252">
        <f>IF(AND(E102&gt;0.95*BiasLight,E102&lt;1.05*BiasLight),"",IF(AugerModel="Sinton",calclifetimeauger(Auger_Coefficient,I102,P102),calclifetimerichter(SampleType,I102,SampleDoping,P102)))</f>
        <v>24334.518973677314</v>
      </c>
      <c r="T102" s="201" t="str">
        <f t="shared" si="56"/>
        <v/>
      </c>
      <c r="U102" s="252">
        <f t="shared" si="47"/>
        <v>16253.576729213384</v>
      </c>
      <c r="V102" s="251" t="str">
        <f>IF(AugerModel="Sinton","",IF(SampleType="n-type",n_intr_boltzmann(SampleDoping,0,K102,Temperature+273.15),n_intr_boltzmann(0,SampleDoping,K102,Temperature+273.15)))</f>
        <v/>
      </c>
      <c r="W102" s="251" t="str">
        <f t="shared" si="51"/>
        <v/>
      </c>
      <c r="X102" s="246">
        <f>IF(AND(A102&gt;TimeofMaxCD,I102&gt;Traps),IF(AugerModel="Sinton",CalcImpliedV(SampleDoping,O102),CalcImpliedVRichter(O102,SampleDoping,V102)),"")</f>
        <v>0.6025791258997889</v>
      </c>
      <c r="Y102" s="253">
        <f t="shared" si="48"/>
        <v>0.58372093361770705</v>
      </c>
      <c r="Z102" s="200" t="str">
        <f t="shared" si="49"/>
        <v/>
      </c>
      <c r="AE102" s="251">
        <f t="shared" si="50"/>
        <v>1537.2099527215637</v>
      </c>
    </row>
    <row r="103" spans="1:31" x14ac:dyDescent="0.2">
      <c r="A103" s="244">
        <v>9.4499000000000007E-3</v>
      </c>
      <c r="B103" s="244">
        <v>2.9438800000000001E-2</v>
      </c>
      <c r="C103" s="245">
        <v>5.6172699999999997E-3</v>
      </c>
      <c r="D103" s="246">
        <f>IF(CouplingMode="AC",B103-(A$11-A$10)*SUM(B$9:B103)/0.21,B103)</f>
        <v>2.9438800000000001E-2</v>
      </c>
      <c r="E103" s="247">
        <f t="shared" si="38"/>
        <v>0.53375894757980191</v>
      </c>
      <c r="F103" s="247">
        <f t="shared" si="39"/>
        <v>0.53375894757980191</v>
      </c>
      <c r="G103" s="248">
        <f t="shared" si="40"/>
        <v>8.8626641732975856E+16</v>
      </c>
      <c r="H103" s="249">
        <f t="shared" si="41"/>
        <v>8.8019658768995028E-4</v>
      </c>
      <c r="I103" s="248">
        <f>IF(MobilityModel=DK,CalcDeltaN(H103,SampleDoping,Thickness,AreaFrac),CalcDeltaNDL(H103,AreaFrac,Thickness,SampleType,SampleDoping,Temperature))</f>
        <v>179364762459111</v>
      </c>
      <c r="J103" s="248" t="str">
        <f t="shared" si="42"/>
        <v/>
      </c>
      <c r="K103" s="248">
        <f t="shared" si="43"/>
        <v>179364762459111</v>
      </c>
      <c r="L103" s="250">
        <f t="shared" si="52"/>
        <v>-1.8871016943088387E+17</v>
      </c>
      <c r="M103" s="196" t="str">
        <f t="shared" si="44"/>
        <v/>
      </c>
      <c r="N103" s="196" t="str">
        <f t="shared" si="45"/>
        <v/>
      </c>
      <c r="O103" s="250">
        <f t="shared" si="46"/>
        <v>179364762459111</v>
      </c>
      <c r="P103" s="248">
        <f t="shared" si="53"/>
        <v>3.8636961458443548E-5</v>
      </c>
      <c r="Q103" s="250" t="str">
        <f t="shared" si="54"/>
        <v/>
      </c>
      <c r="R103" s="251" t="str">
        <f t="shared" si="57"/>
        <v/>
      </c>
      <c r="S103" s="252">
        <f>IF(AND(E103&gt;0.95*BiasLight,E103&lt;1.05*BiasLight),"",IF(AugerModel="Sinton",calclifetimeauger(Auger_Coefficient,I103,P103),calclifetimerichter(SampleType,I103,SampleDoping,P103)))</f>
        <v>25881.899063585217</v>
      </c>
      <c r="T103" s="201" t="str">
        <f t="shared" si="56"/>
        <v/>
      </c>
      <c r="U103" s="252">
        <f t="shared" si="47"/>
        <v>16367.166270183821</v>
      </c>
      <c r="V103" s="251" t="str">
        <f>IF(AugerModel="Sinton","",IF(SampleType="n-type",n_intr_boltzmann(SampleDoping,0,K103,Temperature+273.15),n_intr_boltzmann(0,SampleDoping,K103,Temperature+273.15)))</f>
        <v/>
      </c>
      <c r="W103" s="251" t="str">
        <f t="shared" si="51"/>
        <v/>
      </c>
      <c r="X103" s="246">
        <f>IF(AND(A103&gt;TimeofMaxCD,I103&gt;Traps),IF(AugerModel="Sinton",CalcImpliedV(SampleDoping,O103),CalcImpliedVRichter(O103,SampleDoping,V103)),"")</f>
        <v>0.59966870864454336</v>
      </c>
      <c r="Y103" s="253">
        <f t="shared" si="48"/>
        <v>0.55637564855507537</v>
      </c>
      <c r="Z103" s="200" t="str">
        <f t="shared" si="49"/>
        <v/>
      </c>
      <c r="AE103" s="251">
        <f t="shared" si="50"/>
        <v>1539.3131012267479</v>
      </c>
    </row>
    <row r="104" spans="1:31" x14ac:dyDescent="0.2">
      <c r="A104" s="244">
        <v>9.5499000000000001E-3</v>
      </c>
      <c r="B104" s="244">
        <v>2.6616600000000001E-2</v>
      </c>
      <c r="C104" s="245">
        <v>5.3125799999999999E-3</v>
      </c>
      <c r="D104" s="246">
        <f>IF(CouplingMode="AC",B104-(A$11-A$10)*SUM(B$9:B104)/0.21,B104)</f>
        <v>2.6616600000000001E-2</v>
      </c>
      <c r="E104" s="247">
        <f t="shared" si="38"/>
        <v>0.50480698092374132</v>
      </c>
      <c r="F104" s="247">
        <f t="shared" si="39"/>
        <v>0.50480698092374132</v>
      </c>
      <c r="G104" s="248">
        <f t="shared" si="40"/>
        <v>8.3819386345639936E+16</v>
      </c>
      <c r="H104" s="249">
        <f t="shared" si="41"/>
        <v>7.9578174520433635E-4</v>
      </c>
      <c r="I104" s="248">
        <f>IF(MobilityModel=DK,CalcDeltaN(H104,SampleDoping,Thickness,AreaFrac),CalcDeltaNDL(H104,AreaFrac,Thickness,SampleType,SampleDoping,Temperature))</f>
        <v>161966290330959.31</v>
      </c>
      <c r="J104" s="248" t="str">
        <f t="shared" si="42"/>
        <v/>
      </c>
      <c r="K104" s="248">
        <f t="shared" si="43"/>
        <v>161966290330959.31</v>
      </c>
      <c r="L104" s="250">
        <f t="shared" si="52"/>
        <v>-1.6933888241475837E+17</v>
      </c>
      <c r="M104" s="196" t="str">
        <f t="shared" si="44"/>
        <v/>
      </c>
      <c r="N104" s="196" t="str">
        <f t="shared" si="45"/>
        <v/>
      </c>
      <c r="O104" s="250">
        <f t="shared" si="46"/>
        <v>161966290330959.31</v>
      </c>
      <c r="P104" s="248">
        <f t="shared" si="53"/>
        <v>3.6967056294440355E-5</v>
      </c>
      <c r="Q104" s="250" t="str">
        <f t="shared" si="54"/>
        <v/>
      </c>
      <c r="R104" s="251" t="str">
        <f t="shared" si="57"/>
        <v/>
      </c>
      <c r="S104" s="252">
        <f>IF(AND(E104&gt;0.95*BiasLight,E104&lt;1.05*BiasLight),"",IF(AugerModel="Sinton",calclifetimeauger(Auger_Coefficient,I104,P104),calclifetimerichter(SampleType,I104,SampleDoping,P104)))</f>
        <v>27051.068990561369</v>
      </c>
      <c r="T104" s="201" t="str">
        <f t="shared" si="56"/>
        <v/>
      </c>
      <c r="U104" s="252">
        <f t="shared" si="47"/>
        <v>16462.264782371338</v>
      </c>
      <c r="V104" s="251" t="str">
        <f>IF(AugerModel="Sinton","",IF(SampleType="n-type",n_intr_boltzmann(SampleDoping,0,K104,Temperature+273.15),n_intr_boltzmann(0,SampleDoping,K104,Temperature+273.15)))</f>
        <v/>
      </c>
      <c r="W104" s="251" t="str">
        <f t="shared" si="51"/>
        <v/>
      </c>
      <c r="X104" s="246">
        <f>IF(AND(A104&gt;TimeofMaxCD,I104&gt;Traps),IF(AugerModel="Sinton",CalcImpliedV(SampleDoping,O104),CalcImpliedVRichter(O104,SampleDoping,V104)),"")</f>
        <v>0.59696841819389279</v>
      </c>
      <c r="Y104" s="253">
        <f t="shared" si="48"/>
        <v>0.52510205499744811</v>
      </c>
      <c r="Z104" s="200" t="str">
        <f t="shared" si="49"/>
        <v/>
      </c>
      <c r="AE104" s="251">
        <f t="shared" si="50"/>
        <v>1541.1813646163157</v>
      </c>
    </row>
    <row r="105" spans="1:31" x14ac:dyDescent="0.2">
      <c r="A105" s="244">
        <v>9.6498999999999995E-3</v>
      </c>
      <c r="B105" s="244">
        <v>2.4101899999999999E-2</v>
      </c>
      <c r="C105" s="245">
        <v>5.02938E-3</v>
      </c>
      <c r="D105" s="246">
        <f>IF(CouplingMode="AC",B105-(A$11-A$10)*SUM(B$9:B105)/0.21,B105)</f>
        <v>2.4101899999999999E-2</v>
      </c>
      <c r="E105" s="247">
        <f t="shared" ref="E105:E133" si="58">IF(C105&gt;0,C105/RefCellCal,0.00001)</f>
        <v>0.4778970168389457</v>
      </c>
      <c r="F105" s="247">
        <f t="shared" ref="F105:F133" si="59">E105-BiasLight</f>
        <v>0.4778970168389457</v>
      </c>
      <c r="G105" s="248">
        <f t="shared" ref="G105:G133" si="60">F105*0.038*OptConst/1.602E-19</f>
        <v>7.9351190061897344E+16</v>
      </c>
      <c r="H105" s="249">
        <f t="shared" ref="H105:H133" si="61">CalcConductance(B105,Dark_Voltage,A_cal,B_cal,C_cal)</f>
        <v>7.2057048998887437E-4</v>
      </c>
      <c r="I105" s="248">
        <f>IF(MobilityModel=DK,CalcDeltaN(H105,SampleDoping,Thickness,AreaFrac),CalcDeltaNDL(H105,AreaFrac,Thickness,SampleType,SampleDoping,Temperature))</f>
        <v>146491290288118.47</v>
      </c>
      <c r="J105" s="248" t="str">
        <f t="shared" ref="J105:J133" si="62">IF(AND(AND(I105&gt;=FitRangeMin,I105&lt;=FitRangeMax),A105&gt;TimeofMaxCD),I105,"")</f>
        <v/>
      </c>
      <c r="K105" s="248">
        <f t="shared" ref="K105:K133" si="63">IF(I105-BiasPtCD=0,0.00001,I105-BiasPtCD)</f>
        <v>146491290288118.47</v>
      </c>
      <c r="L105" s="250">
        <f t="shared" si="52"/>
        <v>-1.495726964189855E+17</v>
      </c>
      <c r="M105" s="196" t="str">
        <f t="shared" ref="M105:M133" si="64">IF(E105&gt;0.85*BiasLight,IF( E105&lt;1.15*BiasLight,E105,""),"")</f>
        <v/>
      </c>
      <c r="N105" s="196" t="str">
        <f t="shared" ref="N105:N133" si="65">IF(E105&gt;0.85*BiasLight,IF(E105&lt;1.15*BiasLight,I105,""),"")</f>
        <v/>
      </c>
      <c r="O105" s="250">
        <f t="shared" ref="O105:O133" si="66">I105-Traps</f>
        <v>146491290288118.47</v>
      </c>
      <c r="P105" s="248">
        <f t="shared" si="53"/>
        <v>3.5409432632617366E-5</v>
      </c>
      <c r="Q105" s="250" t="str">
        <f t="shared" si="54"/>
        <v/>
      </c>
      <c r="R105" s="251" t="str">
        <f t="shared" si="57"/>
        <v/>
      </c>
      <c r="S105" s="252">
        <f>IF(AND(E105&gt;0.95*BiasLight,E105&lt;1.05*BiasLight),"",IF(AugerModel="Sinton",calclifetimeauger(Auger_Coefficient,I105,P105),calclifetimerichter(SampleType,I105,SampleDoping,P105)))</f>
        <v>28241.026875000862</v>
      </c>
      <c r="T105" s="201" t="str">
        <f t="shared" si="56"/>
        <v/>
      </c>
      <c r="U105" s="252">
        <f t="shared" ref="U105:U133" si="67">FitInterceptAuger+FitSlopeAuger*(I105+Traps)</f>
        <v>16546.849766003019</v>
      </c>
      <c r="V105" s="251" t="str">
        <f>IF(AugerModel="Sinton","",IF(SampleType="n-type",n_intr_boltzmann(SampleDoping,0,K105,Temperature+273.15),n_intr_boltzmann(0,SampleDoping,K105,Temperature+273.15)))</f>
        <v/>
      </c>
      <c r="W105" s="251" t="str">
        <f t="shared" si="51"/>
        <v/>
      </c>
      <c r="X105" s="246">
        <f>IF(AND(A105&gt;TimeofMaxCD,I105&gt;Traps),IF(AugerModel="Sinton",CalcImpliedV(SampleDoping,O105),CalcImpliedVRichter(O105,SampleDoping,V105)),"")</f>
        <v>0.5943180499435019</v>
      </c>
      <c r="Y105" s="253">
        <f t="shared" ref="Y105:Y133" si="68">IF(OR(P105="",P105&lt;0,A105&lt;=TimeofMaxCD),"",(O105*Thickness*1.602E-19/(0.038*OptConst*P105)))</f>
        <v>0.49582313581375004</v>
      </c>
      <c r="Z105" s="200" t="str">
        <f t="shared" ref="Z105:Z133" si="69">IF(C105&gt;0.6,O105,"")</f>
        <v/>
      </c>
      <c r="AE105" s="251">
        <f t="shared" ref="AE105:AE133" si="70">H105/(K105*AreaFrac*Thickness*1.602E-19)</f>
        <v>1542.9401481605905</v>
      </c>
    </row>
    <row r="106" spans="1:31" x14ac:dyDescent="0.2">
      <c r="A106" s="244">
        <v>9.7499000000000006E-3</v>
      </c>
      <c r="B106" s="244">
        <v>2.1728899999999999E-2</v>
      </c>
      <c r="C106" s="245">
        <v>4.7901200000000001E-3</v>
      </c>
      <c r="D106" s="246">
        <f>IF(CouplingMode="AC",B106-(A$11-A$10)*SUM(B$9:B106)/0.21,B106)</f>
        <v>2.1728899999999999E-2</v>
      </c>
      <c r="E106" s="247">
        <f t="shared" si="58"/>
        <v>0.45516227811391674</v>
      </c>
      <c r="F106" s="247">
        <f t="shared" si="59"/>
        <v>0.45516227811391674</v>
      </c>
      <c r="G106" s="248">
        <f t="shared" si="60"/>
        <v>7.5576258413421872E+16</v>
      </c>
      <c r="H106" s="249">
        <f t="shared" si="61"/>
        <v>6.4960243350225058E-4</v>
      </c>
      <c r="I106" s="248">
        <f>IF(MobilityModel=DK,CalcDeltaN(H106,SampleDoping,Thickness,AreaFrac),CalcDeltaNDL(H106,AreaFrac,Thickness,SampleType,SampleDoping,Temperature))</f>
        <v>131913501937820.28</v>
      </c>
      <c r="J106" s="248" t="str">
        <f t="shared" si="62"/>
        <v/>
      </c>
      <c r="K106" s="248">
        <f t="shared" si="63"/>
        <v>131913501937820.28</v>
      </c>
      <c r="L106" s="250">
        <f t="shared" si="52"/>
        <v>-1.3379679638608589E+17</v>
      </c>
      <c r="M106" s="196" t="str">
        <f t="shared" si="64"/>
        <v/>
      </c>
      <c r="N106" s="196" t="str">
        <f t="shared" si="65"/>
        <v/>
      </c>
      <c r="O106" s="250">
        <f t="shared" si="66"/>
        <v>131913501937820.28</v>
      </c>
      <c r="P106" s="248">
        <f t="shared" si="53"/>
        <v>3.3552127545897157E-5</v>
      </c>
      <c r="Q106" s="250" t="str">
        <f t="shared" si="54"/>
        <v/>
      </c>
      <c r="R106" s="251" t="str">
        <f t="shared" si="57"/>
        <v/>
      </c>
      <c r="S106" s="252">
        <f>IF(AND(E106&gt;0.95*BiasLight,E106&lt;1.05*BiasLight),"",IF(AugerModel="Sinton",calclifetimeauger(Auger_Coefficient,I106,P106),calclifetimerichter(SampleType,I106,SampleDoping,P106)))</f>
        <v>29804.340408730786</v>
      </c>
      <c r="T106" s="201" t="str">
        <f t="shared" si="56"/>
        <v/>
      </c>
      <c r="U106" s="252">
        <f t="shared" si="67"/>
        <v>16626.530669756328</v>
      </c>
      <c r="V106" s="251" t="str">
        <f>IF(AugerModel="Sinton","",IF(SampleType="n-type",n_intr_boltzmann(SampleDoping,0,K106,Temperature+273.15),n_intr_boltzmann(0,SampleDoping,K106,Temperature+273.15)))</f>
        <v/>
      </c>
      <c r="W106" s="251" t="str">
        <f t="shared" si="51"/>
        <v/>
      </c>
      <c r="X106" s="246">
        <f>IF(AND(A106&gt;TimeofMaxCD,I106&gt;Traps),IF(AugerModel="Sinton",CalcImpliedV(SampleDoping,O106),CalcImpliedVRichter(O106,SampleDoping,V106)),"")</f>
        <v>0.59155862614274057</v>
      </c>
      <c r="Y106" s="253">
        <f t="shared" si="68"/>
        <v>0.47119767326214657</v>
      </c>
      <c r="Z106" s="200" t="str">
        <f t="shared" si="69"/>
        <v/>
      </c>
      <c r="AE106" s="251">
        <f t="shared" si="70"/>
        <v>1544.6952290986696</v>
      </c>
    </row>
    <row r="107" spans="1:31" x14ac:dyDescent="0.2">
      <c r="A107" s="244">
        <v>9.8499E-3</v>
      </c>
      <c r="B107" s="244">
        <v>1.9722E-2</v>
      </c>
      <c r="C107" s="245">
        <v>4.5450000000000004E-3</v>
      </c>
      <c r="D107" s="246">
        <f>IF(CouplingMode="AC",B107-(A$11-A$10)*SUM(B$9:B107)/0.21,B107)</f>
        <v>1.9722E-2</v>
      </c>
      <c r="E107" s="247">
        <f t="shared" si="58"/>
        <v>0.4318707159795061</v>
      </c>
      <c r="F107" s="247">
        <f t="shared" si="59"/>
        <v>0.4318707159795061</v>
      </c>
      <c r="G107" s="248">
        <f t="shared" si="60"/>
        <v>7.1708870443538464E+16</v>
      </c>
      <c r="H107" s="249">
        <f t="shared" si="61"/>
        <v>5.8958703500318864E-4</v>
      </c>
      <c r="I107" s="248">
        <f>IF(MobilityModel=DK,CalcDeltaN(H107,SampleDoping,Thickness,AreaFrac),CalcDeltaNDL(H107,AreaFrac,Thickness,SampleType,SampleDoping,Temperature))</f>
        <v>119604808446187.81</v>
      </c>
      <c r="J107" s="248" t="str">
        <f t="shared" si="62"/>
        <v/>
      </c>
      <c r="K107" s="248">
        <f t="shared" si="63"/>
        <v>119604808446187.81</v>
      </c>
      <c r="L107" s="250">
        <f t="shared" ref="L107:L131" si="71">IF(ABS(SLOPE(K105:K109,A105:A109))&lt;1000000000000,-1000000000000,(SLOPE(K105:K109,A105:A109)))</f>
        <v>-1.2438108017298446E+17</v>
      </c>
      <c r="M107" s="196" t="str">
        <f t="shared" si="64"/>
        <v/>
      </c>
      <c r="N107" s="196" t="str">
        <f t="shared" si="65"/>
        <v/>
      </c>
      <c r="O107" s="250">
        <f t="shared" si="66"/>
        <v>119604808446187.81</v>
      </c>
      <c r="P107" s="248">
        <f t="shared" ref="P107:P131" si="72">calclifetime(AnalysisMode,K107,Thickness,G107,L107)</f>
        <v>3.2084195480027124E-5</v>
      </c>
      <c r="Q107" s="250" t="str">
        <f t="shared" si="54"/>
        <v/>
      </c>
      <c r="R107" s="251" t="str">
        <f t="shared" si="57"/>
        <v/>
      </c>
      <c r="S107" s="252">
        <f>IF(AND(E107&gt;0.95*BiasLight,E107&lt;1.05*BiasLight),"",IF(AugerModel="Sinton",calclifetimeauger(Auger_Coefficient,I107,P107),calclifetimerichter(SampleType,I107,SampleDoping,P107)))</f>
        <v>31167.969872427111</v>
      </c>
      <c r="T107" s="201" t="str">
        <f t="shared" si="56"/>
        <v/>
      </c>
      <c r="U107" s="252">
        <f t="shared" si="67"/>
        <v>16693.808901396707</v>
      </c>
      <c r="V107" s="251" t="str">
        <f>IF(AugerModel="Sinton","",IF(SampleType="n-type",n_intr_boltzmann(SampleDoping,0,K107,Temperature+273.15),n_intr_boltzmann(0,SampleDoping,K107,Temperature+273.15)))</f>
        <v/>
      </c>
      <c r="W107" s="251" t="str">
        <f t="shared" si="51"/>
        <v/>
      </c>
      <c r="X107" s="246">
        <f>IF(AND(A107&gt;TimeofMaxCD,I107&gt;Traps),IF(AugerModel="Sinton",CalcImpliedV(SampleDoping,O107),CalcImpliedVRichter(O107,SampleDoping,V107)),"")</f>
        <v>0.58898582778381325</v>
      </c>
      <c r="Y107" s="253">
        <f t="shared" si="68"/>
        <v>0.44677764815882454</v>
      </c>
      <c r="Z107" s="200" t="str">
        <f t="shared" si="69"/>
        <v/>
      </c>
      <c r="AE107" s="251">
        <f t="shared" si="70"/>
        <v>1546.264185268737</v>
      </c>
    </row>
    <row r="108" spans="1:31" x14ac:dyDescent="0.2">
      <c r="A108" s="244">
        <v>9.9498999999999994E-3</v>
      </c>
      <c r="B108" s="244">
        <v>1.7910499999999999E-2</v>
      </c>
      <c r="C108" s="245">
        <v>4.2813299999999999E-3</v>
      </c>
      <c r="D108" s="246">
        <f>IF(CouplingMode="AC",B108-(A$11-A$10)*SUM(B$9:B108)/0.21,B108)</f>
        <v>1.7910499999999999E-2</v>
      </c>
      <c r="E108" s="247">
        <f t="shared" si="58"/>
        <v>0.40681651318911738</v>
      </c>
      <c r="F108" s="247">
        <f t="shared" si="59"/>
        <v>0.40681651318911738</v>
      </c>
      <c r="G108" s="248">
        <f t="shared" si="60"/>
        <v>6.7548809306058192E+16</v>
      </c>
      <c r="H108" s="249">
        <f t="shared" si="61"/>
        <v>5.3541804945997189E-4</v>
      </c>
      <c r="I108" s="248">
        <f>IF(MobilityModel=DK,CalcDeltaN(H108,SampleDoping,Thickness,AreaFrac),CalcDeltaNDL(H108,AreaFrac,Thickness,SampleType,SampleDoping,Temperature))</f>
        <v>108511133058881.77</v>
      </c>
      <c r="J108" s="248" t="str">
        <f t="shared" si="62"/>
        <v/>
      </c>
      <c r="K108" s="248">
        <f t="shared" si="63"/>
        <v>108511133058881.77</v>
      </c>
      <c r="L108" s="250">
        <f t="shared" si="71"/>
        <v>-1.1158310151540499E+17</v>
      </c>
      <c r="M108" s="196" t="str">
        <f t="shared" si="64"/>
        <v/>
      </c>
      <c r="N108" s="196" t="str">
        <f t="shared" si="65"/>
        <v/>
      </c>
      <c r="O108" s="250">
        <f t="shared" si="66"/>
        <v>108511133058881.77</v>
      </c>
      <c r="P108" s="248">
        <f t="shared" si="72"/>
        <v>3.0950162101501506E-5</v>
      </c>
      <c r="Q108" s="250" t="str">
        <f t="shared" ref="Q108:Q133" si="73">IF($J108="","",P108)</f>
        <v/>
      </c>
      <c r="R108" s="251" t="str">
        <f t="shared" si="57"/>
        <v/>
      </c>
      <c r="S108" s="252">
        <f>IF(AND(E108&gt;0.95*BiasLight,E108&lt;1.05*BiasLight),"",IF(AugerModel="Sinton",calclifetimeauger(Auger_Coefficient,I108,P108),calclifetimerichter(SampleType,I108,SampleDoping,P108)))</f>
        <v>32309.988935447382</v>
      </c>
      <c r="T108" s="201" t="str">
        <f t="shared" ref="T108:T133" si="74">IF($J108="","",S108)</f>
        <v/>
      </c>
      <c r="U108" s="252">
        <f t="shared" si="67"/>
        <v>16754.445951377496</v>
      </c>
      <c r="V108" s="251" t="str">
        <f>IF(AugerModel="Sinton","",IF(SampleType="n-type",n_intr_boltzmann(SampleDoping,0,K108,Temperature+273.15),n_intr_boltzmann(0,SampleDoping,K108,Temperature+273.15)))</f>
        <v/>
      </c>
      <c r="W108" s="251" t="str">
        <f t="shared" si="51"/>
        <v/>
      </c>
      <c r="X108" s="246">
        <f>IF(AND(A108&gt;TimeofMaxCD,I108&gt;Traps),IF(AugerModel="Sinton",CalcImpliedV(SampleDoping,O108),CalcImpliedVRichter(O108,SampleDoping,V108)),"")</f>
        <v>0.58643423890944402</v>
      </c>
      <c r="Y108" s="253">
        <f t="shared" si="68"/>
        <v>0.42018962206013549</v>
      </c>
      <c r="Z108" s="200" t="str">
        <f t="shared" si="69"/>
        <v/>
      </c>
      <c r="AE108" s="251">
        <f t="shared" si="70"/>
        <v>1547.7582267264856</v>
      </c>
    </row>
    <row r="109" spans="1:31" x14ac:dyDescent="0.2">
      <c r="A109" s="244">
        <v>1.00499E-2</v>
      </c>
      <c r="B109" s="244">
        <v>1.58646E-2</v>
      </c>
      <c r="C109" s="245">
        <v>4.0781999999999997E-3</v>
      </c>
      <c r="D109" s="246">
        <f>IF(CouplingMode="AC",B109-(A$11-A$10)*SUM(B$9:B109)/0.21,B109)</f>
        <v>1.58646E-2</v>
      </c>
      <c r="E109" s="247">
        <f t="shared" si="58"/>
        <v>0.38751488534821155</v>
      </c>
      <c r="F109" s="247">
        <f t="shared" si="59"/>
        <v>0.38751488534821155</v>
      </c>
      <c r="G109" s="248">
        <f t="shared" si="60"/>
        <v>6.4343919789403416E+16</v>
      </c>
      <c r="H109" s="249">
        <f t="shared" si="61"/>
        <v>4.7424333984739941E-4</v>
      </c>
      <c r="I109" s="248">
        <f>IF(MobilityModel=DK,CalcDeltaN(H109,SampleDoping,Thickness,AreaFrac),CalcDeltaNDL(H109,AreaFrac,Thickness,SampleType,SampleDoping,Temperature))</f>
        <v>96001934641095.437</v>
      </c>
      <c r="J109" s="248" t="str">
        <f t="shared" si="62"/>
        <v/>
      </c>
      <c r="K109" s="248">
        <f t="shared" si="63"/>
        <v>96001934641095.437</v>
      </c>
      <c r="L109" s="250">
        <f t="shared" si="71"/>
        <v>-1.027667128210757E+17</v>
      </c>
      <c r="M109" s="196" t="str">
        <f t="shared" si="64"/>
        <v/>
      </c>
      <c r="N109" s="196" t="str">
        <f t="shared" si="65"/>
        <v/>
      </c>
      <c r="O109" s="250">
        <f t="shared" si="66"/>
        <v>96001934641095.437</v>
      </c>
      <c r="P109" s="248">
        <f t="shared" si="72"/>
        <v>2.8776441133891697E-5</v>
      </c>
      <c r="Q109" s="250" t="str">
        <f t="shared" si="73"/>
        <v/>
      </c>
      <c r="R109" s="251" t="str">
        <f t="shared" ref="R109:R133" si="75">IF(Q109="","",1/Q109)</f>
        <v/>
      </c>
      <c r="S109" s="252">
        <f>IF(AND(E109&gt;0.95*BiasLight,E109&lt;1.05*BiasLight),"",IF(AugerModel="Sinton",calclifetimeauger(Auger_Coefficient,I109,P109),calclifetimerichter(SampleType,I109,SampleDoping,P109)))</f>
        <v>34750.633516192065</v>
      </c>
      <c r="T109" s="201" t="str">
        <f t="shared" si="74"/>
        <v/>
      </c>
      <c r="U109" s="252">
        <f t="shared" si="67"/>
        <v>16822.820125237573</v>
      </c>
      <c r="V109" s="251" t="str">
        <f>IF(AugerModel="Sinton","",IF(SampleType="n-type",n_intr_boltzmann(SampleDoping,0,K109,Temperature+273.15),n_intr_boltzmann(0,SampleDoping,K109,Temperature+273.15)))</f>
        <v/>
      </c>
      <c r="W109" s="251" t="str">
        <f t="shared" si="51"/>
        <v/>
      </c>
      <c r="X109" s="246">
        <f>IF(AND(A109&gt;TimeofMaxCD,I109&gt;Traps),IF(AugerModel="Sinton",CalcImpliedV(SampleDoping,O109),CalcImpliedVRichter(O109,SampleDoping,V109)),"")</f>
        <v>0.58323007822096051</v>
      </c>
      <c r="Y109" s="253">
        <f t="shared" si="68"/>
        <v>0.39983135997750979</v>
      </c>
      <c r="Z109" s="200" t="str">
        <f t="shared" si="69"/>
        <v/>
      </c>
      <c r="AE109" s="251">
        <f t="shared" si="70"/>
        <v>1549.5502600316895</v>
      </c>
    </row>
    <row r="110" spans="1:31" x14ac:dyDescent="0.2">
      <c r="A110" s="244">
        <v>1.01499E-2</v>
      </c>
      <c r="B110" s="244">
        <v>1.4541399999999999E-2</v>
      </c>
      <c r="C110" s="245">
        <v>3.8350400000000001E-3</v>
      </c>
      <c r="D110" s="246">
        <f>IF(CouplingMode="AC",B110-(A$11-A$10)*SUM(B$9:B110)/0.21,B110)</f>
        <v>1.4541399999999999E-2</v>
      </c>
      <c r="E110" s="247">
        <f t="shared" si="58"/>
        <v>0.36440956449065892</v>
      </c>
      <c r="F110" s="247">
        <f t="shared" si="59"/>
        <v>0.36440956449065892</v>
      </c>
      <c r="G110" s="248">
        <f t="shared" si="60"/>
        <v>6.0507455776850984E+16</v>
      </c>
      <c r="H110" s="249">
        <f t="shared" si="61"/>
        <v>4.3468014990826441E-4</v>
      </c>
      <c r="I110" s="248">
        <f>IF(MobilityModel=DK,CalcDeltaN(H110,SampleDoping,Thickness,AreaFrac),CalcDeltaNDL(H110,AreaFrac,Thickness,SampleType,SampleDoping,Temperature))</f>
        <v>87923388082664.016</v>
      </c>
      <c r="J110" s="248" t="str">
        <f t="shared" si="62"/>
        <v/>
      </c>
      <c r="K110" s="248">
        <f t="shared" si="63"/>
        <v>87923388082664.016</v>
      </c>
      <c r="L110" s="250">
        <f t="shared" si="71"/>
        <v>-9.8759954413373744E+16</v>
      </c>
      <c r="M110" s="196" t="str">
        <f t="shared" si="64"/>
        <v/>
      </c>
      <c r="N110" s="196" t="str">
        <f t="shared" si="65"/>
        <v/>
      </c>
      <c r="O110" s="250">
        <f t="shared" si="66"/>
        <v>87923388082664.016</v>
      </c>
      <c r="P110" s="248">
        <f t="shared" si="72"/>
        <v>2.8007004882798113E-5</v>
      </c>
      <c r="Q110" s="250" t="str">
        <f t="shared" si="73"/>
        <v/>
      </c>
      <c r="R110" s="251" t="str">
        <f t="shared" si="75"/>
        <v/>
      </c>
      <c r="S110" s="252">
        <f>IF(AND(E110&gt;0.95*BiasLight,E110&lt;1.05*BiasLight),"",IF(AugerModel="Sinton",calclifetimeauger(Auger_Coefficient,I110,P110),calclifetimerichter(SampleType,I110,SampleDoping,P110)))</f>
        <v>35705.340316830428</v>
      </c>
      <c r="T110" s="201" t="str">
        <f t="shared" si="74"/>
        <v/>
      </c>
      <c r="U110" s="252">
        <f t="shared" si="67"/>
        <v>16866.97674730678</v>
      </c>
      <c r="V110" s="251" t="str">
        <f>IF(AugerModel="Sinton","",IF(SampleType="n-type",n_intr_boltzmann(SampleDoping,0,K110,Temperature+273.15),n_intr_boltzmann(0,SampleDoping,K110,Temperature+273.15)))</f>
        <v/>
      </c>
      <c r="W110" s="251" t="str">
        <f t="shared" si="51"/>
        <v/>
      </c>
      <c r="X110" s="246">
        <f>IF(AND(A110&gt;TimeofMaxCD,I110&gt;Traps),IF(AugerModel="Sinton",CalcImpliedV(SampleDoping,O110),CalcImpliedVRichter(O110,SampleDoping,V110)),"")</f>
        <v>0.58093463745283302</v>
      </c>
      <c r="Y110" s="253">
        <f t="shared" si="68"/>
        <v>0.37624583364369452</v>
      </c>
      <c r="Z110" s="200" t="str">
        <f t="shared" si="69"/>
        <v/>
      </c>
      <c r="AE110" s="251">
        <f t="shared" si="70"/>
        <v>1550.7786201096183</v>
      </c>
    </row>
    <row r="111" spans="1:31" x14ac:dyDescent="0.2">
      <c r="A111" s="244">
        <v>1.0249899999999999E-2</v>
      </c>
      <c r="B111" s="244">
        <v>1.29984E-2</v>
      </c>
      <c r="C111" s="245">
        <v>3.6475399999999999E-3</v>
      </c>
      <c r="D111" s="246">
        <f>IF(CouplingMode="AC",B111-(A$11-A$10)*SUM(B$9:B111)/0.21,B111)</f>
        <v>1.29984E-2</v>
      </c>
      <c r="E111" s="247">
        <f t="shared" si="58"/>
        <v>0.34659311581163638</v>
      </c>
      <c r="F111" s="247">
        <f t="shared" si="59"/>
        <v>0.34659311581163638</v>
      </c>
      <c r="G111" s="248">
        <f t="shared" si="60"/>
        <v>5.754916904238156E+16</v>
      </c>
      <c r="H111" s="249">
        <f t="shared" si="61"/>
        <v>3.8854698300320317E-4</v>
      </c>
      <c r="I111" s="248">
        <f>IF(MobilityModel=DK,CalcDeltaN(H111,SampleDoping,Thickness,AreaFrac),CalcDeltaNDL(H111,AreaFrac,Thickness,SampleType,SampleDoping,Temperature))</f>
        <v>78515324523758.891</v>
      </c>
      <c r="J111" s="248" t="str">
        <f t="shared" si="62"/>
        <v/>
      </c>
      <c r="K111" s="248">
        <f t="shared" si="63"/>
        <v>78515324523758.891</v>
      </c>
      <c r="L111" s="250">
        <f t="shared" si="71"/>
        <v>-8.331063174746744E+16</v>
      </c>
      <c r="M111" s="196" t="str">
        <f t="shared" si="64"/>
        <v/>
      </c>
      <c r="N111" s="196" t="str">
        <f t="shared" si="65"/>
        <v/>
      </c>
      <c r="O111" s="250">
        <f t="shared" si="66"/>
        <v>78515324523758.891</v>
      </c>
      <c r="P111" s="248">
        <f t="shared" si="72"/>
        <v>2.6389677273490557E-5</v>
      </c>
      <c r="Q111" s="250" t="str">
        <f t="shared" si="73"/>
        <v/>
      </c>
      <c r="R111" s="251" t="str">
        <f t="shared" si="75"/>
        <v/>
      </c>
      <c r="S111" s="252">
        <f>IF(AND(E111&gt;0.95*BiasLight,E111&lt;1.05*BiasLight),"",IF(AugerModel="Sinton",calclifetimeauger(Auger_Coefficient,I111,P111),calclifetimerichter(SampleType,I111,SampleDoping,P111)))</f>
        <v>37893.594513574491</v>
      </c>
      <c r="T111" s="201" t="str">
        <f t="shared" si="74"/>
        <v/>
      </c>
      <c r="U111" s="252">
        <f t="shared" si="67"/>
        <v>16918.400391890482</v>
      </c>
      <c r="V111" s="251" t="str">
        <f>IF(AugerModel="Sinton","",IF(SampleType="n-type",n_intr_boltzmann(SampleDoping,0,K111,Temperature+273.15),n_intr_boltzmann(0,SampleDoping,K111,Temperature+273.15)))</f>
        <v/>
      </c>
      <c r="W111" s="251" t="str">
        <f t="shared" si="51"/>
        <v/>
      </c>
      <c r="X111" s="246">
        <f>IF(AND(A111&gt;TimeofMaxCD,I111&gt;Traps),IF(AugerModel="Sinton",CalcImpliedV(SampleDoping,O111),CalcImpliedVRichter(O111,SampleDoping,V111)),"")</f>
        <v>0.57798382815404181</v>
      </c>
      <c r="Y111" s="253">
        <f t="shared" si="68"/>
        <v>0.35657780106721121</v>
      </c>
      <c r="Z111" s="200" t="str">
        <f t="shared" si="69"/>
        <v/>
      </c>
      <c r="AE111" s="251">
        <f t="shared" si="70"/>
        <v>1552.2923702079345</v>
      </c>
    </row>
    <row r="112" spans="1:31" x14ac:dyDescent="0.2">
      <c r="A112" s="244">
        <v>1.03499E-2</v>
      </c>
      <c r="B112" s="244">
        <v>1.1250400000000001E-2</v>
      </c>
      <c r="C112" s="245">
        <v>3.4121899999999998E-3</v>
      </c>
      <c r="D112" s="246">
        <f>IF(CouplingMode="AC",B112-(A$11-A$10)*SUM(B$9:B112)/0.21,B112)</f>
        <v>1.1250400000000001E-2</v>
      </c>
      <c r="E112" s="247">
        <f t="shared" si="58"/>
        <v>0.32422990942972729</v>
      </c>
      <c r="F112" s="247">
        <f t="shared" si="59"/>
        <v>0.32422990942972729</v>
      </c>
      <c r="G112" s="248">
        <f t="shared" si="60"/>
        <v>5.383592753327556E+16</v>
      </c>
      <c r="H112" s="249">
        <f t="shared" si="61"/>
        <v>3.3628720424694857E-4</v>
      </c>
      <c r="I112" s="248">
        <f>IF(MobilityModel=DK,CalcDeltaN(H112,SampleDoping,Thickness,AreaFrac),CalcDeltaNDL(H112,AreaFrac,Thickness,SampleType,SampleDoping,Temperature))</f>
        <v>67874460910863.133</v>
      </c>
      <c r="J112" s="248" t="str">
        <f t="shared" si="62"/>
        <v/>
      </c>
      <c r="K112" s="248">
        <f t="shared" si="63"/>
        <v>67874460910863.133</v>
      </c>
      <c r="L112" s="250">
        <f t="shared" si="71"/>
        <v>-7.7916046604529056E+16</v>
      </c>
      <c r="M112" s="196" t="str">
        <f t="shared" si="64"/>
        <v/>
      </c>
      <c r="N112" s="196" t="str">
        <f t="shared" si="65"/>
        <v/>
      </c>
      <c r="O112" s="250">
        <f t="shared" si="66"/>
        <v>67874460910863.133</v>
      </c>
      <c r="P112" s="248">
        <f t="shared" si="72"/>
        <v>2.4386860049978057E-5</v>
      </c>
      <c r="Q112" s="250" t="str">
        <f t="shared" si="73"/>
        <v/>
      </c>
      <c r="R112" s="251" t="str">
        <f t="shared" si="75"/>
        <v/>
      </c>
      <c r="S112" s="252">
        <f>IF(AND(E112&gt;0.95*BiasLight,E112&lt;1.05*BiasLight),"",IF(AugerModel="Sinton",calclifetimeauger(Auger_Coefficient,I112,P112),calclifetimerichter(SampleType,I112,SampleDoping,P112)))</f>
        <v>41005.681397748915</v>
      </c>
      <c r="T112" s="201" t="str">
        <f t="shared" si="74"/>
        <v/>
      </c>
      <c r="U112" s="252">
        <f t="shared" si="67"/>
        <v>16976.562412700303</v>
      </c>
      <c r="V112" s="251" t="str">
        <f>IF(AugerModel="Sinton","",IF(SampleType="n-type",n_intr_boltzmann(SampleDoping,0,K112,Temperature+273.15),n_intr_boltzmann(0,SampleDoping,K112,Temperature+273.15)))</f>
        <v/>
      </c>
      <c r="W112" s="251" t="str">
        <f t="shared" si="51"/>
        <v/>
      </c>
      <c r="X112" s="246">
        <f>IF(AND(A112&gt;TimeofMaxCD,I112&gt;Traps),IF(AugerModel="Sinton",CalcImpliedV(SampleDoping,O112),CalcImpliedVRichter(O112,SampleDoping,V112)),"")</f>
        <v>0.57419329278442177</v>
      </c>
      <c r="Y112" s="253">
        <f t="shared" si="68"/>
        <v>0.3335680597400395</v>
      </c>
      <c r="Z112" s="200" t="str">
        <f t="shared" si="69"/>
        <v/>
      </c>
      <c r="AE112" s="251">
        <f t="shared" si="70"/>
        <v>1554.1336407745082</v>
      </c>
    </row>
    <row r="113" spans="1:31" x14ac:dyDescent="0.2">
      <c r="A113" s="244">
        <v>1.04499E-2</v>
      </c>
      <c r="B113" s="244">
        <v>1.06742E-2</v>
      </c>
      <c r="C113" s="245">
        <v>3.2452000000000002E-3</v>
      </c>
      <c r="D113" s="246">
        <f>IF(CouplingMode="AC",B113-(A$11-A$10)*SUM(B$9:B113)/0.21,B113)</f>
        <v>1.06742E-2</v>
      </c>
      <c r="E113" s="247">
        <f t="shared" si="58"/>
        <v>0.30836234268354085</v>
      </c>
      <c r="F113" s="247">
        <f t="shared" si="59"/>
        <v>0.30836234268354085</v>
      </c>
      <c r="G113" s="248">
        <f t="shared" si="60"/>
        <v>5.1201237923733992E+16</v>
      </c>
      <c r="H113" s="249">
        <f t="shared" si="61"/>
        <v>3.1906120527896119E-4</v>
      </c>
      <c r="I113" s="248">
        <f>IF(MobilityModel=DK,CalcDeltaN(H113,SampleDoping,Thickness,AreaFrac),CalcDeltaNDL(H113,AreaFrac,Thickness,SampleType,SampleDoping,Temperature))</f>
        <v>64371082353262.195</v>
      </c>
      <c r="J113" s="248" t="str">
        <f t="shared" si="62"/>
        <v/>
      </c>
      <c r="K113" s="248">
        <f t="shared" si="63"/>
        <v>64371082353262.195</v>
      </c>
      <c r="L113" s="250">
        <f t="shared" si="71"/>
        <v>-6.6685447184234424E+16</v>
      </c>
      <c r="M113" s="196" t="str">
        <f t="shared" si="64"/>
        <v/>
      </c>
      <c r="N113" s="196" t="str">
        <f t="shared" si="65"/>
        <v/>
      </c>
      <c r="O113" s="250">
        <f t="shared" si="66"/>
        <v>64371082353262.195</v>
      </c>
      <c r="P113" s="248">
        <f t="shared" si="72"/>
        <v>2.4386570048238881E-5</v>
      </c>
      <c r="Q113" s="250" t="str">
        <f t="shared" si="73"/>
        <v/>
      </c>
      <c r="R113" s="251" t="str">
        <f t="shared" si="75"/>
        <v/>
      </c>
      <c r="S113" s="252">
        <f>IF(AND(E113&gt;0.95*BiasLight,E113&lt;1.05*BiasLight),"",IF(AugerModel="Sinton",calclifetimeauger(Auger_Coefficient,I113,P113),calclifetimerichter(SampleType,I113,SampleDoping,P113)))</f>
        <v>41006.169800855263</v>
      </c>
      <c r="T113" s="201" t="str">
        <f t="shared" si="74"/>
        <v/>
      </c>
      <c r="U113" s="252">
        <f t="shared" si="67"/>
        <v>16995.711570511605</v>
      </c>
      <c r="V113" s="251" t="str">
        <f>IF(AugerModel="Sinton","",IF(SampleType="n-type",n_intr_boltzmann(SampleDoping,0,K113,Temperature+273.15),n_intr_boltzmann(0,SampleDoping,K113,Temperature+273.15)))</f>
        <v/>
      </c>
      <c r="W113" s="251" t="str">
        <f t="shared" si="51"/>
        <v/>
      </c>
      <c r="X113" s="246">
        <f>IF(AND(A113&gt;TimeofMaxCD,I113&gt;Traps),IF(AugerModel="Sinton",CalcImpliedV(SampleDoping,O113),CalcImpliedVRichter(O113,SampleDoping,V113)),"")</f>
        <v>0.57281562403841368</v>
      </c>
      <c r="Y113" s="253">
        <f t="shared" si="68"/>
        <v>0.31635451831942035</v>
      </c>
      <c r="Z113" s="200" t="str">
        <f t="shared" si="69"/>
        <v/>
      </c>
      <c r="AE113" s="251">
        <f t="shared" si="70"/>
        <v>1554.775189627687</v>
      </c>
    </row>
    <row r="114" spans="1:31" x14ac:dyDescent="0.2">
      <c r="A114" s="244">
        <v>1.0549899999999999E-2</v>
      </c>
      <c r="B114" s="244">
        <v>9.3021100000000006E-3</v>
      </c>
      <c r="C114" s="245">
        <v>3.0791799999999999E-3</v>
      </c>
      <c r="D114" s="246">
        <f>IF(CouplingMode="AC",B114-(A$11-A$10)*SUM(B$9:B114)/0.21,B114)</f>
        <v>9.3021100000000006E-3</v>
      </c>
      <c r="E114" s="247">
        <f t="shared" si="58"/>
        <v>0.29258694636518712</v>
      </c>
      <c r="F114" s="247">
        <f t="shared" si="59"/>
        <v>0.29258694636518712</v>
      </c>
      <c r="G114" s="248">
        <f t="shared" si="60"/>
        <v>4.85818525175654E+16</v>
      </c>
      <c r="H114" s="249">
        <f t="shared" si="61"/>
        <v>2.780425698841061E-4</v>
      </c>
      <c r="I114" s="248">
        <f>IF(MobilityModel=DK,CalcDeltaN(H114,SampleDoping,Thickness,AreaFrac),CalcDeltaNDL(H114,AreaFrac,Thickness,SampleType,SampleDoping,Temperature))</f>
        <v>56037485865647.883</v>
      </c>
      <c r="J114" s="248" t="str">
        <f t="shared" si="62"/>
        <v/>
      </c>
      <c r="K114" s="248">
        <f t="shared" si="63"/>
        <v>56037485865647.883</v>
      </c>
      <c r="L114" s="250">
        <f t="shared" si="71"/>
        <v>-5.8267371992267096E+16</v>
      </c>
      <c r="M114" s="196" t="str">
        <f t="shared" si="64"/>
        <v/>
      </c>
      <c r="N114" s="196" t="str">
        <f t="shared" si="65"/>
        <v/>
      </c>
      <c r="O114" s="250">
        <f t="shared" si="66"/>
        <v>56037485865647.883</v>
      </c>
      <c r="P114" s="248">
        <f t="shared" si="72"/>
        <v>2.2418881838856699E-5</v>
      </c>
      <c r="Q114" s="250" t="str">
        <f t="shared" si="73"/>
        <v/>
      </c>
      <c r="R114" s="251" t="str">
        <f t="shared" si="75"/>
        <v/>
      </c>
      <c r="S114" s="252">
        <f>IF(AND(E114&gt;0.95*BiasLight,E114&lt;1.05*BiasLight),"",IF(AugerModel="Sinton",calclifetimeauger(Auger_Coefficient,I114,P114),calclifetimerichter(SampleType,I114,SampleDoping,P114)))</f>
        <v>44605.252408403838</v>
      </c>
      <c r="T114" s="201" t="str">
        <f t="shared" si="74"/>
        <v/>
      </c>
      <c r="U114" s="252">
        <f t="shared" si="67"/>
        <v>17041.26227297018</v>
      </c>
      <c r="V114" s="251" t="str">
        <f>IF(AugerModel="Sinton","",IF(SampleType="n-type",n_intr_boltzmann(SampleDoping,0,K114,Temperature+273.15),n_intr_boltzmann(0,SampleDoping,K114,Temperature+273.15)))</f>
        <v/>
      </c>
      <c r="W114" s="251" t="str">
        <f t="shared" si="51"/>
        <v/>
      </c>
      <c r="X114" s="246">
        <f>IF(AND(A114&gt;TimeofMaxCD,I114&gt;Traps),IF(AugerModel="Sinton",CalcImpliedV(SampleDoping,O114),CalcImpliedVRichter(O114,SampleDoping,V114)),"")</f>
        <v>0.56921524800088286</v>
      </c>
      <c r="Y114" s="253">
        <f t="shared" si="68"/>
        <v>0.29957022518337911</v>
      </c>
      <c r="Z114" s="200" t="str">
        <f t="shared" si="69"/>
        <v/>
      </c>
      <c r="AE114" s="251">
        <f t="shared" si="70"/>
        <v>1556.3850964284984</v>
      </c>
    </row>
    <row r="115" spans="1:31" x14ac:dyDescent="0.2">
      <c r="A115" s="244">
        <v>1.06499E-2</v>
      </c>
      <c r="B115" s="244">
        <v>8.4866799999999999E-3</v>
      </c>
      <c r="C115" s="245">
        <v>2.90047E-3</v>
      </c>
      <c r="D115" s="246">
        <f>IF(CouplingMode="AC",B115-(A$11-A$10)*SUM(B$9:B115)/0.21,B115)</f>
        <v>8.4866799999999999E-3</v>
      </c>
      <c r="E115" s="247">
        <f t="shared" si="58"/>
        <v>0.27560573280023715</v>
      </c>
      <c r="F115" s="247">
        <f t="shared" si="59"/>
        <v>0.27560573280023715</v>
      </c>
      <c r="G115" s="248">
        <f t="shared" si="60"/>
        <v>4.5762250265207912E+16</v>
      </c>
      <c r="H115" s="249">
        <f t="shared" si="61"/>
        <v>2.5366607834910633E-4</v>
      </c>
      <c r="I115" s="248">
        <f>IF(MobilityModel=DK,CalcDeltaN(H115,SampleDoping,Thickness,AreaFrac),CalcDeltaNDL(H115,AreaFrac,Thickness,SampleType,SampleDoping,Temperature))</f>
        <v>51091088454249.281</v>
      </c>
      <c r="J115" s="248" t="str">
        <f t="shared" si="62"/>
        <v/>
      </c>
      <c r="K115" s="248">
        <f t="shared" si="63"/>
        <v>51091088454249.281</v>
      </c>
      <c r="L115" s="250">
        <f t="shared" si="71"/>
        <v>-5.8803507233761632E+16</v>
      </c>
      <c r="M115" s="196" t="str">
        <f t="shared" si="64"/>
        <v/>
      </c>
      <c r="N115" s="196" t="str">
        <f t="shared" si="65"/>
        <v/>
      </c>
      <c r="O115" s="250">
        <f t="shared" si="66"/>
        <v>51091088454249.281</v>
      </c>
      <c r="P115" s="248">
        <f t="shared" si="72"/>
        <v>2.1663324109250735E-5</v>
      </c>
      <c r="Q115" s="250" t="str">
        <f t="shared" si="73"/>
        <v/>
      </c>
      <c r="R115" s="251" t="str">
        <f t="shared" si="75"/>
        <v/>
      </c>
      <c r="S115" s="252">
        <f>IF(AND(E115&gt;0.95*BiasLight,E115&lt;1.05*BiasLight),"",IF(AugerModel="Sinton",calclifetimeauger(Auger_Coefficient,I115,P115),calclifetimerichter(SampleType,I115,SampleDoping,P115)))</f>
        <v>46160.963160021012</v>
      </c>
      <c r="T115" s="201" t="str">
        <f t="shared" si="74"/>
        <v/>
      </c>
      <c r="U115" s="252">
        <f t="shared" si="67"/>
        <v>17068.298844402856</v>
      </c>
      <c r="V115" s="251" t="str">
        <f>IF(AugerModel="Sinton","",IF(SampleType="n-type",n_intr_boltzmann(SampleDoping,0,K115,Temperature+273.15),n_intr_boltzmann(0,SampleDoping,K115,Temperature+273.15)))</f>
        <v/>
      </c>
      <c r="W115" s="251" t="str">
        <f t="shared" si="51"/>
        <v/>
      </c>
      <c r="X115" s="246">
        <f>IF(AND(A115&gt;TimeofMaxCD,I115&gt;Traps),IF(AugerModel="Sinton",CalcImpliedV(SampleDoping,O115),CalcImpliedVRichter(O115,SampleDoping,V115)),"")</f>
        <v>0.5668182644837666</v>
      </c>
      <c r="Y115" s="253">
        <f t="shared" si="68"/>
        <v>0.28265326682245845</v>
      </c>
      <c r="Z115" s="200" t="str">
        <f t="shared" si="69"/>
        <v/>
      </c>
      <c r="AE115" s="251">
        <f t="shared" si="70"/>
        <v>1557.4053117297383</v>
      </c>
    </row>
    <row r="116" spans="1:31" x14ac:dyDescent="0.2">
      <c r="A116" s="244">
        <v>1.07499E-2</v>
      </c>
      <c r="B116" s="244">
        <v>7.5443000000000003E-3</v>
      </c>
      <c r="C116" s="245">
        <v>2.7237099999999998E-3</v>
      </c>
      <c r="D116" s="246">
        <f>IF(CouplingMode="AC",B116-(A$11-A$10)*SUM(B$9:B116)/0.21,B116)</f>
        <v>7.5443000000000003E-3</v>
      </c>
      <c r="E116" s="247">
        <f t="shared" si="58"/>
        <v>0.25880981030154904</v>
      </c>
      <c r="F116" s="247">
        <f t="shared" si="59"/>
        <v>0.25880981030154904</v>
      </c>
      <c r="G116" s="248">
        <f t="shared" si="60"/>
        <v>4.2973414194888912E+16</v>
      </c>
      <c r="H116" s="249">
        <f t="shared" si="61"/>
        <v>2.25495274047487E-4</v>
      </c>
      <c r="I116" s="248">
        <f>IF(MobilityModel=DK,CalcDeltaN(H116,SampleDoping,Thickness,AreaFrac),CalcDeltaNDL(H116,AreaFrac,Thickness,SampleType,SampleDoping,Temperature))</f>
        <v>45380771864236.062</v>
      </c>
      <c r="J116" s="248" t="str">
        <f t="shared" si="62"/>
        <v/>
      </c>
      <c r="K116" s="248">
        <f t="shared" si="63"/>
        <v>45380771864236.062</v>
      </c>
      <c r="L116" s="250">
        <f t="shared" si="71"/>
        <v>-5.0775233430735096E+16</v>
      </c>
      <c r="M116" s="196" t="str">
        <f t="shared" si="64"/>
        <v/>
      </c>
      <c r="N116" s="196" t="str">
        <f t="shared" si="65"/>
        <v/>
      </c>
      <c r="O116" s="250">
        <f t="shared" si="66"/>
        <v>45380771864236.062</v>
      </c>
      <c r="P116" s="248">
        <f t="shared" si="72"/>
        <v>2.0532025684480641E-5</v>
      </c>
      <c r="Q116" s="250" t="str">
        <f t="shared" si="73"/>
        <v/>
      </c>
      <c r="R116" s="251" t="str">
        <f t="shared" si="75"/>
        <v/>
      </c>
      <c r="S116" s="252">
        <f>IF(AND(E116&gt;0.95*BiasLight,E116&lt;1.05*BiasLight),"",IF(AugerModel="Sinton",calclifetimeauger(Auger_Coefficient,I116,P116),calclifetimerichter(SampleType,I116,SampleDoping,P116)))</f>
        <v>48704.396983318758</v>
      </c>
      <c r="T116" s="201" t="str">
        <f t="shared" si="74"/>
        <v/>
      </c>
      <c r="U116" s="252">
        <f t="shared" si="67"/>
        <v>17099.510930603879</v>
      </c>
      <c r="V116" s="251" t="str">
        <f>IF(AugerModel="Sinton","",IF(SampleType="n-type",n_intr_boltzmann(SampleDoping,0,K116,Temperature+273.15),n_intr_boltzmann(0,SampleDoping,K116,Temperature+273.15)))</f>
        <v/>
      </c>
      <c r="W116" s="251" t="str">
        <f t="shared" si="51"/>
        <v/>
      </c>
      <c r="X116" s="246">
        <f>IF(AND(A116&gt;TimeofMaxCD,I116&gt;Traps),IF(AugerModel="Sinton",CalcImpliedV(SampleDoping,O116),CalcImpliedVRichter(O116,SampleDoping,V116)),"")</f>
        <v>0.5637469236989181</v>
      </c>
      <c r="Y116" s="253">
        <f t="shared" si="68"/>
        <v>0.2648951647629218</v>
      </c>
      <c r="Z116" s="200" t="str">
        <f t="shared" si="69"/>
        <v/>
      </c>
      <c r="AE116" s="251">
        <f t="shared" si="70"/>
        <v>1558.6549309221748</v>
      </c>
    </row>
    <row r="117" spans="1:31" x14ac:dyDescent="0.2">
      <c r="A117" s="244">
        <v>1.0849900000000001E-2</v>
      </c>
      <c r="B117" s="244">
        <v>6.7044599999999998E-3</v>
      </c>
      <c r="C117" s="245">
        <v>2.55281E-3</v>
      </c>
      <c r="D117" s="246">
        <f>IF(CouplingMode="AC",B117-(A$11-A$10)*SUM(B$9:B117)/0.21,B117)</f>
        <v>6.7044599999999998E-3</v>
      </c>
      <c r="E117" s="247">
        <f t="shared" si="58"/>
        <v>0.24257071121224263</v>
      </c>
      <c r="F117" s="247">
        <f t="shared" si="59"/>
        <v>0.24257071121224263</v>
      </c>
      <c r="G117" s="248">
        <f t="shared" si="60"/>
        <v>4.0277034445977864E+16</v>
      </c>
      <c r="H117" s="249">
        <f t="shared" si="61"/>
        <v>2.003903878666155E-4</v>
      </c>
      <c r="I117" s="248">
        <f>IF(MobilityModel=DK,CalcDeltaN(H117,SampleDoping,Thickness,AreaFrac),CalcDeltaNDL(H117,AreaFrac,Thickness,SampleType,SampleDoping,Temperature))</f>
        <v>40297685737087.211</v>
      </c>
      <c r="J117" s="248" t="str">
        <f t="shared" si="62"/>
        <v/>
      </c>
      <c r="K117" s="248">
        <f t="shared" si="63"/>
        <v>40297685737087.211</v>
      </c>
      <c r="L117" s="250">
        <f t="shared" si="71"/>
        <v>-4.3671023228939912E+16</v>
      </c>
      <c r="M117" s="196" t="str">
        <f t="shared" si="64"/>
        <v/>
      </c>
      <c r="N117" s="196" t="str">
        <f t="shared" si="65"/>
        <v/>
      </c>
      <c r="O117" s="250">
        <f t="shared" si="66"/>
        <v>40297685737087.211</v>
      </c>
      <c r="P117" s="248">
        <f t="shared" si="72"/>
        <v>1.9489676634762881E-5</v>
      </c>
      <c r="Q117" s="250" t="str">
        <f t="shared" si="73"/>
        <v/>
      </c>
      <c r="R117" s="251" t="str">
        <f t="shared" si="75"/>
        <v/>
      </c>
      <c r="S117" s="252">
        <f>IF(AND(E117&gt;0.95*BiasLight,E117&lt;1.05*BiasLight),"",IF(AugerModel="Sinton",calclifetimeauger(Auger_Coefficient,I117,P117),calclifetimerichter(SampleType,I117,SampleDoping,P117)))</f>
        <v>51309.21185620992</v>
      </c>
      <c r="T117" s="201" t="str">
        <f t="shared" si="74"/>
        <v/>
      </c>
      <c r="U117" s="252">
        <f t="shared" si="67"/>
        <v>17127.29463048582</v>
      </c>
      <c r="V117" s="251" t="str">
        <f>IF(AugerModel="Sinton","",IF(SampleType="n-type",n_intr_boltzmann(SampleDoping,0,K117,Temperature+273.15),n_intr_boltzmann(0,SampleDoping,K117,Temperature+273.15)))</f>
        <v/>
      </c>
      <c r="W117" s="251" t="str">
        <f t="shared" si="51"/>
        <v/>
      </c>
      <c r="X117" s="246">
        <f>IF(AND(A117&gt;TimeofMaxCD,I117&gt;Traps),IF(AugerModel="Sinton",CalcImpliedV(SampleDoping,O117),CalcImpliedVRichter(O117,SampleDoping,V117)),"")</f>
        <v>0.56067146351627017</v>
      </c>
      <c r="Y117" s="253">
        <f t="shared" si="68"/>
        <v>0.24780463409319739</v>
      </c>
      <c r="Z117" s="200" t="str">
        <f t="shared" si="69"/>
        <v/>
      </c>
      <c r="AE117" s="251">
        <f t="shared" si="70"/>
        <v>1559.8440908675564</v>
      </c>
    </row>
    <row r="118" spans="1:31" x14ac:dyDescent="0.2">
      <c r="A118" s="244">
        <v>1.09499E-2</v>
      </c>
      <c r="B118" s="244">
        <v>6.00133E-3</v>
      </c>
      <c r="C118" s="245">
        <v>2.4180500000000001E-3</v>
      </c>
      <c r="D118" s="246">
        <f>IF(CouplingMode="AC",B118-(A$11-A$10)*SUM(B$9:B118)/0.21,B118)</f>
        <v>6.00133E-3</v>
      </c>
      <c r="E118" s="247">
        <f t="shared" si="58"/>
        <v>0.22976567321765559</v>
      </c>
      <c r="F118" s="247">
        <f t="shared" si="59"/>
        <v>0.22976567321765559</v>
      </c>
      <c r="G118" s="248">
        <f t="shared" si="60"/>
        <v>3.8150854604180008E+16</v>
      </c>
      <c r="H118" s="249">
        <f t="shared" si="61"/>
        <v>1.7937258152462068E-4</v>
      </c>
      <c r="I118" s="248">
        <f>IF(MobilityModel=DK,CalcDeltaN(H118,SampleDoping,Thickness,AreaFrac),CalcDeltaNDL(H118,AreaFrac,Thickness,SampleType,SampleDoping,Temperature))</f>
        <v>36046570508861.305</v>
      </c>
      <c r="J118" s="248" t="str">
        <f t="shared" si="62"/>
        <v/>
      </c>
      <c r="K118" s="248">
        <f t="shared" si="63"/>
        <v>36046570508861.305</v>
      </c>
      <c r="L118" s="250">
        <f t="shared" si="71"/>
        <v>-3.5953321895878704E+16</v>
      </c>
      <c r="M118" s="196" t="str">
        <f t="shared" si="64"/>
        <v/>
      </c>
      <c r="N118" s="196" t="str">
        <f t="shared" si="65"/>
        <v/>
      </c>
      <c r="O118" s="250">
        <f t="shared" si="66"/>
        <v>36046570508861.305</v>
      </c>
      <c r="P118" s="248">
        <f t="shared" si="72"/>
        <v>1.8456253325316921E-5</v>
      </c>
      <c r="Q118" s="250" t="str">
        <f t="shared" si="73"/>
        <v/>
      </c>
      <c r="R118" s="251" t="str">
        <f t="shared" si="75"/>
        <v/>
      </c>
      <c r="S118" s="252">
        <f>IF(AND(E118&gt;0.95*BiasLight,E118&lt;1.05*BiasLight),"",IF(AugerModel="Sinton",calclifetimeauger(Auger_Coefficient,I118,P118),calclifetimerichter(SampleType,I118,SampleDoping,P118)))</f>
        <v>54182.175686732313</v>
      </c>
      <c r="T118" s="201" t="str">
        <f t="shared" si="74"/>
        <v/>
      </c>
      <c r="U118" s="252">
        <f t="shared" si="67"/>
        <v>17150.530850905881</v>
      </c>
      <c r="V118" s="251" t="str">
        <f>IF(AugerModel="Sinton","",IF(SampleType="n-type",n_intr_boltzmann(SampleDoping,0,K118,Temperature+273.15),n_intr_boltzmann(0,SampleDoping,K118,Temperature+273.15)))</f>
        <v/>
      </c>
      <c r="W118" s="251" t="str">
        <f t="shared" si="51"/>
        <v/>
      </c>
      <c r="X118" s="246">
        <f>IF(AND(A118&gt;TimeofMaxCD,I118&gt;Traps),IF(AugerModel="Sinton",CalcImpliedV(SampleDoping,O118),CalcImpliedVRichter(O118,SampleDoping,V118)),"")</f>
        <v>0.55778770308819592</v>
      </c>
      <c r="Y118" s="253">
        <f t="shared" si="68"/>
        <v>0.23407463829801731</v>
      </c>
      <c r="Z118" s="200" t="str">
        <f t="shared" si="69"/>
        <v/>
      </c>
      <c r="AE118" s="251">
        <f t="shared" si="70"/>
        <v>1560.9051674906748</v>
      </c>
    </row>
    <row r="119" spans="1:31" x14ac:dyDescent="0.2">
      <c r="A119" s="244">
        <v>1.10499E-2</v>
      </c>
      <c r="B119" s="244">
        <v>5.6497700000000001E-3</v>
      </c>
      <c r="C119" s="245">
        <v>2.2774200000000001E-3</v>
      </c>
      <c r="D119" s="246">
        <f>IF(CouplingMode="AC",B119-(A$11-A$10)*SUM(B$9:B119)/0.21,B119)</f>
        <v>5.6497700000000001E-3</v>
      </c>
      <c r="E119" s="247">
        <f t="shared" si="58"/>
        <v>0.21640286160309058</v>
      </c>
      <c r="F119" s="247">
        <f t="shared" si="59"/>
        <v>0.21640286160309058</v>
      </c>
      <c r="G119" s="248">
        <f t="shared" si="60"/>
        <v>3.5932060665681704E+16</v>
      </c>
      <c r="H119" s="249">
        <f t="shared" si="61"/>
        <v>1.6886399227570605E-4</v>
      </c>
      <c r="I119" s="248">
        <f>IF(MobilityModel=DK,CalcDeltaN(H119,SampleDoping,Thickness,AreaFrac),CalcDeltaNDL(H119,AreaFrac,Thickness,SampleType,SampleDoping,Temperature))</f>
        <v>33922677517466.73</v>
      </c>
      <c r="J119" s="248" t="str">
        <f t="shared" si="62"/>
        <v/>
      </c>
      <c r="K119" s="248">
        <f t="shared" si="63"/>
        <v>33922677517466.73</v>
      </c>
      <c r="L119" s="250">
        <f t="shared" si="71"/>
        <v>-3.240637831876058E+16</v>
      </c>
      <c r="M119" s="196" t="str">
        <f t="shared" si="64"/>
        <v/>
      </c>
      <c r="N119" s="196" t="str">
        <f t="shared" si="65"/>
        <v/>
      </c>
      <c r="O119" s="250">
        <f t="shared" si="66"/>
        <v>33922677517466.73</v>
      </c>
      <c r="P119" s="248">
        <f t="shared" si="72"/>
        <v>1.8455921748488665E-5</v>
      </c>
      <c r="Q119" s="250" t="str">
        <f t="shared" si="73"/>
        <v/>
      </c>
      <c r="R119" s="251" t="str">
        <f t="shared" si="75"/>
        <v/>
      </c>
      <c r="S119" s="252">
        <f>IF(AND(E119&gt;0.95*BiasLight,E119&lt;1.05*BiasLight),"",IF(AugerModel="Sinton",calclifetimeauger(Auger_Coefficient,I119,P119),calclifetimerichter(SampleType,I119,SampleDoping,P119)))</f>
        <v>54183.149363787066</v>
      </c>
      <c r="T119" s="201" t="str">
        <f t="shared" si="74"/>
        <v/>
      </c>
      <c r="U119" s="252">
        <f t="shared" si="67"/>
        <v>17162.139862435135</v>
      </c>
      <c r="V119" s="251" t="str">
        <f>IF(AugerModel="Sinton","",IF(SampleType="n-type",n_intr_boltzmann(SampleDoping,0,K119,Temperature+273.15),n_intr_boltzmann(0,SampleDoping,K119,Temperature+273.15)))</f>
        <v/>
      </c>
      <c r="W119" s="251" t="str">
        <f t="shared" si="51"/>
        <v/>
      </c>
      <c r="X119" s="246">
        <f>IF(AND(A119&gt;TimeofMaxCD,I119&gt;Traps),IF(AugerModel="Sinton",CalcImpliedV(SampleDoping,O119),CalcImpliedVRichter(O119,SampleDoping,V119)),"")</f>
        <v>0.55621771333177727</v>
      </c>
      <c r="Y119" s="253">
        <f t="shared" si="68"/>
        <v>0.22028672949604705</v>
      </c>
      <c r="Z119" s="200" t="str">
        <f t="shared" si="69"/>
        <v/>
      </c>
      <c r="AE119" s="251">
        <f t="shared" si="70"/>
        <v>1561.4617160847154</v>
      </c>
    </row>
    <row r="120" spans="1:31" x14ac:dyDescent="0.2">
      <c r="A120" s="244">
        <v>1.1149900000000001E-2</v>
      </c>
      <c r="B120" s="244">
        <v>5.09801E-3</v>
      </c>
      <c r="C120" s="245">
        <v>2.1660899999999999E-3</v>
      </c>
      <c r="D120" s="246">
        <f>IF(CouplingMode="AC",B120-(A$11-A$10)*SUM(B$9:B120)/0.21,B120)</f>
        <v>5.09801E-3</v>
      </c>
      <c r="E120" s="247">
        <f t="shared" si="58"/>
        <v>0.20582416703543416</v>
      </c>
      <c r="F120" s="247">
        <f t="shared" si="59"/>
        <v>0.20582416703543416</v>
      </c>
      <c r="G120" s="248">
        <f t="shared" si="60"/>
        <v>3.4175548334223148E+16</v>
      </c>
      <c r="H120" s="249">
        <f t="shared" si="61"/>
        <v>1.5237138366420988E-4</v>
      </c>
      <c r="I120" s="248">
        <f>IF(MobilityModel=DK,CalcDeltaN(H120,SampleDoping,Thickness,AreaFrac),CalcDeltaNDL(H120,AreaFrac,Thickness,SampleType,SampleDoping,Temperature))</f>
        <v>30591615026106.937</v>
      </c>
      <c r="J120" s="248" t="str">
        <f t="shared" si="62"/>
        <v/>
      </c>
      <c r="K120" s="248">
        <f t="shared" si="63"/>
        <v>30591615026106.937</v>
      </c>
      <c r="L120" s="250">
        <f t="shared" si="71"/>
        <v>-3.2963370366770916E+16</v>
      </c>
      <c r="M120" s="196" t="str">
        <f t="shared" si="64"/>
        <v/>
      </c>
      <c r="N120" s="196" t="str">
        <f t="shared" si="65"/>
        <v/>
      </c>
      <c r="O120" s="250">
        <f t="shared" si="66"/>
        <v>30591615026106.937</v>
      </c>
      <c r="P120" s="248">
        <f t="shared" si="72"/>
        <v>1.7477650973230187E-5</v>
      </c>
      <c r="Q120" s="250" t="str">
        <f t="shared" si="73"/>
        <v/>
      </c>
      <c r="R120" s="251" t="str">
        <f t="shared" si="75"/>
        <v/>
      </c>
      <c r="S120" s="252">
        <f>IF(AND(E120&gt;0.95*BiasLight,E120&lt;1.05*BiasLight),"",IF(AugerModel="Sinton",calclifetimeauger(Auger_Coefficient,I120,P120),calclifetimerichter(SampleType,I120,SampleDoping,P120)))</f>
        <v>57215.925319714086</v>
      </c>
      <c r="T120" s="201" t="str">
        <f t="shared" si="74"/>
        <v/>
      </c>
      <c r="U120" s="252">
        <f t="shared" si="67"/>
        <v>17180.347155845651</v>
      </c>
      <c r="V120" s="251" t="str">
        <f>IF(AugerModel="Sinton","",IF(SampleType="n-type",n_intr_boltzmann(SampleDoping,0,K120,Temperature+273.15),n_intr_boltzmann(0,SampleDoping,K120,Temperature+273.15)))</f>
        <v/>
      </c>
      <c r="W120" s="251" t="str">
        <f t="shared" si="51"/>
        <v/>
      </c>
      <c r="X120" s="246">
        <f>IF(AND(A120&gt;TimeofMaxCD,I120&gt;Traps),IF(AugerModel="Sinton",CalcImpliedV(SampleDoping,O120),CalcImpliedVRichter(O120,SampleDoping,V120)),"")</f>
        <v>0.55354693612558059</v>
      </c>
      <c r="Y120" s="253">
        <f t="shared" si="68"/>
        <v>0.20977478979715813</v>
      </c>
      <c r="Z120" s="200" t="str">
        <f t="shared" si="69"/>
        <v/>
      </c>
      <c r="AE120" s="251">
        <f t="shared" si="70"/>
        <v>1562.3754920304366</v>
      </c>
    </row>
    <row r="121" spans="1:31" x14ac:dyDescent="0.2">
      <c r="A121" s="244">
        <v>1.12499E-2</v>
      </c>
      <c r="B121" s="244">
        <v>4.4730100000000004E-3</v>
      </c>
      <c r="C121" s="245">
        <v>2.0049600000000001E-3</v>
      </c>
      <c r="D121" s="246">
        <f>IF(CouplingMode="AC",B121-(A$11-A$10)*SUM(B$9:B121)/0.21,B121)</f>
        <v>4.4730100000000004E-3</v>
      </c>
      <c r="E121" s="247">
        <f t="shared" si="58"/>
        <v>0.19051342369862936</v>
      </c>
      <c r="F121" s="247">
        <f t="shared" si="59"/>
        <v>0.19051342369862936</v>
      </c>
      <c r="G121" s="248">
        <f t="shared" si="60"/>
        <v>3.163331504608952E+16</v>
      </c>
      <c r="H121" s="249">
        <f t="shared" si="61"/>
        <v>1.3368989101104727E-4</v>
      </c>
      <c r="I121" s="248">
        <f>IF(MobilityModel=DK,CalcDeltaN(H121,SampleDoping,Thickness,AreaFrac),CalcDeltaNDL(H121,AreaFrac,Thickness,SampleType,SampleDoping,Temperature))</f>
        <v>26821974319084.117</v>
      </c>
      <c r="J121" s="248" t="str">
        <f t="shared" si="62"/>
        <v/>
      </c>
      <c r="K121" s="248">
        <f t="shared" si="63"/>
        <v>26821974319084.117</v>
      </c>
      <c r="L121" s="250">
        <f t="shared" si="71"/>
        <v>-3.2266010503125876E+16</v>
      </c>
      <c r="M121" s="196" t="str">
        <f t="shared" si="64"/>
        <v/>
      </c>
      <c r="N121" s="196" t="str">
        <f t="shared" si="65"/>
        <v/>
      </c>
      <c r="O121" s="250">
        <f t="shared" si="66"/>
        <v>26821974319084.117</v>
      </c>
      <c r="P121" s="248">
        <f t="shared" si="72"/>
        <v>1.6537584222513131E-5</v>
      </c>
      <c r="Q121" s="250" t="str">
        <f t="shared" si="73"/>
        <v/>
      </c>
      <c r="R121" s="251" t="str">
        <f t="shared" si="75"/>
        <v/>
      </c>
      <c r="S121" s="252">
        <f>IF(AND(E121&gt;0.95*BiasLight,E121&lt;1.05*BiasLight),"",IF(AugerModel="Sinton",calclifetimeauger(Auger_Coefficient,I121,P121),calclifetimerichter(SampleType,I121,SampleDoping,P121)))</f>
        <v>60468.322748670682</v>
      </c>
      <c r="T121" s="201" t="str">
        <f t="shared" si="74"/>
        <v/>
      </c>
      <c r="U121" s="252">
        <f t="shared" si="67"/>
        <v>17200.951679051992</v>
      </c>
      <c r="V121" s="251" t="str">
        <f>IF(AugerModel="Sinton","",IF(SampleType="n-type",n_intr_boltzmann(SampleDoping,0,K121,Temperature+273.15),n_intr_boltzmann(0,SampleDoping,K121,Temperature+273.15)))</f>
        <v/>
      </c>
      <c r="W121" s="251" t="str">
        <f t="shared" si="51"/>
        <v/>
      </c>
      <c r="X121" s="246">
        <f>IF(AND(A121&gt;TimeofMaxCD,I121&gt;Traps),IF(AugerModel="Sinton",CalcImpliedV(SampleDoping,O121),CalcImpliedVRichter(O121,SampleDoping,V121)),"")</f>
        <v>0.55015101676920042</v>
      </c>
      <c r="Y121" s="253">
        <f t="shared" si="68"/>
        <v>0.19438046866719158</v>
      </c>
      <c r="Z121" s="200" t="str">
        <f t="shared" si="69"/>
        <v/>
      </c>
      <c r="AE121" s="251">
        <f t="shared" si="70"/>
        <v>1563.4796709248715</v>
      </c>
    </row>
    <row r="122" spans="1:31" x14ac:dyDescent="0.2">
      <c r="A122" s="244">
        <v>1.13499E-2</v>
      </c>
      <c r="B122" s="244">
        <v>3.8577799999999999E-3</v>
      </c>
      <c r="C122" s="245">
        <v>1.88777E-3</v>
      </c>
      <c r="D122" s="246">
        <f>IF(CouplingMode="AC",B122-(A$11-A$10)*SUM(B$9:B122)/0.21,B122)</f>
        <v>3.8577799999999999E-3</v>
      </c>
      <c r="E122" s="247">
        <f t="shared" si="58"/>
        <v>0.17937790572159124</v>
      </c>
      <c r="F122" s="247">
        <f t="shared" si="59"/>
        <v>0.17937790572159124</v>
      </c>
      <c r="G122" s="248">
        <f t="shared" si="60"/>
        <v>2.9784346393223012E+16</v>
      </c>
      <c r="H122" s="249">
        <f t="shared" si="61"/>
        <v>1.1530076589296757E-4</v>
      </c>
      <c r="I122" s="248">
        <f>IF(MobilityModel=DK,CalcDeltaN(H122,SampleDoping,Thickness,AreaFrac),CalcDeltaNDL(H122,AreaFrac,Thickness,SampleType,SampleDoping,Temperature))</f>
        <v>23115236924667.164</v>
      </c>
      <c r="J122" s="248" t="str">
        <f t="shared" si="62"/>
        <v/>
      </c>
      <c r="K122" s="248">
        <f t="shared" si="63"/>
        <v>23115236924667.164</v>
      </c>
      <c r="L122" s="250">
        <f t="shared" si="71"/>
        <v>-2.4831968377667604E+16</v>
      </c>
      <c r="M122" s="196" t="str">
        <f t="shared" si="64"/>
        <v/>
      </c>
      <c r="N122" s="196" t="str">
        <f t="shared" si="65"/>
        <v/>
      </c>
      <c r="O122" s="250">
        <f t="shared" si="66"/>
        <v>23115236924667.164</v>
      </c>
      <c r="P122" s="248">
        <f t="shared" si="72"/>
        <v>1.5192072785948273E-5</v>
      </c>
      <c r="Q122" s="250" t="str">
        <f t="shared" si="73"/>
        <v/>
      </c>
      <c r="R122" s="251" t="str">
        <f t="shared" si="75"/>
        <v/>
      </c>
      <c r="S122" s="252">
        <f>IF(AND(E122&gt;0.95*BiasLight,E122&lt;1.05*BiasLight),"",IF(AugerModel="Sinton",calclifetimeauger(Auger_Coefficient,I122,P122),calclifetimerichter(SampleType,I122,SampleDoping,P122)))</f>
        <v>65823.801703356352</v>
      </c>
      <c r="T122" s="201" t="str">
        <f t="shared" si="74"/>
        <v/>
      </c>
      <c r="U122" s="252">
        <f t="shared" si="67"/>
        <v>17221.212378306642</v>
      </c>
      <c r="V122" s="251" t="str">
        <f>IF(AugerModel="Sinton","",IF(SampleType="n-type",n_intr_boltzmann(SampleDoping,0,K122,Temperature+273.15),n_intr_boltzmann(0,SampleDoping,K122,Temperature+273.15)))</f>
        <v/>
      </c>
      <c r="W122" s="251" t="str">
        <f t="shared" si="51"/>
        <v/>
      </c>
      <c r="X122" s="246">
        <f>IF(AND(A122&gt;TimeofMaxCD,I122&gt;Traps),IF(AugerModel="Sinton",CalcImpliedV(SampleDoping,O122),CalcImpliedVRichter(O122,SampleDoping,V122)),"")</f>
        <v>0.54631286816274549</v>
      </c>
      <c r="Y122" s="253">
        <f t="shared" si="68"/>
        <v>0.18235398912567533</v>
      </c>
      <c r="Z122" s="200" t="str">
        <f t="shared" si="69"/>
        <v/>
      </c>
      <c r="AE122" s="251">
        <f t="shared" si="70"/>
        <v>1564.6537840506774</v>
      </c>
    </row>
    <row r="123" spans="1:31" x14ac:dyDescent="0.2">
      <c r="A123" s="244">
        <v>1.1449900000000001E-2</v>
      </c>
      <c r="B123" s="244">
        <v>3.5940999999999998E-3</v>
      </c>
      <c r="C123" s="245">
        <v>1.7793799999999999E-3</v>
      </c>
      <c r="D123" s="246">
        <f>IF(CouplingMode="AC",B123-(A$11-A$10)*SUM(B$9:B123)/0.21,B123)</f>
        <v>3.5940999999999998E-3</v>
      </c>
      <c r="E123" s="247">
        <f t="shared" si="58"/>
        <v>0.16907857306922189</v>
      </c>
      <c r="F123" s="247">
        <f t="shared" si="59"/>
        <v>0.16907857306922189</v>
      </c>
      <c r="G123" s="248">
        <f t="shared" si="60"/>
        <v>2.8074219997760932E+16</v>
      </c>
      <c r="H123" s="249">
        <f t="shared" si="61"/>
        <v>1.0741951616613857E-4</v>
      </c>
      <c r="I123" s="248">
        <f>IF(MobilityModel=DK,CalcDeltaN(H123,SampleDoping,Thickness,AreaFrac),CalcDeltaNDL(H123,AreaFrac,Thickness,SampleType,SampleDoping,Temperature))</f>
        <v>21527861316623.66</v>
      </c>
      <c r="J123" s="248" t="str">
        <f t="shared" si="62"/>
        <v/>
      </c>
      <c r="K123" s="248">
        <f t="shared" si="63"/>
        <v>21527861316623.66</v>
      </c>
      <c r="L123" s="250">
        <f t="shared" si="71"/>
        <v>-2.1866547907825396E+16</v>
      </c>
      <c r="M123" s="196" t="str">
        <f t="shared" si="64"/>
        <v/>
      </c>
      <c r="N123" s="196" t="str">
        <f t="shared" si="65"/>
        <v/>
      </c>
      <c r="O123" s="250">
        <f t="shared" si="66"/>
        <v>21527861316623.66</v>
      </c>
      <c r="P123" s="248">
        <f t="shared" si="72"/>
        <v>1.5026797359486575E-5</v>
      </c>
      <c r="Q123" s="250" t="str">
        <f t="shared" si="73"/>
        <v/>
      </c>
      <c r="R123" s="251" t="str">
        <f t="shared" si="75"/>
        <v/>
      </c>
      <c r="S123" s="252">
        <f>IF(AND(E123&gt;0.95*BiasLight,E123&lt;1.05*BiasLight),"",IF(AugerModel="Sinton",calclifetimeauger(Auger_Coefficient,I123,P123),calclifetimerichter(SampleType,I123,SampleDoping,P123)))</f>
        <v>66547.778912330803</v>
      </c>
      <c r="T123" s="201" t="str">
        <f t="shared" si="74"/>
        <v/>
      </c>
      <c r="U123" s="252">
        <f t="shared" si="67"/>
        <v>17229.888833198533</v>
      </c>
      <c r="V123" s="251" t="str">
        <f>IF(AugerModel="Sinton","",IF(SampleType="n-type",n_intr_boltzmann(SampleDoping,0,K123,Temperature+273.15),n_intr_boltzmann(0,SampleDoping,K123,Temperature+273.15)))</f>
        <v/>
      </c>
      <c r="W123" s="251" t="str">
        <f t="shared" si="51"/>
        <v/>
      </c>
      <c r="X123" s="246">
        <f>IF(AND(A123&gt;TimeofMaxCD,I123&gt;Traps),IF(AugerModel="Sinton",CalcImpliedV(SampleDoping,O123),CalcImpliedVRichter(O123,SampleDoping,V123)),"")</f>
        <v>0.54447777080343995</v>
      </c>
      <c r="Y123" s="253">
        <f t="shared" si="68"/>
        <v>0.1716992541744545</v>
      </c>
      <c r="Z123" s="200" t="str">
        <f t="shared" si="69"/>
        <v/>
      </c>
      <c r="AE123" s="251">
        <f t="shared" si="70"/>
        <v>1565.1887465570792</v>
      </c>
    </row>
    <row r="124" spans="1:31" x14ac:dyDescent="0.2">
      <c r="A124" s="244">
        <v>1.15499E-2</v>
      </c>
      <c r="B124" s="244">
        <v>3.4769200000000001E-3</v>
      </c>
      <c r="C124" s="245">
        <v>1.6875799999999999E-3</v>
      </c>
      <c r="D124" s="246">
        <f>IF(CouplingMode="AC",B124-(A$11-A$10)*SUM(B$9:B124)/0.21,B124)</f>
        <v>3.4769200000000001E-3</v>
      </c>
      <c r="E124" s="247">
        <f t="shared" si="58"/>
        <v>0.16035563979597245</v>
      </c>
      <c r="F124" s="247">
        <f t="shared" si="59"/>
        <v>0.16035563979597245</v>
      </c>
      <c r="G124" s="248">
        <f t="shared" si="60"/>
        <v>2.6625842812564712E+16</v>
      </c>
      <c r="H124" s="249">
        <f t="shared" si="61"/>
        <v>1.03917090410105E-4</v>
      </c>
      <c r="I124" s="248">
        <f>IF(MobilityModel=DK,CalcDeltaN(H124,SampleDoping,Thickness,AreaFrac),CalcDeltaNDL(H124,AreaFrac,Thickness,SampleType,SampleDoping,Temperature))</f>
        <v>20822687338503.367</v>
      </c>
      <c r="J124" s="248" t="str">
        <f t="shared" si="62"/>
        <v/>
      </c>
      <c r="K124" s="248">
        <f t="shared" si="63"/>
        <v>20822687338503.367</v>
      </c>
      <c r="L124" s="250">
        <f t="shared" si="71"/>
        <v>-2.3456285009962852E+16</v>
      </c>
      <c r="M124" s="196" t="str">
        <f t="shared" si="64"/>
        <v/>
      </c>
      <c r="N124" s="196" t="str">
        <f t="shared" si="65"/>
        <v/>
      </c>
      <c r="O124" s="250">
        <f t="shared" si="66"/>
        <v>20822687338503.367</v>
      </c>
      <c r="P124" s="248">
        <f t="shared" si="72"/>
        <v>1.5294623920554733E-5</v>
      </c>
      <c r="Q124" s="250" t="str">
        <f t="shared" si="73"/>
        <v/>
      </c>
      <c r="R124" s="251" t="str">
        <f t="shared" si="75"/>
        <v/>
      </c>
      <c r="S124" s="252">
        <f>IF(AND(E124&gt;0.95*BiasLight,E124&lt;1.05*BiasLight),"",IF(AugerModel="Sinton",calclifetimeauger(Auger_Coefficient,I124,P124),calclifetimerichter(SampleType,I124,SampleDoping,P124)))</f>
        <v>65382.450342422366</v>
      </c>
      <c r="T124" s="201" t="str">
        <f t="shared" si="74"/>
        <v/>
      </c>
      <c r="U124" s="252">
        <f t="shared" si="67"/>
        <v>17233.743251888784</v>
      </c>
      <c r="V124" s="251" t="str">
        <f>IF(AugerModel="Sinton","",IF(SampleType="n-type",n_intr_boltzmann(SampleDoping,0,K124,Temperature+273.15),n_intr_boltzmann(0,SampleDoping,K124,Temperature+273.15)))</f>
        <v/>
      </c>
      <c r="W124" s="251" t="str">
        <f t="shared" si="51"/>
        <v/>
      </c>
      <c r="X124" s="246">
        <f>IF(AND(A124&gt;TimeofMaxCD,I124&gt;Traps),IF(AugerModel="Sinton",CalcImpliedV(SampleDoping,O124),CalcImpliedVRichter(O124,SampleDoping,V124)),"")</f>
        <v>0.54361887822244792</v>
      </c>
      <c r="Y124" s="253">
        <f t="shared" si="68"/>
        <v>0.16316684909995971</v>
      </c>
      <c r="Z124" s="200" t="str">
        <f t="shared" si="69"/>
        <v/>
      </c>
      <c r="AE124" s="251">
        <f t="shared" si="70"/>
        <v>1565.433459409174</v>
      </c>
    </row>
    <row r="125" spans="1:31" x14ac:dyDescent="0.2">
      <c r="A125" s="244">
        <v>1.1649899999999999E-2</v>
      </c>
      <c r="B125" s="244">
        <v>2.84703E-3</v>
      </c>
      <c r="C125" s="245">
        <v>1.5908999999999999E-3</v>
      </c>
      <c r="D125" s="246">
        <f>IF(CouplingMode="AC",B125-(A$11-A$10)*SUM(B$9:B125)/0.21,B125)</f>
        <v>2.84703E-3</v>
      </c>
      <c r="E125" s="247">
        <f t="shared" si="58"/>
        <v>0.15116900375177034</v>
      </c>
      <c r="F125" s="247">
        <f t="shared" si="59"/>
        <v>0.15116900375177034</v>
      </c>
      <c r="G125" s="248">
        <f t="shared" si="60"/>
        <v>2.5100471284626032E+16</v>
      </c>
      <c r="H125" s="249">
        <f t="shared" si="61"/>
        <v>8.509034095371959E-5</v>
      </c>
      <c r="I125" s="248">
        <f>IF(MobilityModel=DK,CalcDeltaN(H125,SampleDoping,Thickness,AreaFrac),CalcDeltaNDL(H125,AreaFrac,Thickness,SampleType,SampleDoping,Temperature))</f>
        <v>17034975158253.322</v>
      </c>
      <c r="J125" s="248" t="str">
        <f t="shared" si="62"/>
        <v/>
      </c>
      <c r="K125" s="248">
        <f t="shared" si="63"/>
        <v>17034975158253.322</v>
      </c>
      <c r="L125" s="250">
        <f t="shared" si="71"/>
        <v>-2.192277390808974E+16</v>
      </c>
      <c r="M125" s="196" t="str">
        <f t="shared" si="64"/>
        <v/>
      </c>
      <c r="N125" s="196" t="str">
        <f t="shared" si="65"/>
        <v/>
      </c>
      <c r="O125" s="250">
        <f t="shared" si="66"/>
        <v>17034975158253.322</v>
      </c>
      <c r="P125" s="248">
        <f t="shared" si="72"/>
        <v>1.3274837698731347E-5</v>
      </c>
      <c r="Q125" s="250" t="str">
        <f t="shared" si="73"/>
        <v/>
      </c>
      <c r="R125" s="251" t="str">
        <f t="shared" si="75"/>
        <v/>
      </c>
      <c r="S125" s="252">
        <f>IF(AND(E125&gt;0.95*BiasLight,E125&lt;1.05*BiasLight),"",IF(AugerModel="Sinton",calclifetimeauger(Auger_Coefficient,I125,P125),calclifetimerichter(SampleType,I125,SampleDoping,P125)))</f>
        <v>75330.487370166957</v>
      </c>
      <c r="T125" s="201" t="str">
        <f t="shared" si="74"/>
        <v/>
      </c>
      <c r="U125" s="252">
        <f t="shared" si="67"/>
        <v>17254.446552171888</v>
      </c>
      <c r="V125" s="251" t="str">
        <f>IF(AugerModel="Sinton","",IF(SampleType="n-type",n_intr_boltzmann(SampleDoping,0,K125,Temperature+273.15),n_intr_boltzmann(0,SampleDoping,K125,Temperature+273.15)))</f>
        <v/>
      </c>
      <c r="W125" s="251" t="str">
        <f t="shared" si="51"/>
        <v/>
      </c>
      <c r="X125" s="246">
        <f>IF(AND(A125&gt;TimeofMaxCD,I125&gt;Traps),IF(AugerModel="Sinton",CalcImpliedV(SampleDoping,O125),CalcImpliedVRichter(O125,SampleDoping,V125)),"")</f>
        <v>0.53844329508776145</v>
      </c>
      <c r="Y125" s="253">
        <f t="shared" si="68"/>
        <v>0.15379642347972186</v>
      </c>
      <c r="Z125" s="200" t="str">
        <f t="shared" si="69"/>
        <v/>
      </c>
      <c r="AE125" s="251">
        <f t="shared" si="70"/>
        <v>1566.8346639593885</v>
      </c>
    </row>
    <row r="126" spans="1:31" x14ac:dyDescent="0.2">
      <c r="A126" s="244">
        <v>1.1749900000000001E-2</v>
      </c>
      <c r="B126" s="244">
        <v>2.2806300000000001E-3</v>
      </c>
      <c r="C126" s="245">
        <v>1.4746900000000001E-3</v>
      </c>
      <c r="D126" s="246">
        <f>IF(CouplingMode="AC",B126-(A$11-A$10)*SUM(B$9:B126)/0.21,B126)</f>
        <v>2.2806300000000001E-3</v>
      </c>
      <c r="E126" s="247">
        <f t="shared" si="58"/>
        <v>0.14012660641316124</v>
      </c>
      <c r="F126" s="247">
        <f t="shared" si="59"/>
        <v>0.14012660641316124</v>
      </c>
      <c r="G126" s="248">
        <f t="shared" si="60"/>
        <v>2.3266964610425024E+16</v>
      </c>
      <c r="H126" s="249">
        <f t="shared" si="61"/>
        <v>6.8161541347207255E-5</v>
      </c>
      <c r="I126" s="248">
        <f>IF(MobilityModel=DK,CalcDeltaN(H126,SampleDoping,Thickness,AreaFrac),CalcDeltaNDL(H126,AreaFrac,Thickness,SampleType,SampleDoping,Temperature))</f>
        <v>13633537498870.896</v>
      </c>
      <c r="J126" s="248" t="str">
        <f t="shared" si="62"/>
        <v/>
      </c>
      <c r="K126" s="248">
        <f t="shared" si="63"/>
        <v>13633537498870.896</v>
      </c>
      <c r="L126" s="250">
        <f t="shared" si="71"/>
        <v>-1.6783381100055526E+16</v>
      </c>
      <c r="M126" s="196" t="str">
        <f t="shared" si="64"/>
        <v/>
      </c>
      <c r="N126" s="196" t="str">
        <f t="shared" si="65"/>
        <v/>
      </c>
      <c r="O126" s="250">
        <f t="shared" si="66"/>
        <v>13633537498870.896</v>
      </c>
      <c r="P126" s="248">
        <f t="shared" si="72"/>
        <v>1.1495611467334397E-5</v>
      </c>
      <c r="Q126" s="250" t="str">
        <f t="shared" si="73"/>
        <v/>
      </c>
      <c r="R126" s="251" t="str">
        <f t="shared" si="75"/>
        <v/>
      </c>
      <c r="S126" s="252">
        <f>IF(AND(E126&gt;0.95*BiasLight,E126&lt;1.05*BiasLight),"",IF(AugerModel="Sinton",calclifetimeauger(Auger_Coefficient,I126,P126),calclifetimerichter(SampleType,I126,SampleDoping,P126)))</f>
        <v>86989.717710502257</v>
      </c>
      <c r="T126" s="201" t="str">
        <f t="shared" si="74"/>
        <v/>
      </c>
      <c r="U126" s="252">
        <f t="shared" si="67"/>
        <v>17273.038510035964</v>
      </c>
      <c r="V126" s="251" t="str">
        <f>IF(AugerModel="Sinton","",IF(SampleType="n-type",n_intr_boltzmann(SampleDoping,0,K126,Temperature+273.15),n_intr_boltzmann(0,SampleDoping,K126,Temperature+273.15)))</f>
        <v/>
      </c>
      <c r="W126" s="251" t="str">
        <f t="shared" si="51"/>
        <v/>
      </c>
      <c r="X126" s="246">
        <f>IF(AND(A126&gt;TimeofMaxCD,I126&gt;Traps),IF(AugerModel="Sinton",CalcImpliedV(SampleDoping,O126),CalcImpliedVRichter(O126,SampleDoping,V126)),"")</f>
        <v>0.53270531917598551</v>
      </c>
      <c r="Y126" s="253">
        <f t="shared" si="68"/>
        <v>0.14213807570937759</v>
      </c>
      <c r="Z126" s="200" t="str">
        <f t="shared" si="69"/>
        <v/>
      </c>
      <c r="AE126" s="251">
        <f t="shared" si="70"/>
        <v>1568.2498601346126</v>
      </c>
    </row>
    <row r="127" spans="1:31" x14ac:dyDescent="0.2">
      <c r="A127" s="244">
        <v>1.18499E-2</v>
      </c>
      <c r="B127" s="244">
        <v>2.3685199999999998E-3</v>
      </c>
      <c r="C127" s="245">
        <v>1.3975400000000001E-3</v>
      </c>
      <c r="D127" s="246">
        <f>IF(CouplingMode="AC",B127-(A$11-A$10)*SUM(B$9:B127)/0.21,B127)</f>
        <v>2.3685199999999998E-3</v>
      </c>
      <c r="E127" s="247">
        <f t="shared" si="58"/>
        <v>0.13279573166336608</v>
      </c>
      <c r="F127" s="247">
        <f t="shared" si="59"/>
        <v>0.13279573166336608</v>
      </c>
      <c r="G127" s="248">
        <f t="shared" si="60"/>
        <v>2.2049728228748672E+16</v>
      </c>
      <c r="H127" s="249">
        <f t="shared" si="61"/>
        <v>7.0788415696994636E-5</v>
      </c>
      <c r="I127" s="248">
        <f>IF(MobilityModel=DK,CalcDeltaN(H127,SampleDoping,Thickness,AreaFrac),CalcDeltaNDL(H127,AreaFrac,Thickness,SampleType,SampleDoping,Temperature))</f>
        <v>14161049282395.039</v>
      </c>
      <c r="J127" s="248" t="str">
        <f t="shared" si="62"/>
        <v/>
      </c>
      <c r="K127" s="248">
        <f t="shared" si="63"/>
        <v>14161049282395.039</v>
      </c>
      <c r="L127" s="250">
        <f t="shared" si="71"/>
        <v>-9673584483399230</v>
      </c>
      <c r="M127" s="196" t="str">
        <f t="shared" si="64"/>
        <v/>
      </c>
      <c r="N127" s="196" t="str">
        <f t="shared" si="65"/>
        <v/>
      </c>
      <c r="O127" s="250">
        <f t="shared" si="66"/>
        <v>14161049282395.039</v>
      </c>
      <c r="P127" s="248">
        <f t="shared" si="72"/>
        <v>1.2669810908589058E-5</v>
      </c>
      <c r="Q127" s="250" t="str">
        <f t="shared" si="73"/>
        <v/>
      </c>
      <c r="R127" s="251" t="str">
        <f t="shared" si="75"/>
        <v/>
      </c>
      <c r="S127" s="252">
        <f>IF(AND(E127&gt;0.95*BiasLight,E127&lt;1.05*BiasLight),"",IF(AugerModel="Sinton",calclifetimeauger(Auger_Coefficient,I127,P127),calclifetimerichter(SampleType,I127,SampleDoping,P127)))</f>
        <v>78927.775875837964</v>
      </c>
      <c r="T127" s="201" t="str">
        <f t="shared" si="74"/>
        <v/>
      </c>
      <c r="U127" s="252">
        <f t="shared" si="67"/>
        <v>17270.155177211964</v>
      </c>
      <c r="V127" s="251" t="str">
        <f>IF(AugerModel="Sinton","",IF(SampleType="n-type",n_intr_boltzmann(SampleDoping,0,K127,Temperature+273.15),n_intr_boltzmann(0,SampleDoping,K127,Temperature+273.15)))</f>
        <v/>
      </c>
      <c r="W127" s="251" t="str">
        <f t="shared" si="51"/>
        <v/>
      </c>
      <c r="X127" s="246">
        <f>IF(AND(A127&gt;TimeofMaxCD,I127&gt;Traps),IF(AugerModel="Sinton",CalcImpliedV(SampleDoping,O127),CalcImpliedVRichter(O127,SampleDoping,V127)),"")</f>
        <v>0.53368303946926521</v>
      </c>
      <c r="Y127" s="253">
        <f t="shared" si="68"/>
        <v>0.13395509985364379</v>
      </c>
      <c r="Z127" s="200" t="str">
        <f t="shared" si="69"/>
        <v/>
      </c>
      <c r="AE127" s="251">
        <f t="shared" si="70"/>
        <v>1568.0184562816155</v>
      </c>
    </row>
    <row r="128" spans="1:31" x14ac:dyDescent="0.2">
      <c r="A128" s="244">
        <v>1.1949899999999999E-2</v>
      </c>
      <c r="B128" s="244">
        <v>2.3196900000000001E-3</v>
      </c>
      <c r="C128" s="245">
        <v>1.28035E-3</v>
      </c>
      <c r="D128" s="246">
        <f>IF(CouplingMode="AC",B128-(A$11-A$10)*SUM(B$9:B128)/0.21,B128)</f>
        <v>2.3196900000000001E-3</v>
      </c>
      <c r="E128" s="247">
        <f t="shared" si="58"/>
        <v>0.12166021368632796</v>
      </c>
      <c r="F128" s="247">
        <f t="shared" si="59"/>
        <v>0.12166021368632796</v>
      </c>
      <c r="G128" s="248">
        <f t="shared" si="60"/>
        <v>2.0200759575882168E+16</v>
      </c>
      <c r="H128" s="249">
        <f t="shared" si="61"/>
        <v>6.9328973794002477E-5</v>
      </c>
      <c r="I128" s="248">
        <f>IF(MobilityModel=DK,CalcDeltaN(H128,SampleDoping,Thickness,AreaFrac),CalcDeltaNDL(H128,AreaFrac,Thickness,SampleType,SampleDoping,Temperature))</f>
        <v>13867959726404.762</v>
      </c>
      <c r="J128" s="248" t="str">
        <f t="shared" si="62"/>
        <v/>
      </c>
      <c r="K128" s="248">
        <f t="shared" si="63"/>
        <v>13867959726404.762</v>
      </c>
      <c r="L128" s="250">
        <f t="shared" si="71"/>
        <v>-1.0745563211450252E+16</v>
      </c>
      <c r="M128" s="196" t="str">
        <f t="shared" si="64"/>
        <v/>
      </c>
      <c r="N128" s="196" t="str">
        <f t="shared" si="65"/>
        <v/>
      </c>
      <c r="O128" s="250">
        <f t="shared" si="66"/>
        <v>13867959726404.762</v>
      </c>
      <c r="P128" s="248">
        <f t="shared" si="72"/>
        <v>1.3518386291801784E-5</v>
      </c>
      <c r="Q128" s="250" t="str">
        <f t="shared" si="73"/>
        <v/>
      </c>
      <c r="R128" s="251" t="str">
        <f t="shared" si="75"/>
        <v/>
      </c>
      <c r="S128" s="252">
        <f>IF(AND(E128&gt;0.95*BiasLight,E128&lt;1.05*BiasLight),"",IF(AugerModel="Sinton",calclifetimeauger(Auger_Coefficient,I128,P128),calclifetimerichter(SampleType,I128,SampleDoping,P128)))</f>
        <v>73973.325964999342</v>
      </c>
      <c r="T128" s="201" t="str">
        <f t="shared" si="74"/>
        <v/>
      </c>
      <c r="U128" s="252">
        <f t="shared" si="67"/>
        <v>17271.757178842166</v>
      </c>
      <c r="V128" s="251" t="str">
        <f>IF(AugerModel="Sinton","",IF(SampleType="n-type",n_intr_boltzmann(SampleDoping,0,K128,Temperature+273.15),n_intr_boltzmann(0,SampleDoping,K128,Temperature+273.15)))</f>
        <v/>
      </c>
      <c r="W128" s="251" t="str">
        <f t="shared" si="51"/>
        <v/>
      </c>
      <c r="X128" s="246">
        <f>IF(AND(A128&gt;TimeofMaxCD,I128&gt;Traps),IF(AugerModel="Sinton",CalcImpliedV(SampleDoping,O128),CalcImpliedVRichter(O128,SampleDoping,V128)),"")</f>
        <v>0.53314438748095994</v>
      </c>
      <c r="Y128" s="253">
        <f t="shared" si="68"/>
        <v>0.12294805731816402</v>
      </c>
      <c r="Z128" s="200" t="str">
        <f t="shared" si="69"/>
        <v/>
      </c>
      <c r="AE128" s="251">
        <f t="shared" si="70"/>
        <v>1568.146423575414</v>
      </c>
    </row>
    <row r="129" spans="1:31" x14ac:dyDescent="0.2">
      <c r="A129" s="244">
        <v>1.2049900000000001E-2</v>
      </c>
      <c r="B129" s="244">
        <v>2.02184E-3</v>
      </c>
      <c r="C129" s="245">
        <v>1.2285900000000001E-3</v>
      </c>
      <c r="D129" s="246">
        <f>IF(CouplingMode="AC",B129-(A$11-A$10)*SUM(B$9:B129)/0.21,B129)</f>
        <v>2.02184E-3</v>
      </c>
      <c r="E129" s="247">
        <f t="shared" si="58"/>
        <v>0.11674192364032153</v>
      </c>
      <c r="F129" s="247">
        <f t="shared" si="59"/>
        <v>0.11674192364032153</v>
      </c>
      <c r="G129" s="248">
        <f t="shared" si="60"/>
        <v>1.9384114661876108E+16</v>
      </c>
      <c r="H129" s="249">
        <f t="shared" si="61"/>
        <v>6.0426812533216634E-5</v>
      </c>
      <c r="I129" s="248">
        <f>IF(MobilityModel=DK,CalcDeltaN(H129,SampleDoping,Thickness,AreaFrac),CalcDeltaNDL(H129,AreaFrac,Thickness,SampleType,SampleDoping,Temperature))</f>
        <v>12080971802786.779</v>
      </c>
      <c r="J129" s="248" t="str">
        <f t="shared" si="62"/>
        <v/>
      </c>
      <c r="K129" s="248">
        <f t="shared" si="63"/>
        <v>12080971802786.779</v>
      </c>
      <c r="L129" s="250">
        <f t="shared" si="71"/>
        <v>-1.528190483286945E+16</v>
      </c>
      <c r="M129" s="196" t="str">
        <f t="shared" si="64"/>
        <v/>
      </c>
      <c r="N129" s="196" t="str">
        <f t="shared" si="65"/>
        <v/>
      </c>
      <c r="O129" s="250">
        <f t="shared" si="66"/>
        <v>12080971802786.779</v>
      </c>
      <c r="P129" s="248">
        <f t="shared" si="72"/>
        <v>1.221092018960375E-5</v>
      </c>
      <c r="Q129" s="250" t="str">
        <f t="shared" si="73"/>
        <v/>
      </c>
      <c r="R129" s="251" t="str">
        <f t="shared" si="75"/>
        <v/>
      </c>
      <c r="S129" s="252">
        <f>IF(AND(E129&gt;0.95*BiasLight,E129&lt;1.05*BiasLight),"",IF(AugerModel="Sinton",calclifetimeauger(Auger_Coefficient,I129,P129),calclifetimerichter(SampleType,I129,SampleDoping,P129)))</f>
        <v>81893.909837603147</v>
      </c>
      <c r="T129" s="201" t="str">
        <f t="shared" si="74"/>
        <v/>
      </c>
      <c r="U129" s="252">
        <f t="shared" si="67"/>
        <v>17281.524697023156</v>
      </c>
      <c r="V129" s="251" t="str">
        <f>IF(AugerModel="Sinton","",IF(SampleType="n-type",n_intr_boltzmann(SampleDoping,0,K129,Temperature+273.15),n_intr_boltzmann(0,SampleDoping,K129,Temperature+273.15)))</f>
        <v/>
      </c>
      <c r="W129" s="251" t="str">
        <f t="shared" si="51"/>
        <v/>
      </c>
      <c r="X129" s="246">
        <f>IF(AND(A129&gt;TimeofMaxCD,I129&gt;Traps),IF(AugerModel="Sinton",CalcImpliedV(SampleDoping,O129),CalcImpliedVRichter(O129,SampleDoping,V129)),"")</f>
        <v>0.52959211245413973</v>
      </c>
      <c r="Y129" s="253">
        <f t="shared" si="68"/>
        <v>0.11857344269930994</v>
      </c>
      <c r="Z129" s="200" t="str">
        <f t="shared" si="69"/>
        <v/>
      </c>
      <c r="AE129" s="251">
        <f t="shared" si="70"/>
        <v>1568.9612852410905</v>
      </c>
    </row>
    <row r="130" spans="1:31" x14ac:dyDescent="0.2">
      <c r="A130" s="244">
        <v>1.21499E-2</v>
      </c>
      <c r="B130" s="244">
        <v>1.5579700000000001E-3</v>
      </c>
      <c r="C130" s="245">
        <v>1.1328899999999999E-3</v>
      </c>
      <c r="D130" s="246">
        <f>IF(CouplingMode="AC",B130-(A$11-A$10)*SUM(B$9:B130)/0.21,B130)</f>
        <v>1.5579700000000001E-3</v>
      </c>
      <c r="E130" s="247">
        <f t="shared" si="58"/>
        <v>0.10764840823454842</v>
      </c>
      <c r="F130" s="247">
        <f t="shared" si="59"/>
        <v>0.10764840823454842</v>
      </c>
      <c r="G130" s="248">
        <f t="shared" si="60"/>
        <v>1.787420511260292E+16</v>
      </c>
      <c r="H130" s="249">
        <f t="shared" si="61"/>
        <v>4.6562790831898224E-5</v>
      </c>
      <c r="I130" s="248">
        <f>IF(MobilityModel=DK,CalcDeltaN(H130,SampleDoping,Thickness,AreaFrac),CalcDeltaNDL(H130,AreaFrac,Thickness,SampleType,SampleDoping,Temperature))</f>
        <v>9300794632949.9102</v>
      </c>
      <c r="J130" s="248" t="str">
        <f t="shared" si="62"/>
        <v/>
      </c>
      <c r="K130" s="248">
        <f t="shared" si="63"/>
        <v>9300794632949.9102</v>
      </c>
      <c r="L130" s="250">
        <f t="shared" si="71"/>
        <v>-1.702944928475517E+16</v>
      </c>
      <c r="M130" s="196" t="str">
        <f t="shared" si="64"/>
        <v/>
      </c>
      <c r="N130" s="196" t="str">
        <f t="shared" si="65"/>
        <v/>
      </c>
      <c r="O130" s="250">
        <f t="shared" si="66"/>
        <v>9300794632949.9102</v>
      </c>
      <c r="P130" s="248">
        <f t="shared" si="72"/>
        <v>1.0162240535509595E-5</v>
      </c>
      <c r="Q130" s="250" t="str">
        <f t="shared" si="73"/>
        <v/>
      </c>
      <c r="R130" s="251" t="str">
        <f t="shared" si="75"/>
        <v/>
      </c>
      <c r="S130" s="252">
        <f>IF(AND(E130&gt;0.95*BiasLight,E130&lt;1.05*BiasLight),"",IF(AugerModel="Sinton",calclifetimeauger(Auger_Coefficient,I130,P130),calclifetimerichter(SampleType,I130,SampleDoping,P130)))</f>
        <v>98403.496261130116</v>
      </c>
      <c r="T130" s="201" t="str">
        <f t="shared" si="74"/>
        <v/>
      </c>
      <c r="U130" s="252">
        <f t="shared" si="67"/>
        <v>17296.720899915097</v>
      </c>
      <c r="V130" s="251" t="str">
        <f>IF(AugerModel="Sinton","",IF(SampleType="n-type",n_intr_boltzmann(SampleDoping,0,K130,Temperature+273.15),n_intr_boltzmann(0,SampleDoping,K130,Temperature+273.15)))</f>
        <v/>
      </c>
      <c r="W130" s="251" t="str">
        <f t="shared" si="51"/>
        <v/>
      </c>
      <c r="X130" s="246">
        <f>IF(AND(A130&gt;TimeofMaxCD,I130&gt;Traps),IF(AugerModel="Sinton",CalcImpliedV(SampleDoping,O130),CalcImpliedVRichter(O130,SampleDoping,V130)),"")</f>
        <v>0.52286036017993143</v>
      </c>
      <c r="Y130" s="253">
        <f t="shared" si="68"/>
        <v>0.10968936852518051</v>
      </c>
      <c r="Z130" s="200" t="str">
        <f t="shared" si="69"/>
        <v/>
      </c>
      <c r="AE130" s="251">
        <f t="shared" si="70"/>
        <v>1570.3749521619609</v>
      </c>
    </row>
    <row r="131" spans="1:31" x14ac:dyDescent="0.2">
      <c r="A131" s="244">
        <v>1.2249899999999999E-2</v>
      </c>
      <c r="B131" s="244">
        <v>1.47496E-3</v>
      </c>
      <c r="C131" s="245">
        <v>1.0557400000000001E-3</v>
      </c>
      <c r="D131" s="246">
        <f>IF(CouplingMode="AC",B131-(A$11-A$10)*SUM(B$9:B131)/0.21,B131)</f>
        <v>1.47496E-3</v>
      </c>
      <c r="E131" s="247">
        <f t="shared" si="58"/>
        <v>0.10031753348475331</v>
      </c>
      <c r="F131" s="247">
        <f t="shared" si="59"/>
        <v>0.10031753348475331</v>
      </c>
      <c r="G131" s="248">
        <f t="shared" si="60"/>
        <v>1.6656968730926578E+16</v>
      </c>
      <c r="H131" s="249">
        <f t="shared" si="61"/>
        <v>4.4081830431192195E-5</v>
      </c>
      <c r="I131" s="248">
        <f>IF(MobilityModel=DK,CalcDeltaN(H131,SampleDoping,Thickness,AreaFrac),CalcDeltaNDL(H131,AreaFrac,Thickness,SampleType,SampleDoping,Temperature))</f>
        <v>8803679412687.748</v>
      </c>
      <c r="J131" s="248" t="str">
        <f t="shared" si="62"/>
        <v/>
      </c>
      <c r="K131" s="248">
        <f t="shared" si="63"/>
        <v>8803679412687.748</v>
      </c>
      <c r="L131" s="250">
        <f t="shared" si="71"/>
        <v>-1.172756438515058E+16</v>
      </c>
      <c r="M131" s="196" t="str">
        <f t="shared" si="64"/>
        <v/>
      </c>
      <c r="N131" s="196" t="str">
        <f t="shared" si="65"/>
        <v/>
      </c>
      <c r="O131" s="250">
        <f t="shared" si="66"/>
        <v>8803679412687.748</v>
      </c>
      <c r="P131" s="248">
        <f t="shared" si="72"/>
        <v>1.0372387115133804E-5</v>
      </c>
      <c r="Q131" s="250" t="str">
        <f t="shared" si="73"/>
        <v/>
      </c>
      <c r="R131" s="251" t="str">
        <f t="shared" si="75"/>
        <v/>
      </c>
      <c r="S131" s="252">
        <f>IF(AND(E131&gt;0.95*BiasLight,E131&lt;1.05*BiasLight),"",IF(AugerModel="Sinton",calclifetimeauger(Auger_Coefficient,I131,P131),calclifetimerichter(SampleType,I131,SampleDoping,P131)))</f>
        <v>96409.822306618589</v>
      </c>
      <c r="T131" s="201" t="str">
        <f t="shared" si="74"/>
        <v/>
      </c>
      <c r="U131" s="252">
        <f t="shared" si="67"/>
        <v>17299.438087808638</v>
      </c>
      <c r="V131" s="251" t="str">
        <f>IF(AugerModel="Sinton","",IF(SampleType="n-type",n_intr_boltzmann(SampleDoping,0,K131,Temperature+273.15),n_intr_boltzmann(0,SampleDoping,K131,Temperature+273.15)))</f>
        <v/>
      </c>
      <c r="W131" s="251" t="str">
        <f t="shared" si="51"/>
        <v/>
      </c>
      <c r="X131" s="246">
        <f>IF(AND(A131&gt;TimeofMaxCD,I131&gt;Traps),IF(AugerModel="Sinton",CalcImpliedV(SampleDoping,O131),CalcImpliedVRichter(O131,SampleDoping,V131)),"")</f>
        <v>0.52144688085878788</v>
      </c>
      <c r="Y131" s="253">
        <f t="shared" si="68"/>
        <v>0.10172306884973722</v>
      </c>
      <c r="Z131" s="200" t="str">
        <f t="shared" si="69"/>
        <v/>
      </c>
      <c r="AE131" s="251">
        <f t="shared" si="70"/>
        <v>1570.6514233432633</v>
      </c>
    </row>
    <row r="132" spans="1:31" x14ac:dyDescent="0.2">
      <c r="A132" s="244">
        <v>1.23499E-2</v>
      </c>
      <c r="B132" s="244">
        <v>1.17223E-3</v>
      </c>
      <c r="C132" s="245">
        <v>1.0020300000000001E-3</v>
      </c>
      <c r="D132" s="246">
        <f>IF(CouplingMode="AC",B132-(A$11-A$10)*SUM(B$9:B132)/0.21,B132)</f>
        <v>1.17223E-3</v>
      </c>
      <c r="E132" s="247">
        <f t="shared" si="58"/>
        <v>9.5213952372485033E-2</v>
      </c>
      <c r="F132" s="247">
        <f t="shared" si="59"/>
        <v>9.5213952372485033E-2</v>
      </c>
      <c r="G132" s="248">
        <f t="shared" si="60"/>
        <v>1.5809557634882032E+16</v>
      </c>
      <c r="H132" s="249">
        <f t="shared" si="61"/>
        <v>3.5034042905149679E-5</v>
      </c>
      <c r="I132" s="248">
        <f>IF(MobilityModel=DK,CalcDeltaN(H132,SampleDoping,Thickness,AreaFrac),CalcDeltaNDL(H132,AreaFrac,Thickness,SampleType,SampleDoping,Temperature))</f>
        <v>6991881279076.6855</v>
      </c>
      <c r="J132" s="248" t="str">
        <f t="shared" si="62"/>
        <v/>
      </c>
      <c r="K132" s="248">
        <f t="shared" si="63"/>
        <v>6991881279076.6855</v>
      </c>
      <c r="L132" s="250"/>
      <c r="M132" s="196" t="str">
        <f t="shared" si="64"/>
        <v/>
      </c>
      <c r="N132" s="196" t="str">
        <f t="shared" si="65"/>
        <v/>
      </c>
      <c r="O132" s="250">
        <f t="shared" si="66"/>
        <v>6991881279076.6855</v>
      </c>
      <c r="P132" s="248"/>
      <c r="Q132" s="250" t="str">
        <f t="shared" si="73"/>
        <v/>
      </c>
      <c r="R132" s="251" t="str">
        <f t="shared" si="75"/>
        <v/>
      </c>
      <c r="S132" s="201"/>
      <c r="T132" s="201" t="str">
        <f t="shared" si="74"/>
        <v/>
      </c>
      <c r="U132" s="252">
        <f t="shared" si="67"/>
        <v>17309.34121640645</v>
      </c>
      <c r="V132" s="251" t="str">
        <f>IF(AugerModel="Sinton","",IF(SampleType="n-type",n_intr_boltzmann(SampleDoping,0,K132,Temperature+273.15),n_intr_boltzmann(0,SampleDoping,K132,Temperature+273.15)))</f>
        <v/>
      </c>
      <c r="W132" s="251" t="str">
        <f t="shared" si="51"/>
        <v/>
      </c>
      <c r="X132" s="246">
        <f>IF(AND(A132&gt;TimeofMaxCD,I132&gt;Traps),IF(AugerModel="Sinton",CalcImpliedV(SampleDoping,O132),CalcImpliedVRichter(O132,SampleDoping,V132)),"")</f>
        <v>0.51551891223694457</v>
      </c>
      <c r="Y132" s="253" t="str">
        <f t="shared" si="68"/>
        <v/>
      </c>
      <c r="Z132" s="200" t="str">
        <f t="shared" si="69"/>
        <v/>
      </c>
      <c r="AE132" s="251">
        <f t="shared" si="70"/>
        <v>1571.739703287054</v>
      </c>
    </row>
    <row r="133" spans="1:31" x14ac:dyDescent="0.2">
      <c r="A133" s="244">
        <v>1.24499E-2</v>
      </c>
      <c r="B133" s="244">
        <v>1.2357100000000001E-3</v>
      </c>
      <c r="C133" s="245">
        <v>8.9461E-4</v>
      </c>
      <c r="D133" s="246">
        <f>IF(CouplingMode="AC",B133-(A$11-A$10)*SUM(B$9:B133)/0.21,B133)</f>
        <v>1.2357100000000001E-3</v>
      </c>
      <c r="E133" s="247">
        <f t="shared" si="58"/>
        <v>8.5006790147948499E-2</v>
      </c>
      <c r="F133" s="247">
        <f t="shared" si="59"/>
        <v>8.5006790147948499E-2</v>
      </c>
      <c r="G133" s="248">
        <f t="shared" si="60"/>
        <v>1.4114735442792946E+16</v>
      </c>
      <c r="H133" s="249">
        <f t="shared" si="61"/>
        <v>3.6931283062442005E-5</v>
      </c>
      <c r="I133" s="248">
        <f>IF(MobilityModel=DK,CalcDeltaN(H133,SampleDoping,Thickness,AreaFrac),CalcDeltaNDL(H133,AreaFrac,Thickness,SampleType,SampleDoping,Temperature))</f>
        <v>7371646287148.1045</v>
      </c>
      <c r="J133" s="248" t="str">
        <f t="shared" si="62"/>
        <v/>
      </c>
      <c r="K133" s="248">
        <f t="shared" si="63"/>
        <v>7371646287148.1045</v>
      </c>
      <c r="L133" s="250"/>
      <c r="M133" s="196" t="str">
        <f t="shared" si="64"/>
        <v/>
      </c>
      <c r="N133" s="196" t="str">
        <f t="shared" si="65"/>
        <v/>
      </c>
      <c r="O133" s="250">
        <f t="shared" si="66"/>
        <v>7371646287148.1045</v>
      </c>
      <c r="P133" s="248"/>
      <c r="Q133" s="250" t="str">
        <f t="shared" si="73"/>
        <v/>
      </c>
      <c r="R133" s="251" t="str">
        <f t="shared" si="75"/>
        <v/>
      </c>
      <c r="S133" s="201"/>
      <c r="T133" s="201" t="str">
        <f t="shared" si="74"/>
        <v/>
      </c>
      <c r="U133" s="252">
        <f t="shared" si="67"/>
        <v>17307.265454409509</v>
      </c>
      <c r="V133" s="251" t="str">
        <f>IF(AugerModel="Sinton","",IF(SampleType="n-type",n_intr_boltzmann(SampleDoping,0,K133,Temperature+273.15),n_intr_boltzmann(0,SampleDoping,K133,Temperature+273.15)))</f>
        <v/>
      </c>
      <c r="W133" s="251" t="str">
        <f t="shared" si="51"/>
        <v/>
      </c>
      <c r="X133" s="246">
        <f>IF(AND(A133&gt;TimeofMaxCD,I133&gt;Traps),IF(AugerModel="Sinton",CalcImpliedV(SampleDoping,O133),CalcImpliedVRichter(O133,SampleDoping,V133)),"")</f>
        <v>0.51687946924970862</v>
      </c>
      <c r="Y133" s="253" t="str">
        <f t="shared" si="68"/>
        <v/>
      </c>
      <c r="Z133" s="200" t="str">
        <f t="shared" si="69"/>
        <v/>
      </c>
      <c r="AE133" s="251">
        <f t="shared" si="70"/>
        <v>1571.4997621410498</v>
      </c>
    </row>
    <row r="134" spans="1:31" x14ac:dyDescent="0.2">
      <c r="A134" s="255" t="s">
        <v>57</v>
      </c>
      <c r="B134" s="256" t="s">
        <v>131</v>
      </c>
      <c r="C134" s="257"/>
      <c r="D134" s="201"/>
      <c r="E134" s="201"/>
      <c r="F134" s="201"/>
      <c r="G134" s="201"/>
      <c r="H134" s="201"/>
      <c r="I134" s="201"/>
      <c r="J134" s="201"/>
      <c r="K134" s="201"/>
      <c r="L134" s="201"/>
      <c r="M134" s="201"/>
      <c r="N134" s="200" t="str">
        <f t="shared" ref="N134" si="76">IF(M134="","",1/M134)</f>
        <v/>
      </c>
      <c r="O134" s="201"/>
      <c r="R134" s="201"/>
      <c r="S134" s="201"/>
      <c r="T134" s="201"/>
      <c r="U134" s="201"/>
      <c r="V134" s="251"/>
      <c r="W134" s="251" t="str">
        <f t="shared" si="51"/>
        <v/>
      </c>
      <c r="Z134" s="258"/>
      <c r="AE134" s="251"/>
    </row>
    <row r="135" spans="1:31" x14ac:dyDescent="0.2">
      <c r="A135" s="255"/>
      <c r="B135" s="259"/>
      <c r="C135" s="260"/>
      <c r="D135" s="201"/>
      <c r="E135" s="201"/>
      <c r="F135" s="201"/>
      <c r="G135" s="196"/>
      <c r="H135" s="196"/>
      <c r="I135" s="201"/>
      <c r="J135" s="201"/>
      <c r="K135" s="201"/>
      <c r="L135" s="201"/>
      <c r="M135" s="201"/>
      <c r="N135" s="201"/>
      <c r="O135" s="201"/>
      <c r="R135" s="201"/>
      <c r="S135" s="201"/>
      <c r="T135" s="201"/>
      <c r="U135" s="196"/>
      <c r="V135" s="201"/>
      <c r="W135" s="201"/>
      <c r="X135" s="201"/>
      <c r="Y135" s="201"/>
    </row>
    <row r="136" spans="1:31" x14ac:dyDescent="0.2">
      <c r="A136" s="255" t="s">
        <v>80</v>
      </c>
      <c r="B136" s="259" t="s">
        <v>132</v>
      </c>
      <c r="C136" s="261"/>
      <c r="D136" s="201"/>
      <c r="E136" s="201"/>
      <c r="F136" s="201"/>
      <c r="G136" s="201"/>
      <c r="H136" s="201"/>
      <c r="I136" s="201"/>
      <c r="J136" s="201"/>
      <c r="K136" s="201"/>
      <c r="L136" s="201"/>
      <c r="M136" s="201"/>
      <c r="N136" s="201"/>
      <c r="O136" s="201"/>
      <c r="R136" s="201"/>
      <c r="S136" s="201"/>
      <c r="T136" s="201"/>
      <c r="U136" s="196"/>
      <c r="V136" s="201"/>
      <c r="W136" s="201"/>
      <c r="X136" s="201"/>
      <c r="Y136" s="201"/>
    </row>
    <row r="137" spans="1:31" x14ac:dyDescent="0.2">
      <c r="A137" s="255"/>
      <c r="B137" s="259"/>
      <c r="C137" s="261"/>
      <c r="D137" s="201"/>
      <c r="E137" s="201"/>
      <c r="F137" s="201"/>
      <c r="G137" s="201"/>
      <c r="H137" s="201"/>
      <c r="I137" s="201"/>
      <c r="J137" s="201"/>
      <c r="K137" s="201"/>
      <c r="L137" s="201"/>
      <c r="M137" s="201"/>
      <c r="N137" s="201"/>
      <c r="O137" s="201"/>
      <c r="R137" s="201"/>
      <c r="S137" s="201"/>
      <c r="T137" s="201"/>
      <c r="U137" s="196"/>
      <c r="V137" s="201"/>
      <c r="W137" s="201"/>
      <c r="X137" s="201"/>
      <c r="Y137" s="201"/>
    </row>
    <row r="138" spans="1:31" x14ac:dyDescent="0.2">
      <c r="A138" s="255" t="s">
        <v>69</v>
      </c>
      <c r="B138" s="259">
        <v>5</v>
      </c>
      <c r="C138" s="261"/>
      <c r="D138" s="201"/>
      <c r="E138" s="201"/>
      <c r="F138" s="201"/>
      <c r="G138" s="201"/>
      <c r="H138" s="201"/>
      <c r="I138" s="201"/>
      <c r="J138" s="201"/>
      <c r="K138" s="201"/>
      <c r="L138" s="201"/>
      <c r="M138" s="201"/>
      <c r="N138" s="201"/>
      <c r="O138" s="201"/>
      <c r="R138" s="201"/>
      <c r="S138" s="201"/>
      <c r="T138" s="201"/>
      <c r="U138" s="196"/>
      <c r="V138" s="201"/>
      <c r="W138" s="201"/>
      <c r="X138" s="201"/>
      <c r="Y138" s="201"/>
    </row>
    <row r="139" spans="1:31" x14ac:dyDescent="0.2">
      <c r="A139" s="262"/>
      <c r="B139" s="259"/>
      <c r="C139" s="259"/>
      <c r="D139" s="263"/>
      <c r="E139" s="263"/>
      <c r="F139" s="263"/>
      <c r="G139" s="263"/>
      <c r="H139" s="263"/>
      <c r="I139" s="263"/>
      <c r="J139" s="263"/>
      <c r="K139" s="263"/>
      <c r="L139" s="263"/>
      <c r="M139" s="201"/>
      <c r="N139" s="263"/>
      <c r="O139" s="201"/>
      <c r="P139" s="263"/>
      <c r="Q139" s="263"/>
      <c r="R139" s="263"/>
      <c r="S139" s="263"/>
      <c r="T139" s="263"/>
      <c r="U139" s="263"/>
      <c r="V139" s="263" t="str">
        <f>IF(User!S6="","",User!S6)</f>
        <v/>
      </c>
      <c r="W139" s="201"/>
    </row>
    <row r="140" spans="1:31" x14ac:dyDescent="0.2">
      <c r="A140" s="255" t="s">
        <v>68</v>
      </c>
      <c r="B140" s="264">
        <v>5</v>
      </c>
      <c r="C140" s="265"/>
      <c r="D140" s="201"/>
      <c r="E140" s="201"/>
      <c r="F140" s="266"/>
      <c r="G140" s="266"/>
      <c r="H140" s="266"/>
      <c r="I140" s="266"/>
      <c r="J140" s="267"/>
      <c r="K140" s="266"/>
      <c r="L140" s="266"/>
      <c r="M140" s="201"/>
      <c r="N140" s="266"/>
      <c r="O140" s="201"/>
      <c r="P140" s="266"/>
      <c r="Q140" s="266"/>
      <c r="R140" s="266"/>
      <c r="S140" s="266"/>
      <c r="T140" s="201"/>
      <c r="U140" s="201"/>
      <c r="V140" s="201"/>
      <c r="W140" s="201"/>
    </row>
    <row r="141" spans="1:31" x14ac:dyDescent="0.2">
      <c r="A141" s="268"/>
      <c r="B141" s="259"/>
      <c r="C141" s="260"/>
      <c r="D141" s="269"/>
      <c r="E141" s="253"/>
      <c r="F141" s="269"/>
      <c r="G141" s="201"/>
      <c r="H141" s="201"/>
      <c r="I141" s="201"/>
      <c r="J141" s="270"/>
      <c r="K141" s="253"/>
      <c r="L141" s="270"/>
      <c r="N141" s="251"/>
      <c r="P141" s="201"/>
      <c r="Q141" s="253"/>
      <c r="R141" s="251"/>
    </row>
    <row r="142" spans="1:31" x14ac:dyDescent="0.2">
      <c r="A142" s="255" t="s">
        <v>67</v>
      </c>
      <c r="B142" s="259">
        <v>10</v>
      </c>
      <c r="C142" s="260"/>
      <c r="D142" s="201"/>
      <c r="E142" s="201"/>
      <c r="F142" s="201"/>
      <c r="G142" s="201"/>
      <c r="H142" s="201"/>
      <c r="I142" s="201"/>
      <c r="J142" s="201"/>
      <c r="K142" s="201"/>
      <c r="L142" s="201"/>
      <c r="P142" s="201"/>
      <c r="Q142" s="201"/>
    </row>
    <row r="143" spans="1:31" x14ac:dyDescent="0.2">
      <c r="A143" s="271"/>
      <c r="B143" s="272"/>
      <c r="C143" s="273"/>
    </row>
    <row r="144" spans="1:31" x14ac:dyDescent="0.2">
      <c r="A144" s="271" t="s">
        <v>66</v>
      </c>
      <c r="B144" s="272">
        <v>20</v>
      </c>
      <c r="C144" s="273"/>
    </row>
    <row r="145" spans="1:3" x14ac:dyDescent="0.2">
      <c r="A145" s="271"/>
      <c r="B145" s="272"/>
      <c r="C145" s="273"/>
    </row>
    <row r="146" spans="1:3" x14ac:dyDescent="0.2">
      <c r="A146" s="271" t="s">
        <v>73</v>
      </c>
      <c r="B146" s="272">
        <v>1</v>
      </c>
      <c r="C146" s="273"/>
    </row>
    <row r="147" spans="1:3" x14ac:dyDescent="0.2">
      <c r="A147" s="271"/>
      <c r="B147" s="272"/>
      <c r="C147" s="273"/>
    </row>
    <row r="148" spans="1:3" x14ac:dyDescent="0.2">
      <c r="A148" s="271" t="s">
        <v>72</v>
      </c>
      <c r="B148" s="272">
        <v>1</v>
      </c>
      <c r="C148" s="273"/>
    </row>
    <row r="149" spans="1:3" x14ac:dyDescent="0.2">
      <c r="A149" s="271"/>
      <c r="B149" s="272"/>
      <c r="C149" s="273"/>
    </row>
    <row r="150" spans="1:3" x14ac:dyDescent="0.2">
      <c r="A150" s="271" t="s">
        <v>71</v>
      </c>
      <c r="B150" s="274">
        <v>4.9987599999999999</v>
      </c>
      <c r="C150" s="273"/>
    </row>
    <row r="151" spans="1:3" x14ac:dyDescent="0.2">
      <c r="A151" s="271"/>
      <c r="B151" s="272"/>
      <c r="C151" s="273"/>
    </row>
    <row r="152" spans="1:3" x14ac:dyDescent="0.2">
      <c r="A152" s="271" t="s">
        <v>70</v>
      </c>
      <c r="B152" s="272">
        <v>0.63222699999999998</v>
      </c>
      <c r="C152" s="273"/>
    </row>
    <row r="153" spans="1:3" x14ac:dyDescent="0.2">
      <c r="A153" s="271"/>
      <c r="B153" s="272"/>
      <c r="C153" s="273"/>
    </row>
    <row r="154" spans="1:3" x14ac:dyDescent="0.2">
      <c r="A154" s="271" t="s">
        <v>63</v>
      </c>
      <c r="B154" s="272">
        <v>125</v>
      </c>
      <c r="C154" s="273"/>
    </row>
    <row r="155" spans="1:3" x14ac:dyDescent="0.2">
      <c r="A155" s="271"/>
      <c r="B155" s="272"/>
      <c r="C155" s="273"/>
    </row>
    <row r="156" spans="1:3" x14ac:dyDescent="0.2">
      <c r="A156" s="271" t="s">
        <v>61</v>
      </c>
      <c r="B156" s="272">
        <v>12500</v>
      </c>
      <c r="C156" s="273"/>
    </row>
    <row r="157" spans="1:3" x14ac:dyDescent="0.2">
      <c r="A157" s="271"/>
      <c r="B157" s="272"/>
      <c r="C157" s="273"/>
    </row>
    <row r="158" spans="1:3" x14ac:dyDescent="0.2">
      <c r="A158" s="271" t="s">
        <v>58</v>
      </c>
      <c r="B158" s="272">
        <v>0.2</v>
      </c>
      <c r="C158" s="273"/>
    </row>
    <row r="159" spans="1:3" x14ac:dyDescent="0.2">
      <c r="A159" s="271"/>
      <c r="B159" s="272"/>
      <c r="C159" s="273"/>
    </row>
    <row r="160" spans="1:3" x14ac:dyDescent="0.2">
      <c r="A160" s="271" t="s">
        <v>59</v>
      </c>
      <c r="B160" s="272">
        <v>0.02</v>
      </c>
      <c r="C160" s="273"/>
    </row>
    <row r="161" spans="1:3" x14ac:dyDescent="0.2">
      <c r="A161" s="271"/>
      <c r="B161" s="272"/>
      <c r="C161" s="273"/>
    </row>
    <row r="162" spans="1:3" x14ac:dyDescent="0.2">
      <c r="A162" s="271" t="s">
        <v>60</v>
      </c>
      <c r="B162" s="272">
        <v>1000</v>
      </c>
      <c r="C162" s="273"/>
    </row>
    <row r="163" spans="1:3" x14ac:dyDescent="0.2">
      <c r="A163" s="271"/>
      <c r="B163" s="272"/>
      <c r="C163" s="273"/>
    </row>
    <row r="164" spans="1:3" x14ac:dyDescent="0.2">
      <c r="A164" s="271" t="s">
        <v>62</v>
      </c>
      <c r="B164" s="272">
        <v>0.05</v>
      </c>
      <c r="C164" s="273"/>
    </row>
    <row r="165" spans="1:3" x14ac:dyDescent="0.2">
      <c r="A165" s="271"/>
      <c r="B165" s="272"/>
      <c r="C165" s="273"/>
    </row>
    <row r="166" spans="1:3" x14ac:dyDescent="0.2">
      <c r="A166" s="271" t="s">
        <v>64</v>
      </c>
      <c r="B166" s="272">
        <v>-0.44396999999999998</v>
      </c>
      <c r="C166" s="273"/>
    </row>
    <row r="167" spans="1:3" x14ac:dyDescent="0.2">
      <c r="A167" s="271"/>
      <c r="B167" s="272"/>
      <c r="C167" s="273"/>
    </row>
    <row r="168" spans="1:3" x14ac:dyDescent="0.2">
      <c r="A168" s="271" t="s">
        <v>76</v>
      </c>
      <c r="B168" s="272" t="s">
        <v>131</v>
      </c>
      <c r="C168" s="273"/>
    </row>
    <row r="169" spans="1:3" x14ac:dyDescent="0.2">
      <c r="A169" s="271"/>
      <c r="B169" s="272"/>
      <c r="C169" s="273"/>
    </row>
    <row r="170" spans="1:3" x14ac:dyDescent="0.2">
      <c r="A170" s="271" t="s">
        <v>74</v>
      </c>
      <c r="B170" s="272" t="s">
        <v>131</v>
      </c>
      <c r="C170" s="273"/>
    </row>
    <row r="171" spans="1:3" x14ac:dyDescent="0.2">
      <c r="A171" s="271"/>
      <c r="B171" s="272"/>
      <c r="C171" s="273"/>
    </row>
    <row r="172" spans="1:3" x14ac:dyDescent="0.2">
      <c r="A172" s="271" t="s">
        <v>75</v>
      </c>
      <c r="B172" s="272" t="s">
        <v>132</v>
      </c>
      <c r="C172" s="273"/>
    </row>
    <row r="173" spans="1:3" x14ac:dyDescent="0.2">
      <c r="A173" s="271"/>
      <c r="B173" s="272"/>
      <c r="C173" s="273"/>
    </row>
    <row r="174" spans="1:3" x14ac:dyDescent="0.2">
      <c r="A174" s="271" t="s">
        <v>79</v>
      </c>
      <c r="B174" s="272">
        <v>20000</v>
      </c>
      <c r="C174" s="273"/>
    </row>
    <row r="175" spans="1:3" x14ac:dyDescent="0.2">
      <c r="A175" s="271"/>
      <c r="B175" s="272"/>
      <c r="C175" s="273"/>
    </row>
    <row r="176" spans="1:3" x14ac:dyDescent="0.2">
      <c r="A176" s="271" t="s">
        <v>77</v>
      </c>
      <c r="B176" s="272">
        <v>6</v>
      </c>
      <c r="C176" s="273"/>
    </row>
    <row r="177" spans="1:3" x14ac:dyDescent="0.2">
      <c r="A177" s="271"/>
      <c r="B177" s="272"/>
      <c r="C177" s="273"/>
    </row>
    <row r="178" spans="1:3" x14ac:dyDescent="0.2">
      <c r="A178" s="271" t="s">
        <v>78</v>
      </c>
      <c r="B178" s="272">
        <v>1</v>
      </c>
      <c r="C178" s="273"/>
    </row>
    <row r="179" spans="1:3" x14ac:dyDescent="0.2">
      <c r="A179" s="271"/>
      <c r="B179" s="272"/>
      <c r="C179" s="273"/>
    </row>
    <row r="180" spans="1:3" x14ac:dyDescent="0.2">
      <c r="A180" s="271" t="s">
        <v>81</v>
      </c>
      <c r="B180" s="272">
        <v>20</v>
      </c>
      <c r="C180" s="273"/>
    </row>
    <row r="181" spans="1:3" x14ac:dyDescent="0.2">
      <c r="A181" s="271"/>
      <c r="B181" s="272"/>
      <c r="C181" s="273"/>
    </row>
    <row r="182" spans="1:3" x14ac:dyDescent="0.2">
      <c r="A182" s="271" t="s">
        <v>83</v>
      </c>
      <c r="B182" s="272">
        <v>1</v>
      </c>
      <c r="C182" s="273"/>
    </row>
    <row r="183" spans="1:3" x14ac:dyDescent="0.2">
      <c r="A183" s="271"/>
      <c r="B183" s="272"/>
      <c r="C183" s="273"/>
    </row>
    <row r="184" spans="1:3" x14ac:dyDescent="0.2">
      <c r="A184" s="271" t="s">
        <v>84</v>
      </c>
      <c r="B184" s="272" t="s">
        <v>132</v>
      </c>
      <c r="C184" s="273"/>
    </row>
    <row r="185" spans="1:3" x14ac:dyDescent="0.2">
      <c r="A185" s="271"/>
      <c r="B185" s="272"/>
      <c r="C185" s="273"/>
    </row>
    <row r="186" spans="1:3" x14ac:dyDescent="0.2">
      <c r="A186" s="271" t="s">
        <v>85</v>
      </c>
      <c r="B186" s="272"/>
      <c r="C186" s="273"/>
    </row>
    <row r="187" spans="1:3" x14ac:dyDescent="0.2">
      <c r="A187" s="271" t="s">
        <v>99</v>
      </c>
      <c r="B187" s="272">
        <v>1</v>
      </c>
      <c r="C187" s="273"/>
    </row>
    <row r="188" spans="1:3" x14ac:dyDescent="0.2">
      <c r="A188" s="271"/>
      <c r="B188" s="272"/>
      <c r="C188" s="273"/>
    </row>
    <row r="189" spans="1:3" x14ac:dyDescent="0.2">
      <c r="A189" s="271" t="s">
        <v>100</v>
      </c>
      <c r="B189" s="272">
        <v>1</v>
      </c>
      <c r="C189" s="273"/>
    </row>
    <row r="190" spans="1:3" x14ac:dyDescent="0.2">
      <c r="A190" s="271"/>
      <c r="B190" s="272"/>
      <c r="C190" s="273"/>
    </row>
    <row r="191" spans="1:3" x14ac:dyDescent="0.2">
      <c r="A191" s="271" t="s">
        <v>101</v>
      </c>
      <c r="B191" s="272">
        <v>1</v>
      </c>
      <c r="C191" s="273"/>
    </row>
    <row r="192" spans="1:3" x14ac:dyDescent="0.2">
      <c r="A192" s="271"/>
      <c r="B192" s="272"/>
      <c r="C192" s="273"/>
    </row>
    <row r="193" spans="1:19" x14ac:dyDescent="0.2">
      <c r="A193" s="271" t="s">
        <v>102</v>
      </c>
      <c r="B193" s="272">
        <v>1</v>
      </c>
      <c r="C193" s="273"/>
    </row>
    <row r="194" spans="1:19" x14ac:dyDescent="0.2">
      <c r="A194" s="271"/>
      <c r="B194" s="272"/>
      <c r="C194" s="273"/>
    </row>
    <row r="195" spans="1:19" x14ac:dyDescent="0.2">
      <c r="A195" s="271" t="s">
        <v>103</v>
      </c>
      <c r="B195" s="272">
        <v>1</v>
      </c>
      <c r="C195" s="273"/>
    </row>
    <row r="196" spans="1:19" x14ac:dyDescent="0.2">
      <c r="A196" s="271"/>
      <c r="B196" s="272"/>
      <c r="C196" s="273"/>
    </row>
    <row r="197" spans="1:19" x14ac:dyDescent="0.2">
      <c r="A197" s="271" t="s">
        <v>104</v>
      </c>
      <c r="B197" s="272">
        <v>1</v>
      </c>
      <c r="C197" s="273"/>
    </row>
    <row r="198" spans="1:19" x14ac:dyDescent="0.2">
      <c r="A198" s="271"/>
      <c r="B198" s="272"/>
      <c r="C198" s="273"/>
    </row>
    <row r="199" spans="1:19" x14ac:dyDescent="0.2">
      <c r="A199" s="271" t="s">
        <v>105</v>
      </c>
      <c r="B199" s="272">
        <v>1</v>
      </c>
      <c r="C199" s="273"/>
    </row>
    <row r="200" spans="1:19" x14ac:dyDescent="0.2">
      <c r="A200" s="271"/>
      <c r="B200" s="272"/>
      <c r="C200" s="272"/>
      <c r="D200" s="258"/>
      <c r="E200" s="258"/>
      <c r="F200" s="258"/>
      <c r="G200" s="258"/>
      <c r="H200" s="258"/>
      <c r="I200" s="258"/>
      <c r="J200" s="258"/>
      <c r="K200" s="258"/>
      <c r="L200" s="258"/>
      <c r="N200" s="258"/>
      <c r="P200" s="258"/>
      <c r="Q200" s="258"/>
      <c r="R200" s="258"/>
      <c r="S200" s="258"/>
    </row>
    <row r="201" spans="1:19" x14ac:dyDescent="0.2">
      <c r="A201" s="271" t="s">
        <v>106</v>
      </c>
      <c r="B201" s="272">
        <v>1</v>
      </c>
      <c r="C201" s="273"/>
    </row>
    <row r="202" spans="1:19" x14ac:dyDescent="0.2">
      <c r="A202" s="271"/>
      <c r="B202" s="272"/>
      <c r="C202" s="273"/>
    </row>
    <row r="203" spans="1:19" x14ac:dyDescent="0.2">
      <c r="A203" s="271" t="s">
        <v>107</v>
      </c>
      <c r="B203" s="272">
        <v>1</v>
      </c>
      <c r="C203" s="273"/>
    </row>
    <row r="204" spans="1:19" x14ac:dyDescent="0.2">
      <c r="A204" s="271"/>
      <c r="B204" s="272"/>
      <c r="C204" s="273"/>
    </row>
    <row r="205" spans="1:19" x14ac:dyDescent="0.2">
      <c r="A205" s="271" t="s">
        <v>108</v>
      </c>
      <c r="B205" s="272" t="s">
        <v>132</v>
      </c>
      <c r="C205" s="273"/>
    </row>
    <row r="206" spans="1:19" x14ac:dyDescent="0.2">
      <c r="A206" s="271"/>
      <c r="B206" s="272"/>
      <c r="C206" s="273"/>
    </row>
    <row r="207" spans="1:19" x14ac:dyDescent="0.2">
      <c r="A207" s="271" t="s">
        <v>109</v>
      </c>
      <c r="B207" s="272">
        <v>1</v>
      </c>
      <c r="C207" s="273"/>
    </row>
    <row r="208" spans="1:19" x14ac:dyDescent="0.2">
      <c r="A208" s="271"/>
      <c r="B208" s="272"/>
      <c r="C208" s="273"/>
    </row>
    <row r="209" spans="1:3" x14ac:dyDescent="0.2">
      <c r="A209" s="271" t="s">
        <v>110</v>
      </c>
      <c r="B209" s="272">
        <v>1</v>
      </c>
      <c r="C209" s="273"/>
    </row>
    <row r="210" spans="1:3" x14ac:dyDescent="0.2">
      <c r="A210" s="271"/>
      <c r="B210" s="272"/>
      <c r="C210" s="273"/>
    </row>
    <row r="211" spans="1:3" x14ac:dyDescent="0.2">
      <c r="A211" s="271" t="s">
        <v>91</v>
      </c>
      <c r="B211" s="272">
        <v>1</v>
      </c>
      <c r="C211" s="273"/>
    </row>
    <row r="212" spans="1:3" x14ac:dyDescent="0.2">
      <c r="A212" s="271"/>
      <c r="B212" s="272"/>
      <c r="C212" s="273"/>
    </row>
    <row r="213" spans="1:3" x14ac:dyDescent="0.2">
      <c r="A213" s="271" t="s">
        <v>92</v>
      </c>
      <c r="B213" s="272">
        <v>1</v>
      </c>
      <c r="C213" s="273"/>
    </row>
    <row r="214" spans="1:3" x14ac:dyDescent="0.2">
      <c r="A214" s="271"/>
      <c r="B214" s="272"/>
      <c r="C214" s="273"/>
    </row>
    <row r="215" spans="1:3" x14ac:dyDescent="0.2">
      <c r="A215" s="271" t="s">
        <v>93</v>
      </c>
      <c r="B215" s="272">
        <v>1</v>
      </c>
      <c r="C215" s="273"/>
    </row>
    <row r="216" spans="1:3" x14ac:dyDescent="0.2">
      <c r="A216" s="271"/>
      <c r="B216" s="272"/>
      <c r="C216" s="273"/>
    </row>
    <row r="217" spans="1:3" x14ac:dyDescent="0.2">
      <c r="A217" s="271" t="s">
        <v>94</v>
      </c>
      <c r="B217" s="272">
        <v>1</v>
      </c>
      <c r="C217" s="273"/>
    </row>
    <row r="218" spans="1:3" x14ac:dyDescent="0.2">
      <c r="A218" s="271"/>
      <c r="B218" s="272"/>
      <c r="C218" s="273"/>
    </row>
    <row r="219" spans="1:3" x14ac:dyDescent="0.2">
      <c r="A219" s="271" t="s">
        <v>95</v>
      </c>
      <c r="B219" s="272">
        <v>1</v>
      </c>
      <c r="C219" s="273"/>
    </row>
    <row r="220" spans="1:3" x14ac:dyDescent="0.2">
      <c r="A220" s="271"/>
      <c r="B220" s="272"/>
      <c r="C220" s="273"/>
    </row>
    <row r="221" spans="1:3" x14ac:dyDescent="0.2">
      <c r="A221" s="271" t="s">
        <v>98</v>
      </c>
      <c r="B221" s="272">
        <v>1</v>
      </c>
      <c r="C221" s="273"/>
    </row>
    <row r="222" spans="1:3" x14ac:dyDescent="0.2">
      <c r="A222" s="271"/>
      <c r="B222" s="272"/>
      <c r="C222" s="273"/>
    </row>
    <row r="223" spans="1:3" x14ac:dyDescent="0.2">
      <c r="A223" s="271" t="s">
        <v>96</v>
      </c>
      <c r="B223" s="272">
        <v>1</v>
      </c>
      <c r="C223" s="273"/>
    </row>
    <row r="224" spans="1:3" x14ac:dyDescent="0.2">
      <c r="A224" s="271"/>
      <c r="B224" s="272"/>
      <c r="C224" s="273"/>
    </row>
    <row r="225" spans="1:3" x14ac:dyDescent="0.2">
      <c r="A225" s="271" t="s">
        <v>97</v>
      </c>
      <c r="B225" s="272">
        <v>1</v>
      </c>
      <c r="C225" s="273"/>
    </row>
    <row r="226" spans="1:3" x14ac:dyDescent="0.2">
      <c r="A226" s="271"/>
      <c r="B226" s="272"/>
      <c r="C226" s="273"/>
    </row>
    <row r="227" spans="1:3" x14ac:dyDescent="0.2">
      <c r="A227" s="271" t="s">
        <v>111</v>
      </c>
      <c r="B227" s="272">
        <v>1</v>
      </c>
      <c r="C227" s="273"/>
    </row>
    <row r="228" spans="1:3" x14ac:dyDescent="0.2">
      <c r="A228" s="271"/>
      <c r="B228" s="272"/>
      <c r="C228" s="273"/>
    </row>
    <row r="229" spans="1:3" x14ac:dyDescent="0.2">
      <c r="A229" s="271" t="s">
        <v>112</v>
      </c>
      <c r="B229" s="272">
        <v>1</v>
      </c>
      <c r="C229" s="273"/>
    </row>
    <row r="230" spans="1:3" x14ac:dyDescent="0.2">
      <c r="A230" s="271"/>
      <c r="B230" s="272"/>
      <c r="C230" s="273"/>
    </row>
    <row r="231" spans="1:3" x14ac:dyDescent="0.2">
      <c r="A231" s="271" t="s">
        <v>149</v>
      </c>
      <c r="B231" s="272">
        <v>1</v>
      </c>
      <c r="C231" s="273"/>
    </row>
    <row r="232" spans="1:3" x14ac:dyDescent="0.2">
      <c r="A232" s="271"/>
      <c r="B232" s="272"/>
      <c r="C232" s="273"/>
    </row>
    <row r="233" spans="1:3" x14ac:dyDescent="0.2">
      <c r="A233" s="271" t="s">
        <v>150</v>
      </c>
      <c r="B233" s="272">
        <v>1</v>
      </c>
      <c r="C233" s="273"/>
    </row>
    <row r="234" spans="1:3" x14ac:dyDescent="0.2">
      <c r="A234" s="271"/>
      <c r="B234" s="272"/>
      <c r="C234" s="273"/>
    </row>
    <row r="235" spans="1:3" x14ac:dyDescent="0.2">
      <c r="A235" s="271" t="s">
        <v>134</v>
      </c>
      <c r="B235" s="272">
        <v>1</v>
      </c>
      <c r="C235" s="273"/>
    </row>
    <row r="236" spans="1:3" x14ac:dyDescent="0.2">
      <c r="A236" s="271"/>
      <c r="B236" s="272"/>
      <c r="C236" s="273"/>
    </row>
    <row r="237" spans="1:3" x14ac:dyDescent="0.2">
      <c r="A237" s="271" t="s">
        <v>133</v>
      </c>
      <c r="B237" s="272">
        <v>1</v>
      </c>
      <c r="C237" s="273"/>
    </row>
    <row r="238" spans="1:3" x14ac:dyDescent="0.2">
      <c r="A238" s="271"/>
      <c r="B238" s="272"/>
      <c r="C238" s="273"/>
    </row>
    <row r="239" spans="1:3" x14ac:dyDescent="0.2">
      <c r="A239" s="271" t="s">
        <v>135</v>
      </c>
      <c r="B239" s="272">
        <v>1</v>
      </c>
      <c r="C239" s="273"/>
    </row>
    <row r="240" spans="1:3" x14ac:dyDescent="0.2">
      <c r="A240" s="271"/>
      <c r="B240" s="272"/>
      <c r="C240" s="273"/>
    </row>
    <row r="241" spans="1:3" x14ac:dyDescent="0.2">
      <c r="A241" s="271" t="s">
        <v>136</v>
      </c>
      <c r="B241" s="272">
        <v>1</v>
      </c>
      <c r="C241" s="273"/>
    </row>
    <row r="242" spans="1:3" x14ac:dyDescent="0.2">
      <c r="A242" s="271"/>
      <c r="B242" s="272"/>
      <c r="C242" s="273"/>
    </row>
    <row r="243" spans="1:3" x14ac:dyDescent="0.2">
      <c r="A243" s="271" t="s">
        <v>137</v>
      </c>
      <c r="B243" s="272">
        <v>1</v>
      </c>
      <c r="C243" s="273"/>
    </row>
    <row r="244" spans="1:3" x14ac:dyDescent="0.2">
      <c r="A244" s="271"/>
      <c r="B244" s="272"/>
      <c r="C244" s="273"/>
    </row>
    <row r="245" spans="1:3" x14ac:dyDescent="0.2">
      <c r="A245" s="271" t="s">
        <v>138</v>
      </c>
      <c r="B245" s="272">
        <v>1</v>
      </c>
      <c r="C245" s="273"/>
    </row>
    <row r="246" spans="1:3" x14ac:dyDescent="0.2">
      <c r="A246" s="271"/>
      <c r="B246" s="272"/>
      <c r="C246" s="273"/>
    </row>
    <row r="247" spans="1:3" x14ac:dyDescent="0.2">
      <c r="A247" s="271" t="s">
        <v>139</v>
      </c>
      <c r="B247" s="272">
        <v>1</v>
      </c>
      <c r="C247" s="273"/>
    </row>
    <row r="248" spans="1:3" x14ac:dyDescent="0.2">
      <c r="A248" s="271"/>
      <c r="B248" s="272"/>
      <c r="C248" s="273"/>
    </row>
    <row r="249" spans="1:3" x14ac:dyDescent="0.2">
      <c r="A249" s="271" t="s">
        <v>140</v>
      </c>
      <c r="B249" s="272">
        <v>1</v>
      </c>
      <c r="C249" s="273"/>
    </row>
    <row r="250" spans="1:3" x14ac:dyDescent="0.2">
      <c r="A250" s="271"/>
      <c r="B250" s="272"/>
      <c r="C250" s="273"/>
    </row>
    <row r="251" spans="1:3" x14ac:dyDescent="0.2">
      <c r="A251" s="271" t="s">
        <v>141</v>
      </c>
      <c r="B251" s="272">
        <v>1</v>
      </c>
      <c r="C251" s="273"/>
    </row>
    <row r="252" spans="1:3" x14ac:dyDescent="0.2">
      <c r="A252" s="271"/>
      <c r="B252" s="272"/>
      <c r="C252" s="273"/>
    </row>
    <row r="253" spans="1:3" x14ac:dyDescent="0.2">
      <c r="A253" s="271" t="s">
        <v>142</v>
      </c>
      <c r="B253" s="272">
        <v>1</v>
      </c>
      <c r="C253" s="273"/>
    </row>
    <row r="254" spans="1:3" x14ac:dyDescent="0.2">
      <c r="A254" s="271"/>
      <c r="B254" s="272"/>
      <c r="C254" s="273"/>
    </row>
    <row r="255" spans="1:3" x14ac:dyDescent="0.2">
      <c r="A255" s="271" t="s">
        <v>143</v>
      </c>
      <c r="B255" s="272">
        <v>1</v>
      </c>
      <c r="C255" s="273"/>
    </row>
    <row r="256" spans="1:3" x14ac:dyDescent="0.2">
      <c r="A256" s="271"/>
      <c r="B256" s="272"/>
      <c r="C256" s="273"/>
    </row>
    <row r="257" spans="1:3" x14ac:dyDescent="0.2">
      <c r="A257" s="271" t="s">
        <v>144</v>
      </c>
      <c r="B257" s="272">
        <v>1</v>
      </c>
      <c r="C257" s="273"/>
    </row>
    <row r="258" spans="1:3" x14ac:dyDescent="0.2">
      <c r="A258" s="271"/>
      <c r="B258" s="272"/>
      <c r="C258" s="273"/>
    </row>
    <row r="259" spans="1:3" x14ac:dyDescent="0.2">
      <c r="A259" s="271" t="s">
        <v>145</v>
      </c>
      <c r="B259" s="272">
        <v>1</v>
      </c>
      <c r="C259" s="273"/>
    </row>
    <row r="260" spans="1:3" x14ac:dyDescent="0.2">
      <c r="A260" s="271"/>
      <c r="B260" s="272"/>
      <c r="C260" s="273"/>
    </row>
    <row r="261" spans="1:3" x14ac:dyDescent="0.2">
      <c r="A261" s="271" t="s">
        <v>146</v>
      </c>
      <c r="B261" s="272">
        <v>1</v>
      </c>
      <c r="C261" s="273"/>
    </row>
    <row r="262" spans="1:3" x14ac:dyDescent="0.2">
      <c r="A262" s="271"/>
      <c r="B262" s="272"/>
      <c r="C262" s="273"/>
    </row>
    <row r="263" spans="1:3" x14ac:dyDescent="0.2">
      <c r="A263" s="271" t="s">
        <v>147</v>
      </c>
      <c r="B263" s="272">
        <v>1</v>
      </c>
      <c r="C263" s="273"/>
    </row>
    <row r="264" spans="1:3" x14ac:dyDescent="0.2">
      <c r="A264" s="271"/>
      <c r="B264" s="272"/>
      <c r="C264" s="273"/>
    </row>
    <row r="265" spans="1:3" x14ac:dyDescent="0.2">
      <c r="A265" s="271" t="s">
        <v>148</v>
      </c>
      <c r="B265" s="272">
        <v>1</v>
      </c>
      <c r="C265" s="273"/>
    </row>
    <row r="266" spans="1:3" x14ac:dyDescent="0.2">
      <c r="A266" s="271"/>
      <c r="B266" s="272"/>
      <c r="C266" s="273"/>
    </row>
    <row r="267" spans="1:3" x14ac:dyDescent="0.2">
      <c r="A267" s="271" t="s">
        <v>113</v>
      </c>
      <c r="B267" s="272"/>
      <c r="C267" s="273"/>
    </row>
    <row r="268" spans="1:3" x14ac:dyDescent="0.2">
      <c r="A268" s="271" t="s">
        <v>114</v>
      </c>
      <c r="B268" s="272" t="s">
        <v>132</v>
      </c>
      <c r="C268" s="273"/>
    </row>
    <row r="269" spans="1:3" x14ac:dyDescent="0.2">
      <c r="A269" s="271"/>
      <c r="B269" s="272"/>
      <c r="C269" s="273"/>
    </row>
    <row r="270" spans="1:3" x14ac:dyDescent="0.2">
      <c r="A270" s="271" t="s">
        <v>115</v>
      </c>
      <c r="B270" s="272" t="s">
        <v>151</v>
      </c>
      <c r="C270" s="273"/>
    </row>
    <row r="271" spans="1:3" x14ac:dyDescent="0.2">
      <c r="A271" s="271"/>
      <c r="B271" s="272"/>
      <c r="C271" s="273"/>
    </row>
    <row r="272" spans="1:3" x14ac:dyDescent="0.2">
      <c r="A272" s="271" t="s">
        <v>116</v>
      </c>
      <c r="B272" s="272" t="s">
        <v>151</v>
      </c>
      <c r="C272" s="273"/>
    </row>
    <row r="273" spans="1:3" x14ac:dyDescent="0.2">
      <c r="A273" s="271"/>
      <c r="B273" s="272"/>
      <c r="C273" s="273"/>
    </row>
    <row r="274" spans="1:3" x14ac:dyDescent="0.2">
      <c r="A274" s="271" t="s">
        <v>117</v>
      </c>
      <c r="B274" s="272" t="s">
        <v>132</v>
      </c>
      <c r="C274" s="273"/>
    </row>
    <row r="275" spans="1:3" x14ac:dyDescent="0.2">
      <c r="A275" s="271"/>
      <c r="B275" s="272"/>
      <c r="C275" s="273"/>
    </row>
    <row r="276" spans="1:3" x14ac:dyDescent="0.2">
      <c r="A276" s="271" t="s">
        <v>118</v>
      </c>
      <c r="B276" s="272" t="s">
        <v>151</v>
      </c>
      <c r="C276" s="273"/>
    </row>
    <row r="277" spans="1:3" x14ac:dyDescent="0.2">
      <c r="A277" s="271"/>
      <c r="B277" s="272"/>
      <c r="C277" s="273"/>
    </row>
    <row r="278" spans="1:3" x14ac:dyDescent="0.2">
      <c r="A278" s="271" t="s">
        <v>119</v>
      </c>
      <c r="B278" s="272" t="s">
        <v>132</v>
      </c>
      <c r="C278" s="273"/>
    </row>
    <row r="279" spans="1:3" x14ac:dyDescent="0.2">
      <c r="A279" s="271"/>
      <c r="B279" s="272"/>
      <c r="C279" s="273"/>
    </row>
    <row r="280" spans="1:3" x14ac:dyDescent="0.2">
      <c r="A280" s="271" t="s">
        <v>120</v>
      </c>
      <c r="B280" s="272" t="s">
        <v>151</v>
      </c>
      <c r="C280" s="273"/>
    </row>
    <row r="281" spans="1:3" x14ac:dyDescent="0.2">
      <c r="A281" s="271"/>
      <c r="B281" s="272"/>
      <c r="C281" s="273"/>
    </row>
    <row r="282" spans="1:3" x14ac:dyDescent="0.2">
      <c r="A282" s="271" t="s">
        <v>121</v>
      </c>
      <c r="B282" s="272">
        <v>1</v>
      </c>
      <c r="C282" s="273"/>
    </row>
    <row r="283" spans="1:3" x14ac:dyDescent="0.2">
      <c r="A283" s="271"/>
      <c r="B283" s="272"/>
      <c r="C283" s="273"/>
    </row>
    <row r="284" spans="1:3" x14ac:dyDescent="0.2">
      <c r="A284" s="271" t="s">
        <v>122</v>
      </c>
      <c r="B284" s="272">
        <v>1</v>
      </c>
      <c r="C284" s="273"/>
    </row>
    <row r="285" spans="1:3" x14ac:dyDescent="0.2">
      <c r="A285" s="271"/>
      <c r="B285" s="272"/>
      <c r="C285" s="273"/>
    </row>
    <row r="286" spans="1:3" x14ac:dyDescent="0.2">
      <c r="A286" s="271" t="s">
        <v>123</v>
      </c>
      <c r="B286" s="272">
        <v>1</v>
      </c>
      <c r="C286" s="273"/>
    </row>
    <row r="287" spans="1:3" x14ac:dyDescent="0.2">
      <c r="A287" s="271"/>
      <c r="B287" s="272"/>
      <c r="C287" s="273"/>
    </row>
    <row r="288" spans="1:3" x14ac:dyDescent="0.2">
      <c r="A288" s="271" t="s">
        <v>124</v>
      </c>
      <c r="B288" s="272" t="s">
        <v>151</v>
      </c>
      <c r="C288" s="273"/>
    </row>
    <row r="289" spans="1:3" x14ac:dyDescent="0.2">
      <c r="A289" s="271"/>
      <c r="B289" s="272"/>
      <c r="C289" s="273"/>
    </row>
    <row r="290" spans="1:3" x14ac:dyDescent="0.2">
      <c r="A290" s="271" t="s">
        <v>125</v>
      </c>
      <c r="B290" s="272" t="s">
        <v>151</v>
      </c>
      <c r="C290" s="273"/>
    </row>
    <row r="291" spans="1:3" x14ac:dyDescent="0.2">
      <c r="A291" s="271"/>
      <c r="B291" s="272"/>
      <c r="C291" s="273"/>
    </row>
    <row r="292" spans="1:3" x14ac:dyDescent="0.2">
      <c r="A292" s="271" t="s">
        <v>126</v>
      </c>
      <c r="B292" s="272">
        <v>1</v>
      </c>
      <c r="C292" s="273"/>
    </row>
    <row r="293" spans="1:3" x14ac:dyDescent="0.2">
      <c r="A293" s="271"/>
      <c r="B293" s="272"/>
      <c r="C293" s="273"/>
    </row>
    <row r="294" spans="1:3" x14ac:dyDescent="0.2">
      <c r="A294" s="271" t="s">
        <v>127</v>
      </c>
      <c r="B294" s="272">
        <v>1</v>
      </c>
      <c r="C294" s="273"/>
    </row>
    <row r="295" spans="1:3" x14ac:dyDescent="0.2">
      <c r="A295" s="271"/>
      <c r="B295" s="272"/>
      <c r="C295" s="273"/>
    </row>
    <row r="296" spans="1:3" x14ac:dyDescent="0.2">
      <c r="A296" s="271" t="s">
        <v>128</v>
      </c>
      <c r="B296" s="272" t="s">
        <v>151</v>
      </c>
      <c r="C296" s="273"/>
    </row>
    <row r="297" spans="1:3" x14ac:dyDescent="0.2">
      <c r="A297" s="271"/>
      <c r="B297" s="272"/>
      <c r="C297" s="273"/>
    </row>
    <row r="298" spans="1:3" x14ac:dyDescent="0.2">
      <c r="A298" s="271" t="s">
        <v>152</v>
      </c>
      <c r="B298" s="272" t="s">
        <v>151</v>
      </c>
      <c r="C298" s="273"/>
    </row>
    <row r="299" spans="1:3" x14ac:dyDescent="0.2">
      <c r="A299" s="271"/>
      <c r="B299" s="272"/>
      <c r="C299" s="273"/>
    </row>
    <row r="300" spans="1:3" x14ac:dyDescent="0.2">
      <c r="A300" s="271" t="s">
        <v>129</v>
      </c>
      <c r="B300" s="272"/>
      <c r="C300" s="273"/>
    </row>
    <row r="301" spans="1:3" x14ac:dyDescent="0.2">
      <c r="A301" s="271" t="s">
        <v>86</v>
      </c>
      <c r="B301" s="272">
        <v>1</v>
      </c>
      <c r="C301" s="273"/>
    </row>
    <row r="302" spans="1:3" x14ac:dyDescent="0.2">
      <c r="A302" s="271"/>
      <c r="B302" s="272"/>
      <c r="C302" s="273"/>
    </row>
    <row r="303" spans="1:3" x14ac:dyDescent="0.2">
      <c r="A303" s="271" t="s">
        <v>87</v>
      </c>
      <c r="B303" s="272">
        <v>1</v>
      </c>
      <c r="C303" s="273"/>
    </row>
    <row r="304" spans="1:3" x14ac:dyDescent="0.2">
      <c r="A304" s="271"/>
      <c r="B304" s="272"/>
      <c r="C304" s="273"/>
    </row>
    <row r="305" spans="1:3" x14ac:dyDescent="0.2">
      <c r="A305" s="271" t="s">
        <v>88</v>
      </c>
      <c r="B305" s="272">
        <v>1</v>
      </c>
      <c r="C305" s="273"/>
    </row>
    <row r="306" spans="1:3" x14ac:dyDescent="0.2">
      <c r="A306" s="271"/>
      <c r="B306" s="272"/>
      <c r="C306" s="273"/>
    </row>
    <row r="307" spans="1:3" x14ac:dyDescent="0.2">
      <c r="A307" s="271" t="s">
        <v>89</v>
      </c>
      <c r="B307" s="272">
        <v>1</v>
      </c>
      <c r="C307" s="273"/>
    </row>
    <row r="308" spans="1:3" x14ac:dyDescent="0.2">
      <c r="A308" s="271"/>
      <c r="B308" s="272"/>
      <c r="C308" s="273"/>
    </row>
    <row r="309" spans="1:3" x14ac:dyDescent="0.2">
      <c r="A309" s="271" t="s">
        <v>90</v>
      </c>
      <c r="B309" s="272">
        <v>1</v>
      </c>
      <c r="C309" s="273"/>
    </row>
    <row r="310" spans="1:3" x14ac:dyDescent="0.2">
      <c r="A310" s="271"/>
      <c r="B310" s="272"/>
      <c r="C310" s="273"/>
    </row>
    <row r="311" spans="1:3" x14ac:dyDescent="0.2">
      <c r="A311" s="271" t="s">
        <v>153</v>
      </c>
      <c r="B311" s="272">
        <v>1</v>
      </c>
      <c r="C311" s="273"/>
    </row>
    <row r="312" spans="1:3" x14ac:dyDescent="0.2">
      <c r="A312" s="271"/>
      <c r="B312" s="272"/>
      <c r="C312" s="273"/>
    </row>
    <row r="313" spans="1:3" x14ac:dyDescent="0.2">
      <c r="A313" s="271" t="s">
        <v>154</v>
      </c>
      <c r="B313" s="272">
        <v>1</v>
      </c>
      <c r="C313" s="273"/>
    </row>
    <row r="314" spans="1:3" x14ac:dyDescent="0.2">
      <c r="A314" s="271"/>
      <c r="B314" s="272"/>
      <c r="C314" s="273"/>
    </row>
    <row r="315" spans="1:3" x14ac:dyDescent="0.2">
      <c r="A315" s="271" t="s">
        <v>251</v>
      </c>
      <c r="B315" s="272">
        <v>1</v>
      </c>
      <c r="C315" s="273"/>
    </row>
    <row r="316" spans="1:3" x14ac:dyDescent="0.2">
      <c r="A316" s="271"/>
      <c r="B316" s="272"/>
      <c r="C316" s="273"/>
    </row>
    <row r="317" spans="1:3" x14ac:dyDescent="0.2">
      <c r="A317" s="271"/>
      <c r="B317" s="272"/>
      <c r="C317" s="273"/>
    </row>
    <row r="318" spans="1:3" x14ac:dyDescent="0.2">
      <c r="A318" s="271"/>
      <c r="B318" s="272"/>
      <c r="C318" s="273"/>
    </row>
    <row r="319" spans="1:3" x14ac:dyDescent="0.2">
      <c r="A319" s="271" t="s">
        <v>88</v>
      </c>
      <c r="B319" s="272">
        <v>1</v>
      </c>
      <c r="C319" s="273"/>
    </row>
    <row r="320" spans="1:3" x14ac:dyDescent="0.2">
      <c r="A320" s="271"/>
      <c r="B320" s="272"/>
      <c r="C320" s="273"/>
    </row>
    <row r="321" spans="1:3" x14ac:dyDescent="0.2">
      <c r="A321" s="271" t="s">
        <v>89</v>
      </c>
      <c r="B321" s="272">
        <v>1</v>
      </c>
      <c r="C321" s="273"/>
    </row>
    <row r="322" spans="1:3" x14ac:dyDescent="0.2">
      <c r="A322" s="271"/>
      <c r="B322" s="272"/>
      <c r="C322" s="273"/>
    </row>
    <row r="323" spans="1:3" x14ac:dyDescent="0.2">
      <c r="A323" s="271" t="s">
        <v>90</v>
      </c>
      <c r="B323" s="272">
        <v>1</v>
      </c>
      <c r="C323" s="273"/>
    </row>
    <row r="324" spans="1:3" x14ac:dyDescent="0.2">
      <c r="A324" s="271"/>
      <c r="B324" s="272"/>
      <c r="C324" s="273"/>
    </row>
    <row r="325" spans="1:3" x14ac:dyDescent="0.2">
      <c r="A325" s="271" t="s">
        <v>153</v>
      </c>
      <c r="B325" s="272">
        <v>1</v>
      </c>
      <c r="C325" s="273"/>
    </row>
    <row r="326" spans="1:3" x14ac:dyDescent="0.2">
      <c r="A326" s="271"/>
      <c r="B326" s="272"/>
      <c r="C326" s="273"/>
    </row>
    <row r="327" spans="1:3" x14ac:dyDescent="0.2">
      <c r="A327" s="271" t="s">
        <v>154</v>
      </c>
      <c r="B327" s="272">
        <v>1</v>
      </c>
      <c r="C327" s="273"/>
    </row>
    <row r="508" spans="19:19" x14ac:dyDescent="0.2">
      <c r="S508" s="251"/>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topLeftCell="A7" workbookViewId="0">
      <selection activeCell="C18" sqref="C18"/>
    </sheetView>
  </sheetViews>
  <sheetFormatPr defaultRowHeight="15" customHeight="1" x14ac:dyDescent="0.2"/>
  <cols>
    <col min="1" max="1" width="9.140625" style="107"/>
    <col min="2" max="2" width="27.140625" style="107" customWidth="1"/>
    <col min="3" max="3" width="13.5703125" style="107" customWidth="1"/>
    <col min="4" max="6" width="9.140625" style="107"/>
    <col min="7" max="7" width="11.7109375" style="107" customWidth="1"/>
    <col min="8" max="8" width="9.85546875" style="107" customWidth="1"/>
    <col min="9" max="14" width="9.140625" style="107"/>
    <col min="15" max="15" width="20" style="107" customWidth="1"/>
    <col min="16" max="16" width="9.140625" style="107"/>
    <col min="17" max="17" width="17.28515625" style="107" bestFit="1" customWidth="1"/>
    <col min="18" max="16384" width="9.140625" style="107"/>
  </cols>
  <sheetData>
    <row r="2" spans="2:16" ht="15" customHeight="1" x14ac:dyDescent="0.25">
      <c r="B2" s="106" t="s">
        <v>163</v>
      </c>
      <c r="E2" s="108" t="s">
        <v>162</v>
      </c>
    </row>
    <row r="3" spans="2:16" ht="15" customHeight="1" x14ac:dyDescent="0.2">
      <c r="B3" s="109" t="s">
        <v>274</v>
      </c>
      <c r="C3" s="110" t="s">
        <v>353</v>
      </c>
      <c r="E3" s="107" t="s">
        <v>171</v>
      </c>
      <c r="O3" s="107" t="s">
        <v>201</v>
      </c>
    </row>
    <row r="4" spans="2:16" ht="15" customHeight="1" x14ac:dyDescent="0.2">
      <c r="B4" s="109" t="s">
        <v>164</v>
      </c>
      <c r="C4" s="110" t="s">
        <v>354</v>
      </c>
      <c r="E4" s="111" t="b">
        <v>1</v>
      </c>
      <c r="F4" s="293" t="s">
        <v>282</v>
      </c>
      <c r="G4" s="293"/>
      <c r="H4" s="293"/>
      <c r="I4" s="293"/>
      <c r="J4" s="293"/>
      <c r="K4" s="293"/>
      <c r="L4" s="293"/>
      <c r="M4" s="293"/>
      <c r="O4" s="112">
        <v>-0.72663</v>
      </c>
      <c r="P4" s="113"/>
    </row>
    <row r="5" spans="2:16" ht="15" customHeight="1" x14ac:dyDescent="0.2">
      <c r="B5" s="114" t="s">
        <v>24</v>
      </c>
      <c r="C5" s="115">
        <v>1.0523982830583211E-2</v>
      </c>
      <c r="E5" s="111" t="b">
        <v>0</v>
      </c>
      <c r="F5" s="293" t="s">
        <v>283</v>
      </c>
      <c r="G5" s="293"/>
      <c r="H5" s="293"/>
      <c r="I5" s="293"/>
      <c r="J5" s="293"/>
      <c r="K5" s="293"/>
      <c r="L5" s="293"/>
      <c r="M5" s="293"/>
      <c r="O5" s="112">
        <v>-0.72657300000000002</v>
      </c>
      <c r="P5" s="113"/>
    </row>
    <row r="6" spans="2:16" ht="15" customHeight="1" x14ac:dyDescent="0.2">
      <c r="B6" s="114" t="s">
        <v>165</v>
      </c>
      <c r="C6" s="116">
        <v>4.4355188011347291E-4</v>
      </c>
      <c r="E6" s="111" t="b">
        <v>0</v>
      </c>
      <c r="F6" s="293" t="s">
        <v>284</v>
      </c>
      <c r="G6" s="293"/>
      <c r="H6" s="293"/>
      <c r="I6" s="293"/>
      <c r="J6" s="293"/>
      <c r="K6" s="293"/>
      <c r="L6" s="293"/>
      <c r="M6" s="293"/>
      <c r="O6" s="112">
        <v>-0.726688</v>
      </c>
      <c r="P6" s="113"/>
    </row>
    <row r="7" spans="2:16" ht="15" customHeight="1" x14ac:dyDescent="0.2">
      <c r="B7" s="117" t="s">
        <v>166</v>
      </c>
      <c r="C7" s="116">
        <v>2.9576185310453092E-2</v>
      </c>
      <c r="E7" s="118" t="b">
        <v>1</v>
      </c>
      <c r="F7" s="294" t="s">
        <v>244</v>
      </c>
      <c r="G7" s="294"/>
      <c r="H7" s="294"/>
      <c r="I7" s="294"/>
      <c r="J7" s="294"/>
      <c r="K7" s="294"/>
      <c r="L7" s="294"/>
      <c r="M7" s="294"/>
      <c r="O7" s="112">
        <v>-0.72678100000000001</v>
      </c>
      <c r="P7" s="113"/>
    </row>
    <row r="8" spans="2:16" ht="15" customHeight="1" x14ac:dyDescent="0.2">
      <c r="B8" s="109" t="s">
        <v>273</v>
      </c>
      <c r="C8" s="116">
        <v>6.6726899710747412E-2</v>
      </c>
      <c r="E8" s="119"/>
      <c r="F8" s="295"/>
      <c r="G8" s="295"/>
      <c r="H8" s="295"/>
      <c r="I8" s="295"/>
      <c r="J8" s="295"/>
      <c r="K8" s="295"/>
      <c r="L8" s="295"/>
      <c r="M8" s="295"/>
      <c r="O8" s="112">
        <v>-0.72669300000000003</v>
      </c>
      <c r="P8" s="113"/>
    </row>
    <row r="9" spans="2:16" ht="15" customHeight="1" x14ac:dyDescent="0.2">
      <c r="B9" s="109" t="s">
        <v>167</v>
      </c>
      <c r="C9" s="120">
        <f>Air_Voltage-C8</f>
        <v>-0.79337409971074746</v>
      </c>
      <c r="D9" s="121"/>
      <c r="E9" s="122"/>
      <c r="O9" s="112">
        <v>-0.72657099999999997</v>
      </c>
      <c r="P9" s="113"/>
    </row>
    <row r="10" spans="2:16" ht="15" customHeight="1" x14ac:dyDescent="0.25">
      <c r="B10" s="109" t="s">
        <v>200</v>
      </c>
      <c r="C10" s="120">
        <f>AVERAGE(O4:O13)</f>
        <v>-0.72664720000000005</v>
      </c>
      <c r="E10" s="106" t="s">
        <v>199</v>
      </c>
      <c r="O10" s="112">
        <v>-0.72658</v>
      </c>
      <c r="P10" s="113"/>
    </row>
    <row r="11" spans="2:16" ht="15" customHeight="1" x14ac:dyDescent="0.2">
      <c r="E11" s="111" t="b">
        <v>1</v>
      </c>
      <c r="F11" s="299" t="s">
        <v>263</v>
      </c>
      <c r="G11" s="299"/>
      <c r="H11" s="299"/>
      <c r="I11" s="299"/>
      <c r="J11" s="299"/>
      <c r="K11" s="299"/>
      <c r="L11" s="299"/>
      <c r="M11" s="299"/>
      <c r="O11" s="112">
        <v>-0.72672800000000004</v>
      </c>
      <c r="P11" s="113"/>
    </row>
    <row r="12" spans="2:16" ht="15" customHeight="1" x14ac:dyDescent="0.25">
      <c r="B12" s="106" t="s">
        <v>293</v>
      </c>
      <c r="E12" s="122" t="str">
        <f>IF(OR(E7,E11),"","Warning no data will be saved after a measurement!!! Neither to summary or as a full sheet")</f>
        <v/>
      </c>
      <c r="O12" s="112">
        <v>-0.72663999999999995</v>
      </c>
      <c r="P12" s="113"/>
    </row>
    <row r="13" spans="2:16" ht="15" customHeight="1" x14ac:dyDescent="0.25">
      <c r="B13" s="114" t="s">
        <v>169</v>
      </c>
      <c r="C13" s="115">
        <v>1.6600000000000001E-30</v>
      </c>
      <c r="E13" s="123" t="s">
        <v>247</v>
      </c>
      <c r="F13" s="124"/>
      <c r="G13" s="124"/>
      <c r="H13" s="124"/>
      <c r="I13" s="124"/>
      <c r="J13" s="124"/>
      <c r="K13" s="124"/>
      <c r="L13" s="124"/>
      <c r="M13" s="124"/>
      <c r="O13" s="112">
        <v>-0.72658800000000001</v>
      </c>
      <c r="P13" s="113"/>
    </row>
    <row r="14" spans="2:16" ht="15" customHeight="1" x14ac:dyDescent="0.2">
      <c r="B14" s="125" t="s">
        <v>172</v>
      </c>
      <c r="C14" s="110" t="s">
        <v>49</v>
      </c>
      <c r="E14" s="126" t="b">
        <v>1</v>
      </c>
      <c r="F14" s="303" t="s">
        <v>246</v>
      </c>
      <c r="G14" s="303"/>
      <c r="H14" s="303"/>
      <c r="I14" s="303"/>
      <c r="J14" s="303"/>
      <c r="K14" s="303"/>
      <c r="L14" s="303"/>
      <c r="M14" s="303"/>
      <c r="O14" s="107" t="s">
        <v>270</v>
      </c>
    </row>
    <row r="15" spans="2:16" ht="15" customHeight="1" x14ac:dyDescent="0.2">
      <c r="B15" s="114" t="s">
        <v>168</v>
      </c>
      <c r="C15" s="110">
        <v>1</v>
      </c>
      <c r="E15" s="127"/>
      <c r="F15" s="128"/>
      <c r="G15" s="128"/>
      <c r="H15" s="128"/>
      <c r="I15" s="128"/>
      <c r="J15" s="128"/>
      <c r="K15" s="128"/>
      <c r="L15" s="128"/>
      <c r="M15" s="128"/>
      <c r="O15" s="129">
        <f>STDEV(O4:O13)</f>
        <v>7.2933455210145553E-5</v>
      </c>
    </row>
    <row r="16" spans="2:16" ht="15" customHeight="1" x14ac:dyDescent="0.25">
      <c r="B16" s="114" t="s">
        <v>2</v>
      </c>
      <c r="C16" s="130">
        <v>0.3</v>
      </c>
      <c r="E16" s="123" t="s">
        <v>248</v>
      </c>
      <c r="F16" s="131"/>
      <c r="G16" s="131"/>
      <c r="H16" s="131"/>
      <c r="I16" s="131"/>
      <c r="J16" s="131"/>
      <c r="K16" s="131"/>
      <c r="L16" s="131"/>
      <c r="M16" s="131"/>
      <c r="O16" s="107" t="s">
        <v>265</v>
      </c>
    </row>
    <row r="17" spans="2:15" ht="15" customHeight="1" x14ac:dyDescent="0.2">
      <c r="B17" s="114" t="s">
        <v>288</v>
      </c>
      <c r="C17" s="114" t="s">
        <v>289</v>
      </c>
      <c r="E17" s="111" t="b">
        <v>1</v>
      </c>
      <c r="F17" s="299" t="s">
        <v>249</v>
      </c>
      <c r="G17" s="299"/>
      <c r="H17" s="299"/>
      <c r="I17" s="299"/>
      <c r="J17" s="299"/>
      <c r="K17" s="299"/>
      <c r="L17" s="299"/>
      <c r="M17" s="299"/>
      <c r="O17" s="132">
        <v>42055.719224537039</v>
      </c>
    </row>
    <row r="18" spans="2:15" ht="27.75" customHeight="1" x14ac:dyDescent="0.2">
      <c r="B18" s="114" t="s">
        <v>317</v>
      </c>
      <c r="C18" s="133" t="s">
        <v>319</v>
      </c>
      <c r="O18" s="134"/>
    </row>
    <row r="19" spans="2:15" ht="15" customHeight="1" x14ac:dyDescent="0.25">
      <c r="E19" s="106" t="s">
        <v>242</v>
      </c>
    </row>
    <row r="20" spans="2:15" ht="15" customHeight="1" x14ac:dyDescent="0.2">
      <c r="B20" s="135"/>
      <c r="E20" s="109">
        <v>1</v>
      </c>
      <c r="F20" s="301" t="s">
        <v>241</v>
      </c>
      <c r="G20" s="301"/>
      <c r="H20" s="301"/>
      <c r="I20" s="301"/>
      <c r="J20" s="301"/>
      <c r="K20" s="301"/>
      <c r="L20" s="301"/>
      <c r="M20" s="302"/>
    </row>
    <row r="21" spans="2:15" ht="15" customHeight="1" x14ac:dyDescent="0.2">
      <c r="E21" s="109">
        <f>6</f>
        <v>6</v>
      </c>
      <c r="F21" s="299" t="s">
        <v>298</v>
      </c>
      <c r="G21" s="299"/>
      <c r="H21" s="299"/>
      <c r="I21" s="299"/>
      <c r="J21" s="299"/>
      <c r="K21" s="299"/>
      <c r="L21" s="299"/>
      <c r="M21" s="299"/>
    </row>
    <row r="22" spans="2:15" ht="15" customHeight="1" x14ac:dyDescent="0.25">
      <c r="B22" s="106" t="s">
        <v>193</v>
      </c>
      <c r="E22" s="136">
        <v>0.3</v>
      </c>
      <c r="F22" s="294" t="s">
        <v>297</v>
      </c>
      <c r="G22" s="294"/>
      <c r="H22" s="294"/>
      <c r="I22" s="294"/>
      <c r="J22" s="294"/>
      <c r="K22" s="294"/>
      <c r="L22" s="294"/>
      <c r="M22" s="294"/>
    </row>
    <row r="23" spans="2:15" ht="15" customHeight="1" x14ac:dyDescent="0.2">
      <c r="B23" s="137" t="s">
        <v>194</v>
      </c>
      <c r="C23" s="109" t="b">
        <v>0</v>
      </c>
      <c r="E23" s="109">
        <v>5</v>
      </c>
      <c r="F23" s="299" t="s">
        <v>333</v>
      </c>
      <c r="G23" s="299"/>
      <c r="H23" s="299"/>
      <c r="I23" s="299"/>
      <c r="J23" s="299"/>
      <c r="K23" s="299"/>
      <c r="L23" s="299"/>
      <c r="M23" s="299"/>
    </row>
    <row r="24" spans="2:15" ht="15" customHeight="1" x14ac:dyDescent="0.2">
      <c r="B24" s="137" t="s">
        <v>195</v>
      </c>
      <c r="C24" s="109">
        <v>1</v>
      </c>
    </row>
    <row r="25" spans="2:15" ht="15" customHeight="1" x14ac:dyDescent="0.25">
      <c r="B25" s="137" t="s">
        <v>196</v>
      </c>
      <c r="C25" s="109">
        <v>20</v>
      </c>
      <c r="E25" s="106" t="s">
        <v>243</v>
      </c>
      <c r="K25" s="122"/>
    </row>
    <row r="26" spans="2:15" ht="15" customHeight="1" x14ac:dyDescent="0.2">
      <c r="B26" s="137" t="s">
        <v>197</v>
      </c>
      <c r="C26" s="109" t="str">
        <f>PassFail(MeasuredLifetimeAuger,MinTauLimit,MaxTauLimit,TF_PassFail)</f>
        <v/>
      </c>
      <c r="E26" s="109">
        <v>1</v>
      </c>
      <c r="F26" s="300" t="s">
        <v>229</v>
      </c>
      <c r="G26" s="301"/>
      <c r="H26" s="301"/>
      <c r="I26" s="301"/>
      <c r="J26" s="301"/>
      <c r="K26" s="301"/>
      <c r="L26" s="301"/>
      <c r="M26" s="302"/>
    </row>
    <row r="28" spans="2:15" ht="15" customHeight="1" x14ac:dyDescent="0.25">
      <c r="E28" s="106" t="s">
        <v>264</v>
      </c>
      <c r="K28" s="122"/>
    </row>
    <row r="29" spans="2:15" ht="15" customHeight="1" x14ac:dyDescent="0.2">
      <c r="C29" s="138"/>
      <c r="E29" s="110">
        <v>12500</v>
      </c>
      <c r="F29" s="296" t="s">
        <v>347</v>
      </c>
      <c r="G29" s="297"/>
      <c r="H29" s="297"/>
      <c r="I29" s="297"/>
      <c r="J29" s="297"/>
      <c r="K29" s="297"/>
      <c r="L29" s="297"/>
      <c r="M29" s="298"/>
    </row>
    <row r="30" spans="2:15" ht="15" customHeight="1" x14ac:dyDescent="0.2">
      <c r="C30" s="138"/>
      <c r="E30" s="110">
        <v>100000</v>
      </c>
      <c r="F30" s="296" t="s">
        <v>330</v>
      </c>
      <c r="G30" s="297"/>
      <c r="H30" s="297"/>
      <c r="I30" s="297"/>
      <c r="J30" s="297"/>
      <c r="K30" s="297"/>
      <c r="L30" s="297"/>
      <c r="M30" s="298"/>
    </row>
    <row r="31" spans="2:15" ht="15" customHeight="1" x14ac:dyDescent="0.2">
      <c r="C31" s="138"/>
      <c r="E31" s="110">
        <v>3</v>
      </c>
      <c r="F31" s="139" t="s">
        <v>331</v>
      </c>
      <c r="G31" s="140"/>
      <c r="H31" s="140"/>
      <c r="I31" s="140"/>
      <c r="J31" s="140"/>
      <c r="K31" s="140"/>
      <c r="L31" s="140"/>
      <c r="M31" s="141"/>
    </row>
    <row r="32" spans="2:15" ht="15" customHeight="1" x14ac:dyDescent="0.2">
      <c r="C32" s="138"/>
      <c r="K32" s="122"/>
    </row>
    <row r="33" spans="3:11" ht="15" customHeight="1" x14ac:dyDescent="0.2">
      <c r="C33" s="122"/>
      <c r="K33" s="122"/>
    </row>
    <row r="34" spans="3:11" ht="15" customHeight="1" x14ac:dyDescent="0.2">
      <c r="K34" s="122"/>
    </row>
    <row r="35" spans="3:11" ht="15" customHeight="1" x14ac:dyDescent="0.2">
      <c r="K35" s="122"/>
    </row>
    <row r="37" spans="3:11" ht="15" customHeight="1" x14ac:dyDescent="0.2">
      <c r="F37" s="142"/>
    </row>
  </sheetData>
  <sheetProtection sheet="1" objects="1" scenarios="1" selectLockedCells="1"/>
  <mergeCells count="15">
    <mergeCell ref="F29:M29"/>
    <mergeCell ref="F30:M30"/>
    <mergeCell ref="F17:M17"/>
    <mergeCell ref="F26:M26"/>
    <mergeCell ref="F11:M11"/>
    <mergeCell ref="F14:M14"/>
    <mergeCell ref="F20:M20"/>
    <mergeCell ref="F21:M21"/>
    <mergeCell ref="F22:M22"/>
    <mergeCell ref="F23:M23"/>
    <mergeCell ref="F4:M4"/>
    <mergeCell ref="F5:M5"/>
    <mergeCell ref="F6:M6"/>
    <mergeCell ref="F7:M7"/>
    <mergeCell ref="F8:M8"/>
  </mergeCells>
  <dataValidations count="4">
    <dataValidation type="list" allowBlank="1" showInputMessage="1" showErrorMessage="1" sqref="C23 E17 E11 E4:E7 E14">
      <formula1>TF_List</formula1>
    </dataValidation>
    <dataValidation type="list" allowBlank="1" showInputMessage="1" showErrorMessage="1" sqref="E26">
      <formula1>VRangeList</formula1>
    </dataValidation>
    <dataValidation type="list" allowBlank="1" showInputMessage="1" showErrorMessage="1" sqref="C17">
      <formula1>AugerModelList</formula1>
    </dataValidation>
    <dataValidation type="list" allowBlank="1" showInputMessage="1" showErrorMessage="1" sqref="C18">
      <formula1>MobilityModelList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4"/>
  <sheetViews>
    <sheetView workbookViewId="0"/>
  </sheetViews>
  <sheetFormatPr defaultRowHeight="12.75" x14ac:dyDescent="0.2"/>
  <cols>
    <col min="1" max="1" width="9.28515625" style="161" bestFit="1" customWidth="1"/>
    <col min="2" max="2" width="12.140625" style="161" customWidth="1"/>
    <col min="3" max="3" width="12" style="161" customWidth="1"/>
    <col min="4" max="4" width="10.85546875" style="161" customWidth="1"/>
    <col min="5" max="5" width="11.42578125" style="161" bestFit="1" customWidth="1"/>
    <col min="6" max="6" width="11.7109375" style="161" customWidth="1"/>
    <col min="7" max="7" width="13.42578125" style="161" customWidth="1"/>
    <col min="8" max="8" width="9.28515625" style="161" bestFit="1" customWidth="1"/>
    <col min="9" max="9" width="11.140625" style="161" customWidth="1"/>
    <col min="10" max="12" width="9.140625" style="161"/>
    <col min="13" max="13" width="10.42578125" style="161" customWidth="1"/>
    <col min="14" max="14" width="11.140625" style="164" customWidth="1"/>
    <col min="15" max="16" width="9.140625" style="161"/>
    <col min="17" max="17" width="9.28515625" style="161" bestFit="1" customWidth="1"/>
    <col min="18" max="18" width="12.28515625" style="161" customWidth="1"/>
    <col min="19" max="19" width="9.28515625" style="161" bestFit="1" customWidth="1"/>
    <col min="20" max="20" width="10.5703125" style="161" customWidth="1"/>
    <col min="21" max="21" width="11.5703125" style="161" customWidth="1"/>
    <col min="22" max="22" width="12" style="161" customWidth="1"/>
    <col min="23" max="23" width="13.140625" style="161" customWidth="1"/>
    <col min="24" max="24" width="11.28515625" style="161" customWidth="1"/>
    <col min="25" max="25" width="12.140625" style="161" customWidth="1"/>
    <col min="26" max="26" width="13.140625" style="161" customWidth="1"/>
    <col min="27" max="16384" width="9.140625" style="161"/>
  </cols>
  <sheetData>
    <row r="1" spans="1:26" s="150" customFormat="1" ht="27" customHeight="1" x14ac:dyDescent="0.2">
      <c r="A1" s="143" t="s">
        <v>14</v>
      </c>
      <c r="B1" s="144" t="s">
        <v>204</v>
      </c>
      <c r="C1" s="145" t="s">
        <v>205</v>
      </c>
      <c r="D1" s="145" t="s">
        <v>325</v>
      </c>
      <c r="E1" s="146" t="s">
        <v>198</v>
      </c>
      <c r="F1" s="146" t="s">
        <v>348</v>
      </c>
      <c r="G1" s="146" t="s">
        <v>20</v>
      </c>
      <c r="H1" s="146" t="s">
        <v>206</v>
      </c>
      <c r="I1" s="146" t="s">
        <v>207</v>
      </c>
      <c r="J1" s="146" t="s">
        <v>155</v>
      </c>
      <c r="K1" s="146" t="s">
        <v>208</v>
      </c>
      <c r="L1" s="146" t="s">
        <v>29</v>
      </c>
      <c r="M1" s="146" t="s">
        <v>28</v>
      </c>
      <c r="N1" s="147" t="s">
        <v>0</v>
      </c>
      <c r="O1" s="146" t="s">
        <v>1</v>
      </c>
      <c r="P1" s="147" t="s">
        <v>326</v>
      </c>
      <c r="Q1" s="146" t="s">
        <v>327</v>
      </c>
      <c r="R1" s="146" t="s">
        <v>44</v>
      </c>
      <c r="S1" s="146" t="s">
        <v>43</v>
      </c>
      <c r="T1" s="147" t="s">
        <v>21</v>
      </c>
      <c r="U1" s="148" t="s">
        <v>271</v>
      </c>
      <c r="V1" s="146" t="s">
        <v>212</v>
      </c>
      <c r="W1" s="146" t="s">
        <v>209</v>
      </c>
      <c r="X1" s="146" t="s">
        <v>210</v>
      </c>
      <c r="Y1" s="146" t="s">
        <v>211</v>
      </c>
      <c r="Z1" s="149" t="s">
        <v>221</v>
      </c>
    </row>
    <row r="2" spans="1:26" ht="21.75" customHeight="1" x14ac:dyDescent="0.2">
      <c r="A2" s="151" t="str">
        <f>SampleNameUserSheet</f>
        <v>Al_895_04-34</v>
      </c>
      <c r="B2" s="152">
        <f>MeasDate</f>
        <v>42055</v>
      </c>
      <c r="C2" s="153">
        <f>MeasTime</f>
        <v>0.77865740740740741</v>
      </c>
      <c r="D2" s="154">
        <f>Temperature</f>
        <v>35.487552999999998</v>
      </c>
      <c r="E2" s="155">
        <f>Thickness</f>
        <v>1.9900000000000001E-2</v>
      </c>
      <c r="F2" s="155">
        <f>SampleDoping</f>
        <v>5483178979107481</v>
      </c>
      <c r="G2" s="155">
        <f>OptConst</f>
        <v>0.7</v>
      </c>
      <c r="H2" s="156">
        <f>SpecMCD</f>
        <v>1000000000000000</v>
      </c>
      <c r="I2" s="155">
        <f>BiasLight</f>
        <v>0</v>
      </c>
      <c r="J2" s="155" t="str">
        <f>AnalysisMode</f>
        <v>Generalized (1/1)</v>
      </c>
      <c r="K2" s="154">
        <f>MeasuredLifetime</f>
        <v>84.151369560621319</v>
      </c>
      <c r="L2" s="156">
        <f>Jo</f>
        <v>-1.2889439650975909E-12</v>
      </c>
      <c r="M2" s="157">
        <f>TauFitIntercept</f>
        <v>21.133548465477574</v>
      </c>
      <c r="N2" s="157">
        <f>SheetResistance</f>
        <v>96.263154398418152</v>
      </c>
      <c r="O2" s="157">
        <f>MeasuredResistivity</f>
        <v>1.9156367725285213</v>
      </c>
      <c r="P2" s="157">
        <f>CorrectedSheetRho</f>
        <v>113.22507217802554</v>
      </c>
      <c r="Q2" s="157">
        <f>CorrectedResistivity</f>
        <v>2.2531789363427084</v>
      </c>
      <c r="R2" s="154">
        <f>MaxSuns</f>
        <v>59.794282272230511</v>
      </c>
      <c r="S2" s="156">
        <f>Traps</f>
        <v>0</v>
      </c>
      <c r="T2" s="156">
        <f>MaxApparentCD</f>
        <v>5.2026036746357208E+16</v>
      </c>
      <c r="U2" s="158">
        <f ca="1">ImpliedVoc1sun</f>
        <v>0.62983628762493005</v>
      </c>
      <c r="V2" s="156">
        <f>RefCellCal</f>
        <v>1.0523982830583211E-2</v>
      </c>
      <c r="W2" s="159">
        <f>A_cal</f>
        <v>4.4355188011347291E-4</v>
      </c>
      <c r="X2" s="159">
        <f>B_cal</f>
        <v>2.9576185310453092E-2</v>
      </c>
      <c r="Y2" s="155">
        <f>C_cal</f>
        <v>-0.79337409971074746</v>
      </c>
      <c r="Z2" s="160" t="str">
        <f>InstrumentSN</f>
        <v>14-127027</v>
      </c>
    </row>
    <row r="4" spans="1:26" x14ac:dyDescent="0.2">
      <c r="A4" s="162" t="s">
        <v>130</v>
      </c>
      <c r="G4" s="163"/>
    </row>
    <row r="5" spans="1:26" x14ac:dyDescent="0.2">
      <c r="A5" s="162" t="s">
        <v>27</v>
      </c>
      <c r="N5" s="161"/>
    </row>
    <row r="6" spans="1:26" x14ac:dyDescent="0.2">
      <c r="A6" s="162" t="s">
        <v>30</v>
      </c>
    </row>
    <row r="8" spans="1:26" x14ac:dyDescent="0.2">
      <c r="A8" s="161" t="s">
        <v>41</v>
      </c>
    </row>
    <row r="9" spans="1:26" x14ac:dyDescent="0.2">
      <c r="A9" s="161" t="s">
        <v>42</v>
      </c>
    </row>
    <row r="10" spans="1:26" s="165" customFormat="1" x14ac:dyDescent="0.2">
      <c r="A10" s="165" t="s">
        <v>32</v>
      </c>
      <c r="B10" s="165" t="s">
        <v>15</v>
      </c>
      <c r="C10" s="165" t="s">
        <v>19</v>
      </c>
      <c r="D10" s="165" t="s">
        <v>313</v>
      </c>
      <c r="E10" s="165" t="s">
        <v>33</v>
      </c>
      <c r="F10" s="165" t="s">
        <v>34</v>
      </c>
      <c r="G10" s="165" t="s">
        <v>213</v>
      </c>
      <c r="H10" s="165" t="s">
        <v>214</v>
      </c>
      <c r="I10" s="165" t="s">
        <v>215</v>
      </c>
      <c r="J10" s="165" t="s">
        <v>35</v>
      </c>
      <c r="K10" s="165" t="s">
        <v>36</v>
      </c>
      <c r="L10" s="165" t="s">
        <v>40</v>
      </c>
      <c r="M10" s="165" t="s">
        <v>39</v>
      </c>
      <c r="N10" s="165" t="s">
        <v>37</v>
      </c>
      <c r="O10" s="165" t="s">
        <v>38</v>
      </c>
      <c r="P10" s="165" t="s">
        <v>328</v>
      </c>
      <c r="Q10" s="165" t="s">
        <v>329</v>
      </c>
      <c r="R10" s="165" t="s">
        <v>45</v>
      </c>
      <c r="S10" s="165" t="s">
        <v>43</v>
      </c>
      <c r="T10" s="166" t="s">
        <v>46</v>
      </c>
      <c r="U10" s="165" t="s">
        <v>272</v>
      </c>
      <c r="V10" s="165" t="s">
        <v>216</v>
      </c>
      <c r="W10" s="165" t="s">
        <v>217</v>
      </c>
      <c r="X10" s="165" t="s">
        <v>218</v>
      </c>
      <c r="Y10" s="165" t="s">
        <v>219</v>
      </c>
      <c r="Z10" s="165" t="s">
        <v>220</v>
      </c>
    </row>
    <row r="11" spans="1:26" x14ac:dyDescent="0.2">
      <c r="C11" s="167"/>
      <c r="D11" s="167"/>
    </row>
    <row r="20" spans="2:7" s="168" customFormat="1" x14ac:dyDescent="0.2">
      <c r="C20" s="169"/>
      <c r="D20" s="167"/>
    </row>
    <row r="24" spans="2:7" x14ac:dyDescent="0.2">
      <c r="B24" s="168"/>
      <c r="C24" s="169"/>
      <c r="D24" s="167"/>
      <c r="E24" s="168"/>
      <c r="F24" s="168"/>
      <c r="G24" s="168"/>
    </row>
  </sheetData>
  <phoneticPr fontId="3"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8:CX328"/>
  <sheetViews>
    <sheetView workbookViewId="0">
      <selection activeCell="A9" sqref="A9:CX9"/>
    </sheetView>
  </sheetViews>
  <sheetFormatPr defaultRowHeight="12.75" x14ac:dyDescent="0.2"/>
  <cols>
    <col min="1" max="16384" width="9.140625" style="83"/>
  </cols>
  <sheetData>
    <row r="8" spans="1:102" x14ac:dyDescent="0.2">
      <c r="A8" s="83" t="s">
        <v>356</v>
      </c>
      <c r="B8" s="83">
        <v>200.390164</v>
      </c>
      <c r="C8" s="170"/>
      <c r="D8" s="83" t="s">
        <v>357</v>
      </c>
      <c r="E8" s="83">
        <v>195.33569299999999</v>
      </c>
      <c r="F8" s="170"/>
      <c r="G8" s="83" t="s">
        <v>358</v>
      </c>
      <c r="H8" s="83">
        <v>190.299284</v>
      </c>
      <c r="I8" s="170"/>
      <c r="J8" s="83" t="s">
        <v>359</v>
      </c>
      <c r="K8" s="83">
        <v>185.40015299999999</v>
      </c>
      <c r="L8" s="170"/>
      <c r="M8" s="170" t="s">
        <v>360</v>
      </c>
      <c r="N8" s="83">
        <v>180.40886</v>
      </c>
      <c r="O8" s="170"/>
      <c r="P8" s="170" t="s">
        <v>361</v>
      </c>
      <c r="Q8" s="83">
        <v>175.33624499999999</v>
      </c>
      <c r="R8" s="170"/>
      <c r="S8" s="83" t="s">
        <v>362</v>
      </c>
      <c r="T8" s="83">
        <v>170.458237</v>
      </c>
      <c r="U8" s="170"/>
      <c r="V8" s="83" t="s">
        <v>363</v>
      </c>
      <c r="W8" s="83">
        <v>165.246455</v>
      </c>
      <c r="X8" s="170"/>
      <c r="Y8" s="83" t="s">
        <v>364</v>
      </c>
      <c r="Z8" s="83">
        <v>160.38681199999999</v>
      </c>
      <c r="AA8" s="170"/>
      <c r="AB8" s="83" t="s">
        <v>365</v>
      </c>
      <c r="AC8" s="83">
        <v>155.379457</v>
      </c>
      <c r="AD8" s="170"/>
      <c r="AE8" s="83" t="s">
        <v>366</v>
      </c>
      <c r="AF8" s="83">
        <v>150.40496099999999</v>
      </c>
      <c r="AG8" s="170"/>
      <c r="AH8" s="83" t="s">
        <v>367</v>
      </c>
      <c r="AI8" s="83">
        <v>145.33243300000001</v>
      </c>
      <c r="AJ8" s="170"/>
      <c r="AK8" s="83" t="s">
        <v>368</v>
      </c>
      <c r="AL8" s="83">
        <v>140.370093</v>
      </c>
      <c r="AM8" s="170"/>
      <c r="AN8" s="83" t="s">
        <v>369</v>
      </c>
      <c r="AO8" s="83">
        <v>135.397076</v>
      </c>
      <c r="AP8" s="170"/>
      <c r="AQ8" s="83" t="s">
        <v>370</v>
      </c>
      <c r="AR8" s="83">
        <v>130.45302899999999</v>
      </c>
      <c r="AS8" s="170"/>
      <c r="AT8" s="83" t="s">
        <v>371</v>
      </c>
      <c r="AU8" s="83">
        <v>125.352394</v>
      </c>
      <c r="AV8" s="170"/>
      <c r="AW8" s="83" t="s">
        <v>372</v>
      </c>
      <c r="AX8" s="83">
        <v>120.41588299999999</v>
      </c>
      <c r="AY8" s="170"/>
      <c r="AZ8" s="83" t="s">
        <v>373</v>
      </c>
      <c r="BA8" s="83">
        <v>115.360375</v>
      </c>
      <c r="BB8" s="170"/>
      <c r="BC8" s="83" t="s">
        <v>374</v>
      </c>
      <c r="BD8" s="83">
        <v>110.45847500000001</v>
      </c>
      <c r="BE8" s="170"/>
      <c r="BF8" s="83" t="s">
        <v>375</v>
      </c>
      <c r="BG8" s="83">
        <v>105.418575</v>
      </c>
      <c r="BH8" s="170"/>
      <c r="BI8" s="83" t="s">
        <v>376</v>
      </c>
      <c r="BJ8" s="83">
        <v>100.42904900000001</v>
      </c>
      <c r="BK8" s="170"/>
      <c r="BL8" s="83" t="s">
        <v>377</v>
      </c>
      <c r="BM8" s="83">
        <v>95.467472999999998</v>
      </c>
      <c r="BN8" s="170"/>
      <c r="BO8" s="83" t="s">
        <v>378</v>
      </c>
      <c r="BP8" s="83">
        <v>90.438367999999997</v>
      </c>
      <c r="BQ8" s="170"/>
      <c r="BR8" s="83" t="s">
        <v>379</v>
      </c>
      <c r="BS8" s="83">
        <v>85.431638000000007</v>
      </c>
      <c r="BT8" s="170"/>
      <c r="BU8" s="83" t="s">
        <v>380</v>
      </c>
      <c r="BV8" s="83">
        <v>80.451438999999993</v>
      </c>
      <c r="BW8" s="170"/>
      <c r="BX8" s="83" t="s">
        <v>381</v>
      </c>
      <c r="BY8" s="83">
        <v>75.459457999999998</v>
      </c>
      <c r="BZ8" s="170"/>
      <c r="CA8" s="83" t="s">
        <v>382</v>
      </c>
      <c r="CB8" s="83">
        <v>70.450946000000002</v>
      </c>
      <c r="CD8" s="83" t="s">
        <v>383</v>
      </c>
      <c r="CE8" s="83">
        <v>65.477675000000005</v>
      </c>
      <c r="CG8" s="83" t="s">
        <v>384</v>
      </c>
      <c r="CH8" s="83">
        <v>60.460833000000001</v>
      </c>
      <c r="CJ8" s="83" t="s">
        <v>385</v>
      </c>
      <c r="CK8" s="83">
        <v>55.469562000000003</v>
      </c>
      <c r="CM8" s="83" t="s">
        <v>386</v>
      </c>
      <c r="CN8" s="83">
        <v>50.486980000000003</v>
      </c>
      <c r="CP8" s="83" t="s">
        <v>387</v>
      </c>
      <c r="CQ8" s="83">
        <v>45.476661999999997</v>
      </c>
      <c r="CS8" s="83" t="s">
        <v>388</v>
      </c>
      <c r="CT8" s="83">
        <v>40.471997999999999</v>
      </c>
      <c r="CV8" s="83" t="s">
        <v>389</v>
      </c>
      <c r="CW8" s="83">
        <v>35.487552999999998</v>
      </c>
    </row>
    <row r="9" spans="1:102" x14ac:dyDescent="0.2">
      <c r="A9" s="83" t="s">
        <v>276</v>
      </c>
      <c r="B9" s="83" t="s">
        <v>55</v>
      </c>
      <c r="C9" s="83" t="s">
        <v>56</v>
      </c>
      <c r="D9" s="83" t="s">
        <v>276</v>
      </c>
      <c r="E9" s="83" t="s">
        <v>55</v>
      </c>
      <c r="F9" s="83" t="s">
        <v>56</v>
      </c>
      <c r="G9" s="83" t="s">
        <v>276</v>
      </c>
      <c r="H9" s="83" t="s">
        <v>55</v>
      </c>
      <c r="I9" s="83" t="s">
        <v>56</v>
      </c>
      <c r="J9" s="83" t="s">
        <v>276</v>
      </c>
      <c r="K9" s="83" t="s">
        <v>55</v>
      </c>
      <c r="L9" s="83" t="s">
        <v>56</v>
      </c>
      <c r="M9" s="83" t="s">
        <v>276</v>
      </c>
      <c r="N9" s="83" t="s">
        <v>55</v>
      </c>
      <c r="O9" s="83" t="s">
        <v>56</v>
      </c>
      <c r="P9" s="83" t="s">
        <v>276</v>
      </c>
      <c r="Q9" s="83" t="s">
        <v>55</v>
      </c>
      <c r="R9" s="83" t="s">
        <v>56</v>
      </c>
      <c r="S9" s="83" t="s">
        <v>276</v>
      </c>
      <c r="T9" s="83" t="s">
        <v>55</v>
      </c>
      <c r="U9" s="83" t="s">
        <v>56</v>
      </c>
      <c r="V9" s="83" t="s">
        <v>276</v>
      </c>
      <c r="W9" s="83" t="s">
        <v>55</v>
      </c>
      <c r="X9" s="83" t="s">
        <v>56</v>
      </c>
      <c r="Y9" s="83" t="s">
        <v>276</v>
      </c>
      <c r="Z9" s="83" t="s">
        <v>55</v>
      </c>
      <c r="AA9" s="83" t="s">
        <v>56</v>
      </c>
      <c r="AB9" s="83" t="s">
        <v>276</v>
      </c>
      <c r="AC9" s="83" t="s">
        <v>55</v>
      </c>
      <c r="AD9" s="83" t="s">
        <v>56</v>
      </c>
      <c r="AE9" s="83" t="s">
        <v>276</v>
      </c>
      <c r="AF9" s="83" t="s">
        <v>55</v>
      </c>
      <c r="AG9" s="83" t="s">
        <v>56</v>
      </c>
      <c r="AH9" s="83" t="s">
        <v>276</v>
      </c>
      <c r="AI9" s="83" t="s">
        <v>55</v>
      </c>
      <c r="AJ9" s="83" t="s">
        <v>56</v>
      </c>
      <c r="AK9" s="83" t="s">
        <v>276</v>
      </c>
      <c r="AL9" s="83" t="s">
        <v>55</v>
      </c>
      <c r="AM9" s="83" t="s">
        <v>56</v>
      </c>
      <c r="AN9" s="83" t="s">
        <v>276</v>
      </c>
      <c r="AO9" s="83" t="s">
        <v>55</v>
      </c>
      <c r="AP9" s="83" t="s">
        <v>56</v>
      </c>
      <c r="AQ9" s="83" t="s">
        <v>276</v>
      </c>
      <c r="AR9" s="83" t="s">
        <v>55</v>
      </c>
      <c r="AS9" s="83" t="s">
        <v>56</v>
      </c>
      <c r="AT9" s="83" t="s">
        <v>276</v>
      </c>
      <c r="AU9" s="83" t="s">
        <v>55</v>
      </c>
      <c r="AV9" s="83" t="s">
        <v>56</v>
      </c>
      <c r="AW9" s="83" t="s">
        <v>276</v>
      </c>
      <c r="AX9" s="83" t="s">
        <v>55</v>
      </c>
      <c r="AY9" s="83" t="s">
        <v>56</v>
      </c>
      <c r="AZ9" s="83" t="s">
        <v>276</v>
      </c>
      <c r="BA9" s="83" t="s">
        <v>55</v>
      </c>
      <c r="BB9" s="83" t="s">
        <v>56</v>
      </c>
      <c r="BC9" s="83" t="s">
        <v>276</v>
      </c>
      <c r="BD9" s="83" t="s">
        <v>55</v>
      </c>
      <c r="BE9" s="83" t="s">
        <v>56</v>
      </c>
      <c r="BF9" s="83" t="s">
        <v>276</v>
      </c>
      <c r="BG9" s="83" t="s">
        <v>55</v>
      </c>
      <c r="BH9" s="83" t="s">
        <v>56</v>
      </c>
      <c r="BI9" s="83" t="s">
        <v>276</v>
      </c>
      <c r="BJ9" s="83" t="s">
        <v>55</v>
      </c>
      <c r="BK9" s="83" t="s">
        <v>56</v>
      </c>
      <c r="BL9" s="83" t="s">
        <v>276</v>
      </c>
      <c r="BM9" s="83" t="s">
        <v>55</v>
      </c>
      <c r="BN9" s="83" t="s">
        <v>56</v>
      </c>
      <c r="BO9" s="83" t="s">
        <v>276</v>
      </c>
      <c r="BP9" s="83" t="s">
        <v>55</v>
      </c>
      <c r="BQ9" s="83" t="s">
        <v>56</v>
      </c>
      <c r="BR9" s="83" t="s">
        <v>276</v>
      </c>
      <c r="BS9" s="83" t="s">
        <v>55</v>
      </c>
      <c r="BT9" s="83" t="s">
        <v>56</v>
      </c>
      <c r="BU9" s="83" t="s">
        <v>276</v>
      </c>
      <c r="BV9" s="83" t="s">
        <v>55</v>
      </c>
      <c r="BW9" s="83" t="s">
        <v>56</v>
      </c>
      <c r="BX9" s="83" t="s">
        <v>276</v>
      </c>
      <c r="BY9" s="83" t="s">
        <v>55</v>
      </c>
      <c r="BZ9" s="83" t="s">
        <v>56</v>
      </c>
      <c r="CA9" s="83" t="s">
        <v>276</v>
      </c>
      <c r="CB9" s="83" t="s">
        <v>55</v>
      </c>
      <c r="CC9" s="83" t="s">
        <v>56</v>
      </c>
      <c r="CD9" s="83" t="s">
        <v>276</v>
      </c>
      <c r="CE9" s="83" t="s">
        <v>55</v>
      </c>
      <c r="CF9" s="83" t="s">
        <v>56</v>
      </c>
      <c r="CG9" s="83" t="s">
        <v>276</v>
      </c>
      <c r="CH9" s="83" t="s">
        <v>55</v>
      </c>
      <c r="CI9" s="83" t="s">
        <v>56</v>
      </c>
      <c r="CJ9" s="83" t="s">
        <v>276</v>
      </c>
      <c r="CK9" s="83" t="s">
        <v>55</v>
      </c>
      <c r="CL9" s="83" t="s">
        <v>56</v>
      </c>
      <c r="CM9" s="83" t="s">
        <v>276</v>
      </c>
      <c r="CN9" s="83" t="s">
        <v>55</v>
      </c>
      <c r="CO9" s="83" t="s">
        <v>56</v>
      </c>
      <c r="CP9" s="83" t="s">
        <v>276</v>
      </c>
      <c r="CQ9" s="83" t="s">
        <v>55</v>
      </c>
      <c r="CR9" s="83" t="s">
        <v>56</v>
      </c>
      <c r="CS9" s="83" t="s">
        <v>276</v>
      </c>
      <c r="CT9" s="83" t="s">
        <v>55</v>
      </c>
      <c r="CU9" s="83" t="s">
        <v>56</v>
      </c>
      <c r="CV9" s="83" t="s">
        <v>276</v>
      </c>
      <c r="CW9" s="83" t="s">
        <v>55</v>
      </c>
      <c r="CX9" s="83" t="s">
        <v>56</v>
      </c>
    </row>
    <row r="10" spans="1:102" x14ac:dyDescent="0.2">
      <c r="A10" s="83">
        <v>4.99E-5</v>
      </c>
      <c r="B10" s="83">
        <v>0.66411799999999999</v>
      </c>
      <c r="C10" s="83">
        <v>0.350721</v>
      </c>
      <c r="D10" s="83">
        <v>4.99E-5</v>
      </c>
      <c r="E10" s="83">
        <v>0.70633599999999996</v>
      </c>
      <c r="F10" s="83">
        <v>0.36442099999999999</v>
      </c>
      <c r="G10" s="83">
        <v>4.99E-5</v>
      </c>
      <c r="H10" s="83">
        <v>0.71786899999999998</v>
      </c>
      <c r="I10" s="83">
        <v>0.36030499999999999</v>
      </c>
      <c r="J10" s="83">
        <v>4.99E-5</v>
      </c>
      <c r="K10" s="83">
        <v>0.74340200000000001</v>
      </c>
      <c r="L10" s="83">
        <v>0.36102000000000001</v>
      </c>
      <c r="M10" s="83">
        <v>4.99E-5</v>
      </c>
      <c r="N10" s="83">
        <v>0.74085299999999998</v>
      </c>
      <c r="O10" s="83">
        <v>0.35829699999999998</v>
      </c>
      <c r="P10" s="83">
        <v>4.99E-5</v>
      </c>
      <c r="Q10" s="83">
        <v>0.77244400000000002</v>
      </c>
      <c r="R10" s="83">
        <v>0.36340800000000001</v>
      </c>
      <c r="S10" s="83">
        <v>4.99E-5</v>
      </c>
      <c r="T10" s="83">
        <v>0.77954900000000005</v>
      </c>
      <c r="U10" s="83">
        <v>0.36667499999999997</v>
      </c>
      <c r="V10" s="83">
        <v>4.99E-5</v>
      </c>
      <c r="W10" s="83">
        <v>0.76598500000000003</v>
      </c>
      <c r="X10" s="83">
        <v>0.35013499999999997</v>
      </c>
      <c r="Y10" s="83">
        <v>4.99E-5</v>
      </c>
      <c r="Z10" s="83">
        <v>0.78946300000000003</v>
      </c>
      <c r="AA10" s="83">
        <v>0.35899599999999998</v>
      </c>
      <c r="AB10" s="83">
        <v>4.99E-5</v>
      </c>
      <c r="AC10" s="83">
        <v>0.80007200000000001</v>
      </c>
      <c r="AD10" s="83">
        <v>0.35607</v>
      </c>
      <c r="AE10" s="83">
        <v>4.99E-5</v>
      </c>
      <c r="AF10" s="83">
        <v>0.82131200000000004</v>
      </c>
      <c r="AG10" s="83">
        <v>0.36357800000000001</v>
      </c>
      <c r="AH10" s="83">
        <v>4.99E-5</v>
      </c>
      <c r="AI10" s="83">
        <v>0.82121699999999997</v>
      </c>
      <c r="AJ10" s="83">
        <v>0.35602800000000001</v>
      </c>
      <c r="AK10" s="83">
        <v>4.99E-5</v>
      </c>
      <c r="AL10" s="83">
        <v>0.84131199999999995</v>
      </c>
      <c r="AM10" s="83">
        <v>0.35686899999999999</v>
      </c>
      <c r="AN10" s="83">
        <v>4.99E-5</v>
      </c>
      <c r="AO10" s="83">
        <v>0.85968100000000003</v>
      </c>
      <c r="AP10" s="83">
        <v>0.36371399999999998</v>
      </c>
      <c r="AQ10" s="83">
        <v>4.99E-5</v>
      </c>
      <c r="AR10" s="83">
        <v>0.856657</v>
      </c>
      <c r="AS10" s="83">
        <v>0.35654599999999997</v>
      </c>
      <c r="AT10" s="83">
        <v>4.99E-5</v>
      </c>
      <c r="AU10" s="83">
        <v>0.87647200000000003</v>
      </c>
      <c r="AV10" s="83">
        <v>0.35875899999999999</v>
      </c>
      <c r="AW10" s="83">
        <v>4.99E-5</v>
      </c>
      <c r="AX10" s="83">
        <v>0.87991799999999998</v>
      </c>
      <c r="AY10" s="83">
        <v>0.34735500000000002</v>
      </c>
      <c r="AZ10" s="83">
        <v>4.99E-5</v>
      </c>
      <c r="BA10" s="83">
        <v>0.89423900000000001</v>
      </c>
      <c r="BB10" s="83">
        <v>0.34939300000000001</v>
      </c>
      <c r="BC10" s="83">
        <v>4.99E-5</v>
      </c>
      <c r="BD10" s="83">
        <v>0.94028</v>
      </c>
      <c r="BE10" s="83">
        <v>0.36719099999999999</v>
      </c>
      <c r="BF10" s="83">
        <v>4.99E-5</v>
      </c>
      <c r="BG10" s="83">
        <v>0.96581899999999998</v>
      </c>
      <c r="BH10" s="83">
        <v>0.36999599999999999</v>
      </c>
      <c r="BI10" s="83">
        <v>4.99E-5</v>
      </c>
      <c r="BJ10" s="83">
        <v>0.97691399999999995</v>
      </c>
      <c r="BK10" s="83">
        <v>0.36447200000000002</v>
      </c>
      <c r="BL10" s="83">
        <v>4.99E-5</v>
      </c>
      <c r="BM10" s="83">
        <v>0.96205600000000002</v>
      </c>
      <c r="BN10" s="83">
        <v>0.35295300000000002</v>
      </c>
      <c r="BO10" s="83">
        <v>4.99E-5</v>
      </c>
      <c r="BP10" s="83">
        <v>0.98306000000000004</v>
      </c>
      <c r="BQ10" s="83">
        <v>0.35547899999999999</v>
      </c>
      <c r="BR10" s="83">
        <v>4.99E-5</v>
      </c>
      <c r="BS10" s="83">
        <v>1.00508</v>
      </c>
      <c r="BT10" s="83">
        <v>0.35616399999999998</v>
      </c>
      <c r="BU10" s="83">
        <v>4.99E-5</v>
      </c>
      <c r="BV10" s="83">
        <v>1.05128</v>
      </c>
      <c r="BW10" s="83">
        <v>0.36312299999999997</v>
      </c>
      <c r="BX10" s="83">
        <v>4.99E-5</v>
      </c>
      <c r="BY10" s="83">
        <v>1.04217</v>
      </c>
      <c r="BZ10" s="83">
        <v>0.35493799999999998</v>
      </c>
      <c r="CA10" s="83">
        <v>4.99E-5</v>
      </c>
      <c r="CB10" s="83">
        <v>1.09857</v>
      </c>
      <c r="CC10" s="83">
        <v>0.36502600000000002</v>
      </c>
      <c r="CD10" s="83">
        <v>4.99E-5</v>
      </c>
      <c r="CE10" s="83">
        <v>1.0794299999999999</v>
      </c>
      <c r="CF10" s="83">
        <v>0.35239599999999999</v>
      </c>
      <c r="CG10" s="83">
        <v>4.99E-5</v>
      </c>
      <c r="CH10" s="83">
        <v>1.09917</v>
      </c>
      <c r="CI10" s="83">
        <v>0.35151199999999999</v>
      </c>
      <c r="CJ10" s="83">
        <v>4.99E-5</v>
      </c>
      <c r="CK10" s="83">
        <v>1.1299999999999999</v>
      </c>
      <c r="CL10" s="83">
        <v>0.35328300000000001</v>
      </c>
      <c r="CM10" s="83">
        <v>4.99E-5</v>
      </c>
      <c r="CN10" s="83">
        <v>1.1657299999999999</v>
      </c>
      <c r="CO10" s="83">
        <v>0.35852800000000001</v>
      </c>
      <c r="CP10" s="83">
        <v>4.99E-5</v>
      </c>
      <c r="CQ10" s="83">
        <v>1.21095</v>
      </c>
      <c r="CR10" s="83">
        <v>0.36923</v>
      </c>
      <c r="CS10" s="83">
        <v>4.99E-5</v>
      </c>
      <c r="CT10" s="83">
        <v>1.23244</v>
      </c>
      <c r="CU10" s="83">
        <v>0.37318699999999999</v>
      </c>
      <c r="CV10" s="83">
        <v>4.99E-5</v>
      </c>
      <c r="CW10" s="83">
        <v>1.2362200000000001</v>
      </c>
      <c r="CX10" s="83">
        <v>0.36374400000000001</v>
      </c>
    </row>
    <row r="11" spans="1:102" x14ac:dyDescent="0.2">
      <c r="A11" s="83">
        <v>1.4990000000000001E-4</v>
      </c>
      <c r="B11" s="83">
        <v>2.3390499999999999</v>
      </c>
      <c r="C11" s="83">
        <v>0.54379599999999995</v>
      </c>
      <c r="D11" s="83">
        <v>1.4990000000000001E-4</v>
      </c>
      <c r="E11" s="83">
        <v>2.44868</v>
      </c>
      <c r="F11" s="83">
        <v>0.55063899999999999</v>
      </c>
      <c r="G11" s="83">
        <v>1.4990000000000001E-4</v>
      </c>
      <c r="H11" s="83">
        <v>2.4878</v>
      </c>
      <c r="I11" s="83">
        <v>0.54967999999999995</v>
      </c>
      <c r="J11" s="83">
        <v>1.4990000000000001E-4</v>
      </c>
      <c r="K11" s="83">
        <v>2.56223</v>
      </c>
      <c r="L11" s="83">
        <v>0.54209300000000005</v>
      </c>
      <c r="M11" s="83">
        <v>1.4990000000000001E-4</v>
      </c>
      <c r="N11" s="83">
        <v>2.5699900000000002</v>
      </c>
      <c r="O11" s="83">
        <v>0.53822099999999995</v>
      </c>
      <c r="P11" s="83">
        <v>1.4990000000000001E-4</v>
      </c>
      <c r="Q11" s="83">
        <v>2.6451199999999999</v>
      </c>
      <c r="R11" s="83">
        <v>0.54475399999999996</v>
      </c>
      <c r="S11" s="83">
        <v>1.4990000000000001E-4</v>
      </c>
      <c r="T11" s="83">
        <v>2.6823199999999998</v>
      </c>
      <c r="U11" s="83">
        <v>0.54927999999999999</v>
      </c>
      <c r="V11" s="83">
        <v>1.4990000000000001E-4</v>
      </c>
      <c r="W11" s="83">
        <v>2.6596600000000001</v>
      </c>
      <c r="X11" s="83">
        <v>0.54044499999999995</v>
      </c>
      <c r="Y11" s="83">
        <v>1.4990000000000001E-4</v>
      </c>
      <c r="Z11" s="83">
        <v>2.7535799999999999</v>
      </c>
      <c r="AA11" s="83">
        <v>0.54974699999999999</v>
      </c>
      <c r="AB11" s="83">
        <v>1.4990000000000001E-4</v>
      </c>
      <c r="AC11" s="83">
        <v>2.7617400000000001</v>
      </c>
      <c r="AD11" s="83">
        <v>0.537601</v>
      </c>
      <c r="AE11" s="83">
        <v>1.4990000000000001E-4</v>
      </c>
      <c r="AF11" s="83">
        <v>2.8095699999999999</v>
      </c>
      <c r="AG11" s="83">
        <v>0.54266499999999995</v>
      </c>
      <c r="AH11" s="83">
        <v>1.4990000000000001E-4</v>
      </c>
      <c r="AI11" s="83">
        <v>2.8486799999999999</v>
      </c>
      <c r="AJ11" s="83">
        <v>0.54516799999999999</v>
      </c>
      <c r="AK11" s="83">
        <v>1.4990000000000001E-4</v>
      </c>
      <c r="AL11" s="83">
        <v>2.8359999999999999</v>
      </c>
      <c r="AM11" s="83">
        <v>0.52843099999999998</v>
      </c>
      <c r="AN11" s="83">
        <v>1.4990000000000001E-4</v>
      </c>
      <c r="AO11" s="83">
        <v>2.9479199999999999</v>
      </c>
      <c r="AP11" s="83">
        <v>0.54703800000000002</v>
      </c>
      <c r="AQ11" s="83">
        <v>1.4990000000000001E-4</v>
      </c>
      <c r="AR11" s="83">
        <v>2.9272999999999998</v>
      </c>
      <c r="AS11" s="83">
        <v>0.53038700000000005</v>
      </c>
      <c r="AT11" s="83">
        <v>1.4990000000000001E-4</v>
      </c>
      <c r="AU11" s="83">
        <v>2.9878499999999999</v>
      </c>
      <c r="AV11" s="83">
        <v>0.53486199999999995</v>
      </c>
      <c r="AW11" s="83">
        <v>1.4990000000000001E-4</v>
      </c>
      <c r="AX11" s="83">
        <v>2.9798499999999999</v>
      </c>
      <c r="AY11" s="83">
        <v>0.52798299999999998</v>
      </c>
      <c r="AZ11" s="83">
        <v>1.4990000000000001E-4</v>
      </c>
      <c r="BA11" s="83">
        <v>3.0241699999999998</v>
      </c>
      <c r="BB11" s="83">
        <v>0.52524800000000005</v>
      </c>
      <c r="BC11" s="83">
        <v>1.4990000000000001E-4</v>
      </c>
      <c r="BD11" s="83">
        <v>3.18581</v>
      </c>
      <c r="BE11" s="83">
        <v>0.55300000000000005</v>
      </c>
      <c r="BF11" s="83">
        <v>1.4990000000000001E-4</v>
      </c>
      <c r="BG11" s="83">
        <v>3.2678799999999999</v>
      </c>
      <c r="BH11" s="83">
        <v>0.55883499999999997</v>
      </c>
      <c r="BI11" s="83">
        <v>1.4990000000000001E-4</v>
      </c>
      <c r="BJ11" s="83">
        <v>3.2684600000000001</v>
      </c>
      <c r="BK11" s="83">
        <v>0.54111699999999996</v>
      </c>
      <c r="BL11" s="83">
        <v>1.4990000000000001E-4</v>
      </c>
      <c r="BM11" s="83">
        <v>3.2441599999999999</v>
      </c>
      <c r="BN11" s="83">
        <v>0.53356099999999995</v>
      </c>
      <c r="BO11" s="83">
        <v>1.4990000000000001E-4</v>
      </c>
      <c r="BP11" s="83">
        <v>3.3203100000000001</v>
      </c>
      <c r="BQ11" s="83">
        <v>0.53642400000000001</v>
      </c>
      <c r="BR11" s="83">
        <v>1.4990000000000001E-4</v>
      </c>
      <c r="BS11" s="83">
        <v>3.41181</v>
      </c>
      <c r="BT11" s="83">
        <v>0.545516</v>
      </c>
      <c r="BU11" s="83">
        <v>1.4990000000000001E-4</v>
      </c>
      <c r="BV11" s="83">
        <v>3.4832200000000002</v>
      </c>
      <c r="BW11" s="83">
        <v>0.54537800000000003</v>
      </c>
      <c r="BX11" s="83">
        <v>1.4990000000000001E-4</v>
      </c>
      <c r="BY11" s="83">
        <v>3.4923500000000001</v>
      </c>
      <c r="BZ11" s="83">
        <v>0.53802300000000003</v>
      </c>
      <c r="CA11" s="83">
        <v>1.4990000000000001E-4</v>
      </c>
      <c r="CB11" s="83">
        <v>3.6383000000000001</v>
      </c>
      <c r="CC11" s="83">
        <v>0.55123699999999998</v>
      </c>
      <c r="CD11" s="83">
        <v>1.4990000000000001E-4</v>
      </c>
      <c r="CE11" s="83">
        <v>3.5911200000000001</v>
      </c>
      <c r="CF11" s="83">
        <v>0.53576500000000005</v>
      </c>
      <c r="CG11" s="83">
        <v>1.4990000000000001E-4</v>
      </c>
      <c r="CH11" s="83">
        <v>3.6436600000000001</v>
      </c>
      <c r="CI11" s="83">
        <v>0.52706200000000003</v>
      </c>
      <c r="CJ11" s="83">
        <v>1.4990000000000001E-4</v>
      </c>
      <c r="CK11" s="83">
        <v>3.7293799999999999</v>
      </c>
      <c r="CL11" s="83">
        <v>0.53971000000000002</v>
      </c>
      <c r="CM11" s="83">
        <v>1.4990000000000001E-4</v>
      </c>
      <c r="CN11" s="83">
        <v>3.84605</v>
      </c>
      <c r="CO11" s="83">
        <v>0.54226200000000002</v>
      </c>
      <c r="CP11" s="83">
        <v>1.4990000000000001E-4</v>
      </c>
      <c r="CQ11" s="83">
        <v>3.9521099999999998</v>
      </c>
      <c r="CR11" s="83">
        <v>0.54686999999999997</v>
      </c>
      <c r="CS11" s="83">
        <v>1.4990000000000001E-4</v>
      </c>
      <c r="CT11" s="83">
        <v>4.0347400000000002</v>
      </c>
      <c r="CU11" s="83">
        <v>0.55432800000000004</v>
      </c>
      <c r="CV11" s="83">
        <v>1.4990000000000001E-4</v>
      </c>
      <c r="CW11" s="83">
        <v>4.0390300000000003</v>
      </c>
      <c r="CX11" s="83">
        <v>0.54524700000000004</v>
      </c>
    </row>
    <row r="12" spans="1:102" x14ac:dyDescent="0.2">
      <c r="A12" s="83">
        <v>2.499E-4</v>
      </c>
      <c r="B12" s="83">
        <v>3.2076500000000001</v>
      </c>
      <c r="C12" s="83">
        <v>0.60210799999999998</v>
      </c>
      <c r="D12" s="83">
        <v>2.499E-4</v>
      </c>
      <c r="E12" s="83">
        <v>3.3155800000000002</v>
      </c>
      <c r="F12" s="83">
        <v>0.60462899999999997</v>
      </c>
      <c r="G12" s="83">
        <v>2.499E-4</v>
      </c>
      <c r="H12" s="83">
        <v>3.3668300000000002</v>
      </c>
      <c r="I12" s="83">
        <v>0.601692</v>
      </c>
      <c r="J12" s="83">
        <v>2.499E-4</v>
      </c>
      <c r="K12" s="83">
        <v>3.4622999999999999</v>
      </c>
      <c r="L12" s="83">
        <v>0.59875900000000004</v>
      </c>
      <c r="M12" s="83">
        <v>2.499E-4</v>
      </c>
      <c r="N12" s="83">
        <v>3.5020099999999998</v>
      </c>
      <c r="O12" s="83">
        <v>0.59855599999999998</v>
      </c>
      <c r="P12" s="83">
        <v>2.499E-4</v>
      </c>
      <c r="Q12" s="83">
        <v>3.59015</v>
      </c>
      <c r="R12" s="83">
        <v>0.60631500000000005</v>
      </c>
      <c r="S12" s="83">
        <v>2.499E-4</v>
      </c>
      <c r="T12" s="83">
        <v>3.6412499999999999</v>
      </c>
      <c r="U12" s="83">
        <v>0.60884199999999999</v>
      </c>
      <c r="V12" s="83">
        <v>2.499E-4</v>
      </c>
      <c r="W12" s="83">
        <v>3.6346599999999998</v>
      </c>
      <c r="X12" s="83">
        <v>0.59697199999999995</v>
      </c>
      <c r="Y12" s="83">
        <v>2.499E-4</v>
      </c>
      <c r="Z12" s="83">
        <v>3.6915800000000001</v>
      </c>
      <c r="AA12" s="83">
        <v>0.59478200000000003</v>
      </c>
      <c r="AB12" s="83">
        <v>2.499E-4</v>
      </c>
      <c r="AC12" s="83">
        <v>3.73204</v>
      </c>
      <c r="AD12" s="83">
        <v>0.59389000000000003</v>
      </c>
      <c r="AE12" s="83">
        <v>2.499E-4</v>
      </c>
      <c r="AF12" s="83">
        <v>3.8069600000000001</v>
      </c>
      <c r="AG12" s="83">
        <v>0.60287999999999997</v>
      </c>
      <c r="AH12" s="83">
        <v>2.499E-4</v>
      </c>
      <c r="AI12" s="83">
        <v>3.8620299999999999</v>
      </c>
      <c r="AJ12" s="83">
        <v>0.60245000000000004</v>
      </c>
      <c r="AK12" s="83">
        <v>2.499E-4</v>
      </c>
      <c r="AL12" s="83">
        <v>3.88652</v>
      </c>
      <c r="AM12" s="83">
        <v>0.60200299999999995</v>
      </c>
      <c r="AN12" s="83">
        <v>2.499E-4</v>
      </c>
      <c r="AO12" s="83">
        <v>3.9548800000000002</v>
      </c>
      <c r="AP12" s="83">
        <v>0.59874499999999997</v>
      </c>
      <c r="AQ12" s="83">
        <v>2.499E-4</v>
      </c>
      <c r="AR12" s="83">
        <v>3.9450799999999999</v>
      </c>
      <c r="AS12" s="83">
        <v>0.58988399999999996</v>
      </c>
      <c r="AT12" s="83">
        <v>2.499E-4</v>
      </c>
      <c r="AU12" s="83">
        <v>4.0155099999999999</v>
      </c>
      <c r="AV12" s="83">
        <v>0.59152499999999997</v>
      </c>
      <c r="AW12" s="83">
        <v>2.499E-4</v>
      </c>
      <c r="AX12" s="83">
        <v>4.0781099999999997</v>
      </c>
      <c r="AY12" s="83">
        <v>0.59612399999999999</v>
      </c>
      <c r="AZ12" s="83">
        <v>2.499E-4</v>
      </c>
      <c r="BA12" s="83">
        <v>4.1203000000000003</v>
      </c>
      <c r="BB12" s="83">
        <v>0.59475999999999996</v>
      </c>
      <c r="BC12" s="83">
        <v>2.499E-4</v>
      </c>
      <c r="BD12" s="83">
        <v>4.2711600000000001</v>
      </c>
      <c r="BE12" s="83">
        <v>0.60715799999999998</v>
      </c>
      <c r="BF12" s="83">
        <v>2.499E-4</v>
      </c>
      <c r="BG12" s="83">
        <v>4.3495600000000003</v>
      </c>
      <c r="BH12" s="83">
        <v>0.607626</v>
      </c>
      <c r="BI12" s="83">
        <v>2.499E-4</v>
      </c>
      <c r="BJ12" s="83">
        <v>4.36625</v>
      </c>
      <c r="BK12" s="83">
        <v>0.60140400000000005</v>
      </c>
      <c r="BL12" s="83">
        <v>2.499E-4</v>
      </c>
      <c r="BM12" s="83">
        <v>4.3983100000000004</v>
      </c>
      <c r="BN12" s="83">
        <v>0.598688</v>
      </c>
      <c r="BO12" s="83">
        <v>2.499E-4</v>
      </c>
      <c r="BP12" s="83">
        <v>4.4776600000000002</v>
      </c>
      <c r="BQ12" s="83">
        <v>0.60005799999999998</v>
      </c>
      <c r="BR12" s="83">
        <v>2.499E-4</v>
      </c>
      <c r="BS12" s="83">
        <v>4.5790899999999999</v>
      </c>
      <c r="BT12" s="83">
        <v>0.60340199999999999</v>
      </c>
      <c r="BU12" s="83">
        <v>2.499E-4</v>
      </c>
      <c r="BV12" s="83">
        <v>4.7059699999999998</v>
      </c>
      <c r="BW12" s="83">
        <v>0.61389899999999997</v>
      </c>
      <c r="BX12" s="83">
        <v>2.499E-4</v>
      </c>
      <c r="BY12" s="83">
        <v>4.6702899999999996</v>
      </c>
      <c r="BZ12" s="83">
        <v>0.59521999999999997</v>
      </c>
      <c r="CA12" s="83">
        <v>2.499E-4</v>
      </c>
      <c r="CB12" s="83">
        <v>4.8280900000000004</v>
      </c>
      <c r="CC12" s="83">
        <v>0.61221400000000004</v>
      </c>
      <c r="CD12" s="83">
        <v>2.499E-4</v>
      </c>
      <c r="CE12" s="83">
        <v>4.8234500000000002</v>
      </c>
      <c r="CF12" s="83">
        <v>0.60338800000000004</v>
      </c>
      <c r="CG12" s="83">
        <v>2.499E-4</v>
      </c>
      <c r="CH12" s="83">
        <v>4.8483999999999998</v>
      </c>
      <c r="CI12" s="83">
        <v>0.59852399999999994</v>
      </c>
      <c r="CJ12" s="83">
        <v>2.499E-4</v>
      </c>
      <c r="CK12" s="83">
        <v>4.9020599999999996</v>
      </c>
      <c r="CL12" s="83">
        <v>0.59806999999999999</v>
      </c>
      <c r="CM12" s="83">
        <v>2.499E-4</v>
      </c>
      <c r="CN12" s="83">
        <v>4.9579700000000004</v>
      </c>
      <c r="CO12" s="83">
        <v>0.61061100000000001</v>
      </c>
      <c r="CP12" s="83">
        <v>2.499E-4</v>
      </c>
      <c r="CQ12" s="83">
        <v>4.9783099999999996</v>
      </c>
      <c r="CR12" s="83">
        <v>0.60872300000000001</v>
      </c>
      <c r="CS12" s="83">
        <v>2.499E-4</v>
      </c>
      <c r="CT12" s="83">
        <v>4.9924099999999996</v>
      </c>
      <c r="CU12" s="83">
        <v>0.61593200000000004</v>
      </c>
      <c r="CV12" s="83">
        <v>2.499E-4</v>
      </c>
      <c r="CW12" s="83">
        <v>4.9950299999999999</v>
      </c>
      <c r="CX12" s="83">
        <v>0.614012</v>
      </c>
    </row>
    <row r="13" spans="1:102" x14ac:dyDescent="0.2">
      <c r="A13" s="83">
        <v>3.4989999999999999E-4</v>
      </c>
      <c r="B13" s="83">
        <v>3.4359600000000001</v>
      </c>
      <c r="C13" s="83">
        <v>0.61780999999999997</v>
      </c>
      <c r="D13" s="83">
        <v>3.4989999999999999E-4</v>
      </c>
      <c r="E13" s="83">
        <v>3.55924</v>
      </c>
      <c r="F13" s="83">
        <v>0.62362899999999999</v>
      </c>
      <c r="G13" s="83">
        <v>3.4989999999999999E-4</v>
      </c>
      <c r="H13" s="83">
        <v>3.6197599999999999</v>
      </c>
      <c r="I13" s="83">
        <v>0.62169600000000003</v>
      </c>
      <c r="J13" s="83">
        <v>3.4989999999999999E-4</v>
      </c>
      <c r="K13" s="83">
        <v>3.73855</v>
      </c>
      <c r="L13" s="83">
        <v>0.62356699999999998</v>
      </c>
      <c r="M13" s="83">
        <v>3.4989999999999999E-4</v>
      </c>
      <c r="N13" s="83">
        <v>3.7749299999999999</v>
      </c>
      <c r="O13" s="83">
        <v>0.61829100000000004</v>
      </c>
      <c r="P13" s="83">
        <v>3.4989999999999999E-4</v>
      </c>
      <c r="Q13" s="83">
        <v>3.8541699999999999</v>
      </c>
      <c r="R13" s="83">
        <v>0.62519999999999998</v>
      </c>
      <c r="S13" s="83">
        <v>3.4989999999999999E-4</v>
      </c>
      <c r="T13" s="83">
        <v>3.9024999999999999</v>
      </c>
      <c r="U13" s="83">
        <v>0.62595800000000001</v>
      </c>
      <c r="V13" s="83">
        <v>3.4989999999999999E-4</v>
      </c>
      <c r="W13" s="83">
        <v>3.9239999999999999</v>
      </c>
      <c r="X13" s="83">
        <v>0.61878500000000003</v>
      </c>
      <c r="Y13" s="83">
        <v>3.4989999999999999E-4</v>
      </c>
      <c r="Z13" s="83">
        <v>3.95566</v>
      </c>
      <c r="AA13" s="83">
        <v>0.61457200000000001</v>
      </c>
      <c r="AB13" s="83">
        <v>3.4989999999999999E-4</v>
      </c>
      <c r="AC13" s="83">
        <v>4.0268699999999997</v>
      </c>
      <c r="AD13" s="83">
        <v>0.61726499999999995</v>
      </c>
      <c r="AE13" s="83">
        <v>3.4989999999999999E-4</v>
      </c>
      <c r="AF13" s="83">
        <v>4.0986099999999999</v>
      </c>
      <c r="AG13" s="83">
        <v>0.622251</v>
      </c>
      <c r="AH13" s="83">
        <v>3.4989999999999999E-4</v>
      </c>
      <c r="AI13" s="83">
        <v>4.1529100000000003</v>
      </c>
      <c r="AJ13" s="83">
        <v>0.62194099999999997</v>
      </c>
      <c r="AK13" s="83">
        <v>3.4989999999999999E-4</v>
      </c>
      <c r="AL13" s="83">
        <v>4.1994400000000001</v>
      </c>
      <c r="AM13" s="83">
        <v>0.62115399999999998</v>
      </c>
      <c r="AN13" s="83">
        <v>3.4989999999999999E-4</v>
      </c>
      <c r="AO13" s="83">
        <v>4.2549400000000004</v>
      </c>
      <c r="AP13" s="83">
        <v>0.62084499999999998</v>
      </c>
      <c r="AQ13" s="83">
        <v>3.4989999999999999E-4</v>
      </c>
      <c r="AR13" s="83">
        <v>4.2803199999999997</v>
      </c>
      <c r="AS13" s="83">
        <v>0.61582499999999996</v>
      </c>
      <c r="AT13" s="83">
        <v>3.4989999999999999E-4</v>
      </c>
      <c r="AU13" s="83">
        <v>4.3317699999999997</v>
      </c>
      <c r="AV13" s="83">
        <v>0.61271399999999998</v>
      </c>
      <c r="AW13" s="83">
        <v>3.4989999999999999E-4</v>
      </c>
      <c r="AX13" s="83">
        <v>4.4181699999999999</v>
      </c>
      <c r="AY13" s="83">
        <v>0.61895299999999998</v>
      </c>
      <c r="AZ13" s="83">
        <v>3.4989999999999999E-4</v>
      </c>
      <c r="BA13" s="83">
        <v>4.4652799999999999</v>
      </c>
      <c r="BB13" s="83">
        <v>0.61755300000000002</v>
      </c>
      <c r="BC13" s="83">
        <v>3.4989999999999999E-4</v>
      </c>
      <c r="BD13" s="83">
        <v>4.5816999999999997</v>
      </c>
      <c r="BE13" s="83">
        <v>0.62726099999999996</v>
      </c>
      <c r="BF13" s="83">
        <v>3.4989999999999999E-4</v>
      </c>
      <c r="BG13" s="83">
        <v>4.6451599999999997</v>
      </c>
      <c r="BH13" s="83">
        <v>0.62487999999999999</v>
      </c>
      <c r="BI13" s="83">
        <v>3.4989999999999999E-4</v>
      </c>
      <c r="BJ13" s="83">
        <v>4.69916</v>
      </c>
      <c r="BK13" s="83">
        <v>0.62317999999999996</v>
      </c>
      <c r="BL13" s="83">
        <v>3.4989999999999999E-4</v>
      </c>
      <c r="BM13" s="83">
        <v>4.7509800000000002</v>
      </c>
      <c r="BN13" s="83">
        <v>0.61998900000000001</v>
      </c>
      <c r="BO13" s="83">
        <v>3.4989999999999999E-4</v>
      </c>
      <c r="BP13" s="83">
        <v>4.8188599999999999</v>
      </c>
      <c r="BQ13" s="83">
        <v>0.61965700000000001</v>
      </c>
      <c r="BR13" s="83">
        <v>3.4989999999999999E-4</v>
      </c>
      <c r="BS13" s="83">
        <v>4.9002299999999996</v>
      </c>
      <c r="BT13" s="83">
        <v>0.620506</v>
      </c>
      <c r="BU13" s="83">
        <v>3.4989999999999999E-4</v>
      </c>
      <c r="BV13" s="83">
        <v>4.9959600000000002</v>
      </c>
      <c r="BW13" s="83">
        <v>0.63331599999999999</v>
      </c>
      <c r="BX13" s="83">
        <v>3.4989999999999999E-4</v>
      </c>
      <c r="BY13" s="83">
        <v>4.9930300000000001</v>
      </c>
      <c r="BZ13" s="83">
        <v>0.61846999999999996</v>
      </c>
      <c r="CA13" s="83">
        <v>3.4989999999999999E-4</v>
      </c>
      <c r="CB13" s="83">
        <v>4.9972799999999999</v>
      </c>
      <c r="CC13" s="83">
        <v>0.63312400000000002</v>
      </c>
      <c r="CD13" s="83">
        <v>3.4989999999999999E-4</v>
      </c>
      <c r="CE13" s="83">
        <v>4.9975800000000001</v>
      </c>
      <c r="CF13" s="83">
        <v>0.62237600000000004</v>
      </c>
      <c r="CG13" s="83">
        <v>3.4989999999999999E-4</v>
      </c>
      <c r="CH13" s="83">
        <v>4.9982100000000003</v>
      </c>
      <c r="CI13" s="83">
        <v>0.61935300000000004</v>
      </c>
      <c r="CJ13" s="83">
        <v>3.4989999999999999E-4</v>
      </c>
      <c r="CK13" s="83">
        <v>4.9990899999999998</v>
      </c>
      <c r="CL13" s="83">
        <v>0.61755400000000005</v>
      </c>
      <c r="CM13" s="83">
        <v>3.4989999999999999E-4</v>
      </c>
      <c r="CN13" s="83">
        <v>4.9996200000000002</v>
      </c>
      <c r="CO13" s="83">
        <v>0.62895999999999996</v>
      </c>
      <c r="CP13" s="83">
        <v>3.4989999999999999E-4</v>
      </c>
      <c r="CQ13" s="83">
        <v>4.99817</v>
      </c>
      <c r="CR13" s="83">
        <v>0.62585500000000005</v>
      </c>
      <c r="CS13" s="83">
        <v>3.4989999999999999E-4</v>
      </c>
      <c r="CT13" s="83">
        <v>4.9987399999999997</v>
      </c>
      <c r="CU13" s="83">
        <v>0.63248400000000005</v>
      </c>
      <c r="CV13" s="83">
        <v>3.4989999999999999E-4</v>
      </c>
      <c r="CW13" s="83">
        <v>4.9987599999999999</v>
      </c>
      <c r="CX13" s="83">
        <v>0.629274</v>
      </c>
    </row>
    <row r="14" spans="1:102" x14ac:dyDescent="0.2">
      <c r="A14" s="83">
        <v>4.4989999999999999E-4</v>
      </c>
      <c r="B14" s="83">
        <v>3.4259200000000001</v>
      </c>
      <c r="C14" s="83">
        <v>0.60507500000000003</v>
      </c>
      <c r="D14" s="83">
        <v>4.4989999999999999E-4</v>
      </c>
      <c r="E14" s="83">
        <v>3.54888</v>
      </c>
      <c r="F14" s="83">
        <v>0.61257499999999998</v>
      </c>
      <c r="G14" s="83">
        <v>4.4989999999999999E-4</v>
      </c>
      <c r="H14" s="83">
        <v>3.6164800000000001</v>
      </c>
      <c r="I14" s="83">
        <v>0.61135300000000004</v>
      </c>
      <c r="J14" s="83">
        <v>4.4989999999999999E-4</v>
      </c>
      <c r="K14" s="83">
        <v>3.7333500000000002</v>
      </c>
      <c r="L14" s="83">
        <v>0.61336800000000002</v>
      </c>
      <c r="M14" s="83">
        <v>4.4989999999999999E-4</v>
      </c>
      <c r="N14" s="83">
        <v>3.7647699999999999</v>
      </c>
      <c r="O14" s="83">
        <v>0.60532399999999997</v>
      </c>
      <c r="P14" s="83">
        <v>4.4989999999999999E-4</v>
      </c>
      <c r="Q14" s="83">
        <v>3.83941</v>
      </c>
      <c r="R14" s="83">
        <v>0.61304499999999995</v>
      </c>
      <c r="S14" s="83">
        <v>4.4989999999999999E-4</v>
      </c>
      <c r="T14" s="83">
        <v>3.8868299999999998</v>
      </c>
      <c r="U14" s="83">
        <v>0.61418099999999998</v>
      </c>
      <c r="V14" s="83">
        <v>4.4989999999999999E-4</v>
      </c>
      <c r="W14" s="83">
        <v>3.9249900000000002</v>
      </c>
      <c r="X14" s="83">
        <v>0.60888200000000003</v>
      </c>
      <c r="Y14" s="83">
        <v>4.4989999999999999E-4</v>
      </c>
      <c r="Z14" s="83">
        <v>3.9578199999999999</v>
      </c>
      <c r="AA14" s="83">
        <v>0.60473900000000003</v>
      </c>
      <c r="AB14" s="83">
        <v>4.4989999999999999E-4</v>
      </c>
      <c r="AC14" s="83">
        <v>4.0265399999999998</v>
      </c>
      <c r="AD14" s="83">
        <v>0.606379</v>
      </c>
      <c r="AE14" s="83">
        <v>4.4989999999999999E-4</v>
      </c>
      <c r="AF14" s="83">
        <v>4.0872000000000002</v>
      </c>
      <c r="AG14" s="83">
        <v>0.61021199999999998</v>
      </c>
      <c r="AH14" s="83">
        <v>4.4989999999999999E-4</v>
      </c>
      <c r="AI14" s="83">
        <v>4.1427199999999997</v>
      </c>
      <c r="AJ14" s="83">
        <v>0.61011899999999997</v>
      </c>
      <c r="AK14" s="83">
        <v>4.4989999999999999E-4</v>
      </c>
      <c r="AL14" s="83">
        <v>4.1891800000000003</v>
      </c>
      <c r="AM14" s="83">
        <v>0.60878699999999997</v>
      </c>
      <c r="AN14" s="83">
        <v>4.4989999999999999E-4</v>
      </c>
      <c r="AO14" s="83">
        <v>4.2485900000000001</v>
      </c>
      <c r="AP14" s="83">
        <v>0.61003600000000002</v>
      </c>
      <c r="AQ14" s="83">
        <v>4.4989999999999999E-4</v>
      </c>
      <c r="AR14" s="83">
        <v>4.282</v>
      </c>
      <c r="AS14" s="83">
        <v>0.60425700000000004</v>
      </c>
      <c r="AT14" s="83">
        <v>4.4989999999999999E-4</v>
      </c>
      <c r="AU14" s="83">
        <v>4.32836</v>
      </c>
      <c r="AV14" s="83">
        <v>0.59970800000000002</v>
      </c>
      <c r="AW14" s="83">
        <v>4.4989999999999999E-4</v>
      </c>
      <c r="AX14" s="83">
        <v>4.4145099999999999</v>
      </c>
      <c r="AY14" s="83">
        <v>0.60675500000000004</v>
      </c>
      <c r="AZ14" s="83">
        <v>4.4989999999999999E-4</v>
      </c>
      <c r="BA14" s="83">
        <v>4.4579899999999997</v>
      </c>
      <c r="BB14" s="83">
        <v>0.60356200000000004</v>
      </c>
      <c r="BC14" s="83">
        <v>4.4989999999999999E-4</v>
      </c>
      <c r="BD14" s="83">
        <v>4.5719900000000004</v>
      </c>
      <c r="BE14" s="83">
        <v>0.61746299999999998</v>
      </c>
      <c r="BF14" s="83">
        <v>4.4989999999999999E-4</v>
      </c>
      <c r="BG14" s="83">
        <v>4.6359700000000004</v>
      </c>
      <c r="BH14" s="83">
        <v>0.61522100000000002</v>
      </c>
      <c r="BI14" s="83">
        <v>4.4989999999999999E-4</v>
      </c>
      <c r="BJ14" s="83">
        <v>4.6847899999999996</v>
      </c>
      <c r="BK14" s="83">
        <v>0.61046699999999998</v>
      </c>
      <c r="BL14" s="83">
        <v>4.4989999999999999E-4</v>
      </c>
      <c r="BM14" s="83">
        <v>4.7438200000000004</v>
      </c>
      <c r="BN14" s="83">
        <v>0.60806899999999997</v>
      </c>
      <c r="BO14" s="83">
        <v>4.4989999999999999E-4</v>
      </c>
      <c r="BP14" s="83">
        <v>4.8061800000000003</v>
      </c>
      <c r="BQ14" s="83">
        <v>0.60645400000000005</v>
      </c>
      <c r="BR14" s="83">
        <v>4.4989999999999999E-4</v>
      </c>
      <c r="BS14" s="83">
        <v>4.8829200000000004</v>
      </c>
      <c r="BT14" s="83">
        <v>0.60728400000000005</v>
      </c>
      <c r="BU14" s="83">
        <v>4.4989999999999999E-4</v>
      </c>
      <c r="BV14" s="83">
        <v>4.99526</v>
      </c>
      <c r="BW14" s="83">
        <v>0.62230099999999999</v>
      </c>
      <c r="BX14" s="83">
        <v>4.4989999999999999E-4</v>
      </c>
      <c r="BY14" s="83">
        <v>4.9970100000000004</v>
      </c>
      <c r="BZ14" s="83">
        <v>0.60658599999999996</v>
      </c>
      <c r="CA14" s="83">
        <v>4.4989999999999999E-4</v>
      </c>
      <c r="CB14" s="83">
        <v>4.9972799999999999</v>
      </c>
      <c r="CC14" s="83">
        <v>0.62230600000000003</v>
      </c>
      <c r="CD14" s="83">
        <v>4.4989999999999999E-4</v>
      </c>
      <c r="CE14" s="83">
        <v>4.9975800000000001</v>
      </c>
      <c r="CF14" s="83">
        <v>0.608344</v>
      </c>
      <c r="CG14" s="83">
        <v>4.4989999999999999E-4</v>
      </c>
      <c r="CH14" s="83">
        <v>4.9982100000000003</v>
      </c>
      <c r="CI14" s="83">
        <v>0.60457000000000005</v>
      </c>
      <c r="CJ14" s="83">
        <v>4.4989999999999999E-4</v>
      </c>
      <c r="CK14" s="83">
        <v>4.9990899999999998</v>
      </c>
      <c r="CL14" s="83">
        <v>0.60476799999999997</v>
      </c>
      <c r="CM14" s="83">
        <v>4.4989999999999999E-4</v>
      </c>
      <c r="CN14" s="83">
        <v>4.9996200000000002</v>
      </c>
      <c r="CO14" s="83">
        <v>0.61556200000000005</v>
      </c>
      <c r="CP14" s="83">
        <v>4.4989999999999999E-4</v>
      </c>
      <c r="CQ14" s="83">
        <v>4.99817</v>
      </c>
      <c r="CR14" s="83">
        <v>0.61312999999999995</v>
      </c>
      <c r="CS14" s="83">
        <v>4.4989999999999999E-4</v>
      </c>
      <c r="CT14" s="83">
        <v>4.9987399999999997</v>
      </c>
      <c r="CU14" s="83">
        <v>0.62046199999999996</v>
      </c>
      <c r="CV14" s="83">
        <v>4.4989999999999999E-4</v>
      </c>
      <c r="CW14" s="83">
        <v>4.9987599999999999</v>
      </c>
      <c r="CX14" s="83">
        <v>0.61385500000000004</v>
      </c>
    </row>
    <row r="15" spans="1:102" x14ac:dyDescent="0.2">
      <c r="A15" s="83">
        <v>5.4989999999999998E-4</v>
      </c>
      <c r="B15" s="83">
        <v>3.3624499999999999</v>
      </c>
      <c r="C15" s="83">
        <v>0.57809500000000003</v>
      </c>
      <c r="D15" s="83">
        <v>5.4989999999999998E-4</v>
      </c>
      <c r="E15" s="83">
        <v>3.4831699999999999</v>
      </c>
      <c r="F15" s="83">
        <v>0.587287</v>
      </c>
      <c r="G15" s="83">
        <v>5.4989999999999998E-4</v>
      </c>
      <c r="H15" s="83">
        <v>3.54853</v>
      </c>
      <c r="I15" s="83">
        <v>0.58489999999999998</v>
      </c>
      <c r="J15" s="83">
        <v>5.4989999999999998E-4</v>
      </c>
      <c r="K15" s="83">
        <v>3.6653199999999999</v>
      </c>
      <c r="L15" s="83">
        <v>0.58854700000000004</v>
      </c>
      <c r="M15" s="83">
        <v>5.4989999999999998E-4</v>
      </c>
      <c r="N15" s="83">
        <v>3.69665</v>
      </c>
      <c r="O15" s="83">
        <v>0.57877500000000004</v>
      </c>
      <c r="P15" s="83">
        <v>5.4989999999999998E-4</v>
      </c>
      <c r="Q15" s="83">
        <v>3.76831</v>
      </c>
      <c r="R15" s="83">
        <v>0.587592</v>
      </c>
      <c r="S15" s="83">
        <v>5.4989999999999998E-4</v>
      </c>
      <c r="T15" s="83">
        <v>3.81534</v>
      </c>
      <c r="U15" s="83">
        <v>0.58904999999999996</v>
      </c>
      <c r="V15" s="83">
        <v>5.4989999999999998E-4</v>
      </c>
      <c r="W15" s="83">
        <v>3.8561800000000002</v>
      </c>
      <c r="X15" s="83">
        <v>0.58382599999999996</v>
      </c>
      <c r="Y15" s="83">
        <v>5.4989999999999998E-4</v>
      </c>
      <c r="Z15" s="83">
        <v>3.8917099999999998</v>
      </c>
      <c r="AA15" s="83">
        <v>0.58015799999999995</v>
      </c>
      <c r="AB15" s="83">
        <v>5.4989999999999998E-4</v>
      </c>
      <c r="AC15" s="83">
        <v>3.95505</v>
      </c>
      <c r="AD15" s="83">
        <v>0.580484</v>
      </c>
      <c r="AE15" s="83">
        <v>5.4989999999999998E-4</v>
      </c>
      <c r="AF15" s="83">
        <v>4.0123600000000001</v>
      </c>
      <c r="AG15" s="83">
        <v>0.58418499999999995</v>
      </c>
      <c r="AH15" s="83">
        <v>5.4989999999999998E-4</v>
      </c>
      <c r="AI15" s="83">
        <v>4.0704500000000001</v>
      </c>
      <c r="AJ15" s="83">
        <v>0.58488200000000001</v>
      </c>
      <c r="AK15" s="83">
        <v>5.4989999999999998E-4</v>
      </c>
      <c r="AL15" s="83">
        <v>4.1144400000000001</v>
      </c>
      <c r="AM15" s="83">
        <v>0.58270900000000003</v>
      </c>
      <c r="AN15" s="83">
        <v>5.4989999999999998E-4</v>
      </c>
      <c r="AO15" s="83">
        <v>4.1715499999999999</v>
      </c>
      <c r="AP15" s="83">
        <v>0.58446200000000004</v>
      </c>
      <c r="AQ15" s="83">
        <v>5.4989999999999998E-4</v>
      </c>
      <c r="AR15" s="83">
        <v>4.20547</v>
      </c>
      <c r="AS15" s="83">
        <v>0.57778600000000002</v>
      </c>
      <c r="AT15" s="83">
        <v>5.4989999999999998E-4</v>
      </c>
      <c r="AU15" s="83">
        <v>4.2534299999999998</v>
      </c>
      <c r="AV15" s="83">
        <v>0.57294</v>
      </c>
      <c r="AW15" s="83">
        <v>5.4989999999999998E-4</v>
      </c>
      <c r="AX15" s="83">
        <v>4.3347899999999999</v>
      </c>
      <c r="AY15" s="83">
        <v>0.58011999999999997</v>
      </c>
      <c r="AZ15" s="83">
        <v>5.4989999999999998E-4</v>
      </c>
      <c r="BA15" s="83">
        <v>4.3769400000000003</v>
      </c>
      <c r="BB15" s="83">
        <v>0.576156</v>
      </c>
      <c r="BC15" s="83">
        <v>5.4989999999999998E-4</v>
      </c>
      <c r="BD15" s="83">
        <v>4.4889099999999997</v>
      </c>
      <c r="BE15" s="83">
        <v>0.59321800000000002</v>
      </c>
      <c r="BF15" s="83">
        <v>5.4989999999999998E-4</v>
      </c>
      <c r="BG15" s="83">
        <v>4.5544399999999996</v>
      </c>
      <c r="BH15" s="83">
        <v>0.59168900000000002</v>
      </c>
      <c r="BI15" s="83">
        <v>5.4989999999999998E-4</v>
      </c>
      <c r="BJ15" s="83">
        <v>4.5965499999999997</v>
      </c>
      <c r="BK15" s="83">
        <v>0.583901</v>
      </c>
      <c r="BL15" s="83">
        <v>5.4989999999999998E-4</v>
      </c>
      <c r="BM15" s="83">
        <v>4.6551900000000002</v>
      </c>
      <c r="BN15" s="83">
        <v>0.58109599999999995</v>
      </c>
      <c r="BO15" s="83">
        <v>5.4989999999999998E-4</v>
      </c>
      <c r="BP15" s="83">
        <v>4.7176400000000003</v>
      </c>
      <c r="BQ15" s="83">
        <v>0.57936500000000002</v>
      </c>
      <c r="BR15" s="83">
        <v>5.4989999999999998E-4</v>
      </c>
      <c r="BS15" s="83">
        <v>4.7936399999999999</v>
      </c>
      <c r="BT15" s="83">
        <v>0.58063900000000002</v>
      </c>
      <c r="BU15" s="83">
        <v>5.4989999999999998E-4</v>
      </c>
      <c r="BV15" s="83">
        <v>4.9274399999999998</v>
      </c>
      <c r="BW15" s="83">
        <v>0.59714999999999996</v>
      </c>
      <c r="BX15" s="83">
        <v>5.4989999999999998E-4</v>
      </c>
      <c r="BY15" s="83">
        <v>4.93255</v>
      </c>
      <c r="BZ15" s="83">
        <v>0.578623</v>
      </c>
      <c r="CA15" s="83">
        <v>5.4989999999999998E-4</v>
      </c>
      <c r="CB15" s="83">
        <v>4.9972799999999999</v>
      </c>
      <c r="CC15" s="83">
        <v>0.59769700000000003</v>
      </c>
      <c r="CD15" s="83">
        <v>5.4989999999999998E-4</v>
      </c>
      <c r="CE15" s="83">
        <v>4.9975800000000001</v>
      </c>
      <c r="CF15" s="83">
        <v>0.580623</v>
      </c>
      <c r="CG15" s="83">
        <v>5.4989999999999998E-4</v>
      </c>
      <c r="CH15" s="83">
        <v>4.9982100000000003</v>
      </c>
      <c r="CI15" s="83">
        <v>0.57579599999999997</v>
      </c>
      <c r="CJ15" s="83">
        <v>5.4989999999999998E-4</v>
      </c>
      <c r="CK15" s="83">
        <v>4.9990899999999998</v>
      </c>
      <c r="CL15" s="83">
        <v>0.57701400000000003</v>
      </c>
      <c r="CM15" s="83">
        <v>5.4989999999999998E-4</v>
      </c>
      <c r="CN15" s="83">
        <v>4.9996200000000002</v>
      </c>
      <c r="CO15" s="83">
        <v>0.58905600000000002</v>
      </c>
      <c r="CP15" s="83">
        <v>5.4989999999999998E-4</v>
      </c>
      <c r="CQ15" s="83">
        <v>4.99817</v>
      </c>
      <c r="CR15" s="83">
        <v>0.58655900000000005</v>
      </c>
      <c r="CS15" s="83">
        <v>5.4989999999999998E-4</v>
      </c>
      <c r="CT15" s="83">
        <v>4.9987399999999997</v>
      </c>
      <c r="CU15" s="83">
        <v>0.59405300000000005</v>
      </c>
      <c r="CV15" s="83">
        <v>5.4989999999999998E-4</v>
      </c>
      <c r="CW15" s="83">
        <v>4.9987599999999999</v>
      </c>
      <c r="CX15" s="83">
        <v>0.58575299999999997</v>
      </c>
    </row>
    <row r="16" spans="1:102" x14ac:dyDescent="0.2">
      <c r="A16" s="83">
        <v>6.4990000000000002E-4</v>
      </c>
      <c r="B16" s="83">
        <v>3.2858399999999999</v>
      </c>
      <c r="C16" s="83">
        <v>0.54450600000000005</v>
      </c>
      <c r="D16" s="83">
        <v>6.4990000000000002E-4</v>
      </c>
      <c r="E16" s="83">
        <v>3.4036499999999998</v>
      </c>
      <c r="F16" s="83">
        <v>0.55352299999999999</v>
      </c>
      <c r="G16" s="83">
        <v>6.4990000000000002E-4</v>
      </c>
      <c r="H16" s="83">
        <v>3.46767</v>
      </c>
      <c r="I16" s="83">
        <v>0.55115800000000004</v>
      </c>
      <c r="J16" s="83">
        <v>6.4990000000000002E-4</v>
      </c>
      <c r="K16" s="83">
        <v>3.5860699999999999</v>
      </c>
      <c r="L16" s="83">
        <v>0.55628699999999998</v>
      </c>
      <c r="M16" s="83">
        <v>6.4990000000000002E-4</v>
      </c>
      <c r="N16" s="83">
        <v>3.6147100000000001</v>
      </c>
      <c r="O16" s="83">
        <v>0.54565600000000003</v>
      </c>
      <c r="P16" s="83">
        <v>6.4990000000000002E-4</v>
      </c>
      <c r="Q16" s="83">
        <v>3.6867800000000002</v>
      </c>
      <c r="R16" s="83">
        <v>0.55501299999999998</v>
      </c>
      <c r="S16" s="83">
        <v>6.4990000000000002E-4</v>
      </c>
      <c r="T16" s="83">
        <v>3.7307199999999998</v>
      </c>
      <c r="U16" s="83">
        <v>0.55615499999999995</v>
      </c>
      <c r="V16" s="83">
        <v>6.4990000000000002E-4</v>
      </c>
      <c r="W16" s="83">
        <v>3.76966</v>
      </c>
      <c r="X16" s="83">
        <v>0.55003899999999994</v>
      </c>
      <c r="Y16" s="83">
        <v>6.4990000000000002E-4</v>
      </c>
      <c r="Z16" s="83">
        <v>3.8066399999999998</v>
      </c>
      <c r="AA16" s="83">
        <v>0.54720100000000005</v>
      </c>
      <c r="AB16" s="83">
        <v>6.4990000000000002E-4</v>
      </c>
      <c r="AC16" s="83">
        <v>3.8697599999999999</v>
      </c>
      <c r="AD16" s="83">
        <v>0.54761099999999996</v>
      </c>
      <c r="AE16" s="83">
        <v>6.4990000000000002E-4</v>
      </c>
      <c r="AF16" s="83">
        <v>3.9243100000000002</v>
      </c>
      <c r="AG16" s="83">
        <v>0.55077100000000001</v>
      </c>
      <c r="AH16" s="83">
        <v>6.4990000000000002E-4</v>
      </c>
      <c r="AI16" s="83">
        <v>3.9793599999999998</v>
      </c>
      <c r="AJ16" s="83">
        <v>0.551203</v>
      </c>
      <c r="AK16" s="83">
        <v>6.4990000000000002E-4</v>
      </c>
      <c r="AL16" s="83">
        <v>4.0232900000000003</v>
      </c>
      <c r="AM16" s="83">
        <v>0.54952100000000004</v>
      </c>
      <c r="AN16" s="83">
        <v>6.4990000000000002E-4</v>
      </c>
      <c r="AO16" s="83">
        <v>4.0796099999999997</v>
      </c>
      <c r="AP16" s="83">
        <v>0.55116200000000004</v>
      </c>
      <c r="AQ16" s="83">
        <v>6.4990000000000002E-4</v>
      </c>
      <c r="AR16" s="83">
        <v>4.1125499999999997</v>
      </c>
      <c r="AS16" s="83">
        <v>0.54438900000000001</v>
      </c>
      <c r="AT16" s="83">
        <v>6.4990000000000002E-4</v>
      </c>
      <c r="AU16" s="83">
        <v>4.1625800000000002</v>
      </c>
      <c r="AV16" s="83">
        <v>0.54100099999999995</v>
      </c>
      <c r="AW16" s="83">
        <v>6.4990000000000002E-4</v>
      </c>
      <c r="AX16" s="83">
        <v>4.2392000000000003</v>
      </c>
      <c r="AY16" s="83">
        <v>0.54661300000000002</v>
      </c>
      <c r="AZ16" s="83">
        <v>6.4990000000000002E-4</v>
      </c>
      <c r="BA16" s="83">
        <v>4.2816999999999998</v>
      </c>
      <c r="BB16" s="83">
        <v>0.54354899999999995</v>
      </c>
      <c r="BC16" s="83">
        <v>6.4990000000000002E-4</v>
      </c>
      <c r="BD16" s="83">
        <v>4.3898299999999999</v>
      </c>
      <c r="BE16" s="83">
        <v>0.56058300000000005</v>
      </c>
      <c r="BF16" s="83">
        <v>6.4990000000000002E-4</v>
      </c>
      <c r="BG16" s="83">
        <v>4.4548899999999998</v>
      </c>
      <c r="BH16" s="83">
        <v>0.55952000000000002</v>
      </c>
      <c r="BI16" s="83">
        <v>6.4990000000000002E-4</v>
      </c>
      <c r="BJ16" s="83">
        <v>4.49491</v>
      </c>
      <c r="BK16" s="83">
        <v>0.55065500000000001</v>
      </c>
      <c r="BL16" s="83">
        <v>6.4990000000000002E-4</v>
      </c>
      <c r="BM16" s="83">
        <v>4.55098</v>
      </c>
      <c r="BN16" s="83">
        <v>0.54785600000000001</v>
      </c>
      <c r="BO16" s="83">
        <v>6.4990000000000002E-4</v>
      </c>
      <c r="BP16" s="83">
        <v>4.6113499999999998</v>
      </c>
      <c r="BQ16" s="83">
        <v>0.54620000000000002</v>
      </c>
      <c r="BR16" s="83">
        <v>6.4990000000000002E-4</v>
      </c>
      <c r="BS16" s="83">
        <v>4.6864499999999998</v>
      </c>
      <c r="BT16" s="83">
        <v>0.54764199999999996</v>
      </c>
      <c r="BU16" s="83">
        <v>6.4990000000000002E-4</v>
      </c>
      <c r="BV16" s="83">
        <v>4.81304</v>
      </c>
      <c r="BW16" s="83">
        <v>0.56318199999999996</v>
      </c>
      <c r="BX16" s="83">
        <v>6.4990000000000002E-4</v>
      </c>
      <c r="BY16" s="83">
        <v>4.8197700000000001</v>
      </c>
      <c r="BZ16" s="83">
        <v>0.54449199999999998</v>
      </c>
      <c r="CA16" s="83">
        <v>6.4990000000000002E-4</v>
      </c>
      <c r="CB16" s="83">
        <v>4.9648700000000003</v>
      </c>
      <c r="CC16" s="83">
        <v>0.56420800000000004</v>
      </c>
      <c r="CD16" s="83">
        <v>6.4990000000000002E-4</v>
      </c>
      <c r="CE16" s="83">
        <v>4.9725099999999998</v>
      </c>
      <c r="CF16" s="83">
        <v>0.54658499999999999</v>
      </c>
      <c r="CG16" s="83">
        <v>6.4990000000000002E-4</v>
      </c>
      <c r="CH16" s="83">
        <v>4.9969599999999996</v>
      </c>
      <c r="CI16" s="83">
        <v>0.54249800000000004</v>
      </c>
      <c r="CJ16" s="83">
        <v>6.4990000000000002E-4</v>
      </c>
      <c r="CK16" s="83">
        <v>4.9990899999999998</v>
      </c>
      <c r="CL16" s="83">
        <v>0.54322199999999998</v>
      </c>
      <c r="CM16" s="83">
        <v>6.4990000000000002E-4</v>
      </c>
      <c r="CN16" s="83">
        <v>4.9996200000000002</v>
      </c>
      <c r="CO16" s="83">
        <v>0.55481899999999995</v>
      </c>
      <c r="CP16" s="83">
        <v>6.4990000000000002E-4</v>
      </c>
      <c r="CQ16" s="83">
        <v>4.99817</v>
      </c>
      <c r="CR16" s="83">
        <v>0.55282600000000004</v>
      </c>
      <c r="CS16" s="83">
        <v>6.4990000000000002E-4</v>
      </c>
      <c r="CT16" s="83">
        <v>4.9987399999999997</v>
      </c>
      <c r="CU16" s="83">
        <v>0.56015400000000004</v>
      </c>
      <c r="CV16" s="83">
        <v>6.4990000000000002E-4</v>
      </c>
      <c r="CW16" s="83">
        <v>4.9987599999999999</v>
      </c>
      <c r="CX16" s="83">
        <v>0.552257</v>
      </c>
    </row>
    <row r="17" spans="1:102" x14ac:dyDescent="0.2">
      <c r="A17" s="83">
        <v>7.4989999999999996E-4</v>
      </c>
      <c r="B17" s="83">
        <v>3.2082899999999999</v>
      </c>
      <c r="C17" s="83">
        <v>0.51197300000000001</v>
      </c>
      <c r="D17" s="83">
        <v>7.4989999999999996E-4</v>
      </c>
      <c r="E17" s="83">
        <v>3.32281</v>
      </c>
      <c r="F17" s="83">
        <v>0.51986299999999996</v>
      </c>
      <c r="G17" s="83">
        <v>7.4989999999999996E-4</v>
      </c>
      <c r="H17" s="83">
        <v>3.3885000000000001</v>
      </c>
      <c r="I17" s="83">
        <v>0.51934100000000005</v>
      </c>
      <c r="J17" s="83">
        <v>7.4989999999999996E-4</v>
      </c>
      <c r="K17" s="83">
        <v>3.5051899999999998</v>
      </c>
      <c r="L17" s="83">
        <v>0.52344400000000002</v>
      </c>
      <c r="M17" s="83">
        <v>7.4989999999999996E-4</v>
      </c>
      <c r="N17" s="83">
        <v>3.5320900000000002</v>
      </c>
      <c r="O17" s="83">
        <v>0.51362399999999997</v>
      </c>
      <c r="P17" s="83">
        <v>7.4989999999999996E-4</v>
      </c>
      <c r="Q17" s="83">
        <v>3.6032000000000002</v>
      </c>
      <c r="R17" s="83">
        <v>0.522285</v>
      </c>
      <c r="S17" s="83">
        <v>7.4989999999999996E-4</v>
      </c>
      <c r="T17" s="83">
        <v>3.64588</v>
      </c>
      <c r="U17" s="83">
        <v>0.52303500000000003</v>
      </c>
      <c r="V17" s="83">
        <v>7.4989999999999996E-4</v>
      </c>
      <c r="W17" s="83">
        <v>3.6824400000000002</v>
      </c>
      <c r="X17" s="83">
        <v>0.51717800000000003</v>
      </c>
      <c r="Y17" s="83">
        <v>7.4989999999999996E-4</v>
      </c>
      <c r="Z17" s="83">
        <v>3.72051</v>
      </c>
      <c r="AA17" s="83">
        <v>0.51538499999999998</v>
      </c>
      <c r="AB17" s="83">
        <v>7.4989999999999996E-4</v>
      </c>
      <c r="AC17" s="83">
        <v>3.7812800000000002</v>
      </c>
      <c r="AD17" s="83">
        <v>0.51537999999999995</v>
      </c>
      <c r="AE17" s="83">
        <v>7.4989999999999996E-4</v>
      </c>
      <c r="AF17" s="83">
        <v>3.83392</v>
      </c>
      <c r="AG17" s="83">
        <v>0.51774600000000004</v>
      </c>
      <c r="AH17" s="83">
        <v>7.4989999999999996E-4</v>
      </c>
      <c r="AI17" s="83">
        <v>3.8887200000000002</v>
      </c>
      <c r="AJ17" s="83">
        <v>0.51846800000000004</v>
      </c>
      <c r="AK17" s="83">
        <v>7.4989999999999996E-4</v>
      </c>
      <c r="AL17" s="83">
        <v>3.9316499999999999</v>
      </c>
      <c r="AM17" s="83">
        <v>0.517316</v>
      </c>
      <c r="AN17" s="83">
        <v>7.4989999999999996E-4</v>
      </c>
      <c r="AO17" s="83">
        <v>3.9859800000000001</v>
      </c>
      <c r="AP17" s="83">
        <v>0.51835500000000001</v>
      </c>
      <c r="AQ17" s="83">
        <v>7.4989999999999996E-4</v>
      </c>
      <c r="AR17" s="83">
        <v>4.0175000000000001</v>
      </c>
      <c r="AS17" s="83">
        <v>0.51185999999999998</v>
      </c>
      <c r="AT17" s="83">
        <v>7.4989999999999996E-4</v>
      </c>
      <c r="AU17" s="83">
        <v>4.0696399999999997</v>
      </c>
      <c r="AV17" s="83">
        <v>0.510181</v>
      </c>
      <c r="AW17" s="83">
        <v>7.4989999999999996E-4</v>
      </c>
      <c r="AX17" s="83">
        <v>4.1407600000000002</v>
      </c>
      <c r="AY17" s="83">
        <v>0.51402400000000004</v>
      </c>
      <c r="AZ17" s="83">
        <v>7.4989999999999996E-4</v>
      </c>
      <c r="BA17" s="83">
        <v>4.1844299999999999</v>
      </c>
      <c r="BB17" s="83">
        <v>0.511961</v>
      </c>
      <c r="BC17" s="83">
        <v>7.4989999999999996E-4</v>
      </c>
      <c r="BD17" s="83">
        <v>4.2875800000000002</v>
      </c>
      <c r="BE17" s="83">
        <v>0.526779</v>
      </c>
      <c r="BF17" s="83">
        <v>7.4989999999999996E-4</v>
      </c>
      <c r="BG17" s="83">
        <v>4.3517400000000004</v>
      </c>
      <c r="BH17" s="83">
        <v>0.52614700000000003</v>
      </c>
      <c r="BI17" s="83">
        <v>7.4989999999999996E-4</v>
      </c>
      <c r="BJ17" s="83">
        <v>4.3895499999999998</v>
      </c>
      <c r="BK17" s="83">
        <v>0.51785300000000001</v>
      </c>
      <c r="BL17" s="83">
        <v>7.4989999999999996E-4</v>
      </c>
      <c r="BM17" s="83">
        <v>4.44374</v>
      </c>
      <c r="BN17" s="83">
        <v>0.51527100000000003</v>
      </c>
      <c r="BO17" s="83">
        <v>7.4989999999999996E-4</v>
      </c>
      <c r="BP17" s="83">
        <v>4.5045999999999999</v>
      </c>
      <c r="BQ17" s="83">
        <v>0.51446000000000003</v>
      </c>
      <c r="BR17" s="83">
        <v>7.4989999999999996E-4</v>
      </c>
      <c r="BS17" s="83">
        <v>4.5772199999999996</v>
      </c>
      <c r="BT17" s="83">
        <v>0.51570000000000005</v>
      </c>
      <c r="BU17" s="83">
        <v>7.4989999999999996E-4</v>
      </c>
      <c r="BV17" s="83">
        <v>4.6974499999999999</v>
      </c>
      <c r="BW17" s="83">
        <v>0.52889200000000003</v>
      </c>
      <c r="BX17" s="83">
        <v>7.4989999999999996E-4</v>
      </c>
      <c r="BY17" s="83">
        <v>4.7040199999999999</v>
      </c>
      <c r="BZ17" s="83">
        <v>0.51223600000000002</v>
      </c>
      <c r="CA17" s="83">
        <v>7.4989999999999996E-4</v>
      </c>
      <c r="CB17" s="83">
        <v>4.8508800000000001</v>
      </c>
      <c r="CC17" s="83">
        <v>0.53052600000000005</v>
      </c>
      <c r="CD17" s="83">
        <v>7.4989999999999996E-4</v>
      </c>
      <c r="CE17" s="83">
        <v>4.8598299999999997</v>
      </c>
      <c r="CF17" s="83">
        <v>0.51387899999999997</v>
      </c>
      <c r="CG17" s="83">
        <v>7.4989999999999996E-4</v>
      </c>
      <c r="CH17" s="83">
        <v>4.9203700000000001</v>
      </c>
      <c r="CI17" s="83">
        <v>0.51085899999999995</v>
      </c>
      <c r="CJ17" s="83">
        <v>7.4989999999999996E-4</v>
      </c>
      <c r="CK17" s="83">
        <v>4.9849100000000002</v>
      </c>
      <c r="CL17" s="83">
        <v>0.51116899999999998</v>
      </c>
      <c r="CM17" s="83">
        <v>7.4989999999999996E-4</v>
      </c>
      <c r="CN17" s="83">
        <v>4.9996200000000002</v>
      </c>
      <c r="CO17" s="83">
        <v>0.52136899999999997</v>
      </c>
      <c r="CP17" s="83">
        <v>7.4989999999999996E-4</v>
      </c>
      <c r="CQ17" s="83">
        <v>4.99817</v>
      </c>
      <c r="CR17" s="83">
        <v>0.52009300000000003</v>
      </c>
      <c r="CS17" s="83">
        <v>7.4989999999999996E-4</v>
      </c>
      <c r="CT17" s="83">
        <v>4.9987399999999997</v>
      </c>
      <c r="CU17" s="83">
        <v>0.526779</v>
      </c>
      <c r="CV17" s="83">
        <v>7.4989999999999996E-4</v>
      </c>
      <c r="CW17" s="83">
        <v>4.9987599999999999</v>
      </c>
      <c r="CX17" s="83">
        <v>0.51972399999999996</v>
      </c>
    </row>
    <row r="18" spans="1:102" x14ac:dyDescent="0.2">
      <c r="A18" s="83">
        <v>8.499E-4</v>
      </c>
      <c r="B18" s="83">
        <v>3.1303100000000001</v>
      </c>
      <c r="C18" s="83">
        <v>0.481518</v>
      </c>
      <c r="D18" s="83">
        <v>8.499E-4</v>
      </c>
      <c r="E18" s="83">
        <v>3.2425099999999998</v>
      </c>
      <c r="F18" s="83">
        <v>0.48882900000000001</v>
      </c>
      <c r="G18" s="83">
        <v>8.499E-4</v>
      </c>
      <c r="H18" s="83">
        <v>3.30911</v>
      </c>
      <c r="I18" s="83">
        <v>0.48919299999999999</v>
      </c>
      <c r="J18" s="83">
        <v>8.499E-4</v>
      </c>
      <c r="K18" s="83">
        <v>3.42191</v>
      </c>
      <c r="L18" s="83">
        <v>0.49225099999999999</v>
      </c>
      <c r="M18" s="83">
        <v>8.499E-4</v>
      </c>
      <c r="N18" s="83">
        <v>3.4493</v>
      </c>
      <c r="O18" s="83">
        <v>0.48388399999999998</v>
      </c>
      <c r="P18" s="83">
        <v>8.499E-4</v>
      </c>
      <c r="Q18" s="83">
        <v>3.5180199999999999</v>
      </c>
      <c r="R18" s="83">
        <v>0.491035</v>
      </c>
      <c r="S18" s="83">
        <v>8.499E-4</v>
      </c>
      <c r="T18" s="83">
        <v>3.5604900000000002</v>
      </c>
      <c r="U18" s="83">
        <v>0.49228100000000002</v>
      </c>
      <c r="V18" s="83">
        <v>8.499E-4</v>
      </c>
      <c r="W18" s="83">
        <v>3.5955699999999999</v>
      </c>
      <c r="X18" s="83">
        <v>0.48661300000000002</v>
      </c>
      <c r="Y18" s="83">
        <v>8.499E-4</v>
      </c>
      <c r="Z18" s="83">
        <v>3.6335700000000002</v>
      </c>
      <c r="AA18" s="83">
        <v>0.48535499999999998</v>
      </c>
      <c r="AB18" s="83">
        <v>8.499E-4</v>
      </c>
      <c r="AC18" s="83">
        <v>3.6916199999999999</v>
      </c>
      <c r="AD18" s="83">
        <v>0.48483100000000001</v>
      </c>
      <c r="AE18" s="83">
        <v>8.499E-4</v>
      </c>
      <c r="AF18" s="83">
        <v>3.7440600000000002</v>
      </c>
      <c r="AG18" s="83">
        <v>0.48760100000000001</v>
      </c>
      <c r="AH18" s="83">
        <v>8.499E-4</v>
      </c>
      <c r="AI18" s="83">
        <v>3.7965499999999999</v>
      </c>
      <c r="AJ18" s="83">
        <v>0.48771100000000001</v>
      </c>
      <c r="AK18" s="83">
        <v>8.499E-4</v>
      </c>
      <c r="AL18" s="83">
        <v>3.8389099999999998</v>
      </c>
      <c r="AM18" s="83">
        <v>0.48666399999999999</v>
      </c>
      <c r="AN18" s="83">
        <v>8.499E-4</v>
      </c>
      <c r="AO18" s="83">
        <v>3.8912200000000001</v>
      </c>
      <c r="AP18" s="83">
        <v>0.48757499999999998</v>
      </c>
      <c r="AQ18" s="83">
        <v>8.499E-4</v>
      </c>
      <c r="AR18" s="83">
        <v>3.92204</v>
      </c>
      <c r="AS18" s="83">
        <v>0.48171599999999998</v>
      </c>
      <c r="AT18" s="83">
        <v>8.499E-4</v>
      </c>
      <c r="AU18" s="83">
        <v>3.9757400000000001</v>
      </c>
      <c r="AV18" s="83">
        <v>0.48128599999999999</v>
      </c>
      <c r="AW18" s="83">
        <v>8.499E-4</v>
      </c>
      <c r="AX18" s="83">
        <v>4.0411599999999996</v>
      </c>
      <c r="AY18" s="83">
        <v>0.48351300000000003</v>
      </c>
      <c r="AZ18" s="83">
        <v>8.499E-4</v>
      </c>
      <c r="BA18" s="83">
        <v>4.0844399999999998</v>
      </c>
      <c r="BB18" s="83">
        <v>0.48164099999999999</v>
      </c>
      <c r="BC18" s="83">
        <v>8.499E-4</v>
      </c>
      <c r="BD18" s="83">
        <v>4.18405</v>
      </c>
      <c r="BE18" s="83">
        <v>0.49531599999999998</v>
      </c>
      <c r="BF18" s="83">
        <v>8.499E-4</v>
      </c>
      <c r="BG18" s="83">
        <v>4.24709</v>
      </c>
      <c r="BH18" s="83">
        <v>0.49490299999999998</v>
      </c>
      <c r="BI18" s="83">
        <v>8.499E-4</v>
      </c>
      <c r="BJ18" s="83">
        <v>4.2838700000000003</v>
      </c>
      <c r="BK18" s="83">
        <v>0.48732199999999998</v>
      </c>
      <c r="BL18" s="83">
        <v>8.499E-4</v>
      </c>
      <c r="BM18" s="83">
        <v>4.3365600000000004</v>
      </c>
      <c r="BN18" s="83">
        <v>0.485182</v>
      </c>
      <c r="BO18" s="83">
        <v>8.499E-4</v>
      </c>
      <c r="BP18" s="83">
        <v>4.3952099999999996</v>
      </c>
      <c r="BQ18" s="83">
        <v>0.48420099999999999</v>
      </c>
      <c r="BR18" s="83">
        <v>8.499E-4</v>
      </c>
      <c r="BS18" s="83">
        <v>4.4665400000000002</v>
      </c>
      <c r="BT18" s="83">
        <v>0.48555500000000001</v>
      </c>
      <c r="BU18" s="83">
        <v>8.499E-4</v>
      </c>
      <c r="BV18" s="83">
        <v>4.5815799999999998</v>
      </c>
      <c r="BW18" s="83">
        <v>0.49714000000000003</v>
      </c>
      <c r="BX18" s="83">
        <v>8.499E-4</v>
      </c>
      <c r="BY18" s="83">
        <v>4.5871700000000004</v>
      </c>
      <c r="BZ18" s="83">
        <v>0.48181099999999999</v>
      </c>
      <c r="CA18" s="83">
        <v>8.499E-4</v>
      </c>
      <c r="CB18" s="83">
        <v>4.73203</v>
      </c>
      <c r="CC18" s="83">
        <v>0.49924200000000002</v>
      </c>
      <c r="CD18" s="83">
        <v>8.499E-4</v>
      </c>
      <c r="CE18" s="83">
        <v>4.7377599999999997</v>
      </c>
      <c r="CF18" s="83">
        <v>0.48310900000000001</v>
      </c>
      <c r="CG18" s="83">
        <v>8.499E-4</v>
      </c>
      <c r="CH18" s="83">
        <v>4.79983</v>
      </c>
      <c r="CI18" s="83">
        <v>0.48139199999999999</v>
      </c>
      <c r="CJ18" s="83">
        <v>8.499E-4</v>
      </c>
      <c r="CK18" s="83">
        <v>4.8759199999999998</v>
      </c>
      <c r="CL18" s="83">
        <v>0.481211</v>
      </c>
      <c r="CM18" s="83">
        <v>8.499E-4</v>
      </c>
      <c r="CN18" s="83">
        <v>4.9812900000000004</v>
      </c>
      <c r="CO18" s="83">
        <v>0.49038799999999999</v>
      </c>
      <c r="CP18" s="83">
        <v>8.499E-4</v>
      </c>
      <c r="CQ18" s="83">
        <v>4.99817</v>
      </c>
      <c r="CR18" s="83">
        <v>0.489954</v>
      </c>
      <c r="CS18" s="83">
        <v>8.499E-4</v>
      </c>
      <c r="CT18" s="83">
        <v>4.9987399999999997</v>
      </c>
      <c r="CU18" s="83">
        <v>0.49604500000000001</v>
      </c>
      <c r="CV18" s="83">
        <v>8.499E-4</v>
      </c>
      <c r="CW18" s="83">
        <v>4.9987599999999999</v>
      </c>
      <c r="CX18" s="83">
        <v>0.48920200000000003</v>
      </c>
    </row>
    <row r="19" spans="1:102" x14ac:dyDescent="0.2">
      <c r="A19" s="83">
        <v>9.4990000000000005E-4</v>
      </c>
      <c r="B19" s="83">
        <v>3.0526800000000001</v>
      </c>
      <c r="C19" s="83">
        <v>0.45291700000000001</v>
      </c>
      <c r="D19" s="83">
        <v>9.4990000000000005E-4</v>
      </c>
      <c r="E19" s="83">
        <v>3.1630099999999999</v>
      </c>
      <c r="F19" s="83">
        <v>0.45996399999999998</v>
      </c>
      <c r="G19" s="83">
        <v>9.4990000000000005E-4</v>
      </c>
      <c r="H19" s="83">
        <v>3.2301700000000002</v>
      </c>
      <c r="I19" s="83">
        <v>0.461009</v>
      </c>
      <c r="J19" s="83">
        <v>9.4990000000000005E-4</v>
      </c>
      <c r="K19" s="83">
        <v>3.3383600000000002</v>
      </c>
      <c r="L19" s="83">
        <v>0.46289599999999997</v>
      </c>
      <c r="M19" s="83">
        <v>9.4990000000000005E-4</v>
      </c>
      <c r="N19" s="83">
        <v>3.3666399999999999</v>
      </c>
      <c r="O19" s="83">
        <v>0.45583000000000001</v>
      </c>
      <c r="P19" s="83">
        <v>9.4990000000000005E-4</v>
      </c>
      <c r="Q19" s="83">
        <v>3.4323199999999998</v>
      </c>
      <c r="R19" s="83">
        <v>0.46172800000000003</v>
      </c>
      <c r="S19" s="83">
        <v>9.4990000000000005E-4</v>
      </c>
      <c r="T19" s="83">
        <v>3.4756399999999998</v>
      </c>
      <c r="U19" s="83">
        <v>0.46363399999999999</v>
      </c>
      <c r="V19" s="83">
        <v>9.4990000000000005E-4</v>
      </c>
      <c r="W19" s="83">
        <v>3.5091299999999999</v>
      </c>
      <c r="X19" s="83">
        <v>0.45802399999999999</v>
      </c>
      <c r="Y19" s="83">
        <v>9.4990000000000005E-4</v>
      </c>
      <c r="Z19" s="83">
        <v>3.5475300000000001</v>
      </c>
      <c r="AA19" s="83">
        <v>0.45699499999999998</v>
      </c>
      <c r="AB19" s="83">
        <v>9.4990000000000005E-4</v>
      </c>
      <c r="AC19" s="83">
        <v>3.6025900000000002</v>
      </c>
      <c r="AD19" s="83">
        <v>0.45621200000000001</v>
      </c>
      <c r="AE19" s="83">
        <v>9.4990000000000005E-4</v>
      </c>
      <c r="AF19" s="83">
        <v>3.65503</v>
      </c>
      <c r="AG19" s="83">
        <v>0.459289</v>
      </c>
      <c r="AH19" s="83">
        <v>9.4990000000000005E-4</v>
      </c>
      <c r="AI19" s="83">
        <v>3.7056399999999998</v>
      </c>
      <c r="AJ19" s="83">
        <v>0.45914300000000002</v>
      </c>
      <c r="AK19" s="83">
        <v>9.4990000000000005E-4</v>
      </c>
      <c r="AL19" s="83">
        <v>3.7466900000000001</v>
      </c>
      <c r="AM19" s="83">
        <v>0.45821499999999998</v>
      </c>
      <c r="AN19" s="83">
        <v>9.4990000000000005E-4</v>
      </c>
      <c r="AO19" s="83">
        <v>3.79745</v>
      </c>
      <c r="AP19" s="83">
        <v>0.45897900000000003</v>
      </c>
      <c r="AQ19" s="83">
        <v>9.4990000000000005E-4</v>
      </c>
      <c r="AR19" s="83">
        <v>3.8277199999999998</v>
      </c>
      <c r="AS19" s="83">
        <v>0.45369599999999999</v>
      </c>
      <c r="AT19" s="83">
        <v>9.4990000000000005E-4</v>
      </c>
      <c r="AU19" s="83">
        <v>3.8820000000000001</v>
      </c>
      <c r="AV19" s="83">
        <v>0.45357399999999998</v>
      </c>
      <c r="AW19" s="83">
        <v>9.4990000000000005E-4</v>
      </c>
      <c r="AX19" s="83">
        <v>3.9424399999999999</v>
      </c>
      <c r="AY19" s="83">
        <v>0.45523200000000003</v>
      </c>
      <c r="AZ19" s="83">
        <v>9.4990000000000005E-4</v>
      </c>
      <c r="BA19" s="83">
        <v>3.9840399999999998</v>
      </c>
      <c r="BB19" s="83">
        <v>0.45341300000000001</v>
      </c>
      <c r="BC19" s="83">
        <v>9.4990000000000005E-4</v>
      </c>
      <c r="BD19" s="83">
        <v>4.0815700000000001</v>
      </c>
      <c r="BE19" s="83">
        <v>0.46612300000000001</v>
      </c>
      <c r="BF19" s="83">
        <v>9.4990000000000005E-4</v>
      </c>
      <c r="BG19" s="83">
        <v>4.1430699999999998</v>
      </c>
      <c r="BH19" s="83">
        <v>0.46605600000000003</v>
      </c>
      <c r="BI19" s="83">
        <v>9.4990000000000005E-4</v>
      </c>
      <c r="BJ19" s="83">
        <v>4.1780400000000002</v>
      </c>
      <c r="BK19" s="83">
        <v>0.45879999999999999</v>
      </c>
      <c r="BL19" s="83">
        <v>9.4990000000000005E-4</v>
      </c>
      <c r="BM19" s="83">
        <v>4.22912</v>
      </c>
      <c r="BN19" s="83">
        <v>0.45688800000000002</v>
      </c>
      <c r="BO19" s="83">
        <v>9.4990000000000005E-4</v>
      </c>
      <c r="BP19" s="83">
        <v>4.28613</v>
      </c>
      <c r="BQ19" s="83">
        <v>0.45600200000000002</v>
      </c>
      <c r="BR19" s="83">
        <v>9.4990000000000005E-4</v>
      </c>
      <c r="BS19" s="83">
        <v>4.3558899999999996</v>
      </c>
      <c r="BT19" s="83">
        <v>0.45732400000000001</v>
      </c>
      <c r="BU19" s="83">
        <v>9.4990000000000005E-4</v>
      </c>
      <c r="BV19" s="83">
        <v>4.4661200000000001</v>
      </c>
      <c r="BW19" s="83">
        <v>0.46768599999999999</v>
      </c>
      <c r="BX19" s="83">
        <v>9.4990000000000005E-4</v>
      </c>
      <c r="BY19" s="83">
        <v>4.4703600000000003</v>
      </c>
      <c r="BZ19" s="83">
        <v>0.45332800000000001</v>
      </c>
      <c r="CA19" s="83">
        <v>9.4990000000000005E-4</v>
      </c>
      <c r="CB19" s="83">
        <v>4.6136299999999997</v>
      </c>
      <c r="CC19" s="83">
        <v>0.47001199999999999</v>
      </c>
      <c r="CD19" s="83">
        <v>9.4990000000000005E-4</v>
      </c>
      <c r="CE19" s="83">
        <v>4.61571</v>
      </c>
      <c r="CF19" s="83">
        <v>0.45455099999999998</v>
      </c>
      <c r="CG19" s="83">
        <v>9.4990000000000005E-4</v>
      </c>
      <c r="CH19" s="83">
        <v>4.67849</v>
      </c>
      <c r="CI19" s="83">
        <v>0.45356299999999999</v>
      </c>
      <c r="CJ19" s="83">
        <v>9.4990000000000005E-4</v>
      </c>
      <c r="CK19" s="83">
        <v>4.7504900000000001</v>
      </c>
      <c r="CL19" s="83">
        <v>0.453044</v>
      </c>
      <c r="CM19" s="83">
        <v>9.4990000000000005E-4</v>
      </c>
      <c r="CN19" s="83">
        <v>4.8653599999999999</v>
      </c>
      <c r="CO19" s="83">
        <v>0.46127499999999999</v>
      </c>
      <c r="CP19" s="83">
        <v>9.4990000000000005E-4</v>
      </c>
      <c r="CQ19" s="83">
        <v>4.9353100000000003</v>
      </c>
      <c r="CR19" s="83">
        <v>0.46132400000000001</v>
      </c>
      <c r="CS19" s="83">
        <v>9.4990000000000005E-4</v>
      </c>
      <c r="CT19" s="83">
        <v>4.9863499999999998</v>
      </c>
      <c r="CU19" s="83">
        <v>0.46710600000000002</v>
      </c>
      <c r="CV19" s="83">
        <v>9.4990000000000005E-4</v>
      </c>
      <c r="CW19" s="83">
        <v>4.9979500000000003</v>
      </c>
      <c r="CX19" s="83">
        <v>0.46024799999999999</v>
      </c>
    </row>
    <row r="20" spans="1:102" x14ac:dyDescent="0.2">
      <c r="A20" s="83">
        <v>1.0499000000000001E-3</v>
      </c>
      <c r="B20" s="83">
        <v>2.9754999999999998</v>
      </c>
      <c r="C20" s="83">
        <v>0.42644399999999999</v>
      </c>
      <c r="D20" s="83">
        <v>1.0499000000000001E-3</v>
      </c>
      <c r="E20" s="83">
        <v>3.0838999999999999</v>
      </c>
      <c r="F20" s="83">
        <v>0.43284800000000001</v>
      </c>
      <c r="G20" s="83">
        <v>1.0499000000000001E-3</v>
      </c>
      <c r="H20" s="83">
        <v>3.1514099999999998</v>
      </c>
      <c r="I20" s="83">
        <v>0.43438500000000002</v>
      </c>
      <c r="J20" s="83">
        <v>1.0499000000000001E-3</v>
      </c>
      <c r="K20" s="83">
        <v>3.2556400000000001</v>
      </c>
      <c r="L20" s="83">
        <v>0.43563800000000003</v>
      </c>
      <c r="M20" s="83">
        <v>1.0499000000000001E-3</v>
      </c>
      <c r="N20" s="83">
        <v>3.2850899999999998</v>
      </c>
      <c r="O20" s="83">
        <v>0.429566</v>
      </c>
      <c r="P20" s="83">
        <v>1.0499000000000001E-3</v>
      </c>
      <c r="Q20" s="83">
        <v>3.3468300000000002</v>
      </c>
      <c r="R20" s="83">
        <v>0.43449300000000002</v>
      </c>
      <c r="S20" s="83">
        <v>1.0499000000000001E-3</v>
      </c>
      <c r="T20" s="83">
        <v>3.3915299999999999</v>
      </c>
      <c r="U20" s="83">
        <v>0.43681700000000001</v>
      </c>
      <c r="V20" s="83">
        <v>1.0499000000000001E-3</v>
      </c>
      <c r="W20" s="83">
        <v>3.4227500000000002</v>
      </c>
      <c r="X20" s="83">
        <v>0.43126399999999998</v>
      </c>
      <c r="Y20" s="83">
        <v>1.0499000000000001E-3</v>
      </c>
      <c r="Z20" s="83">
        <v>3.4606400000000002</v>
      </c>
      <c r="AA20" s="83">
        <v>0.43019600000000002</v>
      </c>
      <c r="AB20" s="83">
        <v>1.0499000000000001E-3</v>
      </c>
      <c r="AC20" s="83">
        <v>3.5140899999999999</v>
      </c>
      <c r="AD20" s="83">
        <v>0.42927599999999999</v>
      </c>
      <c r="AE20" s="83">
        <v>1.0499000000000001E-3</v>
      </c>
      <c r="AF20" s="83">
        <v>3.5669900000000001</v>
      </c>
      <c r="AG20" s="83">
        <v>0.43283700000000003</v>
      </c>
      <c r="AH20" s="83">
        <v>1.0499000000000001E-3</v>
      </c>
      <c r="AI20" s="83">
        <v>3.6148199999999999</v>
      </c>
      <c r="AJ20" s="83">
        <v>0.43231900000000001</v>
      </c>
      <c r="AK20" s="83">
        <v>1.0499000000000001E-3</v>
      </c>
      <c r="AL20" s="83">
        <v>3.6549100000000001</v>
      </c>
      <c r="AM20" s="83">
        <v>0.43141099999999999</v>
      </c>
      <c r="AN20" s="83">
        <v>1.0499000000000001E-3</v>
      </c>
      <c r="AO20" s="83">
        <v>3.7042600000000001</v>
      </c>
      <c r="AP20" s="83">
        <v>0.43223200000000001</v>
      </c>
      <c r="AQ20" s="83">
        <v>1.0499000000000001E-3</v>
      </c>
      <c r="AR20" s="83">
        <v>3.7337600000000002</v>
      </c>
      <c r="AS20" s="83">
        <v>0.427427</v>
      </c>
      <c r="AT20" s="83">
        <v>1.0499000000000001E-3</v>
      </c>
      <c r="AU20" s="83">
        <v>3.78681</v>
      </c>
      <c r="AV20" s="83">
        <v>0.42739500000000002</v>
      </c>
      <c r="AW20" s="83">
        <v>1.0499000000000001E-3</v>
      </c>
      <c r="AX20" s="83">
        <v>3.8449200000000001</v>
      </c>
      <c r="AY20" s="83">
        <v>0.42867699999999997</v>
      </c>
      <c r="AZ20" s="83">
        <v>1.0499000000000001E-3</v>
      </c>
      <c r="BA20" s="83">
        <v>3.8848600000000002</v>
      </c>
      <c r="BB20" s="83">
        <v>0.426923</v>
      </c>
      <c r="BC20" s="83">
        <v>1.0499000000000001E-3</v>
      </c>
      <c r="BD20" s="83">
        <v>3.9797400000000001</v>
      </c>
      <c r="BE20" s="83">
        <v>0.43883299999999997</v>
      </c>
      <c r="BF20" s="83">
        <v>1.0499000000000001E-3</v>
      </c>
      <c r="BG20" s="83">
        <v>4.0400299999999998</v>
      </c>
      <c r="BH20" s="83">
        <v>0.43890699999999999</v>
      </c>
      <c r="BI20" s="83">
        <v>1.0499000000000001E-3</v>
      </c>
      <c r="BJ20" s="83">
        <v>4.0732100000000004</v>
      </c>
      <c r="BK20" s="83">
        <v>0.43215799999999999</v>
      </c>
      <c r="BL20" s="83">
        <v>1.0499000000000001E-3</v>
      </c>
      <c r="BM20" s="83">
        <v>4.1226000000000003</v>
      </c>
      <c r="BN20" s="83">
        <v>0.43016300000000002</v>
      </c>
      <c r="BO20" s="83">
        <v>1.0499000000000001E-3</v>
      </c>
      <c r="BP20" s="83">
        <v>4.1774699999999996</v>
      </c>
      <c r="BQ20" s="83">
        <v>0.42949900000000002</v>
      </c>
      <c r="BR20" s="83">
        <v>1.0499000000000001E-3</v>
      </c>
      <c r="BS20" s="83">
        <v>4.2449500000000002</v>
      </c>
      <c r="BT20" s="83">
        <v>0.430641</v>
      </c>
      <c r="BU20" s="83">
        <v>1.0499000000000001E-3</v>
      </c>
      <c r="BV20" s="83">
        <v>4.3513999999999999</v>
      </c>
      <c r="BW20" s="83">
        <v>0.44029499999999999</v>
      </c>
      <c r="BX20" s="83">
        <v>1.0499000000000001E-3</v>
      </c>
      <c r="BY20" s="83">
        <v>4.3535599999999999</v>
      </c>
      <c r="BZ20" s="83">
        <v>0.42668299999999998</v>
      </c>
      <c r="CA20" s="83">
        <v>1.0499000000000001E-3</v>
      </c>
      <c r="CB20" s="83">
        <v>4.4956899999999997</v>
      </c>
      <c r="CC20" s="83">
        <v>0.44254700000000002</v>
      </c>
      <c r="CD20" s="83">
        <v>1.0499000000000001E-3</v>
      </c>
      <c r="CE20" s="83">
        <v>4.4936400000000001</v>
      </c>
      <c r="CF20" s="83">
        <v>0.42788500000000002</v>
      </c>
      <c r="CG20" s="83">
        <v>1.0499000000000001E-3</v>
      </c>
      <c r="CH20" s="83">
        <v>4.5575900000000003</v>
      </c>
      <c r="CI20" s="83">
        <v>0.42758800000000002</v>
      </c>
      <c r="CJ20" s="83">
        <v>1.0499000000000001E-3</v>
      </c>
      <c r="CK20" s="83">
        <v>4.6243100000000004</v>
      </c>
      <c r="CL20" s="83">
        <v>0.426562</v>
      </c>
      <c r="CM20" s="83">
        <v>1.0499000000000001E-3</v>
      </c>
      <c r="CN20" s="83">
        <v>4.7351799999999997</v>
      </c>
      <c r="CO20" s="83">
        <v>0.43407800000000002</v>
      </c>
      <c r="CP20" s="83">
        <v>1.0499000000000001E-3</v>
      </c>
      <c r="CQ20" s="83">
        <v>4.8043800000000001</v>
      </c>
      <c r="CR20" s="83">
        <v>0.43444500000000003</v>
      </c>
      <c r="CS20" s="83">
        <v>1.0499000000000001E-3</v>
      </c>
      <c r="CT20" s="83">
        <v>4.8750499999999999</v>
      </c>
      <c r="CU20" s="83">
        <v>0.44000400000000001</v>
      </c>
      <c r="CV20" s="83">
        <v>1.0499000000000001E-3</v>
      </c>
      <c r="CW20" s="83">
        <v>4.9143499999999998</v>
      </c>
      <c r="CX20" s="83">
        <v>0.433251</v>
      </c>
    </row>
    <row r="21" spans="1:102" x14ac:dyDescent="0.2">
      <c r="A21" s="83">
        <v>1.1498999999999999E-3</v>
      </c>
      <c r="B21" s="83">
        <v>2.8998499999999998</v>
      </c>
      <c r="C21" s="83">
        <v>0.40160899999999999</v>
      </c>
      <c r="D21" s="83">
        <v>1.1498999999999999E-3</v>
      </c>
      <c r="E21" s="83">
        <v>3.0054799999999999</v>
      </c>
      <c r="F21" s="83">
        <v>0.40732699999999999</v>
      </c>
      <c r="G21" s="83">
        <v>1.1498999999999999E-3</v>
      </c>
      <c r="H21" s="83">
        <v>3.07301</v>
      </c>
      <c r="I21" s="83">
        <v>0.40917100000000001</v>
      </c>
      <c r="J21" s="83">
        <v>1.1498999999999999E-3</v>
      </c>
      <c r="K21" s="83">
        <v>3.1737500000000001</v>
      </c>
      <c r="L21" s="83">
        <v>0.41019800000000001</v>
      </c>
      <c r="M21" s="83">
        <v>1.1498999999999999E-3</v>
      </c>
      <c r="N21" s="83">
        <v>3.2034600000000002</v>
      </c>
      <c r="O21" s="83">
        <v>0.40471600000000002</v>
      </c>
      <c r="P21" s="83">
        <v>1.1498999999999999E-3</v>
      </c>
      <c r="Q21" s="83">
        <v>3.2624900000000001</v>
      </c>
      <c r="R21" s="83">
        <v>0.40902699999999997</v>
      </c>
      <c r="S21" s="83">
        <v>1.1498999999999999E-3</v>
      </c>
      <c r="T21" s="83">
        <v>3.3080500000000002</v>
      </c>
      <c r="U21" s="83">
        <v>0.41152499999999997</v>
      </c>
      <c r="V21" s="83">
        <v>1.1498999999999999E-3</v>
      </c>
      <c r="W21" s="83">
        <v>3.33799</v>
      </c>
      <c r="X21" s="83">
        <v>0.40625600000000001</v>
      </c>
      <c r="Y21" s="83">
        <v>1.1498999999999999E-3</v>
      </c>
      <c r="Z21" s="83">
        <v>3.3746</v>
      </c>
      <c r="AA21" s="83">
        <v>0.40515699999999999</v>
      </c>
      <c r="AB21" s="83">
        <v>1.1498999999999999E-3</v>
      </c>
      <c r="AC21" s="83">
        <v>3.42591</v>
      </c>
      <c r="AD21" s="83">
        <v>0.40423100000000001</v>
      </c>
      <c r="AE21" s="83">
        <v>1.1498999999999999E-3</v>
      </c>
      <c r="AF21" s="83">
        <v>3.4785200000000001</v>
      </c>
      <c r="AG21" s="83">
        <v>0.40768300000000002</v>
      </c>
      <c r="AH21" s="83">
        <v>1.1498999999999999E-3</v>
      </c>
      <c r="AI21" s="83">
        <v>3.5249600000000001</v>
      </c>
      <c r="AJ21" s="83">
        <v>0.406997</v>
      </c>
      <c r="AK21" s="83">
        <v>1.1498999999999999E-3</v>
      </c>
      <c r="AL21" s="83">
        <v>3.5639099999999999</v>
      </c>
      <c r="AM21" s="83">
        <v>0.40624399999999999</v>
      </c>
      <c r="AN21" s="83">
        <v>1.1498999999999999E-3</v>
      </c>
      <c r="AO21" s="83">
        <v>3.6116999999999999</v>
      </c>
      <c r="AP21" s="83">
        <v>0.40706999999999999</v>
      </c>
      <c r="AQ21" s="83">
        <v>1.1498999999999999E-3</v>
      </c>
      <c r="AR21" s="83">
        <v>3.64018</v>
      </c>
      <c r="AS21" s="83">
        <v>0.40262399999999998</v>
      </c>
      <c r="AT21" s="83">
        <v>1.1498999999999999E-3</v>
      </c>
      <c r="AU21" s="83">
        <v>3.6922100000000002</v>
      </c>
      <c r="AV21" s="83">
        <v>0.40256599999999998</v>
      </c>
      <c r="AW21" s="83">
        <v>1.1498999999999999E-3</v>
      </c>
      <c r="AX21" s="83">
        <v>3.7478199999999999</v>
      </c>
      <c r="AY21" s="83">
        <v>0.40381299999999998</v>
      </c>
      <c r="AZ21" s="83">
        <v>1.1498999999999999E-3</v>
      </c>
      <c r="BA21" s="83">
        <v>3.7864900000000001</v>
      </c>
      <c r="BB21" s="83">
        <v>0.40203299999999997</v>
      </c>
      <c r="BC21" s="83">
        <v>1.1498999999999999E-3</v>
      </c>
      <c r="BD21" s="83">
        <v>3.8790200000000001</v>
      </c>
      <c r="BE21" s="83">
        <v>0.41321200000000002</v>
      </c>
      <c r="BF21" s="83">
        <v>1.1498999999999999E-3</v>
      </c>
      <c r="BG21" s="83">
        <v>3.9371200000000002</v>
      </c>
      <c r="BH21" s="83">
        <v>0.413383</v>
      </c>
      <c r="BI21" s="83">
        <v>1.1498999999999999E-3</v>
      </c>
      <c r="BJ21" s="83">
        <v>3.9687199999999998</v>
      </c>
      <c r="BK21" s="83">
        <v>0.40714400000000001</v>
      </c>
      <c r="BL21" s="83">
        <v>1.1498999999999999E-3</v>
      </c>
      <c r="BM21" s="83">
        <v>4.0157999999999996</v>
      </c>
      <c r="BN21" s="83">
        <v>0.40501500000000001</v>
      </c>
      <c r="BO21" s="83">
        <v>1.1498999999999999E-3</v>
      </c>
      <c r="BP21" s="83">
        <v>4.0696899999999996</v>
      </c>
      <c r="BQ21" s="83">
        <v>0.40462900000000002</v>
      </c>
      <c r="BR21" s="83">
        <v>1.1498999999999999E-3</v>
      </c>
      <c r="BS21" s="83">
        <v>4.13462</v>
      </c>
      <c r="BT21" s="83">
        <v>0.405586</v>
      </c>
      <c r="BU21" s="83">
        <v>1.1498999999999999E-3</v>
      </c>
      <c r="BV21" s="83">
        <v>4.2383199999999999</v>
      </c>
      <c r="BW21" s="83">
        <v>0.41471599999999997</v>
      </c>
      <c r="BX21" s="83">
        <v>1.1498999999999999E-3</v>
      </c>
      <c r="BY21" s="83">
        <v>4.2373000000000003</v>
      </c>
      <c r="BZ21" s="83">
        <v>0.40165699999999999</v>
      </c>
      <c r="CA21" s="83">
        <v>1.1498999999999999E-3</v>
      </c>
      <c r="CB21" s="83">
        <v>4.3784700000000001</v>
      </c>
      <c r="CC21" s="83">
        <v>0.41705900000000001</v>
      </c>
      <c r="CD21" s="83">
        <v>1.1498999999999999E-3</v>
      </c>
      <c r="CE21" s="83">
        <v>4.37317</v>
      </c>
      <c r="CF21" s="83">
        <v>0.40289900000000001</v>
      </c>
      <c r="CG21" s="83">
        <v>1.1498999999999999E-3</v>
      </c>
      <c r="CH21" s="83">
        <v>4.4373699999999996</v>
      </c>
      <c r="CI21" s="83">
        <v>0.40306399999999998</v>
      </c>
      <c r="CJ21" s="83">
        <v>1.1498999999999999E-3</v>
      </c>
      <c r="CK21" s="83">
        <v>4.4989699999999999</v>
      </c>
      <c r="CL21" s="83">
        <v>0.40172799999999997</v>
      </c>
      <c r="CM21" s="83">
        <v>1.1498999999999999E-3</v>
      </c>
      <c r="CN21" s="83">
        <v>4.6051399999999996</v>
      </c>
      <c r="CO21" s="83">
        <v>0.40861700000000001</v>
      </c>
      <c r="CP21" s="83">
        <v>1.1498999999999999E-3</v>
      </c>
      <c r="CQ21" s="83">
        <v>4.6728100000000001</v>
      </c>
      <c r="CR21" s="83">
        <v>0.40918500000000002</v>
      </c>
      <c r="CS21" s="83">
        <v>1.1498999999999999E-3</v>
      </c>
      <c r="CT21" s="83">
        <v>4.7416</v>
      </c>
      <c r="CU21" s="83">
        <v>0.41429899999999997</v>
      </c>
      <c r="CV21" s="83">
        <v>1.1498999999999999E-3</v>
      </c>
      <c r="CW21" s="83">
        <v>4.7764199999999999</v>
      </c>
      <c r="CX21" s="83">
        <v>0.40786899999999998</v>
      </c>
    </row>
    <row r="22" spans="1:102" x14ac:dyDescent="0.2">
      <c r="A22" s="83">
        <v>1.2499E-3</v>
      </c>
      <c r="B22" s="83">
        <v>2.8256999999999999</v>
      </c>
      <c r="C22" s="83">
        <v>0.37836799999999998</v>
      </c>
      <c r="D22" s="83">
        <v>1.2499E-3</v>
      </c>
      <c r="E22" s="83">
        <v>2.9284599999999998</v>
      </c>
      <c r="F22" s="83">
        <v>0.38338800000000001</v>
      </c>
      <c r="G22" s="83">
        <v>1.2499E-3</v>
      </c>
      <c r="H22" s="83">
        <v>2.9958900000000002</v>
      </c>
      <c r="I22" s="83">
        <v>0.38552700000000001</v>
      </c>
      <c r="J22" s="83">
        <v>1.2499E-3</v>
      </c>
      <c r="K22" s="83">
        <v>3.09314</v>
      </c>
      <c r="L22" s="83">
        <v>0.38634299999999999</v>
      </c>
      <c r="M22" s="83">
        <v>1.2499E-3</v>
      </c>
      <c r="N22" s="83">
        <v>3.1229100000000001</v>
      </c>
      <c r="O22" s="83">
        <v>0.38129600000000002</v>
      </c>
      <c r="P22" s="83">
        <v>1.2499E-3</v>
      </c>
      <c r="Q22" s="83">
        <v>3.1802199999999998</v>
      </c>
      <c r="R22" s="83">
        <v>0.38518200000000002</v>
      </c>
      <c r="S22" s="83">
        <v>1.2499E-3</v>
      </c>
      <c r="T22" s="83">
        <v>3.22471</v>
      </c>
      <c r="U22" s="83">
        <v>0.38763500000000001</v>
      </c>
      <c r="V22" s="83">
        <v>1.2499E-3</v>
      </c>
      <c r="W22" s="83">
        <v>3.25393</v>
      </c>
      <c r="X22" s="83">
        <v>0.38268999999999997</v>
      </c>
      <c r="Y22" s="83">
        <v>1.2499E-3</v>
      </c>
      <c r="Z22" s="83">
        <v>3.28877</v>
      </c>
      <c r="AA22" s="83">
        <v>0.38165199999999999</v>
      </c>
      <c r="AB22" s="83">
        <v>1.2499E-3</v>
      </c>
      <c r="AC22" s="83">
        <v>3.3391899999999999</v>
      </c>
      <c r="AD22" s="83">
        <v>0.38067899999999999</v>
      </c>
      <c r="AE22" s="83">
        <v>1.2499E-3</v>
      </c>
      <c r="AF22" s="83">
        <v>3.39072</v>
      </c>
      <c r="AG22" s="83">
        <v>0.38391700000000001</v>
      </c>
      <c r="AH22" s="83">
        <v>1.2499E-3</v>
      </c>
      <c r="AI22" s="83">
        <v>3.4348900000000002</v>
      </c>
      <c r="AJ22" s="83">
        <v>0.38314399999999998</v>
      </c>
      <c r="AK22" s="83">
        <v>1.2499E-3</v>
      </c>
      <c r="AL22" s="83">
        <v>3.4733900000000002</v>
      </c>
      <c r="AM22" s="83">
        <v>0.38244800000000001</v>
      </c>
      <c r="AN22" s="83">
        <v>1.2499E-3</v>
      </c>
      <c r="AO22" s="83">
        <v>3.5203099999999998</v>
      </c>
      <c r="AP22" s="83">
        <v>0.38344</v>
      </c>
      <c r="AQ22" s="83">
        <v>1.2499E-3</v>
      </c>
      <c r="AR22" s="83">
        <v>3.5480200000000002</v>
      </c>
      <c r="AS22" s="83">
        <v>0.37919700000000001</v>
      </c>
      <c r="AT22" s="83">
        <v>1.2499E-3</v>
      </c>
      <c r="AU22" s="83">
        <v>3.5979199999999998</v>
      </c>
      <c r="AV22" s="83">
        <v>0.37922499999999998</v>
      </c>
      <c r="AW22" s="83">
        <v>1.2499E-3</v>
      </c>
      <c r="AX22" s="83">
        <v>3.6521699999999999</v>
      </c>
      <c r="AY22" s="83">
        <v>0.38058199999999998</v>
      </c>
      <c r="AZ22" s="83">
        <v>1.2499E-3</v>
      </c>
      <c r="BA22" s="83">
        <v>3.6886700000000001</v>
      </c>
      <c r="BB22" s="83">
        <v>0.37883899999999998</v>
      </c>
      <c r="BC22" s="83">
        <v>1.2499E-3</v>
      </c>
      <c r="BD22" s="83">
        <v>3.77888</v>
      </c>
      <c r="BE22" s="83">
        <v>0.38903900000000002</v>
      </c>
      <c r="BF22" s="83">
        <v>1.2499E-3</v>
      </c>
      <c r="BG22" s="83">
        <v>3.8359200000000002</v>
      </c>
      <c r="BH22" s="83">
        <v>0.38929399999999997</v>
      </c>
      <c r="BI22" s="83">
        <v>1.2499E-3</v>
      </c>
      <c r="BJ22" s="83">
        <v>3.8661300000000001</v>
      </c>
      <c r="BK22" s="83">
        <v>0.383544</v>
      </c>
      <c r="BL22" s="83">
        <v>1.2499E-3</v>
      </c>
      <c r="BM22" s="83">
        <v>3.9104399999999999</v>
      </c>
      <c r="BN22" s="83">
        <v>0.38144600000000001</v>
      </c>
      <c r="BO22" s="83">
        <v>1.2499E-3</v>
      </c>
      <c r="BP22" s="83">
        <v>3.9627699999999999</v>
      </c>
      <c r="BQ22" s="83">
        <v>0.38123000000000001</v>
      </c>
      <c r="BR22" s="83">
        <v>1.2499E-3</v>
      </c>
      <c r="BS22" s="83">
        <v>4.0251999999999999</v>
      </c>
      <c r="BT22" s="83">
        <v>0.38201600000000002</v>
      </c>
      <c r="BU22" s="83">
        <v>1.2499E-3</v>
      </c>
      <c r="BV22" s="83">
        <v>4.1255600000000001</v>
      </c>
      <c r="BW22" s="83">
        <v>0.39045999999999997</v>
      </c>
      <c r="BX22" s="83">
        <v>1.2499E-3</v>
      </c>
      <c r="BY22" s="83">
        <v>4.1225899999999998</v>
      </c>
      <c r="BZ22" s="83">
        <v>0.37824400000000002</v>
      </c>
      <c r="CA22" s="83">
        <v>1.2499E-3</v>
      </c>
      <c r="CB22" s="83">
        <v>4.2624300000000002</v>
      </c>
      <c r="CC22" s="83">
        <v>0.392818</v>
      </c>
      <c r="CD22" s="83">
        <v>1.2499E-3</v>
      </c>
      <c r="CE22" s="83">
        <v>4.2537500000000001</v>
      </c>
      <c r="CF22" s="83">
        <v>0.37930999999999998</v>
      </c>
      <c r="CG22" s="83">
        <v>1.2499E-3</v>
      </c>
      <c r="CH22" s="83">
        <v>4.31738</v>
      </c>
      <c r="CI22" s="83">
        <v>0.37988100000000002</v>
      </c>
      <c r="CJ22" s="83">
        <v>1.2499E-3</v>
      </c>
      <c r="CK22" s="83">
        <v>4.3743299999999996</v>
      </c>
      <c r="CL22" s="83">
        <v>0.37832300000000002</v>
      </c>
      <c r="CM22" s="83">
        <v>1.2499E-3</v>
      </c>
      <c r="CN22" s="83">
        <v>4.4771200000000002</v>
      </c>
      <c r="CO22" s="83">
        <v>0.38474599999999998</v>
      </c>
      <c r="CP22" s="83">
        <v>1.2499E-3</v>
      </c>
      <c r="CQ22" s="83">
        <v>4.5428800000000003</v>
      </c>
      <c r="CR22" s="83">
        <v>0.38549099999999997</v>
      </c>
      <c r="CS22" s="83">
        <v>1.2499E-3</v>
      </c>
      <c r="CT22" s="83">
        <v>4.6077300000000001</v>
      </c>
      <c r="CU22" s="83">
        <v>0.39003500000000002</v>
      </c>
      <c r="CV22" s="83">
        <v>1.2499E-3</v>
      </c>
      <c r="CW22" s="83">
        <v>4.6387900000000002</v>
      </c>
      <c r="CX22" s="83">
        <v>0.38402999999999998</v>
      </c>
    </row>
    <row r="23" spans="1:102" x14ac:dyDescent="0.2">
      <c r="A23" s="83">
        <v>1.3499E-3</v>
      </c>
      <c r="B23" s="83">
        <v>2.75278</v>
      </c>
      <c r="C23" s="83">
        <v>0.35666100000000001</v>
      </c>
      <c r="D23" s="83">
        <v>1.3499E-3</v>
      </c>
      <c r="E23" s="83">
        <v>2.8520400000000001</v>
      </c>
      <c r="F23" s="83">
        <v>0.36111300000000002</v>
      </c>
      <c r="G23" s="83">
        <v>1.3499E-3</v>
      </c>
      <c r="H23" s="83">
        <v>2.9196200000000001</v>
      </c>
      <c r="I23" s="83">
        <v>0.36353099999999999</v>
      </c>
      <c r="J23" s="83">
        <v>1.3499E-3</v>
      </c>
      <c r="K23" s="83">
        <v>3.0143599999999999</v>
      </c>
      <c r="L23" s="83">
        <v>0.36410999999999999</v>
      </c>
      <c r="M23" s="83">
        <v>1.3499E-3</v>
      </c>
      <c r="N23" s="83">
        <v>3.04358</v>
      </c>
      <c r="O23" s="83">
        <v>0.35947099999999998</v>
      </c>
      <c r="P23" s="83">
        <v>1.3499E-3</v>
      </c>
      <c r="Q23" s="83">
        <v>3.09883</v>
      </c>
      <c r="R23" s="83">
        <v>0.36305599999999999</v>
      </c>
      <c r="S23" s="83">
        <v>1.3499E-3</v>
      </c>
      <c r="T23" s="83">
        <v>3.1426599999999998</v>
      </c>
      <c r="U23" s="83">
        <v>0.36536800000000003</v>
      </c>
      <c r="V23" s="83">
        <v>1.3499E-3</v>
      </c>
      <c r="W23" s="83">
        <v>3.1709700000000001</v>
      </c>
      <c r="X23" s="83">
        <v>0.36071900000000001</v>
      </c>
      <c r="Y23" s="83">
        <v>1.3499E-3</v>
      </c>
      <c r="Z23" s="83">
        <v>3.20459</v>
      </c>
      <c r="AA23" s="83">
        <v>0.35969499999999999</v>
      </c>
      <c r="AB23" s="83">
        <v>1.3499E-3</v>
      </c>
      <c r="AC23" s="83">
        <v>3.25345</v>
      </c>
      <c r="AD23" s="83">
        <v>0.358732</v>
      </c>
      <c r="AE23" s="83">
        <v>1.3499E-3</v>
      </c>
      <c r="AF23" s="83">
        <v>3.3035800000000002</v>
      </c>
      <c r="AG23" s="83">
        <v>0.36174299999999998</v>
      </c>
      <c r="AH23" s="83">
        <v>1.3499E-3</v>
      </c>
      <c r="AI23" s="83">
        <v>3.3469099999999998</v>
      </c>
      <c r="AJ23" s="83">
        <v>0.36106899999999997</v>
      </c>
      <c r="AK23" s="83">
        <v>1.3499E-3</v>
      </c>
      <c r="AL23" s="83">
        <v>3.3836900000000001</v>
      </c>
      <c r="AM23" s="83">
        <v>0.36029299999999997</v>
      </c>
      <c r="AN23" s="83">
        <v>1.3499E-3</v>
      </c>
      <c r="AO23" s="83">
        <v>3.4299300000000001</v>
      </c>
      <c r="AP23" s="83">
        <v>0.361315</v>
      </c>
      <c r="AQ23" s="83">
        <v>1.3499E-3</v>
      </c>
      <c r="AR23" s="83">
        <v>3.4562300000000001</v>
      </c>
      <c r="AS23" s="83">
        <v>0.35739399999999999</v>
      </c>
      <c r="AT23" s="83">
        <v>1.3499E-3</v>
      </c>
      <c r="AU23" s="83">
        <v>3.5051000000000001</v>
      </c>
      <c r="AV23" s="83">
        <v>0.357485</v>
      </c>
      <c r="AW23" s="83">
        <v>1.3499E-3</v>
      </c>
      <c r="AX23" s="83">
        <v>3.5583</v>
      </c>
      <c r="AY23" s="83">
        <v>0.35878900000000002</v>
      </c>
      <c r="AZ23" s="83">
        <v>1.3499E-3</v>
      </c>
      <c r="BA23" s="83">
        <v>3.59301</v>
      </c>
      <c r="BB23" s="83">
        <v>0.35728199999999999</v>
      </c>
      <c r="BC23" s="83">
        <v>1.3499E-3</v>
      </c>
      <c r="BD23" s="83">
        <v>3.68005</v>
      </c>
      <c r="BE23" s="83">
        <v>0.36654999999999999</v>
      </c>
      <c r="BF23" s="83">
        <v>1.3499E-3</v>
      </c>
      <c r="BG23" s="83">
        <v>3.7353999999999998</v>
      </c>
      <c r="BH23" s="83">
        <v>0.36684600000000001</v>
      </c>
      <c r="BI23" s="83">
        <v>1.3499E-3</v>
      </c>
      <c r="BJ23" s="83">
        <v>3.7642000000000002</v>
      </c>
      <c r="BK23" s="83">
        <v>0.36150300000000002</v>
      </c>
      <c r="BL23" s="83">
        <v>1.3499E-3</v>
      </c>
      <c r="BM23" s="83">
        <v>3.8065099999999998</v>
      </c>
      <c r="BN23" s="83">
        <v>0.359512</v>
      </c>
      <c r="BO23" s="83">
        <v>1.3499E-3</v>
      </c>
      <c r="BP23" s="83">
        <v>3.8576700000000002</v>
      </c>
      <c r="BQ23" s="83">
        <v>0.35936200000000001</v>
      </c>
      <c r="BR23" s="83">
        <v>1.3499E-3</v>
      </c>
      <c r="BS23" s="83">
        <v>3.9170699999999998</v>
      </c>
      <c r="BT23" s="83">
        <v>0.36007499999999998</v>
      </c>
      <c r="BU23" s="83">
        <v>1.3499E-3</v>
      </c>
      <c r="BV23" s="83">
        <v>4.0139800000000001</v>
      </c>
      <c r="BW23" s="83">
        <v>0.36789899999999998</v>
      </c>
      <c r="BX23" s="83">
        <v>1.3499E-3</v>
      </c>
      <c r="BY23" s="83">
        <v>4.0100899999999999</v>
      </c>
      <c r="BZ23" s="83">
        <v>0.356541</v>
      </c>
      <c r="CA23" s="83">
        <v>1.3499E-3</v>
      </c>
      <c r="CB23" s="83">
        <v>4.14663</v>
      </c>
      <c r="CC23" s="83">
        <v>0.37023299999999998</v>
      </c>
      <c r="CD23" s="83">
        <v>1.3499E-3</v>
      </c>
      <c r="CE23" s="83">
        <v>4.1352000000000002</v>
      </c>
      <c r="CF23" s="83">
        <v>0.35738700000000001</v>
      </c>
      <c r="CG23" s="83">
        <v>1.3499E-3</v>
      </c>
      <c r="CH23" s="83">
        <v>4.1980700000000004</v>
      </c>
      <c r="CI23" s="83">
        <v>0.358153</v>
      </c>
      <c r="CJ23" s="83">
        <v>1.3499E-3</v>
      </c>
      <c r="CK23" s="83">
        <v>4.2514799999999999</v>
      </c>
      <c r="CL23" s="83">
        <v>0.35661999999999999</v>
      </c>
      <c r="CM23" s="83">
        <v>1.3499E-3</v>
      </c>
      <c r="CN23" s="83">
        <v>4.3508399999999998</v>
      </c>
      <c r="CO23" s="83">
        <v>0.36255999999999999</v>
      </c>
      <c r="CP23" s="83">
        <v>1.3499E-3</v>
      </c>
      <c r="CQ23" s="83">
        <v>4.4143100000000004</v>
      </c>
      <c r="CR23" s="83">
        <v>0.36340800000000001</v>
      </c>
      <c r="CS23" s="83">
        <v>1.3499E-3</v>
      </c>
      <c r="CT23" s="83">
        <v>4.4751500000000002</v>
      </c>
      <c r="CU23" s="83">
        <v>0.36743500000000001</v>
      </c>
      <c r="CV23" s="83">
        <v>1.3499E-3</v>
      </c>
      <c r="CW23" s="83">
        <v>4.5032800000000002</v>
      </c>
      <c r="CX23" s="83">
        <v>0.36186000000000001</v>
      </c>
    </row>
    <row r="24" spans="1:102" x14ac:dyDescent="0.2">
      <c r="A24" s="83">
        <v>1.4499000000000001E-3</v>
      </c>
      <c r="B24" s="83">
        <v>2.6812399999999998</v>
      </c>
      <c r="C24" s="83">
        <v>0.33637899999999998</v>
      </c>
      <c r="D24" s="83">
        <v>1.4499000000000001E-3</v>
      </c>
      <c r="E24" s="83">
        <v>2.7774200000000002</v>
      </c>
      <c r="F24" s="83">
        <v>0.34037699999999999</v>
      </c>
      <c r="G24" s="83">
        <v>1.4499000000000001E-3</v>
      </c>
      <c r="H24" s="83">
        <v>2.8447</v>
      </c>
      <c r="I24" s="83">
        <v>0.34289799999999998</v>
      </c>
      <c r="J24" s="83">
        <v>1.4499000000000001E-3</v>
      </c>
      <c r="K24" s="83">
        <v>2.9368500000000002</v>
      </c>
      <c r="L24" s="83">
        <v>0.34326600000000002</v>
      </c>
      <c r="M24" s="83">
        <v>1.4499000000000001E-3</v>
      </c>
      <c r="N24" s="83">
        <v>2.9652799999999999</v>
      </c>
      <c r="O24" s="83">
        <v>0.33909</v>
      </c>
      <c r="P24" s="83">
        <v>1.4499000000000001E-3</v>
      </c>
      <c r="Q24" s="83">
        <v>3.01953</v>
      </c>
      <c r="R24" s="83">
        <v>0.34232000000000001</v>
      </c>
      <c r="S24" s="83">
        <v>1.4499000000000001E-3</v>
      </c>
      <c r="T24" s="83">
        <v>3.0624400000000001</v>
      </c>
      <c r="U24" s="83">
        <v>0.34454099999999999</v>
      </c>
      <c r="V24" s="83">
        <v>1.4499000000000001E-3</v>
      </c>
      <c r="W24" s="83">
        <v>3.08962</v>
      </c>
      <c r="X24" s="83">
        <v>0.340165</v>
      </c>
      <c r="Y24" s="83">
        <v>1.4499000000000001E-3</v>
      </c>
      <c r="Z24" s="83">
        <v>3.1221999999999999</v>
      </c>
      <c r="AA24" s="83">
        <v>0.33913500000000002</v>
      </c>
      <c r="AB24" s="83">
        <v>1.4499000000000001E-3</v>
      </c>
      <c r="AC24" s="83">
        <v>3.1696200000000001</v>
      </c>
      <c r="AD24" s="83">
        <v>0.33830100000000002</v>
      </c>
      <c r="AE24" s="83">
        <v>1.4499000000000001E-3</v>
      </c>
      <c r="AF24" s="83">
        <v>3.21848</v>
      </c>
      <c r="AG24" s="83">
        <v>0.34107500000000002</v>
      </c>
      <c r="AH24" s="83">
        <v>1.4499000000000001E-3</v>
      </c>
      <c r="AI24" s="83">
        <v>3.26004</v>
      </c>
      <c r="AJ24" s="83">
        <v>0.34050000000000002</v>
      </c>
      <c r="AK24" s="83">
        <v>1.4499000000000001E-3</v>
      </c>
      <c r="AL24" s="83">
        <v>3.2957399999999999</v>
      </c>
      <c r="AM24" s="83">
        <v>0.33965400000000001</v>
      </c>
      <c r="AN24" s="83">
        <v>1.4499000000000001E-3</v>
      </c>
      <c r="AO24" s="83">
        <v>3.3407800000000001</v>
      </c>
      <c r="AP24" s="83">
        <v>0.34065499999999999</v>
      </c>
      <c r="AQ24" s="83">
        <v>1.4499000000000001E-3</v>
      </c>
      <c r="AR24" s="83">
        <v>3.3660700000000001</v>
      </c>
      <c r="AS24" s="83">
        <v>0.336978</v>
      </c>
      <c r="AT24" s="83">
        <v>1.4499000000000001E-3</v>
      </c>
      <c r="AU24" s="83">
        <v>3.4140299999999999</v>
      </c>
      <c r="AV24" s="83">
        <v>0.33713799999999999</v>
      </c>
      <c r="AW24" s="83">
        <v>1.4499000000000001E-3</v>
      </c>
      <c r="AX24" s="83">
        <v>3.4649399999999999</v>
      </c>
      <c r="AY24" s="83">
        <v>0.338258</v>
      </c>
      <c r="AZ24" s="83">
        <v>1.4499000000000001E-3</v>
      </c>
      <c r="BA24" s="83">
        <v>3.4994299999999998</v>
      </c>
      <c r="BB24" s="83">
        <v>0.33705099999999999</v>
      </c>
      <c r="BC24" s="83">
        <v>1.4499000000000001E-3</v>
      </c>
      <c r="BD24" s="83">
        <v>3.5831599999999999</v>
      </c>
      <c r="BE24" s="83">
        <v>0.34551700000000002</v>
      </c>
      <c r="BF24" s="83">
        <v>1.4499000000000001E-3</v>
      </c>
      <c r="BG24" s="83">
        <v>3.6364399999999999</v>
      </c>
      <c r="BH24" s="83">
        <v>0.34586600000000001</v>
      </c>
      <c r="BI24" s="83">
        <v>1.4499000000000001E-3</v>
      </c>
      <c r="BJ24" s="83">
        <v>3.66343</v>
      </c>
      <c r="BK24" s="83">
        <v>0.34086</v>
      </c>
      <c r="BL24" s="83">
        <v>1.4499000000000001E-3</v>
      </c>
      <c r="BM24" s="83">
        <v>3.7039200000000001</v>
      </c>
      <c r="BN24" s="83">
        <v>0.33901399999999998</v>
      </c>
      <c r="BO24" s="83">
        <v>1.4499000000000001E-3</v>
      </c>
      <c r="BP24" s="83">
        <v>3.7535500000000002</v>
      </c>
      <c r="BQ24" s="83">
        <v>0.33887499999999998</v>
      </c>
      <c r="BR24" s="83">
        <v>1.4499000000000001E-3</v>
      </c>
      <c r="BS24" s="83">
        <v>3.81101</v>
      </c>
      <c r="BT24" s="83">
        <v>0.33958500000000003</v>
      </c>
      <c r="BU24" s="83">
        <v>1.4499000000000001E-3</v>
      </c>
      <c r="BV24" s="83">
        <v>3.9046500000000002</v>
      </c>
      <c r="BW24" s="83">
        <v>0.34684900000000002</v>
      </c>
      <c r="BX24" s="83">
        <v>1.4499000000000001E-3</v>
      </c>
      <c r="BY24" s="83">
        <v>3.8997000000000002</v>
      </c>
      <c r="BZ24" s="83">
        <v>0.33629599999999998</v>
      </c>
      <c r="CA24" s="83">
        <v>1.4499000000000001E-3</v>
      </c>
      <c r="CB24" s="83">
        <v>4.0325600000000001</v>
      </c>
      <c r="CC24" s="83">
        <v>0.34909099999999998</v>
      </c>
      <c r="CD24" s="83">
        <v>1.4499000000000001E-3</v>
      </c>
      <c r="CE24" s="83">
        <v>4.0185899999999997</v>
      </c>
      <c r="CF24" s="83">
        <v>0.336922</v>
      </c>
      <c r="CG24" s="83">
        <v>1.4499000000000001E-3</v>
      </c>
      <c r="CH24" s="83">
        <v>4.0802899999999998</v>
      </c>
      <c r="CI24" s="83">
        <v>0.33772200000000002</v>
      </c>
      <c r="CJ24" s="83">
        <v>1.4499000000000001E-3</v>
      </c>
      <c r="CK24" s="83">
        <v>4.13042</v>
      </c>
      <c r="CL24" s="83">
        <v>0.33634199999999997</v>
      </c>
      <c r="CM24" s="83">
        <v>1.4499000000000001E-3</v>
      </c>
      <c r="CN24" s="83">
        <v>4.2262899999999997</v>
      </c>
      <c r="CO24" s="83">
        <v>0.34182000000000001</v>
      </c>
      <c r="CP24" s="83">
        <v>1.4499000000000001E-3</v>
      </c>
      <c r="CQ24" s="83">
        <v>4.2869900000000003</v>
      </c>
      <c r="CR24" s="83">
        <v>0.34269500000000003</v>
      </c>
      <c r="CS24" s="83">
        <v>1.4499000000000001E-3</v>
      </c>
      <c r="CT24" s="83">
        <v>4.3439800000000002</v>
      </c>
      <c r="CU24" s="83">
        <v>0.34637099999999998</v>
      </c>
      <c r="CV24" s="83">
        <v>1.4499000000000001E-3</v>
      </c>
      <c r="CW24" s="83">
        <v>4.3693999999999997</v>
      </c>
      <c r="CX24" s="83">
        <v>0.34109699999999998</v>
      </c>
    </row>
    <row r="25" spans="1:102" x14ac:dyDescent="0.2">
      <c r="A25" s="83">
        <v>1.5499000000000001E-3</v>
      </c>
      <c r="B25" s="83">
        <v>2.6116000000000001</v>
      </c>
      <c r="C25" s="83">
        <v>0.31726399999999999</v>
      </c>
      <c r="D25" s="83">
        <v>1.5499000000000001E-3</v>
      </c>
      <c r="E25" s="83">
        <v>2.70431</v>
      </c>
      <c r="F25" s="83">
        <v>0.32088</v>
      </c>
      <c r="G25" s="83">
        <v>1.5499000000000001E-3</v>
      </c>
      <c r="H25" s="83">
        <v>2.7709700000000002</v>
      </c>
      <c r="I25" s="83">
        <v>0.32350099999999998</v>
      </c>
      <c r="J25" s="83">
        <v>1.5499000000000001E-3</v>
      </c>
      <c r="K25" s="83">
        <v>2.8601899999999998</v>
      </c>
      <c r="L25" s="83">
        <v>0.32363199999999998</v>
      </c>
      <c r="M25" s="83">
        <v>1.5499000000000001E-3</v>
      </c>
      <c r="N25" s="83">
        <v>2.8888600000000002</v>
      </c>
      <c r="O25" s="83">
        <v>0.31989000000000001</v>
      </c>
      <c r="P25" s="83">
        <v>1.5499000000000001E-3</v>
      </c>
      <c r="Q25" s="83">
        <v>2.94096</v>
      </c>
      <c r="R25" s="83">
        <v>0.32281300000000002</v>
      </c>
      <c r="S25" s="83">
        <v>1.5499000000000001E-3</v>
      </c>
      <c r="T25" s="83">
        <v>2.9835699999999998</v>
      </c>
      <c r="U25" s="83">
        <v>0.32496399999999998</v>
      </c>
      <c r="V25" s="83">
        <v>1.5499000000000001E-3</v>
      </c>
      <c r="W25" s="83">
        <v>3.0096699999999998</v>
      </c>
      <c r="X25" s="83">
        <v>0.32090600000000002</v>
      </c>
      <c r="Y25" s="83">
        <v>1.5499000000000001E-3</v>
      </c>
      <c r="Z25" s="83">
        <v>3.0414699999999999</v>
      </c>
      <c r="AA25" s="83">
        <v>0.31980599999999998</v>
      </c>
      <c r="AB25" s="83">
        <v>1.5499000000000001E-3</v>
      </c>
      <c r="AC25" s="83">
        <v>3.08738</v>
      </c>
      <c r="AD25" s="83">
        <v>0.319106</v>
      </c>
      <c r="AE25" s="83">
        <v>1.5499000000000001E-3</v>
      </c>
      <c r="AF25" s="83">
        <v>3.1348199999999999</v>
      </c>
      <c r="AG25" s="83">
        <v>0.32167099999999998</v>
      </c>
      <c r="AH25" s="83">
        <v>1.5499000000000001E-3</v>
      </c>
      <c r="AI25" s="83">
        <v>3.1756799999999998</v>
      </c>
      <c r="AJ25" s="83">
        <v>0.32116899999999998</v>
      </c>
      <c r="AK25" s="83">
        <v>1.5499000000000001E-3</v>
      </c>
      <c r="AL25" s="83">
        <v>3.2092800000000001</v>
      </c>
      <c r="AM25" s="83">
        <v>0.32031700000000002</v>
      </c>
      <c r="AN25" s="83">
        <v>1.5499000000000001E-3</v>
      </c>
      <c r="AO25" s="83">
        <v>3.2531400000000001</v>
      </c>
      <c r="AP25" s="83">
        <v>0.32122400000000001</v>
      </c>
      <c r="AQ25" s="83">
        <v>1.5499000000000001E-3</v>
      </c>
      <c r="AR25" s="83">
        <v>3.27766</v>
      </c>
      <c r="AS25" s="83">
        <v>0.31781599999999999</v>
      </c>
      <c r="AT25" s="83">
        <v>1.5499000000000001E-3</v>
      </c>
      <c r="AU25" s="83">
        <v>3.3237999999999999</v>
      </c>
      <c r="AV25" s="83">
        <v>0.31801400000000002</v>
      </c>
      <c r="AW25" s="83">
        <v>1.5499000000000001E-3</v>
      </c>
      <c r="AX25" s="83">
        <v>3.3727200000000002</v>
      </c>
      <c r="AY25" s="83">
        <v>0.31895400000000002</v>
      </c>
      <c r="AZ25" s="83">
        <v>1.5499000000000001E-3</v>
      </c>
      <c r="BA25" s="83">
        <v>3.4068399999999999</v>
      </c>
      <c r="BB25" s="83">
        <v>0.31792100000000001</v>
      </c>
      <c r="BC25" s="83">
        <v>1.5499000000000001E-3</v>
      </c>
      <c r="BD25" s="83">
        <v>3.4874000000000001</v>
      </c>
      <c r="BE25" s="83">
        <v>0.325739</v>
      </c>
      <c r="BF25" s="83">
        <v>1.5499000000000001E-3</v>
      </c>
      <c r="BG25" s="83">
        <v>3.5389699999999999</v>
      </c>
      <c r="BH25" s="83">
        <v>0.326102</v>
      </c>
      <c r="BI25" s="83">
        <v>1.5499000000000001E-3</v>
      </c>
      <c r="BJ25" s="83">
        <v>3.56508</v>
      </c>
      <c r="BK25" s="83">
        <v>0.32139699999999999</v>
      </c>
      <c r="BL25" s="83">
        <v>1.5499000000000001E-3</v>
      </c>
      <c r="BM25" s="83">
        <v>3.6032299999999999</v>
      </c>
      <c r="BN25" s="83">
        <v>0.31965199999999999</v>
      </c>
      <c r="BO25" s="83">
        <v>1.5499000000000001E-3</v>
      </c>
      <c r="BP25" s="83">
        <v>3.6507000000000001</v>
      </c>
      <c r="BQ25" s="83">
        <v>0.31950000000000001</v>
      </c>
      <c r="BR25" s="83">
        <v>1.5499000000000001E-3</v>
      </c>
      <c r="BS25" s="83">
        <v>3.7062400000000002</v>
      </c>
      <c r="BT25" s="83">
        <v>0.32025900000000002</v>
      </c>
      <c r="BU25" s="83">
        <v>1.5499000000000001E-3</v>
      </c>
      <c r="BV25" s="83">
        <v>3.79704</v>
      </c>
      <c r="BW25" s="83">
        <v>0.32704100000000003</v>
      </c>
      <c r="BX25" s="83">
        <v>1.5499000000000001E-3</v>
      </c>
      <c r="BY25" s="83">
        <v>3.79101</v>
      </c>
      <c r="BZ25" s="83">
        <v>0.31720300000000001</v>
      </c>
      <c r="CA25" s="83">
        <v>1.5499000000000001E-3</v>
      </c>
      <c r="CB25" s="83">
        <v>3.92015</v>
      </c>
      <c r="CC25" s="83">
        <v>0.32916099999999998</v>
      </c>
      <c r="CD25" s="83">
        <v>1.5499000000000001E-3</v>
      </c>
      <c r="CE25" s="83">
        <v>3.9047399999999999</v>
      </c>
      <c r="CF25" s="83">
        <v>0.317687</v>
      </c>
      <c r="CG25" s="83">
        <v>1.5499000000000001E-3</v>
      </c>
      <c r="CH25" s="83">
        <v>3.96373</v>
      </c>
      <c r="CI25" s="83">
        <v>0.31844</v>
      </c>
      <c r="CJ25" s="83">
        <v>1.5499000000000001E-3</v>
      </c>
      <c r="CK25" s="83">
        <v>4.0118200000000002</v>
      </c>
      <c r="CL25" s="83">
        <v>0.31731900000000002</v>
      </c>
      <c r="CM25" s="83">
        <v>1.5499000000000001E-3</v>
      </c>
      <c r="CN25" s="83">
        <v>4.1032900000000003</v>
      </c>
      <c r="CO25" s="83">
        <v>0.32231100000000001</v>
      </c>
      <c r="CP25" s="83">
        <v>1.5499000000000001E-3</v>
      </c>
      <c r="CQ25" s="83">
        <v>4.1611900000000004</v>
      </c>
      <c r="CR25" s="83">
        <v>0.323189</v>
      </c>
      <c r="CS25" s="83">
        <v>1.5499000000000001E-3</v>
      </c>
      <c r="CT25" s="83">
        <v>4.2152099999999999</v>
      </c>
      <c r="CU25" s="83">
        <v>0.32656800000000002</v>
      </c>
      <c r="CV25" s="83">
        <v>1.5499000000000001E-3</v>
      </c>
      <c r="CW25" s="83">
        <v>4.2370400000000004</v>
      </c>
      <c r="CX25" s="83">
        <v>0.32154300000000002</v>
      </c>
    </row>
    <row r="26" spans="1:102" x14ac:dyDescent="0.2">
      <c r="A26" s="83">
        <v>1.6498999999999999E-3</v>
      </c>
      <c r="B26" s="83">
        <v>2.5422699999999998</v>
      </c>
      <c r="C26" s="83">
        <v>0.29923499999999997</v>
      </c>
      <c r="D26" s="83">
        <v>1.6498999999999999E-3</v>
      </c>
      <c r="E26" s="83">
        <v>2.6330499999999999</v>
      </c>
      <c r="F26" s="83">
        <v>0.30252899999999999</v>
      </c>
      <c r="G26" s="83">
        <v>1.6498999999999999E-3</v>
      </c>
      <c r="H26" s="83">
        <v>2.6985199999999998</v>
      </c>
      <c r="I26" s="83">
        <v>0.30521900000000002</v>
      </c>
      <c r="J26" s="83">
        <v>1.6498999999999999E-3</v>
      </c>
      <c r="K26" s="83">
        <v>2.78491</v>
      </c>
      <c r="L26" s="83">
        <v>0.30520700000000001</v>
      </c>
      <c r="M26" s="83">
        <v>1.6498999999999999E-3</v>
      </c>
      <c r="N26" s="83">
        <v>2.8131499999999998</v>
      </c>
      <c r="O26" s="83">
        <v>0.30176900000000001</v>
      </c>
      <c r="P26" s="83">
        <v>1.6498999999999999E-3</v>
      </c>
      <c r="Q26" s="83">
        <v>2.86388</v>
      </c>
      <c r="R26" s="83">
        <v>0.30443100000000001</v>
      </c>
      <c r="S26" s="83">
        <v>1.6498999999999999E-3</v>
      </c>
      <c r="T26" s="83">
        <v>2.90537</v>
      </c>
      <c r="U26" s="83">
        <v>0.30654100000000001</v>
      </c>
      <c r="V26" s="83">
        <v>1.6498999999999999E-3</v>
      </c>
      <c r="W26" s="83">
        <v>2.93127</v>
      </c>
      <c r="X26" s="83">
        <v>0.30273</v>
      </c>
      <c r="Y26" s="83">
        <v>1.6498999999999999E-3</v>
      </c>
      <c r="Z26" s="83">
        <v>2.9614799999999999</v>
      </c>
      <c r="AA26" s="83">
        <v>0.30162499999999998</v>
      </c>
      <c r="AB26" s="83">
        <v>1.6498999999999999E-3</v>
      </c>
      <c r="AC26" s="83">
        <v>3.0063399999999998</v>
      </c>
      <c r="AD26" s="83">
        <v>0.30103099999999999</v>
      </c>
      <c r="AE26" s="83">
        <v>1.6498999999999999E-3</v>
      </c>
      <c r="AF26" s="83">
        <v>3.0527000000000002</v>
      </c>
      <c r="AG26" s="83">
        <v>0.30340299999999998</v>
      </c>
      <c r="AH26" s="83">
        <v>1.6498999999999999E-3</v>
      </c>
      <c r="AI26" s="83">
        <v>3.0922499999999999</v>
      </c>
      <c r="AJ26" s="83">
        <v>0.30297499999999999</v>
      </c>
      <c r="AK26" s="83">
        <v>1.6498999999999999E-3</v>
      </c>
      <c r="AL26" s="83">
        <v>3.1240399999999999</v>
      </c>
      <c r="AM26" s="83">
        <v>0.30208800000000002</v>
      </c>
      <c r="AN26" s="83">
        <v>1.6498999999999999E-3</v>
      </c>
      <c r="AO26" s="83">
        <v>3.1669800000000001</v>
      </c>
      <c r="AP26" s="83">
        <v>0.30295899999999998</v>
      </c>
      <c r="AQ26" s="83">
        <v>1.6498999999999999E-3</v>
      </c>
      <c r="AR26" s="83">
        <v>3.1903700000000002</v>
      </c>
      <c r="AS26" s="83">
        <v>0.299786</v>
      </c>
      <c r="AT26" s="83">
        <v>1.6498999999999999E-3</v>
      </c>
      <c r="AU26" s="83">
        <v>3.23516</v>
      </c>
      <c r="AV26" s="83">
        <v>0.30005799999999999</v>
      </c>
      <c r="AW26" s="83">
        <v>1.6498999999999999E-3</v>
      </c>
      <c r="AX26" s="83">
        <v>3.28206</v>
      </c>
      <c r="AY26" s="83">
        <v>0.30087599999999998</v>
      </c>
      <c r="AZ26" s="83">
        <v>1.6498999999999999E-3</v>
      </c>
      <c r="BA26" s="83">
        <v>3.3154300000000001</v>
      </c>
      <c r="BB26" s="83">
        <v>0.29994700000000002</v>
      </c>
      <c r="BC26" s="83">
        <v>1.6498999999999999E-3</v>
      </c>
      <c r="BD26" s="83">
        <v>3.3929800000000001</v>
      </c>
      <c r="BE26" s="83">
        <v>0.30721900000000002</v>
      </c>
      <c r="BF26" s="83">
        <v>1.6498999999999999E-3</v>
      </c>
      <c r="BG26" s="83">
        <v>3.4425599999999998</v>
      </c>
      <c r="BH26" s="83">
        <v>0.30751600000000001</v>
      </c>
      <c r="BI26" s="83">
        <v>1.6498999999999999E-3</v>
      </c>
      <c r="BJ26" s="83">
        <v>3.4671699999999999</v>
      </c>
      <c r="BK26" s="83">
        <v>0.30316100000000001</v>
      </c>
      <c r="BL26" s="83">
        <v>1.6498999999999999E-3</v>
      </c>
      <c r="BM26" s="83">
        <v>3.5041199999999999</v>
      </c>
      <c r="BN26" s="83">
        <v>0.30151600000000001</v>
      </c>
      <c r="BO26" s="83">
        <v>1.6498999999999999E-3</v>
      </c>
      <c r="BP26" s="83">
        <v>3.5497299999999998</v>
      </c>
      <c r="BQ26" s="83">
        <v>0.301315</v>
      </c>
      <c r="BR26" s="83">
        <v>1.6498999999999999E-3</v>
      </c>
      <c r="BS26" s="83">
        <v>3.6030000000000002</v>
      </c>
      <c r="BT26" s="83">
        <v>0.302097</v>
      </c>
      <c r="BU26" s="83">
        <v>1.6498999999999999E-3</v>
      </c>
      <c r="BV26" s="83">
        <v>3.6904599999999999</v>
      </c>
      <c r="BW26" s="83">
        <v>0.30841200000000002</v>
      </c>
      <c r="BX26" s="83">
        <v>1.6498999999999999E-3</v>
      </c>
      <c r="BY26" s="83">
        <v>3.6836500000000001</v>
      </c>
      <c r="BZ26" s="83">
        <v>0.29925600000000002</v>
      </c>
      <c r="CA26" s="83">
        <v>1.6498999999999999E-3</v>
      </c>
      <c r="CB26" s="83">
        <v>3.80958</v>
      </c>
      <c r="CC26" s="83">
        <v>0.31047599999999997</v>
      </c>
      <c r="CD26" s="83">
        <v>1.6498999999999999E-3</v>
      </c>
      <c r="CE26" s="83">
        <v>3.79196</v>
      </c>
      <c r="CF26" s="83">
        <v>0.29966500000000001</v>
      </c>
      <c r="CG26" s="83">
        <v>1.6498999999999999E-3</v>
      </c>
      <c r="CH26" s="83">
        <v>3.8487300000000002</v>
      </c>
      <c r="CI26" s="83">
        <v>0.30038799999999999</v>
      </c>
      <c r="CJ26" s="83">
        <v>1.6498999999999999E-3</v>
      </c>
      <c r="CK26" s="83">
        <v>3.8947600000000002</v>
      </c>
      <c r="CL26" s="83">
        <v>0.299373</v>
      </c>
      <c r="CM26" s="83">
        <v>1.6498999999999999E-3</v>
      </c>
      <c r="CN26" s="83">
        <v>3.9819900000000001</v>
      </c>
      <c r="CO26" s="83">
        <v>0.30399700000000002</v>
      </c>
      <c r="CP26" s="83">
        <v>1.6498999999999999E-3</v>
      </c>
      <c r="CQ26" s="83">
        <v>4.0372599999999998</v>
      </c>
      <c r="CR26" s="83">
        <v>0.304842</v>
      </c>
      <c r="CS26" s="83">
        <v>1.6498999999999999E-3</v>
      </c>
      <c r="CT26" s="83">
        <v>4.0876900000000003</v>
      </c>
      <c r="CU26" s="83">
        <v>0.30790800000000002</v>
      </c>
      <c r="CV26" s="83">
        <v>1.6498999999999999E-3</v>
      </c>
      <c r="CW26" s="83">
        <v>4.1062200000000004</v>
      </c>
      <c r="CX26" s="83">
        <v>0.30321399999999998</v>
      </c>
    </row>
    <row r="27" spans="1:102" x14ac:dyDescent="0.2">
      <c r="A27" s="83">
        <v>1.7499E-3</v>
      </c>
      <c r="B27" s="83">
        <v>2.47377</v>
      </c>
      <c r="C27" s="83">
        <v>0.28229399999999999</v>
      </c>
      <c r="D27" s="83">
        <v>1.7499E-3</v>
      </c>
      <c r="E27" s="83">
        <v>2.5628000000000002</v>
      </c>
      <c r="F27" s="83">
        <v>0.28528700000000001</v>
      </c>
      <c r="G27" s="83">
        <v>1.7499E-3</v>
      </c>
      <c r="H27" s="83">
        <v>2.6276299999999999</v>
      </c>
      <c r="I27" s="83">
        <v>0.28798299999999999</v>
      </c>
      <c r="J27" s="83">
        <v>1.7499E-3</v>
      </c>
      <c r="K27" s="83">
        <v>2.7106599999999998</v>
      </c>
      <c r="L27" s="83">
        <v>0.28789799999999999</v>
      </c>
      <c r="M27" s="83">
        <v>1.7499E-3</v>
      </c>
      <c r="N27" s="83">
        <v>2.7384599999999999</v>
      </c>
      <c r="O27" s="83">
        <v>0.28467999999999999</v>
      </c>
      <c r="P27" s="83">
        <v>1.7499E-3</v>
      </c>
      <c r="Q27" s="83">
        <v>2.78775</v>
      </c>
      <c r="R27" s="83">
        <v>0.28714800000000001</v>
      </c>
      <c r="S27" s="83">
        <v>1.7499E-3</v>
      </c>
      <c r="T27" s="83">
        <v>2.82863</v>
      </c>
      <c r="U27" s="83">
        <v>0.28920200000000001</v>
      </c>
      <c r="V27" s="83">
        <v>1.7499E-3</v>
      </c>
      <c r="W27" s="83">
        <v>2.8535499999999998</v>
      </c>
      <c r="X27" s="83">
        <v>0.28565000000000002</v>
      </c>
      <c r="Y27" s="83">
        <v>1.7499E-3</v>
      </c>
      <c r="Z27" s="83">
        <v>2.8828200000000002</v>
      </c>
      <c r="AA27" s="83">
        <v>0.28455000000000003</v>
      </c>
      <c r="AB27" s="83">
        <v>1.7499E-3</v>
      </c>
      <c r="AC27" s="83">
        <v>2.9264000000000001</v>
      </c>
      <c r="AD27" s="83">
        <v>0.28398899999999999</v>
      </c>
      <c r="AE27" s="83">
        <v>1.7499E-3</v>
      </c>
      <c r="AF27" s="83">
        <v>2.9718200000000001</v>
      </c>
      <c r="AG27" s="83">
        <v>0.28623500000000002</v>
      </c>
      <c r="AH27" s="83">
        <v>1.7499E-3</v>
      </c>
      <c r="AI27" s="83">
        <v>3.0097</v>
      </c>
      <c r="AJ27" s="83">
        <v>0.28585300000000002</v>
      </c>
      <c r="AK27" s="83">
        <v>1.7499E-3</v>
      </c>
      <c r="AL27" s="83">
        <v>3.0400700000000001</v>
      </c>
      <c r="AM27" s="83">
        <v>0.28495999999999999</v>
      </c>
      <c r="AN27" s="83">
        <v>1.7499E-3</v>
      </c>
      <c r="AO27" s="83">
        <v>3.0820400000000001</v>
      </c>
      <c r="AP27" s="83">
        <v>0.28577599999999997</v>
      </c>
      <c r="AQ27" s="83">
        <v>1.7499E-3</v>
      </c>
      <c r="AR27" s="83">
        <v>3.1042800000000002</v>
      </c>
      <c r="AS27" s="83">
        <v>0.28287200000000001</v>
      </c>
      <c r="AT27" s="83">
        <v>1.7499E-3</v>
      </c>
      <c r="AU27" s="83">
        <v>3.1477400000000002</v>
      </c>
      <c r="AV27" s="83">
        <v>0.28314899999999998</v>
      </c>
      <c r="AW27" s="83">
        <v>1.7499E-3</v>
      </c>
      <c r="AX27" s="83">
        <v>3.19272</v>
      </c>
      <c r="AY27" s="83">
        <v>0.28390799999999999</v>
      </c>
      <c r="AZ27" s="83">
        <v>1.7499E-3</v>
      </c>
      <c r="BA27" s="83">
        <v>3.2244000000000002</v>
      </c>
      <c r="BB27" s="83">
        <v>0.28304600000000002</v>
      </c>
      <c r="BC27" s="83">
        <v>1.7499E-3</v>
      </c>
      <c r="BD27" s="83">
        <v>3.2997700000000001</v>
      </c>
      <c r="BE27" s="83">
        <v>0.289769</v>
      </c>
      <c r="BF27" s="83">
        <v>1.7499E-3</v>
      </c>
      <c r="BG27" s="83">
        <v>3.3474699999999999</v>
      </c>
      <c r="BH27" s="83">
        <v>0.29012300000000002</v>
      </c>
      <c r="BI27" s="83">
        <v>1.7499E-3</v>
      </c>
      <c r="BJ27" s="83">
        <v>3.3709500000000001</v>
      </c>
      <c r="BK27" s="83">
        <v>0.28604800000000002</v>
      </c>
      <c r="BL27" s="83">
        <v>1.7499E-3</v>
      </c>
      <c r="BM27" s="83">
        <v>3.4063300000000001</v>
      </c>
      <c r="BN27" s="83">
        <v>0.284493</v>
      </c>
      <c r="BO27" s="83">
        <v>1.7499E-3</v>
      </c>
      <c r="BP27" s="83">
        <v>3.44896</v>
      </c>
      <c r="BQ27" s="83">
        <v>0.28422900000000001</v>
      </c>
      <c r="BR27" s="83">
        <v>1.7499E-3</v>
      </c>
      <c r="BS27" s="83">
        <v>3.5011899999999998</v>
      </c>
      <c r="BT27" s="83">
        <v>0.28499200000000002</v>
      </c>
      <c r="BU27" s="83">
        <v>1.7499E-3</v>
      </c>
      <c r="BV27" s="83">
        <v>3.58575</v>
      </c>
      <c r="BW27" s="83">
        <v>0.29099599999999998</v>
      </c>
      <c r="BX27" s="83">
        <v>1.7499E-3</v>
      </c>
      <c r="BY27" s="83">
        <v>3.57762</v>
      </c>
      <c r="BZ27" s="83">
        <v>0.282358</v>
      </c>
      <c r="CA27" s="83">
        <v>1.7499E-3</v>
      </c>
      <c r="CB27" s="83">
        <v>3.6996899999999999</v>
      </c>
      <c r="CC27" s="83">
        <v>0.29291499999999998</v>
      </c>
      <c r="CD27" s="83">
        <v>1.7499E-3</v>
      </c>
      <c r="CE27" s="83">
        <v>3.6807500000000002</v>
      </c>
      <c r="CF27" s="83">
        <v>0.28273399999999999</v>
      </c>
      <c r="CG27" s="83">
        <v>1.7499E-3</v>
      </c>
      <c r="CH27" s="83">
        <v>3.73481</v>
      </c>
      <c r="CI27" s="83">
        <v>0.28342899999999999</v>
      </c>
      <c r="CJ27" s="83">
        <v>1.7499E-3</v>
      </c>
      <c r="CK27" s="83">
        <v>3.7784399999999998</v>
      </c>
      <c r="CL27" s="83">
        <v>0.282503</v>
      </c>
      <c r="CM27" s="83">
        <v>1.7499E-3</v>
      </c>
      <c r="CN27" s="83">
        <v>3.8622999999999998</v>
      </c>
      <c r="CO27" s="83">
        <v>0.28678999999999999</v>
      </c>
      <c r="CP27" s="83">
        <v>1.7499E-3</v>
      </c>
      <c r="CQ27" s="83">
        <v>3.9146700000000001</v>
      </c>
      <c r="CR27" s="83">
        <v>0.28755599999999998</v>
      </c>
      <c r="CS27" s="83">
        <v>1.7499E-3</v>
      </c>
      <c r="CT27" s="83">
        <v>3.9613900000000002</v>
      </c>
      <c r="CU27" s="83">
        <v>0.290381</v>
      </c>
      <c r="CV27" s="83">
        <v>1.7499E-3</v>
      </c>
      <c r="CW27" s="83">
        <v>3.9768300000000001</v>
      </c>
      <c r="CX27" s="83">
        <v>0.28594000000000003</v>
      </c>
    </row>
    <row r="28" spans="1:102" x14ac:dyDescent="0.2">
      <c r="A28" s="83">
        <v>1.8499E-3</v>
      </c>
      <c r="B28" s="83">
        <v>2.4064100000000002</v>
      </c>
      <c r="C28" s="83">
        <v>0.26631199999999999</v>
      </c>
      <c r="D28" s="83">
        <v>1.8499E-3</v>
      </c>
      <c r="E28" s="83">
        <v>2.4929299999999999</v>
      </c>
      <c r="F28" s="83">
        <v>0.26905800000000002</v>
      </c>
      <c r="G28" s="83">
        <v>1.8499E-3</v>
      </c>
      <c r="H28" s="83">
        <v>2.5573700000000001</v>
      </c>
      <c r="I28" s="83">
        <v>0.27175899999999997</v>
      </c>
      <c r="J28" s="83">
        <v>1.8499E-3</v>
      </c>
      <c r="K28" s="83">
        <v>2.6383299999999998</v>
      </c>
      <c r="L28" s="83">
        <v>0.27162799999999998</v>
      </c>
      <c r="M28" s="83">
        <v>1.8499E-3</v>
      </c>
      <c r="N28" s="83">
        <v>2.6655899999999999</v>
      </c>
      <c r="O28" s="83">
        <v>0.26858900000000002</v>
      </c>
      <c r="P28" s="83">
        <v>1.8499E-3</v>
      </c>
      <c r="Q28" s="83">
        <v>2.7128100000000002</v>
      </c>
      <c r="R28" s="83">
        <v>0.27088200000000001</v>
      </c>
      <c r="S28" s="83">
        <v>1.8499E-3</v>
      </c>
      <c r="T28" s="83">
        <v>2.7528299999999999</v>
      </c>
      <c r="U28" s="83">
        <v>0.27287499999999998</v>
      </c>
      <c r="V28" s="83">
        <v>1.8499E-3</v>
      </c>
      <c r="W28" s="83">
        <v>2.7769599999999999</v>
      </c>
      <c r="X28" s="83">
        <v>0.269511</v>
      </c>
      <c r="Y28" s="83">
        <v>1.8499E-3</v>
      </c>
      <c r="Z28" s="83">
        <v>2.80504</v>
      </c>
      <c r="AA28" s="83">
        <v>0.26848</v>
      </c>
      <c r="AB28" s="83">
        <v>1.8499E-3</v>
      </c>
      <c r="AC28" s="83">
        <v>2.8472499999999998</v>
      </c>
      <c r="AD28" s="83">
        <v>0.26793699999999998</v>
      </c>
      <c r="AE28" s="83">
        <v>1.8499E-3</v>
      </c>
      <c r="AF28" s="83">
        <v>2.8915199999999999</v>
      </c>
      <c r="AG28" s="83">
        <v>0.27010000000000001</v>
      </c>
      <c r="AH28" s="83">
        <v>1.8499E-3</v>
      </c>
      <c r="AI28" s="83">
        <v>2.92849</v>
      </c>
      <c r="AJ28" s="83">
        <v>0.26970100000000002</v>
      </c>
      <c r="AK28" s="83">
        <v>1.8499E-3</v>
      </c>
      <c r="AL28" s="83">
        <v>2.9577599999999999</v>
      </c>
      <c r="AM28" s="83">
        <v>0.26885900000000001</v>
      </c>
      <c r="AN28" s="83">
        <v>1.8499E-3</v>
      </c>
      <c r="AO28" s="83">
        <v>2.9979499999999999</v>
      </c>
      <c r="AP28" s="83">
        <v>0.269648</v>
      </c>
      <c r="AQ28" s="83">
        <v>1.8499E-3</v>
      </c>
      <c r="AR28" s="83">
        <v>3.01905</v>
      </c>
      <c r="AS28" s="83">
        <v>0.26694400000000001</v>
      </c>
      <c r="AT28" s="83">
        <v>1.8499E-3</v>
      </c>
      <c r="AU28" s="83">
        <v>3.0615000000000001</v>
      </c>
      <c r="AV28" s="83">
        <v>0.26719599999999999</v>
      </c>
      <c r="AW28" s="83">
        <v>1.8499E-3</v>
      </c>
      <c r="AX28" s="83">
        <v>3.1051500000000001</v>
      </c>
      <c r="AY28" s="83">
        <v>0.26791799999999999</v>
      </c>
      <c r="AZ28" s="83">
        <v>1.8499E-3</v>
      </c>
      <c r="BA28" s="83">
        <v>3.1354700000000002</v>
      </c>
      <c r="BB28" s="83">
        <v>0.26708999999999999</v>
      </c>
      <c r="BC28" s="83">
        <v>1.8499E-3</v>
      </c>
      <c r="BD28" s="83">
        <v>3.2081</v>
      </c>
      <c r="BE28" s="83">
        <v>0.27334199999999997</v>
      </c>
      <c r="BF28" s="83">
        <v>1.8499E-3</v>
      </c>
      <c r="BG28" s="83">
        <v>3.2540300000000002</v>
      </c>
      <c r="BH28" s="83">
        <v>0.273733</v>
      </c>
      <c r="BI28" s="83">
        <v>1.8499E-3</v>
      </c>
      <c r="BJ28" s="83">
        <v>3.27582</v>
      </c>
      <c r="BK28" s="83">
        <v>0.26993299999999998</v>
      </c>
      <c r="BL28" s="83">
        <v>1.8499E-3</v>
      </c>
      <c r="BM28" s="83">
        <v>3.3093400000000002</v>
      </c>
      <c r="BN28" s="83">
        <v>0.26841900000000002</v>
      </c>
      <c r="BO28" s="83">
        <v>1.8499E-3</v>
      </c>
      <c r="BP28" s="83">
        <v>3.35039</v>
      </c>
      <c r="BQ28" s="83">
        <v>0.268125</v>
      </c>
      <c r="BR28" s="83">
        <v>1.8499E-3</v>
      </c>
      <c r="BS28" s="83">
        <v>3.4001800000000002</v>
      </c>
      <c r="BT28" s="83">
        <v>0.26890399999999998</v>
      </c>
      <c r="BU28" s="83">
        <v>1.8499E-3</v>
      </c>
      <c r="BV28" s="83">
        <v>3.4832800000000002</v>
      </c>
      <c r="BW28" s="83">
        <v>0.27463900000000002</v>
      </c>
      <c r="BX28" s="83">
        <v>1.8499E-3</v>
      </c>
      <c r="BY28" s="83">
        <v>3.4732500000000002</v>
      </c>
      <c r="BZ28" s="83">
        <v>0.26644699999999999</v>
      </c>
      <c r="CA28" s="83">
        <v>1.8499E-3</v>
      </c>
      <c r="CB28" s="83">
        <v>3.5921599999999998</v>
      </c>
      <c r="CC28" s="83">
        <v>0.276395</v>
      </c>
      <c r="CD28" s="83">
        <v>1.8499E-3</v>
      </c>
      <c r="CE28" s="83">
        <v>3.5714399999999999</v>
      </c>
      <c r="CF28" s="83">
        <v>0.26681100000000002</v>
      </c>
      <c r="CG28" s="83">
        <v>1.8499E-3</v>
      </c>
      <c r="CH28" s="83">
        <v>3.6231499999999999</v>
      </c>
      <c r="CI28" s="83">
        <v>0.26745000000000002</v>
      </c>
      <c r="CJ28" s="83">
        <v>1.8499E-3</v>
      </c>
      <c r="CK28" s="83">
        <v>3.6640199999999998</v>
      </c>
      <c r="CL28" s="83">
        <v>0.266571</v>
      </c>
      <c r="CM28" s="83">
        <v>1.8499E-3</v>
      </c>
      <c r="CN28" s="83">
        <v>3.7439900000000002</v>
      </c>
      <c r="CO28" s="83">
        <v>0.27058599999999999</v>
      </c>
      <c r="CP28" s="83">
        <v>1.8499E-3</v>
      </c>
      <c r="CQ28" s="83">
        <v>3.7938999999999998</v>
      </c>
      <c r="CR28" s="83">
        <v>0.271314</v>
      </c>
      <c r="CS28" s="83">
        <v>1.8499E-3</v>
      </c>
      <c r="CT28" s="83">
        <v>3.8378399999999999</v>
      </c>
      <c r="CU28" s="83">
        <v>0.273926</v>
      </c>
      <c r="CV28" s="83">
        <v>1.8499E-3</v>
      </c>
      <c r="CW28" s="83">
        <v>3.84985</v>
      </c>
      <c r="CX28" s="83">
        <v>0.26969900000000002</v>
      </c>
    </row>
    <row r="29" spans="1:102" x14ac:dyDescent="0.2">
      <c r="A29" s="83">
        <v>1.9499000000000001E-3</v>
      </c>
      <c r="B29" s="83">
        <v>2.3408899999999999</v>
      </c>
      <c r="C29" s="83">
        <v>0.25140099999999999</v>
      </c>
      <c r="D29" s="83">
        <v>1.9499000000000001E-3</v>
      </c>
      <c r="E29" s="83">
        <v>2.4243299999999999</v>
      </c>
      <c r="F29" s="83">
        <v>0.25390499999999999</v>
      </c>
      <c r="G29" s="83">
        <v>1.9499000000000001E-3</v>
      </c>
      <c r="H29" s="83">
        <v>2.48813</v>
      </c>
      <c r="I29" s="83">
        <v>0.25652399999999997</v>
      </c>
      <c r="J29" s="83">
        <v>1.9499000000000001E-3</v>
      </c>
      <c r="K29" s="83">
        <v>2.5672700000000002</v>
      </c>
      <c r="L29" s="83">
        <v>0.25637700000000002</v>
      </c>
      <c r="M29" s="83">
        <v>1.9499000000000001E-3</v>
      </c>
      <c r="N29" s="83">
        <v>2.59361</v>
      </c>
      <c r="O29" s="83">
        <v>0.25357600000000002</v>
      </c>
      <c r="P29" s="83">
        <v>1.9499000000000001E-3</v>
      </c>
      <c r="Q29" s="83">
        <v>2.6397699999999999</v>
      </c>
      <c r="R29" s="83">
        <v>0.25567000000000001</v>
      </c>
      <c r="S29" s="83">
        <v>1.9499000000000001E-3</v>
      </c>
      <c r="T29" s="83">
        <v>2.6789200000000002</v>
      </c>
      <c r="U29" s="83">
        <v>0.25759399999999999</v>
      </c>
      <c r="V29" s="83">
        <v>1.9499000000000001E-3</v>
      </c>
      <c r="W29" s="83">
        <v>2.7016100000000001</v>
      </c>
      <c r="X29" s="83">
        <v>0.25445000000000001</v>
      </c>
      <c r="Y29" s="83">
        <v>1.9499000000000001E-3</v>
      </c>
      <c r="Z29" s="83">
        <v>2.72878</v>
      </c>
      <c r="AA29" s="83">
        <v>0.25343500000000002</v>
      </c>
      <c r="AB29" s="83">
        <v>1.9499000000000001E-3</v>
      </c>
      <c r="AC29" s="83">
        <v>2.76993</v>
      </c>
      <c r="AD29" s="83">
        <v>0.25292300000000001</v>
      </c>
      <c r="AE29" s="83">
        <v>1.9499000000000001E-3</v>
      </c>
      <c r="AF29" s="83">
        <v>2.8130500000000001</v>
      </c>
      <c r="AG29" s="83">
        <v>0.25497700000000001</v>
      </c>
      <c r="AH29" s="83">
        <v>1.9499000000000001E-3</v>
      </c>
      <c r="AI29" s="83">
        <v>2.8487900000000002</v>
      </c>
      <c r="AJ29" s="83">
        <v>0.25465900000000002</v>
      </c>
      <c r="AK29" s="83">
        <v>1.9499000000000001E-3</v>
      </c>
      <c r="AL29" s="83">
        <v>2.8767900000000002</v>
      </c>
      <c r="AM29" s="83">
        <v>0.25379400000000002</v>
      </c>
      <c r="AN29" s="83">
        <v>1.9499000000000001E-3</v>
      </c>
      <c r="AO29" s="83">
        <v>2.9157700000000002</v>
      </c>
      <c r="AP29" s="83">
        <v>0.25455499999999998</v>
      </c>
      <c r="AQ29" s="83">
        <v>1.9499000000000001E-3</v>
      </c>
      <c r="AR29" s="83">
        <v>2.93594</v>
      </c>
      <c r="AS29" s="83">
        <v>0.25206000000000001</v>
      </c>
      <c r="AT29" s="83">
        <v>1.9499000000000001E-3</v>
      </c>
      <c r="AU29" s="83">
        <v>2.9765899999999998</v>
      </c>
      <c r="AV29" s="83">
        <v>0.25229499999999999</v>
      </c>
      <c r="AW29" s="83">
        <v>1.9499000000000001E-3</v>
      </c>
      <c r="AX29" s="83">
        <v>3.0186099999999998</v>
      </c>
      <c r="AY29" s="83">
        <v>0.25295699999999999</v>
      </c>
      <c r="AZ29" s="83">
        <v>1.9499000000000001E-3</v>
      </c>
      <c r="BA29" s="83">
        <v>3.0474700000000001</v>
      </c>
      <c r="BB29" s="83">
        <v>0.25217699999999998</v>
      </c>
      <c r="BC29" s="83">
        <v>1.9499000000000001E-3</v>
      </c>
      <c r="BD29" s="83">
        <v>3.11782</v>
      </c>
      <c r="BE29" s="83">
        <v>0.25800000000000001</v>
      </c>
      <c r="BF29" s="83">
        <v>1.9499000000000001E-3</v>
      </c>
      <c r="BG29" s="83">
        <v>3.1619899999999999</v>
      </c>
      <c r="BH29" s="83">
        <v>0.25837500000000002</v>
      </c>
      <c r="BI29" s="83">
        <v>1.9499000000000001E-3</v>
      </c>
      <c r="BJ29" s="83">
        <v>3.1825800000000002</v>
      </c>
      <c r="BK29" s="83">
        <v>0.25485099999999999</v>
      </c>
      <c r="BL29" s="83">
        <v>1.9499000000000001E-3</v>
      </c>
      <c r="BM29" s="83">
        <v>3.2135199999999999</v>
      </c>
      <c r="BN29" s="83">
        <v>0.25340499999999999</v>
      </c>
      <c r="BO29" s="83">
        <v>1.9499000000000001E-3</v>
      </c>
      <c r="BP29" s="83">
        <v>3.25271</v>
      </c>
      <c r="BQ29" s="83">
        <v>0.25309900000000002</v>
      </c>
      <c r="BR29" s="83">
        <v>1.9499000000000001E-3</v>
      </c>
      <c r="BS29" s="83">
        <v>3.3008700000000002</v>
      </c>
      <c r="BT29" s="83">
        <v>0.25386999999999998</v>
      </c>
      <c r="BU29" s="83">
        <v>1.9499000000000001E-3</v>
      </c>
      <c r="BV29" s="83">
        <v>3.3812000000000002</v>
      </c>
      <c r="BW29" s="83">
        <v>0.25925900000000002</v>
      </c>
      <c r="BX29" s="83">
        <v>1.9499000000000001E-3</v>
      </c>
      <c r="BY29" s="83">
        <v>3.3701300000000001</v>
      </c>
      <c r="BZ29" s="83">
        <v>0.25154100000000001</v>
      </c>
      <c r="CA29" s="83">
        <v>1.9499000000000001E-3</v>
      </c>
      <c r="CB29" s="83">
        <v>3.4857399999999998</v>
      </c>
      <c r="CC29" s="83">
        <v>0.26088099999999997</v>
      </c>
      <c r="CD29" s="83">
        <v>1.9499000000000001E-3</v>
      </c>
      <c r="CE29" s="83">
        <v>3.46346</v>
      </c>
      <c r="CF29" s="83">
        <v>0.25190000000000001</v>
      </c>
      <c r="CG29" s="83">
        <v>1.9499000000000001E-3</v>
      </c>
      <c r="CH29" s="83">
        <v>3.5132500000000002</v>
      </c>
      <c r="CI29" s="83">
        <v>0.25252599999999997</v>
      </c>
      <c r="CJ29" s="83">
        <v>1.9499000000000001E-3</v>
      </c>
      <c r="CK29" s="83">
        <v>3.55193</v>
      </c>
      <c r="CL29" s="83">
        <v>0.25167400000000001</v>
      </c>
      <c r="CM29" s="83">
        <v>1.9499000000000001E-3</v>
      </c>
      <c r="CN29" s="83">
        <v>3.6274700000000002</v>
      </c>
      <c r="CO29" s="83">
        <v>0.25536900000000001</v>
      </c>
      <c r="CP29" s="83">
        <v>1.9499000000000001E-3</v>
      </c>
      <c r="CQ29" s="83">
        <v>3.67442</v>
      </c>
      <c r="CR29" s="83">
        <v>0.25611400000000001</v>
      </c>
      <c r="CS29" s="83">
        <v>1.9499000000000001E-3</v>
      </c>
      <c r="CT29" s="83">
        <v>3.71529</v>
      </c>
      <c r="CU29" s="83">
        <v>0.25847700000000001</v>
      </c>
      <c r="CV29" s="83">
        <v>1.9499000000000001E-3</v>
      </c>
      <c r="CW29" s="83">
        <v>3.72377</v>
      </c>
      <c r="CX29" s="83">
        <v>0.25451099999999999</v>
      </c>
    </row>
    <row r="30" spans="1:102" x14ac:dyDescent="0.2">
      <c r="A30" s="83">
        <v>2.0498999999999999E-3</v>
      </c>
      <c r="B30" s="83">
        <v>2.2764099999999998</v>
      </c>
      <c r="C30" s="83">
        <v>0.23741899999999999</v>
      </c>
      <c r="D30" s="83">
        <v>2.0498999999999999E-3</v>
      </c>
      <c r="E30" s="83">
        <v>2.3575699999999999</v>
      </c>
      <c r="F30" s="83">
        <v>0.23971600000000001</v>
      </c>
      <c r="G30" s="83">
        <v>2.0498999999999999E-3</v>
      </c>
      <c r="H30" s="83">
        <v>2.4198400000000002</v>
      </c>
      <c r="I30" s="83">
        <v>0.24226800000000001</v>
      </c>
      <c r="J30" s="83">
        <v>2.0498999999999999E-3</v>
      </c>
      <c r="K30" s="83">
        <v>2.4972400000000001</v>
      </c>
      <c r="L30" s="83">
        <v>0.24213499999999999</v>
      </c>
      <c r="M30" s="83">
        <v>2.0498999999999999E-3</v>
      </c>
      <c r="N30" s="83">
        <v>2.52271</v>
      </c>
      <c r="O30" s="83">
        <v>0.23947399999999999</v>
      </c>
      <c r="P30" s="83">
        <v>2.0498999999999999E-3</v>
      </c>
      <c r="Q30" s="83">
        <v>2.5678200000000002</v>
      </c>
      <c r="R30" s="83">
        <v>0.24140200000000001</v>
      </c>
      <c r="S30" s="83">
        <v>2.0498999999999999E-3</v>
      </c>
      <c r="T30" s="83">
        <v>2.6062799999999999</v>
      </c>
      <c r="U30" s="83">
        <v>0.24326800000000001</v>
      </c>
      <c r="V30" s="83">
        <v>2.0498999999999999E-3</v>
      </c>
      <c r="W30" s="83">
        <v>2.6286900000000002</v>
      </c>
      <c r="X30" s="83">
        <v>0.24032600000000001</v>
      </c>
      <c r="Y30" s="83">
        <v>2.0498999999999999E-3</v>
      </c>
      <c r="Z30" s="83">
        <v>2.6547399999999999</v>
      </c>
      <c r="AA30" s="83">
        <v>0.23933699999999999</v>
      </c>
      <c r="AB30" s="83">
        <v>2.0498999999999999E-3</v>
      </c>
      <c r="AC30" s="83">
        <v>2.6935199999999999</v>
      </c>
      <c r="AD30" s="83">
        <v>0.23883099999999999</v>
      </c>
      <c r="AE30" s="83">
        <v>2.0498999999999999E-3</v>
      </c>
      <c r="AF30" s="83">
        <v>2.7357300000000002</v>
      </c>
      <c r="AG30" s="83">
        <v>0.24082799999999999</v>
      </c>
      <c r="AH30" s="83">
        <v>2.0498999999999999E-3</v>
      </c>
      <c r="AI30" s="83">
        <v>2.7701899999999999</v>
      </c>
      <c r="AJ30" s="83">
        <v>0.24051400000000001</v>
      </c>
      <c r="AK30" s="83">
        <v>2.0498999999999999E-3</v>
      </c>
      <c r="AL30" s="83">
        <v>2.7973400000000002</v>
      </c>
      <c r="AM30" s="83">
        <v>0.23968100000000001</v>
      </c>
      <c r="AN30" s="83">
        <v>2.0498999999999999E-3</v>
      </c>
      <c r="AO30" s="83">
        <v>2.83507</v>
      </c>
      <c r="AP30" s="83">
        <v>0.240426</v>
      </c>
      <c r="AQ30" s="83">
        <v>2.0498999999999999E-3</v>
      </c>
      <c r="AR30" s="83">
        <v>2.8543799999999999</v>
      </c>
      <c r="AS30" s="83">
        <v>0.23807700000000001</v>
      </c>
      <c r="AT30" s="83">
        <v>2.0498999999999999E-3</v>
      </c>
      <c r="AU30" s="83">
        <v>2.8927</v>
      </c>
      <c r="AV30" s="83">
        <v>0.23829400000000001</v>
      </c>
      <c r="AW30" s="83">
        <v>2.0498999999999999E-3</v>
      </c>
      <c r="AX30" s="83">
        <v>2.9334099999999999</v>
      </c>
      <c r="AY30" s="83">
        <v>0.23891699999999999</v>
      </c>
      <c r="AZ30" s="83">
        <v>2.0498999999999999E-3</v>
      </c>
      <c r="BA30" s="83">
        <v>2.9607600000000001</v>
      </c>
      <c r="BB30" s="83">
        <v>0.23815900000000001</v>
      </c>
      <c r="BC30" s="83">
        <v>2.0498999999999999E-3</v>
      </c>
      <c r="BD30" s="83">
        <v>3.0287700000000002</v>
      </c>
      <c r="BE30" s="83">
        <v>0.24357699999999999</v>
      </c>
      <c r="BF30" s="83">
        <v>2.0498999999999999E-3</v>
      </c>
      <c r="BG30" s="83">
        <v>3.0716000000000001</v>
      </c>
      <c r="BH30" s="83">
        <v>0.24398900000000001</v>
      </c>
      <c r="BI30" s="83">
        <v>2.0498999999999999E-3</v>
      </c>
      <c r="BJ30" s="83">
        <v>3.09063</v>
      </c>
      <c r="BK30" s="83">
        <v>0.24068200000000001</v>
      </c>
      <c r="BL30" s="83">
        <v>2.0498999999999999E-3</v>
      </c>
      <c r="BM30" s="83">
        <v>3.1202100000000002</v>
      </c>
      <c r="BN30" s="83">
        <v>0.239291</v>
      </c>
      <c r="BO30" s="83">
        <v>2.0498999999999999E-3</v>
      </c>
      <c r="BP30" s="83">
        <v>3.15686</v>
      </c>
      <c r="BQ30" s="83">
        <v>0.23897399999999999</v>
      </c>
      <c r="BR30" s="83">
        <v>2.0498999999999999E-3</v>
      </c>
      <c r="BS30" s="83">
        <v>3.2032799999999999</v>
      </c>
      <c r="BT30" s="83">
        <v>0.23979400000000001</v>
      </c>
      <c r="BU30" s="83">
        <v>2.0498999999999999E-3</v>
      </c>
      <c r="BV30" s="83">
        <v>3.28071</v>
      </c>
      <c r="BW30" s="83">
        <v>0.244867</v>
      </c>
      <c r="BX30" s="83">
        <v>2.0498999999999999E-3</v>
      </c>
      <c r="BY30" s="83">
        <v>3.2685900000000001</v>
      </c>
      <c r="BZ30" s="83">
        <v>0.23757400000000001</v>
      </c>
      <c r="CA30" s="83">
        <v>2.0498999999999999E-3</v>
      </c>
      <c r="CB30" s="83">
        <v>3.3812899999999999</v>
      </c>
      <c r="CC30" s="83">
        <v>0.24638399999999999</v>
      </c>
      <c r="CD30" s="83">
        <v>2.0498999999999999E-3</v>
      </c>
      <c r="CE30" s="83">
        <v>3.3573599999999999</v>
      </c>
      <c r="CF30" s="83">
        <v>0.237903</v>
      </c>
      <c r="CG30" s="83">
        <v>2.0498999999999999E-3</v>
      </c>
      <c r="CH30" s="83">
        <v>3.4046099999999999</v>
      </c>
      <c r="CI30" s="83">
        <v>0.23854500000000001</v>
      </c>
      <c r="CJ30" s="83">
        <v>2.0498999999999999E-3</v>
      </c>
      <c r="CK30" s="83">
        <v>3.4402599999999999</v>
      </c>
      <c r="CL30" s="83">
        <v>0.237674</v>
      </c>
      <c r="CM30" s="83">
        <v>2.0498999999999999E-3</v>
      </c>
      <c r="CN30" s="83">
        <v>3.51328</v>
      </c>
      <c r="CO30" s="83">
        <v>0.24116000000000001</v>
      </c>
      <c r="CP30" s="83">
        <v>2.0498999999999999E-3</v>
      </c>
      <c r="CQ30" s="83">
        <v>3.5575899999999998</v>
      </c>
      <c r="CR30" s="83">
        <v>0.241893</v>
      </c>
      <c r="CS30" s="83">
        <v>2.0498999999999999E-3</v>
      </c>
      <c r="CT30" s="83">
        <v>3.5953499999999998</v>
      </c>
      <c r="CU30" s="83">
        <v>0.24402599999999999</v>
      </c>
      <c r="CV30" s="83">
        <v>2.0498999999999999E-3</v>
      </c>
      <c r="CW30" s="83">
        <v>3.6009600000000002</v>
      </c>
      <c r="CX30" s="83">
        <v>0.24026800000000001</v>
      </c>
    </row>
    <row r="31" spans="1:102" x14ac:dyDescent="0.2">
      <c r="A31" s="83">
        <v>2.1499000000000002E-3</v>
      </c>
      <c r="B31" s="83">
        <v>2.2124899999999998</v>
      </c>
      <c r="C31" s="83">
        <v>0.22429299999999999</v>
      </c>
      <c r="D31" s="83">
        <v>2.1499000000000002E-3</v>
      </c>
      <c r="E31" s="83">
        <v>2.2919999999999998</v>
      </c>
      <c r="F31" s="83">
        <v>0.226383</v>
      </c>
      <c r="G31" s="83">
        <v>2.1499000000000002E-3</v>
      </c>
      <c r="H31" s="83">
        <v>2.3534099999999998</v>
      </c>
      <c r="I31" s="83">
        <v>0.228848</v>
      </c>
      <c r="J31" s="83">
        <v>2.1499000000000002E-3</v>
      </c>
      <c r="K31" s="83">
        <v>2.42842</v>
      </c>
      <c r="L31" s="83">
        <v>0.22872600000000001</v>
      </c>
      <c r="M31" s="83">
        <v>2.1499000000000002E-3</v>
      </c>
      <c r="N31" s="83">
        <v>2.4528400000000001</v>
      </c>
      <c r="O31" s="83">
        <v>0.226248</v>
      </c>
      <c r="P31" s="83">
        <v>2.1499000000000002E-3</v>
      </c>
      <c r="Q31" s="83">
        <v>2.49674</v>
      </c>
      <c r="R31" s="83">
        <v>0.22801099999999999</v>
      </c>
      <c r="S31" s="83">
        <v>2.1499000000000002E-3</v>
      </c>
      <c r="T31" s="83">
        <v>2.5347200000000001</v>
      </c>
      <c r="U31" s="83">
        <v>0.22983100000000001</v>
      </c>
      <c r="V31" s="83">
        <v>2.1499000000000002E-3</v>
      </c>
      <c r="W31" s="83">
        <v>2.55585</v>
      </c>
      <c r="X31" s="83">
        <v>0.227077</v>
      </c>
      <c r="Y31" s="83">
        <v>2.1499000000000002E-3</v>
      </c>
      <c r="Z31" s="83">
        <v>2.5813199999999998</v>
      </c>
      <c r="AA31" s="83">
        <v>0.22609799999999999</v>
      </c>
      <c r="AB31" s="83">
        <v>2.1499000000000002E-3</v>
      </c>
      <c r="AC31" s="83">
        <v>2.6195900000000001</v>
      </c>
      <c r="AD31" s="83">
        <v>0.225609</v>
      </c>
      <c r="AE31" s="83">
        <v>2.1499000000000002E-3</v>
      </c>
      <c r="AF31" s="83">
        <v>2.66052</v>
      </c>
      <c r="AG31" s="83">
        <v>0.22754199999999999</v>
      </c>
      <c r="AH31" s="83">
        <v>2.1499000000000002E-3</v>
      </c>
      <c r="AI31" s="83">
        <v>2.6928100000000001</v>
      </c>
      <c r="AJ31" s="83">
        <v>0.227247</v>
      </c>
      <c r="AK31" s="83">
        <v>2.1499000000000002E-3</v>
      </c>
      <c r="AL31" s="83">
        <v>2.71895</v>
      </c>
      <c r="AM31" s="83">
        <v>0.22645599999999999</v>
      </c>
      <c r="AN31" s="83">
        <v>2.1499000000000002E-3</v>
      </c>
      <c r="AO31" s="83">
        <v>2.7551800000000002</v>
      </c>
      <c r="AP31" s="83">
        <v>0.227127</v>
      </c>
      <c r="AQ31" s="83">
        <v>2.1499000000000002E-3</v>
      </c>
      <c r="AR31" s="83">
        <v>2.7741199999999999</v>
      </c>
      <c r="AS31" s="83">
        <v>0.224962</v>
      </c>
      <c r="AT31" s="83">
        <v>2.1499000000000002E-3</v>
      </c>
      <c r="AU31" s="83">
        <v>2.81067</v>
      </c>
      <c r="AV31" s="83">
        <v>0.225159</v>
      </c>
      <c r="AW31" s="83">
        <v>2.1499000000000002E-3</v>
      </c>
      <c r="AX31" s="83">
        <v>2.84944</v>
      </c>
      <c r="AY31" s="83">
        <v>0.22573399999999999</v>
      </c>
      <c r="AZ31" s="83">
        <v>2.1499000000000002E-3</v>
      </c>
      <c r="BA31" s="83">
        <v>2.8757000000000001</v>
      </c>
      <c r="BB31" s="83">
        <v>0.22501499999999999</v>
      </c>
      <c r="BC31" s="83">
        <v>2.1499000000000002E-3</v>
      </c>
      <c r="BD31" s="83">
        <v>2.9414699999999998</v>
      </c>
      <c r="BE31" s="83">
        <v>0.230072</v>
      </c>
      <c r="BF31" s="83">
        <v>2.1499000000000002E-3</v>
      </c>
      <c r="BG31" s="83">
        <v>2.9822799999999998</v>
      </c>
      <c r="BH31" s="83">
        <v>0.23046900000000001</v>
      </c>
      <c r="BI31" s="83">
        <v>2.1499000000000002E-3</v>
      </c>
      <c r="BJ31" s="83">
        <v>3.0003199999999999</v>
      </c>
      <c r="BK31" s="83">
        <v>0.227413</v>
      </c>
      <c r="BL31" s="83">
        <v>2.1499000000000002E-3</v>
      </c>
      <c r="BM31" s="83">
        <v>3.0281099999999999</v>
      </c>
      <c r="BN31" s="83">
        <v>0.226078</v>
      </c>
      <c r="BO31" s="83">
        <v>2.1499000000000002E-3</v>
      </c>
      <c r="BP31" s="83">
        <v>3.0624799999999999</v>
      </c>
      <c r="BQ31" s="83">
        <v>0.225743</v>
      </c>
      <c r="BR31" s="83">
        <v>2.1499000000000002E-3</v>
      </c>
      <c r="BS31" s="83">
        <v>3.10758</v>
      </c>
      <c r="BT31" s="83">
        <v>0.22651199999999999</v>
      </c>
      <c r="BU31" s="83">
        <v>2.1499000000000002E-3</v>
      </c>
      <c r="BV31" s="83">
        <v>3.18228</v>
      </c>
      <c r="BW31" s="83">
        <v>0.231324</v>
      </c>
      <c r="BX31" s="83">
        <v>2.1499000000000002E-3</v>
      </c>
      <c r="BY31" s="83">
        <v>3.1685699999999999</v>
      </c>
      <c r="BZ31" s="83">
        <v>0.224469</v>
      </c>
      <c r="CA31" s="83">
        <v>2.1499000000000002E-3</v>
      </c>
      <c r="CB31" s="83">
        <v>3.2776200000000002</v>
      </c>
      <c r="CC31" s="83">
        <v>0.23275599999999999</v>
      </c>
      <c r="CD31" s="83">
        <v>2.1499000000000002E-3</v>
      </c>
      <c r="CE31" s="83">
        <v>3.2526000000000002</v>
      </c>
      <c r="CF31" s="83">
        <v>0.22476499999999999</v>
      </c>
      <c r="CG31" s="83">
        <v>2.1499000000000002E-3</v>
      </c>
      <c r="CH31" s="83">
        <v>3.2977300000000001</v>
      </c>
      <c r="CI31" s="83">
        <v>0.22539999999999999</v>
      </c>
      <c r="CJ31" s="83">
        <v>2.1499000000000002E-3</v>
      </c>
      <c r="CK31" s="83">
        <v>3.33135</v>
      </c>
      <c r="CL31" s="83">
        <v>0.22456100000000001</v>
      </c>
      <c r="CM31" s="83">
        <v>2.1499000000000002E-3</v>
      </c>
      <c r="CN31" s="83">
        <v>3.4003100000000002</v>
      </c>
      <c r="CO31" s="83">
        <v>0.22781599999999999</v>
      </c>
      <c r="CP31" s="83">
        <v>2.1499000000000002E-3</v>
      </c>
      <c r="CQ31" s="83">
        <v>3.4424100000000002</v>
      </c>
      <c r="CR31" s="83">
        <v>0.228549</v>
      </c>
      <c r="CS31" s="83">
        <v>2.1499000000000002E-3</v>
      </c>
      <c r="CT31" s="83">
        <v>3.47675</v>
      </c>
      <c r="CU31" s="83">
        <v>0.230494</v>
      </c>
      <c r="CV31" s="83">
        <v>2.1499000000000002E-3</v>
      </c>
      <c r="CW31" s="83">
        <v>3.4797099999999999</v>
      </c>
      <c r="CX31" s="83">
        <v>0.22689899999999999</v>
      </c>
    </row>
    <row r="32" spans="1:102" x14ac:dyDescent="0.2">
      <c r="A32" s="83">
        <v>2.2499E-3</v>
      </c>
      <c r="B32" s="83">
        <v>2.1500300000000001</v>
      </c>
      <c r="C32" s="83">
        <v>0.21190899999999999</v>
      </c>
      <c r="D32" s="83">
        <v>2.2499E-3</v>
      </c>
      <c r="E32" s="83">
        <v>2.2277800000000001</v>
      </c>
      <c r="F32" s="83">
        <v>0.21388199999999999</v>
      </c>
      <c r="G32" s="83">
        <v>2.2499E-3</v>
      </c>
      <c r="H32" s="83">
        <v>2.2881200000000002</v>
      </c>
      <c r="I32" s="83">
        <v>0.21628800000000001</v>
      </c>
      <c r="J32" s="83">
        <v>2.2499E-3</v>
      </c>
      <c r="K32" s="83">
        <v>2.3606500000000001</v>
      </c>
      <c r="L32" s="83">
        <v>0.21618899999999999</v>
      </c>
      <c r="M32" s="83">
        <v>2.2499E-3</v>
      </c>
      <c r="N32" s="83">
        <v>2.3843299999999998</v>
      </c>
      <c r="O32" s="83">
        <v>0.21379000000000001</v>
      </c>
      <c r="P32" s="83">
        <v>2.2499E-3</v>
      </c>
      <c r="Q32" s="83">
        <v>2.4267300000000001</v>
      </c>
      <c r="R32" s="83">
        <v>0.21543799999999999</v>
      </c>
      <c r="S32" s="83">
        <v>2.2499E-3</v>
      </c>
      <c r="T32" s="83">
        <v>2.4642599999999999</v>
      </c>
      <c r="U32" s="83">
        <v>0.21721499999999999</v>
      </c>
      <c r="V32" s="83">
        <v>2.2499E-3</v>
      </c>
      <c r="W32" s="83">
        <v>2.4851899999999998</v>
      </c>
      <c r="X32" s="83">
        <v>0.214638</v>
      </c>
      <c r="Y32" s="83">
        <v>2.2499E-3</v>
      </c>
      <c r="Z32" s="83">
        <v>2.5092699999999999</v>
      </c>
      <c r="AA32" s="83">
        <v>0.21365999999999999</v>
      </c>
      <c r="AB32" s="83">
        <v>2.2499E-3</v>
      </c>
      <c r="AC32" s="83">
        <v>2.5460099999999999</v>
      </c>
      <c r="AD32" s="83">
        <v>0.21322099999999999</v>
      </c>
      <c r="AE32" s="83">
        <v>2.2499E-3</v>
      </c>
      <c r="AF32" s="83">
        <v>2.5861800000000001</v>
      </c>
      <c r="AG32" s="83">
        <v>0.215062</v>
      </c>
      <c r="AH32" s="83">
        <v>2.2499E-3</v>
      </c>
      <c r="AI32" s="83">
        <v>2.6181299999999998</v>
      </c>
      <c r="AJ32" s="83">
        <v>0.214814</v>
      </c>
      <c r="AK32" s="83">
        <v>2.2499E-3</v>
      </c>
      <c r="AL32" s="83">
        <v>2.64256</v>
      </c>
      <c r="AM32" s="83">
        <v>0.21403900000000001</v>
      </c>
      <c r="AN32" s="83">
        <v>2.2499E-3</v>
      </c>
      <c r="AO32" s="83">
        <v>2.6772499999999999</v>
      </c>
      <c r="AP32" s="83">
        <v>0.214725</v>
      </c>
      <c r="AQ32" s="83">
        <v>2.2499E-3</v>
      </c>
      <c r="AR32" s="83">
        <v>2.6947700000000001</v>
      </c>
      <c r="AS32" s="83">
        <v>0.212618</v>
      </c>
      <c r="AT32" s="83">
        <v>2.2499E-3</v>
      </c>
      <c r="AU32" s="83">
        <v>2.7302</v>
      </c>
      <c r="AV32" s="83">
        <v>0.212784</v>
      </c>
      <c r="AW32" s="83">
        <v>2.2499E-3</v>
      </c>
      <c r="AX32" s="83">
        <v>2.7670300000000001</v>
      </c>
      <c r="AY32" s="83">
        <v>0.21332499999999999</v>
      </c>
      <c r="AZ32" s="83">
        <v>2.2499E-3</v>
      </c>
      <c r="BA32" s="83">
        <v>2.7923499999999999</v>
      </c>
      <c r="BB32" s="83">
        <v>0.21263899999999999</v>
      </c>
      <c r="BC32" s="83">
        <v>2.2499E-3</v>
      </c>
      <c r="BD32" s="83">
        <v>2.85561</v>
      </c>
      <c r="BE32" s="83">
        <v>0.217415</v>
      </c>
      <c r="BF32" s="83">
        <v>2.2499E-3</v>
      </c>
      <c r="BG32" s="83">
        <v>2.89507</v>
      </c>
      <c r="BH32" s="83">
        <v>0.21781900000000001</v>
      </c>
      <c r="BI32" s="83">
        <v>2.2499E-3</v>
      </c>
      <c r="BJ32" s="83">
        <v>2.9113500000000001</v>
      </c>
      <c r="BK32" s="83">
        <v>0.214943</v>
      </c>
      <c r="BL32" s="83">
        <v>2.2499E-3</v>
      </c>
      <c r="BM32" s="83">
        <v>2.9377</v>
      </c>
      <c r="BN32" s="83">
        <v>0.21366299999999999</v>
      </c>
      <c r="BO32" s="83">
        <v>2.2499E-3</v>
      </c>
      <c r="BP32" s="83">
        <v>2.96997</v>
      </c>
      <c r="BQ32" s="83">
        <v>0.213336</v>
      </c>
      <c r="BR32" s="83">
        <v>2.2499E-3</v>
      </c>
      <c r="BS32" s="83">
        <v>3.01302</v>
      </c>
      <c r="BT32" s="83">
        <v>0.21410499999999999</v>
      </c>
      <c r="BU32" s="83">
        <v>2.2499E-3</v>
      </c>
      <c r="BV32" s="83">
        <v>3.0857299999999999</v>
      </c>
      <c r="BW32" s="83">
        <v>0.21862400000000001</v>
      </c>
      <c r="BX32" s="83">
        <v>2.2499E-3</v>
      </c>
      <c r="BY32" s="83">
        <v>3.07016</v>
      </c>
      <c r="BZ32" s="83">
        <v>0.21210899999999999</v>
      </c>
      <c r="CA32" s="83">
        <v>2.2499E-3</v>
      </c>
      <c r="CB32" s="83">
        <v>3.1760100000000002</v>
      </c>
      <c r="CC32" s="83">
        <v>0.21998200000000001</v>
      </c>
      <c r="CD32" s="83">
        <v>2.2499E-3</v>
      </c>
      <c r="CE32" s="83">
        <v>3.1496200000000001</v>
      </c>
      <c r="CF32" s="83">
        <v>0.212391</v>
      </c>
      <c r="CG32" s="83">
        <v>2.2499E-3</v>
      </c>
      <c r="CH32" s="83">
        <v>3.19278</v>
      </c>
      <c r="CI32" s="83">
        <v>0.21304000000000001</v>
      </c>
      <c r="CJ32" s="83">
        <v>2.2499E-3</v>
      </c>
      <c r="CK32" s="83">
        <v>3.2230799999999999</v>
      </c>
      <c r="CL32" s="83">
        <v>0.21219399999999999</v>
      </c>
      <c r="CM32" s="83">
        <v>2.2499E-3</v>
      </c>
      <c r="CN32" s="83">
        <v>3.2890100000000002</v>
      </c>
      <c r="CO32" s="83">
        <v>0.215284</v>
      </c>
      <c r="CP32" s="83">
        <v>2.2499E-3</v>
      </c>
      <c r="CQ32" s="83">
        <v>3.3283800000000001</v>
      </c>
      <c r="CR32" s="83">
        <v>0.21602399999999999</v>
      </c>
      <c r="CS32" s="83">
        <v>2.2499E-3</v>
      </c>
      <c r="CT32" s="83">
        <v>3.3602699999999999</v>
      </c>
      <c r="CU32" s="83">
        <v>0.21781400000000001</v>
      </c>
      <c r="CV32" s="83">
        <v>2.2499E-3</v>
      </c>
      <c r="CW32" s="83">
        <v>3.3598699999999999</v>
      </c>
      <c r="CX32" s="83">
        <v>0.21440500000000001</v>
      </c>
    </row>
    <row r="33" spans="1:102" x14ac:dyDescent="0.2">
      <c r="A33" s="83">
        <v>2.3498999999999998E-3</v>
      </c>
      <c r="B33" s="83">
        <v>2.08901</v>
      </c>
      <c r="C33" s="83">
        <v>0.20028499999999999</v>
      </c>
      <c r="D33" s="83">
        <v>2.3498999999999998E-3</v>
      </c>
      <c r="E33" s="83">
        <v>2.16432</v>
      </c>
      <c r="F33" s="83">
        <v>0.20208100000000001</v>
      </c>
      <c r="G33" s="83">
        <v>2.3498999999999998E-3</v>
      </c>
      <c r="H33" s="83">
        <v>2.2234699999999998</v>
      </c>
      <c r="I33" s="83">
        <v>0.20440700000000001</v>
      </c>
      <c r="J33" s="83">
        <v>2.3498999999999998E-3</v>
      </c>
      <c r="K33" s="83">
        <v>2.2945500000000001</v>
      </c>
      <c r="L33" s="83">
        <v>0.204262</v>
      </c>
      <c r="M33" s="83">
        <v>2.3498999999999998E-3</v>
      </c>
      <c r="N33" s="83">
        <v>2.3174700000000001</v>
      </c>
      <c r="O33" s="83">
        <v>0.20203299999999999</v>
      </c>
      <c r="P33" s="83">
        <v>2.3498999999999998E-3</v>
      </c>
      <c r="Q33" s="83">
        <v>2.3582299999999998</v>
      </c>
      <c r="R33" s="83">
        <v>0.203543</v>
      </c>
      <c r="S33" s="83">
        <v>2.3498999999999998E-3</v>
      </c>
      <c r="T33" s="83">
        <v>2.3951699999999998</v>
      </c>
      <c r="U33" s="83">
        <v>0.20529600000000001</v>
      </c>
      <c r="V33" s="83">
        <v>2.3498999999999998E-3</v>
      </c>
      <c r="W33" s="83">
        <v>2.4151400000000001</v>
      </c>
      <c r="X33" s="83">
        <v>0.20283599999999999</v>
      </c>
      <c r="Y33" s="83">
        <v>2.3498999999999998E-3</v>
      </c>
      <c r="Z33" s="83">
        <v>2.4379900000000001</v>
      </c>
      <c r="AA33" s="83">
        <v>0.201907</v>
      </c>
      <c r="AB33" s="83">
        <v>2.3498999999999998E-3</v>
      </c>
      <c r="AC33" s="83">
        <v>2.4735999999999998</v>
      </c>
      <c r="AD33" s="83">
        <v>0.201461</v>
      </c>
      <c r="AE33" s="83">
        <v>2.3498999999999998E-3</v>
      </c>
      <c r="AF33" s="83">
        <v>2.51302</v>
      </c>
      <c r="AG33" s="83">
        <v>0.20324200000000001</v>
      </c>
      <c r="AH33" s="83">
        <v>2.3498999999999998E-3</v>
      </c>
      <c r="AI33" s="83">
        <v>2.5435699999999999</v>
      </c>
      <c r="AJ33" s="83">
        <v>0.203012</v>
      </c>
      <c r="AK33" s="83">
        <v>2.3498999999999998E-3</v>
      </c>
      <c r="AL33" s="83">
        <v>2.56738</v>
      </c>
      <c r="AM33" s="83">
        <v>0.20227999999999999</v>
      </c>
      <c r="AN33" s="83">
        <v>2.3498999999999998E-3</v>
      </c>
      <c r="AO33" s="83">
        <v>2.6006999999999998</v>
      </c>
      <c r="AP33" s="83">
        <v>0.20291400000000001</v>
      </c>
      <c r="AQ33" s="83">
        <v>2.3498999999999998E-3</v>
      </c>
      <c r="AR33" s="83">
        <v>2.6179600000000001</v>
      </c>
      <c r="AS33" s="83">
        <v>0.200985</v>
      </c>
      <c r="AT33" s="83">
        <v>2.3498999999999998E-3</v>
      </c>
      <c r="AU33" s="83">
        <v>2.6512899999999999</v>
      </c>
      <c r="AV33" s="83">
        <v>0.20113</v>
      </c>
      <c r="AW33" s="83">
        <v>2.3498999999999998E-3</v>
      </c>
      <c r="AX33" s="83">
        <v>2.6861700000000002</v>
      </c>
      <c r="AY33" s="83">
        <v>0.20163300000000001</v>
      </c>
      <c r="AZ33" s="83">
        <v>2.3498999999999998E-3</v>
      </c>
      <c r="BA33" s="83">
        <v>2.7098900000000001</v>
      </c>
      <c r="BB33" s="83">
        <v>0.20097300000000001</v>
      </c>
      <c r="BC33" s="83">
        <v>2.3498999999999998E-3</v>
      </c>
      <c r="BD33" s="83">
        <v>2.7711000000000001</v>
      </c>
      <c r="BE33" s="83">
        <v>0.205433</v>
      </c>
      <c r="BF33" s="83">
        <v>2.3498999999999998E-3</v>
      </c>
      <c r="BG33" s="83">
        <v>2.8086799999999998</v>
      </c>
      <c r="BH33" s="83">
        <v>0.20583899999999999</v>
      </c>
      <c r="BI33" s="83">
        <v>2.3498999999999998E-3</v>
      </c>
      <c r="BJ33" s="83">
        <v>2.82416</v>
      </c>
      <c r="BK33" s="83">
        <v>0.20316300000000001</v>
      </c>
      <c r="BL33" s="83">
        <v>2.3498999999999998E-3</v>
      </c>
      <c r="BM33" s="83">
        <v>2.8486799999999999</v>
      </c>
      <c r="BN33" s="83">
        <v>0.201933</v>
      </c>
      <c r="BO33" s="83">
        <v>2.3498999999999998E-3</v>
      </c>
      <c r="BP33" s="83">
        <v>2.87893</v>
      </c>
      <c r="BQ33" s="83">
        <v>0.20163</v>
      </c>
      <c r="BR33" s="83">
        <v>2.3498999999999998E-3</v>
      </c>
      <c r="BS33" s="83">
        <v>2.9206099999999999</v>
      </c>
      <c r="BT33" s="83">
        <v>0.20236899999999999</v>
      </c>
      <c r="BU33" s="83">
        <v>2.3498999999999998E-3</v>
      </c>
      <c r="BV33" s="83">
        <v>2.99017</v>
      </c>
      <c r="BW33" s="83">
        <v>0.20660000000000001</v>
      </c>
      <c r="BX33" s="83">
        <v>2.3498999999999998E-3</v>
      </c>
      <c r="BY33" s="83">
        <v>2.9739</v>
      </c>
      <c r="BZ33" s="83">
        <v>0.20050499999999999</v>
      </c>
      <c r="CA33" s="83">
        <v>2.3498999999999998E-3</v>
      </c>
      <c r="CB33" s="83">
        <v>3.0762700000000001</v>
      </c>
      <c r="CC33" s="83">
        <v>0.20789199999999999</v>
      </c>
      <c r="CD33" s="83">
        <v>2.3498999999999998E-3</v>
      </c>
      <c r="CE33" s="83">
        <v>3.0482</v>
      </c>
      <c r="CF33" s="83">
        <v>0.20074500000000001</v>
      </c>
      <c r="CG33" s="83">
        <v>2.3498999999999998E-3</v>
      </c>
      <c r="CH33" s="83">
        <v>3.0894599999999999</v>
      </c>
      <c r="CI33" s="83">
        <v>0.2014</v>
      </c>
      <c r="CJ33" s="83">
        <v>2.3498999999999998E-3</v>
      </c>
      <c r="CK33" s="83">
        <v>3.1169799999999999</v>
      </c>
      <c r="CL33" s="83">
        <v>0.20053099999999999</v>
      </c>
      <c r="CM33" s="83">
        <v>2.3498999999999998E-3</v>
      </c>
      <c r="CN33" s="83">
        <v>3.1801599999999999</v>
      </c>
      <c r="CO33" s="83">
        <v>0.203431</v>
      </c>
      <c r="CP33" s="83">
        <v>2.3498999999999998E-3</v>
      </c>
      <c r="CQ33" s="83">
        <v>3.2169400000000001</v>
      </c>
      <c r="CR33" s="83">
        <v>0.204184</v>
      </c>
      <c r="CS33" s="83">
        <v>2.3498999999999998E-3</v>
      </c>
      <c r="CT33" s="83">
        <v>3.2458300000000002</v>
      </c>
      <c r="CU33" s="83">
        <v>0.205822</v>
      </c>
      <c r="CV33" s="83">
        <v>2.3498999999999998E-3</v>
      </c>
      <c r="CW33" s="83">
        <v>3.2425899999999999</v>
      </c>
      <c r="CX33" s="83">
        <v>0.202567</v>
      </c>
    </row>
    <row r="34" spans="1:102" x14ac:dyDescent="0.2">
      <c r="A34" s="83">
        <v>2.4499000000000001E-3</v>
      </c>
      <c r="B34" s="83">
        <v>2.0283600000000002</v>
      </c>
      <c r="C34" s="83">
        <v>0.189385</v>
      </c>
      <c r="D34" s="83">
        <v>2.4499000000000001E-3</v>
      </c>
      <c r="E34" s="83">
        <v>2.1020799999999999</v>
      </c>
      <c r="F34" s="83">
        <v>0.19106000000000001</v>
      </c>
      <c r="G34" s="83">
        <v>2.4499000000000001E-3</v>
      </c>
      <c r="H34" s="83">
        <v>2.1602299999999999</v>
      </c>
      <c r="I34" s="83">
        <v>0.19325800000000001</v>
      </c>
      <c r="J34" s="83">
        <v>2.4499000000000001E-3</v>
      </c>
      <c r="K34" s="83">
        <v>2.2292000000000001</v>
      </c>
      <c r="L34" s="83">
        <v>0.19314400000000001</v>
      </c>
      <c r="M34" s="83">
        <v>2.4499000000000001E-3</v>
      </c>
      <c r="N34" s="83">
        <v>2.2519900000000002</v>
      </c>
      <c r="O34" s="83">
        <v>0.191049</v>
      </c>
      <c r="P34" s="83">
        <v>2.4499000000000001E-3</v>
      </c>
      <c r="Q34" s="83">
        <v>2.2911999999999999</v>
      </c>
      <c r="R34" s="83">
        <v>0.192443</v>
      </c>
      <c r="S34" s="83">
        <v>2.4499000000000001E-3</v>
      </c>
      <c r="T34" s="83">
        <v>2.3276400000000002</v>
      </c>
      <c r="U34" s="83">
        <v>0.19415099999999999</v>
      </c>
      <c r="V34" s="83">
        <v>2.4499000000000001E-3</v>
      </c>
      <c r="W34" s="83">
        <v>2.3467600000000002</v>
      </c>
      <c r="X34" s="83">
        <v>0.191855</v>
      </c>
      <c r="Y34" s="83">
        <v>2.4499000000000001E-3</v>
      </c>
      <c r="Z34" s="83">
        <v>2.3685100000000001</v>
      </c>
      <c r="AA34" s="83">
        <v>0.190942</v>
      </c>
      <c r="AB34" s="83">
        <v>2.4499000000000001E-3</v>
      </c>
      <c r="AC34" s="83">
        <v>2.4022199999999998</v>
      </c>
      <c r="AD34" s="83">
        <v>0.19048899999999999</v>
      </c>
      <c r="AE34" s="83">
        <v>2.4499000000000001E-3</v>
      </c>
      <c r="AF34" s="83">
        <v>2.4408599999999998</v>
      </c>
      <c r="AG34" s="83">
        <v>0.19220100000000001</v>
      </c>
      <c r="AH34" s="83">
        <v>2.4499000000000001E-3</v>
      </c>
      <c r="AI34" s="83">
        <v>2.47058</v>
      </c>
      <c r="AJ34" s="83">
        <v>0.19198699999999999</v>
      </c>
      <c r="AK34" s="83">
        <v>2.4499000000000001E-3</v>
      </c>
      <c r="AL34" s="83">
        <v>2.4931100000000002</v>
      </c>
      <c r="AM34" s="83">
        <v>0.19128500000000001</v>
      </c>
      <c r="AN34" s="83">
        <v>2.4499000000000001E-3</v>
      </c>
      <c r="AO34" s="83">
        <v>2.5253000000000001</v>
      </c>
      <c r="AP34" s="83">
        <v>0.191909</v>
      </c>
      <c r="AQ34" s="83">
        <v>2.4499000000000001E-3</v>
      </c>
      <c r="AR34" s="83">
        <v>2.5414500000000002</v>
      </c>
      <c r="AS34" s="83">
        <v>0.19008700000000001</v>
      </c>
      <c r="AT34" s="83">
        <v>2.4499000000000001E-3</v>
      </c>
      <c r="AU34" s="83">
        <v>2.5739800000000002</v>
      </c>
      <c r="AV34" s="83">
        <v>0.190222</v>
      </c>
      <c r="AW34" s="83">
        <v>2.4499000000000001E-3</v>
      </c>
      <c r="AX34" s="83">
        <v>2.6077900000000001</v>
      </c>
      <c r="AY34" s="83">
        <v>0.190688</v>
      </c>
      <c r="AZ34" s="83">
        <v>2.4499000000000001E-3</v>
      </c>
      <c r="BA34" s="83">
        <v>2.62975</v>
      </c>
      <c r="BB34" s="83">
        <v>0.19004599999999999</v>
      </c>
      <c r="BC34" s="83">
        <v>2.4499000000000001E-3</v>
      </c>
      <c r="BD34" s="83">
        <v>2.68811</v>
      </c>
      <c r="BE34" s="83">
        <v>0.194241</v>
      </c>
      <c r="BF34" s="83">
        <v>2.4499000000000001E-3</v>
      </c>
      <c r="BG34" s="83">
        <v>2.72403</v>
      </c>
      <c r="BH34" s="83">
        <v>0.194632</v>
      </c>
      <c r="BI34" s="83">
        <v>2.4499000000000001E-3</v>
      </c>
      <c r="BJ34" s="83">
        <v>2.7381899999999999</v>
      </c>
      <c r="BK34" s="83">
        <v>0.19215199999999999</v>
      </c>
      <c r="BL34" s="83">
        <v>2.4499000000000001E-3</v>
      </c>
      <c r="BM34" s="83">
        <v>2.7614000000000001</v>
      </c>
      <c r="BN34" s="83">
        <v>0.19095999999999999</v>
      </c>
      <c r="BO34" s="83">
        <v>2.4499000000000001E-3</v>
      </c>
      <c r="BP34" s="83">
        <v>2.78973</v>
      </c>
      <c r="BQ34" s="83">
        <v>0.190689</v>
      </c>
      <c r="BR34" s="83">
        <v>2.4499000000000001E-3</v>
      </c>
      <c r="BS34" s="83">
        <v>2.8295400000000002</v>
      </c>
      <c r="BT34" s="83">
        <v>0.19139100000000001</v>
      </c>
      <c r="BU34" s="83">
        <v>2.4499000000000001E-3</v>
      </c>
      <c r="BV34" s="83">
        <v>2.8963999999999999</v>
      </c>
      <c r="BW34" s="83">
        <v>0.195355</v>
      </c>
      <c r="BX34" s="83">
        <v>2.4499000000000001E-3</v>
      </c>
      <c r="BY34" s="83">
        <v>2.8791699999999998</v>
      </c>
      <c r="BZ34" s="83">
        <v>0.18964300000000001</v>
      </c>
      <c r="CA34" s="83">
        <v>2.4499000000000001E-3</v>
      </c>
      <c r="CB34" s="83">
        <v>2.9783400000000002</v>
      </c>
      <c r="CC34" s="83">
        <v>0.19658300000000001</v>
      </c>
      <c r="CD34" s="83">
        <v>2.4499000000000001E-3</v>
      </c>
      <c r="CE34" s="83">
        <v>2.94937</v>
      </c>
      <c r="CF34" s="83">
        <v>0.189834</v>
      </c>
      <c r="CG34" s="83">
        <v>2.4499000000000001E-3</v>
      </c>
      <c r="CH34" s="83">
        <v>2.9877600000000002</v>
      </c>
      <c r="CI34" s="83">
        <v>0.190502</v>
      </c>
      <c r="CJ34" s="83">
        <v>2.4499000000000001E-3</v>
      </c>
      <c r="CK34" s="83">
        <v>3.01268</v>
      </c>
      <c r="CL34" s="83">
        <v>0.18961500000000001</v>
      </c>
      <c r="CM34" s="83">
        <v>2.4499000000000001E-3</v>
      </c>
      <c r="CN34" s="83">
        <v>3.0731299999999999</v>
      </c>
      <c r="CO34" s="83">
        <v>0.19236</v>
      </c>
      <c r="CP34" s="83">
        <v>2.4499000000000001E-3</v>
      </c>
      <c r="CQ34" s="83">
        <v>3.1074299999999999</v>
      </c>
      <c r="CR34" s="83">
        <v>0.193074</v>
      </c>
      <c r="CS34" s="83">
        <v>2.4499000000000001E-3</v>
      </c>
      <c r="CT34" s="83">
        <v>3.1334300000000002</v>
      </c>
      <c r="CU34" s="83">
        <v>0.19458500000000001</v>
      </c>
      <c r="CV34" s="83">
        <v>2.4499000000000001E-3</v>
      </c>
      <c r="CW34" s="83">
        <v>3.1269900000000002</v>
      </c>
      <c r="CX34" s="83">
        <v>0.191496</v>
      </c>
    </row>
    <row r="35" spans="1:102" x14ac:dyDescent="0.2">
      <c r="A35" s="83">
        <v>2.5498999999999999E-3</v>
      </c>
      <c r="B35" s="83">
        <v>1.97001</v>
      </c>
      <c r="C35" s="83">
        <v>0.17912500000000001</v>
      </c>
      <c r="D35" s="83">
        <v>2.5498999999999999E-3</v>
      </c>
      <c r="E35" s="83">
        <v>2.0417200000000002</v>
      </c>
      <c r="F35" s="83">
        <v>0.18069099999999999</v>
      </c>
      <c r="G35" s="83">
        <v>2.5498999999999999E-3</v>
      </c>
      <c r="H35" s="83">
        <v>2.0980799999999999</v>
      </c>
      <c r="I35" s="83">
        <v>0.18282499999999999</v>
      </c>
      <c r="J35" s="83">
        <v>2.5498999999999999E-3</v>
      </c>
      <c r="K35" s="83">
        <v>2.1651400000000001</v>
      </c>
      <c r="L35" s="83">
        <v>0.182703</v>
      </c>
      <c r="M35" s="83">
        <v>2.5498999999999999E-3</v>
      </c>
      <c r="N35" s="83">
        <v>2.1872699999999998</v>
      </c>
      <c r="O35" s="83">
        <v>0.18071699999999999</v>
      </c>
      <c r="P35" s="83">
        <v>2.5498999999999999E-3</v>
      </c>
      <c r="Q35" s="83">
        <v>2.22566</v>
      </c>
      <c r="R35" s="83">
        <v>0.182008</v>
      </c>
      <c r="S35" s="83">
        <v>2.5498999999999999E-3</v>
      </c>
      <c r="T35" s="83">
        <v>2.26118</v>
      </c>
      <c r="U35" s="83">
        <v>0.183672</v>
      </c>
      <c r="V35" s="83">
        <v>2.5498999999999999E-3</v>
      </c>
      <c r="W35" s="83">
        <v>2.2798400000000001</v>
      </c>
      <c r="X35" s="83">
        <v>0.18152699999999999</v>
      </c>
      <c r="Y35" s="83">
        <v>2.5498999999999999E-3</v>
      </c>
      <c r="Z35" s="83">
        <v>2.3004799999999999</v>
      </c>
      <c r="AA35" s="83">
        <v>0.18060300000000001</v>
      </c>
      <c r="AB35" s="83">
        <v>2.5498999999999999E-3</v>
      </c>
      <c r="AC35" s="83">
        <v>2.33324</v>
      </c>
      <c r="AD35" s="83">
        <v>0.18018500000000001</v>
      </c>
      <c r="AE35" s="83">
        <v>2.5498999999999999E-3</v>
      </c>
      <c r="AF35" s="83">
        <v>2.3704800000000001</v>
      </c>
      <c r="AG35" s="83">
        <v>0.18184700000000001</v>
      </c>
      <c r="AH35" s="83">
        <v>2.5498999999999999E-3</v>
      </c>
      <c r="AI35" s="83">
        <v>2.39879</v>
      </c>
      <c r="AJ35" s="83">
        <v>0.18163099999999999</v>
      </c>
      <c r="AK35" s="83">
        <v>2.5498999999999999E-3</v>
      </c>
      <c r="AL35" s="83">
        <v>2.4199099999999998</v>
      </c>
      <c r="AM35" s="83">
        <v>0.18094499999999999</v>
      </c>
      <c r="AN35" s="83">
        <v>2.5498999999999999E-3</v>
      </c>
      <c r="AO35" s="83">
        <v>2.45166</v>
      </c>
      <c r="AP35" s="83">
        <v>0.181536</v>
      </c>
      <c r="AQ35" s="83">
        <v>2.5498999999999999E-3</v>
      </c>
      <c r="AR35" s="83">
        <v>2.46638</v>
      </c>
      <c r="AS35" s="83">
        <v>0.17982500000000001</v>
      </c>
      <c r="AT35" s="83">
        <v>2.5498999999999999E-3</v>
      </c>
      <c r="AU35" s="83">
        <v>2.4973200000000002</v>
      </c>
      <c r="AV35" s="83">
        <v>0.17997299999999999</v>
      </c>
      <c r="AW35" s="83">
        <v>2.5498999999999999E-3</v>
      </c>
      <c r="AX35" s="83">
        <v>2.5294599999999998</v>
      </c>
      <c r="AY35" s="83">
        <v>0.18040400000000001</v>
      </c>
      <c r="AZ35" s="83">
        <v>2.5498999999999999E-3</v>
      </c>
      <c r="BA35" s="83">
        <v>2.5500500000000001</v>
      </c>
      <c r="BB35" s="83">
        <v>0.179783</v>
      </c>
      <c r="BC35" s="83">
        <v>2.5498999999999999E-3</v>
      </c>
      <c r="BD35" s="83">
        <v>2.6076999999999999</v>
      </c>
      <c r="BE35" s="83">
        <v>0.183729</v>
      </c>
      <c r="BF35" s="83">
        <v>2.5498999999999999E-3</v>
      </c>
      <c r="BG35" s="83">
        <v>2.6416900000000001</v>
      </c>
      <c r="BH35" s="83">
        <v>0.18410099999999999</v>
      </c>
      <c r="BI35" s="83">
        <v>2.5498999999999999E-3</v>
      </c>
      <c r="BJ35" s="83">
        <v>2.6541600000000001</v>
      </c>
      <c r="BK35" s="83">
        <v>0.18177599999999999</v>
      </c>
      <c r="BL35" s="83">
        <v>2.5498999999999999E-3</v>
      </c>
      <c r="BM35" s="83">
        <v>2.6755900000000001</v>
      </c>
      <c r="BN35" s="83">
        <v>0.180642</v>
      </c>
      <c r="BO35" s="83">
        <v>2.5498999999999999E-3</v>
      </c>
      <c r="BP35" s="83">
        <v>2.7017899999999999</v>
      </c>
      <c r="BQ35" s="83">
        <v>0.18038100000000001</v>
      </c>
      <c r="BR35" s="83">
        <v>2.5498999999999999E-3</v>
      </c>
      <c r="BS35" s="83">
        <v>2.74004</v>
      </c>
      <c r="BT35" s="83">
        <v>0.18102799999999999</v>
      </c>
      <c r="BU35" s="83">
        <v>2.5498999999999999E-3</v>
      </c>
      <c r="BV35" s="83">
        <v>2.80437</v>
      </c>
      <c r="BW35" s="83">
        <v>0.184782</v>
      </c>
      <c r="BX35" s="83">
        <v>2.5498999999999999E-3</v>
      </c>
      <c r="BY35" s="83">
        <v>2.7861899999999999</v>
      </c>
      <c r="BZ35" s="83">
        <v>0.17941799999999999</v>
      </c>
      <c r="CA35" s="83">
        <v>2.5498999999999999E-3</v>
      </c>
      <c r="CB35" s="83">
        <v>2.88225</v>
      </c>
      <c r="CC35" s="83">
        <v>0.185971</v>
      </c>
      <c r="CD35" s="83">
        <v>2.5498999999999999E-3</v>
      </c>
      <c r="CE35" s="83">
        <v>2.85162</v>
      </c>
      <c r="CF35" s="83">
        <v>0.179589</v>
      </c>
      <c r="CG35" s="83">
        <v>2.5498999999999999E-3</v>
      </c>
      <c r="CH35" s="83">
        <v>2.8884500000000002</v>
      </c>
      <c r="CI35" s="83">
        <v>0.18021899999999999</v>
      </c>
      <c r="CJ35" s="83">
        <v>2.5498999999999999E-3</v>
      </c>
      <c r="CK35" s="83">
        <v>2.9106999999999998</v>
      </c>
      <c r="CL35" s="83">
        <v>0.17933099999999999</v>
      </c>
      <c r="CM35" s="83">
        <v>2.5498999999999999E-3</v>
      </c>
      <c r="CN35" s="83">
        <v>2.9676900000000002</v>
      </c>
      <c r="CO35" s="83">
        <v>0.181952</v>
      </c>
      <c r="CP35" s="83">
        <v>2.5498999999999999E-3</v>
      </c>
      <c r="CQ35" s="83">
        <v>2.9998499999999999</v>
      </c>
      <c r="CR35" s="83">
        <v>0.18266199999999999</v>
      </c>
      <c r="CS35" s="83">
        <v>2.5498999999999999E-3</v>
      </c>
      <c r="CT35" s="83">
        <v>3.0235699999999999</v>
      </c>
      <c r="CU35" s="83">
        <v>0.18406</v>
      </c>
      <c r="CV35" s="83">
        <v>2.5498999999999999E-3</v>
      </c>
      <c r="CW35" s="83">
        <v>3.0141900000000001</v>
      </c>
      <c r="CX35" s="83">
        <v>0.18112900000000001</v>
      </c>
    </row>
    <row r="36" spans="1:102" x14ac:dyDescent="0.2">
      <c r="A36" s="83">
        <v>2.6499000000000002E-3</v>
      </c>
      <c r="B36" s="83">
        <v>1.9119699999999999</v>
      </c>
      <c r="C36" s="83">
        <v>0.16952800000000001</v>
      </c>
      <c r="D36" s="83">
        <v>2.6499000000000002E-3</v>
      </c>
      <c r="E36" s="83">
        <v>1.9817</v>
      </c>
      <c r="F36" s="83">
        <v>0.17097300000000001</v>
      </c>
      <c r="G36" s="83">
        <v>2.6499000000000002E-3</v>
      </c>
      <c r="H36" s="83">
        <v>2.03749</v>
      </c>
      <c r="I36" s="83">
        <v>0.17302799999999999</v>
      </c>
      <c r="J36" s="83">
        <v>2.6499000000000002E-3</v>
      </c>
      <c r="K36" s="83">
        <v>2.1025299999999998</v>
      </c>
      <c r="L36" s="83">
        <v>0.17288700000000001</v>
      </c>
      <c r="M36" s="83">
        <v>2.6499000000000002E-3</v>
      </c>
      <c r="N36" s="83">
        <v>2.1238899999999998</v>
      </c>
      <c r="O36" s="83">
        <v>0.17103299999999999</v>
      </c>
      <c r="P36" s="83">
        <v>2.6499000000000002E-3</v>
      </c>
      <c r="Q36" s="83">
        <v>2.16106</v>
      </c>
      <c r="R36" s="83">
        <v>0.17222000000000001</v>
      </c>
      <c r="S36" s="83">
        <v>2.6499000000000002E-3</v>
      </c>
      <c r="T36" s="83">
        <v>2.1959499999999998</v>
      </c>
      <c r="U36" s="83">
        <v>0.17385100000000001</v>
      </c>
      <c r="V36" s="83">
        <v>2.6499000000000002E-3</v>
      </c>
      <c r="W36" s="83">
        <v>2.2138</v>
      </c>
      <c r="X36" s="83">
        <v>0.171793</v>
      </c>
      <c r="Y36" s="83">
        <v>2.6499000000000002E-3</v>
      </c>
      <c r="Z36" s="83">
        <v>2.23346</v>
      </c>
      <c r="AA36" s="83">
        <v>0.170927</v>
      </c>
      <c r="AB36" s="83">
        <v>2.6499000000000002E-3</v>
      </c>
      <c r="AC36" s="83">
        <v>2.2649300000000001</v>
      </c>
      <c r="AD36" s="83">
        <v>0.17053499999999999</v>
      </c>
      <c r="AE36" s="83">
        <v>2.6499000000000002E-3</v>
      </c>
      <c r="AF36" s="83">
        <v>2.3015699999999999</v>
      </c>
      <c r="AG36" s="83">
        <v>0.17210900000000001</v>
      </c>
      <c r="AH36" s="83">
        <v>2.6499000000000002E-3</v>
      </c>
      <c r="AI36" s="83">
        <v>2.3286099999999998</v>
      </c>
      <c r="AJ36" s="83">
        <v>0.17191500000000001</v>
      </c>
      <c r="AK36" s="83">
        <v>2.6499000000000002E-3</v>
      </c>
      <c r="AL36" s="83">
        <v>2.3491</v>
      </c>
      <c r="AM36" s="83">
        <v>0.17125899999999999</v>
      </c>
      <c r="AN36" s="83">
        <v>2.6499000000000002E-3</v>
      </c>
      <c r="AO36" s="83">
        <v>2.3788100000000001</v>
      </c>
      <c r="AP36" s="83">
        <v>0.17181399999999999</v>
      </c>
      <c r="AQ36" s="83">
        <v>2.6499000000000002E-3</v>
      </c>
      <c r="AR36" s="83">
        <v>2.39256</v>
      </c>
      <c r="AS36" s="83">
        <v>0.17020099999999999</v>
      </c>
      <c r="AT36" s="83">
        <v>2.6499000000000002E-3</v>
      </c>
      <c r="AU36" s="83">
        <v>2.4218999999999999</v>
      </c>
      <c r="AV36" s="83">
        <v>0.170378</v>
      </c>
      <c r="AW36" s="83">
        <v>2.6499000000000002E-3</v>
      </c>
      <c r="AX36" s="83">
        <v>2.4527399999999999</v>
      </c>
      <c r="AY36" s="83">
        <v>0.17071900000000001</v>
      </c>
      <c r="AZ36" s="83">
        <v>2.6499000000000002E-3</v>
      </c>
      <c r="BA36" s="83">
        <v>2.4721299999999999</v>
      </c>
      <c r="BB36" s="83">
        <v>0.170129</v>
      </c>
      <c r="BC36" s="83">
        <v>2.6499000000000002E-3</v>
      </c>
      <c r="BD36" s="83">
        <v>2.5279099999999999</v>
      </c>
      <c r="BE36" s="83">
        <v>0.17386599999999999</v>
      </c>
      <c r="BF36" s="83">
        <v>2.6499000000000002E-3</v>
      </c>
      <c r="BG36" s="83">
        <v>2.5608900000000001</v>
      </c>
      <c r="BH36" s="83">
        <v>0.174239</v>
      </c>
      <c r="BI36" s="83">
        <v>2.6499000000000002E-3</v>
      </c>
      <c r="BJ36" s="83">
        <v>2.5717599999999998</v>
      </c>
      <c r="BK36" s="83">
        <v>0.17204</v>
      </c>
      <c r="BL36" s="83">
        <v>2.6499000000000002E-3</v>
      </c>
      <c r="BM36" s="83">
        <v>2.5918399999999999</v>
      </c>
      <c r="BN36" s="83">
        <v>0.17096800000000001</v>
      </c>
      <c r="BO36" s="83">
        <v>2.6499000000000002E-3</v>
      </c>
      <c r="BP36" s="83">
        <v>2.6168200000000001</v>
      </c>
      <c r="BQ36" s="83">
        <v>0.170711</v>
      </c>
      <c r="BR36" s="83">
        <v>2.6499000000000002E-3</v>
      </c>
      <c r="BS36" s="83">
        <v>2.6524399999999999</v>
      </c>
      <c r="BT36" s="83">
        <v>0.17134199999999999</v>
      </c>
      <c r="BU36" s="83">
        <v>2.6499000000000002E-3</v>
      </c>
      <c r="BV36" s="83">
        <v>2.7142400000000002</v>
      </c>
      <c r="BW36" s="83">
        <v>0.174845</v>
      </c>
      <c r="BX36" s="83">
        <v>2.6499000000000002E-3</v>
      </c>
      <c r="BY36" s="83">
        <v>2.69495</v>
      </c>
      <c r="BZ36" s="83">
        <v>0.16980999999999999</v>
      </c>
      <c r="CA36" s="83">
        <v>2.6499000000000002E-3</v>
      </c>
      <c r="CB36" s="83">
        <v>2.7875999999999999</v>
      </c>
      <c r="CC36" s="83">
        <v>0.17597499999999999</v>
      </c>
      <c r="CD36" s="83">
        <v>2.6499000000000002E-3</v>
      </c>
      <c r="CE36" s="83">
        <v>2.7557700000000001</v>
      </c>
      <c r="CF36" s="83">
        <v>0.16996900000000001</v>
      </c>
      <c r="CG36" s="83">
        <v>2.6499000000000002E-3</v>
      </c>
      <c r="CH36" s="83">
        <v>2.7907700000000002</v>
      </c>
      <c r="CI36" s="83">
        <v>0.170572</v>
      </c>
      <c r="CJ36" s="83">
        <v>2.6499000000000002E-3</v>
      </c>
      <c r="CK36" s="83">
        <v>2.80986</v>
      </c>
      <c r="CL36" s="83">
        <v>0.16972599999999999</v>
      </c>
      <c r="CM36" s="83">
        <v>2.6499000000000002E-3</v>
      </c>
      <c r="CN36" s="83">
        <v>2.8642500000000002</v>
      </c>
      <c r="CO36" s="83">
        <v>0.17220299999999999</v>
      </c>
      <c r="CP36" s="83">
        <v>2.6499000000000002E-3</v>
      </c>
      <c r="CQ36" s="83">
        <v>2.8942000000000001</v>
      </c>
      <c r="CR36" s="83">
        <v>0.17287</v>
      </c>
      <c r="CS36" s="83">
        <v>2.6499000000000002E-3</v>
      </c>
      <c r="CT36" s="83">
        <v>2.9155099999999998</v>
      </c>
      <c r="CU36" s="83">
        <v>0.17420099999999999</v>
      </c>
      <c r="CV36" s="83">
        <v>2.6499000000000002E-3</v>
      </c>
      <c r="CW36" s="83">
        <v>2.9037199999999999</v>
      </c>
      <c r="CX36" s="83">
        <v>0.171399</v>
      </c>
    </row>
    <row r="37" spans="1:102" x14ac:dyDescent="0.2">
      <c r="A37" s="83">
        <v>2.7499E-3</v>
      </c>
      <c r="B37" s="83">
        <v>1.8557399999999999</v>
      </c>
      <c r="C37" s="83">
        <v>0.16036500000000001</v>
      </c>
      <c r="D37" s="83">
        <v>2.7499E-3</v>
      </c>
      <c r="E37" s="83">
        <v>1.9231499999999999</v>
      </c>
      <c r="F37" s="83">
        <v>0.16175999999999999</v>
      </c>
      <c r="G37" s="83">
        <v>2.7499E-3</v>
      </c>
      <c r="H37" s="83">
        <v>1.9778</v>
      </c>
      <c r="I37" s="83">
        <v>0.16380600000000001</v>
      </c>
      <c r="J37" s="83">
        <v>2.7499E-3</v>
      </c>
      <c r="K37" s="83">
        <v>2.0409899999999999</v>
      </c>
      <c r="L37" s="83">
        <v>0.163658</v>
      </c>
      <c r="M37" s="83">
        <v>2.7499E-3</v>
      </c>
      <c r="N37" s="83">
        <v>2.0616599999999998</v>
      </c>
      <c r="O37" s="83">
        <v>0.161858</v>
      </c>
      <c r="P37" s="83">
        <v>2.7499E-3</v>
      </c>
      <c r="Q37" s="83">
        <v>2.0975299999999999</v>
      </c>
      <c r="R37" s="83">
        <v>0.162991</v>
      </c>
      <c r="S37" s="83">
        <v>2.7499E-3</v>
      </c>
      <c r="T37" s="83">
        <v>2.1320700000000001</v>
      </c>
      <c r="U37" s="83">
        <v>0.16456899999999999</v>
      </c>
      <c r="V37" s="83">
        <v>2.7499E-3</v>
      </c>
      <c r="W37" s="83">
        <v>2.14859</v>
      </c>
      <c r="X37" s="83">
        <v>0.16264500000000001</v>
      </c>
      <c r="Y37" s="83">
        <v>2.7499E-3</v>
      </c>
      <c r="Z37" s="83">
        <v>2.1674699999999998</v>
      </c>
      <c r="AA37" s="83">
        <v>0.16176299999999999</v>
      </c>
      <c r="AB37" s="83">
        <v>2.7499E-3</v>
      </c>
      <c r="AC37" s="83">
        <v>2.1984699999999999</v>
      </c>
      <c r="AD37" s="83">
        <v>0.16137099999999999</v>
      </c>
      <c r="AE37" s="83">
        <v>2.7499E-3</v>
      </c>
      <c r="AF37" s="83">
        <v>2.2336800000000001</v>
      </c>
      <c r="AG37" s="83">
        <v>0.162935</v>
      </c>
      <c r="AH37" s="83">
        <v>2.7499E-3</v>
      </c>
      <c r="AI37" s="83">
        <v>2.2597499999999999</v>
      </c>
      <c r="AJ37" s="83">
        <v>0.16275200000000001</v>
      </c>
      <c r="AK37" s="83">
        <v>2.7499E-3</v>
      </c>
      <c r="AL37" s="83">
        <v>2.2792599999999998</v>
      </c>
      <c r="AM37" s="83">
        <v>0.162082</v>
      </c>
      <c r="AN37" s="83">
        <v>2.7499E-3</v>
      </c>
      <c r="AO37" s="83">
        <v>2.3081900000000002</v>
      </c>
      <c r="AP37" s="83">
        <v>0.16265099999999999</v>
      </c>
      <c r="AQ37" s="83">
        <v>2.7499E-3</v>
      </c>
      <c r="AR37" s="83">
        <v>2.3212100000000002</v>
      </c>
      <c r="AS37" s="83">
        <v>0.16108700000000001</v>
      </c>
      <c r="AT37" s="83">
        <v>2.7499E-3</v>
      </c>
      <c r="AU37" s="83">
        <v>2.3488099999999998</v>
      </c>
      <c r="AV37" s="83">
        <v>0.16125600000000001</v>
      </c>
      <c r="AW37" s="83">
        <v>2.7499E-3</v>
      </c>
      <c r="AX37" s="83">
        <v>2.3777499999999998</v>
      </c>
      <c r="AY37" s="83">
        <v>0.161577</v>
      </c>
      <c r="AZ37" s="83">
        <v>2.7499E-3</v>
      </c>
      <c r="BA37" s="83">
        <v>2.39554</v>
      </c>
      <c r="BB37" s="83">
        <v>0.16097700000000001</v>
      </c>
      <c r="BC37" s="83">
        <v>2.7499E-3</v>
      </c>
      <c r="BD37" s="83">
        <v>2.4496699999999998</v>
      </c>
      <c r="BE37" s="83">
        <v>0.16456399999999999</v>
      </c>
      <c r="BF37" s="83">
        <v>2.7499E-3</v>
      </c>
      <c r="BG37" s="83">
        <v>2.4807100000000002</v>
      </c>
      <c r="BH37" s="83">
        <v>0.164904</v>
      </c>
      <c r="BI37" s="83">
        <v>2.7499E-3</v>
      </c>
      <c r="BJ37" s="83">
        <v>2.4905400000000002</v>
      </c>
      <c r="BK37" s="83">
        <v>0.162857</v>
      </c>
      <c r="BL37" s="83">
        <v>2.7499E-3</v>
      </c>
      <c r="BM37" s="83">
        <v>2.5087600000000001</v>
      </c>
      <c r="BN37" s="83">
        <v>0.16180900000000001</v>
      </c>
      <c r="BO37" s="83">
        <v>2.7499E-3</v>
      </c>
      <c r="BP37" s="83">
        <v>2.5324300000000002</v>
      </c>
      <c r="BQ37" s="83">
        <v>0.16158600000000001</v>
      </c>
      <c r="BR37" s="83">
        <v>2.7499E-3</v>
      </c>
      <c r="BS37" s="83">
        <v>2.56677</v>
      </c>
      <c r="BT37" s="83">
        <v>0.16217899999999999</v>
      </c>
      <c r="BU37" s="83">
        <v>2.7499E-3</v>
      </c>
      <c r="BV37" s="83">
        <v>2.6261000000000001</v>
      </c>
      <c r="BW37" s="83">
        <v>0.16550799999999999</v>
      </c>
      <c r="BX37" s="83">
        <v>2.7499E-3</v>
      </c>
      <c r="BY37" s="83">
        <v>2.6062400000000001</v>
      </c>
      <c r="BZ37" s="83">
        <v>0.16072400000000001</v>
      </c>
      <c r="CA37" s="83">
        <v>2.7499E-3</v>
      </c>
      <c r="CB37" s="83">
        <v>2.6952799999999999</v>
      </c>
      <c r="CC37" s="83">
        <v>0.166576</v>
      </c>
      <c r="CD37" s="83">
        <v>2.7499E-3</v>
      </c>
      <c r="CE37" s="83">
        <v>2.6620900000000001</v>
      </c>
      <c r="CF37" s="83">
        <v>0.16085199999999999</v>
      </c>
      <c r="CG37" s="83">
        <v>2.7499E-3</v>
      </c>
      <c r="CH37" s="83">
        <v>2.69509</v>
      </c>
      <c r="CI37" s="83">
        <v>0.16144</v>
      </c>
      <c r="CJ37" s="83">
        <v>2.7499E-3</v>
      </c>
      <c r="CK37" s="83">
        <v>2.7114600000000002</v>
      </c>
      <c r="CL37" s="83">
        <v>0.16056000000000001</v>
      </c>
      <c r="CM37" s="83">
        <v>2.7499E-3</v>
      </c>
      <c r="CN37" s="83">
        <v>2.76349</v>
      </c>
      <c r="CO37" s="83">
        <v>0.16300500000000001</v>
      </c>
      <c r="CP37" s="83">
        <v>2.7499E-3</v>
      </c>
      <c r="CQ37" s="83">
        <v>2.7904499999999999</v>
      </c>
      <c r="CR37" s="83">
        <v>0.16364400000000001</v>
      </c>
      <c r="CS37" s="83">
        <v>2.7499E-3</v>
      </c>
      <c r="CT37" s="83">
        <v>2.8098200000000002</v>
      </c>
      <c r="CU37" s="83">
        <v>0.164855</v>
      </c>
      <c r="CV37" s="83">
        <v>2.7499E-3</v>
      </c>
      <c r="CW37" s="83">
        <v>2.7951899999999998</v>
      </c>
      <c r="CX37" s="83">
        <v>0.16217500000000001</v>
      </c>
    </row>
    <row r="38" spans="1:102" x14ac:dyDescent="0.2">
      <c r="A38" s="83">
        <v>2.8498999999999998E-3</v>
      </c>
      <c r="B38" s="83">
        <v>1.80037</v>
      </c>
      <c r="C38" s="83">
        <v>0.15160399999999999</v>
      </c>
      <c r="D38" s="83">
        <v>2.8498999999999998E-3</v>
      </c>
      <c r="E38" s="83">
        <v>1.86574</v>
      </c>
      <c r="F38" s="83">
        <v>0.15287200000000001</v>
      </c>
      <c r="G38" s="83">
        <v>2.8498999999999998E-3</v>
      </c>
      <c r="H38" s="83">
        <v>1.9195899999999999</v>
      </c>
      <c r="I38" s="83">
        <v>0.154834</v>
      </c>
      <c r="J38" s="83">
        <v>2.8498999999999998E-3</v>
      </c>
      <c r="K38" s="83">
        <v>1.98102</v>
      </c>
      <c r="L38" s="83">
        <v>0.15465999999999999</v>
      </c>
      <c r="M38" s="83">
        <v>2.8498999999999998E-3</v>
      </c>
      <c r="N38" s="83">
        <v>2.00041</v>
      </c>
      <c r="O38" s="83">
        <v>0.152946</v>
      </c>
      <c r="P38" s="83">
        <v>2.8498999999999998E-3</v>
      </c>
      <c r="Q38" s="83">
        <v>2.03552</v>
      </c>
      <c r="R38" s="83">
        <v>0.15401599999999999</v>
      </c>
      <c r="S38" s="83">
        <v>2.8498999999999998E-3</v>
      </c>
      <c r="T38" s="83">
        <v>2.0695700000000001</v>
      </c>
      <c r="U38" s="83">
        <v>0.15557799999999999</v>
      </c>
      <c r="V38" s="83">
        <v>2.8498999999999998E-3</v>
      </c>
      <c r="W38" s="83">
        <v>2.0851899999999999</v>
      </c>
      <c r="X38" s="83">
        <v>0.15370800000000001</v>
      </c>
      <c r="Y38" s="83">
        <v>2.8498999999999998E-3</v>
      </c>
      <c r="Z38" s="83">
        <v>2.1034199999999998</v>
      </c>
      <c r="AA38" s="83">
        <v>0.152896</v>
      </c>
      <c r="AB38" s="83">
        <v>2.8498999999999998E-3</v>
      </c>
      <c r="AC38" s="83">
        <v>2.1327099999999999</v>
      </c>
      <c r="AD38" s="83">
        <v>0.15254599999999999</v>
      </c>
      <c r="AE38" s="83">
        <v>2.8498999999999998E-3</v>
      </c>
      <c r="AF38" s="83">
        <v>2.1671499999999999</v>
      </c>
      <c r="AG38" s="83">
        <v>0.15398400000000001</v>
      </c>
      <c r="AH38" s="83">
        <v>2.8498999999999998E-3</v>
      </c>
      <c r="AI38" s="83">
        <v>2.1919499999999998</v>
      </c>
      <c r="AJ38" s="83">
        <v>0.15381500000000001</v>
      </c>
      <c r="AK38" s="83">
        <v>2.8498999999999998E-3</v>
      </c>
      <c r="AL38" s="83">
        <v>2.2105000000000001</v>
      </c>
      <c r="AM38" s="83">
        <v>0.15321100000000001</v>
      </c>
      <c r="AN38" s="83">
        <v>2.8498999999999998E-3</v>
      </c>
      <c r="AO38" s="83">
        <v>2.2382900000000001</v>
      </c>
      <c r="AP38" s="83">
        <v>0.15372</v>
      </c>
      <c r="AQ38" s="83">
        <v>2.8498999999999998E-3</v>
      </c>
      <c r="AR38" s="83">
        <v>2.25054</v>
      </c>
      <c r="AS38" s="83">
        <v>0.152309</v>
      </c>
      <c r="AT38" s="83">
        <v>2.8498999999999998E-3</v>
      </c>
      <c r="AU38" s="83">
        <v>2.27712</v>
      </c>
      <c r="AV38" s="83">
        <v>0.15245</v>
      </c>
      <c r="AW38" s="83">
        <v>2.8498999999999998E-3</v>
      </c>
      <c r="AX38" s="83">
        <v>2.3046000000000002</v>
      </c>
      <c r="AY38" s="83">
        <v>0.15274099999999999</v>
      </c>
      <c r="AZ38" s="83">
        <v>2.8498999999999998E-3</v>
      </c>
      <c r="BA38" s="83">
        <v>2.3209900000000001</v>
      </c>
      <c r="BB38" s="83">
        <v>0.15216499999999999</v>
      </c>
      <c r="BC38" s="83">
        <v>2.8498999999999998E-3</v>
      </c>
      <c r="BD38" s="83">
        <v>2.3731200000000001</v>
      </c>
      <c r="BE38" s="83">
        <v>0.155552</v>
      </c>
      <c r="BF38" s="83">
        <v>2.8498999999999998E-3</v>
      </c>
      <c r="BG38" s="83">
        <v>2.4024899999999998</v>
      </c>
      <c r="BH38" s="83">
        <v>0.155885</v>
      </c>
      <c r="BI38" s="83">
        <v>2.8498999999999998E-3</v>
      </c>
      <c r="BJ38" s="83">
        <v>2.4111400000000001</v>
      </c>
      <c r="BK38" s="83">
        <v>0.153942</v>
      </c>
      <c r="BL38" s="83">
        <v>2.8498999999999998E-3</v>
      </c>
      <c r="BM38" s="83">
        <v>2.42727</v>
      </c>
      <c r="BN38" s="83">
        <v>0.152945</v>
      </c>
      <c r="BO38" s="83">
        <v>2.8498999999999998E-3</v>
      </c>
      <c r="BP38" s="83">
        <v>2.4500099999999998</v>
      </c>
      <c r="BQ38" s="83">
        <v>0.152754</v>
      </c>
      <c r="BR38" s="83">
        <v>2.8498999999999998E-3</v>
      </c>
      <c r="BS38" s="83">
        <v>2.4823300000000001</v>
      </c>
      <c r="BT38" s="83">
        <v>0.153278</v>
      </c>
      <c r="BU38" s="83">
        <v>2.8498999999999998E-3</v>
      </c>
      <c r="BV38" s="83">
        <v>2.5390799999999998</v>
      </c>
      <c r="BW38" s="83">
        <v>0.156475</v>
      </c>
      <c r="BX38" s="83">
        <v>2.8498999999999998E-3</v>
      </c>
      <c r="BY38" s="83">
        <v>2.51864</v>
      </c>
      <c r="BZ38" s="83">
        <v>0.15195900000000001</v>
      </c>
      <c r="CA38" s="83">
        <v>2.8498999999999998E-3</v>
      </c>
      <c r="CB38" s="83">
        <v>2.6052200000000001</v>
      </c>
      <c r="CC38" s="83">
        <v>0.15753800000000001</v>
      </c>
      <c r="CD38" s="83">
        <v>2.8498999999999998E-3</v>
      </c>
      <c r="CE38" s="83">
        <v>2.5708199999999999</v>
      </c>
      <c r="CF38" s="83">
        <v>0.15206</v>
      </c>
      <c r="CG38" s="83">
        <v>2.8498999999999998E-3</v>
      </c>
      <c r="CH38" s="83">
        <v>2.6019899999999998</v>
      </c>
      <c r="CI38" s="83">
        <v>0.15259</v>
      </c>
      <c r="CJ38" s="83">
        <v>2.8498999999999998E-3</v>
      </c>
      <c r="CK38" s="83">
        <v>2.6159699999999999</v>
      </c>
      <c r="CL38" s="83">
        <v>0.151786</v>
      </c>
      <c r="CM38" s="83">
        <v>2.8498999999999998E-3</v>
      </c>
      <c r="CN38" s="83">
        <v>2.6651099999999999</v>
      </c>
      <c r="CO38" s="83">
        <v>0.15404899999999999</v>
      </c>
      <c r="CP38" s="83">
        <v>2.8498999999999998E-3</v>
      </c>
      <c r="CQ38" s="83">
        <v>2.6894100000000001</v>
      </c>
      <c r="CR38" s="83">
        <v>0.154639</v>
      </c>
      <c r="CS38" s="83">
        <v>2.8498999999999998E-3</v>
      </c>
      <c r="CT38" s="83">
        <v>2.70614</v>
      </c>
      <c r="CU38" s="83">
        <v>0.15582299999999999</v>
      </c>
      <c r="CV38" s="83">
        <v>2.8498999999999998E-3</v>
      </c>
      <c r="CW38" s="83">
        <v>2.6898599999999999</v>
      </c>
      <c r="CX38" s="83">
        <v>0.15327099999999999</v>
      </c>
    </row>
    <row r="39" spans="1:102" x14ac:dyDescent="0.2">
      <c r="A39" s="83">
        <v>2.9499000000000001E-3</v>
      </c>
      <c r="B39" s="83">
        <v>1.74654</v>
      </c>
      <c r="C39" s="83">
        <v>0.14354700000000001</v>
      </c>
      <c r="D39" s="83">
        <v>2.9499000000000001E-3</v>
      </c>
      <c r="E39" s="83">
        <v>1.8101499999999999</v>
      </c>
      <c r="F39" s="83">
        <v>0.14473900000000001</v>
      </c>
      <c r="G39" s="83">
        <v>2.9499000000000001E-3</v>
      </c>
      <c r="H39" s="83">
        <v>1.8626499999999999</v>
      </c>
      <c r="I39" s="83">
        <v>0.14657200000000001</v>
      </c>
      <c r="J39" s="83">
        <v>2.9499000000000001E-3</v>
      </c>
      <c r="K39" s="83">
        <v>1.9221699999999999</v>
      </c>
      <c r="L39" s="83">
        <v>0.14640700000000001</v>
      </c>
      <c r="M39" s="83">
        <v>2.9499000000000001E-3</v>
      </c>
      <c r="N39" s="83">
        <v>1.94113</v>
      </c>
      <c r="O39" s="83">
        <v>0.144815</v>
      </c>
      <c r="P39" s="83">
        <v>2.9499000000000001E-3</v>
      </c>
      <c r="Q39" s="83">
        <v>1.97417</v>
      </c>
      <c r="R39" s="83">
        <v>0.14583399999999999</v>
      </c>
      <c r="S39" s="83">
        <v>2.9499000000000001E-3</v>
      </c>
      <c r="T39" s="83">
        <v>2.0076900000000002</v>
      </c>
      <c r="U39" s="83">
        <v>0.14726</v>
      </c>
      <c r="V39" s="83">
        <v>2.9499000000000001E-3</v>
      </c>
      <c r="W39" s="83">
        <v>2.0229599999999999</v>
      </c>
      <c r="X39" s="83">
        <v>0.145561</v>
      </c>
      <c r="Y39" s="83">
        <v>2.9499000000000001E-3</v>
      </c>
      <c r="Z39" s="83">
        <v>2.0401899999999999</v>
      </c>
      <c r="AA39" s="83">
        <v>0.144787</v>
      </c>
      <c r="AB39" s="83">
        <v>2.9499000000000001E-3</v>
      </c>
      <c r="AC39" s="83">
        <v>2.0677300000000001</v>
      </c>
      <c r="AD39" s="83">
        <v>0.144454</v>
      </c>
      <c r="AE39" s="83">
        <v>2.9499000000000001E-3</v>
      </c>
      <c r="AF39" s="83">
        <v>2.1022400000000001</v>
      </c>
      <c r="AG39" s="83">
        <v>0.14582100000000001</v>
      </c>
      <c r="AH39" s="83">
        <v>2.9499000000000001E-3</v>
      </c>
      <c r="AI39" s="83">
        <v>2.1255799999999998</v>
      </c>
      <c r="AJ39" s="83">
        <v>0.14566100000000001</v>
      </c>
      <c r="AK39" s="83">
        <v>2.9499000000000001E-3</v>
      </c>
      <c r="AL39" s="83">
        <v>2.1430899999999999</v>
      </c>
      <c r="AM39" s="83">
        <v>0.145123</v>
      </c>
      <c r="AN39" s="83">
        <v>2.9499000000000001E-3</v>
      </c>
      <c r="AO39" s="83">
        <v>2.16974</v>
      </c>
      <c r="AP39" s="83">
        <v>0.14557999999999999</v>
      </c>
      <c r="AQ39" s="83">
        <v>2.9499000000000001E-3</v>
      </c>
      <c r="AR39" s="83">
        <v>2.1808900000000002</v>
      </c>
      <c r="AS39" s="83">
        <v>0.144229</v>
      </c>
      <c r="AT39" s="83">
        <v>2.9499000000000001E-3</v>
      </c>
      <c r="AU39" s="83">
        <v>2.2061899999999999</v>
      </c>
      <c r="AV39" s="83">
        <v>0.14440800000000001</v>
      </c>
      <c r="AW39" s="83">
        <v>2.9499000000000001E-3</v>
      </c>
      <c r="AX39" s="83">
        <v>2.2322299999999999</v>
      </c>
      <c r="AY39" s="83">
        <v>0.144652</v>
      </c>
      <c r="AZ39" s="83">
        <v>2.9499000000000001E-3</v>
      </c>
      <c r="BA39" s="83">
        <v>2.2476099999999999</v>
      </c>
      <c r="BB39" s="83">
        <v>0.144099</v>
      </c>
      <c r="BC39" s="83">
        <v>2.9499000000000001E-3</v>
      </c>
      <c r="BD39" s="83">
        <v>2.2977400000000001</v>
      </c>
      <c r="BE39" s="83">
        <v>0.14725099999999999</v>
      </c>
      <c r="BF39" s="83">
        <v>2.9499000000000001E-3</v>
      </c>
      <c r="BG39" s="83">
        <v>2.32592</v>
      </c>
      <c r="BH39" s="83">
        <v>0.14755399999999999</v>
      </c>
      <c r="BI39" s="83">
        <v>2.9499000000000001E-3</v>
      </c>
      <c r="BJ39" s="83">
        <v>2.33351</v>
      </c>
      <c r="BK39" s="83">
        <v>0.145788</v>
      </c>
      <c r="BL39" s="83">
        <v>2.9499000000000001E-3</v>
      </c>
      <c r="BM39" s="83">
        <v>2.3482699999999999</v>
      </c>
      <c r="BN39" s="83">
        <v>0.14484</v>
      </c>
      <c r="BO39" s="83">
        <v>2.9499000000000001E-3</v>
      </c>
      <c r="BP39" s="83">
        <v>2.3689200000000001</v>
      </c>
      <c r="BQ39" s="83">
        <v>0.14466300000000001</v>
      </c>
      <c r="BR39" s="83">
        <v>2.9499000000000001E-3</v>
      </c>
      <c r="BS39" s="83">
        <v>2.3996300000000002</v>
      </c>
      <c r="BT39" s="83">
        <v>0.14512700000000001</v>
      </c>
      <c r="BU39" s="83">
        <v>2.9499000000000001E-3</v>
      </c>
      <c r="BV39" s="83">
        <v>2.4543300000000001</v>
      </c>
      <c r="BW39" s="83">
        <v>0.14807799999999999</v>
      </c>
      <c r="BX39" s="83">
        <v>2.9499000000000001E-3</v>
      </c>
      <c r="BY39" s="83">
        <v>2.4322699999999999</v>
      </c>
      <c r="BZ39" s="83">
        <v>0.14389099999999999</v>
      </c>
      <c r="CA39" s="83">
        <v>2.9499000000000001E-3</v>
      </c>
      <c r="CB39" s="83">
        <v>2.5157799999999999</v>
      </c>
      <c r="CC39" s="83">
        <v>0.14904300000000001</v>
      </c>
      <c r="CD39" s="83">
        <v>2.9499000000000001E-3</v>
      </c>
      <c r="CE39" s="83">
        <v>2.4807800000000002</v>
      </c>
      <c r="CF39" s="83">
        <v>0.14399799999999999</v>
      </c>
      <c r="CG39" s="83">
        <v>2.9499000000000001E-3</v>
      </c>
      <c r="CH39" s="83">
        <v>2.5093999999999999</v>
      </c>
      <c r="CI39" s="83">
        <v>0.14451700000000001</v>
      </c>
      <c r="CJ39" s="83">
        <v>2.9499000000000001E-3</v>
      </c>
      <c r="CK39" s="83">
        <v>2.5218600000000002</v>
      </c>
      <c r="CL39" s="83">
        <v>0.14374899999999999</v>
      </c>
      <c r="CM39" s="83">
        <v>2.9499000000000001E-3</v>
      </c>
      <c r="CN39" s="83">
        <v>2.5691199999999998</v>
      </c>
      <c r="CO39" s="83">
        <v>0.145868</v>
      </c>
      <c r="CP39" s="83">
        <v>2.9499000000000001E-3</v>
      </c>
      <c r="CQ39" s="83">
        <v>2.5908699999999998</v>
      </c>
      <c r="CR39" s="83">
        <v>0.14641899999999999</v>
      </c>
      <c r="CS39" s="83">
        <v>2.9499000000000001E-3</v>
      </c>
      <c r="CT39" s="83">
        <v>2.6056900000000001</v>
      </c>
      <c r="CU39" s="83">
        <v>0.147477</v>
      </c>
      <c r="CV39" s="83">
        <v>2.9499000000000001E-3</v>
      </c>
      <c r="CW39" s="83">
        <v>2.5866699999999998</v>
      </c>
      <c r="CX39" s="83">
        <v>0.14512</v>
      </c>
    </row>
    <row r="40" spans="1:102" x14ac:dyDescent="0.2">
      <c r="A40" s="83">
        <v>3.0498999999999999E-3</v>
      </c>
      <c r="B40" s="83">
        <v>1.69347</v>
      </c>
      <c r="C40" s="83">
        <v>0.13601099999999999</v>
      </c>
      <c r="D40" s="83">
        <v>3.0498999999999999E-3</v>
      </c>
      <c r="E40" s="83">
        <v>1.75529</v>
      </c>
      <c r="F40" s="83">
        <v>0.13711899999999999</v>
      </c>
      <c r="G40" s="83">
        <v>3.0498999999999999E-3</v>
      </c>
      <c r="H40" s="83">
        <v>1.80674</v>
      </c>
      <c r="I40" s="83">
        <v>0.138878</v>
      </c>
      <c r="J40" s="83">
        <v>3.0498999999999999E-3</v>
      </c>
      <c r="K40" s="83">
        <v>1.8641099999999999</v>
      </c>
      <c r="L40" s="83">
        <v>0.13867199999999999</v>
      </c>
      <c r="M40" s="83">
        <v>3.0498999999999999E-3</v>
      </c>
      <c r="N40" s="83">
        <v>1.8826499999999999</v>
      </c>
      <c r="O40" s="83">
        <v>0.137235</v>
      </c>
      <c r="P40" s="83">
        <v>3.0498999999999999E-3</v>
      </c>
      <c r="Q40" s="83">
        <v>1.91499</v>
      </c>
      <c r="R40" s="83">
        <v>0.13816800000000001</v>
      </c>
      <c r="S40" s="83">
        <v>3.0498999999999999E-3</v>
      </c>
      <c r="T40" s="83">
        <v>1.9472499999999999</v>
      </c>
      <c r="U40" s="83">
        <v>0.139511</v>
      </c>
      <c r="V40" s="83">
        <v>3.0498999999999999E-3</v>
      </c>
      <c r="W40" s="83">
        <v>1.9618899999999999</v>
      </c>
      <c r="X40" s="83">
        <v>0.13791200000000001</v>
      </c>
      <c r="Y40" s="83">
        <v>3.0498999999999999E-3</v>
      </c>
      <c r="Z40" s="83">
        <v>1.9780599999999999</v>
      </c>
      <c r="AA40" s="83">
        <v>0.13718900000000001</v>
      </c>
      <c r="AB40" s="83">
        <v>3.0498999999999999E-3</v>
      </c>
      <c r="AC40" s="83">
        <v>2.0046400000000002</v>
      </c>
      <c r="AD40" s="83">
        <v>0.13686699999999999</v>
      </c>
      <c r="AE40" s="83">
        <v>3.0498999999999999E-3</v>
      </c>
      <c r="AF40" s="83">
        <v>2.03789</v>
      </c>
      <c r="AG40" s="83">
        <v>0.13816600000000001</v>
      </c>
      <c r="AH40" s="83">
        <v>3.0498999999999999E-3</v>
      </c>
      <c r="AI40" s="83">
        <v>2.0606599999999999</v>
      </c>
      <c r="AJ40" s="83">
        <v>0.13801099999999999</v>
      </c>
      <c r="AK40" s="83">
        <v>3.0498999999999999E-3</v>
      </c>
      <c r="AL40" s="83">
        <v>2.0769099999999998</v>
      </c>
      <c r="AM40" s="83">
        <v>0.137544</v>
      </c>
      <c r="AN40" s="83">
        <v>3.0498999999999999E-3</v>
      </c>
      <c r="AO40" s="83">
        <v>2.1026199999999999</v>
      </c>
      <c r="AP40" s="83">
        <v>0.13795199999999999</v>
      </c>
      <c r="AQ40" s="83">
        <v>3.0498999999999999E-3</v>
      </c>
      <c r="AR40" s="83">
        <v>2.1125600000000002</v>
      </c>
      <c r="AS40" s="83">
        <v>0.13667199999999999</v>
      </c>
      <c r="AT40" s="83">
        <v>3.0498999999999999E-3</v>
      </c>
      <c r="AU40" s="83">
        <v>2.1372</v>
      </c>
      <c r="AV40" s="83">
        <v>0.13683899999999999</v>
      </c>
      <c r="AW40" s="83">
        <v>3.0498999999999999E-3</v>
      </c>
      <c r="AX40" s="83">
        <v>2.16107</v>
      </c>
      <c r="AY40" s="83">
        <v>0.13706499999999999</v>
      </c>
      <c r="AZ40" s="83">
        <v>3.0498999999999999E-3</v>
      </c>
      <c r="BA40" s="83">
        <v>2.1758600000000001</v>
      </c>
      <c r="BB40" s="83">
        <v>0.136543</v>
      </c>
      <c r="BC40" s="83">
        <v>3.0498999999999999E-3</v>
      </c>
      <c r="BD40" s="83">
        <v>2.2243200000000001</v>
      </c>
      <c r="BE40" s="83">
        <v>0.13947599999999999</v>
      </c>
      <c r="BF40" s="83">
        <v>3.0498999999999999E-3</v>
      </c>
      <c r="BG40" s="83">
        <v>2.2507100000000002</v>
      </c>
      <c r="BH40" s="83">
        <v>0.13978299999999999</v>
      </c>
      <c r="BI40" s="83">
        <v>3.0498999999999999E-3</v>
      </c>
      <c r="BJ40" s="83">
        <v>2.2573500000000002</v>
      </c>
      <c r="BK40" s="83">
        <v>0.138129</v>
      </c>
      <c r="BL40" s="83">
        <v>3.0498999999999999E-3</v>
      </c>
      <c r="BM40" s="83">
        <v>2.2706300000000001</v>
      </c>
      <c r="BN40" s="83">
        <v>0.13724700000000001</v>
      </c>
      <c r="BO40" s="83">
        <v>3.0498999999999999E-3</v>
      </c>
      <c r="BP40" s="83">
        <v>2.2896299999999998</v>
      </c>
      <c r="BQ40" s="83">
        <v>0.13707900000000001</v>
      </c>
      <c r="BR40" s="83">
        <v>3.0498999999999999E-3</v>
      </c>
      <c r="BS40" s="83">
        <v>2.3186499999999999</v>
      </c>
      <c r="BT40" s="83">
        <v>0.13750000000000001</v>
      </c>
      <c r="BU40" s="83">
        <v>3.0498999999999999E-3</v>
      </c>
      <c r="BV40" s="83">
        <v>2.37066</v>
      </c>
      <c r="BW40" s="83">
        <v>0.14027000000000001</v>
      </c>
      <c r="BX40" s="83">
        <v>3.0498999999999999E-3</v>
      </c>
      <c r="BY40" s="83">
        <v>2.3484799999999999</v>
      </c>
      <c r="BZ40" s="83">
        <v>0.136379</v>
      </c>
      <c r="CA40" s="83">
        <v>3.0498999999999999E-3</v>
      </c>
      <c r="CB40" s="83">
        <v>2.42855</v>
      </c>
      <c r="CC40" s="83">
        <v>0.141184</v>
      </c>
      <c r="CD40" s="83">
        <v>3.0498999999999999E-3</v>
      </c>
      <c r="CE40" s="83">
        <v>2.3929800000000001</v>
      </c>
      <c r="CF40" s="83">
        <v>0.13644200000000001</v>
      </c>
      <c r="CG40" s="83">
        <v>3.0498999999999999E-3</v>
      </c>
      <c r="CH40" s="83">
        <v>2.4194800000000001</v>
      </c>
      <c r="CI40" s="83">
        <v>0.13690099999999999</v>
      </c>
      <c r="CJ40" s="83">
        <v>3.0498999999999999E-3</v>
      </c>
      <c r="CK40" s="83">
        <v>2.4292099999999999</v>
      </c>
      <c r="CL40" s="83">
        <v>0.13616400000000001</v>
      </c>
      <c r="CM40" s="83">
        <v>3.0498999999999999E-3</v>
      </c>
      <c r="CN40" s="83">
        <v>2.4740700000000002</v>
      </c>
      <c r="CO40" s="83">
        <v>0.138185</v>
      </c>
      <c r="CP40" s="83">
        <v>3.0498999999999999E-3</v>
      </c>
      <c r="CQ40" s="83">
        <v>2.4936500000000001</v>
      </c>
      <c r="CR40" s="83">
        <v>0.13869899999999999</v>
      </c>
      <c r="CS40" s="83">
        <v>3.0498999999999999E-3</v>
      </c>
      <c r="CT40" s="83">
        <v>2.5064199999999999</v>
      </c>
      <c r="CU40" s="83">
        <v>0.13966999999999999</v>
      </c>
      <c r="CV40" s="83">
        <v>3.0498999999999999E-3</v>
      </c>
      <c r="CW40" s="83">
        <v>2.4858099999999999</v>
      </c>
      <c r="CX40" s="83">
        <v>0.13744999999999999</v>
      </c>
    </row>
    <row r="41" spans="1:102" x14ac:dyDescent="0.2">
      <c r="A41" s="83">
        <v>3.1499000000000002E-3</v>
      </c>
      <c r="B41" s="83">
        <v>1.64192</v>
      </c>
      <c r="C41" s="83">
        <v>0.128944</v>
      </c>
      <c r="D41" s="83">
        <v>3.1499000000000002E-3</v>
      </c>
      <c r="E41" s="83">
        <v>1.70191</v>
      </c>
      <c r="F41" s="83">
        <v>0.12997700000000001</v>
      </c>
      <c r="G41" s="83">
        <v>3.1499000000000002E-3</v>
      </c>
      <c r="H41" s="83">
        <v>1.7517499999999999</v>
      </c>
      <c r="I41" s="83">
        <v>0.13166900000000001</v>
      </c>
      <c r="J41" s="83">
        <v>3.1499000000000002E-3</v>
      </c>
      <c r="K41" s="83">
        <v>1.80725</v>
      </c>
      <c r="L41" s="83">
        <v>0.131415</v>
      </c>
      <c r="M41" s="83">
        <v>3.1499000000000002E-3</v>
      </c>
      <c r="N41" s="83">
        <v>1.82507</v>
      </c>
      <c r="O41" s="83">
        <v>0.130055</v>
      </c>
      <c r="P41" s="83">
        <v>3.1499000000000002E-3</v>
      </c>
      <c r="Q41" s="83">
        <v>1.85684</v>
      </c>
      <c r="R41" s="83">
        <v>0.13095899999999999</v>
      </c>
      <c r="S41" s="83">
        <v>3.1499000000000002E-3</v>
      </c>
      <c r="T41" s="83">
        <v>1.8880600000000001</v>
      </c>
      <c r="U41" s="83">
        <v>0.132244</v>
      </c>
      <c r="V41" s="83">
        <v>3.1499000000000002E-3</v>
      </c>
      <c r="W41" s="83">
        <v>1.9020600000000001</v>
      </c>
      <c r="X41" s="83">
        <v>0.130749</v>
      </c>
      <c r="Y41" s="83">
        <v>3.1499000000000002E-3</v>
      </c>
      <c r="Z41" s="83">
        <v>1.9175199999999999</v>
      </c>
      <c r="AA41" s="83">
        <v>0.13008600000000001</v>
      </c>
      <c r="AB41" s="83">
        <v>3.1499000000000002E-3</v>
      </c>
      <c r="AC41" s="83">
        <v>1.9433</v>
      </c>
      <c r="AD41" s="83">
        <v>0.12975200000000001</v>
      </c>
      <c r="AE41" s="83">
        <v>3.1499000000000002E-3</v>
      </c>
      <c r="AF41" s="83">
        <v>1.9754400000000001</v>
      </c>
      <c r="AG41" s="83">
        <v>0.130999</v>
      </c>
      <c r="AH41" s="83">
        <v>3.1499000000000002E-3</v>
      </c>
      <c r="AI41" s="83">
        <v>1.9966900000000001</v>
      </c>
      <c r="AJ41" s="83">
        <v>0.13083500000000001</v>
      </c>
      <c r="AK41" s="83">
        <v>3.1499000000000002E-3</v>
      </c>
      <c r="AL41" s="83">
        <v>2.0122499999999999</v>
      </c>
      <c r="AM41" s="83">
        <v>0.13040299999999999</v>
      </c>
      <c r="AN41" s="83">
        <v>3.1499000000000002E-3</v>
      </c>
      <c r="AO41" s="83">
        <v>2.0367899999999999</v>
      </c>
      <c r="AP41" s="83">
        <v>0.13075600000000001</v>
      </c>
      <c r="AQ41" s="83">
        <v>3.1499000000000002E-3</v>
      </c>
      <c r="AR41" s="83">
        <v>2.0457299999999998</v>
      </c>
      <c r="AS41" s="83">
        <v>0.12956699999999999</v>
      </c>
      <c r="AT41" s="83">
        <v>3.1499000000000002E-3</v>
      </c>
      <c r="AU41" s="83">
        <v>2.0692599999999999</v>
      </c>
      <c r="AV41" s="83">
        <v>0.129746</v>
      </c>
      <c r="AW41" s="83">
        <v>3.1499000000000002E-3</v>
      </c>
      <c r="AX41" s="83">
        <v>2.09205</v>
      </c>
      <c r="AY41" s="83">
        <v>0.129916</v>
      </c>
      <c r="AZ41" s="83">
        <v>3.1499000000000002E-3</v>
      </c>
      <c r="BA41" s="83">
        <v>2.10548</v>
      </c>
      <c r="BB41" s="83">
        <v>0.12945799999999999</v>
      </c>
      <c r="BC41" s="83">
        <v>3.1499000000000002E-3</v>
      </c>
      <c r="BD41" s="83">
        <v>2.1522800000000002</v>
      </c>
      <c r="BE41" s="83">
        <v>0.13222400000000001</v>
      </c>
      <c r="BF41" s="83">
        <v>3.1499000000000002E-3</v>
      </c>
      <c r="BG41" s="83">
        <v>2.1772499999999999</v>
      </c>
      <c r="BH41" s="83">
        <v>0.13247900000000001</v>
      </c>
      <c r="BI41" s="83">
        <v>3.1499000000000002E-3</v>
      </c>
      <c r="BJ41" s="83">
        <v>2.1824499999999998</v>
      </c>
      <c r="BK41" s="83">
        <v>0.13095599999999999</v>
      </c>
      <c r="BL41" s="83">
        <v>3.1499000000000002E-3</v>
      </c>
      <c r="BM41" s="83">
        <v>2.19469</v>
      </c>
      <c r="BN41" s="83">
        <v>0.13011300000000001</v>
      </c>
      <c r="BO41" s="83">
        <v>3.1499000000000002E-3</v>
      </c>
      <c r="BP41" s="83">
        <v>2.21231</v>
      </c>
      <c r="BQ41" s="83">
        <v>0.12995399999999999</v>
      </c>
      <c r="BR41" s="83">
        <v>3.1499000000000002E-3</v>
      </c>
      <c r="BS41" s="83">
        <v>2.2392300000000001</v>
      </c>
      <c r="BT41" s="83">
        <v>0.13036</v>
      </c>
      <c r="BU41" s="83">
        <v>3.1499000000000002E-3</v>
      </c>
      <c r="BV41" s="83">
        <v>2.28904</v>
      </c>
      <c r="BW41" s="83">
        <v>0.13295299999999999</v>
      </c>
      <c r="BX41" s="83">
        <v>3.1499000000000002E-3</v>
      </c>
      <c r="BY41" s="83">
        <v>2.2665500000000001</v>
      </c>
      <c r="BZ41" s="83">
        <v>0.12929299999999999</v>
      </c>
      <c r="CA41" s="83">
        <v>3.1499000000000002E-3</v>
      </c>
      <c r="CB41" s="83">
        <v>2.3437899999999998</v>
      </c>
      <c r="CC41" s="83">
        <v>0.133798</v>
      </c>
      <c r="CD41" s="83">
        <v>3.1499000000000002E-3</v>
      </c>
      <c r="CE41" s="83">
        <v>2.3072900000000001</v>
      </c>
      <c r="CF41" s="83">
        <v>0.12936400000000001</v>
      </c>
      <c r="CG41" s="83">
        <v>3.1499000000000002E-3</v>
      </c>
      <c r="CH41" s="83">
        <v>2.33135</v>
      </c>
      <c r="CI41" s="83">
        <v>0.129804</v>
      </c>
      <c r="CJ41" s="83">
        <v>3.1499000000000002E-3</v>
      </c>
      <c r="CK41" s="83">
        <v>2.3400099999999999</v>
      </c>
      <c r="CL41" s="83">
        <v>0.12904599999999999</v>
      </c>
      <c r="CM41" s="83">
        <v>3.1499000000000002E-3</v>
      </c>
      <c r="CN41" s="83">
        <v>2.3812199999999999</v>
      </c>
      <c r="CO41" s="83">
        <v>0.13095399999999999</v>
      </c>
      <c r="CP41" s="83">
        <v>3.1499000000000002E-3</v>
      </c>
      <c r="CQ41" s="83">
        <v>2.3987799999999999</v>
      </c>
      <c r="CR41" s="83">
        <v>0.131462</v>
      </c>
      <c r="CS41" s="83">
        <v>3.1499000000000002E-3</v>
      </c>
      <c r="CT41" s="83">
        <v>2.4094000000000002</v>
      </c>
      <c r="CU41" s="83">
        <v>0.13236500000000001</v>
      </c>
      <c r="CV41" s="83">
        <v>3.1499000000000002E-3</v>
      </c>
      <c r="CW41" s="83">
        <v>2.3868399999999999</v>
      </c>
      <c r="CX41" s="83">
        <v>0.13025200000000001</v>
      </c>
    </row>
    <row r="42" spans="1:102" x14ac:dyDescent="0.2">
      <c r="A42" s="83">
        <v>3.2499E-3</v>
      </c>
      <c r="B42" s="83">
        <v>1.59073</v>
      </c>
      <c r="C42" s="83">
        <v>0.122249</v>
      </c>
      <c r="D42" s="83">
        <v>3.2499E-3</v>
      </c>
      <c r="E42" s="83">
        <v>1.6495500000000001</v>
      </c>
      <c r="F42" s="83">
        <v>0.12322</v>
      </c>
      <c r="G42" s="83">
        <v>3.2499E-3</v>
      </c>
      <c r="H42" s="83">
        <v>1.69858</v>
      </c>
      <c r="I42" s="83">
        <v>0.124844</v>
      </c>
      <c r="J42" s="83">
        <v>3.2499E-3</v>
      </c>
      <c r="K42" s="83">
        <v>1.75152</v>
      </c>
      <c r="L42" s="83">
        <v>0.124621</v>
      </c>
      <c r="M42" s="83">
        <v>3.2499E-3</v>
      </c>
      <c r="N42" s="83">
        <v>1.76929</v>
      </c>
      <c r="O42" s="83">
        <v>0.123346</v>
      </c>
      <c r="P42" s="83">
        <v>3.2499E-3</v>
      </c>
      <c r="Q42" s="83">
        <v>1.79992</v>
      </c>
      <c r="R42" s="83">
        <v>0.124209</v>
      </c>
      <c r="S42" s="83">
        <v>3.2499E-3</v>
      </c>
      <c r="T42" s="83">
        <v>1.8302700000000001</v>
      </c>
      <c r="U42" s="83">
        <v>0.12545100000000001</v>
      </c>
      <c r="V42" s="83">
        <v>3.2499E-3</v>
      </c>
      <c r="W42" s="83">
        <v>1.8434200000000001</v>
      </c>
      <c r="X42" s="83">
        <v>0.12395399999999999</v>
      </c>
      <c r="Y42" s="83">
        <v>3.2499E-3</v>
      </c>
      <c r="Z42" s="83">
        <v>1.8583099999999999</v>
      </c>
      <c r="AA42" s="83">
        <v>0.123367</v>
      </c>
      <c r="AB42" s="83">
        <v>3.2499E-3</v>
      </c>
      <c r="AC42" s="83">
        <v>1.88276</v>
      </c>
      <c r="AD42" s="83">
        <v>0.123029</v>
      </c>
      <c r="AE42" s="83">
        <v>3.2499E-3</v>
      </c>
      <c r="AF42" s="83">
        <v>1.9136200000000001</v>
      </c>
      <c r="AG42" s="83">
        <v>0.124211</v>
      </c>
      <c r="AH42" s="83">
        <v>3.2499E-3</v>
      </c>
      <c r="AI42" s="83">
        <v>1.93401</v>
      </c>
      <c r="AJ42" s="83">
        <v>0.124068</v>
      </c>
      <c r="AK42" s="83">
        <v>3.2499E-3</v>
      </c>
      <c r="AL42" s="83">
        <v>1.94919</v>
      </c>
      <c r="AM42" s="83">
        <v>0.12367400000000001</v>
      </c>
      <c r="AN42" s="83">
        <v>3.2499E-3</v>
      </c>
      <c r="AO42" s="83">
        <v>1.97201</v>
      </c>
      <c r="AP42" s="83">
        <v>0.12399300000000001</v>
      </c>
      <c r="AQ42" s="83">
        <v>3.2499E-3</v>
      </c>
      <c r="AR42" s="83">
        <v>1.98058</v>
      </c>
      <c r="AS42" s="83">
        <v>0.12285600000000001</v>
      </c>
      <c r="AT42" s="83">
        <v>3.2499E-3</v>
      </c>
      <c r="AU42" s="83">
        <v>2.0026700000000002</v>
      </c>
      <c r="AV42" s="83">
        <v>0.12302399999999999</v>
      </c>
      <c r="AW42" s="83">
        <v>3.2499E-3</v>
      </c>
      <c r="AX42" s="83">
        <v>2.0242800000000001</v>
      </c>
      <c r="AY42" s="83">
        <v>0.12318800000000001</v>
      </c>
      <c r="AZ42" s="83">
        <v>3.2499E-3</v>
      </c>
      <c r="BA42" s="83">
        <v>2.0362900000000002</v>
      </c>
      <c r="BB42" s="83">
        <v>0.12277299999999999</v>
      </c>
      <c r="BC42" s="83">
        <v>3.2499E-3</v>
      </c>
      <c r="BD42" s="83">
        <v>2.0812400000000002</v>
      </c>
      <c r="BE42" s="83">
        <v>0.125357</v>
      </c>
      <c r="BF42" s="83">
        <v>3.2499E-3</v>
      </c>
      <c r="BG42" s="83">
        <v>2.10473</v>
      </c>
      <c r="BH42" s="83">
        <v>0.125643</v>
      </c>
      <c r="BI42" s="83">
        <v>3.2499E-3</v>
      </c>
      <c r="BJ42" s="83">
        <v>2.10893</v>
      </c>
      <c r="BK42" s="83">
        <v>0.124165</v>
      </c>
      <c r="BL42" s="83">
        <v>3.2499E-3</v>
      </c>
      <c r="BM42" s="83">
        <v>2.12018</v>
      </c>
      <c r="BN42" s="83">
        <v>0.123366</v>
      </c>
      <c r="BO42" s="83">
        <v>3.2499E-3</v>
      </c>
      <c r="BP42" s="83">
        <v>2.1363699999999999</v>
      </c>
      <c r="BQ42" s="83">
        <v>0.123225</v>
      </c>
      <c r="BR42" s="83">
        <v>3.2499E-3</v>
      </c>
      <c r="BS42" s="83">
        <v>2.1612300000000002</v>
      </c>
      <c r="BT42" s="83">
        <v>0.123583</v>
      </c>
      <c r="BU42" s="83">
        <v>3.2499E-3</v>
      </c>
      <c r="BV42" s="83">
        <v>2.2096100000000001</v>
      </c>
      <c r="BW42" s="83">
        <v>0.12606500000000001</v>
      </c>
      <c r="BX42" s="83">
        <v>3.2499E-3</v>
      </c>
      <c r="BY42" s="83">
        <v>2.1859500000000001</v>
      </c>
      <c r="BZ42" s="83">
        <v>0.122603</v>
      </c>
      <c r="CA42" s="83">
        <v>3.2499E-3</v>
      </c>
      <c r="CB42" s="83">
        <v>2.26017</v>
      </c>
      <c r="CC42" s="83">
        <v>0.12688199999999999</v>
      </c>
      <c r="CD42" s="83">
        <v>3.2499E-3</v>
      </c>
      <c r="CE42" s="83">
        <v>2.2235399999999998</v>
      </c>
      <c r="CF42" s="83">
        <v>0.122686</v>
      </c>
      <c r="CG42" s="83">
        <v>3.2499E-3</v>
      </c>
      <c r="CH42" s="83">
        <v>2.2455400000000001</v>
      </c>
      <c r="CI42" s="83">
        <v>0.12311999999999999</v>
      </c>
      <c r="CJ42" s="83">
        <v>3.2499E-3</v>
      </c>
      <c r="CK42" s="83">
        <v>2.25183</v>
      </c>
      <c r="CL42" s="83">
        <v>0.12238599999999999</v>
      </c>
      <c r="CM42" s="83">
        <v>3.2499E-3</v>
      </c>
      <c r="CN42" s="83">
        <v>2.2910599999999999</v>
      </c>
      <c r="CO42" s="83">
        <v>0.124193</v>
      </c>
      <c r="CP42" s="83">
        <v>3.2499E-3</v>
      </c>
      <c r="CQ42" s="83">
        <v>2.3070599999999999</v>
      </c>
      <c r="CR42" s="83">
        <v>0.124682</v>
      </c>
      <c r="CS42" s="83">
        <v>3.2499E-3</v>
      </c>
      <c r="CT42" s="83">
        <v>2.31514</v>
      </c>
      <c r="CU42" s="83">
        <v>0.12550500000000001</v>
      </c>
      <c r="CV42" s="83">
        <v>3.2499E-3</v>
      </c>
      <c r="CW42" s="83">
        <v>2.29121</v>
      </c>
      <c r="CX42" s="83">
        <v>0.12349499999999999</v>
      </c>
    </row>
    <row r="43" spans="1:102" x14ac:dyDescent="0.2">
      <c r="A43" s="83">
        <v>3.3498999999999998E-3</v>
      </c>
      <c r="B43" s="83">
        <v>1.5416000000000001</v>
      </c>
      <c r="C43" s="83">
        <v>0.115913</v>
      </c>
      <c r="D43" s="83">
        <v>3.3498999999999998E-3</v>
      </c>
      <c r="E43" s="83">
        <v>1.5983400000000001</v>
      </c>
      <c r="F43" s="83">
        <v>0.116853</v>
      </c>
      <c r="G43" s="83">
        <v>3.3498999999999998E-3</v>
      </c>
      <c r="H43" s="83">
        <v>1.6461699999999999</v>
      </c>
      <c r="I43" s="83">
        <v>0.118378</v>
      </c>
      <c r="J43" s="83">
        <v>3.3498999999999998E-3</v>
      </c>
      <c r="K43" s="83">
        <v>1.6975100000000001</v>
      </c>
      <c r="L43" s="83">
        <v>0.118172</v>
      </c>
      <c r="M43" s="83">
        <v>3.3498999999999998E-3</v>
      </c>
      <c r="N43" s="83">
        <v>1.7142500000000001</v>
      </c>
      <c r="O43" s="83">
        <v>0.11694300000000001</v>
      </c>
      <c r="P43" s="83">
        <v>3.3498999999999998E-3</v>
      </c>
      <c r="Q43" s="83">
        <v>1.7439</v>
      </c>
      <c r="R43" s="83">
        <v>0.117798</v>
      </c>
      <c r="S43" s="83">
        <v>3.3498999999999998E-3</v>
      </c>
      <c r="T43" s="83">
        <v>1.77336</v>
      </c>
      <c r="U43" s="83">
        <v>0.118927</v>
      </c>
      <c r="V43" s="83">
        <v>3.3498999999999998E-3</v>
      </c>
      <c r="W43" s="83">
        <v>1.7861800000000001</v>
      </c>
      <c r="X43" s="83">
        <v>0.11757099999999999</v>
      </c>
      <c r="Y43" s="83">
        <v>3.3498999999999998E-3</v>
      </c>
      <c r="Z43" s="83">
        <v>1.80003</v>
      </c>
      <c r="AA43" s="83">
        <v>0.11703</v>
      </c>
      <c r="AB43" s="83">
        <v>3.3498999999999998E-3</v>
      </c>
      <c r="AC43" s="83">
        <v>1.8233699999999999</v>
      </c>
      <c r="AD43" s="83">
        <v>0.11665300000000001</v>
      </c>
      <c r="AE43" s="83">
        <v>3.3498999999999998E-3</v>
      </c>
      <c r="AF43" s="83">
        <v>1.85344</v>
      </c>
      <c r="AG43" s="83">
        <v>0.117821</v>
      </c>
      <c r="AH43" s="83">
        <v>3.3498999999999998E-3</v>
      </c>
      <c r="AI43" s="83">
        <v>1.8727400000000001</v>
      </c>
      <c r="AJ43" s="83">
        <v>0.11766600000000001</v>
      </c>
      <c r="AK43" s="83">
        <v>3.3498999999999998E-3</v>
      </c>
      <c r="AL43" s="83">
        <v>1.8873200000000001</v>
      </c>
      <c r="AM43" s="83">
        <v>0.117324</v>
      </c>
      <c r="AN43" s="83">
        <v>3.3498999999999998E-3</v>
      </c>
      <c r="AO43" s="83">
        <v>1.90906</v>
      </c>
      <c r="AP43" s="83">
        <v>0.11759799999999999</v>
      </c>
      <c r="AQ43" s="83">
        <v>3.3498999999999998E-3</v>
      </c>
      <c r="AR43" s="83">
        <v>1.91656</v>
      </c>
      <c r="AS43" s="83">
        <v>0.116526</v>
      </c>
      <c r="AT43" s="83">
        <v>3.3498999999999998E-3</v>
      </c>
      <c r="AU43" s="83">
        <v>1.93723</v>
      </c>
      <c r="AV43" s="83">
        <v>0.11670700000000001</v>
      </c>
      <c r="AW43" s="83">
        <v>3.3498999999999998E-3</v>
      </c>
      <c r="AX43" s="83">
        <v>1.95726</v>
      </c>
      <c r="AY43" s="83">
        <v>0.116841</v>
      </c>
      <c r="AZ43" s="83">
        <v>3.3498999999999998E-3</v>
      </c>
      <c r="BA43" s="83">
        <v>1.9682200000000001</v>
      </c>
      <c r="BB43" s="83">
        <v>0.11641899999999999</v>
      </c>
      <c r="BC43" s="83">
        <v>3.3498999999999998E-3</v>
      </c>
      <c r="BD43" s="83">
        <v>2.0116900000000002</v>
      </c>
      <c r="BE43" s="83">
        <v>0.118856</v>
      </c>
      <c r="BF43" s="83">
        <v>3.3498999999999998E-3</v>
      </c>
      <c r="BG43" s="83">
        <v>2.03383</v>
      </c>
      <c r="BH43" s="83">
        <v>0.11913</v>
      </c>
      <c r="BI43" s="83">
        <v>3.3498999999999998E-3</v>
      </c>
      <c r="BJ43" s="83">
        <v>2.0366200000000001</v>
      </c>
      <c r="BK43" s="83">
        <v>0.117757</v>
      </c>
      <c r="BL43" s="83">
        <v>3.3498999999999998E-3</v>
      </c>
      <c r="BM43" s="83">
        <v>2.0469300000000001</v>
      </c>
      <c r="BN43" s="83">
        <v>0.11701499999999999</v>
      </c>
      <c r="BO43" s="83">
        <v>3.3498999999999998E-3</v>
      </c>
      <c r="BP43" s="83">
        <v>2.0616099999999999</v>
      </c>
      <c r="BQ43" s="83">
        <v>0.11687599999999999</v>
      </c>
      <c r="BR43" s="83">
        <v>3.3498999999999998E-3</v>
      </c>
      <c r="BS43" s="83">
        <v>2.08514</v>
      </c>
      <c r="BT43" s="83">
        <v>0.117201</v>
      </c>
      <c r="BU43" s="83">
        <v>3.3498999999999998E-3</v>
      </c>
      <c r="BV43" s="83">
        <v>2.1307900000000002</v>
      </c>
      <c r="BW43" s="83">
        <v>0.11951299999999999</v>
      </c>
      <c r="BX43" s="83">
        <v>3.3498999999999998E-3</v>
      </c>
      <c r="BY43" s="83">
        <v>2.10656</v>
      </c>
      <c r="BZ43" s="83">
        <v>0.11627</v>
      </c>
      <c r="CA43" s="83">
        <v>3.3498999999999998E-3</v>
      </c>
      <c r="CB43" s="83">
        <v>2.1780900000000001</v>
      </c>
      <c r="CC43" s="83">
        <v>0.120311</v>
      </c>
      <c r="CD43" s="83">
        <v>3.3498999999999998E-3</v>
      </c>
      <c r="CE43" s="83">
        <v>2.1406800000000001</v>
      </c>
      <c r="CF43" s="83">
        <v>0.11633499999999999</v>
      </c>
      <c r="CG43" s="83">
        <v>3.3498999999999998E-3</v>
      </c>
      <c r="CH43" s="83">
        <v>2.1613199999999999</v>
      </c>
      <c r="CI43" s="83">
        <v>0.116756</v>
      </c>
      <c r="CJ43" s="83">
        <v>3.3498999999999998E-3</v>
      </c>
      <c r="CK43" s="83">
        <v>2.1658300000000001</v>
      </c>
      <c r="CL43" s="83">
        <v>0.116092</v>
      </c>
      <c r="CM43" s="83">
        <v>3.3498999999999998E-3</v>
      </c>
      <c r="CN43" s="83">
        <v>2.2027999999999999</v>
      </c>
      <c r="CO43" s="83">
        <v>0.117781</v>
      </c>
      <c r="CP43" s="83">
        <v>3.3498999999999998E-3</v>
      </c>
      <c r="CQ43" s="83">
        <v>2.21645</v>
      </c>
      <c r="CR43" s="83">
        <v>0.1182</v>
      </c>
      <c r="CS43" s="83">
        <v>3.3498999999999998E-3</v>
      </c>
      <c r="CT43" s="83">
        <v>2.2230500000000002</v>
      </c>
      <c r="CU43" s="83">
        <v>0.118995</v>
      </c>
      <c r="CV43" s="83">
        <v>3.3498999999999998E-3</v>
      </c>
      <c r="CW43" s="83">
        <v>2.1968100000000002</v>
      </c>
      <c r="CX43" s="83">
        <v>0.11709899999999999</v>
      </c>
    </row>
    <row r="44" spans="1:102" x14ac:dyDescent="0.2">
      <c r="A44" s="83">
        <v>3.4499000000000001E-3</v>
      </c>
      <c r="B44" s="83">
        <v>1.49305</v>
      </c>
      <c r="C44" s="83">
        <v>0.109968</v>
      </c>
      <c r="D44" s="83">
        <v>3.4499000000000001E-3</v>
      </c>
      <c r="E44" s="83">
        <v>1.5481100000000001</v>
      </c>
      <c r="F44" s="83">
        <v>0.110888</v>
      </c>
      <c r="G44" s="83">
        <v>3.4499000000000001E-3</v>
      </c>
      <c r="H44" s="83">
        <v>1.59466</v>
      </c>
      <c r="I44" s="83">
        <v>0.11233600000000001</v>
      </c>
      <c r="J44" s="83">
        <v>3.4499000000000001E-3</v>
      </c>
      <c r="K44" s="83">
        <v>1.6442699999999999</v>
      </c>
      <c r="L44" s="83">
        <v>0.11210000000000001</v>
      </c>
      <c r="M44" s="83">
        <v>3.4499000000000001E-3</v>
      </c>
      <c r="N44" s="83">
        <v>1.6603000000000001</v>
      </c>
      <c r="O44" s="83">
        <v>0.110914</v>
      </c>
      <c r="P44" s="83">
        <v>3.4499000000000001E-3</v>
      </c>
      <c r="Q44" s="83">
        <v>1.6895500000000001</v>
      </c>
      <c r="R44" s="83">
        <v>0.11176800000000001</v>
      </c>
      <c r="S44" s="83">
        <v>3.4499000000000001E-3</v>
      </c>
      <c r="T44" s="83">
        <v>1.7177899999999999</v>
      </c>
      <c r="U44" s="83">
        <v>0.11282499999999999</v>
      </c>
      <c r="V44" s="83">
        <v>3.4499000000000001E-3</v>
      </c>
      <c r="W44" s="83">
        <v>1.72976</v>
      </c>
      <c r="X44" s="83">
        <v>0.11155</v>
      </c>
      <c r="Y44" s="83">
        <v>3.4499000000000001E-3</v>
      </c>
      <c r="Z44" s="83">
        <v>1.7429399999999999</v>
      </c>
      <c r="AA44" s="83">
        <v>0.111051</v>
      </c>
      <c r="AB44" s="83">
        <v>3.4499000000000001E-3</v>
      </c>
      <c r="AC44" s="83">
        <v>1.7653799999999999</v>
      </c>
      <c r="AD44" s="83">
        <v>0.11071400000000001</v>
      </c>
      <c r="AE44" s="83">
        <v>3.4499000000000001E-3</v>
      </c>
      <c r="AF44" s="83">
        <v>1.79454</v>
      </c>
      <c r="AG44" s="83">
        <v>0.111799</v>
      </c>
      <c r="AH44" s="83">
        <v>3.4499000000000001E-3</v>
      </c>
      <c r="AI44" s="83">
        <v>1.8122199999999999</v>
      </c>
      <c r="AJ44" s="83">
        <v>0.111632</v>
      </c>
      <c r="AK44" s="83">
        <v>3.4499000000000001E-3</v>
      </c>
      <c r="AL44" s="83">
        <v>1.82653</v>
      </c>
      <c r="AM44" s="83">
        <v>0.11132599999999999</v>
      </c>
      <c r="AN44" s="83">
        <v>3.4499000000000001E-3</v>
      </c>
      <c r="AO44" s="83">
        <v>1.84676</v>
      </c>
      <c r="AP44" s="83">
        <v>0.111592</v>
      </c>
      <c r="AQ44" s="83">
        <v>3.4499000000000001E-3</v>
      </c>
      <c r="AR44" s="83">
        <v>1.85324</v>
      </c>
      <c r="AS44" s="83">
        <v>0.110554</v>
      </c>
      <c r="AT44" s="83">
        <v>3.4499000000000001E-3</v>
      </c>
      <c r="AU44" s="83">
        <v>1.8733</v>
      </c>
      <c r="AV44" s="83">
        <v>0.110723</v>
      </c>
      <c r="AW44" s="83">
        <v>3.4499000000000001E-3</v>
      </c>
      <c r="AX44" s="83">
        <v>1.8920399999999999</v>
      </c>
      <c r="AY44" s="83">
        <v>0.11086600000000001</v>
      </c>
      <c r="AZ44" s="83">
        <v>3.4499000000000001E-3</v>
      </c>
      <c r="BA44" s="83">
        <v>1.90218</v>
      </c>
      <c r="BB44" s="83">
        <v>0.110462</v>
      </c>
      <c r="BC44" s="83">
        <v>3.4499000000000001E-3</v>
      </c>
      <c r="BD44" s="83">
        <v>1.9439900000000001</v>
      </c>
      <c r="BE44" s="83">
        <v>0.112777</v>
      </c>
      <c r="BF44" s="83">
        <v>3.4499000000000001E-3</v>
      </c>
      <c r="BG44" s="83">
        <v>1.9644900000000001</v>
      </c>
      <c r="BH44" s="83">
        <v>0.112996</v>
      </c>
      <c r="BI44" s="83">
        <v>3.4499000000000001E-3</v>
      </c>
      <c r="BJ44" s="83">
        <v>1.96654</v>
      </c>
      <c r="BK44" s="83">
        <v>0.111722</v>
      </c>
      <c r="BL44" s="83">
        <v>3.4499000000000001E-3</v>
      </c>
      <c r="BM44" s="83">
        <v>1.97499</v>
      </c>
      <c r="BN44" s="83">
        <v>0.110988</v>
      </c>
      <c r="BO44" s="83">
        <v>3.4499000000000001E-3</v>
      </c>
      <c r="BP44" s="83">
        <v>1.98891</v>
      </c>
      <c r="BQ44" s="83">
        <v>0.11086799999999999</v>
      </c>
      <c r="BR44" s="83">
        <v>3.4499000000000001E-3</v>
      </c>
      <c r="BS44" s="83">
        <v>2.0103499999999999</v>
      </c>
      <c r="BT44" s="83">
        <v>0.11117</v>
      </c>
      <c r="BU44" s="83">
        <v>3.4499000000000001E-3</v>
      </c>
      <c r="BV44" s="83">
        <v>2.0539800000000001</v>
      </c>
      <c r="BW44" s="83">
        <v>0.113361</v>
      </c>
      <c r="BX44" s="83">
        <v>3.4499000000000001E-3</v>
      </c>
      <c r="BY44" s="83">
        <v>2.0297200000000002</v>
      </c>
      <c r="BZ44" s="83">
        <v>0.11033</v>
      </c>
      <c r="CA44" s="83">
        <v>3.4499000000000001E-3</v>
      </c>
      <c r="CB44" s="83">
        <v>2.0983399999999999</v>
      </c>
      <c r="CC44" s="83">
        <v>0.114124</v>
      </c>
      <c r="CD44" s="83">
        <v>3.4499000000000001E-3</v>
      </c>
      <c r="CE44" s="83">
        <v>2.0601400000000001</v>
      </c>
      <c r="CF44" s="83">
        <v>0.11036600000000001</v>
      </c>
      <c r="CG44" s="83">
        <v>3.4499000000000001E-3</v>
      </c>
      <c r="CH44" s="83">
        <v>2.0788500000000001</v>
      </c>
      <c r="CI44" s="83">
        <v>0.110788</v>
      </c>
      <c r="CJ44" s="83">
        <v>3.4499000000000001E-3</v>
      </c>
      <c r="CK44" s="83">
        <v>2.0815999999999999</v>
      </c>
      <c r="CL44" s="83">
        <v>0.110111</v>
      </c>
      <c r="CM44" s="83">
        <v>3.4499000000000001E-3</v>
      </c>
      <c r="CN44" s="83">
        <v>2.11686</v>
      </c>
      <c r="CO44" s="83">
        <v>0.111772</v>
      </c>
      <c r="CP44" s="83">
        <v>3.4499000000000001E-3</v>
      </c>
      <c r="CQ44" s="83">
        <v>2.1276700000000002</v>
      </c>
      <c r="CR44" s="83">
        <v>0.112126</v>
      </c>
      <c r="CS44" s="83">
        <v>3.4499000000000001E-3</v>
      </c>
      <c r="CT44" s="83">
        <v>2.1327199999999999</v>
      </c>
      <c r="CU44" s="83">
        <v>0.112857</v>
      </c>
      <c r="CV44" s="83">
        <v>3.4499000000000001E-3</v>
      </c>
      <c r="CW44" s="83">
        <v>2.1053899999999999</v>
      </c>
      <c r="CX44" s="83">
        <v>0.111058</v>
      </c>
    </row>
    <row r="45" spans="1:102" x14ac:dyDescent="0.2">
      <c r="A45" s="83">
        <v>3.5498999999999999E-3</v>
      </c>
      <c r="B45" s="83">
        <v>1.4455100000000001</v>
      </c>
      <c r="C45" s="83">
        <v>0.10434300000000001</v>
      </c>
      <c r="D45" s="83">
        <v>3.5498999999999999E-3</v>
      </c>
      <c r="E45" s="83">
        <v>1.4987600000000001</v>
      </c>
      <c r="F45" s="83">
        <v>0.105211</v>
      </c>
      <c r="G45" s="83">
        <v>3.5498999999999999E-3</v>
      </c>
      <c r="H45" s="83">
        <v>1.54436</v>
      </c>
      <c r="I45" s="83">
        <v>0.106583</v>
      </c>
      <c r="J45" s="83">
        <v>3.5498999999999999E-3</v>
      </c>
      <c r="K45" s="83">
        <v>1.5922000000000001</v>
      </c>
      <c r="L45" s="83">
        <v>0.106353</v>
      </c>
      <c r="M45" s="83">
        <v>3.5498999999999999E-3</v>
      </c>
      <c r="N45" s="83">
        <v>1.60771</v>
      </c>
      <c r="O45" s="83">
        <v>0.105251</v>
      </c>
      <c r="P45" s="83">
        <v>3.5498999999999999E-3</v>
      </c>
      <c r="Q45" s="83">
        <v>1.63615</v>
      </c>
      <c r="R45" s="83">
        <v>0.106049</v>
      </c>
      <c r="S45" s="83">
        <v>3.5498999999999999E-3</v>
      </c>
      <c r="T45" s="83">
        <v>1.6631499999999999</v>
      </c>
      <c r="U45" s="83">
        <v>0.107069</v>
      </c>
      <c r="V45" s="83">
        <v>3.5498999999999999E-3</v>
      </c>
      <c r="W45" s="83">
        <v>1.67445</v>
      </c>
      <c r="X45" s="83">
        <v>0.10584</v>
      </c>
      <c r="Y45" s="83">
        <v>3.5498999999999999E-3</v>
      </c>
      <c r="Z45" s="83">
        <v>1.6876</v>
      </c>
      <c r="AA45" s="83">
        <v>0.105383</v>
      </c>
      <c r="AB45" s="83">
        <v>3.5498999999999999E-3</v>
      </c>
      <c r="AC45" s="83">
        <v>1.7084299999999999</v>
      </c>
      <c r="AD45" s="83">
        <v>0.105048</v>
      </c>
      <c r="AE45" s="83">
        <v>3.5498999999999999E-3</v>
      </c>
      <c r="AF45" s="83">
        <v>1.73648</v>
      </c>
      <c r="AG45" s="83">
        <v>0.106072</v>
      </c>
      <c r="AH45" s="83">
        <v>3.5498999999999999E-3</v>
      </c>
      <c r="AI45" s="83">
        <v>1.75322</v>
      </c>
      <c r="AJ45" s="83">
        <v>0.105931</v>
      </c>
      <c r="AK45" s="83">
        <v>3.5498999999999999E-3</v>
      </c>
      <c r="AL45" s="83">
        <v>1.7666299999999999</v>
      </c>
      <c r="AM45" s="83">
        <v>0.10567699999999999</v>
      </c>
      <c r="AN45" s="83">
        <v>3.5498999999999999E-3</v>
      </c>
      <c r="AO45" s="83">
        <v>1.7858499999999999</v>
      </c>
      <c r="AP45" s="83">
        <v>0.105891</v>
      </c>
      <c r="AQ45" s="83">
        <v>3.5498999999999999E-3</v>
      </c>
      <c r="AR45" s="83">
        <v>1.7918099999999999</v>
      </c>
      <c r="AS45" s="83">
        <v>0.104923</v>
      </c>
      <c r="AT45" s="83">
        <v>3.5498999999999999E-3</v>
      </c>
      <c r="AU45" s="83">
        <v>1.8108200000000001</v>
      </c>
      <c r="AV45" s="83">
        <v>0.105074</v>
      </c>
      <c r="AW45" s="83">
        <v>3.5498999999999999E-3</v>
      </c>
      <c r="AX45" s="83">
        <v>1.82833</v>
      </c>
      <c r="AY45" s="83">
        <v>0.105172</v>
      </c>
      <c r="AZ45" s="83">
        <v>3.5498999999999999E-3</v>
      </c>
      <c r="BA45" s="83">
        <v>1.83738</v>
      </c>
      <c r="BB45" s="83">
        <v>0.104838</v>
      </c>
      <c r="BC45" s="83">
        <v>3.5498999999999999E-3</v>
      </c>
      <c r="BD45" s="83">
        <v>1.8769199999999999</v>
      </c>
      <c r="BE45" s="83">
        <v>0.10698199999999999</v>
      </c>
      <c r="BF45" s="83">
        <v>3.5498999999999999E-3</v>
      </c>
      <c r="BG45" s="83">
        <v>1.8962399999999999</v>
      </c>
      <c r="BH45" s="83">
        <v>0.107227</v>
      </c>
      <c r="BI45" s="83">
        <v>3.5498999999999999E-3</v>
      </c>
      <c r="BJ45" s="83">
        <v>1.8972100000000001</v>
      </c>
      <c r="BK45" s="83">
        <v>0.10600999999999999</v>
      </c>
      <c r="BL45" s="83">
        <v>3.5498999999999999E-3</v>
      </c>
      <c r="BM45" s="83">
        <v>1.9046400000000001</v>
      </c>
      <c r="BN45" s="83">
        <v>0.105306</v>
      </c>
      <c r="BO45" s="83">
        <v>3.5498999999999999E-3</v>
      </c>
      <c r="BP45" s="83">
        <v>1.9171</v>
      </c>
      <c r="BQ45" s="83">
        <v>0.105213</v>
      </c>
      <c r="BR45" s="83">
        <v>3.5498999999999999E-3</v>
      </c>
      <c r="BS45" s="83">
        <v>1.9374199999999999</v>
      </c>
      <c r="BT45" s="83">
        <v>0.105459</v>
      </c>
      <c r="BU45" s="83">
        <v>3.5498999999999999E-3</v>
      </c>
      <c r="BV45" s="83">
        <v>1.97871</v>
      </c>
      <c r="BW45" s="83">
        <v>0.107548</v>
      </c>
      <c r="BX45" s="83">
        <v>3.5498999999999999E-3</v>
      </c>
      <c r="BY45" s="83">
        <v>1.9543600000000001</v>
      </c>
      <c r="BZ45" s="83">
        <v>0.104694</v>
      </c>
      <c r="CA45" s="83">
        <v>3.5498999999999999E-3</v>
      </c>
      <c r="CB45" s="83">
        <v>2.01946</v>
      </c>
      <c r="CC45" s="83">
        <v>0.108297</v>
      </c>
      <c r="CD45" s="83">
        <v>3.5498999999999999E-3</v>
      </c>
      <c r="CE45" s="83">
        <v>1.9813700000000001</v>
      </c>
      <c r="CF45" s="83">
        <v>0.104724</v>
      </c>
      <c r="CG45" s="83">
        <v>3.5498999999999999E-3</v>
      </c>
      <c r="CH45" s="83">
        <v>1.9986699999999999</v>
      </c>
      <c r="CI45" s="83">
        <v>0.105139</v>
      </c>
      <c r="CJ45" s="83">
        <v>3.5498999999999999E-3</v>
      </c>
      <c r="CK45" s="83">
        <v>1.9995799999999999</v>
      </c>
      <c r="CL45" s="83">
        <v>0.104476</v>
      </c>
      <c r="CM45" s="83">
        <v>3.5498999999999999E-3</v>
      </c>
      <c r="CN45" s="83">
        <v>2.0325099999999998</v>
      </c>
      <c r="CO45" s="83">
        <v>0.106056</v>
      </c>
      <c r="CP45" s="83">
        <v>3.5498999999999999E-3</v>
      </c>
      <c r="CQ45" s="83">
        <v>2.04149</v>
      </c>
      <c r="CR45" s="83">
        <v>0.106409</v>
      </c>
      <c r="CS45" s="83">
        <v>3.5498999999999999E-3</v>
      </c>
      <c r="CT45" s="83">
        <v>2.04453</v>
      </c>
      <c r="CU45" s="83">
        <v>0.10707899999999999</v>
      </c>
      <c r="CV45" s="83">
        <v>3.5498999999999999E-3</v>
      </c>
      <c r="CW45" s="83">
        <v>2.0161099999999998</v>
      </c>
      <c r="CX45" s="83">
        <v>0.10535700000000001</v>
      </c>
    </row>
    <row r="46" spans="1:102" x14ac:dyDescent="0.2">
      <c r="A46" s="83">
        <v>3.6499000000000002E-3</v>
      </c>
      <c r="B46" s="83">
        <v>1.39923</v>
      </c>
      <c r="C46" s="83">
        <v>9.9030400000000005E-2</v>
      </c>
      <c r="D46" s="83">
        <v>3.6499000000000002E-3</v>
      </c>
      <c r="E46" s="83">
        <v>1.4509099999999999</v>
      </c>
      <c r="F46" s="83">
        <v>9.9868100000000001E-2</v>
      </c>
      <c r="G46" s="83">
        <v>3.6499000000000002E-3</v>
      </c>
      <c r="H46" s="83">
        <v>1.49501</v>
      </c>
      <c r="I46" s="83">
        <v>0.101174</v>
      </c>
      <c r="J46" s="83">
        <v>3.6499000000000002E-3</v>
      </c>
      <c r="K46" s="83">
        <v>1.54138</v>
      </c>
      <c r="L46" s="83">
        <v>0.10095</v>
      </c>
      <c r="M46" s="83">
        <v>3.6499000000000002E-3</v>
      </c>
      <c r="N46" s="83">
        <v>1.5560099999999999</v>
      </c>
      <c r="O46" s="83">
        <v>9.9883399999999997E-2</v>
      </c>
      <c r="P46" s="83">
        <v>3.6499000000000002E-3</v>
      </c>
      <c r="Q46" s="83">
        <v>1.5834299999999999</v>
      </c>
      <c r="R46" s="83">
        <v>0.100691</v>
      </c>
      <c r="S46" s="83">
        <v>3.6499000000000002E-3</v>
      </c>
      <c r="T46" s="83">
        <v>1.6096999999999999</v>
      </c>
      <c r="U46" s="83">
        <v>0.101619</v>
      </c>
      <c r="V46" s="83">
        <v>3.6499000000000002E-3</v>
      </c>
      <c r="W46" s="83">
        <v>1.62039</v>
      </c>
      <c r="X46" s="83">
        <v>0.10047</v>
      </c>
      <c r="Y46" s="83">
        <v>3.6499000000000002E-3</v>
      </c>
      <c r="Z46" s="83">
        <v>1.6332</v>
      </c>
      <c r="AA46" s="83">
        <v>0.10006</v>
      </c>
      <c r="AB46" s="83">
        <v>3.6499000000000002E-3</v>
      </c>
      <c r="AC46" s="83">
        <v>1.65238</v>
      </c>
      <c r="AD46" s="83">
        <v>9.9731600000000004E-2</v>
      </c>
      <c r="AE46" s="83">
        <v>3.6499000000000002E-3</v>
      </c>
      <c r="AF46" s="83">
        <v>1.6799900000000001</v>
      </c>
      <c r="AG46" s="83">
        <v>0.10068199999999999</v>
      </c>
      <c r="AH46" s="83">
        <v>3.6499000000000002E-3</v>
      </c>
      <c r="AI46" s="83">
        <v>1.6958299999999999</v>
      </c>
      <c r="AJ46" s="83">
        <v>0.100533</v>
      </c>
      <c r="AK46" s="83">
        <v>3.6499000000000002E-3</v>
      </c>
      <c r="AL46" s="83">
        <v>1.7085600000000001</v>
      </c>
      <c r="AM46" s="83">
        <v>0.100329</v>
      </c>
      <c r="AN46" s="83">
        <v>3.6499000000000002E-3</v>
      </c>
      <c r="AO46" s="83">
        <v>1.7259100000000001</v>
      </c>
      <c r="AP46" s="83">
        <v>0.100519</v>
      </c>
      <c r="AQ46" s="83">
        <v>3.6499000000000002E-3</v>
      </c>
      <c r="AR46" s="83">
        <v>1.73143</v>
      </c>
      <c r="AS46" s="83">
        <v>9.9609400000000001E-2</v>
      </c>
      <c r="AT46" s="83">
        <v>3.6499000000000002E-3</v>
      </c>
      <c r="AU46" s="83">
        <v>1.7494799999999999</v>
      </c>
      <c r="AV46" s="83">
        <v>9.9745299999999995E-2</v>
      </c>
      <c r="AW46" s="83">
        <v>3.6499000000000002E-3</v>
      </c>
      <c r="AX46" s="83">
        <v>1.76529</v>
      </c>
      <c r="AY46" s="83">
        <v>9.9838899999999994E-2</v>
      </c>
      <c r="AZ46" s="83">
        <v>3.6499000000000002E-3</v>
      </c>
      <c r="BA46" s="83">
        <v>1.7737099999999999</v>
      </c>
      <c r="BB46" s="83">
        <v>9.9526600000000007E-2</v>
      </c>
      <c r="BC46" s="83">
        <v>3.6499000000000002E-3</v>
      </c>
      <c r="BD46" s="83">
        <v>1.8116099999999999</v>
      </c>
      <c r="BE46" s="83">
        <v>0.101581</v>
      </c>
      <c r="BF46" s="83">
        <v>3.6499000000000002E-3</v>
      </c>
      <c r="BG46" s="83">
        <v>1.82959</v>
      </c>
      <c r="BH46" s="83">
        <v>0.10174999999999999</v>
      </c>
      <c r="BI46" s="83">
        <v>3.6499000000000002E-3</v>
      </c>
      <c r="BJ46" s="83">
        <v>1.8300700000000001</v>
      </c>
      <c r="BK46" s="83">
        <v>0.100635</v>
      </c>
      <c r="BL46" s="83">
        <v>3.6499000000000002E-3</v>
      </c>
      <c r="BM46" s="83">
        <v>1.8361000000000001</v>
      </c>
      <c r="BN46" s="83">
        <v>9.9957500000000005E-2</v>
      </c>
      <c r="BO46" s="83">
        <v>3.6499000000000002E-3</v>
      </c>
      <c r="BP46" s="83">
        <v>1.8473599999999999</v>
      </c>
      <c r="BQ46" s="83">
        <v>9.9879300000000004E-2</v>
      </c>
      <c r="BR46" s="83">
        <v>3.6499000000000002E-3</v>
      </c>
      <c r="BS46" s="83">
        <v>1.8659399999999999</v>
      </c>
      <c r="BT46" s="83">
        <v>0.100115</v>
      </c>
      <c r="BU46" s="83">
        <v>3.6499000000000002E-3</v>
      </c>
      <c r="BV46" s="83">
        <v>1.90507</v>
      </c>
      <c r="BW46" s="83">
        <v>0.102053</v>
      </c>
      <c r="BX46" s="83">
        <v>3.6499000000000002E-3</v>
      </c>
      <c r="BY46" s="83">
        <v>1.8806400000000001</v>
      </c>
      <c r="BZ46" s="83">
        <v>9.9402900000000002E-2</v>
      </c>
      <c r="CA46" s="83">
        <v>3.6499000000000002E-3</v>
      </c>
      <c r="CB46" s="83">
        <v>1.9426600000000001</v>
      </c>
      <c r="CC46" s="83">
        <v>0.102743</v>
      </c>
      <c r="CD46" s="83">
        <v>3.6499000000000002E-3</v>
      </c>
      <c r="CE46" s="83">
        <v>1.90428</v>
      </c>
      <c r="CF46" s="83">
        <v>9.9407300000000004E-2</v>
      </c>
      <c r="CG46" s="83">
        <v>3.6499000000000002E-3</v>
      </c>
      <c r="CH46" s="83">
        <v>1.92048</v>
      </c>
      <c r="CI46" s="83">
        <v>9.9796899999999994E-2</v>
      </c>
      <c r="CJ46" s="83">
        <v>3.6499000000000002E-3</v>
      </c>
      <c r="CK46" s="83">
        <v>1.9192400000000001</v>
      </c>
      <c r="CL46" s="83">
        <v>9.9175200000000005E-2</v>
      </c>
      <c r="CM46" s="83">
        <v>3.6499000000000002E-3</v>
      </c>
      <c r="CN46" s="83">
        <v>1.9502699999999999</v>
      </c>
      <c r="CO46" s="83">
        <v>0.100646</v>
      </c>
      <c r="CP46" s="83">
        <v>3.6499000000000002E-3</v>
      </c>
      <c r="CQ46" s="83">
        <v>1.9570700000000001</v>
      </c>
      <c r="CR46" s="83">
        <v>0.100995</v>
      </c>
      <c r="CS46" s="83">
        <v>3.6499000000000002E-3</v>
      </c>
      <c r="CT46" s="83">
        <v>1.95872</v>
      </c>
      <c r="CU46" s="83">
        <v>0.101593</v>
      </c>
      <c r="CV46" s="83">
        <v>3.6499000000000002E-3</v>
      </c>
      <c r="CW46" s="83">
        <v>1.92896</v>
      </c>
      <c r="CX46" s="83">
        <v>9.9976599999999999E-2</v>
      </c>
    </row>
    <row r="47" spans="1:102" x14ac:dyDescent="0.2">
      <c r="A47" s="83">
        <v>3.7499E-3</v>
      </c>
      <c r="B47" s="83">
        <v>1.35408</v>
      </c>
      <c r="C47" s="83">
        <v>9.4085100000000005E-2</v>
      </c>
      <c r="D47" s="83">
        <v>3.7499E-3</v>
      </c>
      <c r="E47" s="83">
        <v>1.40442</v>
      </c>
      <c r="F47" s="83">
        <v>9.4869999999999996E-2</v>
      </c>
      <c r="G47" s="83">
        <v>3.7499E-3</v>
      </c>
      <c r="H47" s="83">
        <v>1.4466000000000001</v>
      </c>
      <c r="I47" s="83">
        <v>9.6119700000000002E-2</v>
      </c>
      <c r="J47" s="83">
        <v>3.7499E-3</v>
      </c>
      <c r="K47" s="83">
        <v>1.49139</v>
      </c>
      <c r="L47" s="83">
        <v>9.5882099999999998E-2</v>
      </c>
      <c r="M47" s="83">
        <v>3.7499E-3</v>
      </c>
      <c r="N47" s="83">
        <v>1.50528</v>
      </c>
      <c r="O47" s="83">
        <v>9.4870700000000002E-2</v>
      </c>
      <c r="P47" s="83">
        <v>3.7499E-3</v>
      </c>
      <c r="Q47" s="83">
        <v>1.5320400000000001</v>
      </c>
      <c r="R47" s="83">
        <v>9.5630300000000001E-2</v>
      </c>
      <c r="S47" s="83">
        <v>3.7499E-3</v>
      </c>
      <c r="T47" s="83">
        <v>1.5579799999999999</v>
      </c>
      <c r="U47" s="83">
        <v>9.6502699999999997E-2</v>
      </c>
      <c r="V47" s="83">
        <v>3.7499E-3</v>
      </c>
      <c r="W47" s="83">
        <v>1.5676300000000001</v>
      </c>
      <c r="X47" s="83">
        <v>9.5427499999999998E-2</v>
      </c>
      <c r="Y47" s="83">
        <v>3.7499E-3</v>
      </c>
      <c r="Z47" s="83">
        <v>1.5794900000000001</v>
      </c>
      <c r="AA47" s="83">
        <v>9.5055000000000001E-2</v>
      </c>
      <c r="AB47" s="83">
        <v>3.7499E-3</v>
      </c>
      <c r="AC47" s="83">
        <v>1.5977399999999999</v>
      </c>
      <c r="AD47" s="83">
        <v>9.4739400000000001E-2</v>
      </c>
      <c r="AE47" s="83">
        <v>3.7499E-3</v>
      </c>
      <c r="AF47" s="83">
        <v>1.6242099999999999</v>
      </c>
      <c r="AG47" s="83">
        <v>9.5634800000000006E-2</v>
      </c>
      <c r="AH47" s="83">
        <v>3.7499E-3</v>
      </c>
      <c r="AI47" s="83">
        <v>1.63914</v>
      </c>
      <c r="AJ47" s="83">
        <v>9.5502400000000001E-2</v>
      </c>
      <c r="AK47" s="83">
        <v>3.7499E-3</v>
      </c>
      <c r="AL47" s="83">
        <v>1.6513800000000001</v>
      </c>
      <c r="AM47" s="83">
        <v>9.5324699999999998E-2</v>
      </c>
      <c r="AN47" s="83">
        <v>3.7499E-3</v>
      </c>
      <c r="AO47" s="83">
        <v>1.66794</v>
      </c>
      <c r="AP47" s="83">
        <v>9.5477599999999996E-2</v>
      </c>
      <c r="AQ47" s="83">
        <v>3.7499E-3</v>
      </c>
      <c r="AR47" s="83">
        <v>1.67255</v>
      </c>
      <c r="AS47" s="83">
        <v>9.4641699999999995E-2</v>
      </c>
      <c r="AT47" s="83">
        <v>3.7499E-3</v>
      </c>
      <c r="AU47" s="83">
        <v>1.6890099999999999</v>
      </c>
      <c r="AV47" s="83">
        <v>9.4752100000000006E-2</v>
      </c>
      <c r="AW47" s="83">
        <v>3.7499E-3</v>
      </c>
      <c r="AX47" s="83">
        <v>1.7035400000000001</v>
      </c>
      <c r="AY47" s="83">
        <v>9.4842800000000005E-2</v>
      </c>
      <c r="AZ47" s="83">
        <v>3.7499E-3</v>
      </c>
      <c r="BA47" s="83">
        <v>1.7118599999999999</v>
      </c>
      <c r="BB47" s="83">
        <v>9.4570600000000005E-2</v>
      </c>
      <c r="BC47" s="83">
        <v>3.7499E-3</v>
      </c>
      <c r="BD47" s="83">
        <v>1.7476799999999999</v>
      </c>
      <c r="BE47" s="83">
        <v>9.6428799999999995E-2</v>
      </c>
      <c r="BF47" s="83">
        <v>3.7499E-3</v>
      </c>
      <c r="BG47" s="83">
        <v>1.76461</v>
      </c>
      <c r="BH47" s="83">
        <v>9.6628000000000006E-2</v>
      </c>
      <c r="BI47" s="83">
        <v>3.7499E-3</v>
      </c>
      <c r="BJ47" s="83">
        <v>1.7637</v>
      </c>
      <c r="BK47" s="83">
        <v>9.5589099999999996E-2</v>
      </c>
      <c r="BL47" s="83">
        <v>3.7499E-3</v>
      </c>
      <c r="BM47" s="83">
        <v>1.76888</v>
      </c>
      <c r="BN47" s="83">
        <v>9.4937999999999995E-2</v>
      </c>
      <c r="BO47" s="83">
        <v>3.7499E-3</v>
      </c>
      <c r="BP47" s="83">
        <v>1.77887</v>
      </c>
      <c r="BQ47" s="83">
        <v>9.4871499999999997E-2</v>
      </c>
      <c r="BR47" s="83">
        <v>3.7499E-3</v>
      </c>
      <c r="BS47" s="83">
        <v>1.7958099999999999</v>
      </c>
      <c r="BT47" s="83">
        <v>9.5100500000000004E-2</v>
      </c>
      <c r="BU47" s="83">
        <v>3.7499E-3</v>
      </c>
      <c r="BV47" s="83">
        <v>1.8333600000000001</v>
      </c>
      <c r="BW47" s="83">
        <v>9.69217E-2</v>
      </c>
      <c r="BX47" s="83">
        <v>3.7499E-3</v>
      </c>
      <c r="BY47" s="83">
        <v>1.8085</v>
      </c>
      <c r="BZ47" s="83">
        <v>9.4450699999999999E-2</v>
      </c>
      <c r="CA47" s="83">
        <v>3.7499E-3</v>
      </c>
      <c r="CB47" s="83">
        <v>1.86819</v>
      </c>
      <c r="CC47" s="83">
        <v>9.7541799999999998E-2</v>
      </c>
      <c r="CD47" s="83">
        <v>3.7499E-3</v>
      </c>
      <c r="CE47" s="83">
        <v>1.82911</v>
      </c>
      <c r="CF47" s="83">
        <v>9.4432699999999994E-2</v>
      </c>
      <c r="CG47" s="83">
        <v>3.7499E-3</v>
      </c>
      <c r="CH47" s="83">
        <v>1.8438699999999999</v>
      </c>
      <c r="CI47" s="83">
        <v>9.4800800000000005E-2</v>
      </c>
      <c r="CJ47" s="83">
        <v>3.7499E-3</v>
      </c>
      <c r="CK47" s="83">
        <v>1.8412299999999999</v>
      </c>
      <c r="CL47" s="83">
        <v>9.4224000000000002E-2</v>
      </c>
      <c r="CM47" s="83">
        <v>3.7499E-3</v>
      </c>
      <c r="CN47" s="83">
        <v>1.8700600000000001</v>
      </c>
      <c r="CO47" s="83">
        <v>9.5611500000000002E-2</v>
      </c>
      <c r="CP47" s="83">
        <v>3.7499E-3</v>
      </c>
      <c r="CQ47" s="83">
        <v>1.8751500000000001</v>
      </c>
      <c r="CR47" s="83">
        <v>9.5911399999999994E-2</v>
      </c>
      <c r="CS47" s="83">
        <v>3.7499E-3</v>
      </c>
      <c r="CT47" s="83">
        <v>1.8756900000000001</v>
      </c>
      <c r="CU47" s="83">
        <v>9.6481800000000006E-2</v>
      </c>
      <c r="CV47" s="83">
        <v>3.7499E-3</v>
      </c>
      <c r="CW47" s="83">
        <v>1.8444</v>
      </c>
      <c r="CX47" s="83">
        <v>9.4951300000000002E-2</v>
      </c>
    </row>
    <row r="48" spans="1:102" x14ac:dyDescent="0.2">
      <c r="A48" s="83">
        <v>3.8498999999999999E-3</v>
      </c>
      <c r="B48" s="83">
        <v>1.3095399999999999</v>
      </c>
      <c r="C48" s="83">
        <v>8.9284299999999997E-2</v>
      </c>
      <c r="D48" s="83">
        <v>3.8498999999999999E-3</v>
      </c>
      <c r="E48" s="83">
        <v>1.35867</v>
      </c>
      <c r="F48" s="83">
        <v>9.0085799999999994E-2</v>
      </c>
      <c r="G48" s="83">
        <v>3.8498999999999999E-3</v>
      </c>
      <c r="H48" s="83">
        <v>1.39988</v>
      </c>
      <c r="I48" s="83">
        <v>9.1265200000000005E-2</v>
      </c>
      <c r="J48" s="83">
        <v>3.8498999999999999E-3</v>
      </c>
      <c r="K48" s="83">
        <v>1.44258</v>
      </c>
      <c r="L48" s="83">
        <v>9.10276E-2</v>
      </c>
      <c r="M48" s="83">
        <v>3.8498999999999999E-3</v>
      </c>
      <c r="N48" s="83">
        <v>1.45604</v>
      </c>
      <c r="O48" s="83">
        <v>9.0020100000000006E-2</v>
      </c>
      <c r="P48" s="83">
        <v>3.8498999999999999E-3</v>
      </c>
      <c r="Q48" s="83">
        <v>1.4821500000000001</v>
      </c>
      <c r="R48" s="83">
        <v>9.0771900000000003E-2</v>
      </c>
      <c r="S48" s="83">
        <v>3.8498999999999999E-3</v>
      </c>
      <c r="T48" s="83">
        <v>1.5067200000000001</v>
      </c>
      <c r="U48" s="83">
        <v>9.1644299999999998E-2</v>
      </c>
      <c r="V48" s="83">
        <v>3.8498999999999999E-3</v>
      </c>
      <c r="W48" s="83">
        <v>1.5161</v>
      </c>
      <c r="X48" s="83">
        <v>9.0603299999999998E-2</v>
      </c>
      <c r="Y48" s="83">
        <v>3.8498999999999999E-3</v>
      </c>
      <c r="Z48" s="83">
        <v>1.5275099999999999</v>
      </c>
      <c r="AA48" s="83">
        <v>9.02279E-2</v>
      </c>
      <c r="AB48" s="83">
        <v>3.8498999999999999E-3</v>
      </c>
      <c r="AC48" s="83">
        <v>1.5447900000000001</v>
      </c>
      <c r="AD48" s="83">
        <v>8.9899499999999993E-2</v>
      </c>
      <c r="AE48" s="83">
        <v>3.8498999999999999E-3</v>
      </c>
      <c r="AF48" s="83">
        <v>1.5700700000000001</v>
      </c>
      <c r="AG48" s="83">
        <v>9.0794899999999998E-2</v>
      </c>
      <c r="AH48" s="83">
        <v>3.8498999999999999E-3</v>
      </c>
      <c r="AI48" s="83">
        <v>1.5840000000000001</v>
      </c>
      <c r="AJ48" s="83">
        <v>9.0669399999999997E-2</v>
      </c>
      <c r="AK48" s="83">
        <v>3.8498999999999999E-3</v>
      </c>
      <c r="AL48" s="83">
        <v>1.59581</v>
      </c>
      <c r="AM48" s="83">
        <v>9.0491699999999994E-2</v>
      </c>
      <c r="AN48" s="83">
        <v>3.8498999999999999E-3</v>
      </c>
      <c r="AO48" s="83">
        <v>1.61097</v>
      </c>
      <c r="AP48" s="83">
        <v>9.0620199999999998E-2</v>
      </c>
      <c r="AQ48" s="83">
        <v>3.8498999999999999E-3</v>
      </c>
      <c r="AR48" s="83">
        <v>1.61459</v>
      </c>
      <c r="AS48" s="83">
        <v>8.9825199999999994E-2</v>
      </c>
      <c r="AT48" s="83">
        <v>3.8498999999999999E-3</v>
      </c>
      <c r="AU48" s="83">
        <v>1.63015</v>
      </c>
      <c r="AV48" s="83">
        <v>8.99504E-2</v>
      </c>
      <c r="AW48" s="83">
        <v>3.8498999999999999E-3</v>
      </c>
      <c r="AX48" s="83">
        <v>1.6436999999999999</v>
      </c>
      <c r="AY48" s="83">
        <v>8.9997099999999997E-2</v>
      </c>
      <c r="AZ48" s="83">
        <v>3.8498999999999999E-3</v>
      </c>
      <c r="BA48" s="83">
        <v>1.65062</v>
      </c>
      <c r="BB48" s="83">
        <v>8.9754200000000006E-2</v>
      </c>
      <c r="BC48" s="83">
        <v>3.8498999999999999E-3</v>
      </c>
      <c r="BD48" s="83">
        <v>1.6853400000000001</v>
      </c>
      <c r="BE48" s="83">
        <v>9.1573299999999996E-2</v>
      </c>
      <c r="BF48" s="83">
        <v>3.8498999999999999E-3</v>
      </c>
      <c r="BG48" s="83">
        <v>1.7010099999999999</v>
      </c>
      <c r="BH48" s="83">
        <v>9.1765700000000006E-2</v>
      </c>
      <c r="BI48" s="83">
        <v>3.8498999999999999E-3</v>
      </c>
      <c r="BJ48" s="83">
        <v>1.6994499999999999</v>
      </c>
      <c r="BK48" s="83">
        <v>9.0763899999999995E-2</v>
      </c>
      <c r="BL48" s="83">
        <v>3.8498999999999999E-3</v>
      </c>
      <c r="BM48" s="83">
        <v>1.70373</v>
      </c>
      <c r="BN48" s="83">
        <v>9.0147000000000005E-2</v>
      </c>
      <c r="BO48" s="83">
        <v>3.8498999999999999E-3</v>
      </c>
      <c r="BP48" s="83">
        <v>1.71214</v>
      </c>
      <c r="BQ48" s="83">
        <v>9.0040400000000007E-2</v>
      </c>
      <c r="BR48" s="83">
        <v>3.8498999999999999E-3</v>
      </c>
      <c r="BS48" s="83">
        <v>1.72787</v>
      </c>
      <c r="BT48" s="83">
        <v>9.0303599999999998E-2</v>
      </c>
      <c r="BU48" s="83">
        <v>3.8498999999999999E-3</v>
      </c>
      <c r="BV48" s="83">
        <v>1.7630999999999999</v>
      </c>
      <c r="BW48" s="83">
        <v>9.2031100000000005E-2</v>
      </c>
      <c r="BX48" s="83">
        <v>3.8498999999999999E-3</v>
      </c>
      <c r="BY48" s="83">
        <v>1.7380500000000001</v>
      </c>
      <c r="BZ48" s="83">
        <v>8.9614799999999994E-2</v>
      </c>
      <c r="CA48" s="83">
        <v>3.8498999999999999E-3</v>
      </c>
      <c r="CB48" s="83">
        <v>1.7950299999999999</v>
      </c>
      <c r="CC48" s="83">
        <v>9.2658000000000004E-2</v>
      </c>
      <c r="CD48" s="83">
        <v>3.8498999999999999E-3</v>
      </c>
      <c r="CE48" s="83">
        <v>1.7556</v>
      </c>
      <c r="CF48" s="83">
        <v>8.9603600000000005E-2</v>
      </c>
      <c r="CG48" s="83">
        <v>3.8498999999999999E-3</v>
      </c>
      <c r="CH48" s="83">
        <v>1.7683899999999999</v>
      </c>
      <c r="CI48" s="83">
        <v>9.00117E-2</v>
      </c>
      <c r="CJ48" s="83">
        <v>3.8498999999999999E-3</v>
      </c>
      <c r="CK48" s="83">
        <v>1.7654700000000001</v>
      </c>
      <c r="CL48" s="83">
        <v>8.9427099999999995E-2</v>
      </c>
      <c r="CM48" s="83">
        <v>3.8498999999999999E-3</v>
      </c>
      <c r="CN48" s="83">
        <v>1.79209</v>
      </c>
      <c r="CO48" s="83">
        <v>9.0754100000000004E-2</v>
      </c>
      <c r="CP48" s="83">
        <v>3.8498999999999999E-3</v>
      </c>
      <c r="CQ48" s="83">
        <v>1.7956399999999999</v>
      </c>
      <c r="CR48" s="83">
        <v>9.1046100000000005E-2</v>
      </c>
      <c r="CS48" s="83">
        <v>3.8498999999999999E-3</v>
      </c>
      <c r="CT48" s="83">
        <v>1.7942</v>
      </c>
      <c r="CU48" s="83">
        <v>9.1581399999999993E-2</v>
      </c>
      <c r="CV48" s="83">
        <v>3.8498999999999999E-3</v>
      </c>
      <c r="CW48" s="83">
        <v>1.76189</v>
      </c>
      <c r="CX48" s="83">
        <v>9.0119199999999997E-2</v>
      </c>
    </row>
    <row r="49" spans="1:102" x14ac:dyDescent="0.2">
      <c r="A49" s="83">
        <v>3.9499000000000001E-3</v>
      </c>
      <c r="B49" s="83">
        <v>1.2661199999999999</v>
      </c>
      <c r="C49" s="83">
        <v>8.4774500000000003E-2</v>
      </c>
      <c r="D49" s="83">
        <v>3.9499000000000001E-3</v>
      </c>
      <c r="E49" s="83">
        <v>1.3142</v>
      </c>
      <c r="F49" s="83">
        <v>8.5604399999999997E-2</v>
      </c>
      <c r="G49" s="83">
        <v>3.9499000000000001E-3</v>
      </c>
      <c r="H49" s="83">
        <v>1.3544400000000001</v>
      </c>
      <c r="I49" s="83">
        <v>8.6668499999999996E-2</v>
      </c>
      <c r="J49" s="83">
        <v>3.9499000000000001E-3</v>
      </c>
      <c r="K49" s="83">
        <v>1.3948799999999999</v>
      </c>
      <c r="L49" s="83">
        <v>8.6422200000000005E-2</v>
      </c>
      <c r="M49" s="83">
        <v>3.9499000000000001E-3</v>
      </c>
      <c r="N49" s="83">
        <v>1.40812</v>
      </c>
      <c r="O49" s="83">
        <v>8.5504499999999997E-2</v>
      </c>
      <c r="P49" s="83">
        <v>3.9499000000000001E-3</v>
      </c>
      <c r="Q49" s="83">
        <v>1.4329700000000001</v>
      </c>
      <c r="R49" s="83">
        <v>8.6210400000000006E-2</v>
      </c>
      <c r="S49" s="83">
        <v>3.9499000000000001E-3</v>
      </c>
      <c r="T49" s="83">
        <v>1.4567399999999999</v>
      </c>
      <c r="U49" s="83">
        <v>8.7035899999999999E-2</v>
      </c>
      <c r="V49" s="83">
        <v>3.9499000000000001E-3</v>
      </c>
      <c r="W49" s="83">
        <v>1.46529</v>
      </c>
      <c r="X49" s="83">
        <v>8.6056400000000005E-2</v>
      </c>
      <c r="Y49" s="83">
        <v>3.9499000000000001E-3</v>
      </c>
      <c r="Z49" s="83">
        <v>1.4762500000000001</v>
      </c>
      <c r="AA49" s="83">
        <v>8.5699499999999998E-2</v>
      </c>
      <c r="AB49" s="83">
        <v>3.9499000000000001E-3</v>
      </c>
      <c r="AC49" s="83">
        <v>1.49238</v>
      </c>
      <c r="AD49" s="83">
        <v>8.5434700000000002E-2</v>
      </c>
      <c r="AE49" s="83">
        <v>3.9499000000000001E-3</v>
      </c>
      <c r="AF49" s="83">
        <v>1.51657</v>
      </c>
      <c r="AG49" s="83">
        <v>8.6211899999999994E-2</v>
      </c>
      <c r="AH49" s="83">
        <v>3.9499000000000001E-3</v>
      </c>
      <c r="AI49" s="83">
        <v>1.52976</v>
      </c>
      <c r="AJ49" s="83">
        <v>8.6102999999999999E-2</v>
      </c>
      <c r="AK49" s="83">
        <v>3.9499000000000001E-3</v>
      </c>
      <c r="AL49" s="83">
        <v>1.5407599999999999</v>
      </c>
      <c r="AM49" s="83">
        <v>8.5964399999999996E-2</v>
      </c>
      <c r="AN49" s="83">
        <v>3.9499000000000001E-3</v>
      </c>
      <c r="AO49" s="83">
        <v>1.55515</v>
      </c>
      <c r="AP49" s="83">
        <v>8.6063500000000001E-2</v>
      </c>
      <c r="AQ49" s="83">
        <v>3.9499000000000001E-3</v>
      </c>
      <c r="AR49" s="83">
        <v>1.55803</v>
      </c>
      <c r="AS49" s="83">
        <v>8.5299899999999998E-2</v>
      </c>
      <c r="AT49" s="83">
        <v>3.9499000000000001E-3</v>
      </c>
      <c r="AU49" s="83">
        <v>1.5727599999999999</v>
      </c>
      <c r="AV49" s="83">
        <v>8.5442599999999994E-2</v>
      </c>
      <c r="AW49" s="83">
        <v>3.9499000000000001E-3</v>
      </c>
      <c r="AX49" s="83">
        <v>1.5852900000000001</v>
      </c>
      <c r="AY49" s="83">
        <v>8.5474700000000001E-2</v>
      </c>
      <c r="AZ49" s="83">
        <v>3.9499000000000001E-3</v>
      </c>
      <c r="BA49" s="83">
        <v>1.5912200000000001</v>
      </c>
      <c r="BB49" s="83">
        <v>8.5255200000000003E-2</v>
      </c>
      <c r="BC49" s="83">
        <v>3.9499000000000001E-3</v>
      </c>
      <c r="BD49" s="83">
        <v>1.62443</v>
      </c>
      <c r="BE49" s="83">
        <v>8.69698E-2</v>
      </c>
      <c r="BF49" s="83">
        <v>3.9499000000000001E-3</v>
      </c>
      <c r="BG49" s="83">
        <v>1.6389499999999999</v>
      </c>
      <c r="BH49" s="83">
        <v>8.7125099999999997E-2</v>
      </c>
      <c r="BI49" s="83">
        <v>3.9499000000000001E-3</v>
      </c>
      <c r="BJ49" s="83">
        <v>1.63609</v>
      </c>
      <c r="BK49" s="83">
        <v>8.6192599999999994E-2</v>
      </c>
      <c r="BL49" s="83">
        <v>3.9499000000000001E-3</v>
      </c>
      <c r="BM49" s="83">
        <v>1.63954</v>
      </c>
      <c r="BN49" s="83">
        <v>8.5612800000000003E-2</v>
      </c>
      <c r="BO49" s="83">
        <v>3.9499000000000001E-3</v>
      </c>
      <c r="BP49" s="83">
        <v>1.6473199999999999</v>
      </c>
      <c r="BQ49" s="83">
        <v>8.5539500000000004E-2</v>
      </c>
      <c r="BR49" s="83">
        <v>3.9499000000000001E-3</v>
      </c>
      <c r="BS49" s="83">
        <v>1.6612</v>
      </c>
      <c r="BT49" s="83">
        <v>8.5788000000000003E-2</v>
      </c>
      <c r="BU49" s="83">
        <v>3.9499000000000001E-3</v>
      </c>
      <c r="BV49" s="83">
        <v>1.6950499999999999</v>
      </c>
      <c r="BW49" s="83">
        <v>8.7349399999999994E-2</v>
      </c>
      <c r="BX49" s="83">
        <v>3.9499000000000001E-3</v>
      </c>
      <c r="BY49" s="83">
        <v>1.66974</v>
      </c>
      <c r="BZ49" s="83">
        <v>8.5129499999999997E-2</v>
      </c>
      <c r="CA49" s="83">
        <v>3.9499000000000001E-3</v>
      </c>
      <c r="CB49" s="83">
        <v>1.7238199999999999</v>
      </c>
      <c r="CC49" s="83">
        <v>8.7943099999999996E-2</v>
      </c>
      <c r="CD49" s="83">
        <v>3.9499000000000001E-3</v>
      </c>
      <c r="CE49" s="83">
        <v>1.68462</v>
      </c>
      <c r="CF49" s="83">
        <v>8.5114300000000004E-2</v>
      </c>
      <c r="CG49" s="83">
        <v>3.9499000000000001E-3</v>
      </c>
      <c r="CH49" s="83">
        <v>1.6958299999999999</v>
      </c>
      <c r="CI49" s="83">
        <v>8.54795E-2</v>
      </c>
      <c r="CJ49" s="83">
        <v>3.9499000000000001E-3</v>
      </c>
      <c r="CK49" s="83">
        <v>1.6914100000000001</v>
      </c>
      <c r="CL49" s="83">
        <v>8.4943699999999997E-2</v>
      </c>
      <c r="CM49" s="83">
        <v>3.9499000000000001E-3</v>
      </c>
      <c r="CN49" s="83">
        <v>1.7158800000000001</v>
      </c>
      <c r="CO49" s="83">
        <v>8.6179800000000001E-2</v>
      </c>
      <c r="CP49" s="83">
        <v>3.9499000000000001E-3</v>
      </c>
      <c r="CQ49" s="83">
        <v>1.7180899999999999</v>
      </c>
      <c r="CR49" s="83">
        <v>8.6487499999999995E-2</v>
      </c>
      <c r="CS49" s="83">
        <v>3.9499000000000001E-3</v>
      </c>
      <c r="CT49" s="83">
        <v>1.7149700000000001</v>
      </c>
      <c r="CU49" s="83">
        <v>8.6959400000000006E-2</v>
      </c>
      <c r="CV49" s="83">
        <v>3.9499000000000001E-3</v>
      </c>
      <c r="CW49" s="83">
        <v>1.6821699999999999</v>
      </c>
      <c r="CX49" s="83">
        <v>8.5560600000000001E-2</v>
      </c>
    </row>
    <row r="50" spans="1:102" x14ac:dyDescent="0.2">
      <c r="A50" s="83">
        <v>4.0499000000000004E-3</v>
      </c>
      <c r="B50" s="83">
        <v>1.2238599999999999</v>
      </c>
      <c r="C50" s="83">
        <v>8.0516699999999997E-2</v>
      </c>
      <c r="D50" s="83">
        <v>4.0499000000000004E-3</v>
      </c>
      <c r="E50" s="83">
        <v>1.27034</v>
      </c>
      <c r="F50" s="83">
        <v>8.1349500000000005E-2</v>
      </c>
      <c r="G50" s="83">
        <v>4.0499000000000004E-3</v>
      </c>
      <c r="H50" s="83">
        <v>1.30941</v>
      </c>
      <c r="I50" s="83">
        <v>8.2335500000000006E-2</v>
      </c>
      <c r="J50" s="83">
        <v>4.0499000000000004E-3</v>
      </c>
      <c r="K50" s="83">
        <v>1.34836</v>
      </c>
      <c r="L50" s="83">
        <v>8.2095000000000001E-2</v>
      </c>
      <c r="M50" s="83">
        <v>4.0499000000000004E-3</v>
      </c>
      <c r="N50" s="83">
        <v>1.3610800000000001</v>
      </c>
      <c r="O50" s="83">
        <v>8.1181199999999995E-2</v>
      </c>
      <c r="P50" s="83">
        <v>4.0499000000000004E-3</v>
      </c>
      <c r="Q50" s="83">
        <v>1.3853899999999999</v>
      </c>
      <c r="R50" s="83">
        <v>8.1850000000000006E-2</v>
      </c>
      <c r="S50" s="83">
        <v>4.0499000000000004E-3</v>
      </c>
      <c r="T50" s="83">
        <v>1.4080900000000001</v>
      </c>
      <c r="U50" s="83">
        <v>8.2667699999999997E-2</v>
      </c>
      <c r="V50" s="83">
        <v>4.0499000000000004E-3</v>
      </c>
      <c r="W50" s="83">
        <v>1.41614</v>
      </c>
      <c r="X50" s="83">
        <v>8.1746799999999994E-2</v>
      </c>
      <c r="Y50" s="83">
        <v>4.0499000000000004E-3</v>
      </c>
      <c r="Z50" s="83">
        <v>1.4262300000000001</v>
      </c>
      <c r="AA50" s="83">
        <v>8.1405599999999995E-2</v>
      </c>
      <c r="AB50" s="83">
        <v>4.0499000000000004E-3</v>
      </c>
      <c r="AC50" s="83">
        <v>1.44133</v>
      </c>
      <c r="AD50" s="83">
        <v>8.1146599999999999E-2</v>
      </c>
      <c r="AE50" s="83">
        <v>4.0499000000000004E-3</v>
      </c>
      <c r="AF50" s="83">
        <v>1.4649399999999999</v>
      </c>
      <c r="AG50" s="83">
        <v>8.1891599999999995E-2</v>
      </c>
      <c r="AH50" s="83">
        <v>4.0499000000000004E-3</v>
      </c>
      <c r="AI50" s="83">
        <v>1.4766999999999999</v>
      </c>
      <c r="AJ50" s="83">
        <v>8.17769E-2</v>
      </c>
      <c r="AK50" s="83">
        <v>4.0499000000000004E-3</v>
      </c>
      <c r="AL50" s="83">
        <v>1.4871099999999999</v>
      </c>
      <c r="AM50" s="83">
        <v>8.1658700000000001E-2</v>
      </c>
      <c r="AN50" s="83">
        <v>4.0499000000000004E-3</v>
      </c>
      <c r="AO50" s="83">
        <v>1.50081</v>
      </c>
      <c r="AP50" s="83">
        <v>8.1716899999999995E-2</v>
      </c>
      <c r="AQ50" s="83">
        <v>4.0499000000000004E-3</v>
      </c>
      <c r="AR50" s="83">
        <v>1.5031699999999999</v>
      </c>
      <c r="AS50" s="83">
        <v>8.1051799999999993E-2</v>
      </c>
      <c r="AT50" s="83">
        <v>4.0499000000000004E-3</v>
      </c>
      <c r="AU50" s="83">
        <v>1.5160800000000001</v>
      </c>
      <c r="AV50" s="83">
        <v>8.1164299999999995E-2</v>
      </c>
      <c r="AW50" s="83">
        <v>4.0499000000000004E-3</v>
      </c>
      <c r="AX50" s="83">
        <v>1.5279100000000001</v>
      </c>
      <c r="AY50" s="83">
        <v>8.1181699999999996E-2</v>
      </c>
      <c r="AZ50" s="83">
        <v>4.0499000000000004E-3</v>
      </c>
      <c r="BA50" s="83">
        <v>1.53302</v>
      </c>
      <c r="BB50" s="83">
        <v>8.0972000000000002E-2</v>
      </c>
      <c r="BC50" s="83">
        <v>4.0499000000000004E-3</v>
      </c>
      <c r="BD50" s="83">
        <v>1.56494</v>
      </c>
      <c r="BE50" s="83">
        <v>8.2572300000000001E-2</v>
      </c>
      <c r="BF50" s="83">
        <v>4.0499000000000004E-3</v>
      </c>
      <c r="BG50" s="83">
        <v>1.5783199999999999</v>
      </c>
      <c r="BH50" s="83">
        <v>8.2749100000000006E-2</v>
      </c>
      <c r="BI50" s="83">
        <v>4.0499000000000004E-3</v>
      </c>
      <c r="BJ50" s="83">
        <v>1.57507</v>
      </c>
      <c r="BK50" s="83">
        <v>8.1862500000000005E-2</v>
      </c>
      <c r="BL50" s="83">
        <v>4.0499000000000004E-3</v>
      </c>
      <c r="BM50" s="83">
        <v>1.57681</v>
      </c>
      <c r="BN50" s="83">
        <v>8.1307099999999993E-2</v>
      </c>
      <c r="BO50" s="83">
        <v>4.0499000000000004E-3</v>
      </c>
      <c r="BP50" s="83">
        <v>1.58375</v>
      </c>
      <c r="BQ50" s="83">
        <v>8.1216200000000002E-2</v>
      </c>
      <c r="BR50" s="83">
        <v>4.0499000000000004E-3</v>
      </c>
      <c r="BS50" s="83">
        <v>1.5967100000000001</v>
      </c>
      <c r="BT50" s="83">
        <v>8.15028E-2</v>
      </c>
      <c r="BU50" s="83">
        <v>4.0499000000000004E-3</v>
      </c>
      <c r="BV50" s="83">
        <v>1.62843</v>
      </c>
      <c r="BW50" s="83">
        <v>8.2958799999999999E-2</v>
      </c>
      <c r="BX50" s="83">
        <v>4.0499000000000004E-3</v>
      </c>
      <c r="BY50" s="83">
        <v>1.6031500000000001</v>
      </c>
      <c r="BZ50" s="83">
        <v>8.0888199999999993E-2</v>
      </c>
      <c r="CA50" s="83">
        <v>4.0499000000000004E-3</v>
      </c>
      <c r="CB50" s="83">
        <v>1.6545099999999999</v>
      </c>
      <c r="CC50" s="83">
        <v>8.3558400000000005E-2</v>
      </c>
      <c r="CD50" s="83">
        <v>4.0499000000000004E-3</v>
      </c>
      <c r="CE50" s="83">
        <v>1.61537</v>
      </c>
      <c r="CF50" s="83">
        <v>8.0842800000000006E-2</v>
      </c>
      <c r="CG50" s="83">
        <v>4.0499000000000004E-3</v>
      </c>
      <c r="CH50" s="83">
        <v>1.6254</v>
      </c>
      <c r="CI50" s="83">
        <v>8.1178700000000006E-2</v>
      </c>
      <c r="CJ50" s="83">
        <v>4.0499000000000004E-3</v>
      </c>
      <c r="CK50" s="83">
        <v>1.6198900000000001</v>
      </c>
      <c r="CL50" s="83">
        <v>8.0690799999999993E-2</v>
      </c>
      <c r="CM50" s="83">
        <v>4.0499000000000004E-3</v>
      </c>
      <c r="CN50" s="83">
        <v>1.6419999999999999</v>
      </c>
      <c r="CO50" s="83">
        <v>8.1846799999999997E-2</v>
      </c>
      <c r="CP50" s="83">
        <v>4.0499000000000004E-3</v>
      </c>
      <c r="CQ50" s="83">
        <v>1.6431500000000001</v>
      </c>
      <c r="CR50" s="83">
        <v>8.2142800000000002E-2</v>
      </c>
      <c r="CS50" s="83">
        <v>4.0499000000000004E-3</v>
      </c>
      <c r="CT50" s="83">
        <v>1.6386799999999999</v>
      </c>
      <c r="CU50" s="83">
        <v>8.2590200000000003E-2</v>
      </c>
      <c r="CV50" s="83">
        <v>4.0499000000000004E-3</v>
      </c>
      <c r="CW50" s="83">
        <v>1.60459</v>
      </c>
      <c r="CX50" s="83">
        <v>8.1259799999999993E-2</v>
      </c>
    </row>
    <row r="51" spans="1:102" x14ac:dyDescent="0.2">
      <c r="A51" s="83">
        <v>4.1498999999999998E-3</v>
      </c>
      <c r="B51" s="83">
        <v>1.18249</v>
      </c>
      <c r="C51" s="83">
        <v>7.6509900000000006E-2</v>
      </c>
      <c r="D51" s="83">
        <v>4.1498999999999998E-3</v>
      </c>
      <c r="E51" s="83">
        <v>1.22743</v>
      </c>
      <c r="F51" s="83">
        <v>7.7323100000000006E-2</v>
      </c>
      <c r="G51" s="83">
        <v>4.1498999999999998E-3</v>
      </c>
      <c r="H51" s="83">
        <v>1.26525</v>
      </c>
      <c r="I51" s="83">
        <v>7.8278899999999998E-2</v>
      </c>
      <c r="J51" s="83">
        <v>4.1498999999999998E-3</v>
      </c>
      <c r="K51" s="83">
        <v>1.3032900000000001</v>
      </c>
      <c r="L51" s="83">
        <v>7.7982700000000002E-2</v>
      </c>
      <c r="M51" s="83">
        <v>4.1498999999999998E-3</v>
      </c>
      <c r="N51" s="83">
        <v>1.31541</v>
      </c>
      <c r="O51" s="83">
        <v>7.71646E-2</v>
      </c>
      <c r="P51" s="83">
        <v>4.1498999999999998E-3</v>
      </c>
      <c r="Q51" s="83">
        <v>1.3383</v>
      </c>
      <c r="R51" s="83">
        <v>7.7792399999999998E-2</v>
      </c>
      <c r="S51" s="83">
        <v>4.1498999999999998E-3</v>
      </c>
      <c r="T51" s="83">
        <v>1.3606499999999999</v>
      </c>
      <c r="U51" s="83">
        <v>7.8549499999999994E-2</v>
      </c>
      <c r="V51" s="83">
        <v>4.1498999999999998E-3</v>
      </c>
      <c r="W51" s="83">
        <v>1.3677699999999999</v>
      </c>
      <c r="X51" s="83">
        <v>7.7676499999999996E-2</v>
      </c>
      <c r="Y51" s="83">
        <v>4.1498999999999998E-3</v>
      </c>
      <c r="Z51" s="83">
        <v>1.3776600000000001</v>
      </c>
      <c r="AA51" s="83">
        <v>7.7373399999999995E-2</v>
      </c>
      <c r="AB51" s="83">
        <v>4.1498999999999998E-3</v>
      </c>
      <c r="AC51" s="83">
        <v>1.39184</v>
      </c>
      <c r="AD51" s="83">
        <v>7.7138799999999993E-2</v>
      </c>
      <c r="AE51" s="83">
        <v>4.1498999999999998E-3</v>
      </c>
      <c r="AF51" s="83">
        <v>1.4140200000000001</v>
      </c>
      <c r="AG51" s="83">
        <v>7.7825199999999997E-2</v>
      </c>
      <c r="AH51" s="83">
        <v>4.1498999999999998E-3</v>
      </c>
      <c r="AI51" s="83">
        <v>1.4243399999999999</v>
      </c>
      <c r="AJ51" s="83">
        <v>7.7709500000000001E-2</v>
      </c>
      <c r="AK51" s="83">
        <v>4.1498999999999998E-3</v>
      </c>
      <c r="AL51" s="83">
        <v>1.4347099999999999</v>
      </c>
      <c r="AM51" s="83">
        <v>7.7589400000000003E-2</v>
      </c>
      <c r="AN51" s="83">
        <v>4.1498999999999998E-3</v>
      </c>
      <c r="AO51" s="83">
        <v>1.44696</v>
      </c>
      <c r="AP51" s="83">
        <v>7.7697299999999997E-2</v>
      </c>
      <c r="AQ51" s="83">
        <v>4.1498999999999998E-3</v>
      </c>
      <c r="AR51" s="83">
        <v>1.44896</v>
      </c>
      <c r="AS51" s="83">
        <v>7.7028399999999997E-2</v>
      </c>
      <c r="AT51" s="83">
        <v>4.1498999999999998E-3</v>
      </c>
      <c r="AU51" s="83">
        <v>1.4613799999999999</v>
      </c>
      <c r="AV51" s="83">
        <v>7.7120300000000003E-2</v>
      </c>
      <c r="AW51" s="83">
        <v>4.1498999999999998E-3</v>
      </c>
      <c r="AX51" s="83">
        <v>1.472</v>
      </c>
      <c r="AY51" s="83">
        <v>7.7157299999999998E-2</v>
      </c>
      <c r="AZ51" s="83">
        <v>4.1498999999999998E-3</v>
      </c>
      <c r="BA51" s="83">
        <v>1.4763999999999999</v>
      </c>
      <c r="BB51" s="83">
        <v>7.6964099999999994E-2</v>
      </c>
      <c r="BC51" s="83">
        <v>4.1498999999999998E-3</v>
      </c>
      <c r="BD51" s="83">
        <v>1.50667</v>
      </c>
      <c r="BE51" s="83">
        <v>7.8479599999999997E-2</v>
      </c>
      <c r="BF51" s="83">
        <v>4.1498999999999998E-3</v>
      </c>
      <c r="BG51" s="83">
        <v>1.5188200000000001</v>
      </c>
      <c r="BH51" s="83">
        <v>7.8626100000000004E-2</v>
      </c>
      <c r="BI51" s="83">
        <v>4.1498999999999998E-3</v>
      </c>
      <c r="BJ51" s="83">
        <v>1.5147200000000001</v>
      </c>
      <c r="BK51" s="83">
        <v>7.7792200000000006E-2</v>
      </c>
      <c r="BL51" s="83">
        <v>4.1498999999999998E-3</v>
      </c>
      <c r="BM51" s="83">
        <v>1.5160899999999999</v>
      </c>
      <c r="BN51" s="83">
        <v>7.7291499999999999E-2</v>
      </c>
      <c r="BO51" s="83">
        <v>4.1498999999999998E-3</v>
      </c>
      <c r="BP51" s="83">
        <v>1.5217499999999999</v>
      </c>
      <c r="BQ51" s="83">
        <v>7.7189800000000003E-2</v>
      </c>
      <c r="BR51" s="83">
        <v>4.1498999999999998E-3</v>
      </c>
      <c r="BS51" s="83">
        <v>1.5335799999999999</v>
      </c>
      <c r="BT51" s="83">
        <v>7.7471600000000002E-2</v>
      </c>
      <c r="BU51" s="83">
        <v>4.1498999999999998E-3</v>
      </c>
      <c r="BV51" s="83">
        <v>1.5630900000000001</v>
      </c>
      <c r="BW51" s="83">
        <v>7.8826999999999994E-2</v>
      </c>
      <c r="BX51" s="83">
        <v>4.1498999999999998E-3</v>
      </c>
      <c r="BY51" s="83">
        <v>1.5378499999999999</v>
      </c>
      <c r="BZ51" s="83">
        <v>7.6849200000000006E-2</v>
      </c>
      <c r="CA51" s="83">
        <v>4.1498999999999998E-3</v>
      </c>
      <c r="CB51" s="83">
        <v>1.5871200000000001</v>
      </c>
      <c r="CC51" s="83">
        <v>7.9380599999999996E-2</v>
      </c>
      <c r="CD51" s="83">
        <v>4.1498999999999998E-3</v>
      </c>
      <c r="CE51" s="83">
        <v>1.5477300000000001</v>
      </c>
      <c r="CF51" s="83">
        <v>7.6851600000000006E-2</v>
      </c>
      <c r="CG51" s="83">
        <v>4.1498999999999998E-3</v>
      </c>
      <c r="CH51" s="83">
        <v>1.5563499999999999</v>
      </c>
      <c r="CI51" s="83">
        <v>7.7168899999999999E-2</v>
      </c>
      <c r="CJ51" s="83">
        <v>4.1498999999999998E-3</v>
      </c>
      <c r="CK51" s="83">
        <v>1.5499499999999999</v>
      </c>
      <c r="CL51" s="83">
        <v>7.6685000000000003E-2</v>
      </c>
      <c r="CM51" s="83">
        <v>4.1498999999999998E-3</v>
      </c>
      <c r="CN51" s="83">
        <v>1.5701400000000001</v>
      </c>
      <c r="CO51" s="83">
        <v>7.7762899999999996E-2</v>
      </c>
      <c r="CP51" s="83">
        <v>4.1498999999999998E-3</v>
      </c>
      <c r="CQ51" s="83">
        <v>1.57023</v>
      </c>
      <c r="CR51" s="83">
        <v>7.8082299999999993E-2</v>
      </c>
      <c r="CS51" s="83">
        <v>4.1498999999999998E-3</v>
      </c>
      <c r="CT51" s="83">
        <v>1.5647</v>
      </c>
      <c r="CU51" s="83">
        <v>7.8460299999999997E-2</v>
      </c>
      <c r="CV51" s="83">
        <v>4.1498999999999998E-3</v>
      </c>
      <c r="CW51" s="83">
        <v>1.5302500000000001</v>
      </c>
      <c r="CX51" s="83">
        <v>7.7222700000000005E-2</v>
      </c>
    </row>
    <row r="52" spans="1:102" x14ac:dyDescent="0.2">
      <c r="A52" s="83">
        <v>4.2499E-3</v>
      </c>
      <c r="B52" s="83">
        <v>1.1417299999999999</v>
      </c>
      <c r="C52" s="83">
        <v>7.2720800000000002E-2</v>
      </c>
      <c r="D52" s="83">
        <v>4.2499E-3</v>
      </c>
      <c r="E52" s="83">
        <v>1.18628</v>
      </c>
      <c r="F52" s="83">
        <v>7.3501800000000006E-2</v>
      </c>
      <c r="G52" s="83">
        <v>4.2499E-3</v>
      </c>
      <c r="H52" s="83">
        <v>1.2224699999999999</v>
      </c>
      <c r="I52" s="83">
        <v>7.4371599999999996E-2</v>
      </c>
      <c r="J52" s="83">
        <v>4.2499E-3</v>
      </c>
      <c r="K52" s="83">
        <v>1.25895</v>
      </c>
      <c r="L52" s="83">
        <v>7.4102799999999996E-2</v>
      </c>
      <c r="M52" s="83">
        <v>4.2499E-3</v>
      </c>
      <c r="N52" s="83">
        <v>1.2697000000000001</v>
      </c>
      <c r="O52" s="83">
        <v>7.3335499999999998E-2</v>
      </c>
      <c r="P52" s="83">
        <v>4.2499E-3</v>
      </c>
      <c r="Q52" s="83">
        <v>1.29277</v>
      </c>
      <c r="R52" s="83">
        <v>7.3918399999999995E-2</v>
      </c>
      <c r="S52" s="83">
        <v>4.2499E-3</v>
      </c>
      <c r="T52" s="83">
        <v>1.31393</v>
      </c>
      <c r="U52" s="83">
        <v>7.46589E-2</v>
      </c>
      <c r="V52" s="83">
        <v>4.2499E-3</v>
      </c>
      <c r="W52" s="83">
        <v>1.32081</v>
      </c>
      <c r="X52" s="83">
        <v>7.3813199999999995E-2</v>
      </c>
      <c r="Y52" s="83">
        <v>4.2499E-3</v>
      </c>
      <c r="Z52" s="83">
        <v>1.33</v>
      </c>
      <c r="AA52" s="83">
        <v>7.3543300000000006E-2</v>
      </c>
      <c r="AB52" s="83">
        <v>4.2499E-3</v>
      </c>
      <c r="AC52" s="83">
        <v>1.3435600000000001</v>
      </c>
      <c r="AD52" s="83">
        <v>7.3309700000000005E-2</v>
      </c>
      <c r="AE52" s="83">
        <v>4.2499E-3</v>
      </c>
      <c r="AF52" s="83">
        <v>1.3646400000000001</v>
      </c>
      <c r="AG52" s="83">
        <v>7.39707E-2</v>
      </c>
      <c r="AH52" s="83">
        <v>4.2499E-3</v>
      </c>
      <c r="AI52" s="83">
        <v>1.3741399999999999</v>
      </c>
      <c r="AJ52" s="83">
        <v>7.38452E-2</v>
      </c>
      <c r="AK52" s="83">
        <v>4.2499E-3</v>
      </c>
      <c r="AL52" s="83">
        <v>1.38463</v>
      </c>
      <c r="AM52" s="83">
        <v>7.3786599999999994E-2</v>
      </c>
      <c r="AN52" s="83">
        <v>4.2499E-3</v>
      </c>
      <c r="AO52" s="83">
        <v>1.3955</v>
      </c>
      <c r="AP52" s="83">
        <v>7.3833999999999997E-2</v>
      </c>
      <c r="AQ52" s="83">
        <v>4.2499E-3</v>
      </c>
      <c r="AR52" s="83">
        <v>1.39669</v>
      </c>
      <c r="AS52" s="83">
        <v>7.3200200000000007E-2</v>
      </c>
      <c r="AT52" s="83">
        <v>4.2499E-3</v>
      </c>
      <c r="AU52" s="83">
        <v>1.4082399999999999</v>
      </c>
      <c r="AV52" s="83">
        <v>7.3307800000000006E-2</v>
      </c>
      <c r="AW52" s="83">
        <v>4.2499E-3</v>
      </c>
      <c r="AX52" s="83">
        <v>1.4173899999999999</v>
      </c>
      <c r="AY52" s="83">
        <v>7.3329199999999997E-2</v>
      </c>
      <c r="AZ52" s="83">
        <v>4.2499E-3</v>
      </c>
      <c r="BA52" s="83">
        <v>1.4214199999999999</v>
      </c>
      <c r="BB52" s="83">
        <v>7.3145799999999997E-2</v>
      </c>
      <c r="BC52" s="83">
        <v>4.2499E-3</v>
      </c>
      <c r="BD52" s="83">
        <v>1.4496100000000001</v>
      </c>
      <c r="BE52" s="83">
        <v>7.4558700000000006E-2</v>
      </c>
      <c r="BF52" s="83">
        <v>4.2499E-3</v>
      </c>
      <c r="BG52" s="83">
        <v>1.46122</v>
      </c>
      <c r="BH52" s="83">
        <v>7.47472E-2</v>
      </c>
      <c r="BI52" s="83">
        <v>4.2499E-3</v>
      </c>
      <c r="BJ52" s="83">
        <v>1.4561299999999999</v>
      </c>
      <c r="BK52" s="83">
        <v>7.39065E-2</v>
      </c>
      <c r="BL52" s="83">
        <v>4.2499E-3</v>
      </c>
      <c r="BM52" s="83">
        <v>1.4565999999999999</v>
      </c>
      <c r="BN52" s="83">
        <v>7.34292E-2</v>
      </c>
      <c r="BO52" s="83">
        <v>4.2499E-3</v>
      </c>
      <c r="BP52" s="83">
        <v>1.46113</v>
      </c>
      <c r="BQ52" s="83">
        <v>7.3366600000000004E-2</v>
      </c>
      <c r="BR52" s="83">
        <v>4.2499E-3</v>
      </c>
      <c r="BS52" s="83">
        <v>1.4727300000000001</v>
      </c>
      <c r="BT52" s="83">
        <v>7.3663000000000006E-2</v>
      </c>
      <c r="BU52" s="83">
        <v>4.2499E-3</v>
      </c>
      <c r="BV52" s="83">
        <v>1.50017</v>
      </c>
      <c r="BW52" s="83">
        <v>7.4909000000000003E-2</v>
      </c>
      <c r="BX52" s="83">
        <v>4.2499E-3</v>
      </c>
      <c r="BY52" s="83">
        <v>1.47437</v>
      </c>
      <c r="BZ52" s="83">
        <v>7.3047399999999998E-2</v>
      </c>
      <c r="CA52" s="83">
        <v>4.2499E-3</v>
      </c>
      <c r="CB52" s="83">
        <v>1.52128</v>
      </c>
      <c r="CC52" s="83">
        <v>7.5465599999999994E-2</v>
      </c>
      <c r="CD52" s="83">
        <v>4.2499E-3</v>
      </c>
      <c r="CE52" s="83">
        <v>1.4815499999999999</v>
      </c>
      <c r="CF52" s="83">
        <v>7.3039099999999996E-2</v>
      </c>
      <c r="CG52" s="83">
        <v>4.2499E-3</v>
      </c>
      <c r="CH52" s="83">
        <v>1.48933</v>
      </c>
      <c r="CI52" s="83">
        <v>7.3346700000000001E-2</v>
      </c>
      <c r="CJ52" s="83">
        <v>4.2499E-3</v>
      </c>
      <c r="CK52" s="83">
        <v>1.48227</v>
      </c>
      <c r="CL52" s="83">
        <v>7.2889099999999998E-2</v>
      </c>
      <c r="CM52" s="83">
        <v>4.2499E-3</v>
      </c>
      <c r="CN52" s="83">
        <v>1.50095</v>
      </c>
      <c r="CO52" s="83">
        <v>7.3903499999999997E-2</v>
      </c>
      <c r="CP52" s="83">
        <v>4.2499E-3</v>
      </c>
      <c r="CQ52" s="83">
        <v>1.4991699999999999</v>
      </c>
      <c r="CR52" s="83">
        <v>7.4190699999999998E-2</v>
      </c>
      <c r="CS52" s="83">
        <v>4.2499E-3</v>
      </c>
      <c r="CT52" s="83">
        <v>1.49291</v>
      </c>
      <c r="CU52" s="83">
        <v>7.4556999999999998E-2</v>
      </c>
      <c r="CV52" s="83">
        <v>4.2499E-3</v>
      </c>
      <c r="CW52" s="83">
        <v>1.4574800000000001</v>
      </c>
      <c r="CX52" s="83">
        <v>7.3377999999999999E-2</v>
      </c>
    </row>
    <row r="53" spans="1:102" x14ac:dyDescent="0.2">
      <c r="A53" s="83">
        <v>4.3499000000000003E-3</v>
      </c>
      <c r="B53" s="83">
        <v>1.1024400000000001</v>
      </c>
      <c r="C53" s="83">
        <v>6.91359E-2</v>
      </c>
      <c r="D53" s="83">
        <v>4.3499000000000003E-3</v>
      </c>
      <c r="E53" s="83">
        <v>1.1455</v>
      </c>
      <c r="F53" s="83">
        <v>6.99013E-2</v>
      </c>
      <c r="G53" s="83">
        <v>4.3499000000000003E-3</v>
      </c>
      <c r="H53" s="83">
        <v>1.18068</v>
      </c>
      <c r="I53" s="83">
        <v>7.0731000000000002E-2</v>
      </c>
      <c r="J53" s="83">
        <v>4.3499000000000003E-3</v>
      </c>
      <c r="K53" s="83">
        <v>1.2151099999999999</v>
      </c>
      <c r="L53" s="83">
        <v>7.0465100000000003E-2</v>
      </c>
      <c r="M53" s="83">
        <v>4.3499000000000003E-3</v>
      </c>
      <c r="N53" s="83">
        <v>1.2257</v>
      </c>
      <c r="O53" s="83">
        <v>6.9715399999999997E-2</v>
      </c>
      <c r="P53" s="83">
        <v>4.3499000000000003E-3</v>
      </c>
      <c r="Q53" s="83">
        <v>1.24796</v>
      </c>
      <c r="R53" s="83">
        <v>7.02787E-2</v>
      </c>
      <c r="S53" s="83">
        <v>4.3499000000000003E-3</v>
      </c>
      <c r="T53" s="83">
        <v>1.26858</v>
      </c>
      <c r="U53" s="83">
        <v>7.0986999999999995E-2</v>
      </c>
      <c r="V53" s="83">
        <v>4.3499000000000003E-3</v>
      </c>
      <c r="W53" s="83">
        <v>1.2747299999999999</v>
      </c>
      <c r="X53" s="83">
        <v>7.0192099999999993E-2</v>
      </c>
      <c r="Y53" s="83">
        <v>4.3499000000000003E-3</v>
      </c>
      <c r="Z53" s="83">
        <v>1.2832399999999999</v>
      </c>
      <c r="AA53" s="83">
        <v>6.9947599999999999E-2</v>
      </c>
      <c r="AB53" s="83">
        <v>4.3499000000000003E-3</v>
      </c>
      <c r="AC53" s="83">
        <v>1.29555</v>
      </c>
      <c r="AD53" s="83">
        <v>6.9706199999999996E-2</v>
      </c>
      <c r="AE53" s="83">
        <v>4.3499000000000003E-3</v>
      </c>
      <c r="AF53" s="83">
        <v>1.3163499999999999</v>
      </c>
      <c r="AG53" s="83">
        <v>7.0324200000000003E-2</v>
      </c>
      <c r="AH53" s="83">
        <v>4.3499000000000003E-3</v>
      </c>
      <c r="AI53" s="83">
        <v>1.3252900000000001</v>
      </c>
      <c r="AJ53" s="83">
        <v>7.0209499999999994E-2</v>
      </c>
      <c r="AK53" s="83">
        <v>4.3499000000000003E-3</v>
      </c>
      <c r="AL53" s="83">
        <v>1.33423</v>
      </c>
      <c r="AM53" s="83">
        <v>7.0139199999999999E-2</v>
      </c>
      <c r="AN53" s="83">
        <v>4.3499000000000003E-3</v>
      </c>
      <c r="AO53" s="83">
        <v>1.3441399999999999</v>
      </c>
      <c r="AP53" s="83">
        <v>7.0198300000000005E-2</v>
      </c>
      <c r="AQ53" s="83">
        <v>4.3499000000000003E-3</v>
      </c>
      <c r="AR53" s="83">
        <v>1.34534</v>
      </c>
      <c r="AS53" s="83">
        <v>6.9619200000000006E-2</v>
      </c>
      <c r="AT53" s="83">
        <v>4.3499000000000003E-3</v>
      </c>
      <c r="AU53" s="83">
        <v>1.35598</v>
      </c>
      <c r="AV53" s="83">
        <v>6.9706299999999999E-2</v>
      </c>
      <c r="AW53" s="83">
        <v>4.3499000000000003E-3</v>
      </c>
      <c r="AX53" s="83">
        <v>1.36436</v>
      </c>
      <c r="AY53" s="83">
        <v>6.9721699999999998E-2</v>
      </c>
      <c r="AZ53" s="83">
        <v>4.3499000000000003E-3</v>
      </c>
      <c r="BA53" s="83">
        <v>1.3680099999999999</v>
      </c>
      <c r="BB53" s="83">
        <v>6.9586200000000001E-2</v>
      </c>
      <c r="BC53" s="83">
        <v>4.3499000000000003E-3</v>
      </c>
      <c r="BD53" s="83">
        <v>1.39436</v>
      </c>
      <c r="BE53" s="83">
        <v>7.0905300000000004E-2</v>
      </c>
      <c r="BF53" s="83">
        <v>4.3499000000000003E-3</v>
      </c>
      <c r="BG53" s="83">
        <v>1.4049</v>
      </c>
      <c r="BH53" s="83">
        <v>7.1059700000000003E-2</v>
      </c>
      <c r="BI53" s="83">
        <v>4.3499000000000003E-3</v>
      </c>
      <c r="BJ53" s="83">
        <v>1.3995299999999999</v>
      </c>
      <c r="BK53" s="83">
        <v>7.0278599999999997E-2</v>
      </c>
      <c r="BL53" s="83">
        <v>4.3499000000000003E-3</v>
      </c>
      <c r="BM53" s="83">
        <v>1.39923</v>
      </c>
      <c r="BN53" s="83">
        <v>6.9828600000000005E-2</v>
      </c>
      <c r="BO53" s="83">
        <v>4.3499000000000003E-3</v>
      </c>
      <c r="BP53" s="83">
        <v>1.4028</v>
      </c>
      <c r="BQ53" s="83">
        <v>6.9781599999999999E-2</v>
      </c>
      <c r="BR53" s="83">
        <v>4.3499000000000003E-3</v>
      </c>
      <c r="BS53" s="83">
        <v>1.41309</v>
      </c>
      <c r="BT53" s="83">
        <v>7.0047799999999993E-2</v>
      </c>
      <c r="BU53" s="83">
        <v>4.3499000000000003E-3</v>
      </c>
      <c r="BV53" s="83">
        <v>1.4389099999999999</v>
      </c>
      <c r="BW53" s="83">
        <v>7.1214700000000006E-2</v>
      </c>
      <c r="BX53" s="83">
        <v>4.3499000000000003E-3</v>
      </c>
      <c r="BY53" s="83">
        <v>1.41351</v>
      </c>
      <c r="BZ53" s="83">
        <v>6.9470299999999999E-2</v>
      </c>
      <c r="CA53" s="83">
        <v>4.3499000000000003E-3</v>
      </c>
      <c r="CB53" s="83">
        <v>1.4571099999999999</v>
      </c>
      <c r="CC53" s="83">
        <v>7.1732199999999996E-2</v>
      </c>
      <c r="CD53" s="83">
        <v>4.3499000000000003E-3</v>
      </c>
      <c r="CE53" s="83">
        <v>1.41801</v>
      </c>
      <c r="CF53" s="83">
        <v>6.9459099999999996E-2</v>
      </c>
      <c r="CG53" s="83">
        <v>4.3499000000000003E-3</v>
      </c>
      <c r="CH53" s="83">
        <v>1.42472</v>
      </c>
      <c r="CI53" s="83">
        <v>6.9747100000000006E-2</v>
      </c>
      <c r="CJ53" s="83">
        <v>4.3499000000000003E-3</v>
      </c>
      <c r="CK53" s="83">
        <v>1.41648</v>
      </c>
      <c r="CL53" s="83">
        <v>6.9317799999999999E-2</v>
      </c>
      <c r="CM53" s="83">
        <v>4.3499000000000003E-3</v>
      </c>
      <c r="CN53" s="83">
        <v>1.4333199999999999</v>
      </c>
      <c r="CO53" s="83">
        <v>7.0290199999999997E-2</v>
      </c>
      <c r="CP53" s="83">
        <v>4.3499000000000003E-3</v>
      </c>
      <c r="CQ53" s="83">
        <v>1.4304399999999999</v>
      </c>
      <c r="CR53" s="83">
        <v>7.0554000000000006E-2</v>
      </c>
      <c r="CS53" s="83">
        <v>4.3499000000000003E-3</v>
      </c>
      <c r="CT53" s="83">
        <v>1.4229000000000001</v>
      </c>
      <c r="CU53" s="83">
        <v>7.0889099999999997E-2</v>
      </c>
      <c r="CV53" s="83">
        <v>4.3499000000000003E-3</v>
      </c>
      <c r="CW53" s="83">
        <v>1.3880300000000001</v>
      </c>
      <c r="CX53" s="83">
        <v>6.9776400000000002E-2</v>
      </c>
    </row>
    <row r="54" spans="1:102" x14ac:dyDescent="0.2">
      <c r="A54" s="83">
        <v>4.4498999999999997E-3</v>
      </c>
      <c r="B54" s="83">
        <v>1.0643199999999999</v>
      </c>
      <c r="C54" s="83">
        <v>6.5741300000000003E-2</v>
      </c>
      <c r="D54" s="83">
        <v>4.4498999999999997E-3</v>
      </c>
      <c r="E54" s="83">
        <v>1.10605</v>
      </c>
      <c r="F54" s="83">
        <v>6.6485199999999994E-2</v>
      </c>
      <c r="G54" s="83">
        <v>4.4498999999999997E-3</v>
      </c>
      <c r="H54" s="83">
        <v>1.1395</v>
      </c>
      <c r="I54" s="83">
        <v>6.7264199999999996E-2</v>
      </c>
      <c r="J54" s="83">
        <v>4.4498999999999997E-3</v>
      </c>
      <c r="K54" s="83">
        <v>1.1725699999999999</v>
      </c>
      <c r="L54" s="83">
        <v>6.6996399999999998E-2</v>
      </c>
      <c r="M54" s="83">
        <v>4.4498999999999997E-3</v>
      </c>
      <c r="N54" s="83">
        <v>1.18313</v>
      </c>
      <c r="O54" s="83">
        <v>6.6287700000000005E-2</v>
      </c>
      <c r="P54" s="83">
        <v>4.4498999999999997E-3</v>
      </c>
      <c r="Q54" s="83">
        <v>1.2040599999999999</v>
      </c>
      <c r="R54" s="83">
        <v>6.6850000000000007E-2</v>
      </c>
      <c r="S54" s="83">
        <v>4.4498999999999997E-3</v>
      </c>
      <c r="T54" s="83">
        <v>1.2239800000000001</v>
      </c>
      <c r="U54" s="83">
        <v>6.7499699999999996E-2</v>
      </c>
      <c r="V54" s="83">
        <v>4.4498999999999997E-3</v>
      </c>
      <c r="W54" s="83">
        <v>1.22953</v>
      </c>
      <c r="X54" s="83">
        <v>6.6751699999999997E-2</v>
      </c>
      <c r="Y54" s="83">
        <v>4.4498999999999997E-3</v>
      </c>
      <c r="Z54" s="83">
        <v>1.2379</v>
      </c>
      <c r="AA54" s="83">
        <v>6.6519800000000004E-2</v>
      </c>
      <c r="AB54" s="83">
        <v>4.4498999999999997E-3</v>
      </c>
      <c r="AC54" s="83">
        <v>1.2493000000000001</v>
      </c>
      <c r="AD54" s="83">
        <v>6.6297999999999996E-2</v>
      </c>
      <c r="AE54" s="83">
        <v>4.4498999999999997E-3</v>
      </c>
      <c r="AF54" s="83">
        <v>1.2690600000000001</v>
      </c>
      <c r="AG54" s="83">
        <v>6.6879900000000006E-2</v>
      </c>
      <c r="AH54" s="83">
        <v>4.4498999999999997E-3</v>
      </c>
      <c r="AI54" s="83">
        <v>1.2767599999999999</v>
      </c>
      <c r="AJ54" s="83">
        <v>6.6769999999999996E-2</v>
      </c>
      <c r="AK54" s="83">
        <v>4.4498999999999997E-3</v>
      </c>
      <c r="AL54" s="83">
        <v>1.2855700000000001</v>
      </c>
      <c r="AM54" s="83">
        <v>6.6728999999999997E-2</v>
      </c>
      <c r="AN54" s="83">
        <v>4.4498999999999997E-3</v>
      </c>
      <c r="AO54" s="83">
        <v>1.29487</v>
      </c>
      <c r="AP54" s="83">
        <v>6.67735E-2</v>
      </c>
      <c r="AQ54" s="83">
        <v>4.4498999999999997E-3</v>
      </c>
      <c r="AR54" s="83">
        <v>1.2954699999999999</v>
      </c>
      <c r="AS54" s="83">
        <v>6.6213900000000006E-2</v>
      </c>
      <c r="AT54" s="83">
        <v>4.4498999999999997E-3</v>
      </c>
      <c r="AU54" s="83">
        <v>1.30481</v>
      </c>
      <c r="AV54" s="83">
        <v>6.6303899999999999E-2</v>
      </c>
      <c r="AW54" s="83">
        <v>4.4498999999999997E-3</v>
      </c>
      <c r="AX54" s="83">
        <v>1.31227</v>
      </c>
      <c r="AY54" s="83">
        <v>6.6308699999999998E-2</v>
      </c>
      <c r="AZ54" s="83">
        <v>4.4498999999999997E-3</v>
      </c>
      <c r="BA54" s="83">
        <v>1.31494</v>
      </c>
      <c r="BB54" s="83">
        <v>6.6170199999999998E-2</v>
      </c>
      <c r="BC54" s="83">
        <v>4.4498999999999997E-3</v>
      </c>
      <c r="BD54" s="83">
        <v>1.3406899999999999</v>
      </c>
      <c r="BE54" s="83">
        <v>6.7438600000000001E-2</v>
      </c>
      <c r="BF54" s="83">
        <v>4.4498999999999997E-3</v>
      </c>
      <c r="BG54" s="83">
        <v>1.3502099999999999</v>
      </c>
      <c r="BH54" s="83">
        <v>6.7561599999999999E-2</v>
      </c>
      <c r="BI54" s="83">
        <v>4.4498999999999997E-3</v>
      </c>
      <c r="BJ54" s="83">
        <v>1.3442000000000001</v>
      </c>
      <c r="BK54" s="83">
        <v>6.6833299999999998E-2</v>
      </c>
      <c r="BL54" s="83">
        <v>4.4498999999999997E-3</v>
      </c>
      <c r="BM54" s="83">
        <v>1.3429800000000001</v>
      </c>
      <c r="BN54" s="83">
        <v>6.6394999999999996E-2</v>
      </c>
      <c r="BO54" s="83">
        <v>4.4498999999999997E-3</v>
      </c>
      <c r="BP54" s="83">
        <v>1.3458000000000001</v>
      </c>
      <c r="BQ54" s="83">
        <v>6.6376400000000002E-2</v>
      </c>
      <c r="BR54" s="83">
        <v>4.4498999999999997E-3</v>
      </c>
      <c r="BS54" s="83">
        <v>1.3555900000000001</v>
      </c>
      <c r="BT54" s="83">
        <v>6.6653199999999996E-2</v>
      </c>
      <c r="BU54" s="83">
        <v>4.4498999999999997E-3</v>
      </c>
      <c r="BV54" s="83">
        <v>1.37954</v>
      </c>
      <c r="BW54" s="83">
        <v>6.7723500000000006E-2</v>
      </c>
      <c r="BX54" s="83">
        <v>4.4498999999999997E-3</v>
      </c>
      <c r="BY54" s="83">
        <v>1.35354</v>
      </c>
      <c r="BZ54" s="83">
        <v>6.6085500000000005E-2</v>
      </c>
      <c r="CA54" s="83">
        <v>4.4498999999999997E-3</v>
      </c>
      <c r="CB54" s="83">
        <v>1.39575</v>
      </c>
      <c r="CC54" s="83">
        <v>6.8238099999999996E-2</v>
      </c>
      <c r="CD54" s="83">
        <v>4.4498999999999997E-3</v>
      </c>
      <c r="CE54" s="83">
        <v>1.35686</v>
      </c>
      <c r="CF54" s="83">
        <v>6.6057699999999997E-2</v>
      </c>
      <c r="CG54" s="83">
        <v>4.4498999999999997E-3</v>
      </c>
      <c r="CH54" s="83">
        <v>1.3619000000000001</v>
      </c>
      <c r="CI54" s="83">
        <v>6.6339800000000004E-2</v>
      </c>
      <c r="CJ54" s="83">
        <v>4.4498999999999997E-3</v>
      </c>
      <c r="CK54" s="83">
        <v>1.3527899999999999</v>
      </c>
      <c r="CL54" s="83">
        <v>6.5894900000000006E-2</v>
      </c>
      <c r="CM54" s="83">
        <v>4.4498999999999997E-3</v>
      </c>
      <c r="CN54" s="83">
        <v>1.3681099999999999</v>
      </c>
      <c r="CO54" s="83">
        <v>6.68068E-2</v>
      </c>
      <c r="CP54" s="83">
        <v>4.4498999999999997E-3</v>
      </c>
      <c r="CQ54" s="83">
        <v>1.36442</v>
      </c>
      <c r="CR54" s="83">
        <v>6.70872E-2</v>
      </c>
      <c r="CS54" s="83">
        <v>4.4498999999999997E-3</v>
      </c>
      <c r="CT54" s="83">
        <v>1.35619</v>
      </c>
      <c r="CU54" s="83">
        <v>6.7398799999999995E-2</v>
      </c>
      <c r="CV54" s="83">
        <v>4.4498999999999997E-3</v>
      </c>
      <c r="CW54" s="83">
        <v>1.3202199999999999</v>
      </c>
      <c r="CX54" s="83">
        <v>6.6343799999999994E-2</v>
      </c>
    </row>
    <row r="55" spans="1:102" x14ac:dyDescent="0.2">
      <c r="A55" s="83">
        <v>4.5499E-3</v>
      </c>
      <c r="B55" s="83">
        <v>1.02651</v>
      </c>
      <c r="C55" s="83">
        <v>6.2520599999999996E-2</v>
      </c>
      <c r="D55" s="83">
        <v>4.5499E-3</v>
      </c>
      <c r="E55" s="83">
        <v>1.0680799999999999</v>
      </c>
      <c r="F55" s="83">
        <v>6.3276299999999994E-2</v>
      </c>
      <c r="G55" s="83">
        <v>4.5499E-3</v>
      </c>
      <c r="H55" s="83">
        <v>1.09996</v>
      </c>
      <c r="I55" s="83">
        <v>6.3979999999999995E-2</v>
      </c>
      <c r="J55" s="83">
        <v>4.5499E-3</v>
      </c>
      <c r="K55" s="83">
        <v>1.1311500000000001</v>
      </c>
      <c r="L55" s="83">
        <v>6.3734700000000005E-2</v>
      </c>
      <c r="M55" s="83">
        <v>4.5499E-3</v>
      </c>
      <c r="N55" s="83">
        <v>1.1407799999999999</v>
      </c>
      <c r="O55" s="83">
        <v>6.3068899999999997E-2</v>
      </c>
      <c r="P55" s="83">
        <v>4.5499E-3</v>
      </c>
      <c r="Q55" s="83">
        <v>1.16168</v>
      </c>
      <c r="R55" s="83">
        <v>6.3604900000000006E-2</v>
      </c>
      <c r="S55" s="83">
        <v>4.5499E-3</v>
      </c>
      <c r="T55" s="83">
        <v>1.18049</v>
      </c>
      <c r="U55" s="83">
        <v>6.4212599999999995E-2</v>
      </c>
      <c r="V55" s="83">
        <v>4.5499E-3</v>
      </c>
      <c r="W55" s="83">
        <v>1.1858500000000001</v>
      </c>
      <c r="X55" s="83">
        <v>6.3485100000000003E-2</v>
      </c>
      <c r="Y55" s="83">
        <v>4.5499E-3</v>
      </c>
      <c r="Z55" s="83">
        <v>1.1933100000000001</v>
      </c>
      <c r="AA55" s="83">
        <v>6.3285499999999995E-2</v>
      </c>
      <c r="AB55" s="83">
        <v>4.5499E-3</v>
      </c>
      <c r="AC55" s="83">
        <v>1.2037800000000001</v>
      </c>
      <c r="AD55" s="83">
        <v>6.3061599999999995E-2</v>
      </c>
      <c r="AE55" s="83">
        <v>4.5499E-3</v>
      </c>
      <c r="AF55" s="83">
        <v>1.2223299999999999</v>
      </c>
      <c r="AG55" s="83">
        <v>6.3630900000000004E-2</v>
      </c>
      <c r="AH55" s="83">
        <v>4.5499E-3</v>
      </c>
      <c r="AI55" s="83">
        <v>1.23038</v>
      </c>
      <c r="AJ55" s="83">
        <v>6.3501500000000002E-2</v>
      </c>
      <c r="AK55" s="83">
        <v>4.5499E-3</v>
      </c>
      <c r="AL55" s="83">
        <v>1.2381500000000001</v>
      </c>
      <c r="AM55" s="83">
        <v>6.3492699999999999E-2</v>
      </c>
      <c r="AN55" s="83">
        <v>4.5499E-3</v>
      </c>
      <c r="AO55" s="83">
        <v>1.24681</v>
      </c>
      <c r="AP55" s="83">
        <v>6.35381E-2</v>
      </c>
      <c r="AQ55" s="83">
        <v>4.5499E-3</v>
      </c>
      <c r="AR55" s="83">
        <v>1.2463500000000001</v>
      </c>
      <c r="AS55" s="83">
        <v>6.2983399999999995E-2</v>
      </c>
      <c r="AT55" s="83">
        <v>4.5499E-3</v>
      </c>
      <c r="AU55" s="83">
        <v>1.25542</v>
      </c>
      <c r="AV55" s="83">
        <v>6.31105E-2</v>
      </c>
      <c r="AW55" s="83">
        <v>4.5499E-3</v>
      </c>
      <c r="AX55" s="83">
        <v>1.2622599999999999</v>
      </c>
      <c r="AY55" s="83">
        <v>6.3065499999999997E-2</v>
      </c>
      <c r="AZ55" s="83">
        <v>4.5499E-3</v>
      </c>
      <c r="BA55" s="83">
        <v>1.26383</v>
      </c>
      <c r="BB55" s="83">
        <v>6.2942700000000004E-2</v>
      </c>
      <c r="BC55" s="83">
        <v>4.5499E-3</v>
      </c>
      <c r="BD55" s="83">
        <v>1.2882100000000001</v>
      </c>
      <c r="BE55" s="83">
        <v>6.4166100000000004E-2</v>
      </c>
      <c r="BF55" s="83">
        <v>4.5499E-3</v>
      </c>
      <c r="BG55" s="83">
        <v>1.29691</v>
      </c>
      <c r="BH55" s="83">
        <v>6.4277399999999998E-2</v>
      </c>
      <c r="BI55" s="83">
        <v>4.5499E-3</v>
      </c>
      <c r="BJ55" s="83">
        <v>1.2901100000000001</v>
      </c>
      <c r="BK55" s="83">
        <v>6.3585199999999995E-2</v>
      </c>
      <c r="BL55" s="83">
        <v>4.5499E-3</v>
      </c>
      <c r="BM55" s="83">
        <v>1.28803</v>
      </c>
      <c r="BN55" s="83">
        <v>6.3186000000000006E-2</v>
      </c>
      <c r="BO55" s="83">
        <v>4.5499E-3</v>
      </c>
      <c r="BP55" s="83">
        <v>1.2903100000000001</v>
      </c>
      <c r="BQ55" s="83">
        <v>6.3119499999999995E-2</v>
      </c>
      <c r="BR55" s="83">
        <v>4.5499E-3</v>
      </c>
      <c r="BS55" s="83">
        <v>1.29939</v>
      </c>
      <c r="BT55" s="83">
        <v>6.3428600000000002E-2</v>
      </c>
      <c r="BU55" s="83">
        <v>4.5499E-3</v>
      </c>
      <c r="BV55" s="83">
        <v>1.32134</v>
      </c>
      <c r="BW55" s="83">
        <v>6.4433400000000002E-2</v>
      </c>
      <c r="BX55" s="83">
        <v>4.5499E-3</v>
      </c>
      <c r="BY55" s="83">
        <v>1.29522</v>
      </c>
      <c r="BZ55" s="83">
        <v>6.2887299999999993E-2</v>
      </c>
      <c r="CA55" s="83">
        <v>4.5499E-3</v>
      </c>
      <c r="CB55" s="83">
        <v>1.3355600000000001</v>
      </c>
      <c r="CC55" s="83">
        <v>6.4887500000000001E-2</v>
      </c>
      <c r="CD55" s="83">
        <v>4.5499E-3</v>
      </c>
      <c r="CE55" s="83">
        <v>1.29647</v>
      </c>
      <c r="CF55" s="83">
        <v>6.2845799999999993E-2</v>
      </c>
      <c r="CG55" s="83">
        <v>4.5499E-3</v>
      </c>
      <c r="CH55" s="83">
        <v>1.3006599999999999</v>
      </c>
      <c r="CI55" s="83">
        <v>6.3094700000000004E-2</v>
      </c>
      <c r="CJ55" s="83">
        <v>4.5499E-3</v>
      </c>
      <c r="CK55" s="83">
        <v>1.2909299999999999</v>
      </c>
      <c r="CL55" s="83">
        <v>6.2670299999999998E-2</v>
      </c>
      <c r="CM55" s="83">
        <v>4.5499E-3</v>
      </c>
      <c r="CN55" s="83">
        <v>1.30461</v>
      </c>
      <c r="CO55" s="83">
        <v>6.3559699999999997E-2</v>
      </c>
      <c r="CP55" s="83">
        <v>4.5499E-3</v>
      </c>
      <c r="CQ55" s="83">
        <v>1.2999499999999999</v>
      </c>
      <c r="CR55" s="83">
        <v>6.3822500000000004E-2</v>
      </c>
      <c r="CS55" s="83">
        <v>4.5499E-3</v>
      </c>
      <c r="CT55" s="83">
        <v>1.29088</v>
      </c>
      <c r="CU55" s="83">
        <v>6.4112699999999995E-2</v>
      </c>
      <c r="CV55" s="83">
        <v>4.5499E-3</v>
      </c>
      <c r="CW55" s="83">
        <v>1.2551399999999999</v>
      </c>
      <c r="CX55" s="83">
        <v>6.3123100000000001E-2</v>
      </c>
    </row>
    <row r="56" spans="1:102" x14ac:dyDescent="0.2">
      <c r="A56" s="83">
        <v>4.6499000000000002E-3</v>
      </c>
      <c r="B56" s="83">
        <v>0.98984099999999997</v>
      </c>
      <c r="C56" s="83">
        <v>5.9456200000000001E-2</v>
      </c>
      <c r="D56" s="83">
        <v>4.6499000000000002E-3</v>
      </c>
      <c r="E56" s="83">
        <v>1.0298799999999999</v>
      </c>
      <c r="F56" s="83">
        <v>6.02059E-2</v>
      </c>
      <c r="G56" s="83">
        <v>4.6499000000000002E-3</v>
      </c>
      <c r="H56" s="83">
        <v>1.06134</v>
      </c>
      <c r="I56" s="83">
        <v>6.0882400000000003E-2</v>
      </c>
      <c r="J56" s="83">
        <v>4.6499000000000002E-3</v>
      </c>
      <c r="K56" s="83">
        <v>1.091</v>
      </c>
      <c r="L56" s="83">
        <v>6.0616499999999997E-2</v>
      </c>
      <c r="M56" s="83">
        <v>4.6499000000000002E-3</v>
      </c>
      <c r="N56" s="83">
        <v>1.1002400000000001</v>
      </c>
      <c r="O56" s="83">
        <v>5.99576E-2</v>
      </c>
      <c r="P56" s="83">
        <v>4.6499000000000002E-3</v>
      </c>
      <c r="Q56" s="83">
        <v>1.1196600000000001</v>
      </c>
      <c r="R56" s="83">
        <v>6.05102E-2</v>
      </c>
      <c r="S56" s="83">
        <v>4.6499000000000002E-3</v>
      </c>
      <c r="T56" s="83">
        <v>1.13836</v>
      </c>
      <c r="U56" s="83">
        <v>6.11091E-2</v>
      </c>
      <c r="V56" s="83">
        <v>4.6499000000000002E-3</v>
      </c>
      <c r="W56" s="83">
        <v>1.1426400000000001</v>
      </c>
      <c r="X56" s="83">
        <v>6.0413799999999997E-2</v>
      </c>
      <c r="Y56" s="83">
        <v>4.6499000000000002E-3</v>
      </c>
      <c r="Z56" s="83">
        <v>1.14977</v>
      </c>
      <c r="AA56" s="83">
        <v>6.0214200000000002E-2</v>
      </c>
      <c r="AB56" s="83">
        <v>4.6499000000000002E-3</v>
      </c>
      <c r="AC56" s="83">
        <v>1.15985</v>
      </c>
      <c r="AD56" s="83">
        <v>5.9982500000000001E-2</v>
      </c>
      <c r="AE56" s="83">
        <v>4.6499000000000002E-3</v>
      </c>
      <c r="AF56" s="83">
        <v>1.17703</v>
      </c>
      <c r="AG56" s="83">
        <v>6.0540999999999998E-2</v>
      </c>
      <c r="AH56" s="83">
        <v>4.6499000000000002E-3</v>
      </c>
      <c r="AI56" s="83">
        <v>1.18425</v>
      </c>
      <c r="AJ56" s="83">
        <v>6.0404800000000002E-2</v>
      </c>
      <c r="AK56" s="83">
        <v>4.6499000000000002E-3</v>
      </c>
      <c r="AL56" s="83">
        <v>1.1919</v>
      </c>
      <c r="AM56" s="83">
        <v>6.0374499999999998E-2</v>
      </c>
      <c r="AN56" s="83">
        <v>4.6499000000000002E-3</v>
      </c>
      <c r="AO56" s="83">
        <v>1.19974</v>
      </c>
      <c r="AP56" s="83">
        <v>6.046E-2</v>
      </c>
      <c r="AQ56" s="83">
        <v>4.6499000000000002E-3</v>
      </c>
      <c r="AR56" s="83">
        <v>1.19852</v>
      </c>
      <c r="AS56" s="83">
        <v>5.9923900000000002E-2</v>
      </c>
      <c r="AT56" s="83">
        <v>4.6499000000000002E-3</v>
      </c>
      <c r="AU56" s="83">
        <v>1.20689</v>
      </c>
      <c r="AV56" s="83">
        <v>6.0020700000000003E-2</v>
      </c>
      <c r="AW56" s="83">
        <v>4.6499000000000002E-3</v>
      </c>
      <c r="AX56" s="83">
        <v>1.21265</v>
      </c>
      <c r="AY56" s="83">
        <v>6.0014699999999997E-2</v>
      </c>
      <c r="AZ56" s="83">
        <v>4.6499000000000002E-3</v>
      </c>
      <c r="BA56" s="83">
        <v>1.2138199999999999</v>
      </c>
      <c r="BB56" s="83">
        <v>5.98606E-2</v>
      </c>
      <c r="BC56" s="83">
        <v>4.6499000000000002E-3</v>
      </c>
      <c r="BD56" s="83">
        <v>1.2370099999999999</v>
      </c>
      <c r="BE56" s="83">
        <v>6.1026400000000001E-2</v>
      </c>
      <c r="BF56" s="83">
        <v>4.6499000000000002E-3</v>
      </c>
      <c r="BG56" s="83">
        <v>1.24498</v>
      </c>
      <c r="BH56" s="83">
        <v>6.1158299999999999E-2</v>
      </c>
      <c r="BI56" s="83">
        <v>4.6499000000000002E-3</v>
      </c>
      <c r="BJ56" s="83">
        <v>1.23722</v>
      </c>
      <c r="BK56" s="83">
        <v>6.0495399999999998E-2</v>
      </c>
      <c r="BL56" s="83">
        <v>4.6499000000000002E-3</v>
      </c>
      <c r="BM56" s="83">
        <v>1.23475</v>
      </c>
      <c r="BN56" s="83">
        <v>6.0097200000000003E-2</v>
      </c>
      <c r="BO56" s="83">
        <v>4.6499000000000002E-3</v>
      </c>
      <c r="BP56" s="83">
        <v>1.2363</v>
      </c>
      <c r="BQ56" s="83">
        <v>6.0045300000000003E-2</v>
      </c>
      <c r="BR56" s="83">
        <v>4.6499000000000002E-3</v>
      </c>
      <c r="BS56" s="83">
        <v>1.2444599999999999</v>
      </c>
      <c r="BT56" s="83">
        <v>6.0373900000000001E-2</v>
      </c>
      <c r="BU56" s="83">
        <v>4.6499000000000002E-3</v>
      </c>
      <c r="BV56" s="83">
        <v>1.2649900000000001</v>
      </c>
      <c r="BW56" s="83">
        <v>6.13036E-2</v>
      </c>
      <c r="BX56" s="83">
        <v>4.6499000000000002E-3</v>
      </c>
      <c r="BY56" s="83">
        <v>1.23926</v>
      </c>
      <c r="BZ56" s="83">
        <v>5.98121E-2</v>
      </c>
      <c r="CA56" s="83">
        <v>4.6499000000000002E-3</v>
      </c>
      <c r="CB56" s="83">
        <v>1.2767999999999999</v>
      </c>
      <c r="CC56" s="83">
        <v>6.1750800000000002E-2</v>
      </c>
      <c r="CD56" s="83">
        <v>4.6499000000000002E-3</v>
      </c>
      <c r="CE56" s="83">
        <v>1.2387300000000001</v>
      </c>
      <c r="CF56" s="83">
        <v>5.97706E-2</v>
      </c>
      <c r="CG56" s="83">
        <v>4.6499000000000002E-3</v>
      </c>
      <c r="CH56" s="83">
        <v>1.24143</v>
      </c>
      <c r="CI56" s="83">
        <v>6.0015600000000002E-2</v>
      </c>
      <c r="CJ56" s="83">
        <v>4.6499000000000002E-3</v>
      </c>
      <c r="CK56" s="83">
        <v>1.23123</v>
      </c>
      <c r="CL56" s="83">
        <v>5.9598999999999999E-2</v>
      </c>
      <c r="CM56" s="83">
        <v>4.6499000000000002E-3</v>
      </c>
      <c r="CN56" s="83">
        <v>1.2427600000000001</v>
      </c>
      <c r="CO56" s="83">
        <v>6.0461099999999997E-2</v>
      </c>
      <c r="CP56" s="83">
        <v>4.6499000000000002E-3</v>
      </c>
      <c r="CQ56" s="83">
        <v>1.2380800000000001</v>
      </c>
      <c r="CR56" s="83">
        <v>6.0720000000000003E-2</v>
      </c>
      <c r="CS56" s="83">
        <v>4.6499000000000002E-3</v>
      </c>
      <c r="CT56" s="83">
        <v>1.22794</v>
      </c>
      <c r="CU56" s="83">
        <v>6.0976000000000002E-2</v>
      </c>
      <c r="CV56" s="83">
        <v>4.6499000000000002E-3</v>
      </c>
      <c r="CW56" s="83">
        <v>1.1920500000000001</v>
      </c>
      <c r="CX56" s="83">
        <v>6.0042999999999999E-2</v>
      </c>
    </row>
    <row r="57" spans="1:102" x14ac:dyDescent="0.2">
      <c r="A57" s="83">
        <v>4.7498999999999996E-3</v>
      </c>
      <c r="B57" s="83">
        <v>0.95482599999999995</v>
      </c>
      <c r="C57" s="83">
        <v>5.6577299999999997E-2</v>
      </c>
      <c r="D57" s="83">
        <v>4.7498999999999996E-3</v>
      </c>
      <c r="E57" s="83">
        <v>0.99322100000000002</v>
      </c>
      <c r="F57" s="83">
        <v>5.72772E-2</v>
      </c>
      <c r="G57" s="83">
        <v>4.7498999999999996E-3</v>
      </c>
      <c r="H57" s="83">
        <v>1.02335</v>
      </c>
      <c r="I57" s="83">
        <v>5.79029E-2</v>
      </c>
      <c r="J57" s="83">
        <v>4.7498999999999996E-3</v>
      </c>
      <c r="K57" s="83">
        <v>1.05196</v>
      </c>
      <c r="L57" s="83">
        <v>5.7671199999999999E-2</v>
      </c>
      <c r="M57" s="83">
        <v>4.7498999999999996E-3</v>
      </c>
      <c r="N57" s="83">
        <v>1.0607200000000001</v>
      </c>
      <c r="O57" s="83">
        <v>5.7059199999999997E-2</v>
      </c>
      <c r="P57" s="83">
        <v>4.7498999999999996E-3</v>
      </c>
      <c r="Q57" s="83">
        <v>1.0798000000000001</v>
      </c>
      <c r="R57" s="83">
        <v>5.7545300000000001E-2</v>
      </c>
      <c r="S57" s="83">
        <v>4.7498999999999996E-3</v>
      </c>
      <c r="T57" s="83">
        <v>1.09721</v>
      </c>
      <c r="U57" s="83">
        <v>5.8124700000000001E-2</v>
      </c>
      <c r="V57" s="83">
        <v>4.7498999999999996E-3</v>
      </c>
      <c r="W57" s="83">
        <v>1.1007199999999999</v>
      </c>
      <c r="X57" s="83">
        <v>5.7483199999999998E-2</v>
      </c>
      <c r="Y57" s="83">
        <v>4.7498999999999996E-3</v>
      </c>
      <c r="Z57" s="83">
        <v>1.1077600000000001</v>
      </c>
      <c r="AA57" s="83">
        <v>5.7272799999999999E-2</v>
      </c>
      <c r="AB57" s="83">
        <v>4.7498999999999996E-3</v>
      </c>
      <c r="AC57" s="83">
        <v>1.1163400000000001</v>
      </c>
      <c r="AD57" s="83">
        <v>5.7060699999999999E-2</v>
      </c>
      <c r="AE57" s="83">
        <v>4.7498999999999996E-3</v>
      </c>
      <c r="AF57" s="83">
        <v>1.1329400000000001</v>
      </c>
      <c r="AG57" s="83">
        <v>5.7565400000000003E-2</v>
      </c>
      <c r="AH57" s="83">
        <v>4.7498999999999996E-3</v>
      </c>
      <c r="AI57" s="83">
        <v>1.1395999999999999</v>
      </c>
      <c r="AJ57" s="83">
        <v>5.7470199999999999E-2</v>
      </c>
      <c r="AK57" s="83">
        <v>4.7498999999999996E-3</v>
      </c>
      <c r="AL57" s="83">
        <v>1.14621</v>
      </c>
      <c r="AM57" s="83">
        <v>5.7449699999999999E-2</v>
      </c>
      <c r="AN57" s="83">
        <v>4.7498999999999996E-3</v>
      </c>
      <c r="AO57" s="83">
        <v>1.1534500000000001</v>
      </c>
      <c r="AP57" s="83">
        <v>5.7529400000000001E-2</v>
      </c>
      <c r="AQ57" s="83">
        <v>4.7498999999999996E-3</v>
      </c>
      <c r="AR57" s="83">
        <v>1.15195</v>
      </c>
      <c r="AS57" s="83">
        <v>5.70284E-2</v>
      </c>
      <c r="AT57" s="83">
        <v>4.7498999999999996E-3</v>
      </c>
      <c r="AU57" s="83">
        <v>1.15923</v>
      </c>
      <c r="AV57" s="83">
        <v>5.7085200000000003E-2</v>
      </c>
      <c r="AW57" s="83">
        <v>4.7498999999999996E-3</v>
      </c>
      <c r="AX57" s="83">
        <v>1.16473</v>
      </c>
      <c r="AY57" s="83">
        <v>5.7092799999999999E-2</v>
      </c>
      <c r="AZ57" s="83">
        <v>4.7498999999999996E-3</v>
      </c>
      <c r="BA57" s="83">
        <v>1.1653199999999999</v>
      </c>
      <c r="BB57" s="83">
        <v>5.6958300000000003E-2</v>
      </c>
      <c r="BC57" s="83">
        <v>4.7498999999999996E-3</v>
      </c>
      <c r="BD57" s="83">
        <v>1.1872499999999999</v>
      </c>
      <c r="BE57" s="83">
        <v>5.8055700000000002E-2</v>
      </c>
      <c r="BF57" s="83">
        <v>4.7498999999999996E-3</v>
      </c>
      <c r="BG57" s="83">
        <v>1.1943900000000001</v>
      </c>
      <c r="BH57" s="83">
        <v>5.8182699999999997E-2</v>
      </c>
      <c r="BI57" s="83">
        <v>4.7498999999999996E-3</v>
      </c>
      <c r="BJ57" s="83">
        <v>1.1859200000000001</v>
      </c>
      <c r="BK57" s="83">
        <v>5.7546100000000003E-2</v>
      </c>
      <c r="BL57" s="83">
        <v>4.7498999999999996E-3</v>
      </c>
      <c r="BM57" s="83">
        <v>1.1830400000000001</v>
      </c>
      <c r="BN57" s="83">
        <v>5.7183100000000001E-2</v>
      </c>
      <c r="BO57" s="83">
        <v>4.7498999999999996E-3</v>
      </c>
      <c r="BP57" s="83">
        <v>1.18381</v>
      </c>
      <c r="BQ57" s="83">
        <v>5.7127299999999999E-2</v>
      </c>
      <c r="BR57" s="83">
        <v>4.7498999999999996E-3</v>
      </c>
      <c r="BS57" s="83">
        <v>1.19119</v>
      </c>
      <c r="BT57" s="83">
        <v>5.7431599999999999E-2</v>
      </c>
      <c r="BU57" s="83">
        <v>4.7498999999999996E-3</v>
      </c>
      <c r="BV57" s="83">
        <v>1.21021</v>
      </c>
      <c r="BW57" s="83">
        <v>5.8321100000000001E-2</v>
      </c>
      <c r="BX57" s="83">
        <v>4.7498999999999996E-3</v>
      </c>
      <c r="BY57" s="83">
        <v>1.18431</v>
      </c>
      <c r="BZ57" s="83">
        <v>5.69244E-2</v>
      </c>
      <c r="CA57" s="83">
        <v>4.7498999999999996E-3</v>
      </c>
      <c r="CB57" s="83">
        <v>1.22024</v>
      </c>
      <c r="CC57" s="83">
        <v>5.8727300000000003E-2</v>
      </c>
      <c r="CD57" s="83">
        <v>4.7498999999999996E-3</v>
      </c>
      <c r="CE57" s="83">
        <v>1.18161</v>
      </c>
      <c r="CF57" s="83">
        <v>5.6872100000000002E-2</v>
      </c>
      <c r="CG57" s="83">
        <v>4.7498999999999996E-3</v>
      </c>
      <c r="CH57" s="83">
        <v>1.18411</v>
      </c>
      <c r="CI57" s="83">
        <v>5.7086900000000003E-2</v>
      </c>
      <c r="CJ57" s="83">
        <v>4.7498999999999996E-3</v>
      </c>
      <c r="CK57" s="83">
        <v>1.17337</v>
      </c>
      <c r="CL57" s="83">
        <v>5.6714300000000002E-2</v>
      </c>
      <c r="CM57" s="83">
        <v>4.7498999999999996E-3</v>
      </c>
      <c r="CN57" s="83">
        <v>1.18336</v>
      </c>
      <c r="CO57" s="83">
        <v>5.7492300000000003E-2</v>
      </c>
      <c r="CP57" s="83">
        <v>4.7498999999999996E-3</v>
      </c>
      <c r="CQ57" s="83">
        <v>1.17723</v>
      </c>
      <c r="CR57" s="83">
        <v>5.7736599999999999E-2</v>
      </c>
      <c r="CS57" s="83">
        <v>4.7498999999999996E-3</v>
      </c>
      <c r="CT57" s="83">
        <v>1.1672</v>
      </c>
      <c r="CU57" s="83">
        <v>5.7992599999999998E-2</v>
      </c>
      <c r="CV57" s="83">
        <v>4.7498999999999996E-3</v>
      </c>
      <c r="CW57" s="83">
        <v>1.1309800000000001</v>
      </c>
      <c r="CX57" s="83">
        <v>5.7104599999999998E-2</v>
      </c>
    </row>
    <row r="58" spans="1:102" x14ac:dyDescent="0.2">
      <c r="A58" s="83">
        <v>4.8498999999999999E-3</v>
      </c>
      <c r="B58" s="83">
        <v>0.92001200000000005</v>
      </c>
      <c r="C58" s="83">
        <v>5.3830200000000002E-2</v>
      </c>
      <c r="D58" s="83">
        <v>4.8498999999999999E-3</v>
      </c>
      <c r="E58" s="83">
        <v>0.95732700000000004</v>
      </c>
      <c r="F58" s="83">
        <v>5.4534100000000002E-2</v>
      </c>
      <c r="G58" s="83">
        <v>4.8498999999999999E-3</v>
      </c>
      <c r="H58" s="83">
        <v>0.98619900000000005</v>
      </c>
      <c r="I58" s="83">
        <v>5.5129499999999998E-2</v>
      </c>
      <c r="J58" s="83">
        <v>4.8498999999999999E-3</v>
      </c>
      <c r="K58" s="83">
        <v>1.01366</v>
      </c>
      <c r="L58" s="83">
        <v>5.4860699999999998E-2</v>
      </c>
      <c r="M58" s="83">
        <v>4.8498999999999999E-3</v>
      </c>
      <c r="N58" s="83">
        <v>1.0219499999999999</v>
      </c>
      <c r="O58" s="83">
        <v>5.4305300000000001E-2</v>
      </c>
      <c r="P58" s="83">
        <v>4.8498999999999999E-3</v>
      </c>
      <c r="Q58" s="83">
        <v>1.04037</v>
      </c>
      <c r="R58" s="83">
        <v>5.4771899999999998E-2</v>
      </c>
      <c r="S58" s="83">
        <v>4.8498999999999999E-3</v>
      </c>
      <c r="T58" s="83">
        <v>1.05714</v>
      </c>
      <c r="U58" s="83">
        <v>5.5303400000000003E-2</v>
      </c>
      <c r="V58" s="83">
        <v>4.8498999999999999E-3</v>
      </c>
      <c r="W58" s="83">
        <v>1.06013</v>
      </c>
      <c r="X58" s="83">
        <v>5.47039E-2</v>
      </c>
      <c r="Y58" s="83">
        <v>4.8498999999999999E-3</v>
      </c>
      <c r="Z58" s="83">
        <v>1.0668</v>
      </c>
      <c r="AA58" s="83">
        <v>5.4529599999999998E-2</v>
      </c>
      <c r="AB58" s="83">
        <v>4.8498999999999999E-3</v>
      </c>
      <c r="AC58" s="83">
        <v>1.07477</v>
      </c>
      <c r="AD58" s="83">
        <v>5.4305800000000001E-2</v>
      </c>
      <c r="AE58" s="83">
        <v>4.8498999999999999E-3</v>
      </c>
      <c r="AF58" s="83">
        <v>1.09067</v>
      </c>
      <c r="AG58" s="83">
        <v>5.4814500000000002E-2</v>
      </c>
      <c r="AH58" s="83">
        <v>4.8498999999999999E-3</v>
      </c>
      <c r="AI58" s="83">
        <v>1.0957699999999999</v>
      </c>
      <c r="AJ58" s="83">
        <v>5.4693899999999997E-2</v>
      </c>
      <c r="AK58" s="83">
        <v>4.8498999999999999E-3</v>
      </c>
      <c r="AL58" s="83">
        <v>1.10236</v>
      </c>
      <c r="AM58" s="83">
        <v>5.4677299999999998E-2</v>
      </c>
      <c r="AN58" s="83">
        <v>4.8498999999999999E-3</v>
      </c>
      <c r="AO58" s="83">
        <v>1.1089100000000001</v>
      </c>
      <c r="AP58" s="83">
        <v>5.4755900000000003E-2</v>
      </c>
      <c r="AQ58" s="83">
        <v>4.8498999999999999E-3</v>
      </c>
      <c r="AR58" s="83">
        <v>1.10701</v>
      </c>
      <c r="AS58" s="83">
        <v>5.4263699999999998E-2</v>
      </c>
      <c r="AT58" s="83">
        <v>4.8498999999999999E-3</v>
      </c>
      <c r="AU58" s="83">
        <v>1.1131800000000001</v>
      </c>
      <c r="AV58" s="83">
        <v>5.4344900000000002E-2</v>
      </c>
      <c r="AW58" s="83">
        <v>4.8498999999999999E-3</v>
      </c>
      <c r="AX58" s="83">
        <v>1.1180000000000001</v>
      </c>
      <c r="AY58" s="83">
        <v>5.4332100000000001E-2</v>
      </c>
      <c r="AZ58" s="83">
        <v>4.8498999999999999E-3</v>
      </c>
      <c r="BA58" s="83">
        <v>1.11815</v>
      </c>
      <c r="BB58" s="83">
        <v>5.4209300000000002E-2</v>
      </c>
      <c r="BC58" s="83">
        <v>4.8498999999999999E-3</v>
      </c>
      <c r="BD58" s="83">
        <v>1.1384700000000001</v>
      </c>
      <c r="BE58" s="83">
        <v>5.5253999999999998E-2</v>
      </c>
      <c r="BF58" s="83">
        <v>4.8498999999999999E-3</v>
      </c>
      <c r="BG58" s="83">
        <v>1.1452</v>
      </c>
      <c r="BH58" s="83">
        <v>5.5367300000000001E-2</v>
      </c>
      <c r="BI58" s="83">
        <v>4.8498999999999999E-3</v>
      </c>
      <c r="BJ58" s="83">
        <v>1.13615</v>
      </c>
      <c r="BK58" s="83">
        <v>5.4763899999999997E-2</v>
      </c>
      <c r="BL58" s="83">
        <v>4.8498999999999999E-3</v>
      </c>
      <c r="BM58" s="83">
        <v>1.1324099999999999</v>
      </c>
      <c r="BN58" s="83">
        <v>5.4431100000000003E-2</v>
      </c>
      <c r="BO58" s="83">
        <v>4.8498999999999999E-3</v>
      </c>
      <c r="BP58" s="83">
        <v>1.13283</v>
      </c>
      <c r="BQ58" s="83">
        <v>5.43656E-2</v>
      </c>
      <c r="BR58" s="83">
        <v>4.8498999999999999E-3</v>
      </c>
      <c r="BS58" s="83">
        <v>1.1394899999999999</v>
      </c>
      <c r="BT58" s="83">
        <v>5.4664999999999998E-2</v>
      </c>
      <c r="BU58" s="83">
        <v>4.8498999999999999E-3</v>
      </c>
      <c r="BV58" s="83">
        <v>1.15693</v>
      </c>
      <c r="BW58" s="83">
        <v>5.5512499999999999E-2</v>
      </c>
      <c r="BX58" s="83">
        <v>4.8498999999999999E-3</v>
      </c>
      <c r="BY58" s="83">
        <v>1.13148</v>
      </c>
      <c r="BZ58" s="83">
        <v>5.4184099999999999E-2</v>
      </c>
      <c r="CA58" s="83">
        <v>4.8498999999999999E-3</v>
      </c>
      <c r="CB58" s="83">
        <v>1.16509</v>
      </c>
      <c r="CC58" s="83">
        <v>5.5867E-2</v>
      </c>
      <c r="CD58" s="83">
        <v>4.8498999999999999E-3</v>
      </c>
      <c r="CE58" s="83">
        <v>1.12696</v>
      </c>
      <c r="CF58" s="83">
        <v>5.4110400000000003E-2</v>
      </c>
      <c r="CG58" s="83">
        <v>4.8498999999999999E-3</v>
      </c>
      <c r="CH58" s="83">
        <v>1.12849</v>
      </c>
      <c r="CI58" s="83">
        <v>5.4341800000000003E-2</v>
      </c>
      <c r="CJ58" s="83">
        <v>4.8498999999999999E-3</v>
      </c>
      <c r="CK58" s="83">
        <v>1.11694</v>
      </c>
      <c r="CL58" s="83">
        <v>5.3975000000000002E-2</v>
      </c>
      <c r="CM58" s="83">
        <v>4.8498999999999999E-3</v>
      </c>
      <c r="CN58" s="83">
        <v>1.12581</v>
      </c>
      <c r="CO58" s="83">
        <v>5.4717000000000002E-2</v>
      </c>
      <c r="CP58" s="83">
        <v>4.8498999999999999E-3</v>
      </c>
      <c r="CQ58" s="83">
        <v>1.11904</v>
      </c>
      <c r="CR58" s="83">
        <v>5.4965100000000003E-2</v>
      </c>
      <c r="CS58" s="83">
        <v>4.8498999999999999E-3</v>
      </c>
      <c r="CT58" s="83">
        <v>1.1086199999999999</v>
      </c>
      <c r="CU58" s="83">
        <v>5.5189799999999997E-2</v>
      </c>
      <c r="CV58" s="83">
        <v>4.8498999999999999E-3</v>
      </c>
      <c r="CW58" s="83">
        <v>1.0727199999999999</v>
      </c>
      <c r="CX58" s="83">
        <v>5.4315500000000003E-2</v>
      </c>
    </row>
    <row r="59" spans="1:102" x14ac:dyDescent="0.2">
      <c r="A59" s="83">
        <v>4.9499000000000001E-3</v>
      </c>
      <c r="B59" s="83">
        <v>0.88629599999999997</v>
      </c>
      <c r="C59" s="83">
        <v>5.1245199999999998E-2</v>
      </c>
      <c r="D59" s="83">
        <v>4.9499000000000001E-3</v>
      </c>
      <c r="E59" s="83">
        <v>0.92231300000000005</v>
      </c>
      <c r="F59" s="83">
        <v>5.1924699999999997E-2</v>
      </c>
      <c r="G59" s="83">
        <v>4.9499000000000001E-3</v>
      </c>
      <c r="H59" s="83">
        <v>0.95023199999999997</v>
      </c>
      <c r="I59" s="83">
        <v>5.2486900000000003E-2</v>
      </c>
      <c r="J59" s="83">
        <v>4.9499000000000001E-3</v>
      </c>
      <c r="K59" s="83">
        <v>0.976356</v>
      </c>
      <c r="L59" s="83">
        <v>5.22503E-2</v>
      </c>
      <c r="M59" s="83">
        <v>4.9499000000000001E-3</v>
      </c>
      <c r="N59" s="83">
        <v>0.98434900000000003</v>
      </c>
      <c r="O59" s="83">
        <v>5.17105E-2</v>
      </c>
      <c r="P59" s="83">
        <v>4.9499000000000001E-3</v>
      </c>
      <c r="Q59" s="83">
        <v>1.0024299999999999</v>
      </c>
      <c r="R59" s="83">
        <v>5.2151799999999998E-2</v>
      </c>
      <c r="S59" s="83">
        <v>4.9499000000000001E-3</v>
      </c>
      <c r="T59" s="83">
        <v>1.0181899999999999</v>
      </c>
      <c r="U59" s="83">
        <v>5.2659900000000003E-2</v>
      </c>
      <c r="V59" s="83">
        <v>4.9499000000000001E-3</v>
      </c>
      <c r="W59" s="83">
        <v>1.02067</v>
      </c>
      <c r="X59" s="83">
        <v>5.2068099999999999E-2</v>
      </c>
      <c r="Y59" s="83">
        <v>4.9499000000000001E-3</v>
      </c>
      <c r="Z59" s="83">
        <v>1.02681</v>
      </c>
      <c r="AA59" s="83">
        <v>5.1932899999999997E-2</v>
      </c>
      <c r="AB59" s="83">
        <v>4.9499000000000001E-3</v>
      </c>
      <c r="AC59" s="83">
        <v>1.0334300000000001</v>
      </c>
      <c r="AD59" s="83">
        <v>5.1707200000000002E-2</v>
      </c>
      <c r="AE59" s="83">
        <v>4.9499000000000001E-3</v>
      </c>
      <c r="AF59" s="83">
        <v>1.0488299999999999</v>
      </c>
      <c r="AG59" s="83">
        <v>5.21748E-2</v>
      </c>
      <c r="AH59" s="83">
        <v>4.9499000000000001E-3</v>
      </c>
      <c r="AI59" s="83">
        <v>1.05396</v>
      </c>
      <c r="AJ59" s="83">
        <v>5.2069799999999999E-2</v>
      </c>
      <c r="AK59" s="83">
        <v>4.9499000000000001E-3</v>
      </c>
      <c r="AL59" s="83">
        <v>1.05985</v>
      </c>
      <c r="AM59" s="83">
        <v>5.2093300000000002E-2</v>
      </c>
      <c r="AN59" s="83">
        <v>4.9499000000000001E-3</v>
      </c>
      <c r="AO59" s="83">
        <v>1.06616</v>
      </c>
      <c r="AP59" s="83">
        <v>5.2139699999999997E-2</v>
      </c>
      <c r="AQ59" s="83">
        <v>4.9499000000000001E-3</v>
      </c>
      <c r="AR59" s="83">
        <v>1.0631200000000001</v>
      </c>
      <c r="AS59" s="83">
        <v>5.1666999999999998E-2</v>
      </c>
      <c r="AT59" s="83">
        <v>4.9499000000000001E-3</v>
      </c>
      <c r="AU59" s="83">
        <v>1.06914</v>
      </c>
      <c r="AV59" s="83">
        <v>5.17385E-2</v>
      </c>
      <c r="AW59" s="83">
        <v>4.9499000000000001E-3</v>
      </c>
      <c r="AX59" s="83">
        <v>1.0729299999999999</v>
      </c>
      <c r="AY59" s="83">
        <v>5.1720799999999997E-2</v>
      </c>
      <c r="AZ59" s="83">
        <v>4.9499000000000001E-3</v>
      </c>
      <c r="BA59" s="83">
        <v>1.0726100000000001</v>
      </c>
      <c r="BB59" s="83">
        <v>5.1604799999999999E-2</v>
      </c>
      <c r="BC59" s="83">
        <v>4.9499000000000001E-3</v>
      </c>
      <c r="BD59" s="83">
        <v>1.0918300000000001</v>
      </c>
      <c r="BE59" s="83">
        <v>5.26036E-2</v>
      </c>
      <c r="BF59" s="83">
        <v>4.9499000000000001E-3</v>
      </c>
      <c r="BG59" s="83">
        <v>1.09711</v>
      </c>
      <c r="BH59" s="83">
        <v>5.2715900000000003E-2</v>
      </c>
      <c r="BI59" s="83">
        <v>4.9499000000000001E-3</v>
      </c>
      <c r="BJ59" s="83">
        <v>1.0885100000000001</v>
      </c>
      <c r="BK59" s="83">
        <v>5.2137000000000003E-2</v>
      </c>
      <c r="BL59" s="83">
        <v>4.9499000000000001E-3</v>
      </c>
      <c r="BM59" s="83">
        <v>1.08378</v>
      </c>
      <c r="BN59" s="83">
        <v>5.1792499999999998E-2</v>
      </c>
      <c r="BO59" s="83">
        <v>4.9499000000000001E-3</v>
      </c>
      <c r="BP59" s="83">
        <v>1.0837600000000001</v>
      </c>
      <c r="BQ59" s="83">
        <v>5.1747500000000002E-2</v>
      </c>
      <c r="BR59" s="83">
        <v>4.9499000000000001E-3</v>
      </c>
      <c r="BS59" s="83">
        <v>1.0898399999999999</v>
      </c>
      <c r="BT59" s="83">
        <v>5.2046799999999997E-2</v>
      </c>
      <c r="BU59" s="83">
        <v>4.9499000000000001E-3</v>
      </c>
      <c r="BV59" s="83">
        <v>1.1057699999999999</v>
      </c>
      <c r="BW59" s="83">
        <v>5.2829899999999999E-2</v>
      </c>
      <c r="BX59" s="83">
        <v>4.9499000000000001E-3</v>
      </c>
      <c r="BY59" s="83">
        <v>1.08063</v>
      </c>
      <c r="BZ59" s="83">
        <v>5.1567000000000002E-2</v>
      </c>
      <c r="CA59" s="83">
        <v>4.9499000000000001E-3</v>
      </c>
      <c r="CB59" s="83">
        <v>1.11158</v>
      </c>
      <c r="CC59" s="83">
        <v>5.3201900000000003E-2</v>
      </c>
      <c r="CD59" s="83">
        <v>4.9499000000000001E-3</v>
      </c>
      <c r="CE59" s="83">
        <v>1.0748500000000001</v>
      </c>
      <c r="CF59" s="83">
        <v>5.1527400000000001E-2</v>
      </c>
      <c r="CG59" s="83">
        <v>4.9499000000000001E-3</v>
      </c>
      <c r="CH59" s="83">
        <v>1.0753900000000001</v>
      </c>
      <c r="CI59" s="83">
        <v>5.17139E-2</v>
      </c>
      <c r="CJ59" s="83">
        <v>4.9499000000000001E-3</v>
      </c>
      <c r="CK59" s="83">
        <v>1.0631600000000001</v>
      </c>
      <c r="CL59" s="83">
        <v>5.1366599999999998E-2</v>
      </c>
      <c r="CM59" s="83">
        <v>4.9499000000000001E-3</v>
      </c>
      <c r="CN59" s="83">
        <v>1.0709200000000001</v>
      </c>
      <c r="CO59" s="83">
        <v>5.2086100000000003E-2</v>
      </c>
      <c r="CP59" s="83">
        <v>4.9499000000000001E-3</v>
      </c>
      <c r="CQ59" s="83">
        <v>1.0635699999999999</v>
      </c>
      <c r="CR59" s="83">
        <v>5.2294199999999999E-2</v>
      </c>
      <c r="CS59" s="83">
        <v>4.9499000000000001E-3</v>
      </c>
      <c r="CT59" s="83">
        <v>1.05227</v>
      </c>
      <c r="CU59" s="83">
        <v>5.2546299999999997E-2</v>
      </c>
      <c r="CV59" s="83">
        <v>4.9499000000000001E-3</v>
      </c>
      <c r="CW59" s="83">
        <v>1.01624</v>
      </c>
      <c r="CX59" s="83">
        <v>5.1716900000000003E-2</v>
      </c>
    </row>
    <row r="60" spans="1:102" x14ac:dyDescent="0.2">
      <c r="A60" s="83">
        <v>5.0499000000000004E-3</v>
      </c>
      <c r="B60" s="83">
        <v>0.85318499999999997</v>
      </c>
      <c r="C60" s="83">
        <v>4.8808699999999997E-2</v>
      </c>
      <c r="D60" s="83">
        <v>5.0499000000000004E-3</v>
      </c>
      <c r="E60" s="83">
        <v>0.88818200000000003</v>
      </c>
      <c r="F60" s="83">
        <v>4.9425700000000003E-2</v>
      </c>
      <c r="G60" s="83">
        <v>5.0499000000000004E-3</v>
      </c>
      <c r="H60" s="83">
        <v>0.91504200000000002</v>
      </c>
      <c r="I60" s="83">
        <v>4.9960499999999998E-2</v>
      </c>
      <c r="J60" s="83">
        <v>5.0499000000000004E-3</v>
      </c>
      <c r="K60" s="83">
        <v>0.94007200000000002</v>
      </c>
      <c r="L60" s="83">
        <v>4.9745400000000002E-2</v>
      </c>
      <c r="M60" s="83">
        <v>5.0499000000000004E-3</v>
      </c>
      <c r="N60" s="83">
        <v>0.94749899999999998</v>
      </c>
      <c r="O60" s="83">
        <v>4.9234899999999998E-2</v>
      </c>
      <c r="P60" s="83">
        <v>5.0499000000000004E-3</v>
      </c>
      <c r="Q60" s="83">
        <v>0.96465100000000004</v>
      </c>
      <c r="R60" s="83">
        <v>4.9683999999999999E-2</v>
      </c>
      <c r="S60" s="83">
        <v>5.0499000000000004E-3</v>
      </c>
      <c r="T60" s="83">
        <v>0.98005699999999996</v>
      </c>
      <c r="U60" s="83">
        <v>5.0152099999999998E-2</v>
      </c>
      <c r="V60" s="83">
        <v>5.0499000000000004E-3</v>
      </c>
      <c r="W60" s="83">
        <v>0.98176099999999999</v>
      </c>
      <c r="X60" s="83">
        <v>4.9582800000000003E-2</v>
      </c>
      <c r="Y60" s="83">
        <v>5.0499000000000004E-3</v>
      </c>
      <c r="Z60" s="83">
        <v>0.98755899999999996</v>
      </c>
      <c r="AA60" s="83">
        <v>4.9433900000000003E-2</v>
      </c>
      <c r="AB60" s="83">
        <v>5.0499000000000004E-3</v>
      </c>
      <c r="AC60" s="83">
        <v>0.99332900000000002</v>
      </c>
      <c r="AD60" s="83">
        <v>4.9198400000000003E-2</v>
      </c>
      <c r="AE60" s="83">
        <v>5.0499000000000004E-3</v>
      </c>
      <c r="AF60" s="83">
        <v>1.0083500000000001</v>
      </c>
      <c r="AG60" s="83">
        <v>4.9675799999999999E-2</v>
      </c>
      <c r="AH60" s="83">
        <v>5.0499000000000004E-3</v>
      </c>
      <c r="AI60" s="83">
        <v>1.01309</v>
      </c>
      <c r="AJ60" s="83">
        <v>4.9586400000000003E-2</v>
      </c>
      <c r="AK60" s="83">
        <v>5.0499000000000004E-3</v>
      </c>
      <c r="AL60" s="83">
        <v>1.0179400000000001</v>
      </c>
      <c r="AM60" s="83">
        <v>4.9581500000000001E-2</v>
      </c>
      <c r="AN60" s="83">
        <v>5.0499000000000004E-3</v>
      </c>
      <c r="AO60" s="83">
        <v>1.02336</v>
      </c>
      <c r="AP60" s="83">
        <v>4.9659200000000001E-2</v>
      </c>
      <c r="AQ60" s="83">
        <v>5.0499000000000004E-3</v>
      </c>
      <c r="AR60" s="83">
        <v>1.0204299999999999</v>
      </c>
      <c r="AS60" s="83">
        <v>4.9204199999999997E-2</v>
      </c>
      <c r="AT60" s="83">
        <v>5.0499000000000004E-3</v>
      </c>
      <c r="AU60" s="83">
        <v>1.0258400000000001</v>
      </c>
      <c r="AV60" s="83">
        <v>4.9255100000000003E-2</v>
      </c>
      <c r="AW60" s="83">
        <v>5.0499000000000004E-3</v>
      </c>
      <c r="AX60" s="83">
        <v>1.0288600000000001</v>
      </c>
      <c r="AY60" s="83">
        <v>4.9265700000000003E-2</v>
      </c>
      <c r="AZ60" s="83">
        <v>5.0499000000000004E-3</v>
      </c>
      <c r="BA60" s="83">
        <v>1.0278700000000001</v>
      </c>
      <c r="BB60" s="83">
        <v>4.9122300000000001E-2</v>
      </c>
      <c r="BC60" s="83">
        <v>5.0499000000000004E-3</v>
      </c>
      <c r="BD60" s="83">
        <v>1.0461199999999999</v>
      </c>
      <c r="BE60" s="83">
        <v>5.0081100000000003E-2</v>
      </c>
      <c r="BF60" s="83">
        <v>5.0499000000000004E-3</v>
      </c>
      <c r="BG60" s="83">
        <v>1.0505599999999999</v>
      </c>
      <c r="BH60" s="83">
        <v>5.0179799999999997E-2</v>
      </c>
      <c r="BI60" s="83">
        <v>5.0499000000000004E-3</v>
      </c>
      <c r="BJ60" s="83">
        <v>1.0416399999999999</v>
      </c>
      <c r="BK60" s="83">
        <v>4.9639900000000001E-2</v>
      </c>
      <c r="BL60" s="83">
        <v>5.0499000000000004E-3</v>
      </c>
      <c r="BM60" s="83">
        <v>1.0367900000000001</v>
      </c>
      <c r="BN60" s="83">
        <v>4.9296399999999997E-2</v>
      </c>
      <c r="BO60" s="83">
        <v>5.0499000000000004E-3</v>
      </c>
      <c r="BP60" s="83">
        <v>1.03606</v>
      </c>
      <c r="BQ60" s="83">
        <v>4.9296300000000001E-2</v>
      </c>
      <c r="BR60" s="83">
        <v>5.0499000000000004E-3</v>
      </c>
      <c r="BS60" s="83">
        <v>1.04112</v>
      </c>
      <c r="BT60" s="83">
        <v>4.9553600000000003E-2</v>
      </c>
      <c r="BU60" s="83">
        <v>5.0499000000000004E-3</v>
      </c>
      <c r="BV60" s="83">
        <v>1.05616</v>
      </c>
      <c r="BW60" s="83">
        <v>5.0283000000000001E-2</v>
      </c>
      <c r="BX60" s="83">
        <v>5.0499000000000004E-3</v>
      </c>
      <c r="BY60" s="83">
        <v>1.0310699999999999</v>
      </c>
      <c r="BZ60" s="83">
        <v>4.9115800000000001E-2</v>
      </c>
      <c r="CA60" s="83">
        <v>5.0499000000000004E-3</v>
      </c>
      <c r="CB60" s="83">
        <v>1.0603400000000001</v>
      </c>
      <c r="CC60" s="83">
        <v>5.0625799999999999E-2</v>
      </c>
      <c r="CD60" s="83">
        <v>5.0499000000000004E-3</v>
      </c>
      <c r="CE60" s="83">
        <v>1.0241499999999999</v>
      </c>
      <c r="CF60" s="83">
        <v>4.9054800000000003E-2</v>
      </c>
      <c r="CG60" s="83">
        <v>5.0499000000000004E-3</v>
      </c>
      <c r="CH60" s="83">
        <v>1.02338</v>
      </c>
      <c r="CI60" s="83">
        <v>4.9261699999999999E-2</v>
      </c>
      <c r="CJ60" s="83">
        <v>5.0499000000000004E-3</v>
      </c>
      <c r="CK60" s="83">
        <v>1.0107900000000001</v>
      </c>
      <c r="CL60" s="83">
        <v>4.8910500000000003E-2</v>
      </c>
      <c r="CM60" s="83">
        <v>5.0499000000000004E-3</v>
      </c>
      <c r="CN60" s="83">
        <v>1.0179</v>
      </c>
      <c r="CO60" s="83">
        <v>4.9593900000000003E-2</v>
      </c>
      <c r="CP60" s="83">
        <v>5.0499000000000004E-3</v>
      </c>
      <c r="CQ60" s="83">
        <v>1.0094799999999999</v>
      </c>
      <c r="CR60" s="83">
        <v>4.9798099999999998E-2</v>
      </c>
      <c r="CS60" s="83">
        <v>5.0499000000000004E-3</v>
      </c>
      <c r="CT60" s="83">
        <v>0.99774700000000005</v>
      </c>
      <c r="CU60" s="83">
        <v>5.00238E-2</v>
      </c>
      <c r="CV60" s="83">
        <v>5.0499000000000004E-3</v>
      </c>
      <c r="CW60" s="83">
        <v>0.96215899999999999</v>
      </c>
      <c r="CX60" s="83">
        <v>4.9213E-2</v>
      </c>
    </row>
    <row r="61" spans="1:102" x14ac:dyDescent="0.2">
      <c r="A61" s="83">
        <v>5.1498999999999998E-3</v>
      </c>
      <c r="B61" s="83">
        <v>0.82074400000000003</v>
      </c>
      <c r="C61" s="83">
        <v>4.6464999999999999E-2</v>
      </c>
      <c r="D61" s="83">
        <v>5.1498999999999998E-3</v>
      </c>
      <c r="E61" s="83">
        <v>0.85531100000000004</v>
      </c>
      <c r="F61" s="83">
        <v>4.70888E-2</v>
      </c>
      <c r="G61" s="83">
        <v>5.1498999999999998E-3</v>
      </c>
      <c r="H61" s="83">
        <v>0.88075999999999999</v>
      </c>
      <c r="I61" s="83">
        <v>4.7608900000000003E-2</v>
      </c>
      <c r="J61" s="83">
        <v>5.1498999999999998E-3</v>
      </c>
      <c r="K61" s="83">
        <v>0.90386599999999995</v>
      </c>
      <c r="L61" s="83">
        <v>4.7336200000000002E-2</v>
      </c>
      <c r="M61" s="83">
        <v>5.1498999999999998E-3</v>
      </c>
      <c r="N61" s="83">
        <v>0.91200599999999998</v>
      </c>
      <c r="O61" s="83">
        <v>4.68844E-2</v>
      </c>
      <c r="P61" s="83">
        <v>5.1498999999999998E-3</v>
      </c>
      <c r="Q61" s="83">
        <v>0.92796199999999995</v>
      </c>
      <c r="R61" s="83">
        <v>4.7308999999999997E-2</v>
      </c>
      <c r="S61" s="83">
        <v>5.1498999999999998E-3</v>
      </c>
      <c r="T61" s="83">
        <v>0.942855</v>
      </c>
      <c r="U61" s="83">
        <v>4.7778000000000001E-2</v>
      </c>
      <c r="V61" s="83">
        <v>5.1498999999999998E-3</v>
      </c>
      <c r="W61" s="83">
        <v>0.94428500000000004</v>
      </c>
      <c r="X61" s="83">
        <v>4.72273E-2</v>
      </c>
      <c r="Y61" s="83">
        <v>5.1498999999999998E-3</v>
      </c>
      <c r="Z61" s="83">
        <v>0.94979999999999998</v>
      </c>
      <c r="AA61" s="83">
        <v>4.7118500000000001E-2</v>
      </c>
      <c r="AB61" s="83">
        <v>5.1498999999999998E-3</v>
      </c>
      <c r="AC61" s="83">
        <v>0.95499400000000001</v>
      </c>
      <c r="AD61" s="83">
        <v>4.68615E-2</v>
      </c>
      <c r="AE61" s="83">
        <v>5.1498999999999998E-3</v>
      </c>
      <c r="AF61" s="83">
        <v>0.96891899999999997</v>
      </c>
      <c r="AG61" s="83">
        <v>4.7322299999999998E-2</v>
      </c>
      <c r="AH61" s="83">
        <v>5.1498999999999998E-3</v>
      </c>
      <c r="AI61" s="83">
        <v>0.97255000000000003</v>
      </c>
      <c r="AJ61" s="83">
        <v>4.7210500000000002E-2</v>
      </c>
      <c r="AK61" s="83">
        <v>5.1498999999999998E-3</v>
      </c>
      <c r="AL61" s="83">
        <v>0.97734200000000004</v>
      </c>
      <c r="AM61" s="83">
        <v>4.7248499999999999E-2</v>
      </c>
      <c r="AN61" s="83">
        <v>5.1498999999999998E-3</v>
      </c>
      <c r="AO61" s="83">
        <v>0.98226400000000003</v>
      </c>
      <c r="AP61" s="83">
        <v>4.7302799999999999E-2</v>
      </c>
      <c r="AQ61" s="83">
        <v>5.1498999999999998E-3</v>
      </c>
      <c r="AR61" s="83">
        <v>0.97876600000000002</v>
      </c>
      <c r="AS61" s="83">
        <v>4.6859400000000002E-2</v>
      </c>
      <c r="AT61" s="83">
        <v>5.1498999999999998E-3</v>
      </c>
      <c r="AU61" s="83">
        <v>0.98371799999999998</v>
      </c>
      <c r="AV61" s="83">
        <v>4.6933799999999998E-2</v>
      </c>
      <c r="AW61" s="83">
        <v>5.1498999999999998E-3</v>
      </c>
      <c r="AX61" s="83">
        <v>0.98594300000000001</v>
      </c>
      <c r="AY61" s="83">
        <v>4.68926E-2</v>
      </c>
      <c r="AZ61" s="83">
        <v>5.1498999999999998E-3</v>
      </c>
      <c r="BA61" s="83">
        <v>0.98480000000000001</v>
      </c>
      <c r="BB61" s="83">
        <v>4.6785399999999998E-2</v>
      </c>
      <c r="BC61" s="83">
        <v>5.1498999999999998E-3</v>
      </c>
      <c r="BD61" s="83">
        <v>1.0015000000000001</v>
      </c>
      <c r="BE61" s="83">
        <v>4.7683700000000002E-2</v>
      </c>
      <c r="BF61" s="83">
        <v>5.1498999999999998E-3</v>
      </c>
      <c r="BG61" s="83">
        <v>1.0060199999999999</v>
      </c>
      <c r="BH61" s="83">
        <v>4.7787200000000002E-2</v>
      </c>
      <c r="BI61" s="83">
        <v>5.1498999999999998E-3</v>
      </c>
      <c r="BJ61" s="83">
        <v>0.99632799999999999</v>
      </c>
      <c r="BK61" s="83">
        <v>4.72922E-2</v>
      </c>
      <c r="BL61" s="83">
        <v>5.1498999999999998E-3</v>
      </c>
      <c r="BM61" s="83">
        <v>0.99071900000000002</v>
      </c>
      <c r="BN61" s="83">
        <v>4.6968200000000002E-2</v>
      </c>
      <c r="BO61" s="83">
        <v>5.1498999999999998E-3</v>
      </c>
      <c r="BP61" s="83">
        <v>0.98948499999999995</v>
      </c>
      <c r="BQ61" s="83">
        <v>4.6958399999999997E-2</v>
      </c>
      <c r="BR61" s="83">
        <v>5.1498999999999998E-3</v>
      </c>
      <c r="BS61" s="83">
        <v>0.99419800000000003</v>
      </c>
      <c r="BT61" s="83">
        <v>4.7203000000000002E-2</v>
      </c>
      <c r="BU61" s="83">
        <v>5.1498999999999998E-3</v>
      </c>
      <c r="BV61" s="83">
        <v>1.0076499999999999</v>
      </c>
      <c r="BW61" s="83">
        <v>4.7901199999999998E-2</v>
      </c>
      <c r="BX61" s="83">
        <v>5.1498999999999998E-3</v>
      </c>
      <c r="BY61" s="83">
        <v>0.98269899999999999</v>
      </c>
      <c r="BZ61" s="83">
        <v>4.6781799999999998E-2</v>
      </c>
      <c r="CA61" s="83">
        <v>5.1498999999999998E-3</v>
      </c>
      <c r="CB61" s="83">
        <v>1.0104500000000001</v>
      </c>
      <c r="CC61" s="83">
        <v>4.8207800000000002E-2</v>
      </c>
      <c r="CD61" s="83">
        <v>5.1498999999999998E-3</v>
      </c>
      <c r="CE61" s="83">
        <v>0.97471200000000002</v>
      </c>
      <c r="CF61" s="83">
        <v>4.67237E-2</v>
      </c>
      <c r="CG61" s="83">
        <v>5.1498999999999998E-3</v>
      </c>
      <c r="CH61" s="83">
        <v>0.973047</v>
      </c>
      <c r="CI61" s="83">
        <v>4.69199E-2</v>
      </c>
      <c r="CJ61" s="83">
        <v>5.1498999999999998E-3</v>
      </c>
      <c r="CK61" s="83">
        <v>0.96055800000000002</v>
      </c>
      <c r="CL61" s="83">
        <v>4.6545299999999998E-2</v>
      </c>
      <c r="CM61" s="83">
        <v>5.1498999999999998E-3</v>
      </c>
      <c r="CN61" s="83">
        <v>0.96612299999999995</v>
      </c>
      <c r="CO61" s="83">
        <v>4.72326E-2</v>
      </c>
      <c r="CP61" s="83">
        <v>5.1498999999999998E-3</v>
      </c>
      <c r="CQ61" s="83">
        <v>0.95743199999999995</v>
      </c>
      <c r="CR61" s="83">
        <v>4.74172E-2</v>
      </c>
      <c r="CS61" s="83">
        <v>5.1498999999999998E-3</v>
      </c>
      <c r="CT61" s="83">
        <v>0.94545699999999999</v>
      </c>
      <c r="CU61" s="83">
        <v>4.7618599999999997E-2</v>
      </c>
      <c r="CV61" s="83">
        <v>5.1498999999999998E-3</v>
      </c>
      <c r="CW61" s="83">
        <v>0.90972699999999995</v>
      </c>
      <c r="CX61" s="83">
        <v>4.6859499999999998E-2</v>
      </c>
    </row>
    <row r="62" spans="1:102" x14ac:dyDescent="0.2">
      <c r="A62" s="83">
        <v>5.2499000000000001E-3</v>
      </c>
      <c r="B62" s="83">
        <v>0.78974800000000001</v>
      </c>
      <c r="C62" s="83">
        <v>4.42081E-2</v>
      </c>
      <c r="D62" s="83">
        <v>5.2499000000000001E-3</v>
      </c>
      <c r="E62" s="83">
        <v>0.82273700000000005</v>
      </c>
      <c r="F62" s="83">
        <v>4.4821199999999999E-2</v>
      </c>
      <c r="G62" s="83">
        <v>5.2499000000000001E-3</v>
      </c>
      <c r="H62" s="83">
        <v>0.84771300000000005</v>
      </c>
      <c r="I62" s="83">
        <v>4.5320899999999997E-2</v>
      </c>
      <c r="J62" s="83">
        <v>5.2499000000000001E-3</v>
      </c>
      <c r="K62" s="83">
        <v>0.86981799999999998</v>
      </c>
      <c r="L62" s="83">
        <v>4.5093099999999997E-2</v>
      </c>
      <c r="M62" s="83">
        <v>5.2499000000000001E-3</v>
      </c>
      <c r="N62" s="83">
        <v>0.87735200000000002</v>
      </c>
      <c r="O62" s="83">
        <v>4.4652900000000002E-2</v>
      </c>
      <c r="P62" s="83">
        <v>5.2499000000000001E-3</v>
      </c>
      <c r="Q62" s="83">
        <v>0.89234199999999997</v>
      </c>
      <c r="R62" s="83">
        <v>4.5038500000000002E-2</v>
      </c>
      <c r="S62" s="83">
        <v>5.2499000000000001E-3</v>
      </c>
      <c r="T62" s="83">
        <v>0.90671199999999996</v>
      </c>
      <c r="U62" s="83">
        <v>4.5479199999999997E-2</v>
      </c>
      <c r="V62" s="83">
        <v>5.2499000000000001E-3</v>
      </c>
      <c r="W62" s="83">
        <v>0.90769900000000003</v>
      </c>
      <c r="X62" s="83">
        <v>4.4958699999999997E-2</v>
      </c>
      <c r="Y62" s="83">
        <v>5.2499000000000001E-3</v>
      </c>
      <c r="Z62" s="83">
        <v>0.91243200000000002</v>
      </c>
      <c r="AA62" s="83">
        <v>4.4855800000000001E-2</v>
      </c>
      <c r="AB62" s="83">
        <v>5.2499000000000001E-3</v>
      </c>
      <c r="AC62" s="83">
        <v>0.91744999999999999</v>
      </c>
      <c r="AD62" s="83">
        <v>4.4627100000000003E-2</v>
      </c>
      <c r="AE62" s="83">
        <v>5.2499000000000001E-3</v>
      </c>
      <c r="AF62" s="83">
        <v>0.93049099999999996</v>
      </c>
      <c r="AG62" s="83">
        <v>4.5056600000000002E-2</v>
      </c>
      <c r="AH62" s="83">
        <v>5.2499000000000001E-3</v>
      </c>
      <c r="AI62" s="83">
        <v>0.93387799999999999</v>
      </c>
      <c r="AJ62" s="83">
        <v>4.4998499999999997E-2</v>
      </c>
      <c r="AK62" s="83">
        <v>5.2499000000000001E-3</v>
      </c>
      <c r="AL62" s="83">
        <v>0.93797699999999995</v>
      </c>
      <c r="AM62" s="83">
        <v>4.4999499999999998E-2</v>
      </c>
      <c r="AN62" s="83">
        <v>5.2499000000000001E-3</v>
      </c>
      <c r="AO62" s="83">
        <v>0.94254700000000002</v>
      </c>
      <c r="AP62" s="83">
        <v>4.5044000000000001E-2</v>
      </c>
      <c r="AQ62" s="83">
        <v>5.2499000000000001E-3</v>
      </c>
      <c r="AR62" s="83">
        <v>0.938253</v>
      </c>
      <c r="AS62" s="83">
        <v>4.4632900000000003E-2</v>
      </c>
      <c r="AT62" s="83">
        <v>5.2499000000000001E-3</v>
      </c>
      <c r="AU62" s="83">
        <v>0.94299999999999995</v>
      </c>
      <c r="AV62" s="83">
        <v>4.4692599999999999E-2</v>
      </c>
      <c r="AW62" s="83">
        <v>5.2499000000000001E-3</v>
      </c>
      <c r="AX62" s="83">
        <v>0.94459000000000004</v>
      </c>
      <c r="AY62" s="83">
        <v>4.4664099999999998E-2</v>
      </c>
      <c r="AZ62" s="83">
        <v>5.2499000000000001E-3</v>
      </c>
      <c r="BA62" s="83">
        <v>0.94232000000000005</v>
      </c>
      <c r="BB62" s="83">
        <v>4.4555900000000002E-2</v>
      </c>
      <c r="BC62" s="83">
        <v>5.2499000000000001E-3</v>
      </c>
      <c r="BD62" s="83">
        <v>0.95838000000000001</v>
      </c>
      <c r="BE62" s="83">
        <v>4.54356E-2</v>
      </c>
      <c r="BF62" s="83">
        <v>5.2499000000000001E-3</v>
      </c>
      <c r="BG62" s="83">
        <v>0.96203399999999994</v>
      </c>
      <c r="BH62" s="83">
        <v>4.5524500000000002E-2</v>
      </c>
      <c r="BI62" s="83">
        <v>5.2499000000000001E-3</v>
      </c>
      <c r="BJ62" s="83">
        <v>0.95261200000000001</v>
      </c>
      <c r="BK62" s="83">
        <v>4.5057899999999998E-2</v>
      </c>
      <c r="BL62" s="83">
        <v>5.2499000000000001E-3</v>
      </c>
      <c r="BM62" s="83">
        <v>0.94617799999999996</v>
      </c>
      <c r="BN62" s="83">
        <v>4.4717300000000001E-2</v>
      </c>
      <c r="BO62" s="83">
        <v>5.2499000000000001E-3</v>
      </c>
      <c r="BP62" s="83">
        <v>0.94498800000000005</v>
      </c>
      <c r="BQ62" s="83">
        <v>4.47182E-2</v>
      </c>
      <c r="BR62" s="83">
        <v>5.2499000000000001E-3</v>
      </c>
      <c r="BS62" s="83">
        <v>0.94861200000000001</v>
      </c>
      <c r="BT62" s="83">
        <v>4.4948200000000001E-2</v>
      </c>
      <c r="BU62" s="83">
        <v>5.2499000000000001E-3</v>
      </c>
      <c r="BV62" s="83">
        <v>0.96096700000000002</v>
      </c>
      <c r="BW62" s="83">
        <v>4.5616999999999998E-2</v>
      </c>
      <c r="BX62" s="83">
        <v>5.2499000000000001E-3</v>
      </c>
      <c r="BY62" s="83">
        <v>0.93603899999999995</v>
      </c>
      <c r="BZ62" s="83">
        <v>4.4523E-2</v>
      </c>
      <c r="CA62" s="83">
        <v>5.2499000000000001E-3</v>
      </c>
      <c r="CB62" s="83">
        <v>0.96258200000000005</v>
      </c>
      <c r="CC62" s="83">
        <v>4.5901200000000003E-2</v>
      </c>
      <c r="CD62" s="83">
        <v>5.2499000000000001E-3</v>
      </c>
      <c r="CE62" s="83">
        <v>0.92714799999999997</v>
      </c>
      <c r="CF62" s="83">
        <v>4.44844E-2</v>
      </c>
      <c r="CG62" s="83">
        <v>5.2499000000000001E-3</v>
      </c>
      <c r="CH62" s="83">
        <v>0.92474699999999999</v>
      </c>
      <c r="CI62" s="83">
        <v>4.4655300000000002E-2</v>
      </c>
      <c r="CJ62" s="83">
        <v>5.2499000000000001E-3</v>
      </c>
      <c r="CK62" s="83">
        <v>0.91169599999999995</v>
      </c>
      <c r="CL62" s="83">
        <v>4.4333400000000002E-2</v>
      </c>
      <c r="CM62" s="83">
        <v>5.2499000000000001E-3</v>
      </c>
      <c r="CN62" s="83">
        <v>0.91633699999999996</v>
      </c>
      <c r="CO62" s="83">
        <v>4.4963000000000003E-2</v>
      </c>
      <c r="CP62" s="83">
        <v>5.2499000000000001E-3</v>
      </c>
      <c r="CQ62" s="83">
        <v>0.90723699999999996</v>
      </c>
      <c r="CR62" s="83">
        <v>4.51311E-2</v>
      </c>
      <c r="CS62" s="83">
        <v>5.2499000000000001E-3</v>
      </c>
      <c r="CT62" s="83">
        <v>0.89476900000000004</v>
      </c>
      <c r="CU62" s="83">
        <v>4.5354899999999997E-2</v>
      </c>
      <c r="CV62" s="83">
        <v>5.2499000000000001E-3</v>
      </c>
      <c r="CW62" s="83">
        <v>0.85990800000000001</v>
      </c>
      <c r="CX62" s="83">
        <v>4.4605499999999999E-2</v>
      </c>
    </row>
    <row r="63" spans="1:102" x14ac:dyDescent="0.2">
      <c r="A63" s="83">
        <v>5.3499000000000003E-3</v>
      </c>
      <c r="B63" s="83">
        <v>0.75961100000000004</v>
      </c>
      <c r="C63" s="83">
        <v>4.2090900000000001E-2</v>
      </c>
      <c r="D63" s="83">
        <v>5.3499000000000003E-3</v>
      </c>
      <c r="E63" s="83">
        <v>0.79190300000000002</v>
      </c>
      <c r="F63" s="83">
        <v>4.2692300000000002E-2</v>
      </c>
      <c r="G63" s="83">
        <v>5.3499000000000003E-3</v>
      </c>
      <c r="H63" s="83">
        <v>0.81555500000000003</v>
      </c>
      <c r="I63" s="83">
        <v>4.3157800000000003E-2</v>
      </c>
      <c r="J63" s="83">
        <v>5.3499000000000003E-3</v>
      </c>
      <c r="K63" s="83">
        <v>0.83670800000000001</v>
      </c>
      <c r="L63" s="83">
        <v>4.2910499999999997E-2</v>
      </c>
      <c r="M63" s="83">
        <v>5.3499000000000003E-3</v>
      </c>
      <c r="N63" s="83">
        <v>0.84306999999999999</v>
      </c>
      <c r="O63" s="83">
        <v>4.2500599999999999E-2</v>
      </c>
      <c r="P63" s="83">
        <v>5.3499000000000003E-3</v>
      </c>
      <c r="Q63" s="83">
        <v>0.85816199999999998</v>
      </c>
      <c r="R63" s="83">
        <v>4.2873500000000002E-2</v>
      </c>
      <c r="S63" s="83">
        <v>5.3499000000000003E-3</v>
      </c>
      <c r="T63" s="83">
        <v>0.87128300000000003</v>
      </c>
      <c r="U63" s="83">
        <v>4.3312200000000002E-2</v>
      </c>
      <c r="V63" s="83">
        <v>5.3499000000000003E-3</v>
      </c>
      <c r="W63" s="83">
        <v>0.87208799999999997</v>
      </c>
      <c r="X63" s="83">
        <v>4.2803500000000001E-2</v>
      </c>
      <c r="Y63" s="83">
        <v>5.3499000000000003E-3</v>
      </c>
      <c r="Z63" s="83">
        <v>0.87642100000000001</v>
      </c>
      <c r="AA63" s="83">
        <v>4.2721000000000002E-2</v>
      </c>
      <c r="AB63" s="83">
        <v>5.3499000000000003E-3</v>
      </c>
      <c r="AC63" s="83">
        <v>0.88067799999999996</v>
      </c>
      <c r="AD63" s="83">
        <v>4.2479599999999999E-2</v>
      </c>
      <c r="AE63" s="83">
        <v>5.3499000000000003E-3</v>
      </c>
      <c r="AF63" s="83">
        <v>0.89268400000000003</v>
      </c>
      <c r="AG63" s="83">
        <v>4.2904299999999999E-2</v>
      </c>
      <c r="AH63" s="83">
        <v>5.3499000000000003E-3</v>
      </c>
      <c r="AI63" s="83">
        <v>0.89593800000000001</v>
      </c>
      <c r="AJ63" s="83">
        <v>4.2846200000000001E-2</v>
      </c>
      <c r="AK63" s="83">
        <v>5.3499000000000003E-3</v>
      </c>
      <c r="AL63" s="83">
        <v>0.899891</v>
      </c>
      <c r="AM63" s="83">
        <v>4.2838399999999999E-2</v>
      </c>
      <c r="AN63" s="83">
        <v>5.3499000000000003E-3</v>
      </c>
      <c r="AO63" s="83">
        <v>0.90344100000000005</v>
      </c>
      <c r="AP63" s="83">
        <v>4.2900399999999998E-2</v>
      </c>
      <c r="AQ63" s="83">
        <v>5.3499000000000003E-3</v>
      </c>
      <c r="AR63" s="83">
        <v>0.89888800000000002</v>
      </c>
      <c r="AS63" s="83">
        <v>4.2496100000000002E-2</v>
      </c>
      <c r="AT63" s="83">
        <v>5.3499000000000003E-3</v>
      </c>
      <c r="AU63" s="83">
        <v>0.90278999999999998</v>
      </c>
      <c r="AV63" s="83">
        <v>4.2581300000000002E-2</v>
      </c>
      <c r="AW63" s="83">
        <v>5.3499000000000003E-3</v>
      </c>
      <c r="AX63" s="83">
        <v>0.90389699999999995</v>
      </c>
      <c r="AY63" s="83">
        <v>4.2557699999999997E-2</v>
      </c>
      <c r="AZ63" s="83">
        <v>5.3499000000000003E-3</v>
      </c>
      <c r="BA63" s="83">
        <v>0.90149500000000005</v>
      </c>
      <c r="BB63" s="83">
        <v>4.2444599999999999E-2</v>
      </c>
      <c r="BC63" s="83">
        <v>5.3499000000000003E-3</v>
      </c>
      <c r="BD63" s="83">
        <v>0.91675899999999999</v>
      </c>
      <c r="BE63" s="83">
        <v>4.3258900000000003E-2</v>
      </c>
      <c r="BF63" s="83">
        <v>5.3499000000000003E-3</v>
      </c>
      <c r="BG63" s="83">
        <v>0.91967100000000002</v>
      </c>
      <c r="BH63" s="83">
        <v>4.3337000000000001E-2</v>
      </c>
      <c r="BI63" s="83">
        <v>5.3499000000000003E-3</v>
      </c>
      <c r="BJ63" s="83">
        <v>0.90964800000000001</v>
      </c>
      <c r="BK63" s="83">
        <v>4.2904499999999998E-2</v>
      </c>
      <c r="BL63" s="83">
        <v>5.3499000000000003E-3</v>
      </c>
      <c r="BM63" s="83">
        <v>0.903331</v>
      </c>
      <c r="BN63" s="83">
        <v>4.2583500000000003E-2</v>
      </c>
      <c r="BO63" s="83">
        <v>5.3499000000000003E-3</v>
      </c>
      <c r="BP63" s="83">
        <v>0.90144800000000003</v>
      </c>
      <c r="BQ63" s="83">
        <v>4.2570700000000003E-2</v>
      </c>
      <c r="BR63" s="83">
        <v>5.3499000000000003E-3</v>
      </c>
      <c r="BS63" s="83">
        <v>0.90424199999999999</v>
      </c>
      <c r="BT63" s="83">
        <v>4.2816300000000002E-2</v>
      </c>
      <c r="BU63" s="83">
        <v>5.3499000000000003E-3</v>
      </c>
      <c r="BV63" s="83">
        <v>0.91599200000000003</v>
      </c>
      <c r="BW63" s="83">
        <v>4.3407099999999997E-2</v>
      </c>
      <c r="BX63" s="83">
        <v>5.3499000000000003E-3</v>
      </c>
      <c r="BY63" s="83">
        <v>0.89120500000000002</v>
      </c>
      <c r="BZ63" s="83">
        <v>4.24E-2</v>
      </c>
      <c r="CA63" s="83">
        <v>5.3499000000000003E-3</v>
      </c>
      <c r="CB63" s="83">
        <v>0.91633200000000004</v>
      </c>
      <c r="CC63" s="83">
        <v>4.3691199999999999E-2</v>
      </c>
      <c r="CD63" s="83">
        <v>5.3499000000000003E-3</v>
      </c>
      <c r="CE63" s="83">
        <v>0.880884</v>
      </c>
      <c r="CF63" s="83">
        <v>4.2359399999999998E-2</v>
      </c>
      <c r="CG63" s="83">
        <v>5.3499000000000003E-3</v>
      </c>
      <c r="CH63" s="83">
        <v>0.87827699999999997</v>
      </c>
      <c r="CI63" s="83">
        <v>4.2526399999999999E-2</v>
      </c>
      <c r="CJ63" s="83">
        <v>5.3499000000000003E-3</v>
      </c>
      <c r="CK63" s="83">
        <v>0.86500600000000005</v>
      </c>
      <c r="CL63" s="83">
        <v>4.2223999999999998E-2</v>
      </c>
      <c r="CM63" s="83">
        <v>5.3499000000000003E-3</v>
      </c>
      <c r="CN63" s="83">
        <v>0.86841800000000002</v>
      </c>
      <c r="CO63" s="83">
        <v>4.2824399999999999E-2</v>
      </c>
      <c r="CP63" s="83">
        <v>5.3499000000000003E-3</v>
      </c>
      <c r="CQ63" s="83">
        <v>0.85885800000000001</v>
      </c>
      <c r="CR63" s="83">
        <v>4.2975800000000001E-2</v>
      </c>
      <c r="CS63" s="83">
        <v>5.3499000000000003E-3</v>
      </c>
      <c r="CT63" s="83">
        <v>0.84628300000000001</v>
      </c>
      <c r="CU63" s="83">
        <v>4.3161499999999998E-2</v>
      </c>
      <c r="CV63" s="83">
        <v>5.3499000000000003E-3</v>
      </c>
      <c r="CW63" s="83">
        <v>0.81112799999999996</v>
      </c>
      <c r="CX63" s="83">
        <v>4.2468800000000001E-2</v>
      </c>
    </row>
    <row r="64" spans="1:102" x14ac:dyDescent="0.2">
      <c r="A64" s="83">
        <v>5.4498999999999997E-3</v>
      </c>
      <c r="B64" s="83">
        <v>0.730124</v>
      </c>
      <c r="C64" s="83">
        <v>4.0106599999999999E-2</v>
      </c>
      <c r="D64" s="83">
        <v>5.4498999999999997E-3</v>
      </c>
      <c r="E64" s="83">
        <v>0.76104799999999995</v>
      </c>
      <c r="F64" s="83">
        <v>4.0669799999999999E-2</v>
      </c>
      <c r="G64" s="83">
        <v>5.4498999999999997E-3</v>
      </c>
      <c r="H64" s="83">
        <v>0.78401699999999996</v>
      </c>
      <c r="I64" s="83">
        <v>4.1101100000000002E-2</v>
      </c>
      <c r="J64" s="83">
        <v>5.4498999999999997E-3</v>
      </c>
      <c r="K64" s="83">
        <v>0.80400700000000003</v>
      </c>
      <c r="L64" s="83">
        <v>4.0887E-2</v>
      </c>
      <c r="M64" s="83">
        <v>5.4498999999999997E-3</v>
      </c>
      <c r="N64" s="83">
        <v>0.80977399999999999</v>
      </c>
      <c r="O64" s="83">
        <v>4.0494700000000002E-2</v>
      </c>
      <c r="P64" s="83">
        <v>5.4498999999999997E-3</v>
      </c>
      <c r="Q64" s="83">
        <v>0.82441200000000003</v>
      </c>
      <c r="R64" s="83">
        <v>4.0849999999999997E-2</v>
      </c>
      <c r="S64" s="83">
        <v>5.4498999999999997E-3</v>
      </c>
      <c r="T64" s="83">
        <v>0.83699100000000004</v>
      </c>
      <c r="U64" s="83">
        <v>4.1260499999999999E-2</v>
      </c>
      <c r="V64" s="83">
        <v>5.4498999999999997E-3</v>
      </c>
      <c r="W64" s="83">
        <v>0.83714699999999997</v>
      </c>
      <c r="X64" s="83">
        <v>4.07917E-2</v>
      </c>
      <c r="Y64" s="83">
        <v>5.4498999999999997E-3</v>
      </c>
      <c r="Z64" s="83">
        <v>0.84130400000000005</v>
      </c>
      <c r="AA64" s="83">
        <v>4.0701500000000002E-2</v>
      </c>
      <c r="AB64" s="83">
        <v>5.4498999999999997E-3</v>
      </c>
      <c r="AC64" s="83">
        <v>0.844916</v>
      </c>
      <c r="AD64" s="83">
        <v>4.0476699999999997E-2</v>
      </c>
      <c r="AE64" s="83">
        <v>5.4498999999999997E-3</v>
      </c>
      <c r="AF64" s="83">
        <v>0.85656500000000002</v>
      </c>
      <c r="AG64" s="83">
        <v>4.0877900000000002E-2</v>
      </c>
      <c r="AH64" s="83">
        <v>5.4498999999999997E-3</v>
      </c>
      <c r="AI64" s="83">
        <v>0.85938099999999995</v>
      </c>
      <c r="AJ64" s="83">
        <v>4.0841299999999997E-2</v>
      </c>
      <c r="AK64" s="83">
        <v>5.4498999999999997E-3</v>
      </c>
      <c r="AL64" s="83">
        <v>0.86257600000000001</v>
      </c>
      <c r="AM64" s="83">
        <v>4.0822799999999999E-2</v>
      </c>
      <c r="AN64" s="83">
        <v>5.4498999999999997E-3</v>
      </c>
      <c r="AO64" s="83">
        <v>0.86573599999999995</v>
      </c>
      <c r="AP64" s="83">
        <v>4.0884799999999999E-2</v>
      </c>
      <c r="AQ64" s="83">
        <v>5.4498999999999997E-3</v>
      </c>
      <c r="AR64" s="83">
        <v>0.86069499999999999</v>
      </c>
      <c r="AS64" s="83">
        <v>4.04903E-2</v>
      </c>
      <c r="AT64" s="83">
        <v>5.4498999999999997E-3</v>
      </c>
      <c r="AU64" s="83">
        <v>0.86396200000000001</v>
      </c>
      <c r="AV64" s="83">
        <v>4.0567600000000002E-2</v>
      </c>
      <c r="AW64" s="83">
        <v>5.4498999999999997E-3</v>
      </c>
      <c r="AX64" s="83">
        <v>0.86517599999999995</v>
      </c>
      <c r="AY64" s="83">
        <v>4.0541099999999997E-2</v>
      </c>
      <c r="AZ64" s="83">
        <v>5.4498999999999997E-3</v>
      </c>
      <c r="BA64" s="83">
        <v>0.86225700000000005</v>
      </c>
      <c r="BB64" s="83">
        <v>4.0433900000000002E-2</v>
      </c>
      <c r="BC64" s="83">
        <v>5.4498999999999997E-3</v>
      </c>
      <c r="BD64" s="83">
        <v>0.87645099999999998</v>
      </c>
      <c r="BE64" s="83">
        <v>4.1222700000000001E-2</v>
      </c>
      <c r="BF64" s="83">
        <v>5.4498999999999997E-3</v>
      </c>
      <c r="BG64" s="83">
        <v>0.87853800000000004</v>
      </c>
      <c r="BH64" s="83">
        <v>4.1285200000000001E-2</v>
      </c>
      <c r="BI64" s="83">
        <v>5.4498999999999997E-3</v>
      </c>
      <c r="BJ64" s="83">
        <v>0.86856900000000004</v>
      </c>
      <c r="BK64" s="83">
        <v>4.0883999999999997E-2</v>
      </c>
      <c r="BL64" s="83">
        <v>5.4498999999999997E-3</v>
      </c>
      <c r="BM64" s="83">
        <v>0.86119699999999999</v>
      </c>
      <c r="BN64" s="83">
        <v>4.0580600000000001E-2</v>
      </c>
      <c r="BO64" s="83">
        <v>5.4498999999999997E-3</v>
      </c>
      <c r="BP64" s="83">
        <v>0.85922699999999996</v>
      </c>
      <c r="BQ64" s="83">
        <v>4.0545299999999999E-2</v>
      </c>
      <c r="BR64" s="83">
        <v>5.4498999999999997E-3</v>
      </c>
      <c r="BS64" s="83">
        <v>0.86136100000000004</v>
      </c>
      <c r="BT64" s="83">
        <v>4.079E-2</v>
      </c>
      <c r="BU64" s="83">
        <v>5.4498999999999997E-3</v>
      </c>
      <c r="BV64" s="83">
        <v>0.87193900000000002</v>
      </c>
      <c r="BW64" s="83">
        <v>4.1365100000000002E-2</v>
      </c>
      <c r="BX64" s="83">
        <v>5.4498999999999997E-3</v>
      </c>
      <c r="BY64" s="83">
        <v>0.84794800000000004</v>
      </c>
      <c r="BZ64" s="83">
        <v>4.03921E-2</v>
      </c>
      <c r="CA64" s="83">
        <v>5.4498999999999997E-3</v>
      </c>
      <c r="CB64" s="83">
        <v>0.87128300000000003</v>
      </c>
      <c r="CC64" s="83">
        <v>4.1625799999999998E-2</v>
      </c>
      <c r="CD64" s="83">
        <v>5.4498999999999997E-3</v>
      </c>
      <c r="CE64" s="83">
        <v>0.83676799999999996</v>
      </c>
      <c r="CF64" s="83">
        <v>4.0350700000000003E-2</v>
      </c>
      <c r="CG64" s="83">
        <v>5.4498999999999997E-3</v>
      </c>
      <c r="CH64" s="83">
        <v>0.83333500000000005</v>
      </c>
      <c r="CI64" s="83">
        <v>4.0502900000000001E-2</v>
      </c>
      <c r="CJ64" s="83">
        <v>5.4498999999999997E-3</v>
      </c>
      <c r="CK64" s="83">
        <v>0.81948399999999999</v>
      </c>
      <c r="CL64" s="83">
        <v>4.0221100000000003E-2</v>
      </c>
      <c r="CM64" s="83">
        <v>5.4498999999999997E-3</v>
      </c>
      <c r="CN64" s="83">
        <v>0.82221200000000005</v>
      </c>
      <c r="CO64" s="83">
        <v>4.0793099999999999E-2</v>
      </c>
      <c r="CP64" s="83">
        <v>5.4498999999999997E-3</v>
      </c>
      <c r="CQ64" s="83">
        <v>0.81239300000000003</v>
      </c>
      <c r="CR64" s="83">
        <v>4.0939700000000002E-2</v>
      </c>
      <c r="CS64" s="83">
        <v>5.4498999999999997E-3</v>
      </c>
      <c r="CT64" s="83">
        <v>0.80008599999999996</v>
      </c>
      <c r="CU64" s="83">
        <v>4.1118599999999998E-2</v>
      </c>
      <c r="CV64" s="83">
        <v>5.4498999999999997E-3</v>
      </c>
      <c r="CW64" s="83">
        <v>0.764903</v>
      </c>
      <c r="CX64" s="83">
        <v>4.0462999999999999E-2</v>
      </c>
    </row>
    <row r="65" spans="1:102" x14ac:dyDescent="0.2">
      <c r="A65" s="83">
        <v>5.5499E-3</v>
      </c>
      <c r="B65" s="83">
        <v>0.70137899999999997</v>
      </c>
      <c r="C65" s="83">
        <v>3.8178799999999999E-2</v>
      </c>
      <c r="D65" s="83">
        <v>5.5499E-3</v>
      </c>
      <c r="E65" s="83">
        <v>0.73127799999999998</v>
      </c>
      <c r="F65" s="83">
        <v>3.8729399999999997E-2</v>
      </c>
      <c r="G65" s="83">
        <v>5.5499E-3</v>
      </c>
      <c r="H65" s="83">
        <v>0.75314300000000001</v>
      </c>
      <c r="I65" s="83">
        <v>3.9158800000000001E-2</v>
      </c>
      <c r="J65" s="83">
        <v>5.5499E-3</v>
      </c>
      <c r="K65" s="83">
        <v>0.77198599999999995</v>
      </c>
      <c r="L65" s="83">
        <v>3.8952399999999998E-2</v>
      </c>
      <c r="M65" s="83">
        <v>5.5499E-3</v>
      </c>
      <c r="N65" s="83">
        <v>0.77770399999999995</v>
      </c>
      <c r="O65" s="83">
        <v>3.8571899999999999E-2</v>
      </c>
      <c r="P65" s="83">
        <v>5.5499E-3</v>
      </c>
      <c r="Q65" s="83">
        <v>0.791717</v>
      </c>
      <c r="R65" s="83">
        <v>3.89194E-2</v>
      </c>
      <c r="S65" s="83">
        <v>5.5499E-3</v>
      </c>
      <c r="T65" s="83">
        <v>0.80399799999999999</v>
      </c>
      <c r="U65" s="83">
        <v>3.9326899999999998E-2</v>
      </c>
      <c r="V65" s="83">
        <v>5.5499E-3</v>
      </c>
      <c r="W65" s="83">
        <v>0.80349000000000004</v>
      </c>
      <c r="X65" s="83">
        <v>3.8851299999999998E-2</v>
      </c>
      <c r="Y65" s="83">
        <v>5.5499E-3</v>
      </c>
      <c r="Z65" s="83">
        <v>0.80740299999999998</v>
      </c>
      <c r="AA65" s="83">
        <v>3.8793300000000003E-2</v>
      </c>
      <c r="AB65" s="83">
        <v>5.5499E-3</v>
      </c>
      <c r="AC65" s="83">
        <v>0.81029200000000001</v>
      </c>
      <c r="AD65" s="83">
        <v>3.85548E-2</v>
      </c>
      <c r="AE65" s="83">
        <v>5.5499E-3</v>
      </c>
      <c r="AF65" s="83">
        <v>0.821048</v>
      </c>
      <c r="AG65" s="83">
        <v>3.8952100000000003E-2</v>
      </c>
      <c r="AH65" s="83">
        <v>5.5499E-3</v>
      </c>
      <c r="AI65" s="83">
        <v>0.82349700000000003</v>
      </c>
      <c r="AJ65" s="83">
        <v>3.88784E-2</v>
      </c>
      <c r="AK65" s="83">
        <v>5.5499E-3</v>
      </c>
      <c r="AL65" s="83">
        <v>0.826156</v>
      </c>
      <c r="AM65" s="83">
        <v>3.8912599999999999E-2</v>
      </c>
      <c r="AN65" s="83">
        <v>5.5499E-3</v>
      </c>
      <c r="AO65" s="83">
        <v>0.82915399999999995</v>
      </c>
      <c r="AP65" s="83">
        <v>3.8948299999999998E-2</v>
      </c>
      <c r="AQ65" s="83">
        <v>5.5499E-3</v>
      </c>
      <c r="AR65" s="83">
        <v>0.82401999999999997</v>
      </c>
      <c r="AS65" s="83">
        <v>3.8580099999999999E-2</v>
      </c>
      <c r="AT65" s="83">
        <v>5.5499E-3</v>
      </c>
      <c r="AU65" s="83">
        <v>0.82647199999999998</v>
      </c>
      <c r="AV65" s="83">
        <v>3.8669099999999998E-2</v>
      </c>
      <c r="AW65" s="83">
        <v>5.5499E-3</v>
      </c>
      <c r="AX65" s="83">
        <v>0.82709500000000002</v>
      </c>
      <c r="AY65" s="83">
        <v>3.86612E-2</v>
      </c>
      <c r="AZ65" s="83">
        <v>5.5499E-3</v>
      </c>
      <c r="BA65" s="83">
        <v>0.823546</v>
      </c>
      <c r="BB65" s="83">
        <v>3.8535399999999997E-2</v>
      </c>
      <c r="BC65" s="83">
        <v>5.5499E-3</v>
      </c>
      <c r="BD65" s="83">
        <v>0.83749099999999999</v>
      </c>
      <c r="BE65" s="83">
        <v>3.9267700000000003E-2</v>
      </c>
      <c r="BF65" s="83">
        <v>5.5499E-3</v>
      </c>
      <c r="BG65" s="83">
        <v>0.838758</v>
      </c>
      <c r="BH65" s="83">
        <v>3.9353600000000002E-2</v>
      </c>
      <c r="BI65" s="83">
        <v>5.5499E-3</v>
      </c>
      <c r="BJ65" s="83">
        <v>0.82855999999999996</v>
      </c>
      <c r="BK65" s="83">
        <v>3.8942600000000001E-2</v>
      </c>
      <c r="BL65" s="83">
        <v>5.5499E-3</v>
      </c>
      <c r="BM65" s="83">
        <v>0.82079199999999997</v>
      </c>
      <c r="BN65" s="83">
        <v>3.8654800000000003E-2</v>
      </c>
      <c r="BO65" s="83">
        <v>5.5499E-3</v>
      </c>
      <c r="BP65" s="83">
        <v>0.81832800000000006</v>
      </c>
      <c r="BQ65" s="83">
        <v>3.8644900000000003E-2</v>
      </c>
      <c r="BR65" s="83">
        <v>5.5499E-3</v>
      </c>
      <c r="BS65" s="83">
        <v>0.82019399999999998</v>
      </c>
      <c r="BT65" s="83">
        <v>3.8855399999999998E-2</v>
      </c>
      <c r="BU65" s="83">
        <v>5.5499E-3</v>
      </c>
      <c r="BV65" s="83">
        <v>0.82924399999999998</v>
      </c>
      <c r="BW65" s="83">
        <v>3.9429499999999999E-2</v>
      </c>
      <c r="BX65" s="83">
        <v>5.5499E-3</v>
      </c>
      <c r="BY65" s="83">
        <v>0.80582900000000002</v>
      </c>
      <c r="BZ65" s="83">
        <v>3.84713E-2</v>
      </c>
      <c r="CA65" s="83">
        <v>5.5499E-3</v>
      </c>
      <c r="CB65" s="83">
        <v>0.827318</v>
      </c>
      <c r="CC65" s="83">
        <v>3.9663799999999999E-2</v>
      </c>
      <c r="CD65" s="83">
        <v>5.5499E-3</v>
      </c>
      <c r="CE65" s="83">
        <v>0.793848</v>
      </c>
      <c r="CF65" s="83">
        <v>3.8448299999999998E-2</v>
      </c>
      <c r="CG65" s="83">
        <v>5.5499E-3</v>
      </c>
      <c r="CH65" s="83">
        <v>0.79030800000000001</v>
      </c>
      <c r="CI65" s="83">
        <v>3.8609400000000002E-2</v>
      </c>
      <c r="CJ65" s="83">
        <v>5.5499E-3</v>
      </c>
      <c r="CK65" s="83">
        <v>0.77616799999999997</v>
      </c>
      <c r="CL65" s="83">
        <v>3.8318699999999997E-2</v>
      </c>
      <c r="CM65" s="83">
        <v>5.5499E-3</v>
      </c>
      <c r="CN65" s="83">
        <v>0.77843200000000001</v>
      </c>
      <c r="CO65" s="83">
        <v>3.8843900000000001E-2</v>
      </c>
      <c r="CP65" s="83">
        <v>5.5499E-3</v>
      </c>
      <c r="CQ65" s="83">
        <v>0.76796900000000001</v>
      </c>
      <c r="CR65" s="83">
        <v>3.9024700000000002E-2</v>
      </c>
      <c r="CS65" s="83">
        <v>5.5499E-3</v>
      </c>
      <c r="CT65" s="83">
        <v>0.75555000000000005</v>
      </c>
      <c r="CU65" s="83">
        <v>3.9169299999999997E-2</v>
      </c>
      <c r="CV65" s="83">
        <v>5.5499E-3</v>
      </c>
      <c r="CW65" s="83">
        <v>0.72115799999999997</v>
      </c>
      <c r="CX65" s="83">
        <v>3.8502000000000002E-2</v>
      </c>
    </row>
    <row r="66" spans="1:102" x14ac:dyDescent="0.2">
      <c r="A66" s="83">
        <v>5.6499000000000002E-3</v>
      </c>
      <c r="B66" s="83">
        <v>0.67354199999999997</v>
      </c>
      <c r="C66" s="83">
        <v>3.6365399999999999E-2</v>
      </c>
      <c r="D66" s="83">
        <v>5.6499000000000002E-3</v>
      </c>
      <c r="E66" s="83">
        <v>0.702488</v>
      </c>
      <c r="F66" s="83">
        <v>3.6906099999999997E-2</v>
      </c>
      <c r="G66" s="83">
        <v>5.6499000000000002E-3</v>
      </c>
      <c r="H66" s="83">
        <v>0.72348900000000005</v>
      </c>
      <c r="I66" s="83">
        <v>3.7292499999999999E-2</v>
      </c>
      <c r="J66" s="83">
        <v>5.6499000000000002E-3</v>
      </c>
      <c r="K66" s="83">
        <v>0.74145399999999995</v>
      </c>
      <c r="L66" s="83">
        <v>3.7093099999999997E-2</v>
      </c>
      <c r="M66" s="83">
        <v>5.6499000000000002E-3</v>
      </c>
      <c r="N66" s="83">
        <v>0.74649799999999999</v>
      </c>
      <c r="O66" s="83">
        <v>3.6730100000000002E-2</v>
      </c>
      <c r="P66" s="83">
        <v>5.6499000000000002E-3</v>
      </c>
      <c r="Q66" s="83">
        <v>0.75999799999999995</v>
      </c>
      <c r="R66" s="83">
        <v>3.7065899999999999E-2</v>
      </c>
      <c r="S66" s="83">
        <v>5.6499000000000002E-3</v>
      </c>
      <c r="T66" s="83">
        <v>0.77170300000000003</v>
      </c>
      <c r="U66" s="83">
        <v>3.7470400000000001E-2</v>
      </c>
      <c r="V66" s="83">
        <v>5.6499000000000002E-3</v>
      </c>
      <c r="W66" s="83">
        <v>0.77095499999999995</v>
      </c>
      <c r="X66" s="83">
        <v>3.70085E-2</v>
      </c>
      <c r="Y66" s="83">
        <v>5.6499000000000002E-3</v>
      </c>
      <c r="Z66" s="83">
        <v>0.77458499999999997</v>
      </c>
      <c r="AA66" s="83">
        <v>3.6942700000000002E-2</v>
      </c>
      <c r="AB66" s="83">
        <v>5.6499000000000002E-3</v>
      </c>
      <c r="AC66" s="83">
        <v>0.77665899999999999</v>
      </c>
      <c r="AD66" s="83">
        <v>3.6739399999999998E-2</v>
      </c>
      <c r="AE66" s="83">
        <v>5.6499000000000002E-3</v>
      </c>
      <c r="AF66" s="83">
        <v>0.786605</v>
      </c>
      <c r="AG66" s="83">
        <v>3.7114300000000003E-2</v>
      </c>
      <c r="AH66" s="83">
        <v>5.6499000000000002E-3</v>
      </c>
      <c r="AI66" s="83">
        <v>0.78855600000000003</v>
      </c>
      <c r="AJ66" s="83">
        <v>3.7055200000000003E-2</v>
      </c>
      <c r="AK66" s="83">
        <v>5.6499000000000002E-3</v>
      </c>
      <c r="AL66" s="83">
        <v>0.79108699999999998</v>
      </c>
      <c r="AM66" s="83">
        <v>3.7071800000000002E-2</v>
      </c>
      <c r="AN66" s="83">
        <v>5.6499000000000002E-3</v>
      </c>
      <c r="AO66" s="83">
        <v>0.79322599999999999</v>
      </c>
      <c r="AP66" s="83">
        <v>3.7115299999999997E-2</v>
      </c>
      <c r="AQ66" s="83">
        <v>5.6499000000000002E-3</v>
      </c>
      <c r="AR66" s="83">
        <v>0.78786800000000001</v>
      </c>
      <c r="AS66" s="83">
        <v>3.6748099999999999E-2</v>
      </c>
      <c r="AT66" s="83">
        <v>5.6499000000000002E-3</v>
      </c>
      <c r="AU66" s="83">
        <v>0.79069500000000004</v>
      </c>
      <c r="AV66" s="83">
        <v>3.6839999999999998E-2</v>
      </c>
      <c r="AW66" s="83">
        <v>5.6499000000000002E-3</v>
      </c>
      <c r="AX66" s="83">
        <v>0.79001999999999994</v>
      </c>
      <c r="AY66" s="83">
        <v>3.6842800000000002E-2</v>
      </c>
      <c r="AZ66" s="83">
        <v>5.6499000000000002E-3</v>
      </c>
      <c r="BA66" s="83">
        <v>0.78685099999999997</v>
      </c>
      <c r="BB66" s="83">
        <v>3.6736600000000001E-2</v>
      </c>
      <c r="BC66" s="83">
        <v>5.6499000000000002E-3</v>
      </c>
      <c r="BD66" s="83">
        <v>0.79938600000000004</v>
      </c>
      <c r="BE66" s="83">
        <v>3.7442499999999997E-2</v>
      </c>
      <c r="BF66" s="83">
        <v>5.6499000000000002E-3</v>
      </c>
      <c r="BG66" s="83">
        <v>0.80024200000000001</v>
      </c>
      <c r="BH66" s="83">
        <v>3.7508899999999998E-2</v>
      </c>
      <c r="BI66" s="83">
        <v>5.6499000000000002E-3</v>
      </c>
      <c r="BJ66" s="83">
        <v>0.79007300000000003</v>
      </c>
      <c r="BK66" s="83">
        <v>3.7096900000000002E-2</v>
      </c>
      <c r="BL66" s="83">
        <v>5.6499000000000002E-3</v>
      </c>
      <c r="BM66" s="83">
        <v>0.78191500000000003</v>
      </c>
      <c r="BN66" s="83">
        <v>3.6835399999999997E-2</v>
      </c>
      <c r="BO66" s="83">
        <v>5.6499000000000002E-3</v>
      </c>
      <c r="BP66" s="83">
        <v>0.77939700000000001</v>
      </c>
      <c r="BQ66" s="83">
        <v>3.6811900000000002E-2</v>
      </c>
      <c r="BR66" s="83">
        <v>5.6499000000000002E-3</v>
      </c>
      <c r="BS66" s="83">
        <v>0.780663</v>
      </c>
      <c r="BT66" s="83">
        <v>3.7044800000000003E-2</v>
      </c>
      <c r="BU66" s="83">
        <v>5.6499000000000002E-3</v>
      </c>
      <c r="BV66" s="83">
        <v>0.78896100000000002</v>
      </c>
      <c r="BW66" s="83">
        <v>3.7546700000000002E-2</v>
      </c>
      <c r="BX66" s="83">
        <v>5.6499000000000002E-3</v>
      </c>
      <c r="BY66" s="83">
        <v>0.76531199999999999</v>
      </c>
      <c r="BZ66" s="83">
        <v>3.6667499999999999E-2</v>
      </c>
      <c r="CA66" s="83">
        <v>5.6499000000000002E-3</v>
      </c>
      <c r="CB66" s="83">
        <v>0.78545299999999996</v>
      </c>
      <c r="CC66" s="83">
        <v>3.7788799999999997E-2</v>
      </c>
      <c r="CD66" s="83">
        <v>5.6499000000000002E-3</v>
      </c>
      <c r="CE66" s="83">
        <v>0.75272499999999998</v>
      </c>
      <c r="CF66" s="83">
        <v>3.6632900000000003E-2</v>
      </c>
      <c r="CG66" s="83">
        <v>5.6499000000000002E-3</v>
      </c>
      <c r="CH66" s="83">
        <v>0.74870199999999998</v>
      </c>
      <c r="CI66" s="83">
        <v>3.6759800000000002E-2</v>
      </c>
      <c r="CJ66" s="83">
        <v>5.6499000000000002E-3</v>
      </c>
      <c r="CK66" s="83">
        <v>0.73426899999999995</v>
      </c>
      <c r="CL66" s="83">
        <v>3.65131E-2</v>
      </c>
      <c r="CM66" s="83">
        <v>5.6499000000000002E-3</v>
      </c>
      <c r="CN66" s="83">
        <v>0.73582999999999998</v>
      </c>
      <c r="CO66" s="83">
        <v>3.7009899999999998E-2</v>
      </c>
      <c r="CP66" s="83">
        <v>5.6499000000000002E-3</v>
      </c>
      <c r="CQ66" s="83">
        <v>0.72517200000000004</v>
      </c>
      <c r="CR66" s="83">
        <v>3.7171099999999999E-2</v>
      </c>
      <c r="CS66" s="83">
        <v>5.6499000000000002E-3</v>
      </c>
      <c r="CT66" s="83">
        <v>0.71237099999999998</v>
      </c>
      <c r="CU66" s="83">
        <v>3.7306100000000002E-2</v>
      </c>
      <c r="CV66" s="83">
        <v>5.6499000000000002E-3</v>
      </c>
      <c r="CW66" s="83">
        <v>0.67878499999999997</v>
      </c>
      <c r="CX66" s="83">
        <v>3.6680699999999997E-2</v>
      </c>
    </row>
    <row r="67" spans="1:102" x14ac:dyDescent="0.2">
      <c r="A67" s="83">
        <v>5.7498999999999996E-3</v>
      </c>
      <c r="B67" s="83">
        <v>0.64678899999999995</v>
      </c>
      <c r="C67" s="83">
        <v>3.4662199999999997E-2</v>
      </c>
      <c r="D67" s="83">
        <v>5.7498999999999996E-3</v>
      </c>
      <c r="E67" s="83">
        <v>0.67450500000000002</v>
      </c>
      <c r="F67" s="83">
        <v>3.5163E-2</v>
      </c>
      <c r="G67" s="83">
        <v>5.7498999999999996E-3</v>
      </c>
      <c r="H67" s="83">
        <v>0.69440199999999996</v>
      </c>
      <c r="I67" s="83">
        <v>3.5537699999999998E-2</v>
      </c>
      <c r="J67" s="83">
        <v>5.7498999999999996E-3</v>
      </c>
      <c r="K67" s="83">
        <v>0.711673</v>
      </c>
      <c r="L67" s="83">
        <v>3.5336199999999998E-2</v>
      </c>
      <c r="M67" s="83">
        <v>5.7498999999999996E-3</v>
      </c>
      <c r="N67" s="83">
        <v>0.71646799999999999</v>
      </c>
      <c r="O67" s="83">
        <v>3.4990800000000002E-2</v>
      </c>
      <c r="P67" s="83">
        <v>5.7498999999999996E-3</v>
      </c>
      <c r="Q67" s="83">
        <v>0.72885500000000003</v>
      </c>
      <c r="R67" s="83">
        <v>3.5342199999999997E-2</v>
      </c>
      <c r="S67" s="83">
        <v>5.7498999999999996E-3</v>
      </c>
      <c r="T67" s="83">
        <v>0.74027699999999996</v>
      </c>
      <c r="U67" s="83">
        <v>3.5686299999999997E-2</v>
      </c>
      <c r="V67" s="83">
        <v>5.7498999999999996E-3</v>
      </c>
      <c r="W67" s="83">
        <v>0.73889499999999997</v>
      </c>
      <c r="X67" s="83">
        <v>3.52839E-2</v>
      </c>
      <c r="Y67" s="83">
        <v>5.7498999999999996E-3</v>
      </c>
      <c r="Z67" s="83">
        <v>0.74232900000000002</v>
      </c>
      <c r="AA67" s="83">
        <v>3.5198599999999997E-2</v>
      </c>
      <c r="AB67" s="83">
        <v>5.7498999999999996E-3</v>
      </c>
      <c r="AC67" s="83">
        <v>0.74379300000000004</v>
      </c>
      <c r="AD67" s="83">
        <v>3.5005000000000001E-2</v>
      </c>
      <c r="AE67" s="83">
        <v>5.7498999999999996E-3</v>
      </c>
      <c r="AF67" s="83">
        <v>0.75360199999999999</v>
      </c>
      <c r="AG67" s="83">
        <v>3.5342800000000001E-2</v>
      </c>
      <c r="AH67" s="83">
        <v>5.7498999999999996E-3</v>
      </c>
      <c r="AI67" s="83">
        <v>0.75512800000000002</v>
      </c>
      <c r="AJ67" s="83">
        <v>3.5304200000000001E-2</v>
      </c>
      <c r="AK67" s="83">
        <v>5.7498999999999996E-3</v>
      </c>
      <c r="AL67" s="83">
        <v>0.75737600000000005</v>
      </c>
      <c r="AM67" s="83">
        <v>3.5329600000000003E-2</v>
      </c>
      <c r="AN67" s="83">
        <v>5.7498999999999996E-3</v>
      </c>
      <c r="AO67" s="83">
        <v>0.75835799999999998</v>
      </c>
      <c r="AP67" s="83">
        <v>3.5367200000000001E-2</v>
      </c>
      <c r="AQ67" s="83">
        <v>5.7498999999999996E-3</v>
      </c>
      <c r="AR67" s="83">
        <v>0.75282400000000005</v>
      </c>
      <c r="AS67" s="83">
        <v>3.5013700000000002E-2</v>
      </c>
      <c r="AT67" s="83">
        <v>5.7498999999999996E-3</v>
      </c>
      <c r="AU67" s="83">
        <v>0.75515299999999996</v>
      </c>
      <c r="AV67" s="83">
        <v>3.5103700000000002E-2</v>
      </c>
      <c r="AW67" s="83">
        <v>5.7498999999999996E-3</v>
      </c>
      <c r="AX67" s="83">
        <v>0.75428799999999996</v>
      </c>
      <c r="AY67" s="83">
        <v>3.5111400000000001E-2</v>
      </c>
      <c r="AZ67" s="83">
        <v>5.7498999999999996E-3</v>
      </c>
      <c r="BA67" s="83">
        <v>0.75089399999999995</v>
      </c>
      <c r="BB67" s="83">
        <v>3.4997300000000002E-2</v>
      </c>
      <c r="BC67" s="83">
        <v>5.7498999999999996E-3</v>
      </c>
      <c r="BD67" s="83">
        <v>0.76298900000000003</v>
      </c>
      <c r="BE67" s="83">
        <v>3.5666099999999999E-2</v>
      </c>
      <c r="BF67" s="83">
        <v>5.7498999999999996E-3</v>
      </c>
      <c r="BG67" s="83">
        <v>0.76283999999999996</v>
      </c>
      <c r="BH67" s="83">
        <v>3.5738399999999997E-2</v>
      </c>
      <c r="BI67" s="83">
        <v>5.7498999999999996E-3</v>
      </c>
      <c r="BJ67" s="83">
        <v>0.75264200000000003</v>
      </c>
      <c r="BK67" s="83">
        <v>3.5375200000000002E-2</v>
      </c>
      <c r="BL67" s="83">
        <v>5.7498999999999996E-3</v>
      </c>
      <c r="BM67" s="83">
        <v>0.74463000000000001</v>
      </c>
      <c r="BN67" s="83">
        <v>3.5091299999999999E-2</v>
      </c>
      <c r="BO67" s="83">
        <v>5.7498999999999996E-3</v>
      </c>
      <c r="BP67" s="83">
        <v>0.74114100000000005</v>
      </c>
      <c r="BQ67" s="83">
        <v>3.5092199999999997E-2</v>
      </c>
      <c r="BR67" s="83">
        <v>5.7498999999999996E-3</v>
      </c>
      <c r="BS67" s="83">
        <v>0.74267899999999998</v>
      </c>
      <c r="BT67" s="83">
        <v>3.5319299999999998E-2</v>
      </c>
      <c r="BU67" s="83">
        <v>5.7498999999999996E-3</v>
      </c>
      <c r="BV67" s="83">
        <v>0.74961500000000003</v>
      </c>
      <c r="BW67" s="83">
        <v>3.5771299999999999E-2</v>
      </c>
      <c r="BX67" s="83">
        <v>5.7498999999999996E-3</v>
      </c>
      <c r="BY67" s="83">
        <v>0.72655199999999998</v>
      </c>
      <c r="BZ67" s="83">
        <v>3.4944900000000001E-2</v>
      </c>
      <c r="CA67" s="83">
        <v>5.7498999999999996E-3</v>
      </c>
      <c r="CB67" s="83">
        <v>0.74551699999999999</v>
      </c>
      <c r="CC67" s="83">
        <v>3.6009600000000003E-2</v>
      </c>
      <c r="CD67" s="83">
        <v>5.7498999999999996E-3</v>
      </c>
      <c r="CE67" s="83">
        <v>0.71344700000000005</v>
      </c>
      <c r="CF67" s="83">
        <v>3.4882900000000001E-2</v>
      </c>
      <c r="CG67" s="83">
        <v>5.7498999999999996E-3</v>
      </c>
      <c r="CH67" s="83">
        <v>0.70857999999999999</v>
      </c>
      <c r="CI67" s="83">
        <v>3.5044899999999997E-2</v>
      </c>
      <c r="CJ67" s="83">
        <v>5.7498999999999996E-3</v>
      </c>
      <c r="CK67" s="83">
        <v>0.69464499999999996</v>
      </c>
      <c r="CL67" s="83">
        <v>3.4781600000000003E-2</v>
      </c>
      <c r="CM67" s="83">
        <v>5.7498999999999996E-3</v>
      </c>
      <c r="CN67" s="83">
        <v>0.69529300000000005</v>
      </c>
      <c r="CO67" s="83">
        <v>3.5256000000000003E-2</v>
      </c>
      <c r="CP67" s="83">
        <v>5.7498999999999996E-3</v>
      </c>
      <c r="CQ67" s="83">
        <v>0.68400499999999997</v>
      </c>
      <c r="CR67" s="83">
        <v>3.5409400000000001E-2</v>
      </c>
      <c r="CS67" s="83">
        <v>5.7498999999999996E-3</v>
      </c>
      <c r="CT67" s="83">
        <v>0.67114099999999999</v>
      </c>
      <c r="CU67" s="83">
        <v>3.5539399999999999E-2</v>
      </c>
      <c r="CV67" s="83">
        <v>5.7498999999999996E-3</v>
      </c>
      <c r="CW67" s="83">
        <v>0.63801799999999997</v>
      </c>
      <c r="CX67" s="83">
        <v>3.4931700000000003E-2</v>
      </c>
    </row>
    <row r="68" spans="1:102" x14ac:dyDescent="0.2">
      <c r="A68" s="83">
        <v>5.8498999999999999E-3</v>
      </c>
      <c r="B68" s="83">
        <v>0.620529</v>
      </c>
      <c r="C68" s="83">
        <v>3.2968900000000002E-2</v>
      </c>
      <c r="D68" s="83">
        <v>5.8498999999999999E-3</v>
      </c>
      <c r="E68" s="83">
        <v>0.64733700000000005</v>
      </c>
      <c r="F68" s="83">
        <v>3.3455899999999997E-2</v>
      </c>
      <c r="G68" s="83">
        <v>5.8498999999999999E-3</v>
      </c>
      <c r="H68" s="83">
        <v>0.66611100000000001</v>
      </c>
      <c r="I68" s="83">
        <v>3.3826700000000001E-2</v>
      </c>
      <c r="J68" s="83">
        <v>5.8498999999999999E-3</v>
      </c>
      <c r="K68" s="83">
        <v>0.68259599999999998</v>
      </c>
      <c r="L68" s="83">
        <v>3.3630199999999999E-2</v>
      </c>
      <c r="M68" s="83">
        <v>5.8498999999999999E-3</v>
      </c>
      <c r="N68" s="83">
        <v>0.68693199999999999</v>
      </c>
      <c r="O68" s="83">
        <v>3.3271099999999998E-2</v>
      </c>
      <c r="P68" s="83">
        <v>5.8498999999999999E-3</v>
      </c>
      <c r="Q68" s="83">
        <v>0.69922600000000001</v>
      </c>
      <c r="R68" s="83">
        <v>3.3620499999999998E-2</v>
      </c>
      <c r="S68" s="83">
        <v>5.8498999999999999E-3</v>
      </c>
      <c r="T68" s="83">
        <v>0.70980299999999996</v>
      </c>
      <c r="U68" s="83">
        <v>3.3965500000000003E-2</v>
      </c>
      <c r="V68" s="83">
        <v>5.8498999999999999E-3</v>
      </c>
      <c r="W68" s="83">
        <v>0.708206</v>
      </c>
      <c r="X68" s="83">
        <v>3.3570999999999997E-2</v>
      </c>
      <c r="Y68" s="83">
        <v>5.8498999999999999E-3</v>
      </c>
      <c r="Z68" s="83">
        <v>0.71118199999999998</v>
      </c>
      <c r="AA68" s="83">
        <v>3.3514000000000002E-2</v>
      </c>
      <c r="AB68" s="83">
        <v>5.8498999999999999E-3</v>
      </c>
      <c r="AC68" s="83">
        <v>0.71185900000000002</v>
      </c>
      <c r="AD68" s="83">
        <v>3.3290199999999999E-2</v>
      </c>
      <c r="AE68" s="83">
        <v>5.8498999999999999E-3</v>
      </c>
      <c r="AF68" s="83">
        <v>0.72107200000000005</v>
      </c>
      <c r="AG68" s="83">
        <v>3.3629899999999997E-2</v>
      </c>
      <c r="AH68" s="83">
        <v>5.8498999999999999E-3</v>
      </c>
      <c r="AI68" s="83">
        <v>0.72241299999999997</v>
      </c>
      <c r="AJ68" s="83">
        <v>3.3609899999999998E-2</v>
      </c>
      <c r="AK68" s="83">
        <v>5.8498999999999999E-3</v>
      </c>
      <c r="AL68" s="83">
        <v>0.72391899999999998</v>
      </c>
      <c r="AM68" s="83">
        <v>3.3624500000000002E-2</v>
      </c>
      <c r="AN68" s="83">
        <v>5.8498999999999999E-3</v>
      </c>
      <c r="AO68" s="83">
        <v>0.72515499999999999</v>
      </c>
      <c r="AP68" s="83">
        <v>3.36739E-2</v>
      </c>
      <c r="AQ68" s="83">
        <v>5.8498999999999999E-3</v>
      </c>
      <c r="AR68" s="83">
        <v>0.71916599999999997</v>
      </c>
      <c r="AS68" s="83">
        <v>3.3335999999999998E-2</v>
      </c>
      <c r="AT68" s="83">
        <v>5.8498999999999999E-3</v>
      </c>
      <c r="AU68" s="83">
        <v>0.72101300000000001</v>
      </c>
      <c r="AV68" s="83">
        <v>3.3397700000000002E-2</v>
      </c>
      <c r="AW68" s="83">
        <v>5.8498999999999999E-3</v>
      </c>
      <c r="AX68" s="83">
        <v>0.72020099999999998</v>
      </c>
      <c r="AY68" s="83">
        <v>3.3384799999999999E-2</v>
      </c>
      <c r="AZ68" s="83">
        <v>5.8498999999999999E-3</v>
      </c>
      <c r="BA68" s="83">
        <v>0.715611</v>
      </c>
      <c r="BB68" s="83">
        <v>3.3287400000000002E-2</v>
      </c>
      <c r="BC68" s="83">
        <v>5.8498999999999999E-3</v>
      </c>
      <c r="BD68" s="83">
        <v>0.72694000000000003</v>
      </c>
      <c r="BE68" s="83">
        <v>3.3973700000000003E-2</v>
      </c>
      <c r="BF68" s="83">
        <v>5.8498999999999999E-3</v>
      </c>
      <c r="BG68" s="83">
        <v>0.72701499999999997</v>
      </c>
      <c r="BH68" s="83">
        <v>3.4017699999999998E-2</v>
      </c>
      <c r="BI68" s="83">
        <v>5.8498999999999999E-3</v>
      </c>
      <c r="BJ68" s="83">
        <v>0.71662599999999999</v>
      </c>
      <c r="BK68" s="83">
        <v>3.36604E-2</v>
      </c>
      <c r="BL68" s="83">
        <v>5.8498999999999999E-3</v>
      </c>
      <c r="BM68" s="83">
        <v>0.70835499999999996</v>
      </c>
      <c r="BN68" s="83">
        <v>3.3393100000000002E-2</v>
      </c>
      <c r="BO68" s="83">
        <v>5.8498999999999999E-3</v>
      </c>
      <c r="BP68" s="83">
        <v>0.70502699999999996</v>
      </c>
      <c r="BQ68" s="83">
        <v>3.3383200000000002E-2</v>
      </c>
      <c r="BR68" s="83">
        <v>5.8498999999999999E-3</v>
      </c>
      <c r="BS68" s="83">
        <v>0.70560400000000001</v>
      </c>
      <c r="BT68" s="83">
        <v>3.3598599999999999E-2</v>
      </c>
      <c r="BU68" s="83">
        <v>5.8498999999999999E-3</v>
      </c>
      <c r="BV68" s="83">
        <v>0.71188499999999999</v>
      </c>
      <c r="BW68" s="83">
        <v>3.4045699999999998E-2</v>
      </c>
      <c r="BX68" s="83">
        <v>5.8498999999999999E-3</v>
      </c>
      <c r="BY68" s="83">
        <v>0.68865100000000001</v>
      </c>
      <c r="BZ68" s="83">
        <v>3.3256399999999998E-2</v>
      </c>
      <c r="CA68" s="83">
        <v>5.8498999999999999E-3</v>
      </c>
      <c r="CB68" s="83">
        <v>0.70688399999999996</v>
      </c>
      <c r="CC68" s="83">
        <v>3.4297599999999998E-2</v>
      </c>
      <c r="CD68" s="83">
        <v>5.8498999999999999E-3</v>
      </c>
      <c r="CE68" s="83">
        <v>0.67544400000000004</v>
      </c>
      <c r="CF68" s="83">
        <v>3.3203200000000002E-2</v>
      </c>
      <c r="CG68" s="83">
        <v>5.8498999999999999E-3</v>
      </c>
      <c r="CH68" s="83">
        <v>0.67</v>
      </c>
      <c r="CI68" s="83">
        <v>3.3337899999999997E-2</v>
      </c>
      <c r="CJ68" s="83">
        <v>5.8498999999999999E-3</v>
      </c>
      <c r="CK68" s="83">
        <v>0.65618799999999999</v>
      </c>
      <c r="CL68" s="83">
        <v>3.3096100000000003E-2</v>
      </c>
      <c r="CM68" s="83">
        <v>5.8498999999999999E-3</v>
      </c>
      <c r="CN68" s="83">
        <v>0.65582499999999999</v>
      </c>
      <c r="CO68" s="83">
        <v>3.3537299999999999E-2</v>
      </c>
      <c r="CP68" s="83">
        <v>5.8498999999999999E-3</v>
      </c>
      <c r="CQ68" s="83">
        <v>0.64476100000000003</v>
      </c>
      <c r="CR68" s="83">
        <v>3.3673099999999997E-2</v>
      </c>
      <c r="CS68" s="83">
        <v>5.8498999999999999E-3</v>
      </c>
      <c r="CT68" s="83">
        <v>0.63213699999999995</v>
      </c>
      <c r="CU68" s="83">
        <v>3.3810899999999998E-2</v>
      </c>
      <c r="CV68" s="83">
        <v>5.8498999999999999E-3</v>
      </c>
      <c r="CW68" s="83">
        <v>0.59971699999999994</v>
      </c>
      <c r="CX68" s="83">
        <v>3.3255E-2</v>
      </c>
    </row>
    <row r="69" spans="1:102" x14ac:dyDescent="0.2">
      <c r="A69" s="83">
        <v>5.9499000000000002E-3</v>
      </c>
      <c r="B69" s="83">
        <v>0.59511899999999995</v>
      </c>
      <c r="C69" s="83">
        <v>3.1391700000000002E-2</v>
      </c>
      <c r="D69" s="83">
        <v>5.9499000000000002E-3</v>
      </c>
      <c r="E69" s="83">
        <v>0.62074499999999999</v>
      </c>
      <c r="F69" s="83">
        <v>3.1871999999999998E-2</v>
      </c>
      <c r="G69" s="83">
        <v>5.9499000000000002E-3</v>
      </c>
      <c r="H69" s="83">
        <v>0.63947600000000004</v>
      </c>
      <c r="I69" s="83">
        <v>3.22232E-2</v>
      </c>
      <c r="J69" s="83">
        <v>5.9499000000000002E-3</v>
      </c>
      <c r="K69" s="83">
        <v>0.65412999999999999</v>
      </c>
      <c r="L69" s="83">
        <v>3.2028599999999997E-2</v>
      </c>
      <c r="M69" s="83">
        <v>5.9499000000000002E-3</v>
      </c>
      <c r="N69" s="83">
        <v>0.65840699999999996</v>
      </c>
      <c r="O69" s="83">
        <v>3.1714399999999997E-2</v>
      </c>
      <c r="P69" s="83">
        <v>5.9499000000000002E-3</v>
      </c>
      <c r="Q69" s="83">
        <v>0.67030999999999996</v>
      </c>
      <c r="R69" s="83">
        <v>3.2033600000000002E-2</v>
      </c>
      <c r="S69" s="83">
        <v>5.9499000000000002E-3</v>
      </c>
      <c r="T69" s="83">
        <v>0.68040900000000004</v>
      </c>
      <c r="U69" s="83">
        <v>3.23513E-2</v>
      </c>
      <c r="V69" s="83">
        <v>5.9499000000000002E-3</v>
      </c>
      <c r="W69" s="83">
        <v>0.67832400000000004</v>
      </c>
      <c r="X69" s="83">
        <v>3.19802E-2</v>
      </c>
      <c r="Y69" s="83">
        <v>5.9499000000000002E-3</v>
      </c>
      <c r="Z69" s="83">
        <v>0.68080600000000002</v>
      </c>
      <c r="AA69" s="83">
        <v>3.1915399999999997E-2</v>
      </c>
      <c r="AB69" s="83">
        <v>5.9499000000000002E-3</v>
      </c>
      <c r="AC69" s="83">
        <v>0.68151300000000004</v>
      </c>
      <c r="AD69" s="83">
        <v>3.1693499999999999E-2</v>
      </c>
      <c r="AE69" s="83">
        <v>5.9499000000000002E-3</v>
      </c>
      <c r="AF69" s="83">
        <v>0.68985600000000002</v>
      </c>
      <c r="AG69" s="83">
        <v>3.2022500000000002E-2</v>
      </c>
      <c r="AH69" s="83">
        <v>5.9499000000000002E-3</v>
      </c>
      <c r="AI69" s="83">
        <v>0.69086000000000003</v>
      </c>
      <c r="AJ69" s="83">
        <v>3.2016099999999999E-2</v>
      </c>
      <c r="AK69" s="83">
        <v>5.9499000000000002E-3</v>
      </c>
      <c r="AL69" s="83">
        <v>0.692303</v>
      </c>
      <c r="AM69" s="83">
        <v>3.2046400000000003E-2</v>
      </c>
      <c r="AN69" s="83">
        <v>5.9499000000000002E-3</v>
      </c>
      <c r="AO69" s="83">
        <v>0.69298199999999999</v>
      </c>
      <c r="AP69" s="83">
        <v>3.2075300000000001E-2</v>
      </c>
      <c r="AQ69" s="83">
        <v>5.9499000000000002E-3</v>
      </c>
      <c r="AR69" s="83">
        <v>0.68627099999999996</v>
      </c>
      <c r="AS69" s="83">
        <v>3.1748100000000001E-2</v>
      </c>
      <c r="AT69" s="83">
        <v>5.9499000000000002E-3</v>
      </c>
      <c r="AU69" s="83">
        <v>0.68822000000000005</v>
      </c>
      <c r="AV69" s="83">
        <v>3.1829299999999998E-2</v>
      </c>
      <c r="AW69" s="83">
        <v>5.9499000000000002E-3</v>
      </c>
      <c r="AX69" s="83">
        <v>0.68685099999999999</v>
      </c>
      <c r="AY69" s="83">
        <v>3.18301E-2</v>
      </c>
      <c r="AZ69" s="83">
        <v>5.9499000000000002E-3</v>
      </c>
      <c r="BA69" s="83">
        <v>0.68233999999999995</v>
      </c>
      <c r="BB69" s="83">
        <v>3.1719999999999998E-2</v>
      </c>
      <c r="BC69" s="83">
        <v>5.9499000000000002E-3</v>
      </c>
      <c r="BD69" s="83">
        <v>0.69296500000000005</v>
      </c>
      <c r="BE69" s="83">
        <v>3.23624E-2</v>
      </c>
      <c r="BF69" s="83">
        <v>5.9499000000000002E-3</v>
      </c>
      <c r="BG69" s="83">
        <v>0.692581</v>
      </c>
      <c r="BH69" s="83">
        <v>3.2398499999999997E-2</v>
      </c>
      <c r="BI69" s="83">
        <v>5.9499000000000002E-3</v>
      </c>
      <c r="BJ69" s="83">
        <v>0.68192900000000001</v>
      </c>
      <c r="BK69" s="83">
        <v>3.20627E-2</v>
      </c>
      <c r="BL69" s="83">
        <v>5.9499000000000002E-3</v>
      </c>
      <c r="BM69" s="83">
        <v>0.67295499999999997</v>
      </c>
      <c r="BN69" s="83">
        <v>3.1813000000000001E-2</v>
      </c>
      <c r="BO69" s="83">
        <v>5.9499000000000002E-3</v>
      </c>
      <c r="BP69" s="83">
        <v>0.66949499999999995</v>
      </c>
      <c r="BQ69" s="83">
        <v>3.1805100000000003E-2</v>
      </c>
      <c r="BR69" s="83">
        <v>5.9499000000000002E-3</v>
      </c>
      <c r="BS69" s="83">
        <v>0.66965200000000003</v>
      </c>
      <c r="BT69" s="83">
        <v>3.2024299999999999E-2</v>
      </c>
      <c r="BU69" s="83">
        <v>5.9499000000000002E-3</v>
      </c>
      <c r="BV69" s="83">
        <v>0.67519099999999999</v>
      </c>
      <c r="BW69" s="83">
        <v>3.2410000000000001E-2</v>
      </c>
      <c r="BX69" s="83">
        <v>5.9499000000000002E-3</v>
      </c>
      <c r="BY69" s="83">
        <v>0.65310500000000005</v>
      </c>
      <c r="BZ69" s="83">
        <v>3.1676299999999998E-2</v>
      </c>
      <c r="CA69" s="83">
        <v>5.9499000000000002E-3</v>
      </c>
      <c r="CB69" s="83">
        <v>0.66975499999999999</v>
      </c>
      <c r="CC69" s="83">
        <v>3.2648200000000002E-2</v>
      </c>
      <c r="CD69" s="83">
        <v>5.9499000000000002E-3</v>
      </c>
      <c r="CE69" s="83">
        <v>0.63888699999999998</v>
      </c>
      <c r="CF69" s="83">
        <v>3.1643600000000001E-2</v>
      </c>
      <c r="CG69" s="83">
        <v>5.9499000000000002E-3</v>
      </c>
      <c r="CH69" s="83">
        <v>0.63320799999999999</v>
      </c>
      <c r="CI69" s="83">
        <v>3.1769499999999999E-2</v>
      </c>
      <c r="CJ69" s="83">
        <v>5.9499000000000002E-3</v>
      </c>
      <c r="CK69" s="83">
        <v>0.61924900000000005</v>
      </c>
      <c r="CL69" s="83">
        <v>3.1520899999999998E-2</v>
      </c>
      <c r="CM69" s="83">
        <v>5.9499000000000002E-3</v>
      </c>
      <c r="CN69" s="83">
        <v>0.61828099999999997</v>
      </c>
      <c r="CO69" s="83">
        <v>3.19464E-2</v>
      </c>
      <c r="CP69" s="83">
        <v>5.9499000000000002E-3</v>
      </c>
      <c r="CQ69" s="83">
        <v>0.60753500000000005</v>
      </c>
      <c r="CR69" s="83">
        <v>3.2088100000000001E-2</v>
      </c>
      <c r="CS69" s="83">
        <v>5.9499000000000002E-3</v>
      </c>
      <c r="CT69" s="83">
        <v>0.59446600000000005</v>
      </c>
      <c r="CU69" s="83">
        <v>3.2207399999999997E-2</v>
      </c>
      <c r="CV69" s="83">
        <v>5.9499000000000002E-3</v>
      </c>
      <c r="CW69" s="83">
        <v>0.562666</v>
      </c>
      <c r="CX69" s="83">
        <v>3.17022E-2</v>
      </c>
    </row>
    <row r="70" spans="1:102" x14ac:dyDescent="0.2">
      <c r="A70" s="83">
        <v>6.0499000000000004E-3</v>
      </c>
      <c r="B70" s="83">
        <v>0.570573</v>
      </c>
      <c r="C70" s="83">
        <v>2.9890699999999999E-2</v>
      </c>
      <c r="D70" s="83">
        <v>6.0499000000000004E-3</v>
      </c>
      <c r="E70" s="83">
        <v>0.59508099999999997</v>
      </c>
      <c r="F70" s="83">
        <v>3.0362199999999999E-2</v>
      </c>
      <c r="G70" s="83">
        <v>6.0499000000000004E-3</v>
      </c>
      <c r="H70" s="83">
        <v>0.61331800000000003</v>
      </c>
      <c r="I70" s="83">
        <v>3.0711499999999999E-2</v>
      </c>
      <c r="J70" s="83">
        <v>6.0499000000000004E-3</v>
      </c>
      <c r="K70" s="83">
        <v>0.62704000000000004</v>
      </c>
      <c r="L70" s="83">
        <v>3.0509100000000001E-2</v>
      </c>
      <c r="M70" s="83">
        <v>6.0499000000000004E-3</v>
      </c>
      <c r="N70" s="83">
        <v>0.63095599999999996</v>
      </c>
      <c r="O70" s="83">
        <v>3.02271E-2</v>
      </c>
      <c r="P70" s="83">
        <v>6.0499000000000004E-3</v>
      </c>
      <c r="Q70" s="83">
        <v>0.64234599999999997</v>
      </c>
      <c r="R70" s="83">
        <v>3.0522899999999999E-2</v>
      </c>
      <c r="S70" s="83">
        <v>6.0499000000000004E-3</v>
      </c>
      <c r="T70" s="83">
        <v>0.65159999999999996</v>
      </c>
      <c r="U70" s="83">
        <v>3.0851300000000002E-2</v>
      </c>
      <c r="V70" s="83">
        <v>6.0499000000000004E-3</v>
      </c>
      <c r="W70" s="83">
        <v>0.64909499999999998</v>
      </c>
      <c r="X70" s="83">
        <v>3.0470500000000001E-2</v>
      </c>
      <c r="Y70" s="83">
        <v>6.0499000000000004E-3</v>
      </c>
      <c r="Z70" s="83">
        <v>0.65141099999999996</v>
      </c>
      <c r="AA70" s="83">
        <v>3.0446600000000001E-2</v>
      </c>
      <c r="AB70" s="83">
        <v>6.0499000000000004E-3</v>
      </c>
      <c r="AC70" s="83">
        <v>0.65223100000000001</v>
      </c>
      <c r="AD70" s="83">
        <v>3.0237400000000001E-2</v>
      </c>
      <c r="AE70" s="83">
        <v>6.0499000000000004E-3</v>
      </c>
      <c r="AF70" s="83">
        <v>0.65907499999999997</v>
      </c>
      <c r="AG70" s="83">
        <v>3.0525400000000001E-2</v>
      </c>
      <c r="AH70" s="83">
        <v>6.0499000000000004E-3</v>
      </c>
      <c r="AI70" s="83">
        <v>0.660528</v>
      </c>
      <c r="AJ70" s="83">
        <v>3.0508299999999999E-2</v>
      </c>
      <c r="AK70" s="83">
        <v>6.0499000000000004E-3</v>
      </c>
      <c r="AL70" s="83">
        <v>0.66115100000000004</v>
      </c>
      <c r="AM70" s="83">
        <v>3.0543500000000001E-2</v>
      </c>
      <c r="AN70" s="83">
        <v>6.0499000000000004E-3</v>
      </c>
      <c r="AO70" s="83">
        <v>0.66174100000000002</v>
      </c>
      <c r="AP70" s="83">
        <v>3.0573300000000001E-2</v>
      </c>
      <c r="AQ70" s="83">
        <v>6.0499000000000004E-3</v>
      </c>
      <c r="AR70" s="83">
        <v>0.65534800000000004</v>
      </c>
      <c r="AS70" s="83">
        <v>3.0269600000000001E-2</v>
      </c>
      <c r="AT70" s="83">
        <v>6.0499000000000004E-3</v>
      </c>
      <c r="AU70" s="83">
        <v>0.656281</v>
      </c>
      <c r="AV70" s="83">
        <v>3.0336100000000001E-2</v>
      </c>
      <c r="AW70" s="83">
        <v>6.0499000000000004E-3</v>
      </c>
      <c r="AX70" s="83">
        <v>0.65471299999999999</v>
      </c>
      <c r="AY70" s="83">
        <v>3.0327199999999999E-2</v>
      </c>
      <c r="AZ70" s="83">
        <v>6.0499000000000004E-3</v>
      </c>
      <c r="BA70" s="83">
        <v>0.64973199999999998</v>
      </c>
      <c r="BB70" s="83">
        <v>3.0248299999999999E-2</v>
      </c>
      <c r="BC70" s="83">
        <v>6.0499000000000004E-3</v>
      </c>
      <c r="BD70" s="83">
        <v>0.65961099999999995</v>
      </c>
      <c r="BE70" s="83">
        <v>3.0835999999999999E-2</v>
      </c>
      <c r="BF70" s="83">
        <v>6.0499000000000004E-3</v>
      </c>
      <c r="BG70" s="83">
        <v>0.65907099999999996</v>
      </c>
      <c r="BH70" s="83">
        <v>3.0864300000000001E-2</v>
      </c>
      <c r="BI70" s="83">
        <v>6.0499000000000004E-3</v>
      </c>
      <c r="BJ70" s="83">
        <v>0.64832999999999996</v>
      </c>
      <c r="BK70" s="83">
        <v>3.0545200000000002E-2</v>
      </c>
      <c r="BL70" s="83">
        <v>6.0499000000000004E-3</v>
      </c>
      <c r="BM70" s="83">
        <v>0.63937100000000002</v>
      </c>
      <c r="BN70" s="83">
        <v>3.0317899999999998E-2</v>
      </c>
      <c r="BO70" s="83">
        <v>6.0499000000000004E-3</v>
      </c>
      <c r="BP70" s="83">
        <v>0.63591600000000004</v>
      </c>
      <c r="BQ70" s="83">
        <v>3.0313900000000001E-2</v>
      </c>
      <c r="BR70" s="83">
        <v>6.0499000000000004E-3</v>
      </c>
      <c r="BS70" s="83">
        <v>0.63556999999999997</v>
      </c>
      <c r="BT70" s="83">
        <v>3.0513599999999998E-2</v>
      </c>
      <c r="BU70" s="83">
        <v>6.0499000000000004E-3</v>
      </c>
      <c r="BV70" s="83">
        <v>0.64068899999999995</v>
      </c>
      <c r="BW70" s="83">
        <v>3.091E-2</v>
      </c>
      <c r="BX70" s="83">
        <v>6.0499000000000004E-3</v>
      </c>
      <c r="BY70" s="83">
        <v>0.61848099999999995</v>
      </c>
      <c r="BZ70" s="83">
        <v>3.0188E-2</v>
      </c>
      <c r="CA70" s="83">
        <v>6.0499000000000004E-3</v>
      </c>
      <c r="CB70" s="83">
        <v>0.63412000000000002</v>
      </c>
      <c r="CC70" s="83">
        <v>3.11297E-2</v>
      </c>
      <c r="CD70" s="83">
        <v>6.0499000000000004E-3</v>
      </c>
      <c r="CE70" s="83">
        <v>0.60394000000000003</v>
      </c>
      <c r="CF70" s="83">
        <v>3.0138700000000001E-2</v>
      </c>
      <c r="CG70" s="83">
        <v>6.0499000000000004E-3</v>
      </c>
      <c r="CH70" s="83">
        <v>0.59794499999999995</v>
      </c>
      <c r="CI70" s="83">
        <v>3.0257800000000001E-2</v>
      </c>
      <c r="CJ70" s="83">
        <v>6.0499000000000004E-3</v>
      </c>
      <c r="CK70" s="83">
        <v>0.58347300000000002</v>
      </c>
      <c r="CL70" s="83">
        <v>3.0016000000000001E-2</v>
      </c>
      <c r="CM70" s="83">
        <v>6.0499000000000004E-3</v>
      </c>
      <c r="CN70" s="83">
        <v>0.58199199999999995</v>
      </c>
      <c r="CO70" s="83">
        <v>3.04357E-2</v>
      </c>
      <c r="CP70" s="83">
        <v>6.0499000000000004E-3</v>
      </c>
      <c r="CQ70" s="83">
        <v>0.57171000000000005</v>
      </c>
      <c r="CR70" s="83">
        <v>3.0587199999999998E-2</v>
      </c>
      <c r="CS70" s="83">
        <v>6.0499000000000004E-3</v>
      </c>
      <c r="CT70" s="83">
        <v>0.55870399999999998</v>
      </c>
      <c r="CU70" s="83">
        <v>3.0691800000000002E-2</v>
      </c>
      <c r="CV70" s="83">
        <v>6.0499000000000004E-3</v>
      </c>
      <c r="CW70" s="83">
        <v>0.52754400000000001</v>
      </c>
      <c r="CX70" s="83">
        <v>3.0189500000000001E-2</v>
      </c>
    </row>
    <row r="71" spans="1:102" x14ac:dyDescent="0.2">
      <c r="A71" s="83">
        <v>6.1498999999999998E-3</v>
      </c>
      <c r="B71" s="83">
        <v>0.547018</v>
      </c>
      <c r="C71" s="83">
        <v>2.8419099999999999E-2</v>
      </c>
      <c r="D71" s="83">
        <v>6.1498999999999998E-3</v>
      </c>
      <c r="E71" s="83">
        <v>0.57004200000000005</v>
      </c>
      <c r="F71" s="83">
        <v>2.8879800000000001E-2</v>
      </c>
      <c r="G71" s="83">
        <v>6.1498999999999998E-3</v>
      </c>
      <c r="H71" s="83">
        <v>0.58735599999999999</v>
      </c>
      <c r="I71" s="83">
        <v>2.9218299999999999E-2</v>
      </c>
      <c r="J71" s="83">
        <v>6.1498999999999998E-3</v>
      </c>
      <c r="K71" s="83">
        <v>0.60029699999999997</v>
      </c>
      <c r="L71" s="83">
        <v>2.9023699999999999E-2</v>
      </c>
      <c r="M71" s="83">
        <v>6.1498999999999998E-3</v>
      </c>
      <c r="N71" s="83">
        <v>0.60390500000000003</v>
      </c>
      <c r="O71" s="83">
        <v>2.8708600000000001E-2</v>
      </c>
      <c r="P71" s="83">
        <v>6.1498999999999998E-3</v>
      </c>
      <c r="Q71" s="83">
        <v>0.61497800000000002</v>
      </c>
      <c r="R71" s="83">
        <v>2.9047300000000002E-2</v>
      </c>
      <c r="S71" s="83">
        <v>6.1498999999999998E-3</v>
      </c>
      <c r="T71" s="83">
        <v>0.62350899999999998</v>
      </c>
      <c r="U71" s="83">
        <v>2.9369800000000001E-2</v>
      </c>
      <c r="V71" s="83">
        <v>6.1498999999999998E-3</v>
      </c>
      <c r="W71" s="83">
        <v>0.62086699999999995</v>
      </c>
      <c r="X71" s="83">
        <v>2.8991900000000001E-2</v>
      </c>
      <c r="Y71" s="83">
        <v>6.1498999999999998E-3</v>
      </c>
      <c r="Z71" s="83">
        <v>0.62309099999999995</v>
      </c>
      <c r="AA71" s="83">
        <v>2.8977900000000001E-2</v>
      </c>
      <c r="AB71" s="83">
        <v>6.1498999999999998E-3</v>
      </c>
      <c r="AC71" s="83">
        <v>0.62311399999999995</v>
      </c>
      <c r="AD71" s="83">
        <v>2.8745199999999999E-2</v>
      </c>
      <c r="AE71" s="83">
        <v>6.1498999999999998E-3</v>
      </c>
      <c r="AF71" s="83">
        <v>0.63033499999999998</v>
      </c>
      <c r="AG71" s="83">
        <v>2.9051799999999999E-2</v>
      </c>
      <c r="AH71" s="83">
        <v>6.1498999999999998E-3</v>
      </c>
      <c r="AI71" s="83">
        <v>0.63084099999999999</v>
      </c>
      <c r="AJ71" s="83">
        <v>2.9023899999999998E-2</v>
      </c>
      <c r="AK71" s="83">
        <v>6.1498999999999998E-3</v>
      </c>
      <c r="AL71" s="83">
        <v>0.63140499999999999</v>
      </c>
      <c r="AM71" s="83">
        <v>2.9060099999999998E-2</v>
      </c>
      <c r="AN71" s="83">
        <v>6.1498999999999998E-3</v>
      </c>
      <c r="AO71" s="83">
        <v>0.63155600000000001</v>
      </c>
      <c r="AP71" s="83">
        <v>2.9113300000000002E-2</v>
      </c>
      <c r="AQ71" s="83">
        <v>6.1498999999999998E-3</v>
      </c>
      <c r="AR71" s="83">
        <v>0.62493299999999996</v>
      </c>
      <c r="AS71" s="83">
        <v>2.87706E-2</v>
      </c>
      <c r="AT71" s="83">
        <v>6.1498999999999998E-3</v>
      </c>
      <c r="AU71" s="83">
        <v>0.62488500000000002</v>
      </c>
      <c r="AV71" s="83">
        <v>2.8847899999999999E-2</v>
      </c>
      <c r="AW71" s="83">
        <v>6.1498999999999998E-3</v>
      </c>
      <c r="AX71" s="83">
        <v>0.62368699999999999</v>
      </c>
      <c r="AY71" s="83">
        <v>2.88624E-2</v>
      </c>
      <c r="AZ71" s="83">
        <v>6.1498999999999998E-3</v>
      </c>
      <c r="BA71" s="83">
        <v>0.61843300000000001</v>
      </c>
      <c r="BB71" s="83">
        <v>2.8743399999999999E-2</v>
      </c>
      <c r="BC71" s="83">
        <v>6.1498999999999998E-3</v>
      </c>
      <c r="BD71" s="83">
        <v>0.62758899999999995</v>
      </c>
      <c r="BE71" s="83">
        <v>2.93712E-2</v>
      </c>
      <c r="BF71" s="83">
        <v>6.1498999999999998E-3</v>
      </c>
      <c r="BG71" s="83">
        <v>0.62646299999999999</v>
      </c>
      <c r="BH71" s="83">
        <v>2.9389700000000001E-2</v>
      </c>
      <c r="BI71" s="83">
        <v>6.1498999999999998E-3</v>
      </c>
      <c r="BJ71" s="83">
        <v>0.61621099999999995</v>
      </c>
      <c r="BK71" s="83">
        <v>2.9069600000000001E-2</v>
      </c>
      <c r="BL71" s="83">
        <v>6.1498999999999998E-3</v>
      </c>
      <c r="BM71" s="83">
        <v>0.60692000000000002</v>
      </c>
      <c r="BN71" s="83">
        <v>2.8814900000000001E-2</v>
      </c>
      <c r="BO71" s="83">
        <v>6.1498999999999998E-3</v>
      </c>
      <c r="BP71" s="83">
        <v>0.60334299999999996</v>
      </c>
      <c r="BQ71" s="83">
        <v>2.8803100000000002E-2</v>
      </c>
      <c r="BR71" s="83">
        <v>6.1498999999999998E-3</v>
      </c>
      <c r="BS71" s="83">
        <v>0.60238599999999998</v>
      </c>
      <c r="BT71" s="83">
        <v>2.9033099999999999E-2</v>
      </c>
      <c r="BU71" s="83">
        <v>6.1498999999999998E-3</v>
      </c>
      <c r="BV71" s="83">
        <v>0.60674399999999995</v>
      </c>
      <c r="BW71" s="83">
        <v>2.9423700000000001E-2</v>
      </c>
      <c r="BX71" s="83">
        <v>6.1498999999999998E-3</v>
      </c>
      <c r="BY71" s="83">
        <v>0.58492100000000002</v>
      </c>
      <c r="BZ71" s="83">
        <v>2.8717300000000001E-2</v>
      </c>
      <c r="CA71" s="83">
        <v>6.1498999999999998E-3</v>
      </c>
      <c r="CB71" s="83">
        <v>0.59975000000000001</v>
      </c>
      <c r="CC71" s="83">
        <v>2.9663800000000001E-2</v>
      </c>
      <c r="CD71" s="83">
        <v>6.1498999999999998E-3</v>
      </c>
      <c r="CE71" s="83">
        <v>0.57048299999999996</v>
      </c>
      <c r="CF71" s="83">
        <v>2.86661E-2</v>
      </c>
      <c r="CG71" s="83">
        <v>6.1498999999999998E-3</v>
      </c>
      <c r="CH71" s="83">
        <v>0.56409699999999996</v>
      </c>
      <c r="CI71" s="83">
        <v>2.8780300000000002E-2</v>
      </c>
      <c r="CJ71" s="83">
        <v>6.1498999999999998E-3</v>
      </c>
      <c r="CK71" s="83">
        <v>0.55005999999999999</v>
      </c>
      <c r="CL71" s="83">
        <v>2.85639E-2</v>
      </c>
      <c r="CM71" s="83">
        <v>6.1498999999999998E-3</v>
      </c>
      <c r="CN71" s="83">
        <v>0.54823200000000005</v>
      </c>
      <c r="CO71" s="83">
        <v>2.8962999999999999E-2</v>
      </c>
      <c r="CP71" s="83">
        <v>6.1498999999999998E-3</v>
      </c>
      <c r="CQ71" s="83">
        <v>0.53722199999999998</v>
      </c>
      <c r="CR71" s="83">
        <v>2.9099900000000001E-2</v>
      </c>
      <c r="CS71" s="83">
        <v>6.1498999999999998E-3</v>
      </c>
      <c r="CT71" s="83">
        <v>0.52454900000000004</v>
      </c>
      <c r="CU71" s="83">
        <v>2.92006E-2</v>
      </c>
      <c r="CV71" s="83">
        <v>6.1498999999999998E-3</v>
      </c>
      <c r="CW71" s="83">
        <v>0.49366700000000002</v>
      </c>
      <c r="CX71" s="83">
        <v>2.87052E-2</v>
      </c>
    </row>
    <row r="72" spans="1:102" x14ac:dyDescent="0.2">
      <c r="A72" s="83">
        <v>6.2499000000000001E-3</v>
      </c>
      <c r="B72" s="83">
        <v>0.52336099999999997</v>
      </c>
      <c r="C72" s="83">
        <v>2.7049900000000002E-2</v>
      </c>
      <c r="D72" s="83">
        <v>6.2499000000000001E-3</v>
      </c>
      <c r="E72" s="83">
        <v>0.54611600000000005</v>
      </c>
      <c r="F72" s="83">
        <v>2.7493099999999999E-2</v>
      </c>
      <c r="G72" s="83">
        <v>6.2499000000000001E-3</v>
      </c>
      <c r="H72" s="83">
        <v>0.56282500000000002</v>
      </c>
      <c r="I72" s="83">
        <v>2.7821800000000001E-2</v>
      </c>
      <c r="J72" s="83">
        <v>6.2499000000000001E-3</v>
      </c>
      <c r="K72" s="83">
        <v>0.57485699999999995</v>
      </c>
      <c r="L72" s="83">
        <v>2.7635099999999999E-2</v>
      </c>
      <c r="M72" s="83">
        <v>6.2499000000000001E-3</v>
      </c>
      <c r="N72" s="83">
        <v>0.57784000000000002</v>
      </c>
      <c r="O72" s="83">
        <v>2.73482E-2</v>
      </c>
      <c r="P72" s="83">
        <v>6.2499000000000001E-3</v>
      </c>
      <c r="Q72" s="83">
        <v>0.58830800000000005</v>
      </c>
      <c r="R72" s="83">
        <v>2.7635199999999999E-2</v>
      </c>
      <c r="S72" s="83">
        <v>6.2499000000000001E-3</v>
      </c>
      <c r="T72" s="83">
        <v>0.59687800000000002</v>
      </c>
      <c r="U72" s="83">
        <v>2.79236E-2</v>
      </c>
      <c r="V72" s="83">
        <v>6.2499000000000001E-3</v>
      </c>
      <c r="W72" s="83">
        <v>0.59370900000000004</v>
      </c>
      <c r="X72" s="83">
        <v>2.75906E-2</v>
      </c>
      <c r="Y72" s="83">
        <v>6.2499000000000001E-3</v>
      </c>
      <c r="Z72" s="83">
        <v>0.59573799999999999</v>
      </c>
      <c r="AA72" s="83">
        <v>2.7568700000000002E-2</v>
      </c>
      <c r="AB72" s="83">
        <v>6.2499000000000001E-3</v>
      </c>
      <c r="AC72" s="83">
        <v>0.59539900000000001</v>
      </c>
      <c r="AD72" s="83">
        <v>2.7391700000000001E-2</v>
      </c>
      <c r="AE72" s="83">
        <v>6.2499000000000001E-3</v>
      </c>
      <c r="AF72" s="83">
        <v>0.60181399999999996</v>
      </c>
      <c r="AG72" s="83">
        <v>2.76396E-2</v>
      </c>
      <c r="AH72" s="83">
        <v>6.2499000000000001E-3</v>
      </c>
      <c r="AI72" s="83">
        <v>0.60191499999999998</v>
      </c>
      <c r="AJ72" s="83">
        <v>2.7622600000000001E-2</v>
      </c>
      <c r="AK72" s="83">
        <v>6.2499000000000001E-3</v>
      </c>
      <c r="AL72" s="83">
        <v>0.60256200000000004</v>
      </c>
      <c r="AM72" s="83">
        <v>2.7667500000000001E-2</v>
      </c>
      <c r="AN72" s="83">
        <v>6.2499000000000001E-3</v>
      </c>
      <c r="AO72" s="83">
        <v>0.60212699999999997</v>
      </c>
      <c r="AP72" s="83">
        <v>2.7703200000000001E-2</v>
      </c>
      <c r="AQ72" s="83">
        <v>6.2499000000000001E-3</v>
      </c>
      <c r="AR72" s="83">
        <v>0.59494800000000003</v>
      </c>
      <c r="AS72" s="83">
        <v>2.7429700000000001E-2</v>
      </c>
      <c r="AT72" s="83">
        <v>6.2499000000000001E-3</v>
      </c>
      <c r="AU72" s="83">
        <v>0.59570999999999996</v>
      </c>
      <c r="AV72" s="83">
        <v>2.7478699999999998E-2</v>
      </c>
      <c r="AW72" s="83">
        <v>6.2499000000000001E-3</v>
      </c>
      <c r="AX72" s="83">
        <v>0.59331599999999995</v>
      </c>
      <c r="AY72" s="83">
        <v>2.7475699999999999E-2</v>
      </c>
      <c r="AZ72" s="83">
        <v>6.2499000000000001E-3</v>
      </c>
      <c r="BA72" s="83">
        <v>0.58838900000000005</v>
      </c>
      <c r="BB72" s="83">
        <v>2.7393799999999999E-2</v>
      </c>
      <c r="BC72" s="83">
        <v>6.2499000000000001E-3</v>
      </c>
      <c r="BD72" s="83">
        <v>0.59678799999999999</v>
      </c>
      <c r="BE72" s="83">
        <v>2.79464E-2</v>
      </c>
      <c r="BF72" s="83">
        <v>6.2499000000000001E-3</v>
      </c>
      <c r="BG72" s="83">
        <v>0.59546200000000005</v>
      </c>
      <c r="BH72" s="83">
        <v>2.7938600000000001E-2</v>
      </c>
      <c r="BI72" s="83">
        <v>6.2499000000000001E-3</v>
      </c>
      <c r="BJ72" s="83">
        <v>0.58477100000000004</v>
      </c>
      <c r="BK72" s="83">
        <v>2.7669200000000001E-2</v>
      </c>
      <c r="BL72" s="83">
        <v>6.2499000000000001E-3</v>
      </c>
      <c r="BM72" s="83">
        <v>0.57545999999999997</v>
      </c>
      <c r="BN72" s="83">
        <v>2.7442899999999999E-2</v>
      </c>
      <c r="BO72" s="83">
        <v>6.2499000000000001E-3</v>
      </c>
      <c r="BP72" s="83">
        <v>0.57166300000000003</v>
      </c>
      <c r="BQ72" s="83">
        <v>2.74311E-2</v>
      </c>
      <c r="BR72" s="83">
        <v>6.2499000000000001E-3</v>
      </c>
      <c r="BS72" s="83">
        <v>0.57087699999999997</v>
      </c>
      <c r="BT72" s="83">
        <v>2.7635699999999999E-2</v>
      </c>
      <c r="BU72" s="83">
        <v>6.2499000000000001E-3</v>
      </c>
      <c r="BV72" s="83">
        <v>0.57444899999999999</v>
      </c>
      <c r="BW72" s="83">
        <v>2.79803E-2</v>
      </c>
      <c r="BX72" s="83">
        <v>6.2499000000000001E-3</v>
      </c>
      <c r="BY72" s="83">
        <v>0.55356799999999995</v>
      </c>
      <c r="BZ72" s="83">
        <v>2.7337500000000001E-2</v>
      </c>
      <c r="CA72" s="83">
        <v>6.2499000000000001E-3</v>
      </c>
      <c r="CB72" s="83">
        <v>0.566527</v>
      </c>
      <c r="CC72" s="83">
        <v>2.8222400000000002E-2</v>
      </c>
      <c r="CD72" s="83">
        <v>6.2499000000000001E-3</v>
      </c>
      <c r="CE72" s="83">
        <v>0.53810999999999998</v>
      </c>
      <c r="CF72" s="83">
        <v>2.7305699999999999E-2</v>
      </c>
      <c r="CG72" s="83">
        <v>6.2499000000000001E-3</v>
      </c>
      <c r="CH72" s="83">
        <v>0.53153399999999995</v>
      </c>
      <c r="CI72" s="83">
        <v>2.7417E-2</v>
      </c>
      <c r="CJ72" s="83">
        <v>6.2499000000000001E-3</v>
      </c>
      <c r="CK72" s="83">
        <v>0.51788199999999995</v>
      </c>
      <c r="CL72" s="83">
        <v>2.7191799999999999E-2</v>
      </c>
      <c r="CM72" s="83">
        <v>6.2499000000000001E-3</v>
      </c>
      <c r="CN72" s="83">
        <v>0.515239</v>
      </c>
      <c r="CO72" s="83">
        <v>2.7562699999999999E-2</v>
      </c>
      <c r="CP72" s="83">
        <v>6.2499000000000001E-3</v>
      </c>
      <c r="CQ72" s="83">
        <v>0.50417100000000004</v>
      </c>
      <c r="CR72" s="83">
        <v>2.7666300000000001E-2</v>
      </c>
      <c r="CS72" s="83">
        <v>6.2499000000000001E-3</v>
      </c>
      <c r="CT72" s="83">
        <v>0.49194700000000002</v>
      </c>
      <c r="CU72" s="83">
        <v>2.77875E-2</v>
      </c>
      <c r="CV72" s="83">
        <v>6.2499000000000001E-3</v>
      </c>
      <c r="CW72" s="83">
        <v>0.46190999999999999</v>
      </c>
      <c r="CX72" s="83">
        <v>2.7319400000000001E-2</v>
      </c>
    </row>
    <row r="73" spans="1:102" x14ac:dyDescent="0.2">
      <c r="A73" s="83">
        <v>6.3499000000000003E-3</v>
      </c>
      <c r="B73" s="83">
        <v>0.500807</v>
      </c>
      <c r="C73" s="83">
        <v>2.5792099999999998E-2</v>
      </c>
      <c r="D73" s="83">
        <v>6.3499000000000003E-3</v>
      </c>
      <c r="E73" s="83">
        <v>0.52263999999999999</v>
      </c>
      <c r="F73" s="83">
        <v>2.6204000000000002E-2</v>
      </c>
      <c r="G73" s="83">
        <v>6.3499000000000003E-3</v>
      </c>
      <c r="H73" s="83">
        <v>0.53895800000000005</v>
      </c>
      <c r="I73" s="83">
        <v>2.64888E-2</v>
      </c>
      <c r="J73" s="83">
        <v>6.3499000000000003E-3</v>
      </c>
      <c r="K73" s="83">
        <v>0.55033600000000005</v>
      </c>
      <c r="L73" s="83">
        <v>2.63421E-2</v>
      </c>
      <c r="M73" s="83">
        <v>6.3499000000000003E-3</v>
      </c>
      <c r="N73" s="83">
        <v>0.55295799999999995</v>
      </c>
      <c r="O73" s="83">
        <v>2.6056200000000002E-2</v>
      </c>
      <c r="P73" s="83">
        <v>6.3499000000000003E-3</v>
      </c>
      <c r="Q73" s="83">
        <v>0.56273200000000001</v>
      </c>
      <c r="R73" s="83">
        <v>2.6353000000000001E-2</v>
      </c>
      <c r="S73" s="83">
        <v>6.3499000000000003E-3</v>
      </c>
      <c r="T73" s="83">
        <v>0.57075500000000001</v>
      </c>
      <c r="U73" s="83">
        <v>2.6615E-2</v>
      </c>
      <c r="V73" s="83">
        <v>6.3499000000000003E-3</v>
      </c>
      <c r="W73" s="83">
        <v>0.56799599999999995</v>
      </c>
      <c r="X73" s="83">
        <v>2.6306400000000001E-2</v>
      </c>
      <c r="Y73" s="83">
        <v>6.3499000000000003E-3</v>
      </c>
      <c r="Z73" s="83">
        <v>0.56924799999999998</v>
      </c>
      <c r="AA73" s="83">
        <v>2.6274700000000002E-2</v>
      </c>
      <c r="AB73" s="83">
        <v>6.3499000000000003E-3</v>
      </c>
      <c r="AC73" s="83">
        <v>0.56893000000000005</v>
      </c>
      <c r="AD73" s="83">
        <v>2.60909E-2</v>
      </c>
      <c r="AE73" s="83">
        <v>6.3499000000000003E-3</v>
      </c>
      <c r="AF73" s="83">
        <v>0.57443699999999998</v>
      </c>
      <c r="AG73" s="83">
        <v>2.6369099999999999E-2</v>
      </c>
      <c r="AH73" s="83">
        <v>6.3499000000000003E-3</v>
      </c>
      <c r="AI73" s="83">
        <v>0.57445900000000005</v>
      </c>
      <c r="AJ73" s="83">
        <v>2.6341300000000002E-2</v>
      </c>
      <c r="AK73" s="83">
        <v>6.3499000000000003E-3</v>
      </c>
      <c r="AL73" s="83">
        <v>0.57442700000000002</v>
      </c>
      <c r="AM73" s="83">
        <v>2.6381399999999999E-2</v>
      </c>
      <c r="AN73" s="83">
        <v>6.3499000000000003E-3</v>
      </c>
      <c r="AO73" s="83">
        <v>0.57386099999999995</v>
      </c>
      <c r="AP73" s="83">
        <v>2.6419000000000002E-2</v>
      </c>
      <c r="AQ73" s="83">
        <v>6.3499000000000003E-3</v>
      </c>
      <c r="AR73" s="83">
        <v>0.56694999999999995</v>
      </c>
      <c r="AS73" s="83">
        <v>2.6136800000000002E-2</v>
      </c>
      <c r="AT73" s="83">
        <v>6.3499000000000003E-3</v>
      </c>
      <c r="AU73" s="83">
        <v>0.56695499999999999</v>
      </c>
      <c r="AV73" s="83">
        <v>2.6193600000000001E-2</v>
      </c>
      <c r="AW73" s="83">
        <v>6.3499000000000003E-3</v>
      </c>
      <c r="AX73" s="83">
        <v>0.56468799999999997</v>
      </c>
      <c r="AY73" s="83">
        <v>2.61768E-2</v>
      </c>
      <c r="AZ73" s="83">
        <v>6.3499000000000003E-3</v>
      </c>
      <c r="BA73" s="83">
        <v>0.559361</v>
      </c>
      <c r="BB73" s="83">
        <v>2.61126E-2</v>
      </c>
      <c r="BC73" s="83">
        <v>6.3499000000000003E-3</v>
      </c>
      <c r="BD73" s="83">
        <v>0.56755</v>
      </c>
      <c r="BE73" s="83">
        <v>2.66319E-2</v>
      </c>
      <c r="BF73" s="83">
        <v>6.3499000000000003E-3</v>
      </c>
      <c r="BG73" s="83">
        <v>0.56524200000000002</v>
      </c>
      <c r="BH73" s="83">
        <v>2.6644600000000001E-2</v>
      </c>
      <c r="BI73" s="83">
        <v>6.3499000000000003E-3</v>
      </c>
      <c r="BJ73" s="83">
        <v>0.55471199999999998</v>
      </c>
      <c r="BK73" s="83">
        <v>2.63713E-2</v>
      </c>
      <c r="BL73" s="83">
        <v>6.3499000000000003E-3</v>
      </c>
      <c r="BM73" s="83">
        <v>0.54533299999999996</v>
      </c>
      <c r="BN73" s="83">
        <v>2.6154799999999999E-2</v>
      </c>
      <c r="BO73" s="83">
        <v>6.3499000000000003E-3</v>
      </c>
      <c r="BP73" s="83">
        <v>0.541736</v>
      </c>
      <c r="BQ73" s="83">
        <v>2.6171300000000002E-2</v>
      </c>
      <c r="BR73" s="83">
        <v>6.3499000000000003E-3</v>
      </c>
      <c r="BS73" s="83">
        <v>0.54032100000000005</v>
      </c>
      <c r="BT73" s="83">
        <v>2.63632E-2</v>
      </c>
      <c r="BU73" s="83">
        <v>6.3499000000000003E-3</v>
      </c>
      <c r="BV73" s="83">
        <v>0.54332100000000005</v>
      </c>
      <c r="BW73" s="83">
        <v>2.6665899999999999E-2</v>
      </c>
      <c r="BX73" s="83">
        <v>6.3499000000000003E-3</v>
      </c>
      <c r="BY73" s="83">
        <v>0.52307000000000003</v>
      </c>
      <c r="BZ73" s="83">
        <v>2.6054299999999999E-2</v>
      </c>
      <c r="CA73" s="83">
        <v>6.3499000000000003E-3</v>
      </c>
      <c r="CB73" s="83">
        <v>0.53495000000000004</v>
      </c>
      <c r="CC73" s="83">
        <v>2.6878699999999998E-2</v>
      </c>
      <c r="CD73" s="83">
        <v>6.3499000000000003E-3</v>
      </c>
      <c r="CE73" s="83">
        <v>0.50713399999999997</v>
      </c>
      <c r="CF73" s="83">
        <v>2.6023500000000001E-2</v>
      </c>
      <c r="CG73" s="83">
        <v>6.3499000000000003E-3</v>
      </c>
      <c r="CH73" s="83">
        <v>0.50057200000000002</v>
      </c>
      <c r="CI73" s="83">
        <v>2.6124999999999999E-2</v>
      </c>
      <c r="CJ73" s="83">
        <v>6.3499000000000003E-3</v>
      </c>
      <c r="CK73" s="83">
        <v>0.48697400000000002</v>
      </c>
      <c r="CL73" s="83">
        <v>2.59174E-2</v>
      </c>
      <c r="CM73" s="83">
        <v>6.3499000000000003E-3</v>
      </c>
      <c r="CN73" s="83">
        <v>0.48427700000000001</v>
      </c>
      <c r="CO73" s="83">
        <v>2.6283399999999998E-2</v>
      </c>
      <c r="CP73" s="83">
        <v>6.3499000000000003E-3</v>
      </c>
      <c r="CQ73" s="83">
        <v>0.47301799999999999</v>
      </c>
      <c r="CR73" s="83">
        <v>2.64006E-2</v>
      </c>
      <c r="CS73" s="83">
        <v>6.3499000000000003E-3</v>
      </c>
      <c r="CT73" s="83">
        <v>0.46099899999999999</v>
      </c>
      <c r="CU73" s="83">
        <v>2.6487699999999999E-2</v>
      </c>
      <c r="CV73" s="83">
        <v>6.3499000000000003E-3</v>
      </c>
      <c r="CW73" s="83">
        <v>0.43156299999999997</v>
      </c>
      <c r="CX73" s="83">
        <v>2.6011800000000002E-2</v>
      </c>
    </row>
    <row r="74" spans="1:102" x14ac:dyDescent="0.2">
      <c r="A74" s="83">
        <v>6.4498999999999997E-3</v>
      </c>
      <c r="B74" s="83">
        <v>0.47922100000000001</v>
      </c>
      <c r="C74" s="83">
        <v>2.4590899999999999E-2</v>
      </c>
      <c r="D74" s="83">
        <v>6.4498999999999997E-3</v>
      </c>
      <c r="E74" s="83">
        <v>0.50062799999999996</v>
      </c>
      <c r="F74" s="83">
        <v>2.4987200000000001E-2</v>
      </c>
      <c r="G74" s="83">
        <v>6.4498999999999997E-3</v>
      </c>
      <c r="H74" s="83">
        <v>0.51528600000000002</v>
      </c>
      <c r="I74" s="83">
        <v>2.5266199999999999E-2</v>
      </c>
      <c r="J74" s="83">
        <v>6.4498999999999997E-3</v>
      </c>
      <c r="K74" s="83">
        <v>0.526254</v>
      </c>
      <c r="L74" s="83">
        <v>2.5108700000000001E-2</v>
      </c>
      <c r="M74" s="83">
        <v>6.4498999999999997E-3</v>
      </c>
      <c r="N74" s="83">
        <v>0.52871900000000005</v>
      </c>
      <c r="O74" s="83">
        <v>2.4857000000000001E-2</v>
      </c>
      <c r="P74" s="83">
        <v>6.4498999999999997E-3</v>
      </c>
      <c r="Q74" s="83">
        <v>0.53798100000000004</v>
      </c>
      <c r="R74" s="83">
        <v>2.51176E-2</v>
      </c>
      <c r="S74" s="83">
        <v>6.4498999999999997E-3</v>
      </c>
      <c r="T74" s="83">
        <v>0.54533500000000001</v>
      </c>
      <c r="U74" s="83">
        <v>2.5364999999999999E-2</v>
      </c>
      <c r="V74" s="83">
        <v>6.4498999999999997E-3</v>
      </c>
      <c r="W74" s="83">
        <v>0.542489</v>
      </c>
      <c r="X74" s="83">
        <v>2.50691E-2</v>
      </c>
      <c r="Y74" s="83">
        <v>6.4498999999999997E-3</v>
      </c>
      <c r="Z74" s="83">
        <v>0.543296</v>
      </c>
      <c r="AA74" s="83">
        <v>2.5055999999999998E-2</v>
      </c>
      <c r="AB74" s="83">
        <v>6.4498999999999997E-3</v>
      </c>
      <c r="AC74" s="83">
        <v>0.54286000000000001</v>
      </c>
      <c r="AD74" s="83">
        <v>2.4893700000000001E-2</v>
      </c>
      <c r="AE74" s="83">
        <v>6.4498999999999997E-3</v>
      </c>
      <c r="AF74" s="83">
        <v>0.54788899999999996</v>
      </c>
      <c r="AG74" s="83">
        <v>2.5114299999999999E-2</v>
      </c>
      <c r="AH74" s="83">
        <v>6.4498999999999997E-3</v>
      </c>
      <c r="AI74" s="83">
        <v>0.54760299999999995</v>
      </c>
      <c r="AJ74" s="83">
        <v>2.5104999999999999E-2</v>
      </c>
      <c r="AK74" s="83">
        <v>6.4498999999999997E-3</v>
      </c>
      <c r="AL74" s="83">
        <v>0.54735699999999998</v>
      </c>
      <c r="AM74" s="83">
        <v>2.5145000000000001E-2</v>
      </c>
      <c r="AN74" s="83">
        <v>6.4498999999999997E-3</v>
      </c>
      <c r="AO74" s="83">
        <v>0.54696599999999995</v>
      </c>
      <c r="AP74" s="83">
        <v>2.52042E-2</v>
      </c>
      <c r="AQ74" s="83">
        <v>6.4498999999999997E-3</v>
      </c>
      <c r="AR74" s="83">
        <v>0.53948399999999996</v>
      </c>
      <c r="AS74" s="83">
        <v>2.4940500000000001E-2</v>
      </c>
      <c r="AT74" s="83">
        <v>6.4498999999999997E-3</v>
      </c>
      <c r="AU74" s="83">
        <v>0.53906500000000002</v>
      </c>
      <c r="AV74" s="83">
        <v>2.4979700000000001E-2</v>
      </c>
      <c r="AW74" s="83">
        <v>6.4498999999999997E-3</v>
      </c>
      <c r="AX74" s="83">
        <v>0.53701699999999997</v>
      </c>
      <c r="AY74" s="83">
        <v>2.4961000000000001E-2</v>
      </c>
      <c r="AZ74" s="83">
        <v>6.4498999999999997E-3</v>
      </c>
      <c r="BA74" s="83">
        <v>0.53134300000000001</v>
      </c>
      <c r="BB74" s="83">
        <v>2.4898699999999999E-2</v>
      </c>
      <c r="BC74" s="83">
        <v>6.4498999999999997E-3</v>
      </c>
      <c r="BD74" s="83">
        <v>0.53854599999999997</v>
      </c>
      <c r="BE74" s="83">
        <v>2.5399499999999998E-2</v>
      </c>
      <c r="BF74" s="83">
        <v>6.4498999999999997E-3</v>
      </c>
      <c r="BG74" s="83">
        <v>0.53646799999999994</v>
      </c>
      <c r="BH74" s="83">
        <v>2.5399499999999998E-2</v>
      </c>
      <c r="BI74" s="83">
        <v>6.4498999999999997E-3</v>
      </c>
      <c r="BJ74" s="83">
        <v>0.52601100000000001</v>
      </c>
      <c r="BK74" s="83">
        <v>2.5135000000000001E-2</v>
      </c>
      <c r="BL74" s="83">
        <v>6.4498999999999997E-3</v>
      </c>
      <c r="BM74" s="83">
        <v>0.51676299999999997</v>
      </c>
      <c r="BN74" s="83">
        <v>2.4938999999999999E-2</v>
      </c>
      <c r="BO74" s="83">
        <v>6.4498999999999997E-3</v>
      </c>
      <c r="BP74" s="83">
        <v>0.51294700000000004</v>
      </c>
      <c r="BQ74" s="83">
        <v>2.4951600000000001E-2</v>
      </c>
      <c r="BR74" s="83">
        <v>6.4498999999999997E-3</v>
      </c>
      <c r="BS74" s="83">
        <v>0.51136099999999995</v>
      </c>
      <c r="BT74" s="83">
        <v>2.51376E-2</v>
      </c>
      <c r="BU74" s="83">
        <v>6.4498999999999997E-3</v>
      </c>
      <c r="BV74" s="83">
        <v>0.51347200000000004</v>
      </c>
      <c r="BW74" s="83">
        <v>2.5412899999999999E-2</v>
      </c>
      <c r="BX74" s="83">
        <v>6.4498999999999997E-3</v>
      </c>
      <c r="BY74" s="83">
        <v>0.49341699999999999</v>
      </c>
      <c r="BZ74" s="83">
        <v>2.48414E-2</v>
      </c>
      <c r="CA74" s="83">
        <v>6.4498999999999997E-3</v>
      </c>
      <c r="CB74" s="83">
        <v>0.50486699999999995</v>
      </c>
      <c r="CC74" s="83">
        <v>2.5619900000000001E-2</v>
      </c>
      <c r="CD74" s="83">
        <v>6.4498999999999997E-3</v>
      </c>
      <c r="CE74" s="83">
        <v>0.47774899999999998</v>
      </c>
      <c r="CF74" s="83">
        <v>2.4803800000000001E-2</v>
      </c>
      <c r="CG74" s="83">
        <v>6.4498999999999997E-3</v>
      </c>
      <c r="CH74" s="83">
        <v>0.47133799999999998</v>
      </c>
      <c r="CI74" s="83">
        <v>2.4919899999999998E-2</v>
      </c>
      <c r="CJ74" s="83">
        <v>6.4498999999999997E-3</v>
      </c>
      <c r="CK74" s="83">
        <v>0.45724199999999998</v>
      </c>
      <c r="CL74" s="83">
        <v>2.4704500000000001E-2</v>
      </c>
      <c r="CM74" s="83">
        <v>6.4498999999999997E-3</v>
      </c>
      <c r="CN74" s="83">
        <v>0.454843</v>
      </c>
      <c r="CO74" s="83">
        <v>2.5064599999999999E-2</v>
      </c>
      <c r="CP74" s="83">
        <v>6.4498999999999997E-3</v>
      </c>
      <c r="CQ74" s="83">
        <v>0.44360899999999998</v>
      </c>
      <c r="CR74" s="83">
        <v>2.5171099999999998E-2</v>
      </c>
      <c r="CS74" s="83">
        <v>6.4498999999999997E-3</v>
      </c>
      <c r="CT74" s="83">
        <v>0.43104799999999999</v>
      </c>
      <c r="CU74" s="83">
        <v>2.52357E-2</v>
      </c>
      <c r="CV74" s="83">
        <v>6.4498999999999997E-3</v>
      </c>
      <c r="CW74" s="83">
        <v>0.40319899999999997</v>
      </c>
      <c r="CX74" s="83">
        <v>2.47999E-2</v>
      </c>
    </row>
    <row r="75" spans="1:102" x14ac:dyDescent="0.2">
      <c r="A75" s="83">
        <v>6.5499E-3</v>
      </c>
      <c r="B75" s="83">
        <v>0.45865400000000001</v>
      </c>
      <c r="C75" s="83">
        <v>2.3424E-2</v>
      </c>
      <c r="D75" s="83">
        <v>6.5499E-3</v>
      </c>
      <c r="E75" s="83">
        <v>0.47903600000000002</v>
      </c>
      <c r="F75" s="83">
        <v>2.3815300000000001E-2</v>
      </c>
      <c r="G75" s="83">
        <v>6.5499E-3</v>
      </c>
      <c r="H75" s="83">
        <v>0.493147</v>
      </c>
      <c r="I75" s="83">
        <v>2.4099200000000001E-2</v>
      </c>
      <c r="J75" s="83">
        <v>6.5499E-3</v>
      </c>
      <c r="K75" s="83">
        <v>0.50293299999999996</v>
      </c>
      <c r="L75" s="83">
        <v>2.3933900000000001E-2</v>
      </c>
      <c r="M75" s="83">
        <v>6.5499E-3</v>
      </c>
      <c r="N75" s="83">
        <v>0.50515500000000002</v>
      </c>
      <c r="O75" s="83">
        <v>2.3680300000000001E-2</v>
      </c>
      <c r="P75" s="83">
        <v>6.5499E-3</v>
      </c>
      <c r="Q75" s="83">
        <v>0.51381100000000002</v>
      </c>
      <c r="R75" s="83">
        <v>2.3961400000000001E-2</v>
      </c>
      <c r="S75" s="83">
        <v>6.5499E-3</v>
      </c>
      <c r="T75" s="83">
        <v>0.52093599999999995</v>
      </c>
      <c r="U75" s="83">
        <v>2.41765E-2</v>
      </c>
      <c r="V75" s="83">
        <v>6.5499E-3</v>
      </c>
      <c r="W75" s="83">
        <v>0.517567</v>
      </c>
      <c r="X75" s="83">
        <v>2.38874E-2</v>
      </c>
      <c r="Y75" s="83">
        <v>6.5499E-3</v>
      </c>
      <c r="Z75" s="83">
        <v>0.51862799999999998</v>
      </c>
      <c r="AA75" s="83">
        <v>2.3880200000000001E-2</v>
      </c>
      <c r="AB75" s="83">
        <v>6.5499E-3</v>
      </c>
      <c r="AC75" s="83">
        <v>0.51794300000000004</v>
      </c>
      <c r="AD75" s="83">
        <v>2.37472E-2</v>
      </c>
      <c r="AE75" s="83">
        <v>6.5499E-3</v>
      </c>
      <c r="AF75" s="83">
        <v>0.52237100000000003</v>
      </c>
      <c r="AG75" s="83">
        <v>2.3970700000000001E-2</v>
      </c>
      <c r="AH75" s="83">
        <v>6.5499E-3</v>
      </c>
      <c r="AI75" s="83">
        <v>0.52181200000000005</v>
      </c>
      <c r="AJ75" s="83">
        <v>2.3933099999999999E-2</v>
      </c>
      <c r="AK75" s="83">
        <v>6.5499E-3</v>
      </c>
      <c r="AL75" s="83">
        <v>0.52122900000000005</v>
      </c>
      <c r="AM75" s="83">
        <v>2.3982900000000001E-2</v>
      </c>
      <c r="AN75" s="83">
        <v>6.5499E-3</v>
      </c>
      <c r="AO75" s="83">
        <v>0.52030100000000001</v>
      </c>
      <c r="AP75" s="83">
        <v>2.40118E-2</v>
      </c>
      <c r="AQ75" s="83">
        <v>6.5499E-3</v>
      </c>
      <c r="AR75" s="83">
        <v>0.51328700000000005</v>
      </c>
      <c r="AS75" s="83">
        <v>2.3777400000000001E-2</v>
      </c>
      <c r="AT75" s="83">
        <v>6.5499E-3</v>
      </c>
      <c r="AU75" s="83">
        <v>0.51236000000000004</v>
      </c>
      <c r="AV75" s="83">
        <v>2.3812699999999999E-2</v>
      </c>
      <c r="AW75" s="83">
        <v>6.5499E-3</v>
      </c>
      <c r="AX75" s="83">
        <v>0.50960499999999997</v>
      </c>
      <c r="AY75" s="83">
        <v>2.3795E-2</v>
      </c>
      <c r="AZ75" s="83">
        <v>6.5499E-3</v>
      </c>
      <c r="BA75" s="83">
        <v>0.50447299999999995</v>
      </c>
      <c r="BB75" s="83">
        <v>2.37366E-2</v>
      </c>
      <c r="BC75" s="83">
        <v>6.5499E-3</v>
      </c>
      <c r="BD75" s="83">
        <v>0.51078699999999999</v>
      </c>
      <c r="BE75" s="83">
        <v>2.4189499999999999E-2</v>
      </c>
      <c r="BF75" s="83">
        <v>6.5499E-3</v>
      </c>
      <c r="BG75" s="83">
        <v>0.50873400000000002</v>
      </c>
      <c r="BH75" s="83">
        <v>2.4209999999999999E-2</v>
      </c>
      <c r="BI75" s="83">
        <v>6.5499E-3</v>
      </c>
      <c r="BJ75" s="83">
        <v>0.49804700000000002</v>
      </c>
      <c r="BK75" s="83">
        <v>2.39797E-2</v>
      </c>
      <c r="BL75" s="83">
        <v>6.5499E-3</v>
      </c>
      <c r="BM75" s="83">
        <v>0.489039</v>
      </c>
      <c r="BN75" s="83">
        <v>2.3763200000000002E-2</v>
      </c>
      <c r="BO75" s="83">
        <v>6.5499E-3</v>
      </c>
      <c r="BP75" s="83">
        <v>0.48513499999999998</v>
      </c>
      <c r="BQ75" s="83">
        <v>2.3779700000000001E-2</v>
      </c>
      <c r="BR75" s="83">
        <v>6.5499E-3</v>
      </c>
      <c r="BS75" s="83">
        <v>0.48368499999999998</v>
      </c>
      <c r="BT75" s="83">
        <v>2.3956000000000002E-2</v>
      </c>
      <c r="BU75" s="83">
        <v>6.5499E-3</v>
      </c>
      <c r="BV75" s="83">
        <v>0.48502000000000001</v>
      </c>
      <c r="BW75" s="83">
        <v>2.4225400000000001E-2</v>
      </c>
      <c r="BX75" s="83">
        <v>6.5499E-3</v>
      </c>
      <c r="BY75" s="83">
        <v>0.46581400000000001</v>
      </c>
      <c r="BZ75" s="83">
        <v>2.36998E-2</v>
      </c>
      <c r="CA75" s="83">
        <v>6.5499E-3</v>
      </c>
      <c r="CB75" s="83">
        <v>0.47584399999999999</v>
      </c>
      <c r="CC75" s="83">
        <v>2.4434399999999998E-2</v>
      </c>
      <c r="CD75" s="83">
        <v>6.5499E-3</v>
      </c>
      <c r="CE75" s="83">
        <v>0.44977</v>
      </c>
      <c r="CF75" s="83">
        <v>2.3642699999999999E-2</v>
      </c>
      <c r="CG75" s="83">
        <v>6.5499E-3</v>
      </c>
      <c r="CH75" s="83">
        <v>0.44308199999999998</v>
      </c>
      <c r="CI75" s="83">
        <v>2.375E-2</v>
      </c>
      <c r="CJ75" s="83">
        <v>6.5499E-3</v>
      </c>
      <c r="CK75" s="83">
        <v>0.42966900000000002</v>
      </c>
      <c r="CL75" s="83">
        <v>2.3552099999999999E-2</v>
      </c>
      <c r="CM75" s="83">
        <v>6.5499E-3</v>
      </c>
      <c r="CN75" s="83">
        <v>0.42646000000000001</v>
      </c>
      <c r="CO75" s="83">
        <v>2.3900500000000002E-2</v>
      </c>
      <c r="CP75" s="83">
        <v>6.5499E-3</v>
      </c>
      <c r="CQ75" s="83">
        <v>0.41556700000000002</v>
      </c>
      <c r="CR75" s="83">
        <v>2.39954E-2</v>
      </c>
      <c r="CS75" s="83">
        <v>6.5499E-3</v>
      </c>
      <c r="CT75" s="83">
        <v>0.40323599999999998</v>
      </c>
      <c r="CU75" s="83">
        <v>2.4073600000000001E-2</v>
      </c>
      <c r="CV75" s="83">
        <v>6.5499E-3</v>
      </c>
      <c r="CW75" s="83">
        <v>0.37561099999999997</v>
      </c>
      <c r="CX75" s="83">
        <v>2.3623100000000001E-2</v>
      </c>
    </row>
    <row r="76" spans="1:102" x14ac:dyDescent="0.2">
      <c r="A76" s="83">
        <v>6.6499000000000003E-3</v>
      </c>
      <c r="B76" s="83">
        <v>0.43849300000000002</v>
      </c>
      <c r="C76" s="83">
        <v>2.2317500000000001E-2</v>
      </c>
      <c r="D76" s="83">
        <v>6.6499000000000003E-3</v>
      </c>
      <c r="E76" s="83">
        <v>0.45780100000000001</v>
      </c>
      <c r="F76" s="83">
        <v>2.26903E-2</v>
      </c>
      <c r="G76" s="83">
        <v>6.6499000000000003E-3</v>
      </c>
      <c r="H76" s="83">
        <v>0.47145300000000001</v>
      </c>
      <c r="I76" s="83">
        <v>2.29713E-2</v>
      </c>
      <c r="J76" s="83">
        <v>6.6499000000000003E-3</v>
      </c>
      <c r="K76" s="83">
        <v>0.48057</v>
      </c>
      <c r="L76" s="83">
        <v>2.2801100000000001E-2</v>
      </c>
      <c r="M76" s="83">
        <v>6.6499000000000003E-3</v>
      </c>
      <c r="N76" s="83">
        <v>0.48285</v>
      </c>
      <c r="O76" s="83">
        <v>2.25845E-2</v>
      </c>
      <c r="P76" s="83">
        <v>6.6499000000000003E-3</v>
      </c>
      <c r="Q76" s="83">
        <v>0.49114999999999998</v>
      </c>
      <c r="R76" s="83">
        <v>2.2814899999999999E-2</v>
      </c>
      <c r="S76" s="83">
        <v>6.6499000000000003E-3</v>
      </c>
      <c r="T76" s="83">
        <v>0.497923</v>
      </c>
      <c r="U76" s="83">
        <v>2.3048599999999999E-2</v>
      </c>
      <c r="V76" s="83">
        <v>6.6499000000000003E-3</v>
      </c>
      <c r="W76" s="83">
        <v>0.49373400000000001</v>
      </c>
      <c r="X76" s="83">
        <v>2.27849E-2</v>
      </c>
      <c r="Y76" s="83">
        <v>6.6499000000000003E-3</v>
      </c>
      <c r="Z76" s="83">
        <v>0.49442399999999997</v>
      </c>
      <c r="AA76" s="83">
        <v>2.27464E-2</v>
      </c>
      <c r="AB76" s="83">
        <v>6.6499000000000003E-3</v>
      </c>
      <c r="AC76" s="83">
        <v>0.49391499999999999</v>
      </c>
      <c r="AD76" s="83">
        <v>2.2669100000000001E-2</v>
      </c>
      <c r="AE76" s="83">
        <v>6.6499000000000003E-3</v>
      </c>
      <c r="AF76" s="83">
        <v>0.49751800000000002</v>
      </c>
      <c r="AG76" s="83">
        <v>2.28545E-2</v>
      </c>
      <c r="AH76" s="83">
        <v>6.6499000000000003E-3</v>
      </c>
      <c r="AI76" s="83">
        <v>0.49685600000000002</v>
      </c>
      <c r="AJ76" s="83">
        <v>2.2814899999999999E-2</v>
      </c>
      <c r="AK76" s="83">
        <v>6.6499000000000003E-3</v>
      </c>
      <c r="AL76" s="83">
        <v>0.49599399999999999</v>
      </c>
      <c r="AM76" s="83">
        <v>2.2858900000000001E-2</v>
      </c>
      <c r="AN76" s="83">
        <v>6.6499000000000003E-3</v>
      </c>
      <c r="AO76" s="83">
        <v>0.49511100000000002</v>
      </c>
      <c r="AP76" s="83">
        <v>2.28936E-2</v>
      </c>
      <c r="AQ76" s="83">
        <v>6.6499000000000003E-3</v>
      </c>
      <c r="AR76" s="83">
        <v>0.48795500000000003</v>
      </c>
      <c r="AS76" s="83">
        <v>2.2657299999999998E-2</v>
      </c>
      <c r="AT76" s="83">
        <v>6.6499000000000003E-3</v>
      </c>
      <c r="AU76" s="83">
        <v>0.48653999999999997</v>
      </c>
      <c r="AV76" s="83">
        <v>2.2696500000000001E-2</v>
      </c>
      <c r="AW76" s="83">
        <v>6.6499000000000003E-3</v>
      </c>
      <c r="AX76" s="83">
        <v>0.48429299999999997</v>
      </c>
      <c r="AY76" s="83">
        <v>2.2687599999999999E-2</v>
      </c>
      <c r="AZ76" s="83">
        <v>6.6499000000000003E-3</v>
      </c>
      <c r="BA76" s="83">
        <v>0.47872100000000001</v>
      </c>
      <c r="BB76" s="83">
        <v>2.2646800000000002E-2</v>
      </c>
      <c r="BC76" s="83">
        <v>6.6499000000000003E-3</v>
      </c>
      <c r="BD76" s="83">
        <v>0.48474699999999998</v>
      </c>
      <c r="BE76" s="83">
        <v>2.3083099999999999E-2</v>
      </c>
      <c r="BF76" s="83">
        <v>6.6499000000000003E-3</v>
      </c>
      <c r="BG76" s="83">
        <v>0.48219600000000001</v>
      </c>
      <c r="BH76" s="83">
        <v>2.3094799999999999E-2</v>
      </c>
      <c r="BI76" s="83">
        <v>6.6499000000000003E-3</v>
      </c>
      <c r="BJ76" s="83">
        <v>0.47154299999999999</v>
      </c>
      <c r="BK76" s="83">
        <v>2.2850800000000001E-2</v>
      </c>
      <c r="BL76" s="83">
        <v>6.6499000000000003E-3</v>
      </c>
      <c r="BM76" s="83">
        <v>0.46276</v>
      </c>
      <c r="BN76" s="83">
        <v>2.2647E-2</v>
      </c>
      <c r="BO76" s="83">
        <v>6.6499000000000003E-3</v>
      </c>
      <c r="BP76" s="83">
        <v>0.45851399999999998</v>
      </c>
      <c r="BQ76" s="83">
        <v>2.26898E-2</v>
      </c>
      <c r="BR76" s="83">
        <v>6.6499000000000003E-3</v>
      </c>
      <c r="BS76" s="83">
        <v>0.456488</v>
      </c>
      <c r="BT76" s="83">
        <v>2.2840699999999999E-2</v>
      </c>
      <c r="BU76" s="83">
        <v>6.6499000000000003E-3</v>
      </c>
      <c r="BV76" s="83">
        <v>0.45783299999999999</v>
      </c>
      <c r="BW76" s="83">
        <v>2.3104300000000001E-2</v>
      </c>
      <c r="BX76" s="83">
        <v>6.6499000000000003E-3</v>
      </c>
      <c r="BY76" s="83">
        <v>0.43876900000000002</v>
      </c>
      <c r="BZ76" s="83">
        <v>2.2597200000000001E-2</v>
      </c>
      <c r="CA76" s="83">
        <v>6.6499000000000003E-3</v>
      </c>
      <c r="CB76" s="83">
        <v>0.44885199999999997</v>
      </c>
      <c r="CC76" s="83">
        <v>2.3286899999999999E-2</v>
      </c>
      <c r="CD76" s="83">
        <v>6.6499000000000003E-3</v>
      </c>
      <c r="CE76" s="83">
        <v>0.42293500000000001</v>
      </c>
      <c r="CF76" s="83">
        <v>2.2528400000000001E-2</v>
      </c>
      <c r="CG76" s="83">
        <v>6.6499000000000003E-3</v>
      </c>
      <c r="CH76" s="83">
        <v>0.41606500000000002</v>
      </c>
      <c r="CI76" s="83">
        <v>2.26348E-2</v>
      </c>
      <c r="CJ76" s="83">
        <v>6.6499000000000003E-3</v>
      </c>
      <c r="CK76" s="83">
        <v>0.40280899999999997</v>
      </c>
      <c r="CL76" s="83">
        <v>2.24613E-2</v>
      </c>
      <c r="CM76" s="83">
        <v>6.6499000000000003E-3</v>
      </c>
      <c r="CN76" s="83">
        <v>0.39923799999999998</v>
      </c>
      <c r="CO76" s="83">
        <v>2.2753099999999998E-2</v>
      </c>
      <c r="CP76" s="83">
        <v>6.6499000000000003E-3</v>
      </c>
      <c r="CQ76" s="83">
        <v>0.38867299999999999</v>
      </c>
      <c r="CR76" s="83">
        <v>2.2869400000000002E-2</v>
      </c>
      <c r="CS76" s="83">
        <v>6.6499000000000003E-3</v>
      </c>
      <c r="CT76" s="83">
        <v>0.37658000000000003</v>
      </c>
      <c r="CU76" s="83">
        <v>2.2931099999999999E-2</v>
      </c>
      <c r="CV76" s="83">
        <v>6.6499000000000003E-3</v>
      </c>
      <c r="CW76" s="83">
        <v>0.35003499999999999</v>
      </c>
      <c r="CX76" s="83">
        <v>2.2521599999999999E-2</v>
      </c>
    </row>
    <row r="77" spans="1:102" x14ac:dyDescent="0.2">
      <c r="A77" s="83">
        <v>6.7498999999999997E-3</v>
      </c>
      <c r="B77" s="83">
        <v>0.41883999999999999</v>
      </c>
      <c r="C77" s="83">
        <v>2.1224699999999999E-2</v>
      </c>
      <c r="D77" s="83">
        <v>6.7498999999999997E-3</v>
      </c>
      <c r="E77" s="83">
        <v>0.436697</v>
      </c>
      <c r="F77" s="83">
        <v>2.1618999999999999E-2</v>
      </c>
      <c r="G77" s="83">
        <v>6.7498999999999997E-3</v>
      </c>
      <c r="H77" s="83">
        <v>0.45024700000000001</v>
      </c>
      <c r="I77" s="83">
        <v>2.1900900000000001E-2</v>
      </c>
      <c r="J77" s="83">
        <v>6.7498999999999997E-3</v>
      </c>
      <c r="K77" s="83">
        <v>0.45919300000000002</v>
      </c>
      <c r="L77" s="83">
        <v>2.1736599999999998E-2</v>
      </c>
      <c r="M77" s="83">
        <v>6.7498999999999997E-3</v>
      </c>
      <c r="N77" s="83">
        <v>0.460814</v>
      </c>
      <c r="O77" s="83">
        <v>2.1500600000000002E-2</v>
      </c>
      <c r="P77" s="83">
        <v>6.7498999999999997E-3</v>
      </c>
      <c r="Q77" s="83">
        <v>0.46911399999999998</v>
      </c>
      <c r="R77" s="83">
        <v>2.1746499999999998E-2</v>
      </c>
      <c r="S77" s="83">
        <v>6.7498999999999997E-3</v>
      </c>
      <c r="T77" s="83">
        <v>0.47498400000000002</v>
      </c>
      <c r="U77" s="83">
        <v>2.1956799999999999E-2</v>
      </c>
      <c r="V77" s="83">
        <v>6.7498999999999997E-3</v>
      </c>
      <c r="W77" s="83">
        <v>0.47086699999999998</v>
      </c>
      <c r="X77" s="83">
        <v>2.1706799999999998E-2</v>
      </c>
      <c r="Y77" s="83">
        <v>6.7498999999999997E-3</v>
      </c>
      <c r="Z77" s="83">
        <v>0.47136299999999998</v>
      </c>
      <c r="AA77" s="83">
        <v>2.17054E-2</v>
      </c>
      <c r="AB77" s="83">
        <v>6.7498999999999997E-3</v>
      </c>
      <c r="AC77" s="83">
        <v>0.47058</v>
      </c>
      <c r="AD77" s="83">
        <v>2.15949E-2</v>
      </c>
      <c r="AE77" s="83">
        <v>6.7498999999999997E-3</v>
      </c>
      <c r="AF77" s="83">
        <v>0.47367500000000001</v>
      </c>
      <c r="AG77" s="83">
        <v>2.1781200000000001E-2</v>
      </c>
      <c r="AH77" s="83">
        <v>6.7498999999999997E-3</v>
      </c>
      <c r="AI77" s="83">
        <v>0.47306199999999998</v>
      </c>
      <c r="AJ77" s="83">
        <v>2.1753399999999999E-2</v>
      </c>
      <c r="AK77" s="83">
        <v>6.7498999999999997E-3</v>
      </c>
      <c r="AL77" s="83">
        <v>0.47207399999999999</v>
      </c>
      <c r="AM77" s="83">
        <v>2.1775900000000001E-2</v>
      </c>
      <c r="AN77" s="83">
        <v>6.7498999999999997E-3</v>
      </c>
      <c r="AO77" s="83">
        <v>0.47106799999999999</v>
      </c>
      <c r="AP77" s="83">
        <v>2.18135E-2</v>
      </c>
      <c r="AQ77" s="83">
        <v>6.7498999999999997E-3</v>
      </c>
      <c r="AR77" s="83">
        <v>0.46376600000000001</v>
      </c>
      <c r="AS77" s="83">
        <v>2.1594800000000001E-2</v>
      </c>
      <c r="AT77" s="83">
        <v>6.7498999999999997E-3</v>
      </c>
      <c r="AU77" s="83">
        <v>0.46250200000000002</v>
      </c>
      <c r="AV77" s="83">
        <v>2.1638899999999999E-2</v>
      </c>
      <c r="AW77" s="83">
        <v>6.7498999999999997E-3</v>
      </c>
      <c r="AX77" s="83">
        <v>0.459922</v>
      </c>
      <c r="AY77" s="83">
        <v>2.1625999999999999E-2</v>
      </c>
      <c r="AZ77" s="83">
        <v>6.7498999999999997E-3</v>
      </c>
      <c r="BA77" s="83">
        <v>0.45397500000000002</v>
      </c>
      <c r="BB77" s="83">
        <v>2.1554E-2</v>
      </c>
      <c r="BC77" s="83">
        <v>6.7498999999999997E-3</v>
      </c>
      <c r="BD77" s="83">
        <v>0.459337</v>
      </c>
      <c r="BE77" s="83">
        <v>2.2000100000000002E-2</v>
      </c>
      <c r="BF77" s="83">
        <v>6.7498999999999997E-3</v>
      </c>
      <c r="BG77" s="83">
        <v>0.456903</v>
      </c>
      <c r="BH77" s="83">
        <v>2.19776E-2</v>
      </c>
      <c r="BI77" s="83">
        <v>6.7498999999999997E-3</v>
      </c>
      <c r="BJ77" s="83">
        <v>0.44640099999999999</v>
      </c>
      <c r="BK77" s="83">
        <v>2.17708E-2</v>
      </c>
      <c r="BL77" s="83">
        <v>6.7498999999999997E-3</v>
      </c>
      <c r="BM77" s="83">
        <v>0.437222</v>
      </c>
      <c r="BN77" s="83">
        <v>2.1574699999999999E-2</v>
      </c>
      <c r="BO77" s="83">
        <v>6.7498999999999997E-3</v>
      </c>
      <c r="BP77" s="83">
        <v>0.43308400000000002</v>
      </c>
      <c r="BQ77" s="83">
        <v>2.16107E-2</v>
      </c>
      <c r="BR77" s="83">
        <v>6.7498999999999997E-3</v>
      </c>
      <c r="BS77" s="83">
        <v>0.43081399999999997</v>
      </c>
      <c r="BT77" s="83">
        <v>2.1746999999999999E-2</v>
      </c>
      <c r="BU77" s="83">
        <v>6.7498999999999997E-3</v>
      </c>
      <c r="BV77" s="83">
        <v>0.43131900000000001</v>
      </c>
      <c r="BW77" s="83">
        <v>2.2010600000000002E-2</v>
      </c>
      <c r="BX77" s="83">
        <v>6.7498999999999997E-3</v>
      </c>
      <c r="BY77" s="83">
        <v>0.41279199999999999</v>
      </c>
      <c r="BZ77" s="83">
        <v>2.1512300000000002E-2</v>
      </c>
      <c r="CA77" s="83">
        <v>6.7498999999999997E-3</v>
      </c>
      <c r="CB77" s="83">
        <v>0.42252400000000001</v>
      </c>
      <c r="CC77" s="83">
        <v>2.2203899999999999E-2</v>
      </c>
      <c r="CD77" s="83">
        <v>6.7498999999999997E-3</v>
      </c>
      <c r="CE77" s="83">
        <v>0.39752399999999999</v>
      </c>
      <c r="CF77" s="83">
        <v>2.1449300000000001E-2</v>
      </c>
      <c r="CG77" s="83">
        <v>6.7498999999999997E-3</v>
      </c>
      <c r="CH77" s="83">
        <v>0.390484</v>
      </c>
      <c r="CI77" s="83">
        <v>2.1543900000000001E-2</v>
      </c>
      <c r="CJ77" s="83">
        <v>6.7498999999999997E-3</v>
      </c>
      <c r="CK77" s="83">
        <v>0.37731100000000001</v>
      </c>
      <c r="CL77" s="83">
        <v>2.13578E-2</v>
      </c>
      <c r="CM77" s="83">
        <v>6.7498999999999997E-3</v>
      </c>
      <c r="CN77" s="83">
        <v>0.37343199999999999</v>
      </c>
      <c r="CO77" s="83">
        <v>2.1661300000000001E-2</v>
      </c>
      <c r="CP77" s="83">
        <v>6.7498999999999997E-3</v>
      </c>
      <c r="CQ77" s="83">
        <v>0.363209</v>
      </c>
      <c r="CR77" s="83">
        <v>2.1772699999999999E-2</v>
      </c>
      <c r="CS77" s="83">
        <v>6.7498999999999997E-3</v>
      </c>
      <c r="CT77" s="83">
        <v>0.35079399999999999</v>
      </c>
      <c r="CU77" s="83">
        <v>2.1842199999999999E-2</v>
      </c>
      <c r="CV77" s="83">
        <v>6.7498999999999997E-3</v>
      </c>
      <c r="CW77" s="83">
        <v>0.32530799999999999</v>
      </c>
      <c r="CX77" s="83">
        <v>2.1438599999999999E-2</v>
      </c>
    </row>
    <row r="78" spans="1:102" x14ac:dyDescent="0.2">
      <c r="A78" s="83">
        <v>6.8498999999999999E-3</v>
      </c>
      <c r="B78" s="83">
        <v>0.39957199999999998</v>
      </c>
      <c r="C78" s="83">
        <v>2.0236500000000001E-2</v>
      </c>
      <c r="D78" s="83">
        <v>6.8498999999999999E-3</v>
      </c>
      <c r="E78" s="83">
        <v>0.417464</v>
      </c>
      <c r="F78" s="83">
        <v>2.0579E-2</v>
      </c>
      <c r="G78" s="83">
        <v>6.8498999999999999E-3</v>
      </c>
      <c r="H78" s="83">
        <v>0.43000300000000002</v>
      </c>
      <c r="I78" s="83">
        <v>2.0828699999999999E-2</v>
      </c>
      <c r="J78" s="83">
        <v>6.8498999999999999E-3</v>
      </c>
      <c r="K78" s="83">
        <v>0.43804100000000001</v>
      </c>
      <c r="L78" s="83">
        <v>2.0686800000000002E-2</v>
      </c>
      <c r="M78" s="83">
        <v>6.8498999999999999E-3</v>
      </c>
      <c r="N78" s="83">
        <v>0.43926599999999999</v>
      </c>
      <c r="O78" s="83">
        <v>2.0447799999999999E-2</v>
      </c>
      <c r="P78" s="83">
        <v>6.8498999999999999E-3</v>
      </c>
      <c r="Q78" s="83">
        <v>0.44690200000000002</v>
      </c>
      <c r="R78" s="83">
        <v>2.07035E-2</v>
      </c>
      <c r="S78" s="83">
        <v>6.8498999999999999E-3</v>
      </c>
      <c r="T78" s="83">
        <v>0.452816</v>
      </c>
      <c r="U78" s="83">
        <v>2.0927500000000002E-2</v>
      </c>
      <c r="V78" s="83">
        <v>6.8498999999999999E-3</v>
      </c>
      <c r="W78" s="83">
        <v>0.44869500000000001</v>
      </c>
      <c r="X78" s="83">
        <v>2.06707E-2</v>
      </c>
      <c r="Y78" s="83">
        <v>6.8498999999999999E-3</v>
      </c>
      <c r="Z78" s="83">
        <v>0.44878400000000002</v>
      </c>
      <c r="AA78" s="83">
        <v>2.0653600000000001E-2</v>
      </c>
      <c r="AB78" s="83">
        <v>6.8498999999999999E-3</v>
      </c>
      <c r="AC78" s="83">
        <v>0.44822699999999999</v>
      </c>
      <c r="AD78" s="83">
        <v>2.0601700000000001E-2</v>
      </c>
      <c r="AE78" s="83">
        <v>6.8498999999999999E-3</v>
      </c>
      <c r="AF78" s="83">
        <v>0.45103799999999999</v>
      </c>
      <c r="AG78" s="83">
        <v>2.0745099999999999E-2</v>
      </c>
      <c r="AH78" s="83">
        <v>6.8498999999999999E-3</v>
      </c>
      <c r="AI78" s="83">
        <v>0.44980100000000001</v>
      </c>
      <c r="AJ78" s="83">
        <v>2.0699700000000001E-2</v>
      </c>
      <c r="AK78" s="83">
        <v>6.8498999999999999E-3</v>
      </c>
      <c r="AL78" s="83">
        <v>0.449075</v>
      </c>
      <c r="AM78" s="83">
        <v>2.0741699999999998E-2</v>
      </c>
      <c r="AN78" s="83">
        <v>6.8498999999999999E-3</v>
      </c>
      <c r="AO78" s="83">
        <v>0.44739600000000002</v>
      </c>
      <c r="AP78" s="83">
        <v>2.07706E-2</v>
      </c>
      <c r="AQ78" s="83">
        <v>6.8498999999999999E-3</v>
      </c>
      <c r="AR78" s="83">
        <v>0.44000099999999998</v>
      </c>
      <c r="AS78" s="83">
        <v>2.0551799999999999E-2</v>
      </c>
      <c r="AT78" s="83">
        <v>6.8498999999999999E-3</v>
      </c>
      <c r="AU78" s="83">
        <v>0.43868400000000002</v>
      </c>
      <c r="AV78" s="83">
        <v>2.05988E-2</v>
      </c>
      <c r="AW78" s="83">
        <v>6.8498999999999999E-3</v>
      </c>
      <c r="AX78" s="83">
        <v>0.43572300000000003</v>
      </c>
      <c r="AY78" s="83">
        <v>2.0592800000000001E-2</v>
      </c>
      <c r="AZ78" s="83">
        <v>6.8498999999999999E-3</v>
      </c>
      <c r="BA78" s="83">
        <v>0.42996699999999999</v>
      </c>
      <c r="BB78" s="83">
        <v>2.0534500000000001E-2</v>
      </c>
      <c r="BC78" s="83">
        <v>6.8498999999999999E-3</v>
      </c>
      <c r="BD78" s="83">
        <v>0.43485000000000001</v>
      </c>
      <c r="BE78" s="83">
        <v>2.0940500000000001E-2</v>
      </c>
      <c r="BF78" s="83">
        <v>6.8498999999999999E-3</v>
      </c>
      <c r="BG78" s="83">
        <v>0.43218099999999998</v>
      </c>
      <c r="BH78" s="83">
        <v>2.0964E-2</v>
      </c>
      <c r="BI78" s="83">
        <v>6.8498999999999999E-3</v>
      </c>
      <c r="BJ78" s="83">
        <v>0.42224600000000001</v>
      </c>
      <c r="BK78" s="83">
        <v>2.07385E-2</v>
      </c>
      <c r="BL78" s="83">
        <v>6.8498999999999999E-3</v>
      </c>
      <c r="BM78" s="83">
        <v>0.41252</v>
      </c>
      <c r="BN78" s="83">
        <v>2.0572699999999999E-2</v>
      </c>
      <c r="BO78" s="83">
        <v>6.8498999999999999E-3</v>
      </c>
      <c r="BP78" s="83">
        <v>0.40869899999999998</v>
      </c>
      <c r="BQ78" s="83">
        <v>2.0577499999999999E-2</v>
      </c>
      <c r="BR78" s="83">
        <v>6.8498999999999999E-3</v>
      </c>
      <c r="BS78" s="83">
        <v>0.40590199999999999</v>
      </c>
      <c r="BT78" s="83">
        <v>2.0722600000000001E-2</v>
      </c>
      <c r="BU78" s="83">
        <v>6.8498999999999999E-3</v>
      </c>
      <c r="BV78" s="83">
        <v>0.40651900000000002</v>
      </c>
      <c r="BW78" s="83">
        <v>2.0967599999999999E-2</v>
      </c>
      <c r="BX78" s="83">
        <v>6.8498999999999999E-3</v>
      </c>
      <c r="BY78" s="83">
        <v>0.38863199999999998</v>
      </c>
      <c r="BZ78" s="83">
        <v>2.0482E-2</v>
      </c>
      <c r="CA78" s="83">
        <v>6.8498999999999999E-3</v>
      </c>
      <c r="CB78" s="83">
        <v>0.39709899999999998</v>
      </c>
      <c r="CC78" s="83">
        <v>2.1130599999999999E-2</v>
      </c>
      <c r="CD78" s="83">
        <v>6.8498999999999999E-3</v>
      </c>
      <c r="CE78" s="83">
        <v>0.37305199999999999</v>
      </c>
      <c r="CF78" s="83">
        <v>2.04434E-2</v>
      </c>
      <c r="CG78" s="83">
        <v>6.8498999999999999E-3</v>
      </c>
      <c r="CH78" s="83">
        <v>0.36593799999999999</v>
      </c>
      <c r="CI78" s="83">
        <v>2.0530300000000001E-2</v>
      </c>
      <c r="CJ78" s="83">
        <v>6.8498999999999999E-3</v>
      </c>
      <c r="CK78" s="83">
        <v>0.35283799999999998</v>
      </c>
      <c r="CL78" s="83">
        <v>2.0345100000000001E-2</v>
      </c>
      <c r="CM78" s="83">
        <v>6.8498999999999999E-3</v>
      </c>
      <c r="CN78" s="83">
        <v>0.34901300000000002</v>
      </c>
      <c r="CO78" s="83">
        <v>2.0597799999999999E-2</v>
      </c>
      <c r="CP78" s="83">
        <v>6.8498999999999999E-3</v>
      </c>
      <c r="CQ78" s="83">
        <v>0.33888299999999999</v>
      </c>
      <c r="CR78" s="83">
        <v>2.07209E-2</v>
      </c>
      <c r="CS78" s="83">
        <v>6.8498999999999999E-3</v>
      </c>
      <c r="CT78" s="83">
        <v>0.32689800000000002</v>
      </c>
      <c r="CU78" s="83">
        <v>2.0818699999999999E-2</v>
      </c>
      <c r="CV78" s="83">
        <v>6.8498999999999999E-3</v>
      </c>
      <c r="CW78" s="83">
        <v>0.30194900000000002</v>
      </c>
      <c r="CX78" s="83">
        <v>2.0406299999999999E-2</v>
      </c>
    </row>
    <row r="79" spans="1:102" x14ac:dyDescent="0.2">
      <c r="A79" s="83">
        <v>6.9499000000000002E-3</v>
      </c>
      <c r="B79" s="83">
        <v>0.38162299999999999</v>
      </c>
      <c r="C79" s="83">
        <v>1.9263800000000001E-2</v>
      </c>
      <c r="D79" s="83">
        <v>6.9499000000000002E-3</v>
      </c>
      <c r="E79" s="83">
        <v>0.39841599999999999</v>
      </c>
      <c r="F79" s="83">
        <v>1.9632699999999999E-2</v>
      </c>
      <c r="G79" s="83">
        <v>6.9499000000000002E-3</v>
      </c>
      <c r="H79" s="83">
        <v>0.41039799999999999</v>
      </c>
      <c r="I79" s="83">
        <v>1.98336E-2</v>
      </c>
      <c r="J79" s="83">
        <v>6.9499000000000002E-3</v>
      </c>
      <c r="K79" s="83">
        <v>0.41804999999999998</v>
      </c>
      <c r="L79" s="83">
        <v>1.9711200000000002E-2</v>
      </c>
      <c r="M79" s="83">
        <v>6.9499000000000002E-3</v>
      </c>
      <c r="N79" s="83">
        <v>0.41875400000000002</v>
      </c>
      <c r="O79" s="83">
        <v>1.9490799999999999E-2</v>
      </c>
      <c r="P79" s="83">
        <v>6.9499000000000002E-3</v>
      </c>
      <c r="Q79" s="83">
        <v>0.42678500000000003</v>
      </c>
      <c r="R79" s="83">
        <v>1.9717200000000001E-2</v>
      </c>
      <c r="S79" s="83">
        <v>6.9499000000000002E-3</v>
      </c>
      <c r="T79" s="83">
        <v>0.43174699999999999</v>
      </c>
      <c r="U79" s="83">
        <v>1.9904999999999999E-2</v>
      </c>
      <c r="V79" s="83">
        <v>6.9499000000000002E-3</v>
      </c>
      <c r="W79" s="83">
        <v>0.42754199999999998</v>
      </c>
      <c r="X79" s="83">
        <v>1.9690200000000001E-2</v>
      </c>
      <c r="Y79" s="83">
        <v>6.9499000000000002E-3</v>
      </c>
      <c r="Z79" s="83">
        <v>0.42722700000000002</v>
      </c>
      <c r="AA79" s="83">
        <v>1.9676099999999998E-2</v>
      </c>
      <c r="AB79" s="83">
        <v>6.9499000000000002E-3</v>
      </c>
      <c r="AC79" s="83">
        <v>0.42693799999999998</v>
      </c>
      <c r="AD79" s="83">
        <v>1.9619299999999999E-2</v>
      </c>
      <c r="AE79" s="83">
        <v>6.9499000000000002E-3</v>
      </c>
      <c r="AF79" s="83">
        <v>0.42872900000000003</v>
      </c>
      <c r="AG79" s="83">
        <v>1.9762700000000001E-2</v>
      </c>
      <c r="AH79" s="83">
        <v>6.9499000000000002E-3</v>
      </c>
      <c r="AI79" s="83">
        <v>0.427506</v>
      </c>
      <c r="AJ79" s="83">
        <v>1.9719199999999999E-2</v>
      </c>
      <c r="AK79" s="83">
        <v>6.9499000000000002E-3</v>
      </c>
      <c r="AL79" s="83">
        <v>0.42666799999999999</v>
      </c>
      <c r="AM79" s="83">
        <v>1.9754399999999998E-2</v>
      </c>
      <c r="AN79" s="83">
        <v>6.9499000000000002E-3</v>
      </c>
      <c r="AO79" s="83">
        <v>0.42469099999999999</v>
      </c>
      <c r="AP79" s="83">
        <v>1.98155E-2</v>
      </c>
      <c r="AQ79" s="83">
        <v>6.9499000000000002E-3</v>
      </c>
      <c r="AR79" s="83">
        <v>0.41758400000000001</v>
      </c>
      <c r="AS79" s="83">
        <v>1.9573299999999998E-2</v>
      </c>
      <c r="AT79" s="83">
        <v>6.9499000000000002E-3</v>
      </c>
      <c r="AU79" s="83">
        <v>0.41578300000000001</v>
      </c>
      <c r="AV79" s="83">
        <v>1.9631099999999999E-2</v>
      </c>
      <c r="AW79" s="83">
        <v>6.9499000000000002E-3</v>
      </c>
      <c r="AX79" s="83">
        <v>0.41327199999999997</v>
      </c>
      <c r="AY79" s="83">
        <v>1.9632899999999998E-2</v>
      </c>
      <c r="AZ79" s="83">
        <v>6.9499000000000002E-3</v>
      </c>
      <c r="BA79" s="83">
        <v>0.40692899999999999</v>
      </c>
      <c r="BB79" s="83">
        <v>1.95823E-2</v>
      </c>
      <c r="BC79" s="83">
        <v>6.9499000000000002E-3</v>
      </c>
      <c r="BD79" s="83">
        <v>0.411329</v>
      </c>
      <c r="BE79" s="83">
        <v>1.9972699999999999E-2</v>
      </c>
      <c r="BF79" s="83">
        <v>6.9499000000000002E-3</v>
      </c>
      <c r="BG79" s="83">
        <v>0.40845500000000001</v>
      </c>
      <c r="BH79" s="83">
        <v>1.9968799999999998E-2</v>
      </c>
      <c r="BI79" s="83">
        <v>6.9499000000000002E-3</v>
      </c>
      <c r="BJ79" s="83">
        <v>0.39880900000000002</v>
      </c>
      <c r="BK79" s="83">
        <v>1.9770800000000002E-2</v>
      </c>
      <c r="BL79" s="83">
        <v>6.9499000000000002E-3</v>
      </c>
      <c r="BM79" s="83">
        <v>0.38913199999999998</v>
      </c>
      <c r="BN79" s="83">
        <v>1.95923E-2</v>
      </c>
      <c r="BO79" s="83">
        <v>6.9499000000000002E-3</v>
      </c>
      <c r="BP79" s="83">
        <v>0.38596000000000003</v>
      </c>
      <c r="BQ79" s="83">
        <v>1.9613700000000001E-2</v>
      </c>
      <c r="BR79" s="83">
        <v>6.9499000000000002E-3</v>
      </c>
      <c r="BS79" s="83">
        <v>0.38261600000000001</v>
      </c>
      <c r="BT79" s="83">
        <v>1.97558E-2</v>
      </c>
      <c r="BU79" s="83">
        <v>6.9499000000000002E-3</v>
      </c>
      <c r="BV79" s="83">
        <v>0.38252000000000003</v>
      </c>
      <c r="BW79" s="83">
        <v>1.99715E-2</v>
      </c>
      <c r="BX79" s="83">
        <v>6.9499000000000002E-3</v>
      </c>
      <c r="BY79" s="83">
        <v>0.36536000000000002</v>
      </c>
      <c r="BZ79" s="83">
        <v>1.9519100000000001E-2</v>
      </c>
      <c r="CA79" s="83">
        <v>6.9499000000000002E-3</v>
      </c>
      <c r="CB79" s="83">
        <v>0.37302200000000002</v>
      </c>
      <c r="CC79" s="83">
        <v>2.01199E-2</v>
      </c>
      <c r="CD79" s="83">
        <v>6.9499000000000002E-3</v>
      </c>
      <c r="CE79" s="83">
        <v>0.349526</v>
      </c>
      <c r="CF79" s="83">
        <v>1.9475699999999999E-2</v>
      </c>
      <c r="CG79" s="83">
        <v>6.9499000000000002E-3</v>
      </c>
      <c r="CH79" s="83">
        <v>0.34286699999999998</v>
      </c>
      <c r="CI79" s="83">
        <v>1.9552699999999999E-2</v>
      </c>
      <c r="CJ79" s="83">
        <v>6.9499000000000002E-3</v>
      </c>
      <c r="CK79" s="83">
        <v>0.33036700000000002</v>
      </c>
      <c r="CL79" s="83">
        <v>1.9390000000000001E-2</v>
      </c>
      <c r="CM79" s="83">
        <v>6.9499000000000002E-3</v>
      </c>
      <c r="CN79" s="83">
        <v>0.32582499999999998</v>
      </c>
      <c r="CO79" s="83">
        <v>1.9656400000000001E-2</v>
      </c>
      <c r="CP79" s="83">
        <v>6.9499000000000002E-3</v>
      </c>
      <c r="CQ79" s="83">
        <v>0.31609399999999999</v>
      </c>
      <c r="CR79" s="83">
        <v>1.97629E-2</v>
      </c>
      <c r="CS79" s="83">
        <v>6.9499000000000002E-3</v>
      </c>
      <c r="CT79" s="83">
        <v>0.30435400000000001</v>
      </c>
      <c r="CU79" s="83">
        <v>1.9816799999999999E-2</v>
      </c>
      <c r="CV79" s="83">
        <v>6.9499000000000002E-3</v>
      </c>
      <c r="CW79" s="83">
        <v>0.280225</v>
      </c>
      <c r="CX79" s="83">
        <v>1.94532E-2</v>
      </c>
    </row>
    <row r="80" spans="1:102" x14ac:dyDescent="0.2">
      <c r="A80" s="83">
        <v>7.0498999999999996E-3</v>
      </c>
      <c r="B80" s="83">
        <v>0.36380099999999999</v>
      </c>
      <c r="C80" s="83">
        <v>1.8372200000000002E-2</v>
      </c>
      <c r="D80" s="83">
        <v>7.0498999999999996E-3</v>
      </c>
      <c r="E80" s="83">
        <v>0.38038899999999998</v>
      </c>
      <c r="F80" s="83">
        <v>1.86991E-2</v>
      </c>
      <c r="G80" s="83">
        <v>7.0498999999999996E-3</v>
      </c>
      <c r="H80" s="83">
        <v>0.39143899999999998</v>
      </c>
      <c r="I80" s="83">
        <v>1.89117E-2</v>
      </c>
      <c r="J80" s="83">
        <v>7.0498999999999996E-3</v>
      </c>
      <c r="K80" s="83">
        <v>0.39849499999999999</v>
      </c>
      <c r="L80" s="83">
        <v>1.8798200000000001E-2</v>
      </c>
      <c r="M80" s="83">
        <v>7.0498999999999996E-3</v>
      </c>
      <c r="N80" s="83">
        <v>0.39901700000000001</v>
      </c>
      <c r="O80" s="83">
        <v>1.8565000000000002E-2</v>
      </c>
      <c r="P80" s="83">
        <v>7.0498999999999996E-3</v>
      </c>
      <c r="Q80" s="83">
        <v>0.40642400000000001</v>
      </c>
      <c r="R80" s="83">
        <v>1.8808999999999999E-2</v>
      </c>
      <c r="S80" s="83">
        <v>7.0498999999999996E-3</v>
      </c>
      <c r="T80" s="83">
        <v>0.41195199999999998</v>
      </c>
      <c r="U80" s="83">
        <v>1.8990900000000002E-2</v>
      </c>
      <c r="V80" s="83">
        <v>7.0498999999999996E-3</v>
      </c>
      <c r="W80" s="83">
        <v>0.40717100000000001</v>
      </c>
      <c r="X80" s="83">
        <v>1.8760499999999999E-2</v>
      </c>
      <c r="Y80" s="83">
        <v>7.0498999999999996E-3</v>
      </c>
      <c r="Z80" s="83">
        <v>0.40672900000000001</v>
      </c>
      <c r="AA80" s="83">
        <v>1.87738E-2</v>
      </c>
      <c r="AB80" s="83">
        <v>7.0498999999999996E-3</v>
      </c>
      <c r="AC80" s="83">
        <v>0.40620499999999998</v>
      </c>
      <c r="AD80" s="83">
        <v>1.87003E-2</v>
      </c>
      <c r="AE80" s="83">
        <v>7.0498999999999996E-3</v>
      </c>
      <c r="AF80" s="83">
        <v>0.407439</v>
      </c>
      <c r="AG80" s="83">
        <v>1.8840800000000001E-2</v>
      </c>
      <c r="AH80" s="83">
        <v>7.0498999999999996E-3</v>
      </c>
      <c r="AI80" s="83">
        <v>0.40625600000000001</v>
      </c>
      <c r="AJ80" s="83">
        <v>1.87896E-2</v>
      </c>
      <c r="AK80" s="83">
        <v>7.0498999999999996E-3</v>
      </c>
      <c r="AL80" s="83">
        <v>0.40500799999999998</v>
      </c>
      <c r="AM80" s="83">
        <v>1.8840300000000001E-2</v>
      </c>
      <c r="AN80" s="83">
        <v>7.0498999999999996E-3</v>
      </c>
      <c r="AO80" s="83">
        <v>0.402615</v>
      </c>
      <c r="AP80" s="83">
        <v>1.8879900000000002E-2</v>
      </c>
      <c r="AQ80" s="83">
        <v>7.0498999999999996E-3</v>
      </c>
      <c r="AR80" s="83">
        <v>0.39591900000000002</v>
      </c>
      <c r="AS80" s="83">
        <v>1.8668000000000001E-2</v>
      </c>
      <c r="AT80" s="83">
        <v>7.0498999999999996E-3</v>
      </c>
      <c r="AU80" s="83">
        <v>0.393737</v>
      </c>
      <c r="AV80" s="83">
        <v>1.8717000000000001E-2</v>
      </c>
      <c r="AW80" s="83">
        <v>7.0498999999999996E-3</v>
      </c>
      <c r="AX80" s="83">
        <v>0.39097199999999999</v>
      </c>
      <c r="AY80" s="83">
        <v>1.8740300000000001E-2</v>
      </c>
      <c r="AZ80" s="83">
        <v>7.0498999999999996E-3</v>
      </c>
      <c r="BA80" s="83">
        <v>0.38514199999999998</v>
      </c>
      <c r="BB80" s="83">
        <v>1.8664300000000002E-2</v>
      </c>
      <c r="BC80" s="83">
        <v>7.0498999999999996E-3</v>
      </c>
      <c r="BD80" s="83">
        <v>0.389542</v>
      </c>
      <c r="BE80" s="83">
        <v>1.9055699999999998E-2</v>
      </c>
      <c r="BF80" s="83">
        <v>7.0498999999999996E-3</v>
      </c>
      <c r="BG80" s="83">
        <v>0.38599899999999998</v>
      </c>
      <c r="BH80" s="83">
        <v>1.90431E-2</v>
      </c>
      <c r="BI80" s="83">
        <v>7.0498999999999996E-3</v>
      </c>
      <c r="BJ80" s="83">
        <v>0.37655300000000003</v>
      </c>
      <c r="BK80" s="83">
        <v>1.8833300000000001E-2</v>
      </c>
      <c r="BL80" s="83">
        <v>7.0498999999999996E-3</v>
      </c>
      <c r="BM80" s="83">
        <v>0.36643100000000001</v>
      </c>
      <c r="BN80" s="83">
        <v>1.8666499999999999E-2</v>
      </c>
      <c r="BO80" s="83">
        <v>7.0498999999999996E-3</v>
      </c>
      <c r="BP80" s="83">
        <v>0.36321100000000001</v>
      </c>
      <c r="BQ80" s="83">
        <v>1.8713299999999999E-2</v>
      </c>
      <c r="BR80" s="83">
        <v>7.0498999999999996E-3</v>
      </c>
      <c r="BS80" s="83">
        <v>0.360072</v>
      </c>
      <c r="BT80" s="83">
        <v>1.88446E-2</v>
      </c>
      <c r="BU80" s="83">
        <v>7.0498999999999996E-3</v>
      </c>
      <c r="BV80" s="83">
        <v>0.35968800000000001</v>
      </c>
      <c r="BW80" s="83">
        <v>1.9013499999999999E-2</v>
      </c>
      <c r="BX80" s="83">
        <v>7.0498999999999996E-3</v>
      </c>
      <c r="BY80" s="83">
        <v>0.34287000000000001</v>
      </c>
      <c r="BZ80" s="83">
        <v>1.8605E-2</v>
      </c>
      <c r="CA80" s="83">
        <v>7.0498999999999996E-3</v>
      </c>
      <c r="CB80" s="83">
        <v>0.34992099999999998</v>
      </c>
      <c r="CC80" s="83">
        <v>1.9179499999999999E-2</v>
      </c>
      <c r="CD80" s="83">
        <v>7.0498999999999996E-3</v>
      </c>
      <c r="CE80" s="83">
        <v>0.328154</v>
      </c>
      <c r="CF80" s="83">
        <v>1.85577E-2</v>
      </c>
      <c r="CG80" s="83">
        <v>7.0498999999999996E-3</v>
      </c>
      <c r="CH80" s="83">
        <v>0.32082100000000002</v>
      </c>
      <c r="CI80" s="83">
        <v>1.86582E-2</v>
      </c>
      <c r="CJ80" s="83">
        <v>7.0498999999999996E-3</v>
      </c>
      <c r="CK80" s="83">
        <v>0.30820900000000001</v>
      </c>
      <c r="CL80" s="83">
        <v>1.8496499999999999E-2</v>
      </c>
      <c r="CM80" s="83">
        <v>7.0498999999999996E-3</v>
      </c>
      <c r="CN80" s="83">
        <v>0.30391600000000002</v>
      </c>
      <c r="CO80" s="83">
        <v>1.87218E-2</v>
      </c>
      <c r="CP80" s="83">
        <v>7.0498999999999996E-3</v>
      </c>
      <c r="CQ80" s="83">
        <v>0.293985</v>
      </c>
      <c r="CR80" s="83">
        <v>1.8827400000000001E-2</v>
      </c>
      <c r="CS80" s="83">
        <v>7.0498999999999996E-3</v>
      </c>
      <c r="CT80" s="83">
        <v>0.28228399999999998</v>
      </c>
      <c r="CU80" s="83">
        <v>1.88871E-2</v>
      </c>
      <c r="CV80" s="83">
        <v>7.0498999999999996E-3</v>
      </c>
      <c r="CW80" s="83">
        <v>0.25989800000000002</v>
      </c>
      <c r="CX80" s="83">
        <v>1.8539099999999999E-2</v>
      </c>
    </row>
    <row r="81" spans="1:102" x14ac:dyDescent="0.2">
      <c r="A81" s="83">
        <v>7.1498999999999998E-3</v>
      </c>
      <c r="B81" s="83">
        <v>0.34704800000000002</v>
      </c>
      <c r="C81" s="83">
        <v>1.7517700000000001E-2</v>
      </c>
      <c r="D81" s="83">
        <v>7.1498999999999998E-3</v>
      </c>
      <c r="E81" s="83">
        <v>0.36238599999999999</v>
      </c>
      <c r="F81" s="83">
        <v>1.7817300000000001E-2</v>
      </c>
      <c r="G81" s="83">
        <v>7.1498999999999998E-3</v>
      </c>
      <c r="H81" s="83">
        <v>0.37307899999999999</v>
      </c>
      <c r="I81" s="83">
        <v>1.80103E-2</v>
      </c>
      <c r="J81" s="83">
        <v>7.1498999999999998E-3</v>
      </c>
      <c r="K81" s="83">
        <v>0.379745</v>
      </c>
      <c r="L81" s="83">
        <v>1.79075E-2</v>
      </c>
      <c r="M81" s="83">
        <v>7.1498999999999998E-3</v>
      </c>
      <c r="N81" s="83">
        <v>0.380326</v>
      </c>
      <c r="O81" s="83">
        <v>1.7675400000000001E-2</v>
      </c>
      <c r="P81" s="83">
        <v>7.1498999999999998E-3</v>
      </c>
      <c r="Q81" s="83">
        <v>0.386824</v>
      </c>
      <c r="R81" s="83">
        <v>1.7930100000000001E-2</v>
      </c>
      <c r="S81" s="83">
        <v>7.1498999999999998E-3</v>
      </c>
      <c r="T81" s="83">
        <v>0.39210299999999998</v>
      </c>
      <c r="U81" s="83">
        <v>1.8096399999999999E-2</v>
      </c>
      <c r="V81" s="83">
        <v>7.1498999999999998E-3</v>
      </c>
      <c r="W81" s="83">
        <v>0.387347</v>
      </c>
      <c r="X81" s="83">
        <v>1.7900099999999999E-2</v>
      </c>
      <c r="Y81" s="83">
        <v>7.1498999999999998E-3</v>
      </c>
      <c r="Z81" s="83">
        <v>0.38691900000000001</v>
      </c>
      <c r="AA81" s="83">
        <v>1.78782E-2</v>
      </c>
      <c r="AB81" s="83">
        <v>7.1498999999999998E-3</v>
      </c>
      <c r="AC81" s="83">
        <v>0.385907</v>
      </c>
      <c r="AD81" s="83">
        <v>1.78351E-2</v>
      </c>
      <c r="AE81" s="83">
        <v>7.1498999999999998E-3</v>
      </c>
      <c r="AF81" s="83">
        <v>0.38667800000000002</v>
      </c>
      <c r="AG81" s="83">
        <v>1.7945300000000001E-2</v>
      </c>
      <c r="AH81" s="83">
        <v>7.1498999999999998E-3</v>
      </c>
      <c r="AI81" s="83">
        <v>0.38551400000000002</v>
      </c>
      <c r="AJ81" s="83">
        <v>1.79116E-2</v>
      </c>
      <c r="AK81" s="83">
        <v>7.1498999999999998E-3</v>
      </c>
      <c r="AL81" s="83">
        <v>0.384432</v>
      </c>
      <c r="AM81" s="83">
        <v>1.7960500000000001E-2</v>
      </c>
      <c r="AN81" s="83">
        <v>7.1498999999999998E-3</v>
      </c>
      <c r="AO81" s="83">
        <v>0.38237599999999999</v>
      </c>
      <c r="AP81" s="83">
        <v>1.7985399999999999E-2</v>
      </c>
      <c r="AQ81" s="83">
        <v>7.1498999999999998E-3</v>
      </c>
      <c r="AR81" s="83">
        <v>0.37500600000000001</v>
      </c>
      <c r="AS81" s="83">
        <v>1.78116E-2</v>
      </c>
      <c r="AT81" s="83">
        <v>7.1498999999999998E-3</v>
      </c>
      <c r="AU81" s="83">
        <v>0.37264900000000001</v>
      </c>
      <c r="AV81" s="83">
        <v>1.7834200000000001E-2</v>
      </c>
      <c r="AW81" s="83">
        <v>7.1498999999999998E-3</v>
      </c>
      <c r="AX81" s="83">
        <v>0.36943399999999998</v>
      </c>
      <c r="AY81" s="83">
        <v>1.7836999999999999E-2</v>
      </c>
      <c r="AZ81" s="83">
        <v>7.1498999999999998E-3</v>
      </c>
      <c r="BA81" s="83">
        <v>0.363653</v>
      </c>
      <c r="BB81" s="83">
        <v>1.7769799999999999E-2</v>
      </c>
      <c r="BC81" s="83">
        <v>7.1498999999999998E-3</v>
      </c>
      <c r="BD81" s="83">
        <v>0.36768200000000001</v>
      </c>
      <c r="BE81" s="83">
        <v>1.81348E-2</v>
      </c>
      <c r="BF81" s="83">
        <v>7.1498999999999998E-3</v>
      </c>
      <c r="BG81" s="83">
        <v>0.364481</v>
      </c>
      <c r="BH81" s="83">
        <v>1.81681E-2</v>
      </c>
      <c r="BI81" s="83">
        <v>7.1498999999999998E-3</v>
      </c>
      <c r="BJ81" s="83">
        <v>0.35495100000000002</v>
      </c>
      <c r="BK81" s="83">
        <v>1.7963099999999999E-2</v>
      </c>
      <c r="BL81" s="83">
        <v>7.1498999999999998E-3</v>
      </c>
      <c r="BM81" s="83">
        <v>0.34556199999999998</v>
      </c>
      <c r="BN81" s="83">
        <v>1.7812999999999999E-2</v>
      </c>
      <c r="BO81" s="83">
        <v>7.1498999999999998E-3</v>
      </c>
      <c r="BP81" s="83">
        <v>0.34171200000000002</v>
      </c>
      <c r="BQ81" s="83">
        <v>1.7841200000000002E-2</v>
      </c>
      <c r="BR81" s="83">
        <v>7.1498999999999998E-3</v>
      </c>
      <c r="BS81" s="83">
        <v>0.33872400000000003</v>
      </c>
      <c r="BT81" s="83">
        <v>1.7968700000000001E-2</v>
      </c>
      <c r="BU81" s="83">
        <v>7.1498999999999998E-3</v>
      </c>
      <c r="BV81" s="83">
        <v>0.33811099999999999</v>
      </c>
      <c r="BW81" s="83">
        <v>1.81434E-2</v>
      </c>
      <c r="BX81" s="83">
        <v>7.1498999999999998E-3</v>
      </c>
      <c r="BY81" s="83">
        <v>0.32189800000000002</v>
      </c>
      <c r="BZ81" s="83">
        <v>1.77457E-2</v>
      </c>
      <c r="CA81" s="83">
        <v>7.1498999999999998E-3</v>
      </c>
      <c r="CB81" s="83">
        <v>0.328627</v>
      </c>
      <c r="CC81" s="83">
        <v>1.83006E-2</v>
      </c>
      <c r="CD81" s="83">
        <v>7.1498999999999998E-3</v>
      </c>
      <c r="CE81" s="83">
        <v>0.30683100000000002</v>
      </c>
      <c r="CF81" s="83">
        <v>1.7688599999999999E-2</v>
      </c>
      <c r="CG81" s="83">
        <v>7.1498999999999998E-3</v>
      </c>
      <c r="CH81" s="83">
        <v>0.29955100000000001</v>
      </c>
      <c r="CI81" s="83">
        <v>1.7773400000000002E-2</v>
      </c>
      <c r="CJ81" s="83">
        <v>7.1498999999999998E-3</v>
      </c>
      <c r="CK81" s="83">
        <v>0.28751100000000002</v>
      </c>
      <c r="CL81" s="83">
        <v>1.76312E-2</v>
      </c>
      <c r="CM81" s="83">
        <v>7.1498999999999998E-3</v>
      </c>
      <c r="CN81" s="83">
        <v>0.28323199999999998</v>
      </c>
      <c r="CO81" s="83">
        <v>1.7831199999999998E-2</v>
      </c>
      <c r="CP81" s="83">
        <v>7.1498999999999998E-3</v>
      </c>
      <c r="CQ81" s="83">
        <v>0.27329199999999998</v>
      </c>
      <c r="CR81" s="83">
        <v>1.7951399999999999E-2</v>
      </c>
      <c r="CS81" s="83">
        <v>7.1498999999999998E-3</v>
      </c>
      <c r="CT81" s="83">
        <v>0.26248899999999997</v>
      </c>
      <c r="CU81" s="83">
        <v>1.7977900000000002E-2</v>
      </c>
      <c r="CV81" s="83">
        <v>7.1498999999999998E-3</v>
      </c>
      <c r="CW81" s="83">
        <v>0.24046899999999999</v>
      </c>
      <c r="CX81" s="83">
        <v>1.7670000000000002E-2</v>
      </c>
    </row>
    <row r="82" spans="1:102" x14ac:dyDescent="0.2">
      <c r="A82" s="83">
        <v>7.2499000000000001E-3</v>
      </c>
      <c r="B82" s="83">
        <v>0.33041199999999998</v>
      </c>
      <c r="C82" s="83">
        <v>1.67111E-2</v>
      </c>
      <c r="D82" s="83">
        <v>7.2499000000000001E-3</v>
      </c>
      <c r="E82" s="83">
        <v>0.34532000000000002</v>
      </c>
      <c r="F82" s="83">
        <v>1.6981300000000001E-2</v>
      </c>
      <c r="G82" s="83">
        <v>7.2499000000000001E-3</v>
      </c>
      <c r="H82" s="83">
        <v>0.35538900000000001</v>
      </c>
      <c r="I82" s="83">
        <v>1.7178300000000001E-2</v>
      </c>
      <c r="J82" s="83">
        <v>7.2499000000000001E-3</v>
      </c>
      <c r="K82" s="83">
        <v>0.36127799999999999</v>
      </c>
      <c r="L82" s="83">
        <v>1.70755E-2</v>
      </c>
      <c r="M82" s="83">
        <v>7.2499000000000001E-3</v>
      </c>
      <c r="N82" s="83">
        <v>0.36172199999999999</v>
      </c>
      <c r="O82" s="83">
        <v>1.6863800000000002E-2</v>
      </c>
      <c r="P82" s="83">
        <v>7.2499000000000001E-3</v>
      </c>
      <c r="Q82" s="83">
        <v>0.36812299999999998</v>
      </c>
      <c r="R82" s="83">
        <v>1.7099099999999999E-2</v>
      </c>
      <c r="S82" s="83">
        <v>7.2499000000000001E-3</v>
      </c>
      <c r="T82" s="83">
        <v>0.37308400000000003</v>
      </c>
      <c r="U82" s="83">
        <v>1.7269300000000001E-2</v>
      </c>
      <c r="V82" s="83">
        <v>7.2499000000000001E-3</v>
      </c>
      <c r="W82" s="83">
        <v>0.36804500000000001</v>
      </c>
      <c r="X82" s="83">
        <v>1.7059299999999999E-2</v>
      </c>
      <c r="Y82" s="83">
        <v>7.2499000000000001E-3</v>
      </c>
      <c r="Z82" s="83">
        <v>0.36788100000000001</v>
      </c>
      <c r="AA82" s="83">
        <v>1.7049100000000001E-2</v>
      </c>
      <c r="AB82" s="83">
        <v>7.2499000000000001E-3</v>
      </c>
      <c r="AC82" s="83">
        <v>0.36668400000000001</v>
      </c>
      <c r="AD82" s="83">
        <v>1.7025499999999999E-2</v>
      </c>
      <c r="AE82" s="83">
        <v>7.2499000000000001E-3</v>
      </c>
      <c r="AF82" s="83">
        <v>0.36741499999999999</v>
      </c>
      <c r="AG82" s="83">
        <v>1.7119100000000002E-2</v>
      </c>
      <c r="AH82" s="83">
        <v>7.2499000000000001E-3</v>
      </c>
      <c r="AI82" s="83">
        <v>0.36548399999999998</v>
      </c>
      <c r="AJ82" s="83">
        <v>1.7062999999999998E-2</v>
      </c>
      <c r="AK82" s="83">
        <v>7.2499000000000001E-3</v>
      </c>
      <c r="AL82" s="83">
        <v>0.36412899999999998</v>
      </c>
      <c r="AM82" s="83">
        <v>1.7107899999999999E-2</v>
      </c>
      <c r="AN82" s="83">
        <v>7.2499000000000001E-3</v>
      </c>
      <c r="AO82" s="83">
        <v>0.36232700000000001</v>
      </c>
      <c r="AP82" s="83">
        <v>1.7142600000000001E-2</v>
      </c>
      <c r="AQ82" s="83">
        <v>7.2499000000000001E-3</v>
      </c>
      <c r="AR82" s="83">
        <v>0.35461599999999999</v>
      </c>
      <c r="AS82" s="83">
        <v>1.69874E-2</v>
      </c>
      <c r="AT82" s="83">
        <v>7.2499000000000001E-3</v>
      </c>
      <c r="AU82" s="83">
        <v>0.35266799999999998</v>
      </c>
      <c r="AV82" s="83">
        <v>1.7010000000000001E-2</v>
      </c>
      <c r="AW82" s="83">
        <v>7.2499000000000001E-3</v>
      </c>
      <c r="AX82" s="83">
        <v>0.34953699999999999</v>
      </c>
      <c r="AY82" s="83">
        <v>1.6998099999999999E-2</v>
      </c>
      <c r="AZ82" s="83">
        <v>7.2499000000000001E-3</v>
      </c>
      <c r="BA82" s="83">
        <v>0.34381899999999999</v>
      </c>
      <c r="BB82" s="83">
        <v>1.6936799999999998E-2</v>
      </c>
      <c r="BC82" s="83">
        <v>7.2499000000000001E-3</v>
      </c>
      <c r="BD82" s="83">
        <v>0.34700300000000001</v>
      </c>
      <c r="BE82" s="83">
        <v>1.72999E-2</v>
      </c>
      <c r="BF82" s="83">
        <v>7.2499000000000001E-3</v>
      </c>
      <c r="BG82" s="83">
        <v>0.34379700000000002</v>
      </c>
      <c r="BH82" s="83">
        <v>1.7307699999999999E-2</v>
      </c>
      <c r="BI82" s="83">
        <v>7.2499000000000001E-3</v>
      </c>
      <c r="BJ82" s="83">
        <v>0.33409699999999998</v>
      </c>
      <c r="BK82" s="83">
        <v>1.7106699999999999E-2</v>
      </c>
      <c r="BL82" s="83">
        <v>7.2499000000000001E-3</v>
      </c>
      <c r="BM82" s="83">
        <v>0.325401</v>
      </c>
      <c r="BN82" s="83">
        <v>1.6979999999999999E-2</v>
      </c>
      <c r="BO82" s="83">
        <v>7.2499000000000001E-3</v>
      </c>
      <c r="BP82" s="83">
        <v>0.32144299999999998</v>
      </c>
      <c r="BQ82" s="83">
        <v>1.7003299999999999E-2</v>
      </c>
      <c r="BR82" s="83">
        <v>7.2499000000000001E-3</v>
      </c>
      <c r="BS82" s="83">
        <v>0.31862200000000002</v>
      </c>
      <c r="BT82" s="83">
        <v>1.7118100000000001E-2</v>
      </c>
      <c r="BU82" s="83">
        <v>7.2499000000000001E-3</v>
      </c>
      <c r="BV82" s="83">
        <v>0.31772499999999998</v>
      </c>
      <c r="BW82" s="83">
        <v>1.7302600000000001E-2</v>
      </c>
      <c r="BX82" s="83">
        <v>7.2499000000000001E-3</v>
      </c>
      <c r="BY82" s="83">
        <v>0.30160999999999999</v>
      </c>
      <c r="BZ82" s="83">
        <v>1.6898E-2</v>
      </c>
      <c r="CA82" s="83">
        <v>7.2499000000000001E-3</v>
      </c>
      <c r="CB82" s="83">
        <v>0.30777700000000002</v>
      </c>
      <c r="CC82" s="83">
        <v>1.7434399999999999E-2</v>
      </c>
      <c r="CD82" s="83">
        <v>7.2499000000000001E-3</v>
      </c>
      <c r="CE82" s="83">
        <v>0.28677200000000003</v>
      </c>
      <c r="CF82" s="83">
        <v>1.68565E-2</v>
      </c>
      <c r="CG82" s="83">
        <v>7.2499000000000001E-3</v>
      </c>
      <c r="CH82" s="83">
        <v>0.27993699999999999</v>
      </c>
      <c r="CI82" s="83">
        <v>1.69482E-2</v>
      </c>
      <c r="CJ82" s="83">
        <v>7.2499000000000001E-3</v>
      </c>
      <c r="CK82" s="83">
        <v>0.26771099999999998</v>
      </c>
      <c r="CL82" s="83">
        <v>1.6794300000000002E-2</v>
      </c>
      <c r="CM82" s="83">
        <v>7.2499000000000001E-3</v>
      </c>
      <c r="CN82" s="83">
        <v>0.263017</v>
      </c>
      <c r="CO82" s="83">
        <v>1.69943E-2</v>
      </c>
      <c r="CP82" s="83">
        <v>7.2499000000000001E-3</v>
      </c>
      <c r="CQ82" s="83">
        <v>0.25404399999999999</v>
      </c>
      <c r="CR82" s="83">
        <v>1.71194E-2</v>
      </c>
      <c r="CS82" s="83">
        <v>7.2499000000000001E-3</v>
      </c>
      <c r="CT82" s="83">
        <v>0.243285</v>
      </c>
      <c r="CU82" s="83">
        <v>1.71684E-2</v>
      </c>
      <c r="CV82" s="83">
        <v>7.2499000000000001E-3</v>
      </c>
      <c r="CW82" s="83">
        <v>0.22226099999999999</v>
      </c>
      <c r="CX82" s="83">
        <v>1.68624E-2</v>
      </c>
    </row>
    <row r="83" spans="1:102" x14ac:dyDescent="0.2">
      <c r="A83" s="83">
        <v>7.3499000000000004E-3</v>
      </c>
      <c r="B83" s="83">
        <v>0.31494800000000001</v>
      </c>
      <c r="C83" s="83">
        <v>1.5909300000000001E-2</v>
      </c>
      <c r="D83" s="83">
        <v>7.3499000000000004E-3</v>
      </c>
      <c r="E83" s="83">
        <v>0.32900200000000002</v>
      </c>
      <c r="F83" s="83">
        <v>1.6169800000000002E-2</v>
      </c>
      <c r="G83" s="83">
        <v>7.3499000000000004E-3</v>
      </c>
      <c r="H83" s="83">
        <v>0.33866499999999999</v>
      </c>
      <c r="I83" s="83">
        <v>1.6360900000000001E-2</v>
      </c>
      <c r="J83" s="83">
        <v>7.3499000000000004E-3</v>
      </c>
      <c r="K83" s="83">
        <v>0.34459800000000002</v>
      </c>
      <c r="L83" s="83">
        <v>1.6275700000000001E-2</v>
      </c>
      <c r="M83" s="83">
        <v>7.3499000000000004E-3</v>
      </c>
      <c r="N83" s="83">
        <v>0.34433000000000002</v>
      </c>
      <c r="O83" s="83">
        <v>1.6057200000000001E-2</v>
      </c>
      <c r="P83" s="83">
        <v>7.3499000000000004E-3</v>
      </c>
      <c r="Q83" s="83">
        <v>0.35032999999999997</v>
      </c>
      <c r="R83" s="83">
        <v>1.62963E-2</v>
      </c>
      <c r="S83" s="83">
        <v>7.3499000000000004E-3</v>
      </c>
      <c r="T83" s="83">
        <v>0.35464699999999999</v>
      </c>
      <c r="U83" s="83">
        <v>1.64558E-2</v>
      </c>
      <c r="V83" s="83">
        <v>7.3499000000000004E-3</v>
      </c>
      <c r="W83" s="83">
        <v>0.34959299999999999</v>
      </c>
      <c r="X83" s="83">
        <v>1.6254600000000001E-2</v>
      </c>
      <c r="Y83" s="83">
        <v>7.3499000000000004E-3</v>
      </c>
      <c r="Z83" s="83">
        <v>0.34889199999999998</v>
      </c>
      <c r="AA83" s="83">
        <v>1.6253199999999999E-2</v>
      </c>
      <c r="AB83" s="83">
        <v>7.3499000000000004E-3</v>
      </c>
      <c r="AC83" s="83">
        <v>0.34796300000000002</v>
      </c>
      <c r="AD83" s="83">
        <v>1.62355E-2</v>
      </c>
      <c r="AE83" s="83">
        <v>7.3499000000000004E-3</v>
      </c>
      <c r="AF83" s="83">
        <v>0.34819099999999997</v>
      </c>
      <c r="AG83" s="83">
        <v>1.6304699999999998E-2</v>
      </c>
      <c r="AH83" s="83">
        <v>7.3499000000000004E-3</v>
      </c>
      <c r="AI83" s="83">
        <v>0.34653400000000001</v>
      </c>
      <c r="AJ83" s="83">
        <v>1.62524E-2</v>
      </c>
      <c r="AK83" s="83">
        <v>7.3499000000000004E-3</v>
      </c>
      <c r="AL83" s="83">
        <v>0.34517900000000001</v>
      </c>
      <c r="AM83" s="83">
        <v>1.63062E-2</v>
      </c>
      <c r="AN83" s="83">
        <v>7.3499000000000004E-3</v>
      </c>
      <c r="AO83" s="83">
        <v>0.34318700000000002</v>
      </c>
      <c r="AP83" s="83">
        <v>1.6355499999999999E-2</v>
      </c>
      <c r="AQ83" s="83">
        <v>7.3499000000000004E-3</v>
      </c>
      <c r="AR83" s="83">
        <v>0.33573399999999998</v>
      </c>
      <c r="AS83" s="83">
        <v>1.6180699999999999E-2</v>
      </c>
      <c r="AT83" s="83">
        <v>7.3499000000000004E-3</v>
      </c>
      <c r="AU83" s="83">
        <v>0.33337600000000001</v>
      </c>
      <c r="AV83" s="83">
        <v>1.6215E-2</v>
      </c>
      <c r="AW83" s="83">
        <v>7.3499000000000004E-3</v>
      </c>
      <c r="AX83" s="83">
        <v>0.330538</v>
      </c>
      <c r="AY83" s="83">
        <v>1.6221699999999999E-2</v>
      </c>
      <c r="AZ83" s="83">
        <v>7.3499000000000004E-3</v>
      </c>
      <c r="BA83" s="83">
        <v>0.324459</v>
      </c>
      <c r="BB83" s="83">
        <v>1.6163400000000001E-2</v>
      </c>
      <c r="BC83" s="83">
        <v>7.3499000000000004E-3</v>
      </c>
      <c r="BD83" s="83">
        <v>0.32743299999999997</v>
      </c>
      <c r="BE83" s="83">
        <v>1.6510799999999999E-2</v>
      </c>
      <c r="BF83" s="83">
        <v>7.3499000000000004E-3</v>
      </c>
      <c r="BG83" s="83">
        <v>0.32420199999999999</v>
      </c>
      <c r="BH83" s="83">
        <v>1.65001E-2</v>
      </c>
      <c r="BI83" s="83">
        <v>7.3499000000000004E-3</v>
      </c>
      <c r="BJ83" s="83">
        <v>0.31476100000000001</v>
      </c>
      <c r="BK83" s="83">
        <v>1.6317600000000002E-2</v>
      </c>
      <c r="BL83" s="83">
        <v>7.3499000000000004E-3</v>
      </c>
      <c r="BM83" s="83">
        <v>0.30629499999999998</v>
      </c>
      <c r="BN83" s="83">
        <v>1.6174299999999999E-2</v>
      </c>
      <c r="BO83" s="83">
        <v>7.3499000000000004E-3</v>
      </c>
      <c r="BP83" s="83">
        <v>0.30244900000000002</v>
      </c>
      <c r="BQ83" s="83">
        <v>1.6206499999999999E-2</v>
      </c>
      <c r="BR83" s="83">
        <v>7.3499000000000004E-3</v>
      </c>
      <c r="BS83" s="83">
        <v>0.29938799999999999</v>
      </c>
      <c r="BT83" s="83">
        <v>1.63173E-2</v>
      </c>
      <c r="BU83" s="83">
        <v>7.3499000000000004E-3</v>
      </c>
      <c r="BV83" s="83">
        <v>0.29800300000000002</v>
      </c>
      <c r="BW83" s="83">
        <v>1.6482299999999998E-2</v>
      </c>
      <c r="BX83" s="83">
        <v>7.3499000000000004E-3</v>
      </c>
      <c r="BY83" s="83">
        <v>0.282304</v>
      </c>
      <c r="BZ83" s="83">
        <v>1.61373E-2</v>
      </c>
      <c r="CA83" s="83">
        <v>7.3499000000000004E-3</v>
      </c>
      <c r="CB83" s="83">
        <v>0.28833900000000001</v>
      </c>
      <c r="CC83" s="83">
        <v>1.6639399999999999E-2</v>
      </c>
      <c r="CD83" s="83">
        <v>7.3499000000000004E-3</v>
      </c>
      <c r="CE83" s="83">
        <v>0.26806099999999999</v>
      </c>
      <c r="CF83" s="83">
        <v>1.60714E-2</v>
      </c>
      <c r="CG83" s="83">
        <v>7.3499000000000004E-3</v>
      </c>
      <c r="CH83" s="83">
        <v>0.26103100000000001</v>
      </c>
      <c r="CI83" s="83">
        <v>1.61426E-2</v>
      </c>
      <c r="CJ83" s="83">
        <v>7.3499000000000004E-3</v>
      </c>
      <c r="CK83" s="83">
        <v>0.249279</v>
      </c>
      <c r="CL83" s="83">
        <v>1.6006200000000002E-2</v>
      </c>
      <c r="CM83" s="83">
        <v>7.3499000000000004E-3</v>
      </c>
      <c r="CN83" s="83">
        <v>0.24459400000000001</v>
      </c>
      <c r="CO83" s="83">
        <v>1.61789E-2</v>
      </c>
      <c r="CP83" s="83">
        <v>7.3499000000000004E-3</v>
      </c>
      <c r="CQ83" s="83">
        <v>0.23579700000000001</v>
      </c>
      <c r="CR83" s="83">
        <v>1.62922E-2</v>
      </c>
      <c r="CS83" s="83">
        <v>7.3499000000000004E-3</v>
      </c>
      <c r="CT83" s="83">
        <v>0.22520799999999999</v>
      </c>
      <c r="CU83" s="83">
        <v>1.63676E-2</v>
      </c>
      <c r="CV83" s="83">
        <v>7.3499000000000004E-3</v>
      </c>
      <c r="CW83" s="83">
        <v>0.204981</v>
      </c>
      <c r="CX83" s="83">
        <v>1.6049899999999999E-2</v>
      </c>
    </row>
    <row r="84" spans="1:102" x14ac:dyDescent="0.2">
      <c r="A84" s="83">
        <v>7.4498999999999998E-3</v>
      </c>
      <c r="B84" s="83">
        <v>0.29949399999999998</v>
      </c>
      <c r="C84" s="83">
        <v>1.51691E-2</v>
      </c>
      <c r="D84" s="83">
        <v>7.4498999999999998E-3</v>
      </c>
      <c r="E84" s="83">
        <v>0.31300099999999997</v>
      </c>
      <c r="F84" s="83">
        <v>1.5425700000000001E-2</v>
      </c>
      <c r="G84" s="83">
        <v>7.4498999999999998E-3</v>
      </c>
      <c r="H84" s="83">
        <v>0.32255200000000001</v>
      </c>
      <c r="I84" s="83">
        <v>1.5578699999999999E-2</v>
      </c>
      <c r="J84" s="83">
        <v>7.4498999999999998E-3</v>
      </c>
      <c r="K84" s="83">
        <v>0.32771800000000001</v>
      </c>
      <c r="L84" s="83">
        <v>1.5489599999999999E-2</v>
      </c>
      <c r="M84" s="83">
        <v>7.4498999999999998E-3</v>
      </c>
      <c r="N84" s="83">
        <v>0.32749400000000001</v>
      </c>
      <c r="O84" s="83">
        <v>1.52896E-2</v>
      </c>
      <c r="P84" s="83">
        <v>7.4498999999999998E-3</v>
      </c>
      <c r="Q84" s="83">
        <v>0.333347</v>
      </c>
      <c r="R84" s="83">
        <v>1.55297E-2</v>
      </c>
      <c r="S84" s="83">
        <v>7.4498999999999998E-3</v>
      </c>
      <c r="T84" s="83">
        <v>0.33690300000000001</v>
      </c>
      <c r="U84" s="83">
        <v>1.5675499999999998E-2</v>
      </c>
      <c r="V84" s="83">
        <v>7.4498999999999998E-3</v>
      </c>
      <c r="W84" s="83">
        <v>0.33196599999999998</v>
      </c>
      <c r="X84" s="83">
        <v>1.55017E-2</v>
      </c>
      <c r="Y84" s="83">
        <v>7.4498999999999998E-3</v>
      </c>
      <c r="Z84" s="83">
        <v>0.33121099999999998</v>
      </c>
      <c r="AA84" s="83">
        <v>1.54886E-2</v>
      </c>
      <c r="AB84" s="83">
        <v>7.4498999999999998E-3</v>
      </c>
      <c r="AC84" s="83">
        <v>0.33055600000000002</v>
      </c>
      <c r="AD84" s="83">
        <v>1.54728E-2</v>
      </c>
      <c r="AE84" s="83">
        <v>7.4498999999999998E-3</v>
      </c>
      <c r="AF84" s="83">
        <v>0.33001799999999998</v>
      </c>
      <c r="AG84" s="83">
        <v>1.5543E-2</v>
      </c>
      <c r="AH84" s="83">
        <v>7.4498999999999998E-3</v>
      </c>
      <c r="AI84" s="83">
        <v>0.32843299999999997</v>
      </c>
      <c r="AJ84" s="83">
        <v>1.55044E-2</v>
      </c>
      <c r="AK84" s="83">
        <v>7.4498999999999998E-3</v>
      </c>
      <c r="AL84" s="83">
        <v>0.32669799999999999</v>
      </c>
      <c r="AM84" s="83">
        <v>1.5539600000000001E-2</v>
      </c>
      <c r="AN84" s="83">
        <v>7.4498999999999998E-3</v>
      </c>
      <c r="AO84" s="83">
        <v>0.324569</v>
      </c>
      <c r="AP84" s="83">
        <v>1.55801E-2</v>
      </c>
      <c r="AQ84" s="83">
        <v>7.4498999999999998E-3</v>
      </c>
      <c r="AR84" s="83">
        <v>0.31743300000000002</v>
      </c>
      <c r="AS84" s="83">
        <v>1.5413100000000001E-2</v>
      </c>
      <c r="AT84" s="83">
        <v>7.4498999999999998E-3</v>
      </c>
      <c r="AU84" s="83">
        <v>0.31507000000000002</v>
      </c>
      <c r="AV84" s="83">
        <v>1.5436699999999999E-2</v>
      </c>
      <c r="AW84" s="83">
        <v>7.4498999999999998E-3</v>
      </c>
      <c r="AX84" s="83">
        <v>0.31221300000000002</v>
      </c>
      <c r="AY84" s="83">
        <v>1.5449299999999999E-2</v>
      </c>
      <c r="AZ84" s="83">
        <v>7.4498999999999998E-3</v>
      </c>
      <c r="BA84" s="83">
        <v>0.30590899999999999</v>
      </c>
      <c r="BB84" s="83">
        <v>1.53977E-2</v>
      </c>
      <c r="BC84" s="83">
        <v>7.4498999999999998E-3</v>
      </c>
      <c r="BD84" s="83">
        <v>0.30888300000000002</v>
      </c>
      <c r="BE84" s="83">
        <v>1.5727600000000001E-2</v>
      </c>
      <c r="BF84" s="83">
        <v>7.4498999999999998E-3</v>
      </c>
      <c r="BG84" s="83">
        <v>0.30535499999999999</v>
      </c>
      <c r="BH84" s="83">
        <v>1.57354E-2</v>
      </c>
      <c r="BI84" s="83">
        <v>7.4498999999999998E-3</v>
      </c>
      <c r="BJ84" s="83">
        <v>0.29585</v>
      </c>
      <c r="BK84" s="83">
        <v>1.55315E-2</v>
      </c>
      <c r="BL84" s="83">
        <v>7.4498999999999998E-3</v>
      </c>
      <c r="BM84" s="83">
        <v>0.28740300000000002</v>
      </c>
      <c r="BN84" s="83">
        <v>1.5434099999999999E-2</v>
      </c>
      <c r="BO84" s="83">
        <v>7.4498999999999998E-3</v>
      </c>
      <c r="BP84" s="83">
        <v>0.28414400000000001</v>
      </c>
      <c r="BQ84" s="83">
        <v>1.54535E-2</v>
      </c>
      <c r="BR84" s="83">
        <v>7.4498999999999998E-3</v>
      </c>
      <c r="BS84" s="83">
        <v>0.28050599999999998</v>
      </c>
      <c r="BT84" s="83">
        <v>1.5536100000000001E-2</v>
      </c>
      <c r="BU84" s="83">
        <v>7.4498999999999998E-3</v>
      </c>
      <c r="BV84" s="83">
        <v>0.278692</v>
      </c>
      <c r="BW84" s="83">
        <v>1.5688299999999999E-2</v>
      </c>
      <c r="BX84" s="83">
        <v>7.4498999999999998E-3</v>
      </c>
      <c r="BY84" s="83">
        <v>0.26412000000000002</v>
      </c>
      <c r="BZ84" s="83">
        <v>1.53472E-2</v>
      </c>
      <c r="CA84" s="83">
        <v>7.4498999999999998E-3</v>
      </c>
      <c r="CB84" s="83">
        <v>0.26966699999999999</v>
      </c>
      <c r="CC84" s="83">
        <v>1.5839599999999999E-2</v>
      </c>
      <c r="CD84" s="83">
        <v>7.4498999999999998E-3</v>
      </c>
      <c r="CE84" s="83">
        <v>0.24985299999999999</v>
      </c>
      <c r="CF84" s="83">
        <v>1.53048E-2</v>
      </c>
      <c r="CG84" s="83">
        <v>7.4498999999999998E-3</v>
      </c>
      <c r="CH84" s="83">
        <v>0.24337500000000001</v>
      </c>
      <c r="CI84" s="83">
        <v>1.53779E-2</v>
      </c>
      <c r="CJ84" s="83">
        <v>7.4498999999999998E-3</v>
      </c>
      <c r="CK84" s="83">
        <v>0.23196900000000001</v>
      </c>
      <c r="CL84" s="83">
        <v>1.5250400000000001E-2</v>
      </c>
      <c r="CM84" s="83">
        <v>7.4498999999999998E-3</v>
      </c>
      <c r="CN84" s="83">
        <v>0.227016</v>
      </c>
      <c r="CO84" s="83">
        <v>1.54298E-2</v>
      </c>
      <c r="CP84" s="83">
        <v>7.4498999999999998E-3</v>
      </c>
      <c r="CQ84" s="83">
        <v>0.21846699999999999</v>
      </c>
      <c r="CR84" s="83">
        <v>1.5515899999999999E-2</v>
      </c>
      <c r="CS84" s="83">
        <v>7.4498999999999998E-3</v>
      </c>
      <c r="CT84" s="83">
        <v>0.20798700000000001</v>
      </c>
      <c r="CU84" s="83">
        <v>1.55678E-2</v>
      </c>
      <c r="CV84" s="83">
        <v>7.4498999999999998E-3</v>
      </c>
      <c r="CW84" s="83">
        <v>0.18928700000000001</v>
      </c>
      <c r="CX84" s="83">
        <v>1.52979E-2</v>
      </c>
    </row>
    <row r="85" spans="1:102" x14ac:dyDescent="0.2">
      <c r="A85" s="83">
        <v>7.5499E-3</v>
      </c>
      <c r="B85" s="83">
        <v>0.28495799999999999</v>
      </c>
      <c r="C85" s="83">
        <v>1.4424899999999999E-2</v>
      </c>
      <c r="D85" s="83">
        <v>7.5499E-3</v>
      </c>
      <c r="E85" s="83">
        <v>0.29776200000000003</v>
      </c>
      <c r="F85" s="83">
        <v>1.47089E-2</v>
      </c>
      <c r="G85" s="83">
        <v>7.5499E-3</v>
      </c>
      <c r="H85" s="83">
        <v>0.30645800000000001</v>
      </c>
      <c r="I85" s="83">
        <v>1.48472E-2</v>
      </c>
      <c r="J85" s="83">
        <v>7.5499E-3</v>
      </c>
      <c r="K85" s="83">
        <v>0.31124400000000002</v>
      </c>
      <c r="L85" s="83">
        <v>1.47698E-2</v>
      </c>
      <c r="M85" s="83">
        <v>7.5499E-3</v>
      </c>
      <c r="N85" s="83">
        <v>0.31142399999999998</v>
      </c>
      <c r="O85" s="83">
        <v>1.4611900000000001E-2</v>
      </c>
      <c r="P85" s="83">
        <v>7.5499E-3</v>
      </c>
      <c r="Q85" s="83">
        <v>0.31666800000000001</v>
      </c>
      <c r="R85" s="83">
        <v>1.4806100000000001E-2</v>
      </c>
      <c r="S85" s="83">
        <v>7.5499E-3</v>
      </c>
      <c r="T85" s="83">
        <v>0.32000299999999998</v>
      </c>
      <c r="U85" s="83">
        <v>1.49187E-2</v>
      </c>
      <c r="V85" s="83">
        <v>7.5499E-3</v>
      </c>
      <c r="W85" s="83">
        <v>0.31452000000000002</v>
      </c>
      <c r="X85" s="83">
        <v>1.47654E-2</v>
      </c>
      <c r="Y85" s="83">
        <v>7.5499E-3</v>
      </c>
      <c r="Z85" s="83">
        <v>0.31394100000000003</v>
      </c>
      <c r="AA85" s="83">
        <v>1.4775699999999999E-2</v>
      </c>
      <c r="AB85" s="83">
        <v>7.5499E-3</v>
      </c>
      <c r="AC85" s="83">
        <v>0.3135</v>
      </c>
      <c r="AD85" s="83">
        <v>1.47306E-2</v>
      </c>
      <c r="AE85" s="83">
        <v>7.5499E-3</v>
      </c>
      <c r="AF85" s="83">
        <v>0.31274200000000002</v>
      </c>
      <c r="AG85" s="83">
        <v>1.48086E-2</v>
      </c>
      <c r="AH85" s="83">
        <v>7.5499E-3</v>
      </c>
      <c r="AI85" s="83">
        <v>0.31107499999999999</v>
      </c>
      <c r="AJ85" s="83">
        <v>1.4791500000000001E-2</v>
      </c>
      <c r="AK85" s="83">
        <v>7.5499E-3</v>
      </c>
      <c r="AL85" s="83">
        <v>0.30917299999999998</v>
      </c>
      <c r="AM85" s="83">
        <v>1.47974E-2</v>
      </c>
      <c r="AN85" s="83">
        <v>7.5499E-3</v>
      </c>
      <c r="AO85" s="83">
        <v>0.30701000000000001</v>
      </c>
      <c r="AP85" s="83">
        <v>1.48536E-2</v>
      </c>
      <c r="AQ85" s="83">
        <v>7.5499E-3</v>
      </c>
      <c r="AR85" s="83">
        <v>0.29987399999999997</v>
      </c>
      <c r="AS85" s="83">
        <v>1.4675799999999999E-2</v>
      </c>
      <c r="AT85" s="83">
        <v>7.5499E-3</v>
      </c>
      <c r="AU85" s="83">
        <v>0.297126</v>
      </c>
      <c r="AV85" s="83">
        <v>1.4719899999999999E-2</v>
      </c>
      <c r="AW85" s="83">
        <v>7.5499E-3</v>
      </c>
      <c r="AX85" s="83">
        <v>0.29398000000000002</v>
      </c>
      <c r="AY85" s="83">
        <v>1.47227E-2</v>
      </c>
      <c r="AZ85" s="83">
        <v>7.5499E-3</v>
      </c>
      <c r="BA85" s="83">
        <v>0.288443</v>
      </c>
      <c r="BB85" s="83">
        <v>1.46546E-2</v>
      </c>
      <c r="BC85" s="83">
        <v>7.5499E-3</v>
      </c>
      <c r="BD85" s="83">
        <v>0.29061199999999998</v>
      </c>
      <c r="BE85" s="83">
        <v>1.49698E-2</v>
      </c>
      <c r="BF85" s="83">
        <v>7.5499E-3</v>
      </c>
      <c r="BG85" s="83">
        <v>0.28742000000000001</v>
      </c>
      <c r="BH85" s="83">
        <v>1.4991300000000001E-2</v>
      </c>
      <c r="BI85" s="83">
        <v>7.5499E-3</v>
      </c>
      <c r="BJ85" s="83">
        <v>0.27808100000000002</v>
      </c>
      <c r="BK85" s="83">
        <v>1.4810800000000001E-2</v>
      </c>
      <c r="BL85" s="83">
        <v>7.5499E-3</v>
      </c>
      <c r="BM85" s="83">
        <v>0.26998100000000003</v>
      </c>
      <c r="BN85" s="83">
        <v>1.4687E-2</v>
      </c>
      <c r="BO85" s="83">
        <v>7.5499E-3</v>
      </c>
      <c r="BP85" s="83">
        <v>0.26611099999999999</v>
      </c>
      <c r="BQ85" s="83">
        <v>1.47162E-2</v>
      </c>
      <c r="BR85" s="83">
        <v>7.5499E-3</v>
      </c>
      <c r="BS85" s="83">
        <v>0.26280100000000001</v>
      </c>
      <c r="BT85" s="83">
        <v>1.48066E-2</v>
      </c>
      <c r="BU85" s="83">
        <v>7.5499E-3</v>
      </c>
      <c r="BV85" s="83">
        <v>0.26089899999999999</v>
      </c>
      <c r="BW85" s="83">
        <v>1.4962700000000001E-2</v>
      </c>
      <c r="BX85" s="83">
        <v>7.5499E-3</v>
      </c>
      <c r="BY85" s="83">
        <v>0.24701600000000001</v>
      </c>
      <c r="BZ85" s="83">
        <v>1.46363E-2</v>
      </c>
      <c r="CA85" s="83">
        <v>7.5499E-3</v>
      </c>
      <c r="CB85" s="83">
        <v>0.25186900000000001</v>
      </c>
      <c r="CC85" s="83">
        <v>1.51092E-2</v>
      </c>
      <c r="CD85" s="83">
        <v>7.5499E-3</v>
      </c>
      <c r="CE85" s="83">
        <v>0.232822</v>
      </c>
      <c r="CF85" s="83">
        <v>1.45665E-2</v>
      </c>
      <c r="CG85" s="83">
        <v>7.5499E-3</v>
      </c>
      <c r="CH85" s="83">
        <v>0.22650000000000001</v>
      </c>
      <c r="CI85" s="83">
        <v>1.46553E-2</v>
      </c>
      <c r="CJ85" s="83">
        <v>7.5499E-3</v>
      </c>
      <c r="CK85" s="83">
        <v>0.215118</v>
      </c>
      <c r="CL85" s="83">
        <v>1.45141E-2</v>
      </c>
      <c r="CM85" s="83">
        <v>7.5499E-3</v>
      </c>
      <c r="CN85" s="83">
        <v>0.20999000000000001</v>
      </c>
      <c r="CO85" s="83">
        <v>1.4685699999999999E-2</v>
      </c>
      <c r="CP85" s="83">
        <v>7.5499E-3</v>
      </c>
      <c r="CQ85" s="83">
        <v>0.20202200000000001</v>
      </c>
      <c r="CR85" s="83">
        <v>1.4800000000000001E-2</v>
      </c>
      <c r="CS85" s="83">
        <v>7.5499E-3</v>
      </c>
      <c r="CT85" s="83">
        <v>0.19228400000000001</v>
      </c>
      <c r="CU85" s="83">
        <v>1.4844100000000001E-2</v>
      </c>
      <c r="CV85" s="83">
        <v>7.5499E-3</v>
      </c>
      <c r="CW85" s="83">
        <v>0.17429700000000001</v>
      </c>
      <c r="CX85" s="83">
        <v>1.4539099999999999E-2</v>
      </c>
    </row>
    <row r="86" spans="1:102" x14ac:dyDescent="0.2">
      <c r="A86" s="83">
        <v>7.6499000000000003E-3</v>
      </c>
      <c r="B86" s="83">
        <v>0.27095399999999997</v>
      </c>
      <c r="C86" s="83">
        <v>1.3712E-2</v>
      </c>
      <c r="D86" s="83">
        <v>7.6499000000000003E-3</v>
      </c>
      <c r="E86" s="83">
        <v>0.28236099999999997</v>
      </c>
      <c r="F86" s="83">
        <v>1.39872E-2</v>
      </c>
      <c r="G86" s="83">
        <v>7.6499000000000003E-3</v>
      </c>
      <c r="H86" s="83">
        <v>0.29162399999999999</v>
      </c>
      <c r="I86" s="83">
        <v>1.41216E-2</v>
      </c>
      <c r="J86" s="83">
        <v>7.6499000000000003E-3</v>
      </c>
      <c r="K86" s="83">
        <v>0.29580899999999999</v>
      </c>
      <c r="L86" s="83">
        <v>1.40403E-2</v>
      </c>
      <c r="M86" s="83">
        <v>7.6499000000000003E-3</v>
      </c>
      <c r="N86" s="83">
        <v>0.29546699999999998</v>
      </c>
      <c r="O86" s="83">
        <v>1.3908800000000001E-2</v>
      </c>
      <c r="P86" s="83">
        <v>7.6499000000000003E-3</v>
      </c>
      <c r="Q86" s="83">
        <v>0.30054999999999998</v>
      </c>
      <c r="R86" s="83">
        <v>1.4102E-2</v>
      </c>
      <c r="S86" s="83">
        <v>7.6499000000000003E-3</v>
      </c>
      <c r="T86" s="83">
        <v>0.30424699999999999</v>
      </c>
      <c r="U86" s="83">
        <v>1.4220399999999999E-2</v>
      </c>
      <c r="V86" s="83">
        <v>7.6499000000000003E-3</v>
      </c>
      <c r="W86" s="83">
        <v>0.29869899999999999</v>
      </c>
      <c r="X86" s="83">
        <v>1.4083699999999999E-2</v>
      </c>
      <c r="Y86" s="83">
        <v>7.6499000000000003E-3</v>
      </c>
      <c r="Z86" s="83">
        <v>0.29797899999999999</v>
      </c>
      <c r="AA86" s="83">
        <v>1.4057E-2</v>
      </c>
      <c r="AB86" s="83">
        <v>7.6499000000000003E-3</v>
      </c>
      <c r="AC86" s="83">
        <v>0.29727900000000002</v>
      </c>
      <c r="AD86" s="83">
        <v>1.4049000000000001E-2</v>
      </c>
      <c r="AE86" s="83">
        <v>7.6499000000000003E-3</v>
      </c>
      <c r="AF86" s="83">
        <v>0.29609200000000002</v>
      </c>
      <c r="AG86" s="83">
        <v>1.41152E-2</v>
      </c>
      <c r="AH86" s="83">
        <v>7.6499000000000003E-3</v>
      </c>
      <c r="AI86" s="83">
        <v>0.29451300000000002</v>
      </c>
      <c r="AJ86" s="83">
        <v>1.4079599999999999E-2</v>
      </c>
      <c r="AK86" s="83">
        <v>7.6499000000000003E-3</v>
      </c>
      <c r="AL86" s="83">
        <v>0.29245900000000002</v>
      </c>
      <c r="AM86" s="83">
        <v>1.4100100000000001E-2</v>
      </c>
      <c r="AN86" s="83">
        <v>7.6499000000000003E-3</v>
      </c>
      <c r="AO86" s="83">
        <v>0.29022300000000001</v>
      </c>
      <c r="AP86" s="83">
        <v>1.4154399999999999E-2</v>
      </c>
      <c r="AQ86" s="83">
        <v>7.6499000000000003E-3</v>
      </c>
      <c r="AR86" s="83">
        <v>0.28273100000000001</v>
      </c>
      <c r="AS86" s="83">
        <v>1.39942E-2</v>
      </c>
      <c r="AT86" s="83">
        <v>7.6499000000000003E-3</v>
      </c>
      <c r="AU86" s="83">
        <v>0.28028500000000001</v>
      </c>
      <c r="AV86" s="83">
        <v>1.40012E-2</v>
      </c>
      <c r="AW86" s="83">
        <v>7.6499000000000003E-3</v>
      </c>
      <c r="AX86" s="83">
        <v>0.27692899999999998</v>
      </c>
      <c r="AY86" s="83">
        <v>1.40235E-2</v>
      </c>
      <c r="AZ86" s="83">
        <v>7.6499000000000003E-3</v>
      </c>
      <c r="BA86" s="83">
        <v>0.27144099999999999</v>
      </c>
      <c r="BB86" s="83">
        <v>1.39612E-2</v>
      </c>
      <c r="BC86" s="83">
        <v>7.6499000000000003E-3</v>
      </c>
      <c r="BD86" s="83">
        <v>0.273947</v>
      </c>
      <c r="BE86" s="83">
        <v>1.42921E-2</v>
      </c>
      <c r="BF86" s="83">
        <v>7.6499000000000003E-3</v>
      </c>
      <c r="BG86" s="83">
        <v>0.26993499999999998</v>
      </c>
      <c r="BH86" s="83">
        <v>1.4283300000000001E-2</v>
      </c>
      <c r="BI86" s="83">
        <v>7.6499000000000003E-3</v>
      </c>
      <c r="BJ86" s="83">
        <v>0.26148900000000003</v>
      </c>
      <c r="BK86" s="83">
        <v>1.41038E-2</v>
      </c>
      <c r="BL86" s="83">
        <v>7.6499000000000003E-3</v>
      </c>
      <c r="BM86" s="83">
        <v>0.25283299999999997</v>
      </c>
      <c r="BN86" s="83">
        <v>1.3998500000000001E-2</v>
      </c>
      <c r="BO86" s="83">
        <v>7.6499000000000003E-3</v>
      </c>
      <c r="BP86" s="83">
        <v>0.249607</v>
      </c>
      <c r="BQ86" s="83">
        <v>1.4027700000000001E-2</v>
      </c>
      <c r="BR86" s="83">
        <v>7.6499000000000003E-3</v>
      </c>
      <c r="BS86" s="83">
        <v>0.24651699999999999</v>
      </c>
      <c r="BT86" s="83">
        <v>1.4093700000000001E-2</v>
      </c>
      <c r="BU86" s="83">
        <v>7.6499000000000003E-3</v>
      </c>
      <c r="BV86" s="83">
        <v>0.24420500000000001</v>
      </c>
      <c r="BW86" s="83">
        <v>1.4256700000000001E-2</v>
      </c>
      <c r="BX86" s="83">
        <v>7.6499000000000003E-3</v>
      </c>
      <c r="BY86" s="83">
        <v>0.230575</v>
      </c>
      <c r="BZ86" s="83">
        <v>1.39273E-2</v>
      </c>
      <c r="CA86" s="83">
        <v>7.6499000000000003E-3</v>
      </c>
      <c r="CB86" s="83">
        <v>0.23499400000000001</v>
      </c>
      <c r="CC86" s="83">
        <v>1.4375799999999999E-2</v>
      </c>
      <c r="CD86" s="83">
        <v>7.6499000000000003E-3</v>
      </c>
      <c r="CE86" s="83">
        <v>0.21676300000000001</v>
      </c>
      <c r="CF86" s="83">
        <v>1.38829E-2</v>
      </c>
      <c r="CG86" s="83">
        <v>7.6499000000000003E-3</v>
      </c>
      <c r="CH86" s="83">
        <v>0.210254</v>
      </c>
      <c r="CI86" s="83">
        <v>1.3967800000000001E-2</v>
      </c>
      <c r="CJ86" s="83">
        <v>7.6499000000000003E-3</v>
      </c>
      <c r="CK86" s="83">
        <v>0.19941</v>
      </c>
      <c r="CL86" s="83">
        <v>1.38227E-2</v>
      </c>
      <c r="CM86" s="83">
        <v>7.6499000000000003E-3</v>
      </c>
      <c r="CN86" s="83">
        <v>0.19453599999999999</v>
      </c>
      <c r="CO86" s="83">
        <v>1.4003099999999999E-2</v>
      </c>
      <c r="CP86" s="83">
        <v>7.6499000000000003E-3</v>
      </c>
      <c r="CQ86" s="83">
        <v>0.18689500000000001</v>
      </c>
      <c r="CR86" s="83">
        <v>1.40999E-2</v>
      </c>
      <c r="CS86" s="83">
        <v>7.6499000000000003E-3</v>
      </c>
      <c r="CT86" s="83">
        <v>0.17737600000000001</v>
      </c>
      <c r="CU86" s="83">
        <v>1.4142999999999999E-2</v>
      </c>
      <c r="CV86" s="83">
        <v>7.6499000000000003E-3</v>
      </c>
      <c r="CW86" s="83">
        <v>0.160694</v>
      </c>
      <c r="CX86" s="83">
        <v>1.3861399999999999E-2</v>
      </c>
    </row>
    <row r="87" spans="1:102" x14ac:dyDescent="0.2">
      <c r="A87" s="83">
        <v>7.7498999999999997E-3</v>
      </c>
      <c r="B87" s="83">
        <v>0.257272</v>
      </c>
      <c r="C87" s="83">
        <v>1.3088000000000001E-2</v>
      </c>
      <c r="D87" s="83">
        <v>7.7498999999999997E-3</v>
      </c>
      <c r="E87" s="83">
        <v>0.26855299999999999</v>
      </c>
      <c r="F87" s="83">
        <v>1.3311399999999999E-2</v>
      </c>
      <c r="G87" s="83">
        <v>7.7498999999999997E-3</v>
      </c>
      <c r="H87" s="83">
        <v>0.27660499999999999</v>
      </c>
      <c r="I87" s="83">
        <v>1.3473199999999999E-2</v>
      </c>
      <c r="J87" s="83">
        <v>7.7498999999999997E-3</v>
      </c>
      <c r="K87" s="83">
        <v>0.28101399999999999</v>
      </c>
      <c r="L87" s="83">
        <v>1.3386E-2</v>
      </c>
      <c r="M87" s="83">
        <v>7.7498999999999997E-3</v>
      </c>
      <c r="N87" s="83">
        <v>0.28005200000000002</v>
      </c>
      <c r="O87" s="83">
        <v>1.32301E-2</v>
      </c>
      <c r="P87" s="83">
        <v>7.7498999999999997E-3</v>
      </c>
      <c r="Q87" s="83">
        <v>0.28478799999999999</v>
      </c>
      <c r="R87" s="83">
        <v>1.3403699999999999E-2</v>
      </c>
      <c r="S87" s="83">
        <v>7.7498999999999997E-3</v>
      </c>
      <c r="T87" s="83">
        <v>0.28841699999999998</v>
      </c>
      <c r="U87" s="83">
        <v>1.353E-2</v>
      </c>
      <c r="V87" s="83">
        <v>7.7498999999999997E-3</v>
      </c>
      <c r="W87" s="83">
        <v>0.28321600000000002</v>
      </c>
      <c r="X87" s="83">
        <v>1.33796E-2</v>
      </c>
      <c r="Y87" s="83">
        <v>7.7498999999999997E-3</v>
      </c>
      <c r="Z87" s="83">
        <v>0.281802</v>
      </c>
      <c r="AA87" s="83">
        <v>1.3388000000000001E-2</v>
      </c>
      <c r="AB87" s="83">
        <v>7.7498999999999997E-3</v>
      </c>
      <c r="AC87" s="83">
        <v>0.280893</v>
      </c>
      <c r="AD87" s="83">
        <v>1.3375099999999999E-2</v>
      </c>
      <c r="AE87" s="83">
        <v>7.7498999999999997E-3</v>
      </c>
      <c r="AF87" s="83">
        <v>0.27999800000000002</v>
      </c>
      <c r="AG87" s="83">
        <v>1.34375E-2</v>
      </c>
      <c r="AH87" s="83">
        <v>7.7498999999999997E-3</v>
      </c>
      <c r="AI87" s="83">
        <v>0.27809699999999998</v>
      </c>
      <c r="AJ87" s="83">
        <v>1.34048E-2</v>
      </c>
      <c r="AK87" s="83">
        <v>7.7498999999999997E-3</v>
      </c>
      <c r="AL87" s="83">
        <v>0.27592100000000003</v>
      </c>
      <c r="AM87" s="83">
        <v>1.3402799999999999E-2</v>
      </c>
      <c r="AN87" s="83">
        <v>7.7498999999999997E-3</v>
      </c>
      <c r="AO87" s="83">
        <v>0.273621</v>
      </c>
      <c r="AP87" s="83">
        <v>1.3459E-2</v>
      </c>
      <c r="AQ87" s="83">
        <v>7.7498999999999997E-3</v>
      </c>
      <c r="AR87" s="83">
        <v>0.26686199999999999</v>
      </c>
      <c r="AS87" s="83">
        <v>1.33174E-2</v>
      </c>
      <c r="AT87" s="83">
        <v>7.7498999999999997E-3</v>
      </c>
      <c r="AU87" s="83">
        <v>0.26425500000000002</v>
      </c>
      <c r="AV87" s="83">
        <v>1.3332200000000001E-2</v>
      </c>
      <c r="AW87" s="83">
        <v>7.7498999999999997E-3</v>
      </c>
      <c r="AX87" s="83">
        <v>0.260577</v>
      </c>
      <c r="AY87" s="83">
        <v>1.3347700000000001E-2</v>
      </c>
      <c r="AZ87" s="83">
        <v>7.7498999999999997E-3</v>
      </c>
      <c r="BA87" s="83">
        <v>0.255386</v>
      </c>
      <c r="BB87" s="83">
        <v>1.32835E-2</v>
      </c>
      <c r="BC87" s="83">
        <v>7.7498999999999997E-3</v>
      </c>
      <c r="BD87" s="83">
        <v>0.25758399999999998</v>
      </c>
      <c r="BE87" s="83">
        <v>1.36055E-2</v>
      </c>
      <c r="BF87" s="83">
        <v>7.7498999999999997E-3</v>
      </c>
      <c r="BG87" s="83">
        <v>0.25380200000000003</v>
      </c>
      <c r="BH87" s="83">
        <v>1.35958E-2</v>
      </c>
      <c r="BI87" s="83">
        <v>7.7498999999999997E-3</v>
      </c>
      <c r="BJ87" s="83">
        <v>0.245449</v>
      </c>
      <c r="BK87" s="83">
        <v>1.3435799999999999E-2</v>
      </c>
      <c r="BL87" s="83">
        <v>7.7498999999999997E-3</v>
      </c>
      <c r="BM87" s="83">
        <v>0.23724700000000001</v>
      </c>
      <c r="BN87" s="83">
        <v>1.33188E-2</v>
      </c>
      <c r="BO87" s="83">
        <v>7.7498999999999997E-3</v>
      </c>
      <c r="BP87" s="83">
        <v>0.23368</v>
      </c>
      <c r="BQ87" s="83">
        <v>1.33461E-2</v>
      </c>
      <c r="BR87" s="83">
        <v>7.7498999999999997E-3</v>
      </c>
      <c r="BS87" s="83">
        <v>0.23070199999999999</v>
      </c>
      <c r="BT87" s="83">
        <v>1.34345E-2</v>
      </c>
      <c r="BU87" s="83">
        <v>7.7498999999999997E-3</v>
      </c>
      <c r="BV87" s="83">
        <v>0.22856499999999999</v>
      </c>
      <c r="BW87" s="83">
        <v>1.3593600000000001E-2</v>
      </c>
      <c r="BX87" s="83">
        <v>7.7498999999999997E-3</v>
      </c>
      <c r="BY87" s="83">
        <v>0.21517500000000001</v>
      </c>
      <c r="BZ87" s="83">
        <v>1.32496E-2</v>
      </c>
      <c r="CA87" s="83">
        <v>7.7498999999999997E-3</v>
      </c>
      <c r="CB87" s="83">
        <v>0.21927199999999999</v>
      </c>
      <c r="CC87" s="83">
        <v>1.36931E-2</v>
      </c>
      <c r="CD87" s="83">
        <v>7.7498999999999997E-3</v>
      </c>
      <c r="CE87" s="83">
        <v>0.20149900000000001</v>
      </c>
      <c r="CF87" s="83">
        <v>1.31944E-2</v>
      </c>
      <c r="CG87" s="83">
        <v>7.7498999999999997E-3</v>
      </c>
      <c r="CH87" s="83">
        <v>0.19497600000000001</v>
      </c>
      <c r="CI87" s="83">
        <v>1.32861E-2</v>
      </c>
      <c r="CJ87" s="83">
        <v>7.7498999999999997E-3</v>
      </c>
      <c r="CK87" s="83">
        <v>0.18518200000000001</v>
      </c>
      <c r="CL87" s="83">
        <v>1.3155699999999999E-2</v>
      </c>
      <c r="CM87" s="83">
        <v>7.7498999999999997E-3</v>
      </c>
      <c r="CN87" s="83">
        <v>0.17996999999999999</v>
      </c>
      <c r="CO87" s="83">
        <v>1.3325399999999999E-2</v>
      </c>
      <c r="CP87" s="83">
        <v>7.7498999999999997E-3</v>
      </c>
      <c r="CQ87" s="83">
        <v>0.17257900000000001</v>
      </c>
      <c r="CR87" s="83">
        <v>1.3416300000000001E-2</v>
      </c>
      <c r="CS87" s="83">
        <v>7.7498999999999997E-3</v>
      </c>
      <c r="CT87" s="83">
        <v>0.16342599999999999</v>
      </c>
      <c r="CU87" s="83">
        <v>1.34506E-2</v>
      </c>
      <c r="CV87" s="83">
        <v>7.7498999999999997E-3</v>
      </c>
      <c r="CW87" s="83">
        <v>0.14738299999999999</v>
      </c>
      <c r="CX87" s="83">
        <v>1.31778E-2</v>
      </c>
    </row>
    <row r="88" spans="1:102" x14ac:dyDescent="0.2">
      <c r="A88" s="83">
        <v>7.8498999999999999E-3</v>
      </c>
      <c r="B88" s="83">
        <v>0.24457699999999999</v>
      </c>
      <c r="C88" s="83">
        <v>1.2461099999999999E-2</v>
      </c>
      <c r="D88" s="83">
        <v>7.8498999999999999E-3</v>
      </c>
      <c r="E88" s="83">
        <v>0.25472499999999998</v>
      </c>
      <c r="F88" s="83">
        <v>1.2664E-2</v>
      </c>
      <c r="G88" s="83">
        <v>7.8498999999999999E-3</v>
      </c>
      <c r="H88" s="83">
        <v>0.26231700000000002</v>
      </c>
      <c r="I88" s="83">
        <v>1.2807199999999999E-2</v>
      </c>
      <c r="J88" s="83">
        <v>7.8498999999999999E-3</v>
      </c>
      <c r="K88" s="83">
        <v>0.266571</v>
      </c>
      <c r="L88" s="83">
        <v>1.27327E-2</v>
      </c>
      <c r="M88" s="83">
        <v>7.8498999999999999E-3</v>
      </c>
      <c r="N88" s="83">
        <v>0.26585300000000001</v>
      </c>
      <c r="O88" s="83">
        <v>1.26129E-2</v>
      </c>
      <c r="P88" s="83">
        <v>7.8498999999999999E-3</v>
      </c>
      <c r="Q88" s="83">
        <v>0.27000299999999999</v>
      </c>
      <c r="R88" s="83">
        <v>1.27768E-2</v>
      </c>
      <c r="S88" s="83">
        <v>7.8498999999999999E-3</v>
      </c>
      <c r="T88" s="83">
        <v>0.27357300000000001</v>
      </c>
      <c r="U88" s="83">
        <v>1.28874E-2</v>
      </c>
      <c r="V88" s="83">
        <v>7.8498999999999999E-3</v>
      </c>
      <c r="W88" s="83">
        <v>0.26804</v>
      </c>
      <c r="X88" s="83">
        <v>1.27341E-2</v>
      </c>
      <c r="Y88" s="83">
        <v>7.8498999999999999E-3</v>
      </c>
      <c r="Z88" s="83">
        <v>0.26636300000000002</v>
      </c>
      <c r="AA88" s="83">
        <v>1.27288E-2</v>
      </c>
      <c r="AB88" s="83">
        <v>7.8498999999999999E-3</v>
      </c>
      <c r="AC88" s="83">
        <v>0.26621</v>
      </c>
      <c r="AD88" s="83">
        <v>1.27618E-2</v>
      </c>
      <c r="AE88" s="83">
        <v>7.8498999999999999E-3</v>
      </c>
      <c r="AF88" s="83">
        <v>0.26476899999999998</v>
      </c>
      <c r="AG88" s="83">
        <v>1.27832E-2</v>
      </c>
      <c r="AH88" s="83">
        <v>7.8498999999999999E-3</v>
      </c>
      <c r="AI88" s="83">
        <v>0.26309700000000003</v>
      </c>
      <c r="AJ88" s="83">
        <v>1.27534E-2</v>
      </c>
      <c r="AK88" s="83">
        <v>7.8498999999999999E-3</v>
      </c>
      <c r="AL88" s="83">
        <v>0.26087199999999999</v>
      </c>
      <c r="AM88" s="83">
        <v>1.2773E-2</v>
      </c>
      <c r="AN88" s="83">
        <v>7.8498999999999999E-3</v>
      </c>
      <c r="AO88" s="83">
        <v>0.25841599999999998</v>
      </c>
      <c r="AP88" s="83">
        <v>1.28311E-2</v>
      </c>
      <c r="AQ88" s="83">
        <v>7.8498999999999999E-3</v>
      </c>
      <c r="AR88" s="83">
        <v>0.25175900000000001</v>
      </c>
      <c r="AS88" s="83">
        <v>1.2684600000000001E-2</v>
      </c>
      <c r="AT88" s="83">
        <v>7.8498999999999999E-3</v>
      </c>
      <c r="AU88" s="83">
        <v>0.24862000000000001</v>
      </c>
      <c r="AV88" s="83">
        <v>1.26984E-2</v>
      </c>
      <c r="AW88" s="83">
        <v>7.8498999999999999E-3</v>
      </c>
      <c r="AX88" s="83">
        <v>0.24510799999999999</v>
      </c>
      <c r="AY88" s="83">
        <v>1.2686599999999999E-2</v>
      </c>
      <c r="AZ88" s="83">
        <v>7.8498999999999999E-3</v>
      </c>
      <c r="BA88" s="83">
        <v>0.23981</v>
      </c>
      <c r="BB88" s="83">
        <v>1.26702E-2</v>
      </c>
      <c r="BC88" s="83">
        <v>7.8498999999999999E-3</v>
      </c>
      <c r="BD88" s="83">
        <v>0.24204200000000001</v>
      </c>
      <c r="BE88" s="83">
        <v>1.2936599999999999E-2</v>
      </c>
      <c r="BF88" s="83">
        <v>7.8498999999999999E-3</v>
      </c>
      <c r="BG88" s="83">
        <v>0.23807400000000001</v>
      </c>
      <c r="BH88" s="83">
        <v>1.2933699999999999E-2</v>
      </c>
      <c r="BI88" s="83">
        <v>7.8498999999999999E-3</v>
      </c>
      <c r="BJ88" s="83">
        <v>0.22999</v>
      </c>
      <c r="BK88" s="83">
        <v>1.2781499999999999E-2</v>
      </c>
      <c r="BL88" s="83">
        <v>7.8498999999999999E-3</v>
      </c>
      <c r="BM88" s="83">
        <v>0.222056</v>
      </c>
      <c r="BN88" s="83">
        <v>1.26938E-2</v>
      </c>
      <c r="BO88" s="83">
        <v>7.8498999999999999E-3</v>
      </c>
      <c r="BP88" s="83">
        <v>0.21859200000000001</v>
      </c>
      <c r="BQ88" s="83">
        <v>1.27016E-2</v>
      </c>
      <c r="BR88" s="83">
        <v>7.8498999999999999E-3</v>
      </c>
      <c r="BS88" s="83">
        <v>0.21556500000000001</v>
      </c>
      <c r="BT88" s="83">
        <v>1.27694E-2</v>
      </c>
      <c r="BU88" s="83">
        <v>7.8498999999999999E-3</v>
      </c>
      <c r="BV88" s="83">
        <v>0.21332599999999999</v>
      </c>
      <c r="BW88" s="83">
        <v>1.29217E-2</v>
      </c>
      <c r="BX88" s="83">
        <v>7.8498999999999999E-3</v>
      </c>
      <c r="BY88" s="83">
        <v>0.20005800000000001</v>
      </c>
      <c r="BZ88" s="83">
        <v>1.2607E-2</v>
      </c>
      <c r="CA88" s="83">
        <v>7.8498999999999999E-3</v>
      </c>
      <c r="CB88" s="83">
        <v>0.20402699999999999</v>
      </c>
      <c r="CC88" s="83">
        <v>1.30242E-2</v>
      </c>
      <c r="CD88" s="83">
        <v>7.8498999999999999E-3</v>
      </c>
      <c r="CE88" s="83">
        <v>0.187002</v>
      </c>
      <c r="CF88" s="83">
        <v>1.25792E-2</v>
      </c>
      <c r="CG88" s="83">
        <v>7.8498999999999999E-3</v>
      </c>
      <c r="CH88" s="83">
        <v>0.18113299999999999</v>
      </c>
      <c r="CI88" s="83">
        <v>1.2633800000000001E-2</v>
      </c>
      <c r="CJ88" s="83">
        <v>7.8498999999999999E-3</v>
      </c>
      <c r="CK88" s="83">
        <v>0.17155899999999999</v>
      </c>
      <c r="CL88" s="83">
        <v>1.2527699999999999E-2</v>
      </c>
      <c r="CM88" s="83">
        <v>7.8498999999999999E-3</v>
      </c>
      <c r="CN88" s="83">
        <v>0.166601</v>
      </c>
      <c r="CO88" s="83">
        <v>1.2680800000000001E-2</v>
      </c>
      <c r="CP88" s="83">
        <v>7.8498999999999999E-3</v>
      </c>
      <c r="CQ88" s="83">
        <v>0.159854</v>
      </c>
      <c r="CR88" s="83">
        <v>1.27756E-2</v>
      </c>
      <c r="CS88" s="83">
        <v>7.8498999999999999E-3</v>
      </c>
      <c r="CT88" s="83">
        <v>0.150667</v>
      </c>
      <c r="CU88" s="83">
        <v>1.27934E-2</v>
      </c>
      <c r="CV88" s="83">
        <v>7.8498999999999999E-3</v>
      </c>
      <c r="CW88" s="83">
        <v>0.13508300000000001</v>
      </c>
      <c r="CX88" s="83">
        <v>1.25372E-2</v>
      </c>
    </row>
    <row r="89" spans="1:102" x14ac:dyDescent="0.2">
      <c r="A89" s="83">
        <v>7.9498999999999993E-3</v>
      </c>
      <c r="B89" s="83">
        <v>0.231686</v>
      </c>
      <c r="C89" s="83">
        <v>1.18566E-2</v>
      </c>
      <c r="D89" s="83">
        <v>7.9498999999999993E-3</v>
      </c>
      <c r="E89" s="83">
        <v>0.24165300000000001</v>
      </c>
      <c r="F89" s="83">
        <v>1.2071200000000001E-2</v>
      </c>
      <c r="G89" s="83">
        <v>7.9498999999999993E-3</v>
      </c>
      <c r="H89" s="83">
        <v>0.24896299999999999</v>
      </c>
      <c r="I89" s="83">
        <v>1.2193900000000001E-2</v>
      </c>
      <c r="J89" s="83">
        <v>7.9498999999999993E-3</v>
      </c>
      <c r="K89" s="83">
        <v>0.252469</v>
      </c>
      <c r="L89" s="83">
        <v>1.2127300000000001E-2</v>
      </c>
      <c r="M89" s="83">
        <v>7.9498999999999993E-3</v>
      </c>
      <c r="N89" s="83">
        <v>0.25201499999999999</v>
      </c>
      <c r="O89" s="83">
        <v>1.1994700000000001E-2</v>
      </c>
      <c r="P89" s="83">
        <v>7.9498999999999993E-3</v>
      </c>
      <c r="Q89" s="83">
        <v>0.25611099999999998</v>
      </c>
      <c r="R89" s="83">
        <v>1.21528E-2</v>
      </c>
      <c r="S89" s="83">
        <v>7.9498999999999993E-3</v>
      </c>
      <c r="T89" s="83">
        <v>0.25921699999999998</v>
      </c>
      <c r="U89" s="83">
        <v>1.22693E-2</v>
      </c>
      <c r="V89" s="83">
        <v>7.9498999999999993E-3</v>
      </c>
      <c r="W89" s="83">
        <v>0.253494</v>
      </c>
      <c r="X89" s="83">
        <v>1.21228E-2</v>
      </c>
      <c r="Y89" s="83">
        <v>7.9498999999999993E-3</v>
      </c>
      <c r="Z89" s="83">
        <v>0.251944</v>
      </c>
      <c r="AA89" s="83">
        <v>1.2112599999999999E-2</v>
      </c>
      <c r="AB89" s="83">
        <v>7.9498999999999993E-3</v>
      </c>
      <c r="AC89" s="83">
        <v>0.25144899999999998</v>
      </c>
      <c r="AD89" s="83">
        <v>1.2132E-2</v>
      </c>
      <c r="AE89" s="83">
        <v>7.9498999999999993E-3</v>
      </c>
      <c r="AF89" s="83">
        <v>0.25033499999999997</v>
      </c>
      <c r="AG89" s="83">
        <v>1.2160199999999999E-2</v>
      </c>
      <c r="AH89" s="83">
        <v>7.9498999999999993E-3</v>
      </c>
      <c r="AI89" s="83">
        <v>0.24832599999999999</v>
      </c>
      <c r="AJ89" s="83">
        <v>1.2165499999999999E-2</v>
      </c>
      <c r="AK89" s="83">
        <v>7.9498999999999993E-3</v>
      </c>
      <c r="AL89" s="83">
        <v>0.24609200000000001</v>
      </c>
      <c r="AM89" s="83">
        <v>1.2150899999999999E-2</v>
      </c>
      <c r="AN89" s="83">
        <v>7.9498999999999993E-3</v>
      </c>
      <c r="AO89" s="83">
        <v>0.24331900000000001</v>
      </c>
      <c r="AP89" s="83">
        <v>1.2211E-2</v>
      </c>
      <c r="AQ89" s="83">
        <v>7.9498999999999993E-3</v>
      </c>
      <c r="AR89" s="83">
        <v>0.23724300000000001</v>
      </c>
      <c r="AS89" s="83">
        <v>1.2078200000000001E-2</v>
      </c>
      <c r="AT89" s="83">
        <v>7.9498999999999993E-3</v>
      </c>
      <c r="AU89" s="83">
        <v>0.233874</v>
      </c>
      <c r="AV89" s="83">
        <v>1.20949E-2</v>
      </c>
      <c r="AW89" s="83">
        <v>7.9498999999999993E-3</v>
      </c>
      <c r="AX89" s="83">
        <v>0.23092299999999999</v>
      </c>
      <c r="AY89" s="83">
        <v>1.21104E-2</v>
      </c>
      <c r="AZ89" s="83">
        <v>7.9498999999999993E-3</v>
      </c>
      <c r="BA89" s="83">
        <v>0.22531799999999999</v>
      </c>
      <c r="BB89" s="83">
        <v>1.2056900000000001E-2</v>
      </c>
      <c r="BC89" s="83">
        <v>7.9498999999999993E-3</v>
      </c>
      <c r="BD89" s="83">
        <v>0.22728100000000001</v>
      </c>
      <c r="BE89" s="83">
        <v>1.2337000000000001E-2</v>
      </c>
      <c r="BF89" s="83">
        <v>7.9498999999999993E-3</v>
      </c>
      <c r="BG89" s="83">
        <v>0.223109</v>
      </c>
      <c r="BH89" s="83">
        <v>1.2299900000000001E-2</v>
      </c>
      <c r="BI89" s="83">
        <v>7.9498999999999993E-3</v>
      </c>
      <c r="BJ89" s="83">
        <v>0.21534700000000001</v>
      </c>
      <c r="BK89" s="83">
        <v>1.21799E-2</v>
      </c>
      <c r="BL89" s="83">
        <v>7.9498999999999993E-3</v>
      </c>
      <c r="BM89" s="83">
        <v>0.20754500000000001</v>
      </c>
      <c r="BN89" s="83">
        <v>1.20649E-2</v>
      </c>
      <c r="BO89" s="83">
        <v>7.9498999999999993E-3</v>
      </c>
      <c r="BP89" s="83">
        <v>0.204295</v>
      </c>
      <c r="BQ89" s="83">
        <v>1.2090200000000001E-2</v>
      </c>
      <c r="BR89" s="83">
        <v>7.9498999999999993E-3</v>
      </c>
      <c r="BS89" s="83">
        <v>0.20130700000000001</v>
      </c>
      <c r="BT89" s="83">
        <v>1.21542E-2</v>
      </c>
      <c r="BU89" s="83">
        <v>7.9498999999999993E-3</v>
      </c>
      <c r="BV89" s="83">
        <v>0.19863800000000001</v>
      </c>
      <c r="BW89" s="83">
        <v>1.23123E-2</v>
      </c>
      <c r="BX89" s="83">
        <v>7.9498999999999993E-3</v>
      </c>
      <c r="BY89" s="83">
        <v>0.18634200000000001</v>
      </c>
      <c r="BZ89" s="83">
        <v>1.20132E-2</v>
      </c>
      <c r="CA89" s="83">
        <v>7.9498999999999993E-3</v>
      </c>
      <c r="CB89" s="83">
        <v>0.18958900000000001</v>
      </c>
      <c r="CC89" s="83">
        <v>1.2415799999999999E-2</v>
      </c>
      <c r="CD89" s="83">
        <v>7.9498999999999993E-3</v>
      </c>
      <c r="CE89" s="83">
        <v>0.174175</v>
      </c>
      <c r="CF89" s="83">
        <v>1.1978600000000001E-2</v>
      </c>
      <c r="CG89" s="83">
        <v>7.9498999999999993E-3</v>
      </c>
      <c r="CH89" s="83">
        <v>0.16763700000000001</v>
      </c>
      <c r="CI89" s="83">
        <v>1.20185E-2</v>
      </c>
      <c r="CJ89" s="83">
        <v>7.9498999999999993E-3</v>
      </c>
      <c r="CK89" s="83">
        <v>0.15920500000000001</v>
      </c>
      <c r="CL89" s="83">
        <v>1.1938900000000001E-2</v>
      </c>
      <c r="CM89" s="83">
        <v>7.9498999999999993E-3</v>
      </c>
      <c r="CN89" s="83">
        <v>0.15438399999999999</v>
      </c>
      <c r="CO89" s="83">
        <v>1.20812E-2</v>
      </c>
      <c r="CP89" s="83">
        <v>7.9498999999999993E-3</v>
      </c>
      <c r="CQ89" s="83">
        <v>0.14754999999999999</v>
      </c>
      <c r="CR89" s="83">
        <v>1.2173099999999999E-2</v>
      </c>
      <c r="CS89" s="83">
        <v>7.9498999999999993E-3</v>
      </c>
      <c r="CT89" s="83">
        <v>0.138436</v>
      </c>
      <c r="CU89" s="83">
        <v>1.2180099999999999E-2</v>
      </c>
      <c r="CV89" s="83">
        <v>7.9498999999999993E-3</v>
      </c>
      <c r="CW89" s="83">
        <v>0.12406300000000001</v>
      </c>
      <c r="CX89" s="83">
        <v>1.19376E-2</v>
      </c>
    </row>
    <row r="90" spans="1:102" x14ac:dyDescent="0.2">
      <c r="A90" s="83">
        <v>8.0499000000000005E-3</v>
      </c>
      <c r="B90" s="83">
        <v>0.22014800000000001</v>
      </c>
      <c r="C90" s="83">
        <v>1.12745E-2</v>
      </c>
      <c r="D90" s="83">
        <v>8.0499000000000005E-3</v>
      </c>
      <c r="E90" s="83">
        <v>0.22969500000000001</v>
      </c>
      <c r="F90" s="83">
        <v>1.1468600000000001E-2</v>
      </c>
      <c r="G90" s="83">
        <v>8.0499000000000005E-3</v>
      </c>
      <c r="H90" s="83">
        <v>0.23599400000000001</v>
      </c>
      <c r="I90" s="83">
        <v>1.1590400000000001E-2</v>
      </c>
      <c r="J90" s="83">
        <v>8.0499000000000005E-3</v>
      </c>
      <c r="K90" s="83">
        <v>0.239339</v>
      </c>
      <c r="L90" s="83">
        <v>1.1554999999999999E-2</v>
      </c>
      <c r="M90" s="83">
        <v>8.0499000000000005E-3</v>
      </c>
      <c r="N90" s="83">
        <v>0.238592</v>
      </c>
      <c r="O90" s="83">
        <v>1.14205E-2</v>
      </c>
      <c r="P90" s="83">
        <v>8.0499000000000005E-3</v>
      </c>
      <c r="Q90" s="83">
        <v>0.242366</v>
      </c>
      <c r="R90" s="83">
        <v>1.1583400000000001E-2</v>
      </c>
      <c r="S90" s="83">
        <v>8.0499000000000005E-3</v>
      </c>
      <c r="T90" s="83">
        <v>0.245174</v>
      </c>
      <c r="U90" s="83">
        <v>1.1701899999999999E-2</v>
      </c>
      <c r="V90" s="83">
        <v>8.0499000000000005E-3</v>
      </c>
      <c r="W90" s="83">
        <v>0.239818</v>
      </c>
      <c r="X90" s="83">
        <v>1.1533E-2</v>
      </c>
      <c r="Y90" s="83">
        <v>8.0499000000000005E-3</v>
      </c>
      <c r="Z90" s="83">
        <v>0.23877000000000001</v>
      </c>
      <c r="AA90" s="83">
        <v>1.15599E-2</v>
      </c>
      <c r="AB90" s="83">
        <v>8.0499000000000005E-3</v>
      </c>
      <c r="AC90" s="83">
        <v>0.23766000000000001</v>
      </c>
      <c r="AD90" s="83">
        <v>1.1582200000000001E-2</v>
      </c>
      <c r="AE90" s="83">
        <v>8.0499000000000005E-3</v>
      </c>
      <c r="AF90" s="83">
        <v>0.235848</v>
      </c>
      <c r="AG90" s="83">
        <v>1.16074E-2</v>
      </c>
      <c r="AH90" s="83">
        <v>8.0499000000000005E-3</v>
      </c>
      <c r="AI90" s="83">
        <v>0.234068</v>
      </c>
      <c r="AJ90" s="83">
        <v>1.1603E-2</v>
      </c>
      <c r="AK90" s="83">
        <v>8.0499000000000005E-3</v>
      </c>
      <c r="AL90" s="83">
        <v>0.23207800000000001</v>
      </c>
      <c r="AM90" s="83">
        <v>1.15689E-2</v>
      </c>
      <c r="AN90" s="83">
        <v>8.0499000000000005E-3</v>
      </c>
      <c r="AO90" s="83">
        <v>0.229412</v>
      </c>
      <c r="AP90" s="83">
        <v>1.16358E-2</v>
      </c>
      <c r="AQ90" s="83">
        <v>8.0499000000000005E-3</v>
      </c>
      <c r="AR90" s="83">
        <v>0.22364899999999999</v>
      </c>
      <c r="AS90" s="83">
        <v>1.15225E-2</v>
      </c>
      <c r="AT90" s="83">
        <v>8.0499000000000005E-3</v>
      </c>
      <c r="AU90" s="83">
        <v>0.219719</v>
      </c>
      <c r="AV90" s="83">
        <v>1.15207E-2</v>
      </c>
      <c r="AW90" s="83">
        <v>8.0499000000000005E-3</v>
      </c>
      <c r="AX90" s="83">
        <v>0.21666099999999999</v>
      </c>
      <c r="AY90" s="83">
        <v>1.15382E-2</v>
      </c>
      <c r="AZ90" s="83">
        <v>8.0499000000000005E-3</v>
      </c>
      <c r="BA90" s="83">
        <v>0.211446</v>
      </c>
      <c r="BB90" s="83">
        <v>1.15003E-2</v>
      </c>
      <c r="BC90" s="83">
        <v>8.0499000000000005E-3</v>
      </c>
      <c r="BD90" s="83">
        <v>0.21296499999999999</v>
      </c>
      <c r="BE90" s="83">
        <v>1.17296E-2</v>
      </c>
      <c r="BF90" s="83">
        <v>8.0499000000000005E-3</v>
      </c>
      <c r="BG90" s="83">
        <v>0.20927599999999999</v>
      </c>
      <c r="BH90" s="83">
        <v>1.17462E-2</v>
      </c>
      <c r="BI90" s="83">
        <v>8.0499000000000005E-3</v>
      </c>
      <c r="BJ90" s="83">
        <v>0.20100599999999999</v>
      </c>
      <c r="BK90" s="83">
        <v>1.1606699999999999E-2</v>
      </c>
      <c r="BL90" s="83">
        <v>8.0499000000000005E-3</v>
      </c>
      <c r="BM90" s="83">
        <v>0.19406300000000001</v>
      </c>
      <c r="BN90" s="83">
        <v>1.1494600000000001E-2</v>
      </c>
      <c r="BO90" s="83">
        <v>8.0499000000000005E-3</v>
      </c>
      <c r="BP90" s="83">
        <v>0.190662</v>
      </c>
      <c r="BQ90" s="83">
        <v>1.1519E-2</v>
      </c>
      <c r="BR90" s="83">
        <v>8.0499000000000005E-3</v>
      </c>
      <c r="BS90" s="83">
        <v>0.18784500000000001</v>
      </c>
      <c r="BT90" s="83">
        <v>1.15976E-2</v>
      </c>
      <c r="BU90" s="83">
        <v>8.0499000000000005E-3</v>
      </c>
      <c r="BV90" s="83">
        <v>0.18521499999999999</v>
      </c>
      <c r="BW90" s="83">
        <v>1.16991E-2</v>
      </c>
      <c r="BX90" s="83">
        <v>8.0499000000000005E-3</v>
      </c>
      <c r="BY90" s="83">
        <v>0.17316300000000001</v>
      </c>
      <c r="BZ90" s="83">
        <v>1.1434100000000001E-2</v>
      </c>
      <c r="CA90" s="83">
        <v>8.0499000000000005E-3</v>
      </c>
      <c r="CB90" s="83">
        <v>0.17654700000000001</v>
      </c>
      <c r="CC90" s="83">
        <v>1.18113E-2</v>
      </c>
      <c r="CD90" s="83">
        <v>8.0499000000000005E-3</v>
      </c>
      <c r="CE90" s="83">
        <v>0.161494</v>
      </c>
      <c r="CF90" s="83">
        <v>1.14053E-2</v>
      </c>
      <c r="CG90" s="83">
        <v>8.0499000000000005E-3</v>
      </c>
      <c r="CH90" s="83">
        <v>0.15535199999999999</v>
      </c>
      <c r="CI90" s="83">
        <v>1.1457E-2</v>
      </c>
      <c r="CJ90" s="83">
        <v>8.0499000000000005E-3</v>
      </c>
      <c r="CK90" s="83">
        <v>0.14693999999999999</v>
      </c>
      <c r="CL90" s="83">
        <v>1.13822E-2</v>
      </c>
      <c r="CM90" s="83">
        <v>8.0499000000000005E-3</v>
      </c>
      <c r="CN90" s="83">
        <v>0.141987</v>
      </c>
      <c r="CO90" s="83">
        <v>1.14982E-2</v>
      </c>
      <c r="CP90" s="83">
        <v>8.0499000000000005E-3</v>
      </c>
      <c r="CQ90" s="83">
        <v>0.13530300000000001</v>
      </c>
      <c r="CR90" s="83">
        <v>1.15823E-2</v>
      </c>
      <c r="CS90" s="83">
        <v>8.0499000000000005E-3</v>
      </c>
      <c r="CT90" s="83">
        <v>0.12711800000000001</v>
      </c>
      <c r="CU90" s="83">
        <v>1.1595100000000001E-2</v>
      </c>
      <c r="CV90" s="83">
        <v>8.0499000000000005E-3</v>
      </c>
      <c r="CW90" s="83">
        <v>0.11333</v>
      </c>
      <c r="CX90" s="83">
        <v>1.1379E-2</v>
      </c>
    </row>
    <row r="91" spans="1:102" x14ac:dyDescent="0.2">
      <c r="A91" s="83">
        <v>8.1498999999999999E-3</v>
      </c>
      <c r="B91" s="83">
        <v>0.208371</v>
      </c>
      <c r="C91" s="83">
        <v>1.0743300000000001E-2</v>
      </c>
      <c r="D91" s="83">
        <v>8.1498999999999999E-3</v>
      </c>
      <c r="E91" s="83">
        <v>0.217552</v>
      </c>
      <c r="F91" s="83">
        <v>1.0914E-2</v>
      </c>
      <c r="G91" s="83">
        <v>8.1498999999999999E-3</v>
      </c>
      <c r="H91" s="83">
        <v>0.22411900000000001</v>
      </c>
      <c r="I91" s="83">
        <v>1.10543E-2</v>
      </c>
      <c r="J91" s="83">
        <v>8.1498999999999999E-3</v>
      </c>
      <c r="K91" s="83">
        <v>0.22693199999999999</v>
      </c>
      <c r="L91" s="83">
        <v>1.0997399999999999E-2</v>
      </c>
      <c r="M91" s="83">
        <v>8.1498999999999999E-3</v>
      </c>
      <c r="N91" s="83">
        <v>0.22586800000000001</v>
      </c>
      <c r="O91" s="83">
        <v>1.08658E-2</v>
      </c>
      <c r="P91" s="83">
        <v>8.1498999999999999E-3</v>
      </c>
      <c r="Q91" s="83">
        <v>0.22944600000000001</v>
      </c>
      <c r="R91" s="83">
        <v>1.1033599999999999E-2</v>
      </c>
      <c r="S91" s="83">
        <v>8.1498999999999999E-3</v>
      </c>
      <c r="T91" s="83">
        <v>0.23168800000000001</v>
      </c>
      <c r="U91" s="83">
        <v>1.11238E-2</v>
      </c>
      <c r="V91" s="83">
        <v>8.1498999999999999E-3</v>
      </c>
      <c r="W91" s="83">
        <v>0.226297</v>
      </c>
      <c r="X91" s="83">
        <v>1.09949E-2</v>
      </c>
      <c r="Y91" s="83">
        <v>8.1498999999999999E-3</v>
      </c>
      <c r="Z91" s="83">
        <v>0.22520499999999999</v>
      </c>
      <c r="AA91" s="83">
        <v>1.09984E-2</v>
      </c>
      <c r="AB91" s="83">
        <v>8.1498999999999999E-3</v>
      </c>
      <c r="AC91" s="83">
        <v>0.22448199999999999</v>
      </c>
      <c r="AD91" s="83">
        <v>1.1028400000000001E-2</v>
      </c>
      <c r="AE91" s="83">
        <v>8.1498999999999999E-3</v>
      </c>
      <c r="AF91" s="83">
        <v>0.22215599999999999</v>
      </c>
      <c r="AG91" s="83">
        <v>1.1025399999999999E-2</v>
      </c>
      <c r="AH91" s="83">
        <v>8.1498999999999999E-3</v>
      </c>
      <c r="AI91" s="83">
        <v>0.220494</v>
      </c>
      <c r="AJ91" s="83">
        <v>1.1024900000000001E-2</v>
      </c>
      <c r="AK91" s="83">
        <v>8.1498999999999999E-3</v>
      </c>
      <c r="AL91" s="83">
        <v>0.21851899999999999</v>
      </c>
      <c r="AM91" s="83">
        <v>1.1016099999999999E-2</v>
      </c>
      <c r="AN91" s="83">
        <v>8.1498999999999999E-3</v>
      </c>
      <c r="AO91" s="83">
        <v>0.21606300000000001</v>
      </c>
      <c r="AP91" s="83">
        <v>1.11045E-2</v>
      </c>
      <c r="AQ91" s="83">
        <v>8.1498999999999999E-3</v>
      </c>
      <c r="AR91" s="83">
        <v>0.209313</v>
      </c>
      <c r="AS91" s="83">
        <v>1.0943400000000001E-2</v>
      </c>
      <c r="AT91" s="83">
        <v>8.1498999999999999E-3</v>
      </c>
      <c r="AU91" s="83">
        <v>0.20610600000000001</v>
      </c>
      <c r="AV91" s="83">
        <v>1.09973E-2</v>
      </c>
      <c r="AW91" s="83">
        <v>8.1498999999999999E-3</v>
      </c>
      <c r="AX91" s="83">
        <v>0.20340900000000001</v>
      </c>
      <c r="AY91" s="83">
        <v>1.0963000000000001E-2</v>
      </c>
      <c r="AZ91" s="83">
        <v>8.1498999999999999E-3</v>
      </c>
      <c r="BA91" s="83">
        <v>0.197994</v>
      </c>
      <c r="BB91" s="83">
        <v>1.09544E-2</v>
      </c>
      <c r="BC91" s="83">
        <v>8.1498999999999999E-3</v>
      </c>
      <c r="BD91" s="83">
        <v>0.19968900000000001</v>
      </c>
      <c r="BE91" s="83">
        <v>1.11856E-2</v>
      </c>
      <c r="BF91" s="83">
        <v>8.1498999999999999E-3</v>
      </c>
      <c r="BG91" s="83">
        <v>0.19606799999999999</v>
      </c>
      <c r="BH91" s="83">
        <v>1.11866E-2</v>
      </c>
      <c r="BI91" s="83">
        <v>8.1498999999999999E-3</v>
      </c>
      <c r="BJ91" s="83">
        <v>0.18788099999999999</v>
      </c>
      <c r="BK91" s="83">
        <v>1.10344E-2</v>
      </c>
      <c r="BL91" s="83">
        <v>8.1498999999999999E-3</v>
      </c>
      <c r="BM91" s="83">
        <v>0.181197</v>
      </c>
      <c r="BN91" s="83">
        <v>1.0937000000000001E-2</v>
      </c>
      <c r="BO91" s="83">
        <v>8.1498999999999999E-3</v>
      </c>
      <c r="BP91" s="83">
        <v>0.17805499999999999</v>
      </c>
      <c r="BQ91" s="83">
        <v>1.0968200000000001E-2</v>
      </c>
      <c r="BR91" s="83">
        <v>8.1498999999999999E-3</v>
      </c>
      <c r="BS91" s="83">
        <v>0.175067</v>
      </c>
      <c r="BT91" s="83">
        <v>1.1069300000000001E-2</v>
      </c>
      <c r="BU91" s="83">
        <v>8.1498999999999999E-3</v>
      </c>
      <c r="BV91" s="83">
        <v>0.172427</v>
      </c>
      <c r="BW91" s="83">
        <v>1.11707E-2</v>
      </c>
      <c r="BX91" s="83">
        <v>8.1498999999999999E-3</v>
      </c>
      <c r="BY91" s="83">
        <v>0.16114200000000001</v>
      </c>
      <c r="BZ91" s="83">
        <v>1.08951E-2</v>
      </c>
      <c r="CA91" s="83">
        <v>8.1498999999999999E-3</v>
      </c>
      <c r="CB91" s="83">
        <v>0.16427600000000001</v>
      </c>
      <c r="CC91" s="83">
        <v>1.1273200000000001E-2</v>
      </c>
      <c r="CD91" s="83">
        <v>8.1498999999999999E-3</v>
      </c>
      <c r="CE91" s="83">
        <v>0.15</v>
      </c>
      <c r="CF91" s="83">
        <v>1.08565E-2</v>
      </c>
      <c r="CG91" s="83">
        <v>8.1498999999999999E-3</v>
      </c>
      <c r="CH91" s="83">
        <v>0.14438000000000001</v>
      </c>
      <c r="CI91" s="83">
        <v>1.09014E-2</v>
      </c>
      <c r="CJ91" s="83">
        <v>8.1498999999999999E-3</v>
      </c>
      <c r="CK91" s="83">
        <v>0.13566500000000001</v>
      </c>
      <c r="CL91" s="83">
        <v>1.0832400000000001E-2</v>
      </c>
      <c r="CM91" s="83">
        <v>8.1498999999999999E-3</v>
      </c>
      <c r="CN91" s="83">
        <v>0.130385</v>
      </c>
      <c r="CO91" s="83">
        <v>1.0923E-2</v>
      </c>
      <c r="CP91" s="83">
        <v>8.1498999999999999E-3</v>
      </c>
      <c r="CQ91" s="83">
        <v>0.124727</v>
      </c>
      <c r="CR91" s="83">
        <v>1.10647E-2</v>
      </c>
      <c r="CS91" s="83">
        <v>8.1498999999999999E-3</v>
      </c>
      <c r="CT91" s="83">
        <v>0.116873</v>
      </c>
      <c r="CU91" s="83">
        <v>1.1051200000000001E-2</v>
      </c>
      <c r="CV91" s="83">
        <v>8.1498999999999999E-3</v>
      </c>
      <c r="CW91" s="83">
        <v>0.103477</v>
      </c>
      <c r="CX91" s="83">
        <v>1.08331E-2</v>
      </c>
    </row>
    <row r="92" spans="1:102" x14ac:dyDescent="0.2">
      <c r="A92" s="83">
        <v>8.2498999999999992E-3</v>
      </c>
      <c r="B92" s="83">
        <v>0.19714000000000001</v>
      </c>
      <c r="C92" s="83">
        <v>1.02238E-2</v>
      </c>
      <c r="D92" s="83">
        <v>8.2498999999999992E-3</v>
      </c>
      <c r="E92" s="83">
        <v>0.20532</v>
      </c>
      <c r="F92" s="83">
        <v>1.03944E-2</v>
      </c>
      <c r="G92" s="83">
        <v>8.2498999999999992E-3</v>
      </c>
      <c r="H92" s="83">
        <v>0.211614</v>
      </c>
      <c r="I92" s="83">
        <v>1.0522E-2</v>
      </c>
      <c r="J92" s="83">
        <v>8.2498999999999992E-3</v>
      </c>
      <c r="K92" s="83">
        <v>0.214505</v>
      </c>
      <c r="L92" s="83">
        <v>1.0470999999999999E-2</v>
      </c>
      <c r="M92" s="83">
        <v>8.2498999999999992E-3</v>
      </c>
      <c r="N92" s="83">
        <v>0.21332400000000001</v>
      </c>
      <c r="O92" s="83">
        <v>1.03433E-2</v>
      </c>
      <c r="P92" s="83">
        <v>8.2498999999999992E-3</v>
      </c>
      <c r="Q92" s="83">
        <v>0.21694099999999999</v>
      </c>
      <c r="R92" s="83">
        <v>1.04955E-2</v>
      </c>
      <c r="S92" s="83">
        <v>8.2498999999999992E-3</v>
      </c>
      <c r="T92" s="83">
        <v>0.21929999999999999</v>
      </c>
      <c r="U92" s="83">
        <v>1.0618900000000001E-2</v>
      </c>
      <c r="V92" s="83">
        <v>8.2498999999999992E-3</v>
      </c>
      <c r="W92" s="83">
        <v>0.21393400000000001</v>
      </c>
      <c r="X92" s="83">
        <v>1.04587E-2</v>
      </c>
      <c r="Y92" s="83">
        <v>8.2498999999999992E-3</v>
      </c>
      <c r="Z92" s="83">
        <v>0.212427</v>
      </c>
      <c r="AA92" s="83">
        <v>1.0482699999999999E-2</v>
      </c>
      <c r="AB92" s="83">
        <v>8.2498999999999992E-3</v>
      </c>
      <c r="AC92" s="83">
        <v>0.21204000000000001</v>
      </c>
      <c r="AD92" s="83">
        <v>1.0507900000000001E-2</v>
      </c>
      <c r="AE92" s="83">
        <v>8.2498999999999992E-3</v>
      </c>
      <c r="AF92" s="83">
        <v>0.20918800000000001</v>
      </c>
      <c r="AG92" s="83">
        <v>1.04922E-2</v>
      </c>
      <c r="AH92" s="83">
        <v>8.2498999999999992E-3</v>
      </c>
      <c r="AI92" s="83">
        <v>0.20740800000000001</v>
      </c>
      <c r="AJ92" s="83">
        <v>1.05249E-2</v>
      </c>
      <c r="AK92" s="83">
        <v>8.2498999999999992E-3</v>
      </c>
      <c r="AL92" s="83">
        <v>0.20576</v>
      </c>
      <c r="AM92" s="83">
        <v>1.04937E-2</v>
      </c>
      <c r="AN92" s="83">
        <v>8.2498999999999992E-3</v>
      </c>
      <c r="AO92" s="83">
        <v>0.20333300000000001</v>
      </c>
      <c r="AP92" s="83">
        <v>1.05518E-2</v>
      </c>
      <c r="AQ92" s="83">
        <v>8.2498999999999992E-3</v>
      </c>
      <c r="AR92" s="83">
        <v>0.196852</v>
      </c>
      <c r="AS92" s="83">
        <v>1.04327E-2</v>
      </c>
      <c r="AT92" s="83">
        <v>8.2498999999999992E-3</v>
      </c>
      <c r="AU92" s="83">
        <v>0.19372800000000001</v>
      </c>
      <c r="AV92" s="83">
        <v>1.0460199999999999E-2</v>
      </c>
      <c r="AW92" s="83">
        <v>8.2498999999999992E-3</v>
      </c>
      <c r="AX92" s="83">
        <v>0.190723</v>
      </c>
      <c r="AY92" s="83">
        <v>1.0470800000000001E-2</v>
      </c>
      <c r="AZ92" s="83">
        <v>8.2498999999999992E-3</v>
      </c>
      <c r="BA92" s="83">
        <v>0.18554300000000001</v>
      </c>
      <c r="BB92" s="83">
        <v>1.0437800000000001E-2</v>
      </c>
      <c r="BC92" s="83">
        <v>8.2498999999999992E-3</v>
      </c>
      <c r="BD92" s="83">
        <v>0.186866</v>
      </c>
      <c r="BE92" s="83">
        <v>1.06593E-2</v>
      </c>
      <c r="BF92" s="83">
        <v>8.2498999999999992E-3</v>
      </c>
      <c r="BG92" s="83">
        <v>0.182865</v>
      </c>
      <c r="BH92" s="83">
        <v>1.06563E-2</v>
      </c>
      <c r="BI92" s="83">
        <v>8.2498999999999992E-3</v>
      </c>
      <c r="BJ92" s="83">
        <v>0.17562</v>
      </c>
      <c r="BK92" s="83">
        <v>1.05042E-2</v>
      </c>
      <c r="BL92" s="83">
        <v>8.2498999999999992E-3</v>
      </c>
      <c r="BM92" s="83">
        <v>0.16897000000000001</v>
      </c>
      <c r="BN92" s="83">
        <v>1.04341E-2</v>
      </c>
      <c r="BO92" s="83">
        <v>8.2498999999999992E-3</v>
      </c>
      <c r="BP92" s="83">
        <v>0.165989</v>
      </c>
      <c r="BQ92" s="83">
        <v>1.0432E-2</v>
      </c>
      <c r="BR92" s="83">
        <v>8.2498999999999992E-3</v>
      </c>
      <c r="BS92" s="83">
        <v>0.162997</v>
      </c>
      <c r="BT92" s="83">
        <v>1.05361E-2</v>
      </c>
      <c r="BU92" s="83">
        <v>8.2498999999999992E-3</v>
      </c>
      <c r="BV92" s="83">
        <v>0.160743</v>
      </c>
      <c r="BW92" s="83">
        <v>1.0641400000000001E-2</v>
      </c>
      <c r="BX92" s="83">
        <v>8.2498999999999992E-3</v>
      </c>
      <c r="BY92" s="83">
        <v>0.14996000000000001</v>
      </c>
      <c r="BZ92" s="83">
        <v>1.0384300000000001E-2</v>
      </c>
      <c r="CA92" s="83">
        <v>8.2498999999999992E-3</v>
      </c>
      <c r="CB92" s="83">
        <v>0.15248400000000001</v>
      </c>
      <c r="CC92" s="83">
        <v>1.07215E-2</v>
      </c>
      <c r="CD92" s="83">
        <v>8.2498999999999992E-3</v>
      </c>
      <c r="CE92" s="83">
        <v>0.138877</v>
      </c>
      <c r="CF92" s="83">
        <v>1.03477E-2</v>
      </c>
      <c r="CG92" s="83">
        <v>8.2498999999999992E-3</v>
      </c>
      <c r="CH92" s="83">
        <v>0.132466</v>
      </c>
      <c r="CI92" s="83">
        <v>1.0375000000000001E-2</v>
      </c>
      <c r="CJ92" s="83">
        <v>8.2498999999999992E-3</v>
      </c>
      <c r="CK92" s="83">
        <v>0.124679</v>
      </c>
      <c r="CL92" s="83">
        <v>1.03041E-2</v>
      </c>
      <c r="CM92" s="83">
        <v>8.2498999999999992E-3</v>
      </c>
      <c r="CN92" s="83">
        <v>0.11998</v>
      </c>
      <c r="CO92" s="83">
        <v>1.03908E-2</v>
      </c>
      <c r="CP92" s="83">
        <v>8.2498999999999992E-3</v>
      </c>
      <c r="CQ92" s="83">
        <v>0.114439</v>
      </c>
      <c r="CR92" s="83">
        <v>1.04963E-2</v>
      </c>
      <c r="CS92" s="83">
        <v>8.2498999999999992E-3</v>
      </c>
      <c r="CT92" s="83">
        <v>0.107074</v>
      </c>
      <c r="CU92" s="83">
        <v>1.0501399999999999E-2</v>
      </c>
      <c r="CV92" s="83">
        <v>8.2498999999999992E-3</v>
      </c>
      <c r="CW92" s="83">
        <v>9.4741599999999995E-2</v>
      </c>
      <c r="CX92" s="83">
        <v>1.0295E-2</v>
      </c>
    </row>
    <row r="93" spans="1:102" x14ac:dyDescent="0.2">
      <c r="A93" s="83">
        <v>8.3499000000000004E-3</v>
      </c>
      <c r="B93" s="83">
        <v>0.186584</v>
      </c>
      <c r="C93" s="83">
        <v>9.7139900000000005E-3</v>
      </c>
      <c r="D93" s="83">
        <v>8.3499000000000004E-3</v>
      </c>
      <c r="E93" s="83">
        <v>0.19405600000000001</v>
      </c>
      <c r="F93" s="83">
        <v>9.8895400000000005E-3</v>
      </c>
      <c r="G93" s="83">
        <v>8.3499000000000004E-3</v>
      </c>
      <c r="H93" s="83">
        <v>0.200433</v>
      </c>
      <c r="I93" s="83">
        <v>1.00357E-2</v>
      </c>
      <c r="J93" s="83">
        <v>8.3499000000000004E-3</v>
      </c>
      <c r="K93" s="83">
        <v>0.20288400000000001</v>
      </c>
      <c r="L93" s="83">
        <v>9.9651400000000008E-3</v>
      </c>
      <c r="M93" s="83">
        <v>8.3499000000000004E-3</v>
      </c>
      <c r="N93" s="83">
        <v>0.201678</v>
      </c>
      <c r="O93" s="83">
        <v>9.8511499999999995E-3</v>
      </c>
      <c r="P93" s="83">
        <v>8.3499000000000004E-3</v>
      </c>
      <c r="Q93" s="83">
        <v>0.20494399999999999</v>
      </c>
      <c r="R93" s="83">
        <v>9.9916299999999996E-3</v>
      </c>
      <c r="S93" s="83">
        <v>8.3499000000000004E-3</v>
      </c>
      <c r="T93" s="83">
        <v>0.206815</v>
      </c>
      <c r="U93" s="83">
        <v>1.00818E-2</v>
      </c>
      <c r="V93" s="83">
        <v>8.3499000000000004E-3</v>
      </c>
      <c r="W93" s="83">
        <v>0.20147300000000001</v>
      </c>
      <c r="X93" s="83">
        <v>9.9606899999999995E-3</v>
      </c>
      <c r="Y93" s="83">
        <v>8.3499000000000004E-3</v>
      </c>
      <c r="Z93" s="83">
        <v>0.20064000000000001</v>
      </c>
      <c r="AA93" s="83">
        <v>9.9788299999999993E-3</v>
      </c>
      <c r="AB93" s="83">
        <v>8.3499000000000004E-3</v>
      </c>
      <c r="AC93" s="83">
        <v>0.19953499999999999</v>
      </c>
      <c r="AD93" s="83">
        <v>1.00255E-2</v>
      </c>
      <c r="AE93" s="83">
        <v>8.3499000000000004E-3</v>
      </c>
      <c r="AF93" s="83">
        <v>0.197298</v>
      </c>
      <c r="AG93" s="83">
        <v>9.9843699999999994E-3</v>
      </c>
      <c r="AH93" s="83">
        <v>8.3499000000000004E-3</v>
      </c>
      <c r="AI93" s="83">
        <v>0.194962</v>
      </c>
      <c r="AJ93" s="83">
        <v>9.9916999999999992E-3</v>
      </c>
      <c r="AK93" s="83">
        <v>8.3499000000000004E-3</v>
      </c>
      <c r="AL93" s="83">
        <v>0.193241</v>
      </c>
      <c r="AM93" s="83">
        <v>1.00161E-2</v>
      </c>
      <c r="AN93" s="83">
        <v>8.3499000000000004E-3</v>
      </c>
      <c r="AO93" s="83">
        <v>0.191214</v>
      </c>
      <c r="AP93" s="83">
        <v>1.00704E-2</v>
      </c>
      <c r="AQ93" s="83">
        <v>8.3499000000000004E-3</v>
      </c>
      <c r="AR93" s="83">
        <v>0.18492800000000001</v>
      </c>
      <c r="AS93" s="83">
        <v>9.92876E-3</v>
      </c>
      <c r="AT93" s="83">
        <v>8.3499000000000004E-3</v>
      </c>
      <c r="AU93" s="83">
        <v>0.181477</v>
      </c>
      <c r="AV93" s="83">
        <v>9.9630900000000008E-3</v>
      </c>
      <c r="AW93" s="83">
        <v>8.3499000000000004E-3</v>
      </c>
      <c r="AX93" s="83">
        <v>0.17880399999999999</v>
      </c>
      <c r="AY93" s="83">
        <v>9.9600299999999999E-3</v>
      </c>
      <c r="AZ93" s="83">
        <v>8.3499000000000004E-3</v>
      </c>
      <c r="BA93" s="83">
        <v>0.17380000000000001</v>
      </c>
      <c r="BB93" s="83">
        <v>9.9270299999999999E-3</v>
      </c>
      <c r="BC93" s="83">
        <v>8.3499000000000004E-3</v>
      </c>
      <c r="BD93" s="83">
        <v>0.17515700000000001</v>
      </c>
      <c r="BE93" s="83">
        <v>1.01534E-2</v>
      </c>
      <c r="BF93" s="83">
        <v>8.3499000000000004E-3</v>
      </c>
      <c r="BG93" s="83">
        <v>0.171126</v>
      </c>
      <c r="BH93" s="83">
        <v>1.01622E-2</v>
      </c>
      <c r="BI93" s="83">
        <v>8.3499000000000004E-3</v>
      </c>
      <c r="BJ93" s="83">
        <v>0.164048</v>
      </c>
      <c r="BK93" s="83">
        <v>9.9943900000000006E-3</v>
      </c>
      <c r="BL93" s="83">
        <v>8.3499000000000004E-3</v>
      </c>
      <c r="BM93" s="83">
        <v>0.158053</v>
      </c>
      <c r="BN93" s="83">
        <v>9.9116099999999995E-3</v>
      </c>
      <c r="BO93" s="83">
        <v>8.3499000000000004E-3</v>
      </c>
      <c r="BP93" s="83">
        <v>0.15529100000000001</v>
      </c>
      <c r="BQ93" s="83">
        <v>9.9369200000000001E-3</v>
      </c>
      <c r="BR93" s="83">
        <v>8.3499000000000004E-3</v>
      </c>
      <c r="BS93" s="83">
        <v>0.15220600000000001</v>
      </c>
      <c r="BT93" s="83">
        <v>1.00234E-2</v>
      </c>
      <c r="BU93" s="83">
        <v>8.3499000000000004E-3</v>
      </c>
      <c r="BV93" s="83">
        <v>0.14977599999999999</v>
      </c>
      <c r="BW93" s="83">
        <v>1.0127799999999999E-2</v>
      </c>
      <c r="BX93" s="83">
        <v>8.3499000000000004E-3</v>
      </c>
      <c r="BY93" s="83">
        <v>0.139013</v>
      </c>
      <c r="BZ93" s="83">
        <v>9.8628499999999994E-3</v>
      </c>
      <c r="CA93" s="83">
        <v>8.3499000000000004E-3</v>
      </c>
      <c r="CB93" s="83">
        <v>0.14113700000000001</v>
      </c>
      <c r="CC93" s="83">
        <v>1.0213699999999999E-2</v>
      </c>
      <c r="CD93" s="83">
        <v>8.3499000000000004E-3</v>
      </c>
      <c r="CE93" s="83">
        <v>0.128276</v>
      </c>
      <c r="CF93" s="83">
        <v>9.8555399999999994E-3</v>
      </c>
      <c r="CG93" s="83">
        <v>8.3499000000000004E-3</v>
      </c>
      <c r="CH93" s="83">
        <v>0.122583</v>
      </c>
      <c r="CI93" s="83">
        <v>9.8749900000000002E-3</v>
      </c>
      <c r="CJ93" s="83">
        <v>8.3499000000000004E-3</v>
      </c>
      <c r="CK93" s="83">
        <v>0.114894</v>
      </c>
      <c r="CL93" s="83">
        <v>9.8246099999999992E-3</v>
      </c>
      <c r="CM93" s="83">
        <v>8.3499000000000004E-3</v>
      </c>
      <c r="CN93" s="83">
        <v>0.110219</v>
      </c>
      <c r="CO93" s="83">
        <v>9.9005499999999993E-3</v>
      </c>
      <c r="CP93" s="83">
        <v>8.3499000000000004E-3</v>
      </c>
      <c r="CQ93" s="83">
        <v>0.105045</v>
      </c>
      <c r="CR93" s="83">
        <v>1.00208E-2</v>
      </c>
      <c r="CS93" s="83">
        <v>8.3499000000000004E-3</v>
      </c>
      <c r="CT93" s="83">
        <v>9.7976900000000006E-2</v>
      </c>
      <c r="CU93" s="83">
        <v>1.0004300000000001E-2</v>
      </c>
      <c r="CV93" s="83">
        <v>8.3499000000000004E-3</v>
      </c>
      <c r="CW93" s="83">
        <v>8.6421300000000006E-2</v>
      </c>
      <c r="CX93" s="83">
        <v>9.7940200000000005E-3</v>
      </c>
    </row>
    <row r="94" spans="1:102" x14ac:dyDescent="0.2">
      <c r="A94" s="83">
        <v>8.4498999999999998E-3</v>
      </c>
      <c r="B94" s="83">
        <v>0.17596899999999999</v>
      </c>
      <c r="C94" s="83">
        <v>9.2530500000000005E-3</v>
      </c>
      <c r="D94" s="83">
        <v>8.4498999999999998E-3</v>
      </c>
      <c r="E94" s="83">
        <v>0.18366499999999999</v>
      </c>
      <c r="F94" s="83">
        <v>9.4012599999999998E-3</v>
      </c>
      <c r="G94" s="83">
        <v>8.4498999999999998E-3</v>
      </c>
      <c r="H94" s="83">
        <v>0.18932399999999999</v>
      </c>
      <c r="I94" s="83">
        <v>9.5503500000000009E-3</v>
      </c>
      <c r="J94" s="83">
        <v>8.4498999999999998E-3</v>
      </c>
      <c r="K94" s="83">
        <v>0.191883</v>
      </c>
      <c r="L94" s="83">
        <v>9.5012800000000008E-3</v>
      </c>
      <c r="M94" s="83">
        <v>8.4498999999999998E-3</v>
      </c>
      <c r="N94" s="83">
        <v>0.190355</v>
      </c>
      <c r="O94" s="83">
        <v>9.3618899999999994E-3</v>
      </c>
      <c r="P94" s="83">
        <v>8.4498999999999998E-3</v>
      </c>
      <c r="Q94" s="83">
        <v>0.193216</v>
      </c>
      <c r="R94" s="83">
        <v>9.5180000000000004E-3</v>
      </c>
      <c r="S94" s="83">
        <v>8.4498999999999998E-3</v>
      </c>
      <c r="T94" s="83">
        <v>0.19512499999999999</v>
      </c>
      <c r="U94" s="83">
        <v>9.6149600000000005E-3</v>
      </c>
      <c r="V94" s="83">
        <v>8.4498999999999998E-3</v>
      </c>
      <c r="W94" s="83">
        <v>0.190335</v>
      </c>
      <c r="X94" s="83">
        <v>9.4841300000000003E-3</v>
      </c>
      <c r="Y94" s="83">
        <v>8.4498999999999998E-3</v>
      </c>
      <c r="Z94" s="83">
        <v>0.188721</v>
      </c>
      <c r="AA94" s="83">
        <v>9.4866399999999993E-3</v>
      </c>
      <c r="AB94" s="83">
        <v>8.4498999999999998E-3</v>
      </c>
      <c r="AC94" s="83">
        <v>0.188134</v>
      </c>
      <c r="AD94" s="83">
        <v>9.5362599999999995E-3</v>
      </c>
      <c r="AE94" s="83">
        <v>8.4498999999999998E-3</v>
      </c>
      <c r="AF94" s="83">
        <v>0.185696</v>
      </c>
      <c r="AG94" s="83">
        <v>9.5185500000000006E-3</v>
      </c>
      <c r="AH94" s="83">
        <v>8.4498999999999998E-3</v>
      </c>
      <c r="AI94" s="83">
        <v>0.18320400000000001</v>
      </c>
      <c r="AJ94" s="83">
        <v>9.5258800000000005E-3</v>
      </c>
      <c r="AK94" s="83">
        <v>8.4498999999999998E-3</v>
      </c>
      <c r="AL94" s="83">
        <v>0.18167800000000001</v>
      </c>
      <c r="AM94" s="83">
        <v>9.5376000000000002E-3</v>
      </c>
      <c r="AN94" s="83">
        <v>8.4498999999999998E-3</v>
      </c>
      <c r="AO94" s="83">
        <v>0.179476</v>
      </c>
      <c r="AP94" s="83">
        <v>9.5732999999999999E-3</v>
      </c>
      <c r="AQ94" s="83">
        <v>8.4498999999999998E-3</v>
      </c>
      <c r="AR94" s="83">
        <v>0.17365900000000001</v>
      </c>
      <c r="AS94" s="83">
        <v>9.4570799999999997E-3</v>
      </c>
      <c r="AT94" s="83">
        <v>8.4498999999999998E-3</v>
      </c>
      <c r="AU94" s="83">
        <v>0.170012</v>
      </c>
      <c r="AV94" s="83">
        <v>9.4787099999999996E-3</v>
      </c>
      <c r="AW94" s="83">
        <v>8.4498999999999998E-3</v>
      </c>
      <c r="AX94" s="83">
        <v>0.16733000000000001</v>
      </c>
      <c r="AY94" s="83">
        <v>9.5020199999999999E-3</v>
      </c>
      <c r="AZ94" s="83">
        <v>8.4498999999999998E-3</v>
      </c>
      <c r="BA94" s="83">
        <v>0.162603</v>
      </c>
      <c r="BB94" s="83">
        <v>9.4475400000000008E-3</v>
      </c>
      <c r="BC94" s="83">
        <v>8.4498999999999998E-3</v>
      </c>
      <c r="BD94" s="83">
        <v>0.163522</v>
      </c>
      <c r="BE94" s="83">
        <v>9.6426499999999991E-3</v>
      </c>
      <c r="BF94" s="83">
        <v>8.4498999999999998E-3</v>
      </c>
      <c r="BG94" s="83">
        <v>0.16006200000000001</v>
      </c>
      <c r="BH94" s="83">
        <v>9.6573200000000005E-3</v>
      </c>
      <c r="BI94" s="83">
        <v>8.4498999999999998E-3</v>
      </c>
      <c r="BJ94" s="83">
        <v>0.15348600000000001</v>
      </c>
      <c r="BK94" s="83">
        <v>9.5158699999999992E-3</v>
      </c>
      <c r="BL94" s="83">
        <v>8.4498999999999998E-3</v>
      </c>
      <c r="BM94" s="83">
        <v>0.14687600000000001</v>
      </c>
      <c r="BN94" s="83">
        <v>9.4282099999999994E-3</v>
      </c>
      <c r="BO94" s="83">
        <v>8.4498999999999998E-3</v>
      </c>
      <c r="BP94" s="83">
        <v>0.14432400000000001</v>
      </c>
      <c r="BQ94" s="83">
        <v>9.4769599999999996E-3</v>
      </c>
      <c r="BR94" s="83">
        <v>8.4498999999999998E-3</v>
      </c>
      <c r="BS94" s="83">
        <v>0.141566</v>
      </c>
      <c r="BT94" s="83">
        <v>9.5555799999999993E-3</v>
      </c>
      <c r="BU94" s="83">
        <v>8.4498999999999998E-3</v>
      </c>
      <c r="BV94" s="83">
        <v>0.13886299999999999</v>
      </c>
      <c r="BW94" s="83">
        <v>9.6472999999999993E-3</v>
      </c>
      <c r="BX94" s="83">
        <v>8.4498999999999998E-3</v>
      </c>
      <c r="BY94" s="83">
        <v>0.12853899999999999</v>
      </c>
      <c r="BZ94" s="83">
        <v>9.4234000000000002E-3</v>
      </c>
      <c r="CA94" s="83">
        <v>8.4498999999999998E-3</v>
      </c>
      <c r="CB94" s="83">
        <v>0.13066800000000001</v>
      </c>
      <c r="CC94" s="83">
        <v>9.7214699999999994E-3</v>
      </c>
      <c r="CD94" s="83">
        <v>8.4498999999999998E-3</v>
      </c>
      <c r="CE94" s="83">
        <v>0.11853</v>
      </c>
      <c r="CF94" s="83">
        <v>9.3692099999999993E-3</v>
      </c>
      <c r="CG94" s="83">
        <v>8.4498999999999998E-3</v>
      </c>
      <c r="CH94" s="83">
        <v>0.11310099999999999</v>
      </c>
      <c r="CI94" s="83">
        <v>9.3906100000000006E-3</v>
      </c>
      <c r="CJ94" s="83">
        <v>8.4498999999999998E-3</v>
      </c>
      <c r="CK94" s="83">
        <v>0.105489</v>
      </c>
      <c r="CL94" s="83">
        <v>9.3656199999999998E-3</v>
      </c>
      <c r="CM94" s="83">
        <v>8.4498999999999998E-3</v>
      </c>
      <c r="CN94" s="83">
        <v>0.101298</v>
      </c>
      <c r="CO94" s="83">
        <v>9.4444899999999998E-3</v>
      </c>
      <c r="CP94" s="83">
        <v>8.4498999999999998E-3</v>
      </c>
      <c r="CQ94" s="83">
        <v>9.6157900000000004E-2</v>
      </c>
      <c r="CR94" s="83">
        <v>9.5363800000000006E-3</v>
      </c>
      <c r="CS94" s="83">
        <v>8.4498999999999998E-3</v>
      </c>
      <c r="CT94" s="83">
        <v>8.9275800000000002E-2</v>
      </c>
      <c r="CU94" s="83">
        <v>9.5228499999999994E-3</v>
      </c>
      <c r="CV94" s="83">
        <v>8.4498999999999998E-3</v>
      </c>
      <c r="CW94" s="83">
        <v>7.9028699999999993E-2</v>
      </c>
      <c r="CX94" s="83">
        <v>9.3291799999999994E-3</v>
      </c>
    </row>
    <row r="95" spans="1:102" x14ac:dyDescent="0.2">
      <c r="A95" s="83">
        <v>8.5498999999999992E-3</v>
      </c>
      <c r="B95" s="83">
        <v>0.16639799999999999</v>
      </c>
      <c r="C95" s="83">
        <v>8.8135999999999996E-3</v>
      </c>
      <c r="D95" s="83">
        <v>8.5498999999999992E-3</v>
      </c>
      <c r="E95" s="83">
        <v>0.17369000000000001</v>
      </c>
      <c r="F95" s="83">
        <v>8.9520399999999997E-3</v>
      </c>
      <c r="G95" s="83">
        <v>8.5498999999999992E-3</v>
      </c>
      <c r="H95" s="83">
        <v>0.178314</v>
      </c>
      <c r="I95" s="83">
        <v>9.0962500000000002E-3</v>
      </c>
      <c r="J95" s="83">
        <v>8.5498999999999992E-3</v>
      </c>
      <c r="K95" s="83">
        <v>0.180614</v>
      </c>
      <c r="L95" s="83">
        <v>9.0598699999999994E-3</v>
      </c>
      <c r="M95" s="83">
        <v>8.5498999999999992E-3</v>
      </c>
      <c r="N95" s="83">
        <v>0.17946200000000001</v>
      </c>
      <c r="O95" s="83">
        <v>8.9048600000000006E-3</v>
      </c>
      <c r="P95" s="83">
        <v>8.5498999999999992E-3</v>
      </c>
      <c r="Q95" s="83">
        <v>0.18243000000000001</v>
      </c>
      <c r="R95" s="83">
        <v>9.0619499999999992E-3</v>
      </c>
      <c r="S95" s="83">
        <v>8.5498999999999992E-3</v>
      </c>
      <c r="T95" s="83">
        <v>0.18411</v>
      </c>
      <c r="U95" s="83">
        <v>9.1247299999999993E-3</v>
      </c>
      <c r="V95" s="83">
        <v>8.5498999999999992E-3</v>
      </c>
      <c r="W95" s="83">
        <v>0.179261</v>
      </c>
      <c r="X95" s="83">
        <v>9.0544400000000004E-3</v>
      </c>
      <c r="Y95" s="83">
        <v>8.5498999999999992E-3</v>
      </c>
      <c r="Z95" s="83">
        <v>0.177705</v>
      </c>
      <c r="AA95" s="83">
        <v>9.0218E-3</v>
      </c>
      <c r="AB95" s="83">
        <v>8.5498999999999992E-3</v>
      </c>
      <c r="AC95" s="83">
        <v>0.177231</v>
      </c>
      <c r="AD95" s="83">
        <v>9.0694599999999997E-3</v>
      </c>
      <c r="AE95" s="83">
        <v>8.5498999999999992E-3</v>
      </c>
      <c r="AF95" s="83">
        <v>0.174539</v>
      </c>
      <c r="AG95" s="83">
        <v>9.0341799999999993E-3</v>
      </c>
      <c r="AH95" s="83">
        <v>8.5498999999999992E-3</v>
      </c>
      <c r="AI95" s="83">
        <v>0.172481</v>
      </c>
      <c r="AJ95" s="83">
        <v>9.0454100000000003E-3</v>
      </c>
      <c r="AK95" s="83">
        <v>8.5498999999999992E-3</v>
      </c>
      <c r="AL95" s="83">
        <v>0.17078399999999999</v>
      </c>
      <c r="AM95" s="83">
        <v>9.0512800000000001E-3</v>
      </c>
      <c r="AN95" s="83">
        <v>8.5498999999999992E-3</v>
      </c>
      <c r="AO95" s="83">
        <v>0.16813800000000001</v>
      </c>
      <c r="AP95" s="83">
        <v>9.1074799999999994E-3</v>
      </c>
      <c r="AQ95" s="83">
        <v>8.5498999999999992E-3</v>
      </c>
      <c r="AR95" s="83">
        <v>0.16280900000000001</v>
      </c>
      <c r="AS95" s="83">
        <v>8.9912599999999992E-3</v>
      </c>
      <c r="AT95" s="83">
        <v>8.5498999999999992E-3</v>
      </c>
      <c r="AU95" s="83">
        <v>0.15964600000000001</v>
      </c>
      <c r="AV95" s="83">
        <v>9.0275400000000006E-3</v>
      </c>
      <c r="AW95" s="83">
        <v>8.5498999999999992E-3</v>
      </c>
      <c r="AX95" s="83">
        <v>0.15696399999999999</v>
      </c>
      <c r="AY95" s="83">
        <v>9.03815E-3</v>
      </c>
      <c r="AZ95" s="83">
        <v>8.5498999999999992E-3</v>
      </c>
      <c r="BA95" s="83">
        <v>0.152452</v>
      </c>
      <c r="BB95" s="83">
        <v>9.0031999999999994E-3</v>
      </c>
      <c r="BC95" s="83">
        <v>8.5498999999999992E-3</v>
      </c>
      <c r="BD95" s="83">
        <v>0.15346299999999999</v>
      </c>
      <c r="BE95" s="83">
        <v>9.1963600000000006E-3</v>
      </c>
      <c r="BF95" s="83">
        <v>8.5498999999999992E-3</v>
      </c>
      <c r="BG95" s="83">
        <v>0.14898800000000001</v>
      </c>
      <c r="BH95" s="83">
        <v>9.1827100000000002E-3</v>
      </c>
      <c r="BI95" s="83">
        <v>8.5498999999999992E-3</v>
      </c>
      <c r="BJ95" s="83">
        <v>0.14297399999999999</v>
      </c>
      <c r="BK95" s="83">
        <v>9.0568899999999997E-3</v>
      </c>
      <c r="BL95" s="83">
        <v>8.5498999999999992E-3</v>
      </c>
      <c r="BM95" s="83">
        <v>0.13656799999999999</v>
      </c>
      <c r="BN95" s="83">
        <v>8.96337E-3</v>
      </c>
      <c r="BO95" s="83">
        <v>8.5498999999999992E-3</v>
      </c>
      <c r="BP95" s="83">
        <v>0.13402600000000001</v>
      </c>
      <c r="BQ95" s="83">
        <v>9.0033300000000004E-3</v>
      </c>
      <c r="BR95" s="83">
        <v>8.5498999999999992E-3</v>
      </c>
      <c r="BS95" s="83">
        <v>0.131498</v>
      </c>
      <c r="BT95" s="83">
        <v>9.1073400000000002E-3</v>
      </c>
      <c r="BU95" s="83">
        <v>8.5498999999999992E-3</v>
      </c>
      <c r="BV95" s="83">
        <v>0.12876499999999999</v>
      </c>
      <c r="BW95" s="83">
        <v>9.1697600000000008E-3</v>
      </c>
      <c r="BX95" s="83">
        <v>8.5498999999999992E-3</v>
      </c>
      <c r="BY95" s="83">
        <v>0.118783</v>
      </c>
      <c r="BZ95" s="83">
        <v>8.9458599999999999E-3</v>
      </c>
      <c r="CA95" s="83">
        <v>8.5498999999999992E-3</v>
      </c>
      <c r="CB95" s="83">
        <v>0.121117</v>
      </c>
      <c r="CC95" s="83">
        <v>9.2663899999999993E-3</v>
      </c>
      <c r="CD95" s="83">
        <v>8.5498999999999992E-3</v>
      </c>
      <c r="CE95" s="83">
        <v>0.10915999999999999</v>
      </c>
      <c r="CF95" s="83">
        <v>8.9200000000000008E-3</v>
      </c>
      <c r="CG95" s="83">
        <v>8.5498999999999992E-3</v>
      </c>
      <c r="CH95" s="83">
        <v>0.10394100000000001</v>
      </c>
      <c r="CI95" s="83">
        <v>8.93358E-3</v>
      </c>
      <c r="CJ95" s="83">
        <v>8.5498999999999992E-3</v>
      </c>
      <c r="CK95" s="83">
        <v>9.7169099999999994E-2</v>
      </c>
      <c r="CL95" s="83">
        <v>8.8861300000000008E-3</v>
      </c>
      <c r="CM95" s="83">
        <v>8.5498999999999992E-3</v>
      </c>
      <c r="CN95" s="83">
        <v>9.2758400000000005E-2</v>
      </c>
      <c r="CO95" s="83">
        <v>8.9630500000000002E-3</v>
      </c>
      <c r="CP95" s="83">
        <v>8.5498999999999992E-3</v>
      </c>
      <c r="CQ95" s="83">
        <v>8.8120799999999999E-2</v>
      </c>
      <c r="CR95" s="83">
        <v>9.0500500000000005E-3</v>
      </c>
      <c r="CS95" s="83">
        <v>8.5498999999999992E-3</v>
      </c>
      <c r="CT95" s="83">
        <v>8.1370499999999998E-2</v>
      </c>
      <c r="CU95" s="83">
        <v>9.0814399999999997E-3</v>
      </c>
      <c r="CV95" s="83">
        <v>8.5498999999999992E-3</v>
      </c>
      <c r="CW95" s="83">
        <v>7.1831400000000004E-2</v>
      </c>
      <c r="CX95" s="83">
        <v>8.8799599999999992E-3</v>
      </c>
    </row>
    <row r="96" spans="1:102" x14ac:dyDescent="0.2">
      <c r="A96" s="83">
        <v>8.6499000000000003E-3</v>
      </c>
      <c r="B96" s="83">
        <v>0.15772600000000001</v>
      </c>
      <c r="C96" s="83">
        <v>8.3829400000000002E-3</v>
      </c>
      <c r="D96" s="83">
        <v>8.6499000000000003E-3</v>
      </c>
      <c r="E96" s="83">
        <v>0.16405600000000001</v>
      </c>
      <c r="F96" s="83">
        <v>8.5008700000000006E-3</v>
      </c>
      <c r="G96" s="83">
        <v>8.6499000000000003E-3</v>
      </c>
      <c r="H96" s="83">
        <v>0.168709</v>
      </c>
      <c r="I96" s="83">
        <v>8.6362899999999996E-3</v>
      </c>
      <c r="J96" s="83">
        <v>8.6499000000000003E-3</v>
      </c>
      <c r="K96" s="83">
        <v>0.17100499999999999</v>
      </c>
      <c r="L96" s="83">
        <v>8.6067399999999999E-3</v>
      </c>
      <c r="M96" s="83">
        <v>8.6499000000000003E-3</v>
      </c>
      <c r="N96" s="83">
        <v>0.169325</v>
      </c>
      <c r="O96" s="83">
        <v>8.4741999999999994E-3</v>
      </c>
      <c r="P96" s="83">
        <v>8.6499000000000003E-3</v>
      </c>
      <c r="Q96" s="83">
        <v>0.17183399999999999</v>
      </c>
      <c r="R96" s="83">
        <v>8.6127300000000007E-3</v>
      </c>
      <c r="S96" s="83">
        <v>8.6499000000000003E-3</v>
      </c>
      <c r="T96" s="83">
        <v>0.173734</v>
      </c>
      <c r="U96" s="83">
        <v>8.6999199999999999E-3</v>
      </c>
      <c r="V96" s="83">
        <v>8.6499000000000003E-3</v>
      </c>
      <c r="W96" s="83">
        <v>0.16911000000000001</v>
      </c>
      <c r="X96" s="83">
        <v>8.5915499999999999E-3</v>
      </c>
      <c r="Y96" s="83">
        <v>8.6499000000000003E-3</v>
      </c>
      <c r="Z96" s="83">
        <v>0.16736400000000001</v>
      </c>
      <c r="AA96" s="83">
        <v>8.6067599999999998E-3</v>
      </c>
      <c r="AB96" s="83">
        <v>8.6499000000000003E-3</v>
      </c>
      <c r="AC96" s="83">
        <v>0.166742</v>
      </c>
      <c r="AD96" s="83">
        <v>8.6309799999999999E-3</v>
      </c>
      <c r="AE96" s="83">
        <v>8.6499000000000003E-3</v>
      </c>
      <c r="AF96" s="83">
        <v>0.164109</v>
      </c>
      <c r="AG96" s="83">
        <v>8.6132799999999992E-3</v>
      </c>
      <c r="AH96" s="83">
        <v>8.6499000000000003E-3</v>
      </c>
      <c r="AI96" s="83">
        <v>0.16228100000000001</v>
      </c>
      <c r="AJ96" s="83">
        <v>8.6196299999999997E-3</v>
      </c>
      <c r="AK96" s="83">
        <v>8.6499000000000003E-3</v>
      </c>
      <c r="AL96" s="83">
        <v>0.16095999999999999</v>
      </c>
      <c r="AM96" s="83">
        <v>8.6176800000000008E-3</v>
      </c>
      <c r="AN96" s="83">
        <v>8.6499000000000003E-3</v>
      </c>
      <c r="AO96" s="83">
        <v>0.15786</v>
      </c>
      <c r="AP96" s="83">
        <v>8.6680200000000002E-3</v>
      </c>
      <c r="AQ96" s="83">
        <v>8.6499000000000003E-3</v>
      </c>
      <c r="AR96" s="83">
        <v>0.15284300000000001</v>
      </c>
      <c r="AS96" s="83">
        <v>8.5508300000000006E-3</v>
      </c>
      <c r="AT96" s="83">
        <v>8.6499000000000003E-3</v>
      </c>
      <c r="AU96" s="83">
        <v>0.14921599999999999</v>
      </c>
      <c r="AV96" s="83">
        <v>8.5831999999999992E-3</v>
      </c>
      <c r="AW96" s="83">
        <v>8.6499000000000003E-3</v>
      </c>
      <c r="AX96" s="83">
        <v>0.14702200000000001</v>
      </c>
      <c r="AY96" s="83">
        <v>8.5879600000000004E-3</v>
      </c>
      <c r="AZ96" s="83">
        <v>8.6499000000000003E-3</v>
      </c>
      <c r="BA96" s="83">
        <v>0.142071</v>
      </c>
      <c r="BB96" s="83">
        <v>8.5559399999999997E-3</v>
      </c>
      <c r="BC96" s="83">
        <v>8.6499000000000003E-3</v>
      </c>
      <c r="BD96" s="83">
        <v>0.14343400000000001</v>
      </c>
      <c r="BE96" s="83">
        <v>8.7549600000000009E-3</v>
      </c>
      <c r="BF96" s="83">
        <v>8.6499000000000003E-3</v>
      </c>
      <c r="BG96" s="83">
        <v>0.139095</v>
      </c>
      <c r="BH96" s="83">
        <v>8.7452099999999998E-3</v>
      </c>
      <c r="BI96" s="83">
        <v>8.6499000000000003E-3</v>
      </c>
      <c r="BJ96" s="83">
        <v>0.132886</v>
      </c>
      <c r="BK96" s="83">
        <v>8.5900899999999999E-3</v>
      </c>
      <c r="BL96" s="83">
        <v>8.6499000000000003E-3</v>
      </c>
      <c r="BM96" s="83">
        <v>0.126856</v>
      </c>
      <c r="BN96" s="83">
        <v>8.5219600000000003E-3</v>
      </c>
      <c r="BO96" s="83">
        <v>8.6499000000000003E-3</v>
      </c>
      <c r="BP96" s="83">
        <v>0.124485</v>
      </c>
      <c r="BQ96" s="83">
        <v>8.5511800000000002E-3</v>
      </c>
      <c r="BR96" s="83">
        <v>8.6499000000000003E-3</v>
      </c>
      <c r="BS96" s="83">
        <v>0.12222</v>
      </c>
      <c r="BT96" s="83">
        <v>8.6483600000000008E-3</v>
      </c>
      <c r="BU96" s="83">
        <v>8.6499000000000003E-3</v>
      </c>
      <c r="BV96" s="83">
        <v>0.11941</v>
      </c>
      <c r="BW96" s="83">
        <v>8.7430000000000008E-3</v>
      </c>
      <c r="BX96" s="83">
        <v>8.6499000000000003E-3</v>
      </c>
      <c r="BY96" s="83">
        <v>0.109711</v>
      </c>
      <c r="BZ96" s="83">
        <v>8.5093400000000007E-3</v>
      </c>
      <c r="CA96" s="83">
        <v>8.6499000000000003E-3</v>
      </c>
      <c r="CB96" s="83">
        <v>0.11176700000000001</v>
      </c>
      <c r="CC96" s="83">
        <v>8.8210800000000002E-3</v>
      </c>
      <c r="CD96" s="83">
        <v>8.6499000000000003E-3</v>
      </c>
      <c r="CE96" s="83">
        <v>0.100566</v>
      </c>
      <c r="CF96" s="83">
        <v>8.5000700000000002E-3</v>
      </c>
      <c r="CG96" s="83">
        <v>8.6499000000000003E-3</v>
      </c>
      <c r="CH96" s="83">
        <v>9.5801300000000006E-2</v>
      </c>
      <c r="CI96" s="83">
        <v>8.5234200000000003E-3</v>
      </c>
      <c r="CJ96" s="83">
        <v>8.6499000000000003E-3</v>
      </c>
      <c r="CK96" s="83">
        <v>8.9244299999999999E-2</v>
      </c>
      <c r="CL96" s="83">
        <v>8.4935500000000008E-3</v>
      </c>
      <c r="CM96" s="83">
        <v>8.6499000000000003E-3</v>
      </c>
      <c r="CN96" s="83">
        <v>8.5243700000000006E-2</v>
      </c>
      <c r="CO96" s="83">
        <v>8.5255499999999998E-3</v>
      </c>
      <c r="CP96" s="83">
        <v>8.6499000000000003E-3</v>
      </c>
      <c r="CQ96" s="83">
        <v>8.0640400000000001E-2</v>
      </c>
      <c r="CR96" s="83">
        <v>8.6203600000000005E-3</v>
      </c>
      <c r="CS96" s="83">
        <v>8.6499000000000003E-3</v>
      </c>
      <c r="CT96" s="83">
        <v>7.4280700000000005E-2</v>
      </c>
      <c r="CU96" s="83">
        <v>8.6214800000000008E-3</v>
      </c>
      <c r="CV96" s="83">
        <v>8.6499000000000003E-3</v>
      </c>
      <c r="CW96" s="83">
        <v>6.5273800000000007E-2</v>
      </c>
      <c r="CX96" s="83">
        <v>8.4561299999999992E-3</v>
      </c>
    </row>
    <row r="97" spans="1:102" x14ac:dyDescent="0.2">
      <c r="A97" s="83">
        <v>8.7498999999999997E-3</v>
      </c>
      <c r="B97" s="83">
        <v>0.149064</v>
      </c>
      <c r="C97" s="83">
        <v>7.93665E-3</v>
      </c>
      <c r="D97" s="83">
        <v>8.7498999999999997E-3</v>
      </c>
      <c r="E97" s="83">
        <v>0.15528600000000001</v>
      </c>
      <c r="F97" s="83">
        <v>8.0916900000000003E-3</v>
      </c>
      <c r="G97" s="83">
        <v>8.7498999999999997E-3</v>
      </c>
      <c r="H97" s="83">
        <v>0.15959300000000001</v>
      </c>
      <c r="I97" s="83">
        <v>8.2095299999999996E-3</v>
      </c>
      <c r="J97" s="83">
        <v>8.7498999999999997E-3</v>
      </c>
      <c r="K97" s="83">
        <v>0.16153699999999999</v>
      </c>
      <c r="L97" s="83">
        <v>8.1663099999999995E-3</v>
      </c>
      <c r="M97" s="83">
        <v>8.7498999999999997E-3</v>
      </c>
      <c r="N97" s="83">
        <v>0.160277</v>
      </c>
      <c r="O97" s="83">
        <v>8.0738100000000007E-3</v>
      </c>
      <c r="P97" s="83">
        <v>8.7498999999999997E-3</v>
      </c>
      <c r="Q97" s="83">
        <v>0.16225400000000001</v>
      </c>
      <c r="R97" s="83">
        <v>8.1849899999999996E-3</v>
      </c>
      <c r="S97" s="83">
        <v>8.7498999999999997E-3</v>
      </c>
      <c r="T97" s="83">
        <v>0.163685</v>
      </c>
      <c r="U97" s="83">
        <v>8.26145E-3</v>
      </c>
      <c r="V97" s="83">
        <v>8.7498999999999997E-3</v>
      </c>
      <c r="W97" s="83">
        <v>0.15904599999999999</v>
      </c>
      <c r="X97" s="83">
        <v>8.1970199999999993E-3</v>
      </c>
      <c r="Y97" s="83">
        <v>8.7498999999999997E-3</v>
      </c>
      <c r="Z97" s="83">
        <v>0.15779799999999999</v>
      </c>
      <c r="AA97" s="83">
        <v>8.1839100000000008E-3</v>
      </c>
      <c r="AB97" s="83">
        <v>8.7498999999999997E-3</v>
      </c>
      <c r="AC97" s="83">
        <v>0.15713299999999999</v>
      </c>
      <c r="AD97" s="83">
        <v>8.2081299999999992E-3</v>
      </c>
      <c r="AE97" s="83">
        <v>8.7498999999999997E-3</v>
      </c>
      <c r="AF97" s="83">
        <v>0.15431</v>
      </c>
      <c r="AG97" s="83">
        <v>8.1796899999999999E-3</v>
      </c>
      <c r="AH97" s="83">
        <v>8.7498999999999997E-3</v>
      </c>
      <c r="AI97" s="83">
        <v>0.15284800000000001</v>
      </c>
      <c r="AJ97" s="83">
        <v>8.1821299999999993E-3</v>
      </c>
      <c r="AK97" s="83">
        <v>8.7498999999999997E-3</v>
      </c>
      <c r="AL97" s="83">
        <v>0.15090200000000001</v>
      </c>
      <c r="AM97" s="83">
        <v>8.1889700000000003E-3</v>
      </c>
      <c r="AN97" s="83">
        <v>8.7498999999999997E-3</v>
      </c>
      <c r="AO97" s="83">
        <v>0.14848900000000001</v>
      </c>
      <c r="AP97" s="83">
        <v>8.2480999999999995E-3</v>
      </c>
      <c r="AQ97" s="83">
        <v>8.7498999999999997E-3</v>
      </c>
      <c r="AR97" s="83">
        <v>0.14280399999999999</v>
      </c>
      <c r="AS97" s="83">
        <v>8.1387200000000003E-3</v>
      </c>
      <c r="AT97" s="83">
        <v>8.7498999999999997E-3</v>
      </c>
      <c r="AU97" s="83">
        <v>0.13963100000000001</v>
      </c>
      <c r="AV97" s="83">
        <v>8.1398400000000006E-3</v>
      </c>
      <c r="AW97" s="83">
        <v>8.7498999999999997E-3</v>
      </c>
      <c r="AX97" s="83">
        <v>0.13697799999999999</v>
      </c>
      <c r="AY97" s="83">
        <v>8.1660799999999992E-3</v>
      </c>
      <c r="AZ97" s="83">
        <v>8.7498999999999997E-3</v>
      </c>
      <c r="BA97" s="83">
        <v>0.132247</v>
      </c>
      <c r="BB97" s="83">
        <v>8.1477400000000005E-3</v>
      </c>
      <c r="BC97" s="83">
        <v>8.7498999999999997E-3</v>
      </c>
      <c r="BD97" s="83">
        <v>0.13320899999999999</v>
      </c>
      <c r="BE97" s="83">
        <v>8.3106199999999995E-3</v>
      </c>
      <c r="BF97" s="83">
        <v>8.7498999999999997E-3</v>
      </c>
      <c r="BG97" s="83">
        <v>0.12952</v>
      </c>
      <c r="BH97" s="83">
        <v>8.30673E-3</v>
      </c>
      <c r="BI97" s="83">
        <v>8.7498999999999997E-3</v>
      </c>
      <c r="BJ97" s="83">
        <v>0.12317400000000001</v>
      </c>
      <c r="BK97" s="83">
        <v>8.1936000000000005E-3</v>
      </c>
      <c r="BL97" s="83">
        <v>8.7498999999999997E-3</v>
      </c>
      <c r="BM97" s="83">
        <v>0.11795</v>
      </c>
      <c r="BN97" s="83">
        <v>8.1069200000000001E-3</v>
      </c>
      <c r="BO97" s="83">
        <v>8.7498999999999997E-3</v>
      </c>
      <c r="BP97" s="83">
        <v>0.11561299999999999</v>
      </c>
      <c r="BQ97" s="83">
        <v>8.1478599999999998E-3</v>
      </c>
      <c r="BR97" s="83">
        <v>8.7498999999999997E-3</v>
      </c>
      <c r="BS97" s="83">
        <v>0.113089</v>
      </c>
      <c r="BT97" s="83">
        <v>8.2157399999999992E-3</v>
      </c>
      <c r="BU97" s="83">
        <v>8.7498999999999997E-3</v>
      </c>
      <c r="BV97" s="83">
        <v>0.110167</v>
      </c>
      <c r="BW97" s="83">
        <v>8.3035499999999998E-3</v>
      </c>
      <c r="BX97" s="83">
        <v>8.7498999999999997E-3</v>
      </c>
      <c r="BY97" s="83">
        <v>0.101337</v>
      </c>
      <c r="BZ97" s="83">
        <v>8.1030900000000003E-3</v>
      </c>
      <c r="CA97" s="83">
        <v>8.7498999999999997E-3</v>
      </c>
      <c r="CB97" s="83">
        <v>0.10349999999999999</v>
      </c>
      <c r="CC97" s="83">
        <v>8.3855300000000004E-3</v>
      </c>
      <c r="CD97" s="83">
        <v>8.7498999999999997E-3</v>
      </c>
      <c r="CE97" s="83">
        <v>9.2934500000000003E-2</v>
      </c>
      <c r="CF97" s="83">
        <v>8.0596399999999999E-3</v>
      </c>
      <c r="CG97" s="83">
        <v>8.7498999999999997E-3</v>
      </c>
      <c r="CH97" s="83">
        <v>8.7837399999999996E-2</v>
      </c>
      <c r="CI97" s="83">
        <v>8.0976399999999997E-3</v>
      </c>
      <c r="CJ97" s="83">
        <v>8.7498999999999997E-3</v>
      </c>
      <c r="CK97" s="83">
        <v>8.1700400000000006E-2</v>
      </c>
      <c r="CL97" s="83">
        <v>8.0414000000000006E-3</v>
      </c>
      <c r="CM97" s="83">
        <v>8.7498999999999997E-3</v>
      </c>
      <c r="CN97" s="83">
        <v>7.8041600000000003E-2</v>
      </c>
      <c r="CO97" s="83">
        <v>8.1241799999999999E-3</v>
      </c>
      <c r="CP97" s="83">
        <v>8.7498999999999997E-3</v>
      </c>
      <c r="CQ97" s="83">
        <v>7.3423600000000006E-2</v>
      </c>
      <c r="CR97" s="83">
        <v>8.1672399999999992E-3</v>
      </c>
      <c r="CS97" s="83">
        <v>8.7498999999999997E-3</v>
      </c>
      <c r="CT97" s="83">
        <v>6.7591200000000004E-2</v>
      </c>
      <c r="CU97" s="83">
        <v>8.2162099999999998E-3</v>
      </c>
      <c r="CV97" s="83">
        <v>8.7498999999999997E-3</v>
      </c>
      <c r="CW97" s="83">
        <v>5.9180000000000003E-2</v>
      </c>
      <c r="CX97" s="83">
        <v>8.0117999999999995E-3</v>
      </c>
    </row>
    <row r="98" spans="1:102" x14ac:dyDescent="0.2">
      <c r="A98" s="83">
        <v>8.8499000000000008E-3</v>
      </c>
      <c r="B98" s="83">
        <v>0.14027500000000001</v>
      </c>
      <c r="C98" s="83">
        <v>7.5548100000000003E-3</v>
      </c>
      <c r="D98" s="83">
        <v>8.8499000000000008E-3</v>
      </c>
      <c r="E98" s="83">
        <v>0.14640900000000001</v>
      </c>
      <c r="F98" s="83">
        <v>7.6561399999999996E-3</v>
      </c>
      <c r="G98" s="83">
        <v>8.8499000000000008E-3</v>
      </c>
      <c r="H98" s="83">
        <v>0.150643</v>
      </c>
      <c r="I98" s="83">
        <v>7.8150000000000008E-3</v>
      </c>
      <c r="J98" s="83">
        <v>8.8499000000000008E-3</v>
      </c>
      <c r="K98" s="83">
        <v>0.15205399999999999</v>
      </c>
      <c r="L98" s="83">
        <v>7.7815499999999999E-3</v>
      </c>
      <c r="M98" s="83">
        <v>8.8499000000000008E-3</v>
      </c>
      <c r="N98" s="83">
        <v>0.15110199999999999</v>
      </c>
      <c r="O98" s="83">
        <v>7.6587699999999996E-3</v>
      </c>
      <c r="P98" s="83">
        <v>8.8499000000000008E-3</v>
      </c>
      <c r="Q98" s="83">
        <v>0.15315699999999999</v>
      </c>
      <c r="R98" s="83">
        <v>7.7885100000000002E-3</v>
      </c>
      <c r="S98" s="83">
        <v>8.8499000000000008E-3</v>
      </c>
      <c r="T98" s="83">
        <v>0.15400700000000001</v>
      </c>
      <c r="U98" s="83">
        <v>7.8522699999999997E-3</v>
      </c>
      <c r="V98" s="83">
        <v>8.8499000000000008E-3</v>
      </c>
      <c r="W98" s="83">
        <v>0.14953</v>
      </c>
      <c r="X98" s="83">
        <v>7.7800300000000003E-3</v>
      </c>
      <c r="Y98" s="83">
        <v>8.8499000000000008E-3</v>
      </c>
      <c r="Z98" s="83">
        <v>0.14788100000000001</v>
      </c>
      <c r="AA98" s="83">
        <v>7.7639900000000001E-3</v>
      </c>
      <c r="AB98" s="83">
        <v>8.8499000000000008E-3</v>
      </c>
      <c r="AC98" s="83">
        <v>0.14788999999999999</v>
      </c>
      <c r="AD98" s="83">
        <v>7.8223900000000002E-3</v>
      </c>
      <c r="AE98" s="83">
        <v>8.8499000000000008E-3</v>
      </c>
      <c r="AF98" s="83">
        <v>0.144564</v>
      </c>
      <c r="AG98" s="83">
        <v>7.7705099999999996E-3</v>
      </c>
      <c r="AH98" s="83">
        <v>8.8499000000000008E-3</v>
      </c>
      <c r="AI98" s="83">
        <v>0.14315</v>
      </c>
      <c r="AJ98" s="83">
        <v>7.7856499999999999E-3</v>
      </c>
      <c r="AK98" s="83">
        <v>8.8499000000000008E-3</v>
      </c>
      <c r="AL98" s="83">
        <v>0.14119000000000001</v>
      </c>
      <c r="AM98" s="83">
        <v>7.7856499999999999E-3</v>
      </c>
      <c r="AN98" s="83">
        <v>8.8499000000000008E-3</v>
      </c>
      <c r="AO98" s="83">
        <v>0.13860700000000001</v>
      </c>
      <c r="AP98" s="83">
        <v>7.8565000000000006E-3</v>
      </c>
      <c r="AQ98" s="83">
        <v>8.8499000000000008E-3</v>
      </c>
      <c r="AR98" s="83">
        <v>0.13339500000000001</v>
      </c>
      <c r="AS98" s="83">
        <v>7.7285699999999997E-3</v>
      </c>
      <c r="AT98" s="83">
        <v>8.8499000000000008E-3</v>
      </c>
      <c r="AU98" s="83">
        <v>0.13021199999999999</v>
      </c>
      <c r="AV98" s="83">
        <v>7.7423800000000001E-3</v>
      </c>
      <c r="AW98" s="83">
        <v>8.8499000000000008E-3</v>
      </c>
      <c r="AX98" s="83">
        <v>0.127247</v>
      </c>
      <c r="AY98" s="83">
        <v>7.7705700000000001E-3</v>
      </c>
      <c r="AZ98" s="83">
        <v>8.8499000000000008E-3</v>
      </c>
      <c r="BA98" s="83">
        <v>0.123253</v>
      </c>
      <c r="BB98" s="83">
        <v>7.7463699999999998E-3</v>
      </c>
      <c r="BC98" s="83">
        <v>8.8499000000000008E-3</v>
      </c>
      <c r="BD98" s="83">
        <v>0.123961</v>
      </c>
      <c r="BE98" s="83">
        <v>7.9092499999999996E-3</v>
      </c>
      <c r="BF98" s="83">
        <v>8.8499000000000008E-3</v>
      </c>
      <c r="BG98" s="83">
        <v>0.12056</v>
      </c>
      <c r="BH98" s="83">
        <v>7.9034099999999996E-3</v>
      </c>
      <c r="BI98" s="83">
        <v>8.8499000000000008E-3</v>
      </c>
      <c r="BJ98" s="83">
        <v>0.114243</v>
      </c>
      <c r="BK98" s="83">
        <v>7.7824699999999997E-3</v>
      </c>
      <c r="BL98" s="83">
        <v>8.8499000000000008E-3</v>
      </c>
      <c r="BM98" s="83">
        <v>0.1094</v>
      </c>
      <c r="BN98" s="83">
        <v>7.7075099999999999E-3</v>
      </c>
      <c r="BO98" s="83">
        <v>8.8499000000000008E-3</v>
      </c>
      <c r="BP98" s="83">
        <v>0.107015</v>
      </c>
      <c r="BQ98" s="83">
        <v>7.76504E-3</v>
      </c>
      <c r="BR98" s="83">
        <v>8.8499000000000008E-3</v>
      </c>
      <c r="BS98" s="83">
        <v>0.104842</v>
      </c>
      <c r="BT98" s="83">
        <v>7.8348800000000007E-3</v>
      </c>
      <c r="BU98" s="83">
        <v>8.8499000000000008E-3</v>
      </c>
      <c r="BV98" s="83">
        <v>0.101954</v>
      </c>
      <c r="BW98" s="83">
        <v>7.9031599999999994E-3</v>
      </c>
      <c r="BX98" s="83">
        <v>8.8499000000000008E-3</v>
      </c>
      <c r="BY98" s="83">
        <v>9.3490299999999998E-2</v>
      </c>
      <c r="BZ98" s="83">
        <v>7.6968399999999999E-3</v>
      </c>
      <c r="CA98" s="83">
        <v>8.8499000000000008E-3</v>
      </c>
      <c r="CB98" s="83">
        <v>9.5311599999999996E-2</v>
      </c>
      <c r="CC98" s="83">
        <v>7.9656099999999997E-3</v>
      </c>
      <c r="CD98" s="83">
        <v>8.8499000000000008E-3</v>
      </c>
      <c r="CE98" s="83">
        <v>8.5312499999999999E-2</v>
      </c>
      <c r="CF98" s="83">
        <v>7.6768299999999999E-3</v>
      </c>
      <c r="CG98" s="83">
        <v>8.8499000000000008E-3</v>
      </c>
      <c r="CH98" s="83">
        <v>8.0752400000000002E-2</v>
      </c>
      <c r="CI98" s="83">
        <v>7.68456E-3</v>
      </c>
      <c r="CJ98" s="83">
        <v>8.8499000000000008E-3</v>
      </c>
      <c r="CK98" s="83">
        <v>7.4776599999999999E-2</v>
      </c>
      <c r="CL98" s="83">
        <v>7.6488199999999998E-3</v>
      </c>
      <c r="CM98" s="83">
        <v>8.8499000000000008E-3</v>
      </c>
      <c r="CN98" s="83">
        <v>7.1010299999999998E-2</v>
      </c>
      <c r="CO98" s="83">
        <v>7.7374599999999998E-3</v>
      </c>
      <c r="CP98" s="83">
        <v>8.8499000000000008E-3</v>
      </c>
      <c r="CQ98" s="83">
        <v>6.6831799999999997E-2</v>
      </c>
      <c r="CR98" s="83">
        <v>7.7658700000000002E-3</v>
      </c>
      <c r="CS98" s="83">
        <v>8.8499000000000008E-3</v>
      </c>
      <c r="CT98" s="83">
        <v>6.1424199999999998E-2</v>
      </c>
      <c r="CU98" s="83">
        <v>7.7875000000000002E-3</v>
      </c>
      <c r="CV98" s="83">
        <v>8.8499000000000008E-3</v>
      </c>
      <c r="CW98" s="83">
        <v>5.3926099999999998E-2</v>
      </c>
      <c r="CX98" s="83">
        <v>7.6270299999999999E-3</v>
      </c>
    </row>
    <row r="99" spans="1:102" x14ac:dyDescent="0.2">
      <c r="A99" s="83">
        <v>8.9499000000000002E-3</v>
      </c>
      <c r="B99" s="83">
        <v>0.13195999999999999</v>
      </c>
      <c r="C99" s="83">
        <v>7.1885999999999999E-3</v>
      </c>
      <c r="D99" s="83">
        <v>8.9499000000000002E-3</v>
      </c>
      <c r="E99" s="83">
        <v>0.13741</v>
      </c>
      <c r="F99" s="83">
        <v>7.3016499999999998E-3</v>
      </c>
      <c r="G99" s="83">
        <v>8.9499000000000002E-3</v>
      </c>
      <c r="H99" s="83">
        <v>0.14180000000000001</v>
      </c>
      <c r="I99" s="83">
        <v>7.42926E-3</v>
      </c>
      <c r="J99" s="83">
        <v>8.9499000000000002E-3</v>
      </c>
      <c r="K99" s="83">
        <v>0.14349500000000001</v>
      </c>
      <c r="L99" s="83">
        <v>7.3850599999999997E-3</v>
      </c>
      <c r="M99" s="83">
        <v>8.9499000000000002E-3</v>
      </c>
      <c r="N99" s="83">
        <v>0.14219100000000001</v>
      </c>
      <c r="O99" s="83">
        <v>7.2886499999999998E-3</v>
      </c>
      <c r="P99" s="83">
        <v>8.9499000000000002E-3</v>
      </c>
      <c r="Q99" s="83">
        <v>0.14389399999999999</v>
      </c>
      <c r="R99" s="83">
        <v>7.4154599999999996E-3</v>
      </c>
      <c r="S99" s="83">
        <v>8.9499000000000002E-3</v>
      </c>
      <c r="T99" s="83">
        <v>0.145013</v>
      </c>
      <c r="U99" s="83">
        <v>7.4645700000000002E-3</v>
      </c>
      <c r="V99" s="83">
        <v>8.9499000000000002E-3</v>
      </c>
      <c r="W99" s="83">
        <v>0.140457</v>
      </c>
      <c r="X99" s="83">
        <v>7.3815900000000004E-3</v>
      </c>
      <c r="Y99" s="83">
        <v>8.9499000000000002E-3</v>
      </c>
      <c r="Z99" s="83">
        <v>0.138853</v>
      </c>
      <c r="AA99" s="83">
        <v>7.3850799999999996E-3</v>
      </c>
      <c r="AB99" s="83">
        <v>8.9499000000000002E-3</v>
      </c>
      <c r="AC99" s="83">
        <v>0.13805600000000001</v>
      </c>
      <c r="AD99" s="83">
        <v>7.4307899999999996E-3</v>
      </c>
      <c r="AE99" s="83">
        <v>8.9499000000000002E-3</v>
      </c>
      <c r="AF99" s="83">
        <v>0.13542799999999999</v>
      </c>
      <c r="AG99" s="83">
        <v>7.3798800000000001E-3</v>
      </c>
      <c r="AH99" s="83">
        <v>8.9499000000000002E-3</v>
      </c>
      <c r="AI99" s="83">
        <v>0.133463</v>
      </c>
      <c r="AJ99" s="83">
        <v>7.4126000000000001E-3</v>
      </c>
      <c r="AK99" s="83">
        <v>8.9499000000000002E-3</v>
      </c>
      <c r="AL99" s="83">
        <v>0.13200999999999999</v>
      </c>
      <c r="AM99" s="83">
        <v>7.4106500000000004E-3</v>
      </c>
      <c r="AN99" s="83">
        <v>8.9499000000000002E-3</v>
      </c>
      <c r="AO99" s="83">
        <v>0.12975400000000001</v>
      </c>
      <c r="AP99" s="83">
        <v>7.4522E-3</v>
      </c>
      <c r="AQ99" s="83">
        <v>8.9499000000000002E-3</v>
      </c>
      <c r="AR99" s="83">
        <v>0.124996</v>
      </c>
      <c r="AS99" s="83">
        <v>7.3701699999999997E-3</v>
      </c>
      <c r="AT99" s="83">
        <v>8.9499000000000002E-3</v>
      </c>
      <c r="AU99" s="83">
        <v>0.12091499999999999</v>
      </c>
      <c r="AV99" s="83">
        <v>7.34981E-3</v>
      </c>
      <c r="AW99" s="83">
        <v>8.9499000000000002E-3</v>
      </c>
      <c r="AX99" s="83">
        <v>0.119063</v>
      </c>
      <c r="AY99" s="83">
        <v>7.3740899999999998E-3</v>
      </c>
      <c r="AZ99" s="83">
        <v>8.9499000000000002E-3</v>
      </c>
      <c r="BA99" s="83">
        <v>0.11508400000000001</v>
      </c>
      <c r="BB99" s="83">
        <v>7.3752699999999997E-3</v>
      </c>
      <c r="BC99" s="83">
        <v>8.9499000000000002E-3</v>
      </c>
      <c r="BD99" s="83">
        <v>0.115519</v>
      </c>
      <c r="BE99" s="83">
        <v>7.5186300000000001E-3</v>
      </c>
      <c r="BF99" s="83">
        <v>8.9499000000000002E-3</v>
      </c>
      <c r="BG99" s="83">
        <v>0.112313</v>
      </c>
      <c r="BH99" s="83">
        <v>7.52157E-3</v>
      </c>
      <c r="BI99" s="83">
        <v>8.9499000000000002E-3</v>
      </c>
      <c r="BJ99" s="83">
        <v>0.106235</v>
      </c>
      <c r="BK99" s="83">
        <v>7.3957500000000004E-3</v>
      </c>
      <c r="BL99" s="83">
        <v>8.9499000000000002E-3</v>
      </c>
      <c r="BM99" s="83">
        <v>0.101553</v>
      </c>
      <c r="BN99" s="83">
        <v>7.34032E-3</v>
      </c>
      <c r="BO99" s="83">
        <v>8.9499000000000002E-3</v>
      </c>
      <c r="BP99" s="83">
        <v>9.9202100000000001E-2</v>
      </c>
      <c r="BQ99" s="83">
        <v>7.3773500000000004E-3</v>
      </c>
      <c r="BR99" s="83">
        <v>8.9499000000000002E-3</v>
      </c>
      <c r="BS99" s="83">
        <v>9.7264199999999995E-2</v>
      </c>
      <c r="BT99" s="83">
        <v>7.44621E-3</v>
      </c>
      <c r="BU99" s="83">
        <v>8.9499000000000002E-3</v>
      </c>
      <c r="BV99" s="83">
        <v>9.4272999999999996E-2</v>
      </c>
      <c r="BW99" s="83">
        <v>7.5125399999999998E-3</v>
      </c>
      <c r="BX99" s="83">
        <v>8.9499000000000002E-3</v>
      </c>
      <c r="BY99" s="83">
        <v>8.6117200000000005E-2</v>
      </c>
      <c r="BZ99" s="83">
        <v>7.3384399999999999E-3</v>
      </c>
      <c r="CA99" s="83">
        <v>8.9499000000000002E-3</v>
      </c>
      <c r="CB99" s="83">
        <v>8.8011800000000001E-2</v>
      </c>
      <c r="CC99" s="83">
        <v>7.5964700000000001E-3</v>
      </c>
      <c r="CD99" s="83">
        <v>8.9499000000000002E-3</v>
      </c>
      <c r="CE99" s="83">
        <v>7.8618099999999996E-2</v>
      </c>
      <c r="CF99" s="83">
        <v>7.2959699999999997E-3</v>
      </c>
      <c r="CG99" s="83">
        <v>8.9499000000000002E-3</v>
      </c>
      <c r="CH99" s="83">
        <v>7.4150900000000006E-2</v>
      </c>
      <c r="CI99" s="83">
        <v>7.3007699999999998E-3</v>
      </c>
      <c r="CJ99" s="83">
        <v>8.9499000000000002E-3</v>
      </c>
      <c r="CK99" s="83">
        <v>6.8775600000000006E-2</v>
      </c>
      <c r="CL99" s="83">
        <v>7.2630799999999999E-3</v>
      </c>
      <c r="CM99" s="83">
        <v>8.9499000000000002E-3</v>
      </c>
      <c r="CN99" s="83">
        <v>6.51119E-2</v>
      </c>
      <c r="CO99" s="83">
        <v>7.3439100000000004E-3</v>
      </c>
      <c r="CP99" s="83">
        <v>8.9499000000000002E-3</v>
      </c>
      <c r="CQ99" s="83">
        <v>6.1275099999999999E-2</v>
      </c>
      <c r="CR99" s="83">
        <v>7.3869599999999997E-3</v>
      </c>
      <c r="CS99" s="83">
        <v>8.9499000000000002E-3</v>
      </c>
      <c r="CT99" s="83">
        <v>5.5945700000000001E-2</v>
      </c>
      <c r="CU99" s="83">
        <v>7.4056599999999997E-3</v>
      </c>
      <c r="CV99" s="83">
        <v>8.9499000000000002E-3</v>
      </c>
      <c r="CW99" s="83">
        <v>4.85697E-2</v>
      </c>
      <c r="CX99" s="83">
        <v>7.2500799999999999E-3</v>
      </c>
    </row>
    <row r="100" spans="1:102" x14ac:dyDescent="0.2">
      <c r="A100" s="83">
        <v>9.0498999999999996E-3</v>
      </c>
      <c r="B100" s="83">
        <v>0.124357</v>
      </c>
      <c r="C100" s="83">
        <v>6.8126200000000001E-3</v>
      </c>
      <c r="D100" s="83">
        <v>9.0498999999999996E-3</v>
      </c>
      <c r="E100" s="83">
        <v>0.129188</v>
      </c>
      <c r="F100" s="83">
        <v>6.91005E-3</v>
      </c>
      <c r="G100" s="83">
        <v>9.0498999999999996E-3</v>
      </c>
      <c r="H100" s="83">
        <v>0.13361100000000001</v>
      </c>
      <c r="I100" s="83">
        <v>7.0767199999999999E-3</v>
      </c>
      <c r="J100" s="83">
        <v>9.0498999999999996E-3</v>
      </c>
      <c r="K100" s="83">
        <v>0.134681</v>
      </c>
      <c r="L100" s="83">
        <v>7.0051799999999997E-3</v>
      </c>
      <c r="M100" s="83">
        <v>9.0498999999999996E-3</v>
      </c>
      <c r="N100" s="83">
        <v>0.133905</v>
      </c>
      <c r="O100" s="83">
        <v>6.9409900000000002E-3</v>
      </c>
      <c r="P100" s="83">
        <v>9.0498999999999996E-3</v>
      </c>
      <c r="Q100" s="83">
        <v>0.13506599999999999</v>
      </c>
      <c r="R100" s="83">
        <v>7.0531600000000002E-3</v>
      </c>
      <c r="S100" s="83">
        <v>9.0498999999999996E-3</v>
      </c>
      <c r="T100" s="83">
        <v>0.13611200000000001</v>
      </c>
      <c r="U100" s="83">
        <v>7.0983599999999997E-3</v>
      </c>
      <c r="V100" s="83">
        <v>9.0498999999999996E-3</v>
      </c>
      <c r="W100" s="83">
        <v>0.13176599999999999</v>
      </c>
      <c r="X100" s="83">
        <v>7.0417500000000003E-3</v>
      </c>
      <c r="Y100" s="83">
        <v>9.0498999999999996E-3</v>
      </c>
      <c r="Z100" s="83">
        <v>0.13002</v>
      </c>
      <c r="AA100" s="83">
        <v>7.0169200000000003E-3</v>
      </c>
      <c r="AB100" s="83">
        <v>9.0498999999999996E-3</v>
      </c>
      <c r="AC100" s="83">
        <v>0.12919800000000001</v>
      </c>
      <c r="AD100" s="83">
        <v>7.0479799999999997E-3</v>
      </c>
      <c r="AE100" s="83">
        <v>9.0498999999999996E-3</v>
      </c>
      <c r="AF100" s="83">
        <v>0.127303</v>
      </c>
      <c r="AG100" s="83">
        <v>7.0068300000000003E-3</v>
      </c>
      <c r="AH100" s="83">
        <v>9.0498999999999996E-3</v>
      </c>
      <c r="AI100" s="83">
        <v>0.124781</v>
      </c>
      <c r="AJ100" s="83">
        <v>7.0581100000000003E-3</v>
      </c>
      <c r="AK100" s="83">
        <v>9.0498999999999996E-3</v>
      </c>
      <c r="AL100" s="83">
        <v>0.123734</v>
      </c>
      <c r="AM100" s="83">
        <v>7.05128E-3</v>
      </c>
      <c r="AN100" s="83">
        <v>9.0498999999999996E-3</v>
      </c>
      <c r="AO100" s="83">
        <v>0.121063</v>
      </c>
      <c r="AP100" s="83">
        <v>7.0986900000000004E-3</v>
      </c>
      <c r="AQ100" s="83">
        <v>9.0498999999999996E-3</v>
      </c>
      <c r="AR100" s="83">
        <v>0.117189</v>
      </c>
      <c r="AS100" s="83">
        <v>6.9971199999999999E-3</v>
      </c>
      <c r="AT100" s="83">
        <v>9.0498999999999996E-3</v>
      </c>
      <c r="AU100" s="83">
        <v>0.112663</v>
      </c>
      <c r="AV100" s="83">
        <v>6.9806699999999996E-3</v>
      </c>
      <c r="AW100" s="83">
        <v>9.0498999999999996E-3</v>
      </c>
      <c r="AX100" s="83">
        <v>0.110718</v>
      </c>
      <c r="AY100" s="83">
        <v>7.0117799999999996E-3</v>
      </c>
      <c r="AZ100" s="83">
        <v>9.0498999999999996E-3</v>
      </c>
      <c r="BA100" s="83">
        <v>0.106993</v>
      </c>
      <c r="BB100" s="83">
        <v>6.9768399999999998E-3</v>
      </c>
      <c r="BC100" s="83">
        <v>9.0498999999999996E-3</v>
      </c>
      <c r="BD100" s="83">
        <v>0.107511</v>
      </c>
      <c r="BE100" s="83">
        <v>7.1377699999999999E-3</v>
      </c>
      <c r="BF100" s="83">
        <v>9.0498999999999996E-3</v>
      </c>
      <c r="BG100" s="83">
        <v>0.103992</v>
      </c>
      <c r="BH100" s="83">
        <v>7.1514600000000001E-3</v>
      </c>
      <c r="BI100" s="83">
        <v>9.0498999999999996E-3</v>
      </c>
      <c r="BJ100" s="83">
        <v>9.8833000000000004E-2</v>
      </c>
      <c r="BK100" s="83">
        <v>7.0334500000000001E-3</v>
      </c>
      <c r="BL100" s="83">
        <v>9.0498999999999996E-3</v>
      </c>
      <c r="BM100" s="83">
        <v>9.3521300000000002E-2</v>
      </c>
      <c r="BN100" s="83">
        <v>6.9741100000000004E-3</v>
      </c>
      <c r="BO100" s="83">
        <v>9.0498999999999996E-3</v>
      </c>
      <c r="BP100" s="83">
        <v>9.1848600000000002E-2</v>
      </c>
      <c r="BQ100" s="83">
        <v>7.0042999999999998E-3</v>
      </c>
      <c r="BR100" s="83">
        <v>9.0498999999999996E-3</v>
      </c>
      <c r="BS100" s="83">
        <v>8.9422399999999999E-2</v>
      </c>
      <c r="BT100" s="83">
        <v>7.0507E-3</v>
      </c>
      <c r="BU100" s="83">
        <v>9.0498999999999996E-3</v>
      </c>
      <c r="BV100" s="83">
        <v>8.7236900000000006E-2</v>
      </c>
      <c r="BW100" s="83">
        <v>7.1228899999999998E-3</v>
      </c>
      <c r="BX100" s="83">
        <v>9.0498999999999996E-3</v>
      </c>
      <c r="BY100" s="83">
        <v>7.9515699999999995E-2</v>
      </c>
      <c r="BZ100" s="83">
        <v>6.9624600000000002E-3</v>
      </c>
      <c r="CA100" s="83">
        <v>9.0498999999999996E-3</v>
      </c>
      <c r="CB100" s="83">
        <v>8.0780400000000002E-2</v>
      </c>
      <c r="CC100" s="83">
        <v>7.2107200000000003E-3</v>
      </c>
      <c r="CD100" s="83">
        <v>9.0498999999999996E-3</v>
      </c>
      <c r="CE100" s="83">
        <v>7.1874999999999994E-2</v>
      </c>
      <c r="CF100" s="83">
        <v>6.9063199999999996E-3</v>
      </c>
      <c r="CG100" s="83">
        <v>9.0498999999999996E-3</v>
      </c>
      <c r="CH100" s="83">
        <v>6.79839E-2</v>
      </c>
      <c r="CI100" s="83">
        <v>6.94628E-3</v>
      </c>
      <c r="CJ100" s="83">
        <v>9.0498999999999996E-3</v>
      </c>
      <c r="CK100" s="83">
        <v>6.2432799999999997E-2</v>
      </c>
      <c r="CL100" s="83">
        <v>6.9281200000000003E-3</v>
      </c>
      <c r="CM100" s="83">
        <v>9.0498999999999996E-3</v>
      </c>
      <c r="CN100" s="83">
        <v>5.9423400000000001E-2</v>
      </c>
      <c r="CO100" s="83">
        <v>6.9786700000000002E-3</v>
      </c>
      <c r="CP100" s="83">
        <v>9.0498999999999996E-3</v>
      </c>
      <c r="CQ100" s="83">
        <v>5.5142299999999998E-2</v>
      </c>
      <c r="CR100" s="83">
        <v>7.0227099999999997E-3</v>
      </c>
      <c r="CS100" s="83">
        <v>9.0498999999999996E-3</v>
      </c>
      <c r="CT100" s="83">
        <v>5.0852899999999999E-2</v>
      </c>
      <c r="CU100" s="83">
        <v>7.0355399999999998E-3</v>
      </c>
      <c r="CV100" s="83">
        <v>9.0498999999999996E-3</v>
      </c>
      <c r="CW100" s="83">
        <v>4.3950500000000003E-2</v>
      </c>
      <c r="CX100" s="83">
        <v>6.88582E-3</v>
      </c>
    </row>
    <row r="101" spans="1:102" x14ac:dyDescent="0.2">
      <c r="A101" s="83">
        <v>9.1499000000000007E-3</v>
      </c>
      <c r="B101" s="83">
        <v>0.117062</v>
      </c>
      <c r="C101" s="83">
        <v>6.4679000000000004E-3</v>
      </c>
      <c r="D101" s="83">
        <v>9.1499000000000007E-3</v>
      </c>
      <c r="E101" s="83">
        <v>0.121697</v>
      </c>
      <c r="F101" s="83">
        <v>6.5897400000000002E-3</v>
      </c>
      <c r="G101" s="83">
        <v>9.1499000000000007E-3</v>
      </c>
      <c r="H101" s="83">
        <v>0.125613</v>
      </c>
      <c r="I101" s="83">
        <v>6.7212499999999998E-3</v>
      </c>
      <c r="J101" s="83">
        <v>9.1499000000000007E-3</v>
      </c>
      <c r="K101" s="83">
        <v>0.12653200000000001</v>
      </c>
      <c r="L101" s="83">
        <v>6.6702200000000001E-3</v>
      </c>
      <c r="M101" s="83">
        <v>9.1499000000000007E-3</v>
      </c>
      <c r="N101" s="83">
        <v>0.12559899999999999</v>
      </c>
      <c r="O101" s="83">
        <v>6.5904099999999997E-3</v>
      </c>
      <c r="P101" s="83">
        <v>9.1499000000000007E-3</v>
      </c>
      <c r="Q101" s="83">
        <v>0.12681899999999999</v>
      </c>
      <c r="R101" s="83">
        <v>6.6918300000000002E-3</v>
      </c>
      <c r="S101" s="83">
        <v>9.1499000000000007E-3</v>
      </c>
      <c r="T101" s="83">
        <v>0.12782099999999999</v>
      </c>
      <c r="U101" s="83">
        <v>6.7546100000000003E-3</v>
      </c>
      <c r="V101" s="83">
        <v>9.1499000000000007E-3</v>
      </c>
      <c r="W101" s="83">
        <v>0.123538</v>
      </c>
      <c r="X101" s="83">
        <v>6.6745600000000004E-3</v>
      </c>
      <c r="Y101" s="83">
        <v>9.1499000000000007E-3</v>
      </c>
      <c r="Z101" s="83">
        <v>0.12188</v>
      </c>
      <c r="AA101" s="83">
        <v>6.65461E-3</v>
      </c>
      <c r="AB101" s="83">
        <v>9.1499000000000007E-3</v>
      </c>
      <c r="AC101" s="83">
        <v>0.121049</v>
      </c>
      <c r="AD101" s="83">
        <v>6.6934799999999999E-3</v>
      </c>
      <c r="AE101" s="83">
        <v>9.1499000000000007E-3</v>
      </c>
      <c r="AF101" s="83">
        <v>0.11887</v>
      </c>
      <c r="AG101" s="83">
        <v>6.6621099999999997E-3</v>
      </c>
      <c r="AH101" s="83">
        <v>9.1499000000000007E-3</v>
      </c>
      <c r="AI101" s="83">
        <v>0.11669</v>
      </c>
      <c r="AJ101" s="83">
        <v>6.7055700000000001E-3</v>
      </c>
      <c r="AK101" s="83">
        <v>9.1499000000000007E-3</v>
      </c>
      <c r="AL101" s="83">
        <v>0.11540400000000001</v>
      </c>
      <c r="AM101" s="83">
        <v>6.7104599999999997E-3</v>
      </c>
      <c r="AN101" s="83">
        <v>9.1499000000000007E-3</v>
      </c>
      <c r="AO101" s="83">
        <v>0.11305</v>
      </c>
      <c r="AP101" s="83">
        <v>6.7344299999999996E-3</v>
      </c>
      <c r="AQ101" s="83">
        <v>9.1499000000000007E-3</v>
      </c>
      <c r="AR101" s="83">
        <v>0.108473</v>
      </c>
      <c r="AS101" s="83">
        <v>6.6553200000000002E-3</v>
      </c>
      <c r="AT101" s="83">
        <v>9.1499000000000007E-3</v>
      </c>
      <c r="AU101" s="83">
        <v>0.105334</v>
      </c>
      <c r="AV101" s="83">
        <v>6.6417999999999998E-3</v>
      </c>
      <c r="AW101" s="83">
        <v>9.1499000000000007E-3</v>
      </c>
      <c r="AX101" s="83">
        <v>0.103204</v>
      </c>
      <c r="AY101" s="83">
        <v>6.67682E-3</v>
      </c>
      <c r="AZ101" s="83">
        <v>9.1499000000000007E-3</v>
      </c>
      <c r="BA101" s="83">
        <v>9.9160799999999993E-2</v>
      </c>
      <c r="BB101" s="83">
        <v>6.61649E-3</v>
      </c>
      <c r="BC101" s="83">
        <v>9.1499000000000007E-3</v>
      </c>
      <c r="BD101" s="83">
        <v>9.9547099999999999E-2</v>
      </c>
      <c r="BE101" s="83">
        <v>6.7949999999999998E-3</v>
      </c>
      <c r="BF101" s="83">
        <v>9.1499000000000007E-3</v>
      </c>
      <c r="BG101" s="83">
        <v>9.6482700000000005E-2</v>
      </c>
      <c r="BH101" s="83">
        <v>6.7969600000000003E-3</v>
      </c>
      <c r="BI101" s="83">
        <v>9.1499000000000007E-3</v>
      </c>
      <c r="BJ101" s="83">
        <v>9.1211E-2</v>
      </c>
      <c r="BK101" s="83">
        <v>6.66235E-3</v>
      </c>
      <c r="BL101" s="83">
        <v>9.1499000000000007E-3</v>
      </c>
      <c r="BM101" s="83">
        <v>8.6929500000000007E-2</v>
      </c>
      <c r="BN101" s="83">
        <v>6.6039899999999997E-3</v>
      </c>
      <c r="BO101" s="83">
        <v>9.1499000000000007E-3</v>
      </c>
      <c r="BP101" s="83">
        <v>8.4700200000000003E-2</v>
      </c>
      <c r="BQ101" s="83">
        <v>6.6498099999999999E-3</v>
      </c>
      <c r="BR101" s="83">
        <v>9.1499000000000007E-3</v>
      </c>
      <c r="BS101" s="83">
        <v>8.2957500000000003E-2</v>
      </c>
      <c r="BT101" s="83">
        <v>6.7225699999999998E-3</v>
      </c>
      <c r="BU101" s="83">
        <v>9.1499000000000007E-3</v>
      </c>
      <c r="BV101" s="83">
        <v>8.0273999999999998E-2</v>
      </c>
      <c r="BW101" s="83">
        <v>6.7703499999999996E-3</v>
      </c>
      <c r="BX101" s="83">
        <v>9.1499000000000007E-3</v>
      </c>
      <c r="BY101" s="83">
        <v>7.3070399999999994E-2</v>
      </c>
      <c r="BZ101" s="83">
        <v>6.6069900000000001E-3</v>
      </c>
      <c r="CA101" s="83">
        <v>9.1499000000000007E-3</v>
      </c>
      <c r="CB101" s="83">
        <v>7.4271599999999993E-2</v>
      </c>
      <c r="CC101" s="83">
        <v>6.8523300000000002E-3</v>
      </c>
      <c r="CD101" s="83">
        <v>9.1499000000000007E-3</v>
      </c>
      <c r="CE101" s="83">
        <v>6.59912E-2</v>
      </c>
      <c r="CF101" s="83">
        <v>6.55574E-3</v>
      </c>
      <c r="CG101" s="83">
        <v>9.1499000000000007E-3</v>
      </c>
      <c r="CH101" s="83">
        <v>6.20806E-2</v>
      </c>
      <c r="CI101" s="83">
        <v>6.6074100000000002E-3</v>
      </c>
      <c r="CJ101" s="83">
        <v>9.1499000000000007E-3</v>
      </c>
      <c r="CK101" s="83">
        <v>5.7105700000000002E-2</v>
      </c>
      <c r="CL101" s="83">
        <v>6.5609300000000004E-3</v>
      </c>
      <c r="CM101" s="83">
        <v>9.1499000000000007E-3</v>
      </c>
      <c r="CN101" s="83">
        <v>5.4174399999999998E-2</v>
      </c>
      <c r="CO101" s="83">
        <v>6.6495699999999996E-3</v>
      </c>
      <c r="CP101" s="83">
        <v>9.1499000000000007E-3</v>
      </c>
      <c r="CQ101" s="83">
        <v>5.024E-2</v>
      </c>
      <c r="CR101" s="83">
        <v>6.6740699999999998E-3</v>
      </c>
      <c r="CS101" s="83">
        <v>9.1499000000000007E-3</v>
      </c>
      <c r="CT101" s="83">
        <v>4.6097100000000002E-2</v>
      </c>
      <c r="CU101" s="83">
        <v>6.6917900000000004E-3</v>
      </c>
      <c r="CV101" s="83">
        <v>9.1499000000000007E-3</v>
      </c>
      <c r="CW101" s="83">
        <v>3.9741600000000002E-2</v>
      </c>
      <c r="CX101" s="83">
        <v>6.53719E-3</v>
      </c>
    </row>
    <row r="102" spans="1:102" x14ac:dyDescent="0.2">
      <c r="A102" s="83">
        <v>9.2499000000000001E-3</v>
      </c>
      <c r="B102" s="83">
        <v>0.10987</v>
      </c>
      <c r="C102" s="83">
        <v>6.1534399999999996E-3</v>
      </c>
      <c r="D102" s="83">
        <v>9.2499000000000001E-3</v>
      </c>
      <c r="E102" s="83">
        <v>0.114764</v>
      </c>
      <c r="F102" s="83">
        <v>6.2430599999999999E-3</v>
      </c>
      <c r="G102" s="83">
        <v>9.2499000000000001E-3</v>
      </c>
      <c r="H102" s="83">
        <v>0.118104</v>
      </c>
      <c r="I102" s="83">
        <v>6.38238E-3</v>
      </c>
      <c r="J102" s="83">
        <v>9.2499000000000001E-3</v>
      </c>
      <c r="K102" s="83">
        <v>0.11874899999999999</v>
      </c>
      <c r="L102" s="83">
        <v>6.3381899999999996E-3</v>
      </c>
      <c r="M102" s="83">
        <v>9.2499000000000001E-3</v>
      </c>
      <c r="N102" s="83">
        <v>0.117821</v>
      </c>
      <c r="O102" s="83">
        <v>6.2749800000000003E-3</v>
      </c>
      <c r="P102" s="83">
        <v>9.2499000000000001E-3</v>
      </c>
      <c r="Q102" s="83">
        <v>0.11916300000000001</v>
      </c>
      <c r="R102" s="83">
        <v>6.3549100000000001E-3</v>
      </c>
      <c r="S102" s="83">
        <v>9.2499000000000001E-3</v>
      </c>
      <c r="T102" s="83">
        <v>0.12013</v>
      </c>
      <c r="U102" s="83">
        <v>6.4137899999999999E-3</v>
      </c>
      <c r="V102" s="83">
        <v>9.2499000000000001E-3</v>
      </c>
      <c r="W102" s="83">
        <v>0.115838</v>
      </c>
      <c r="X102" s="83">
        <v>6.3395999999999999E-3</v>
      </c>
      <c r="Y102" s="83">
        <v>9.2499000000000001E-3</v>
      </c>
      <c r="Z102" s="83">
        <v>0.114527</v>
      </c>
      <c r="AA102" s="83">
        <v>6.3479699999999997E-3</v>
      </c>
      <c r="AB102" s="83">
        <v>9.2499000000000001E-3</v>
      </c>
      <c r="AC102" s="83">
        <v>0.113148</v>
      </c>
      <c r="AD102" s="83">
        <v>6.3526600000000004E-3</v>
      </c>
      <c r="AE102" s="83">
        <v>9.2499000000000001E-3</v>
      </c>
      <c r="AF102" s="83">
        <v>0.11096</v>
      </c>
      <c r="AG102" s="83">
        <v>6.3212900000000002E-3</v>
      </c>
      <c r="AH102" s="83">
        <v>9.2499000000000001E-3</v>
      </c>
      <c r="AI102" s="83">
        <v>0.109195</v>
      </c>
      <c r="AJ102" s="83">
        <v>6.3608400000000004E-3</v>
      </c>
      <c r="AK102" s="83">
        <v>9.2499000000000001E-3</v>
      </c>
      <c r="AL102" s="83">
        <v>0.107904</v>
      </c>
      <c r="AM102" s="83">
        <v>6.3569400000000002E-3</v>
      </c>
      <c r="AN102" s="83">
        <v>9.2499000000000001E-3</v>
      </c>
      <c r="AO102" s="83">
        <v>0.105902</v>
      </c>
      <c r="AP102" s="83">
        <v>6.4033800000000002E-3</v>
      </c>
      <c r="AQ102" s="83">
        <v>9.2499000000000001E-3</v>
      </c>
      <c r="AR102" s="83">
        <v>0.101574</v>
      </c>
      <c r="AS102" s="83">
        <v>6.3291500000000004E-3</v>
      </c>
      <c r="AT102" s="83">
        <v>9.2499000000000001E-3</v>
      </c>
      <c r="AU102" s="83">
        <v>9.8356600000000002E-2</v>
      </c>
      <c r="AV102" s="83">
        <v>6.3009800000000003E-3</v>
      </c>
      <c r="AW102" s="83">
        <v>9.2499000000000001E-3</v>
      </c>
      <c r="AX102" s="83">
        <v>9.5933199999999996E-2</v>
      </c>
      <c r="AY102" s="83">
        <v>6.3399099999999998E-3</v>
      </c>
      <c r="AZ102" s="83">
        <v>9.2499000000000001E-3</v>
      </c>
      <c r="BA102" s="83">
        <v>9.2266299999999996E-2</v>
      </c>
      <c r="BB102" s="83">
        <v>6.3020300000000001E-3</v>
      </c>
      <c r="BC102" s="83">
        <v>9.2499000000000001E-3</v>
      </c>
      <c r="BD102" s="83">
        <v>9.2803899999999995E-2</v>
      </c>
      <c r="BE102" s="83">
        <v>6.4571100000000003E-3</v>
      </c>
      <c r="BF102" s="83">
        <v>9.2499000000000001E-3</v>
      </c>
      <c r="BG102" s="83">
        <v>8.9148699999999997E-2</v>
      </c>
      <c r="BH102" s="83">
        <v>6.4551699999999997E-3</v>
      </c>
      <c r="BI102" s="83">
        <v>9.2499000000000001E-3</v>
      </c>
      <c r="BJ102" s="83">
        <v>8.4389699999999998E-2</v>
      </c>
      <c r="BK102" s="83">
        <v>6.3391100000000002E-3</v>
      </c>
      <c r="BL102" s="83">
        <v>9.2499000000000001E-3</v>
      </c>
      <c r="BM102" s="83">
        <v>8.0415799999999996E-2</v>
      </c>
      <c r="BN102" s="83">
        <v>6.2651199999999999E-3</v>
      </c>
      <c r="BO102" s="83">
        <v>9.2499000000000001E-3</v>
      </c>
      <c r="BP102" s="83">
        <v>7.8152299999999994E-2</v>
      </c>
      <c r="BQ102" s="83">
        <v>6.3099699999999998E-3</v>
      </c>
      <c r="BR102" s="83">
        <v>9.2499000000000001E-3</v>
      </c>
      <c r="BS102" s="83">
        <v>7.6341300000000001E-2</v>
      </c>
      <c r="BT102" s="83">
        <v>6.3758900000000004E-3</v>
      </c>
      <c r="BU102" s="83">
        <v>9.2499000000000001E-3</v>
      </c>
      <c r="BV102" s="83">
        <v>7.4097200000000002E-2</v>
      </c>
      <c r="BW102" s="83">
        <v>6.4480800000000001E-3</v>
      </c>
      <c r="BX102" s="83">
        <v>9.2499000000000001E-3</v>
      </c>
      <c r="BY102" s="83">
        <v>6.7064499999999999E-2</v>
      </c>
      <c r="BZ102" s="83">
        <v>6.2749600000000004E-3</v>
      </c>
      <c r="CA102" s="83">
        <v>9.2499000000000001E-3</v>
      </c>
      <c r="CB102" s="83">
        <v>6.86808E-2</v>
      </c>
      <c r="CC102" s="83">
        <v>6.5017399999999998E-3</v>
      </c>
      <c r="CD102" s="83">
        <v>9.2499000000000001E-3</v>
      </c>
      <c r="CE102" s="83">
        <v>6.0053700000000002E-2</v>
      </c>
      <c r="CF102" s="83">
        <v>6.2178499999999996E-3</v>
      </c>
      <c r="CG102" s="83">
        <v>9.2499000000000001E-3</v>
      </c>
      <c r="CH102" s="83">
        <v>5.6890099999999999E-2</v>
      </c>
      <c r="CI102" s="83">
        <v>6.25487E-3</v>
      </c>
      <c r="CJ102" s="83">
        <v>9.2499000000000001E-3</v>
      </c>
      <c r="CK102" s="83">
        <v>5.1714999999999997E-2</v>
      </c>
      <c r="CL102" s="83">
        <v>6.2406199999999997E-3</v>
      </c>
      <c r="CM102" s="83">
        <v>9.2499000000000001E-3</v>
      </c>
      <c r="CN102" s="83">
        <v>4.9169499999999998E-2</v>
      </c>
      <c r="CO102" s="83">
        <v>6.3116800000000001E-3</v>
      </c>
      <c r="CP102" s="83">
        <v>9.2499000000000001E-3</v>
      </c>
      <c r="CQ102" s="83">
        <v>4.5767299999999997E-2</v>
      </c>
      <c r="CR102" s="83">
        <v>6.3283699999999998E-3</v>
      </c>
      <c r="CS102" s="83">
        <v>9.2499000000000001E-3</v>
      </c>
      <c r="CT102" s="83">
        <v>4.1643899999999998E-2</v>
      </c>
      <c r="CU102" s="83">
        <v>6.3372999999999997E-3</v>
      </c>
      <c r="CV102" s="83">
        <v>9.2499000000000001E-3</v>
      </c>
      <c r="CW102" s="83">
        <v>3.6294300000000002E-2</v>
      </c>
      <c r="CX102" s="83">
        <v>6.19734E-3</v>
      </c>
    </row>
    <row r="103" spans="1:102" x14ac:dyDescent="0.2">
      <c r="A103" s="83">
        <v>9.3498999999999995E-3</v>
      </c>
      <c r="B103" s="83">
        <v>0.103034</v>
      </c>
      <c r="C103" s="83">
        <v>5.8458299999999998E-3</v>
      </c>
      <c r="D103" s="83">
        <v>9.3498999999999995E-3</v>
      </c>
      <c r="E103" s="83">
        <v>0.10747900000000001</v>
      </c>
      <c r="F103" s="83">
        <v>5.9217699999999998E-3</v>
      </c>
      <c r="G103" s="83">
        <v>9.3498999999999995E-3</v>
      </c>
      <c r="H103" s="83">
        <v>0.11058900000000001</v>
      </c>
      <c r="I103" s="83">
        <v>6.0444899999999996E-3</v>
      </c>
      <c r="J103" s="83">
        <v>9.3498999999999995E-3</v>
      </c>
      <c r="K103" s="83">
        <v>0.111542</v>
      </c>
      <c r="L103" s="83">
        <v>6.0042100000000003E-3</v>
      </c>
      <c r="M103" s="83">
        <v>9.3498999999999995E-3</v>
      </c>
      <c r="N103" s="83">
        <v>0.110834</v>
      </c>
      <c r="O103" s="83">
        <v>5.9546699999999996E-3</v>
      </c>
      <c r="P103" s="83">
        <v>9.3498999999999995E-3</v>
      </c>
      <c r="Q103" s="83">
        <v>0.11200499999999999</v>
      </c>
      <c r="R103" s="83">
        <v>6.0414400000000004E-3</v>
      </c>
      <c r="S103" s="83">
        <v>9.3498999999999995E-3</v>
      </c>
      <c r="T103" s="83">
        <v>0.112831</v>
      </c>
      <c r="U103" s="83">
        <v>6.0866399999999999E-3</v>
      </c>
      <c r="V103" s="83">
        <v>9.3498999999999995E-3</v>
      </c>
      <c r="W103" s="83">
        <v>0.10845</v>
      </c>
      <c r="X103" s="83">
        <v>6.0212399999999998E-3</v>
      </c>
      <c r="Y103" s="83">
        <v>9.3498999999999995E-3</v>
      </c>
      <c r="Z103" s="83">
        <v>0.106817</v>
      </c>
      <c r="AA103" s="83">
        <v>6.0227800000000001E-3</v>
      </c>
      <c r="AB103" s="83">
        <v>9.3498999999999995E-3</v>
      </c>
      <c r="AC103" s="83">
        <v>0.105834</v>
      </c>
      <c r="AD103" s="83">
        <v>6.0225900000000004E-3</v>
      </c>
      <c r="AE103" s="83">
        <v>9.3498999999999995E-3</v>
      </c>
      <c r="AF103" s="83">
        <v>0.103841</v>
      </c>
      <c r="AG103" s="83">
        <v>5.9980399999999996E-3</v>
      </c>
      <c r="AH103" s="83">
        <v>9.3498999999999995E-3</v>
      </c>
      <c r="AI103" s="83">
        <v>0.102232</v>
      </c>
      <c r="AJ103" s="83">
        <v>6.0502999999999998E-3</v>
      </c>
      <c r="AK103" s="83">
        <v>9.3498999999999995E-3</v>
      </c>
      <c r="AL103" s="83">
        <v>0.10079399999999999</v>
      </c>
      <c r="AM103" s="83">
        <v>6.05713E-3</v>
      </c>
      <c r="AN103" s="83">
        <v>9.3498999999999995E-3</v>
      </c>
      <c r="AO103" s="83">
        <v>9.8699400000000007E-2</v>
      </c>
      <c r="AP103" s="83">
        <v>6.1006400000000001E-3</v>
      </c>
      <c r="AQ103" s="83">
        <v>9.3498999999999995E-3</v>
      </c>
      <c r="AR103" s="83">
        <v>9.4312800000000002E-2</v>
      </c>
      <c r="AS103" s="83">
        <v>6.0088399999999997E-3</v>
      </c>
      <c r="AT103" s="83">
        <v>9.3498999999999995E-3</v>
      </c>
      <c r="AU103" s="83">
        <v>9.0998200000000001E-2</v>
      </c>
      <c r="AV103" s="83">
        <v>5.9709000000000003E-3</v>
      </c>
      <c r="AW103" s="83">
        <v>9.3498999999999995E-3</v>
      </c>
      <c r="AX103" s="83">
        <v>8.9107099999999995E-2</v>
      </c>
      <c r="AY103" s="83">
        <v>6.0068999999999999E-3</v>
      </c>
      <c r="AZ103" s="83">
        <v>9.3498999999999995E-3</v>
      </c>
      <c r="BA103" s="83">
        <v>8.5777099999999995E-2</v>
      </c>
      <c r="BB103" s="83">
        <v>5.9983199999999997E-3</v>
      </c>
      <c r="BC103" s="83">
        <v>9.3498999999999995E-3</v>
      </c>
      <c r="BD103" s="83">
        <v>8.6304900000000004E-2</v>
      </c>
      <c r="BE103" s="83">
        <v>6.1270300000000003E-3</v>
      </c>
      <c r="BF103" s="83">
        <v>9.3498999999999995E-3</v>
      </c>
      <c r="BG103" s="83">
        <v>8.31673E-2</v>
      </c>
      <c r="BH103" s="83">
        <v>6.1250899999999997E-3</v>
      </c>
      <c r="BI103" s="83">
        <v>9.3498999999999995E-3</v>
      </c>
      <c r="BJ103" s="83">
        <v>7.7866199999999997E-2</v>
      </c>
      <c r="BK103" s="83">
        <v>6.0129399999999996E-3</v>
      </c>
      <c r="BL103" s="83">
        <v>9.3498999999999995E-3</v>
      </c>
      <c r="BM103" s="83">
        <v>7.43172E-2</v>
      </c>
      <c r="BN103" s="83">
        <v>5.9555500000000004E-3</v>
      </c>
      <c r="BO103" s="83">
        <v>9.3498999999999995E-3</v>
      </c>
      <c r="BP103" s="83">
        <v>7.2605500000000003E-2</v>
      </c>
      <c r="BQ103" s="83">
        <v>5.9877000000000003E-3</v>
      </c>
      <c r="BR103" s="83">
        <v>9.3498999999999995E-3</v>
      </c>
      <c r="BS103" s="83">
        <v>7.0955599999999994E-2</v>
      </c>
      <c r="BT103" s="83">
        <v>6.0536299999999999E-3</v>
      </c>
      <c r="BU103" s="83">
        <v>9.3498999999999995E-3</v>
      </c>
      <c r="BV103" s="83">
        <v>6.7905800000000002E-2</v>
      </c>
      <c r="BW103" s="83">
        <v>6.10824E-3</v>
      </c>
      <c r="BX103" s="83">
        <v>9.3498999999999995E-3</v>
      </c>
      <c r="BY103" s="83">
        <v>6.1444400000000003E-2</v>
      </c>
      <c r="BZ103" s="83">
        <v>5.9673399999999998E-3</v>
      </c>
      <c r="CA103" s="83">
        <v>9.3498999999999995E-3</v>
      </c>
      <c r="CB103" s="83">
        <v>6.2933699999999995E-2</v>
      </c>
      <c r="CC103" s="83">
        <v>6.1794700000000003E-3</v>
      </c>
      <c r="CD103" s="83">
        <v>9.3498999999999995E-3</v>
      </c>
      <c r="CE103" s="83">
        <v>5.5092700000000001E-2</v>
      </c>
      <c r="CF103" s="83">
        <v>5.9004599999999997E-3</v>
      </c>
      <c r="CG103" s="83">
        <v>9.3498999999999995E-3</v>
      </c>
      <c r="CH103" s="83">
        <v>5.1694799999999999E-2</v>
      </c>
      <c r="CI103" s="83">
        <v>5.9247900000000001E-3</v>
      </c>
      <c r="CJ103" s="83">
        <v>9.3498999999999995E-3</v>
      </c>
      <c r="CK103" s="83">
        <v>4.7637899999999997E-2</v>
      </c>
      <c r="CL103" s="83">
        <v>5.9173799999999999E-3</v>
      </c>
      <c r="CM103" s="83">
        <v>9.3498999999999995E-3</v>
      </c>
      <c r="CN103" s="83">
        <v>4.4648E-2</v>
      </c>
      <c r="CO103" s="83">
        <v>5.9806299999999998E-3</v>
      </c>
      <c r="CP103" s="83">
        <v>9.3498999999999995E-3</v>
      </c>
      <c r="CQ103" s="83">
        <v>4.1377700000000003E-2</v>
      </c>
      <c r="CR103" s="83">
        <v>6.0070799999999997E-3</v>
      </c>
      <c r="CS103" s="83">
        <v>9.3498999999999995E-3</v>
      </c>
      <c r="CT103" s="83">
        <v>3.7483799999999998E-2</v>
      </c>
      <c r="CU103" s="83">
        <v>6.0345700000000004E-3</v>
      </c>
      <c r="CV103" s="83">
        <v>9.3498999999999995E-3</v>
      </c>
      <c r="CW103" s="83">
        <v>3.2803100000000002E-2</v>
      </c>
      <c r="CX103" s="83">
        <v>5.8848399999999997E-3</v>
      </c>
    </row>
    <row r="104" spans="1:102" x14ac:dyDescent="0.2">
      <c r="A104" s="83">
        <v>9.4499000000000007E-3</v>
      </c>
      <c r="B104" s="83">
        <v>9.71307E-2</v>
      </c>
      <c r="C104" s="83">
        <v>5.5479700000000002E-3</v>
      </c>
      <c r="D104" s="83">
        <v>9.4499000000000007E-3</v>
      </c>
      <c r="E104" s="83">
        <v>0.100911</v>
      </c>
      <c r="F104" s="83">
        <v>5.6112200000000001E-3</v>
      </c>
      <c r="G104" s="83">
        <v>9.4499000000000007E-3</v>
      </c>
      <c r="H104" s="83">
        <v>0.104188</v>
      </c>
      <c r="I104" s="83">
        <v>5.7505500000000001E-3</v>
      </c>
      <c r="J104" s="83">
        <v>9.4499000000000007E-3</v>
      </c>
      <c r="K104" s="83">
        <v>0.10470599999999999</v>
      </c>
      <c r="L104" s="83">
        <v>5.7063499999999998E-3</v>
      </c>
      <c r="M104" s="83">
        <v>9.4499000000000007E-3</v>
      </c>
      <c r="N104" s="83">
        <v>0.10376299999999999</v>
      </c>
      <c r="O104" s="83">
        <v>5.6587699999999996E-3</v>
      </c>
      <c r="P104" s="83">
        <v>9.4499000000000007E-3</v>
      </c>
      <c r="Q104" s="83">
        <v>0.10448</v>
      </c>
      <c r="R104" s="83">
        <v>5.7406599999999999E-3</v>
      </c>
      <c r="S104" s="83">
        <v>9.4499000000000007E-3</v>
      </c>
      <c r="T104" s="83">
        <v>0.105321</v>
      </c>
      <c r="U104" s="83">
        <v>5.7858600000000003E-3</v>
      </c>
      <c r="V104" s="83">
        <v>9.4499000000000007E-3</v>
      </c>
      <c r="W104" s="83">
        <v>0.10137500000000001</v>
      </c>
      <c r="X104" s="83">
        <v>5.7019000000000002E-3</v>
      </c>
      <c r="Y104" s="83">
        <v>9.4499000000000007E-3</v>
      </c>
      <c r="Z104" s="83">
        <v>9.9580399999999999E-2</v>
      </c>
      <c r="AA104" s="83">
        <v>5.7239500000000002E-3</v>
      </c>
      <c r="AB104" s="83">
        <v>9.4499000000000007E-3</v>
      </c>
      <c r="AC104" s="83">
        <v>9.8656300000000002E-2</v>
      </c>
      <c r="AD104" s="83">
        <v>5.7149699999999998E-3</v>
      </c>
      <c r="AE104" s="83">
        <v>9.4499000000000007E-3</v>
      </c>
      <c r="AF104" s="83">
        <v>9.67803E-2</v>
      </c>
      <c r="AG104" s="83">
        <v>5.6904299999999998E-3</v>
      </c>
      <c r="AH104" s="83">
        <v>9.4499000000000007E-3</v>
      </c>
      <c r="AI104" s="83">
        <v>9.5122899999999996E-2</v>
      </c>
      <c r="AJ104" s="83">
        <v>5.7465800000000003E-3</v>
      </c>
      <c r="AK104" s="83">
        <v>9.4499000000000007E-3</v>
      </c>
      <c r="AL104" s="83">
        <v>9.39778E-2</v>
      </c>
      <c r="AM104" s="83">
        <v>5.7309600000000002E-3</v>
      </c>
      <c r="AN104" s="83">
        <v>9.4499000000000007E-3</v>
      </c>
      <c r="AO104" s="83">
        <v>9.1839100000000007E-2</v>
      </c>
      <c r="AP104" s="83">
        <v>5.7686100000000004E-3</v>
      </c>
      <c r="AQ104" s="83">
        <v>9.4499000000000007E-3</v>
      </c>
      <c r="AR104" s="83">
        <v>8.7965199999999993E-2</v>
      </c>
      <c r="AS104" s="83">
        <v>5.7051300000000001E-3</v>
      </c>
      <c r="AT104" s="83">
        <v>9.4499000000000007E-3</v>
      </c>
      <c r="AU104" s="83">
        <v>8.43917E-2</v>
      </c>
      <c r="AV104" s="83">
        <v>5.6564500000000004E-3</v>
      </c>
      <c r="AW104" s="83">
        <v>9.4499000000000007E-3</v>
      </c>
      <c r="AX104" s="83">
        <v>8.2793599999999995E-2</v>
      </c>
      <c r="AY104" s="83">
        <v>5.6992800000000001E-3</v>
      </c>
      <c r="AZ104" s="83">
        <v>9.4499000000000007E-3</v>
      </c>
      <c r="BA104" s="83">
        <v>7.9405000000000003E-2</v>
      </c>
      <c r="BB104" s="83">
        <v>5.6887500000000002E-3</v>
      </c>
      <c r="BC104" s="83">
        <v>9.4499000000000007E-3</v>
      </c>
      <c r="BD104" s="83">
        <v>7.9761899999999997E-2</v>
      </c>
      <c r="BE104" s="83">
        <v>5.8076899999999999E-3</v>
      </c>
      <c r="BF104" s="83">
        <v>9.4499000000000007E-3</v>
      </c>
      <c r="BG104" s="83">
        <v>7.7088199999999996E-2</v>
      </c>
      <c r="BH104" s="83">
        <v>5.83017E-3</v>
      </c>
      <c r="BI104" s="83">
        <v>9.4499000000000007E-3</v>
      </c>
      <c r="BJ104" s="83">
        <v>7.1909200000000006E-2</v>
      </c>
      <c r="BK104" s="83">
        <v>5.7131400000000002E-3</v>
      </c>
      <c r="BL104" s="83">
        <v>9.4499000000000007E-3</v>
      </c>
      <c r="BM104" s="83">
        <v>6.8911899999999998E-2</v>
      </c>
      <c r="BN104" s="83">
        <v>5.6528200000000002E-3</v>
      </c>
      <c r="BO104" s="83">
        <v>9.4499000000000007E-3</v>
      </c>
      <c r="BP104" s="83">
        <v>6.6584900000000002E-2</v>
      </c>
      <c r="BQ104" s="83">
        <v>5.6810599999999999E-3</v>
      </c>
      <c r="BR104" s="83">
        <v>9.4499000000000007E-3</v>
      </c>
      <c r="BS104" s="83">
        <v>6.4978999999999995E-2</v>
      </c>
      <c r="BT104" s="83">
        <v>5.7381999999999997E-3</v>
      </c>
      <c r="BU104" s="83">
        <v>9.4499000000000007E-3</v>
      </c>
      <c r="BV104" s="83">
        <v>6.2593300000000004E-2</v>
      </c>
      <c r="BW104" s="83">
        <v>5.8045299999999996E-3</v>
      </c>
      <c r="BX104" s="83">
        <v>9.4499000000000007E-3</v>
      </c>
      <c r="BY104" s="83">
        <v>5.64541E-2</v>
      </c>
      <c r="BZ104" s="83">
        <v>5.6704700000000004E-3</v>
      </c>
      <c r="CA104" s="83">
        <v>9.4499000000000007E-3</v>
      </c>
      <c r="CB104" s="83">
        <v>5.7606499999999998E-2</v>
      </c>
      <c r="CC104" s="83">
        <v>5.8698999999999999E-3</v>
      </c>
      <c r="CD104" s="83">
        <v>9.4499000000000007E-3</v>
      </c>
      <c r="CE104" s="83">
        <v>5.0322199999999997E-2</v>
      </c>
      <c r="CF104" s="83">
        <v>5.5996800000000001E-3</v>
      </c>
      <c r="CG104" s="83">
        <v>9.4499000000000007E-3</v>
      </c>
      <c r="CH104" s="83">
        <v>4.7485800000000002E-2</v>
      </c>
      <c r="CI104" s="83">
        <v>5.6337799999999997E-3</v>
      </c>
      <c r="CJ104" s="83">
        <v>9.4499000000000007E-3</v>
      </c>
      <c r="CK104" s="83">
        <v>4.32238E-2</v>
      </c>
      <c r="CL104" s="83">
        <v>5.6214799999999999E-3</v>
      </c>
      <c r="CM104" s="83">
        <v>9.4499000000000007E-3</v>
      </c>
      <c r="CN104" s="83">
        <v>4.0497600000000002E-2</v>
      </c>
      <c r="CO104" s="83">
        <v>5.6769200000000002E-3</v>
      </c>
      <c r="CP104" s="83">
        <v>9.4499000000000007E-3</v>
      </c>
      <c r="CQ104" s="83">
        <v>3.75056E-2</v>
      </c>
      <c r="CR104" s="83">
        <v>5.7102100000000003E-3</v>
      </c>
      <c r="CS104" s="83">
        <v>9.4499000000000007E-3</v>
      </c>
      <c r="CT104" s="83">
        <v>3.3577500000000003E-2</v>
      </c>
      <c r="CU104" s="83">
        <v>5.7230400000000004E-3</v>
      </c>
      <c r="CV104" s="83">
        <v>9.4499000000000007E-3</v>
      </c>
      <c r="CW104" s="83">
        <v>2.9438800000000001E-2</v>
      </c>
      <c r="CX104" s="83">
        <v>5.6172699999999997E-3</v>
      </c>
    </row>
    <row r="105" spans="1:102" x14ac:dyDescent="0.2">
      <c r="A105" s="83">
        <v>9.5499000000000001E-3</v>
      </c>
      <c r="B105" s="83">
        <v>9.0831899999999993E-2</v>
      </c>
      <c r="C105" s="83">
        <v>5.2589100000000003E-3</v>
      </c>
      <c r="D105" s="83">
        <v>9.5499000000000001E-3</v>
      </c>
      <c r="E105" s="83">
        <v>9.4426899999999994E-2</v>
      </c>
      <c r="F105" s="83">
        <v>5.3299699999999998E-3</v>
      </c>
      <c r="G105" s="83">
        <v>9.5499000000000001E-3</v>
      </c>
      <c r="H105" s="83">
        <v>9.74053E-2</v>
      </c>
      <c r="I105" s="83">
        <v>5.46344E-3</v>
      </c>
      <c r="J105" s="83">
        <v>9.5499000000000001E-3</v>
      </c>
      <c r="K105" s="83">
        <v>9.8196900000000004E-2</v>
      </c>
      <c r="L105" s="83">
        <v>5.41436E-3</v>
      </c>
      <c r="M105" s="83">
        <v>9.5499000000000001E-3</v>
      </c>
      <c r="N105" s="83">
        <v>9.6800399999999995E-2</v>
      </c>
      <c r="O105" s="83">
        <v>5.3521300000000001E-3</v>
      </c>
      <c r="P105" s="83">
        <v>9.5499000000000001E-3</v>
      </c>
      <c r="Q105" s="83">
        <v>9.8069199999999995E-2</v>
      </c>
      <c r="R105" s="83">
        <v>5.4291299999999999E-3</v>
      </c>
      <c r="S105" s="83">
        <v>9.5499000000000001E-3</v>
      </c>
      <c r="T105" s="83">
        <v>9.8377500000000007E-2</v>
      </c>
      <c r="U105" s="83">
        <v>5.4938699999999997E-3</v>
      </c>
      <c r="V105" s="83">
        <v>9.5499000000000001E-3</v>
      </c>
      <c r="W105" s="83">
        <v>9.5139899999999999E-2</v>
      </c>
      <c r="X105" s="83">
        <v>5.4265099999999998E-3</v>
      </c>
      <c r="Y105" s="83">
        <v>9.5499000000000001E-3</v>
      </c>
      <c r="Z105" s="83">
        <v>9.3344999999999997E-2</v>
      </c>
      <c r="AA105" s="83">
        <v>5.4231699999999997E-3</v>
      </c>
      <c r="AB105" s="83">
        <v>9.5499000000000001E-3</v>
      </c>
      <c r="AC105" s="83">
        <v>9.2025399999999993E-2</v>
      </c>
      <c r="AD105" s="83">
        <v>5.4288399999999999E-3</v>
      </c>
      <c r="AE105" s="83">
        <v>9.5499000000000001E-3</v>
      </c>
      <c r="AF105" s="83">
        <v>9.06719E-2</v>
      </c>
      <c r="AG105" s="83">
        <v>5.3915999999999999E-3</v>
      </c>
      <c r="AH105" s="83">
        <v>9.5499000000000001E-3</v>
      </c>
      <c r="AI105" s="83">
        <v>8.8501800000000005E-2</v>
      </c>
      <c r="AJ105" s="83">
        <v>5.4477600000000003E-3</v>
      </c>
      <c r="AK105" s="83">
        <v>9.5499000000000001E-3</v>
      </c>
      <c r="AL105" s="83">
        <v>8.7014900000000006E-2</v>
      </c>
      <c r="AM105" s="83">
        <v>5.4389699999999996E-3</v>
      </c>
      <c r="AN105" s="83">
        <v>9.5499000000000001E-3</v>
      </c>
      <c r="AO105" s="83">
        <v>8.5256999999999999E-2</v>
      </c>
      <c r="AP105" s="83">
        <v>5.5068900000000004E-3</v>
      </c>
      <c r="AQ105" s="83">
        <v>9.5499000000000001E-3</v>
      </c>
      <c r="AR105" s="83">
        <v>8.1998399999999999E-2</v>
      </c>
      <c r="AS105" s="83">
        <v>5.38091E-3</v>
      </c>
      <c r="AT105" s="83">
        <v>9.5499000000000001E-3</v>
      </c>
      <c r="AU105" s="83">
        <v>7.8459100000000004E-2</v>
      </c>
      <c r="AV105" s="83">
        <v>5.3918000000000004E-3</v>
      </c>
      <c r="AW105" s="83">
        <v>9.5499000000000001E-3</v>
      </c>
      <c r="AX105" s="83">
        <v>7.6533799999999999E-2</v>
      </c>
      <c r="AY105" s="83">
        <v>5.39655E-3</v>
      </c>
      <c r="AZ105" s="83">
        <v>9.5499000000000001E-3</v>
      </c>
      <c r="BA105" s="83">
        <v>7.3423500000000003E-2</v>
      </c>
      <c r="BB105" s="83">
        <v>5.4075E-3</v>
      </c>
      <c r="BC105" s="83">
        <v>9.5499000000000001E-3</v>
      </c>
      <c r="BD105" s="83">
        <v>7.4146699999999996E-2</v>
      </c>
      <c r="BE105" s="83">
        <v>5.5137500000000004E-3</v>
      </c>
      <c r="BF105" s="83">
        <v>9.5499000000000001E-3</v>
      </c>
      <c r="BG105" s="83">
        <v>7.0970000000000005E-2</v>
      </c>
      <c r="BH105" s="83">
        <v>5.5371999999999999E-3</v>
      </c>
      <c r="BI105" s="83">
        <v>9.5499000000000001E-3</v>
      </c>
      <c r="BJ105" s="83">
        <v>6.6557599999999995E-2</v>
      </c>
      <c r="BK105" s="83">
        <v>5.4387200000000002E-3</v>
      </c>
      <c r="BL105" s="83">
        <v>9.5499000000000001E-3</v>
      </c>
      <c r="BM105" s="83">
        <v>6.3516400000000001E-2</v>
      </c>
      <c r="BN105" s="83">
        <v>5.3676599999999998E-3</v>
      </c>
      <c r="BO105" s="83">
        <v>9.5499000000000001E-3</v>
      </c>
      <c r="BP105" s="83">
        <v>6.0945300000000001E-2</v>
      </c>
      <c r="BQ105" s="83">
        <v>5.3959000000000003E-3</v>
      </c>
      <c r="BR105" s="83">
        <v>9.5499000000000001E-3</v>
      </c>
      <c r="BS105" s="83">
        <v>5.9666499999999997E-2</v>
      </c>
      <c r="BT105" s="83">
        <v>5.4794099999999997E-3</v>
      </c>
      <c r="BU105" s="83">
        <v>9.5499000000000001E-3</v>
      </c>
      <c r="BV105" s="83">
        <v>5.7461499999999999E-2</v>
      </c>
      <c r="BW105" s="83">
        <v>5.5154599999999998E-3</v>
      </c>
      <c r="BX105" s="83">
        <v>9.5499000000000001E-3</v>
      </c>
      <c r="BY105" s="83">
        <v>5.1751999999999999E-2</v>
      </c>
      <c r="BZ105" s="83">
        <v>5.3745700000000004E-3</v>
      </c>
      <c r="CA105" s="83">
        <v>9.5499000000000001E-3</v>
      </c>
      <c r="CB105" s="83">
        <v>5.2753000000000001E-2</v>
      </c>
      <c r="CC105" s="83">
        <v>5.5583799999999999E-3</v>
      </c>
      <c r="CD105" s="83">
        <v>9.5499000000000001E-3</v>
      </c>
      <c r="CE105" s="83">
        <v>4.5761700000000002E-2</v>
      </c>
      <c r="CF105" s="83">
        <v>5.3174600000000004E-3</v>
      </c>
      <c r="CG105" s="83">
        <v>9.5499000000000001E-3</v>
      </c>
      <c r="CH105" s="83">
        <v>4.29936E-2</v>
      </c>
      <c r="CI105" s="83">
        <v>5.3369000000000003E-3</v>
      </c>
      <c r="CJ105" s="83">
        <v>9.5499000000000001E-3</v>
      </c>
      <c r="CK105" s="83">
        <v>3.9381100000000002E-2</v>
      </c>
      <c r="CL105" s="83">
        <v>5.3304600000000004E-3</v>
      </c>
      <c r="CM105" s="83">
        <v>9.5499000000000001E-3</v>
      </c>
      <c r="CN105" s="83">
        <v>3.7118699999999998E-2</v>
      </c>
      <c r="CO105" s="83">
        <v>5.39274E-3</v>
      </c>
      <c r="CP105" s="83">
        <v>9.5499000000000001E-3</v>
      </c>
      <c r="CQ105" s="83">
        <v>3.3945999999999997E-2</v>
      </c>
      <c r="CR105" s="83">
        <v>5.4025899999999996E-3</v>
      </c>
      <c r="CS105" s="83">
        <v>9.5499000000000001E-3</v>
      </c>
      <c r="CT105" s="83">
        <v>3.0716199999999999E-2</v>
      </c>
      <c r="CU105" s="83">
        <v>5.4232400000000002E-3</v>
      </c>
      <c r="CV105" s="83">
        <v>9.5499000000000001E-3</v>
      </c>
      <c r="CW105" s="83">
        <v>2.6616600000000001E-2</v>
      </c>
      <c r="CX105" s="83">
        <v>5.3125799999999999E-3</v>
      </c>
    </row>
    <row r="106" spans="1:102" x14ac:dyDescent="0.2">
      <c r="A106" s="83">
        <v>9.6498999999999995E-3</v>
      </c>
      <c r="B106" s="83">
        <v>8.4991999999999998E-2</v>
      </c>
      <c r="C106" s="83">
        <v>4.9708299999999999E-3</v>
      </c>
      <c r="D106" s="83">
        <v>9.6498999999999995E-3</v>
      </c>
      <c r="E106" s="83">
        <v>8.8523599999999994E-2</v>
      </c>
      <c r="F106" s="83">
        <v>5.0682499999999998E-3</v>
      </c>
      <c r="G106" s="83">
        <v>9.6498999999999995E-3</v>
      </c>
      <c r="H106" s="83">
        <v>9.1028399999999995E-2</v>
      </c>
      <c r="I106" s="83">
        <v>5.16754E-3</v>
      </c>
      <c r="J106" s="83">
        <v>9.6498999999999995E-3</v>
      </c>
      <c r="K106" s="83">
        <v>9.1775999999999996E-2</v>
      </c>
      <c r="L106" s="83">
        <v>5.1487399999999997E-3</v>
      </c>
      <c r="M106" s="83">
        <v>9.6498999999999995E-3</v>
      </c>
      <c r="N106" s="83">
        <v>9.1033799999999998E-2</v>
      </c>
      <c r="O106" s="83">
        <v>5.0884499999999996E-3</v>
      </c>
      <c r="P106" s="83">
        <v>9.6498999999999995E-3</v>
      </c>
      <c r="Q106" s="83">
        <v>9.1506699999999996E-2</v>
      </c>
      <c r="R106" s="83">
        <v>5.1537400000000004E-3</v>
      </c>
      <c r="S106" s="83">
        <v>9.6498999999999995E-3</v>
      </c>
      <c r="T106" s="83">
        <v>9.1800300000000001E-2</v>
      </c>
      <c r="U106" s="83">
        <v>5.2135999999999997E-3</v>
      </c>
      <c r="V106" s="83">
        <v>9.6498999999999995E-3</v>
      </c>
      <c r="W106" s="83">
        <v>8.8684799999999994E-2</v>
      </c>
      <c r="X106" s="83">
        <v>5.1413500000000003E-3</v>
      </c>
      <c r="Y106" s="83">
        <v>9.6498999999999995E-3</v>
      </c>
      <c r="Z106" s="83">
        <v>8.6855799999999997E-2</v>
      </c>
      <c r="AA106" s="83">
        <v>5.1458199999999997E-3</v>
      </c>
      <c r="AB106" s="83">
        <v>9.6498999999999995E-3</v>
      </c>
      <c r="AC106" s="83">
        <v>8.6122099999999993E-2</v>
      </c>
      <c r="AD106" s="83">
        <v>5.15833E-3</v>
      </c>
      <c r="AE106" s="83">
        <v>9.6498999999999995E-3</v>
      </c>
      <c r="AF106" s="83">
        <v>8.4343799999999997E-2</v>
      </c>
      <c r="AG106" s="83">
        <v>5.1484399999999998E-3</v>
      </c>
      <c r="AH106" s="83">
        <v>9.6498999999999995E-3</v>
      </c>
      <c r="AI106" s="83">
        <v>8.20858E-2</v>
      </c>
      <c r="AJ106" s="83">
        <v>5.1723699999999999E-3</v>
      </c>
      <c r="AK106" s="83">
        <v>9.6498999999999995E-3</v>
      </c>
      <c r="AL106" s="83">
        <v>8.1634100000000001E-2</v>
      </c>
      <c r="AM106" s="83">
        <v>5.1840899999999997E-3</v>
      </c>
      <c r="AN106" s="83">
        <v>9.6498999999999995E-3</v>
      </c>
      <c r="AO106" s="83">
        <v>7.9500199999999993E-2</v>
      </c>
      <c r="AP106" s="83">
        <v>5.2188E-3</v>
      </c>
      <c r="AQ106" s="83">
        <v>9.6498999999999995E-3</v>
      </c>
      <c r="AR106" s="83">
        <v>7.6055999999999999E-2</v>
      </c>
      <c r="AS106" s="83">
        <v>5.1211399999999997E-3</v>
      </c>
      <c r="AT106" s="83">
        <v>9.6498999999999995E-3</v>
      </c>
      <c r="AU106" s="83">
        <v>7.2834099999999999E-2</v>
      </c>
      <c r="AV106" s="83">
        <v>5.0871099999999997E-3</v>
      </c>
      <c r="AW106" s="83">
        <v>9.6498999999999995E-3</v>
      </c>
      <c r="AX106" s="83">
        <v>7.1441000000000004E-2</v>
      </c>
      <c r="AY106" s="83">
        <v>5.1319E-3</v>
      </c>
      <c r="AZ106" s="83">
        <v>9.6498999999999995E-3</v>
      </c>
      <c r="BA106" s="83">
        <v>6.8179400000000001E-2</v>
      </c>
      <c r="BB106" s="83">
        <v>5.1203899999999998E-3</v>
      </c>
      <c r="BC106" s="83">
        <v>9.6498999999999995E-3</v>
      </c>
      <c r="BD106" s="83">
        <v>6.8629099999999998E-2</v>
      </c>
      <c r="BE106" s="83">
        <v>5.2354300000000001E-3</v>
      </c>
      <c r="BF106" s="83">
        <v>9.6498999999999995E-3</v>
      </c>
      <c r="BG106" s="83">
        <v>6.5574499999999994E-2</v>
      </c>
      <c r="BH106" s="83">
        <v>5.25107E-3</v>
      </c>
      <c r="BI106" s="83">
        <v>9.6498999999999995E-3</v>
      </c>
      <c r="BJ106" s="83">
        <v>6.1440399999999999E-2</v>
      </c>
      <c r="BK106" s="83">
        <v>5.15161E-3</v>
      </c>
      <c r="BL106" s="83">
        <v>9.6498999999999995E-3</v>
      </c>
      <c r="BM106" s="83">
        <v>5.8233199999999999E-2</v>
      </c>
      <c r="BN106" s="83">
        <v>5.1010600000000001E-3</v>
      </c>
      <c r="BO106" s="83">
        <v>9.6498999999999995E-3</v>
      </c>
      <c r="BP106" s="83">
        <v>5.6277300000000002E-2</v>
      </c>
      <c r="BQ106" s="83">
        <v>5.1234399999999999E-3</v>
      </c>
      <c r="BR106" s="83">
        <v>9.6498999999999995E-3</v>
      </c>
      <c r="BS106" s="83">
        <v>5.5052299999999998E-2</v>
      </c>
      <c r="BT106" s="83">
        <v>5.1688599999999999E-3</v>
      </c>
      <c r="BU106" s="83">
        <v>9.6498999999999995E-3</v>
      </c>
      <c r="BV106" s="83">
        <v>5.22906E-2</v>
      </c>
      <c r="BW106" s="83">
        <v>5.2254299999999997E-3</v>
      </c>
      <c r="BX106" s="83">
        <v>9.6498999999999995E-3</v>
      </c>
      <c r="BY106" s="83">
        <v>4.7123100000000001E-2</v>
      </c>
      <c r="BZ106" s="83">
        <v>5.1060200000000002E-3</v>
      </c>
      <c r="CA106" s="83">
        <v>9.6498999999999995E-3</v>
      </c>
      <c r="CB106" s="83">
        <v>4.8285300000000003E-2</v>
      </c>
      <c r="CC106" s="83">
        <v>5.2859200000000004E-3</v>
      </c>
      <c r="CD106" s="83">
        <v>9.6498999999999995E-3</v>
      </c>
      <c r="CE106" s="83">
        <v>4.1645500000000002E-2</v>
      </c>
      <c r="CF106" s="83">
        <v>5.0371799999999996E-3</v>
      </c>
      <c r="CG106" s="83">
        <v>9.6498999999999995E-3</v>
      </c>
      <c r="CH106" s="83">
        <v>3.9331499999999998E-2</v>
      </c>
      <c r="CI106" s="83">
        <v>5.0624900000000002E-3</v>
      </c>
      <c r="CJ106" s="83">
        <v>9.6498999999999995E-3</v>
      </c>
      <c r="CK106" s="83">
        <v>3.5987499999999999E-2</v>
      </c>
      <c r="CL106" s="83">
        <v>5.0345700000000004E-3</v>
      </c>
      <c r="CM106" s="83">
        <v>9.6498999999999995E-3</v>
      </c>
      <c r="CN106" s="83">
        <v>3.36715E-2</v>
      </c>
      <c r="CO106" s="83">
        <v>5.0919499999999996E-3</v>
      </c>
      <c r="CP106" s="83">
        <v>9.6498999999999995E-3</v>
      </c>
      <c r="CQ106" s="83">
        <v>3.08405E-2</v>
      </c>
      <c r="CR106" s="83">
        <v>5.1272000000000002E-3</v>
      </c>
      <c r="CS106" s="83">
        <v>9.6498999999999995E-3</v>
      </c>
      <c r="CT106" s="83">
        <v>2.7830500000000001E-2</v>
      </c>
      <c r="CU106" s="83">
        <v>5.1419899999999999E-3</v>
      </c>
      <c r="CV106" s="83">
        <v>9.6498999999999995E-3</v>
      </c>
      <c r="CW106" s="83">
        <v>2.4101899999999999E-2</v>
      </c>
      <c r="CX106" s="83">
        <v>5.02938E-3</v>
      </c>
    </row>
    <row r="107" spans="1:102" x14ac:dyDescent="0.2">
      <c r="A107" s="83">
        <v>9.7499000000000006E-3</v>
      </c>
      <c r="B107" s="83">
        <v>7.9493999999999995E-2</v>
      </c>
      <c r="C107" s="83">
        <v>4.7159400000000001E-3</v>
      </c>
      <c r="D107" s="83">
        <v>9.7499000000000006E-3</v>
      </c>
      <c r="E107" s="83">
        <v>8.2566600000000004E-2</v>
      </c>
      <c r="F107" s="83">
        <v>4.7879799999999998E-3</v>
      </c>
      <c r="G107" s="83">
        <v>9.7499000000000006E-3</v>
      </c>
      <c r="H107" s="83">
        <v>8.5232500000000003E-2</v>
      </c>
      <c r="I107" s="83">
        <v>4.8901999999999999E-3</v>
      </c>
      <c r="J107" s="83">
        <v>9.7499000000000006E-3</v>
      </c>
      <c r="K107" s="83">
        <v>8.5652900000000004E-2</v>
      </c>
      <c r="L107" s="83">
        <v>4.8450300000000002E-3</v>
      </c>
      <c r="M107" s="83">
        <v>9.7499000000000006E-3</v>
      </c>
      <c r="N107" s="83">
        <v>8.4564100000000003E-2</v>
      </c>
      <c r="O107" s="83">
        <v>4.8120899999999998E-3</v>
      </c>
      <c r="P107" s="83">
        <v>9.7499000000000006E-3</v>
      </c>
      <c r="Q107" s="83">
        <v>8.5720500000000005E-2</v>
      </c>
      <c r="R107" s="83">
        <v>4.91253E-3</v>
      </c>
      <c r="S107" s="83">
        <v>9.7499000000000006E-3</v>
      </c>
      <c r="T107" s="83">
        <v>8.5887199999999997E-2</v>
      </c>
      <c r="U107" s="83">
        <v>4.9450400000000004E-3</v>
      </c>
      <c r="V107" s="83">
        <v>9.7499000000000006E-3</v>
      </c>
      <c r="W107" s="83">
        <v>8.2698499999999994E-2</v>
      </c>
      <c r="X107" s="83">
        <v>4.8796400000000002E-3</v>
      </c>
      <c r="Y107" s="83">
        <v>9.7499000000000006E-3</v>
      </c>
      <c r="Z107" s="83">
        <v>8.1391900000000003E-2</v>
      </c>
      <c r="AA107" s="83">
        <v>4.8889900000000002E-3</v>
      </c>
      <c r="AB107" s="83">
        <v>9.7499000000000006E-3</v>
      </c>
      <c r="AC107" s="83">
        <v>7.9750100000000004E-2</v>
      </c>
      <c r="AD107" s="83">
        <v>4.8673099999999997E-3</v>
      </c>
      <c r="AE107" s="83">
        <v>9.7499000000000006E-3</v>
      </c>
      <c r="AF107" s="83">
        <v>7.8225600000000006E-2</v>
      </c>
      <c r="AG107" s="83">
        <v>4.8867199999999998E-3</v>
      </c>
      <c r="AH107" s="83">
        <v>9.7499000000000006E-3</v>
      </c>
      <c r="AI107" s="83">
        <v>7.6568200000000003E-2</v>
      </c>
      <c r="AJ107" s="83">
        <v>4.90772E-3</v>
      </c>
      <c r="AK107" s="83">
        <v>9.7499000000000006E-3</v>
      </c>
      <c r="AL107" s="83">
        <v>7.6038400000000006E-2</v>
      </c>
      <c r="AM107" s="83">
        <v>4.9272500000000002E-3</v>
      </c>
      <c r="AN107" s="83">
        <v>9.7499000000000006E-3</v>
      </c>
      <c r="AO107" s="83">
        <v>7.3665300000000003E-2</v>
      </c>
      <c r="AP107" s="83">
        <v>4.9570899999999999E-3</v>
      </c>
      <c r="AQ107" s="83">
        <v>9.7499000000000006E-3</v>
      </c>
      <c r="AR107" s="83">
        <v>7.0181999999999994E-2</v>
      </c>
      <c r="AS107" s="83">
        <v>4.8428200000000003E-3</v>
      </c>
      <c r="AT107" s="83">
        <v>9.7499000000000006E-3</v>
      </c>
      <c r="AU107" s="83">
        <v>6.7160300000000006E-2</v>
      </c>
      <c r="AV107" s="83">
        <v>4.8351599999999998E-3</v>
      </c>
      <c r="AW107" s="83">
        <v>9.7499000000000006E-3</v>
      </c>
      <c r="AX107" s="83">
        <v>6.5777000000000002E-2</v>
      </c>
      <c r="AY107" s="83">
        <v>4.8789699999999998E-3</v>
      </c>
      <c r="AZ107" s="83">
        <v>9.7499000000000006E-3</v>
      </c>
      <c r="BA107" s="83">
        <v>6.2969399999999995E-2</v>
      </c>
      <c r="BB107" s="83">
        <v>4.8381700000000001E-3</v>
      </c>
      <c r="BC107" s="83">
        <v>9.7499000000000006E-3</v>
      </c>
      <c r="BD107" s="83">
        <v>6.3404500000000003E-2</v>
      </c>
      <c r="BE107" s="83">
        <v>4.9424600000000001E-3</v>
      </c>
      <c r="BF107" s="83">
        <v>9.7499000000000006E-3</v>
      </c>
      <c r="BG107" s="83">
        <v>6.0091100000000001E-2</v>
      </c>
      <c r="BH107" s="83">
        <v>4.9805600000000002E-3</v>
      </c>
      <c r="BI107" s="83">
        <v>9.7499000000000006E-3</v>
      </c>
      <c r="BJ107" s="83">
        <v>5.6367199999999999E-2</v>
      </c>
      <c r="BK107" s="83">
        <v>4.8986799999999999E-3</v>
      </c>
      <c r="BL107" s="83">
        <v>9.7499000000000006E-3</v>
      </c>
      <c r="BM107" s="83">
        <v>5.3574999999999998E-2</v>
      </c>
      <c r="BN107" s="83">
        <v>4.8168799999999999E-3</v>
      </c>
      <c r="BO107" s="83">
        <v>9.7499000000000006E-3</v>
      </c>
      <c r="BP107" s="83">
        <v>5.1492200000000002E-2</v>
      </c>
      <c r="BQ107" s="83">
        <v>4.8392599999999997E-3</v>
      </c>
      <c r="BR107" s="83">
        <v>9.7499000000000006E-3</v>
      </c>
      <c r="BS107" s="83">
        <v>5.0472200000000002E-2</v>
      </c>
      <c r="BT107" s="83">
        <v>4.8934699999999996E-3</v>
      </c>
      <c r="BU107" s="83">
        <v>9.7499000000000006E-3</v>
      </c>
      <c r="BV107" s="83">
        <v>4.7564000000000002E-2</v>
      </c>
      <c r="BW107" s="83">
        <v>4.9656600000000002E-3</v>
      </c>
      <c r="BX107" s="83">
        <v>9.7499000000000006E-3</v>
      </c>
      <c r="BY107" s="83">
        <v>4.2850600000000003E-2</v>
      </c>
      <c r="BZ107" s="83">
        <v>4.8237899999999997E-3</v>
      </c>
      <c r="CA107" s="83">
        <v>9.7499000000000006E-3</v>
      </c>
      <c r="CB107" s="83">
        <v>4.4232500000000001E-2</v>
      </c>
      <c r="CC107" s="83">
        <v>5.0124799999999997E-3</v>
      </c>
      <c r="CD107" s="83">
        <v>9.7499000000000006E-3</v>
      </c>
      <c r="CE107" s="83">
        <v>3.8173800000000001E-2</v>
      </c>
      <c r="CF107" s="83">
        <v>4.7657000000000003E-3</v>
      </c>
      <c r="CG107" s="83">
        <v>9.7499000000000006E-3</v>
      </c>
      <c r="CH107" s="83">
        <v>3.5918499999999999E-2</v>
      </c>
      <c r="CI107" s="83">
        <v>4.8193200000000002E-3</v>
      </c>
      <c r="CJ107" s="83">
        <v>9.7499000000000006E-3</v>
      </c>
      <c r="CK107" s="83">
        <v>3.2481599999999999E-2</v>
      </c>
      <c r="CL107" s="83">
        <v>4.7894499999999998E-3</v>
      </c>
      <c r="CM107" s="83">
        <v>9.7499000000000006E-3</v>
      </c>
      <c r="CN107" s="83">
        <v>3.00582E-2</v>
      </c>
      <c r="CO107" s="83">
        <v>4.8234000000000003E-3</v>
      </c>
      <c r="CP107" s="83">
        <v>9.7499000000000006E-3</v>
      </c>
      <c r="CQ107" s="83">
        <v>2.8140399999999999E-2</v>
      </c>
      <c r="CR107" s="83">
        <v>4.8469200000000002E-3</v>
      </c>
      <c r="CS107" s="83">
        <v>9.7499000000000006E-3</v>
      </c>
      <c r="CT107" s="83">
        <v>2.5047300000000002E-2</v>
      </c>
      <c r="CU107" s="83">
        <v>4.8714800000000001E-3</v>
      </c>
      <c r="CV107" s="83">
        <v>9.7499000000000006E-3</v>
      </c>
      <c r="CW107" s="83">
        <v>2.1728899999999999E-2</v>
      </c>
      <c r="CX107" s="83">
        <v>4.7901200000000001E-3</v>
      </c>
    </row>
    <row r="108" spans="1:102" x14ac:dyDescent="0.2">
      <c r="A108" s="83">
        <v>9.8499E-3</v>
      </c>
      <c r="B108" s="83">
        <v>7.4596499999999996E-2</v>
      </c>
      <c r="C108" s="83">
        <v>4.4688699999999998E-3</v>
      </c>
      <c r="D108" s="83">
        <v>9.8499E-3</v>
      </c>
      <c r="E108" s="83">
        <v>7.7307799999999996E-2</v>
      </c>
      <c r="F108" s="83">
        <v>4.5565299999999996E-3</v>
      </c>
      <c r="G108" s="83">
        <v>9.8499E-3</v>
      </c>
      <c r="H108" s="83">
        <v>7.9475599999999993E-2</v>
      </c>
      <c r="I108" s="83">
        <v>4.6528899999999998E-3</v>
      </c>
      <c r="J108" s="83">
        <v>9.8499E-3</v>
      </c>
      <c r="K108" s="83">
        <v>8.0032800000000001E-2</v>
      </c>
      <c r="L108" s="83">
        <v>4.6165099999999999E-3</v>
      </c>
      <c r="M108" s="83">
        <v>9.8499E-3</v>
      </c>
      <c r="N108" s="83">
        <v>7.9539700000000005E-2</v>
      </c>
      <c r="O108" s="83">
        <v>4.5738100000000002E-3</v>
      </c>
      <c r="P108" s="83">
        <v>9.8499E-3</v>
      </c>
      <c r="Q108" s="83">
        <v>7.9866000000000006E-2</v>
      </c>
      <c r="R108" s="83">
        <v>4.6342099999999997E-3</v>
      </c>
      <c r="S108" s="83">
        <v>9.8499E-3</v>
      </c>
      <c r="T108" s="83">
        <v>8.0267099999999994E-2</v>
      </c>
      <c r="U108" s="83">
        <v>4.68528E-3</v>
      </c>
      <c r="V108" s="83">
        <v>9.8499E-3</v>
      </c>
      <c r="W108" s="83">
        <v>7.7278600000000003E-2</v>
      </c>
      <c r="X108" s="83">
        <v>4.62964E-3</v>
      </c>
      <c r="Y108" s="83">
        <v>9.8499E-3</v>
      </c>
      <c r="Z108" s="83">
        <v>7.5942700000000002E-2</v>
      </c>
      <c r="AA108" s="83">
        <v>4.6380099999999997E-3</v>
      </c>
      <c r="AB108" s="83">
        <v>9.8499E-3</v>
      </c>
      <c r="AC108" s="83">
        <v>7.4374099999999999E-2</v>
      </c>
      <c r="AD108" s="83">
        <v>4.6309799999999998E-3</v>
      </c>
      <c r="AE108" s="83">
        <v>9.8499E-3</v>
      </c>
      <c r="AF108" s="83">
        <v>7.3406299999999994E-2</v>
      </c>
      <c r="AG108" s="83">
        <v>4.5986300000000003E-3</v>
      </c>
      <c r="AH108" s="83">
        <v>9.8499E-3</v>
      </c>
      <c r="AI108" s="83">
        <v>7.11532E-2</v>
      </c>
      <c r="AJ108" s="83">
        <v>4.6362299999999999E-3</v>
      </c>
      <c r="AK108" s="83">
        <v>9.8499E-3</v>
      </c>
      <c r="AL108" s="83">
        <v>7.06624E-2</v>
      </c>
      <c r="AM108" s="83">
        <v>4.6782300000000002E-3</v>
      </c>
      <c r="AN108" s="83">
        <v>9.8499E-3</v>
      </c>
      <c r="AO108" s="83">
        <v>6.8831299999999998E-2</v>
      </c>
      <c r="AP108" s="83">
        <v>4.68951E-3</v>
      </c>
      <c r="AQ108" s="83">
        <v>9.8499E-3</v>
      </c>
      <c r="AR108" s="83">
        <v>6.5401699999999993E-2</v>
      </c>
      <c r="AS108" s="83">
        <v>4.59575E-3</v>
      </c>
      <c r="AT108" s="83">
        <v>9.8499E-3</v>
      </c>
      <c r="AU108" s="83">
        <v>6.2287200000000001E-2</v>
      </c>
      <c r="AV108" s="83">
        <v>4.5636699999999997E-3</v>
      </c>
      <c r="AW108" s="83">
        <v>9.8499E-3</v>
      </c>
      <c r="AX108" s="83">
        <v>6.0581700000000002E-2</v>
      </c>
      <c r="AY108" s="83">
        <v>4.6270199999999999E-3</v>
      </c>
      <c r="AZ108" s="83">
        <v>9.8499E-3</v>
      </c>
      <c r="BA108" s="83">
        <v>5.8374700000000002E-2</v>
      </c>
      <c r="BB108" s="83">
        <v>4.6155099999999998E-3</v>
      </c>
      <c r="BC108" s="83">
        <v>9.8499E-3</v>
      </c>
      <c r="BD108" s="83">
        <v>5.8380099999999997E-2</v>
      </c>
      <c r="BE108" s="83">
        <v>4.7227299999999996E-3</v>
      </c>
      <c r="BF108" s="83">
        <v>9.8499E-3</v>
      </c>
      <c r="BG108" s="83">
        <v>5.5481700000000002E-2</v>
      </c>
      <c r="BH108" s="83">
        <v>4.7002800000000003E-3</v>
      </c>
      <c r="BI108" s="83">
        <v>9.8499E-3</v>
      </c>
      <c r="BJ108" s="83">
        <v>5.1777400000000001E-2</v>
      </c>
      <c r="BK108" s="83">
        <v>4.6418500000000003E-3</v>
      </c>
      <c r="BL108" s="83">
        <v>9.8499E-3</v>
      </c>
      <c r="BM108" s="83">
        <v>4.9126700000000002E-2</v>
      </c>
      <c r="BN108" s="83">
        <v>4.5805500000000001E-3</v>
      </c>
      <c r="BO108" s="83">
        <v>9.8499E-3</v>
      </c>
      <c r="BP108" s="83">
        <v>4.73564E-2</v>
      </c>
      <c r="BQ108" s="83">
        <v>4.5775399999999997E-3</v>
      </c>
      <c r="BR108" s="83">
        <v>9.8499E-3</v>
      </c>
      <c r="BS108" s="83">
        <v>4.66636E-2</v>
      </c>
      <c r="BT108" s="83">
        <v>4.6727699999999997E-3</v>
      </c>
      <c r="BU108" s="83">
        <v>9.8499E-3</v>
      </c>
      <c r="BV108" s="83">
        <v>4.4053299999999997E-2</v>
      </c>
      <c r="BW108" s="83">
        <v>4.6951500000000004E-3</v>
      </c>
      <c r="BX108" s="83">
        <v>9.8499E-3</v>
      </c>
      <c r="BY108" s="83">
        <v>3.9525400000000002E-2</v>
      </c>
      <c r="BZ108" s="83">
        <v>4.5845299999999999E-3</v>
      </c>
      <c r="CA108" s="83">
        <v>9.8499E-3</v>
      </c>
      <c r="CB108" s="83">
        <v>4.0350700000000003E-2</v>
      </c>
      <c r="CC108" s="83">
        <v>4.7683400000000003E-3</v>
      </c>
      <c r="CD108" s="83">
        <v>9.8499E-3</v>
      </c>
      <c r="CE108" s="83">
        <v>3.4980400000000002E-2</v>
      </c>
      <c r="CF108" s="83">
        <v>4.5157000000000001E-3</v>
      </c>
      <c r="CG108" s="83">
        <v>9.8499E-3</v>
      </c>
      <c r="CH108" s="83">
        <v>3.3032699999999998E-2</v>
      </c>
      <c r="CI108" s="83">
        <v>4.5624899999999998E-3</v>
      </c>
      <c r="CJ108" s="83">
        <v>9.8499E-3</v>
      </c>
      <c r="CK108" s="83">
        <v>2.9527500000000002E-2</v>
      </c>
      <c r="CL108" s="83">
        <v>4.5511700000000002E-3</v>
      </c>
      <c r="CM108" s="83">
        <v>9.8499E-3</v>
      </c>
      <c r="CN108" s="83">
        <v>2.73726E-2</v>
      </c>
      <c r="CO108" s="83">
        <v>4.5802400000000002E-3</v>
      </c>
      <c r="CP108" s="83">
        <v>9.8499E-3</v>
      </c>
      <c r="CQ108" s="83">
        <v>2.5005599999999999E-2</v>
      </c>
      <c r="CR108" s="83">
        <v>4.6047400000000004E-3</v>
      </c>
      <c r="CS108" s="83">
        <v>9.8499E-3</v>
      </c>
      <c r="CT108" s="83">
        <v>2.2581400000000001E-2</v>
      </c>
      <c r="CU108" s="83">
        <v>4.6175699999999997E-3</v>
      </c>
      <c r="CV108" s="83">
        <v>9.8499E-3</v>
      </c>
      <c r="CW108" s="83">
        <v>1.9722E-2</v>
      </c>
      <c r="CX108" s="83">
        <v>4.5450000000000004E-3</v>
      </c>
    </row>
    <row r="109" spans="1:102" x14ac:dyDescent="0.2">
      <c r="A109" s="83">
        <v>9.9498999999999994E-3</v>
      </c>
      <c r="B109" s="83">
        <v>6.9933400000000007E-2</v>
      </c>
      <c r="C109" s="83">
        <v>4.2510999999999998E-3</v>
      </c>
      <c r="D109" s="83">
        <v>9.9498999999999994E-3</v>
      </c>
      <c r="E109" s="83">
        <v>7.2146600000000005E-2</v>
      </c>
      <c r="F109" s="83">
        <v>4.2948200000000004E-3</v>
      </c>
      <c r="G109" s="83">
        <v>9.9498999999999994E-3</v>
      </c>
      <c r="H109" s="83">
        <v>7.4368199999999995E-2</v>
      </c>
      <c r="I109" s="83">
        <v>4.4019200000000001E-3</v>
      </c>
      <c r="J109" s="83">
        <v>9.9498999999999994E-3</v>
      </c>
      <c r="K109" s="83">
        <v>7.4588500000000002E-2</v>
      </c>
      <c r="L109" s="83">
        <v>4.3635799999999997E-3</v>
      </c>
      <c r="M109" s="83">
        <v>9.9498999999999994E-3</v>
      </c>
      <c r="N109" s="83">
        <v>7.4124599999999999E-2</v>
      </c>
      <c r="O109" s="83">
        <v>4.3033000000000004E-3</v>
      </c>
      <c r="P109" s="83">
        <v>9.9498999999999994E-3</v>
      </c>
      <c r="Q109" s="83">
        <v>7.4548600000000007E-2</v>
      </c>
      <c r="R109" s="83">
        <v>4.3871400000000003E-3</v>
      </c>
      <c r="S109" s="83">
        <v>9.9498999999999994E-3</v>
      </c>
      <c r="T109" s="83">
        <v>7.4739799999999995E-2</v>
      </c>
      <c r="U109" s="83">
        <v>4.4196499999999998E-3</v>
      </c>
      <c r="V109" s="83">
        <v>9.9498999999999994E-3</v>
      </c>
      <c r="W109" s="83">
        <v>7.1931899999999993E-2</v>
      </c>
      <c r="X109" s="83">
        <v>4.3884299999999996E-3</v>
      </c>
      <c r="Y109" s="83">
        <v>9.9498999999999994E-3</v>
      </c>
      <c r="Z109" s="83">
        <v>7.0630200000000004E-2</v>
      </c>
      <c r="AA109" s="83">
        <v>4.3860599999999998E-3</v>
      </c>
      <c r="AB109" s="83">
        <v>9.9498999999999994E-3</v>
      </c>
      <c r="AC109" s="83">
        <v>6.9378999999999996E-2</v>
      </c>
      <c r="AD109" s="83">
        <v>4.3780499999999997E-3</v>
      </c>
      <c r="AE109" s="83">
        <v>9.9498999999999994E-3</v>
      </c>
      <c r="AF109" s="83">
        <v>6.7878900000000006E-2</v>
      </c>
      <c r="AG109" s="83">
        <v>4.3740200000000002E-3</v>
      </c>
      <c r="AH109" s="83">
        <v>9.9498999999999994E-3</v>
      </c>
      <c r="AI109" s="83">
        <v>6.6294800000000001E-2</v>
      </c>
      <c r="AJ109" s="83">
        <v>4.3862299999999996E-3</v>
      </c>
      <c r="AK109" s="83">
        <v>9.9498999999999994E-3</v>
      </c>
      <c r="AL109" s="83">
        <v>6.5325499999999995E-2</v>
      </c>
      <c r="AM109" s="83">
        <v>4.4135800000000003E-3</v>
      </c>
      <c r="AN109" s="83">
        <v>9.9498999999999994E-3</v>
      </c>
      <c r="AO109" s="83">
        <v>6.3670099999999993E-2</v>
      </c>
      <c r="AP109" s="83">
        <v>4.44634E-3</v>
      </c>
      <c r="AQ109" s="83">
        <v>9.9498999999999994E-3</v>
      </c>
      <c r="AR109" s="83">
        <v>6.0523800000000003E-2</v>
      </c>
      <c r="AS109" s="83">
        <v>4.3477100000000003E-3</v>
      </c>
      <c r="AT109" s="83">
        <v>9.9498999999999994E-3</v>
      </c>
      <c r="AU109" s="83">
        <v>5.7590000000000002E-2</v>
      </c>
      <c r="AV109" s="83">
        <v>4.3390599999999996E-3</v>
      </c>
      <c r="AW109" s="83">
        <v>9.9498999999999994E-3</v>
      </c>
      <c r="AX109" s="83">
        <v>5.5991800000000001E-2</v>
      </c>
      <c r="AY109" s="83">
        <v>4.38092E-3</v>
      </c>
      <c r="AZ109" s="83">
        <v>9.9498999999999994E-3</v>
      </c>
      <c r="BA109" s="83">
        <v>5.3775099999999999E-2</v>
      </c>
      <c r="BB109" s="83">
        <v>4.3576999999999999E-3</v>
      </c>
      <c r="BC109" s="83">
        <v>9.9498999999999994E-3</v>
      </c>
      <c r="BD109" s="83">
        <v>5.3848899999999998E-2</v>
      </c>
      <c r="BE109" s="83">
        <v>4.4356200000000004E-3</v>
      </c>
      <c r="BF109" s="83">
        <v>9.9498999999999994E-3</v>
      </c>
      <c r="BG109" s="83">
        <v>5.09895E-2</v>
      </c>
      <c r="BH109" s="83">
        <v>4.4619999999999998E-3</v>
      </c>
      <c r="BI109" s="83">
        <v>9.9498999999999994E-3</v>
      </c>
      <c r="BJ109" s="83">
        <v>4.77051E-2</v>
      </c>
      <c r="BK109" s="83">
        <v>4.3879399999999999E-3</v>
      </c>
      <c r="BL109" s="83">
        <v>9.9498999999999994E-3</v>
      </c>
      <c r="BM109" s="83">
        <v>4.5493899999999997E-2</v>
      </c>
      <c r="BN109" s="83">
        <v>4.3334799999999998E-3</v>
      </c>
      <c r="BO109" s="83">
        <v>9.9498999999999994E-3</v>
      </c>
      <c r="BP109" s="83">
        <v>4.3733399999999999E-2</v>
      </c>
      <c r="BQ109" s="83">
        <v>4.3470799999999997E-3</v>
      </c>
      <c r="BR109" s="83">
        <v>9.9498999999999994E-3</v>
      </c>
      <c r="BS109" s="83">
        <v>4.2303199999999999E-2</v>
      </c>
      <c r="BT109" s="83">
        <v>4.42765E-3</v>
      </c>
      <c r="BU109" s="83">
        <v>9.9498999999999994E-3</v>
      </c>
      <c r="BV109" s="83">
        <v>4.0020100000000003E-2</v>
      </c>
      <c r="BW109" s="83">
        <v>4.4441799999999998E-3</v>
      </c>
      <c r="BX109" s="83">
        <v>9.9498999999999994E-3</v>
      </c>
      <c r="BY109" s="83">
        <v>3.6195400000000003E-2</v>
      </c>
      <c r="BZ109" s="83">
        <v>4.3413699999999998E-3</v>
      </c>
      <c r="CA109" s="83">
        <v>9.9498999999999994E-3</v>
      </c>
      <c r="CB109" s="83">
        <v>3.7005999999999997E-2</v>
      </c>
      <c r="CC109" s="83">
        <v>4.4939300000000001E-3</v>
      </c>
      <c r="CD109" s="83">
        <v>9.9498999999999994E-3</v>
      </c>
      <c r="CE109" s="83">
        <v>3.1557599999999998E-2</v>
      </c>
      <c r="CF109" s="83">
        <v>4.2617899999999997E-3</v>
      </c>
      <c r="CG109" s="83">
        <v>9.9498999999999994E-3</v>
      </c>
      <c r="CH109" s="83">
        <v>3.0083499999999999E-2</v>
      </c>
      <c r="CI109" s="83">
        <v>4.3251799999999996E-3</v>
      </c>
      <c r="CJ109" s="83">
        <v>9.9498999999999994E-3</v>
      </c>
      <c r="CK109" s="83">
        <v>2.6988499999999999E-2</v>
      </c>
      <c r="CL109" s="83">
        <v>4.2972599999999998E-3</v>
      </c>
      <c r="CM109" s="83">
        <v>9.9498999999999994E-3</v>
      </c>
      <c r="CN109" s="83">
        <v>2.4970300000000001E-2</v>
      </c>
      <c r="CO109" s="83">
        <v>4.33024E-3</v>
      </c>
      <c r="CP109" s="83">
        <v>9.9498999999999994E-3</v>
      </c>
      <c r="CQ109" s="83">
        <v>2.2583700000000002E-2</v>
      </c>
      <c r="CR109" s="83">
        <v>4.3479E-3</v>
      </c>
      <c r="CS109" s="83">
        <v>9.9498999999999994E-3</v>
      </c>
      <c r="CT109" s="83">
        <v>2.0423199999999999E-2</v>
      </c>
      <c r="CU109" s="83">
        <v>4.3666E-3</v>
      </c>
      <c r="CV109" s="83">
        <v>9.9498999999999994E-3</v>
      </c>
      <c r="CW109" s="83">
        <v>1.7910499999999999E-2</v>
      </c>
      <c r="CX109" s="83">
        <v>4.2813299999999999E-3</v>
      </c>
    </row>
    <row r="110" spans="1:102" x14ac:dyDescent="0.2">
      <c r="A110" s="83">
        <v>1.00499E-2</v>
      </c>
      <c r="B110" s="83">
        <v>6.5187300000000004E-2</v>
      </c>
      <c r="C110" s="83">
        <v>3.9942600000000003E-3</v>
      </c>
      <c r="D110" s="83">
        <v>1.00499E-2</v>
      </c>
      <c r="E110" s="83">
        <v>6.7737500000000006E-2</v>
      </c>
      <c r="F110" s="83">
        <v>4.0790000000000002E-3</v>
      </c>
      <c r="G110" s="83">
        <v>1.00499E-2</v>
      </c>
      <c r="H110" s="83">
        <v>6.9241200000000003E-2</v>
      </c>
      <c r="I110" s="83">
        <v>4.1694899999999997E-3</v>
      </c>
      <c r="J110" s="83">
        <v>1.00499E-2</v>
      </c>
      <c r="K110" s="83">
        <v>6.9813100000000003E-2</v>
      </c>
      <c r="L110" s="83">
        <v>4.13116E-3</v>
      </c>
      <c r="M110" s="83">
        <v>1.00499E-2</v>
      </c>
      <c r="N110" s="83">
        <v>6.9422499999999998E-2</v>
      </c>
      <c r="O110" s="83">
        <v>4.06209E-3</v>
      </c>
      <c r="P110" s="83">
        <v>1.00499E-2</v>
      </c>
      <c r="Q110" s="83">
        <v>6.9529099999999996E-2</v>
      </c>
      <c r="R110" s="83">
        <v>4.1683900000000001E-3</v>
      </c>
      <c r="S110" s="83">
        <v>1.00499E-2</v>
      </c>
      <c r="T110" s="83">
        <v>6.9564000000000001E-2</v>
      </c>
      <c r="U110" s="83">
        <v>4.1843000000000002E-3</v>
      </c>
      <c r="V110" s="83">
        <v>1.00499E-2</v>
      </c>
      <c r="W110" s="83">
        <v>6.7073499999999994E-2</v>
      </c>
      <c r="X110" s="83">
        <v>4.1462399999999998E-3</v>
      </c>
      <c r="Y110" s="83">
        <v>1.00499E-2</v>
      </c>
      <c r="Z110" s="83">
        <v>6.5810900000000006E-2</v>
      </c>
      <c r="AA110" s="83">
        <v>4.1546100000000004E-3</v>
      </c>
      <c r="AB110" s="83">
        <v>1.00499E-2</v>
      </c>
      <c r="AC110" s="83">
        <v>6.4549899999999993E-2</v>
      </c>
      <c r="AD110" s="83">
        <v>4.1397700000000001E-3</v>
      </c>
      <c r="AE110" s="83">
        <v>1.00499E-2</v>
      </c>
      <c r="AF110" s="83">
        <v>6.3108399999999995E-2</v>
      </c>
      <c r="AG110" s="83">
        <v>4.1376900000000003E-3</v>
      </c>
      <c r="AH110" s="83">
        <v>1.00499E-2</v>
      </c>
      <c r="AI110" s="83">
        <v>6.1363099999999997E-2</v>
      </c>
      <c r="AJ110" s="83">
        <v>4.1684599999999997E-3</v>
      </c>
      <c r="AK110" s="83">
        <v>1.00499E-2</v>
      </c>
      <c r="AL110" s="83">
        <v>6.0862600000000003E-2</v>
      </c>
      <c r="AM110" s="83">
        <v>4.1811599999999997E-3</v>
      </c>
      <c r="AN110" s="83">
        <v>1.00499E-2</v>
      </c>
      <c r="AO110" s="83">
        <v>5.8552899999999998E-2</v>
      </c>
      <c r="AP110" s="83">
        <v>4.2119699999999998E-3</v>
      </c>
      <c r="AQ110" s="83">
        <v>1.00499E-2</v>
      </c>
      <c r="AR110" s="83">
        <v>5.5821599999999999E-2</v>
      </c>
      <c r="AS110" s="83">
        <v>4.1367699999999997E-3</v>
      </c>
      <c r="AT110" s="83">
        <v>1.00499E-2</v>
      </c>
      <c r="AU110" s="83">
        <v>5.2814600000000003E-2</v>
      </c>
      <c r="AV110" s="83">
        <v>4.1134800000000001E-3</v>
      </c>
      <c r="AW110" s="83">
        <v>1.00499E-2</v>
      </c>
      <c r="AX110" s="83">
        <v>5.1543600000000002E-2</v>
      </c>
      <c r="AY110" s="83">
        <v>4.1494799999999997E-3</v>
      </c>
      <c r="AZ110" s="83">
        <v>1.00499E-2</v>
      </c>
      <c r="BA110" s="83">
        <v>4.94782E-2</v>
      </c>
      <c r="BB110" s="83">
        <v>4.1301599999999999E-3</v>
      </c>
      <c r="BC110" s="83">
        <v>1.00499E-2</v>
      </c>
      <c r="BD110" s="83">
        <v>4.9776599999999997E-2</v>
      </c>
      <c r="BE110" s="83">
        <v>4.2198000000000001E-3</v>
      </c>
      <c r="BF110" s="83">
        <v>1.00499E-2</v>
      </c>
      <c r="BG110" s="83">
        <v>4.7132100000000003E-2</v>
      </c>
      <c r="BH110" s="83">
        <v>4.2100499999999999E-3</v>
      </c>
      <c r="BI110" s="83">
        <v>1.00499E-2</v>
      </c>
      <c r="BJ110" s="83">
        <v>4.3950200000000002E-2</v>
      </c>
      <c r="BK110" s="83">
        <v>4.16724E-3</v>
      </c>
      <c r="BL110" s="83">
        <v>1.00499E-2</v>
      </c>
      <c r="BM110" s="83">
        <v>4.1695099999999999E-2</v>
      </c>
      <c r="BN110" s="83">
        <v>4.1049700000000003E-3</v>
      </c>
      <c r="BO110" s="83">
        <v>1.00499E-2</v>
      </c>
      <c r="BP110" s="83">
        <v>3.99785E-2</v>
      </c>
      <c r="BQ110" s="83">
        <v>4.1390699999999999E-3</v>
      </c>
      <c r="BR110" s="83">
        <v>1.00499E-2</v>
      </c>
      <c r="BS110" s="83">
        <v>3.8821799999999997E-2</v>
      </c>
      <c r="BT110" s="83">
        <v>4.1981600000000003E-3</v>
      </c>
      <c r="BU110" s="83">
        <v>1.00499E-2</v>
      </c>
      <c r="BV110" s="83">
        <v>3.6924400000000003E-2</v>
      </c>
      <c r="BW110" s="83">
        <v>4.2254299999999996E-3</v>
      </c>
      <c r="BX110" s="83">
        <v>1.00499E-2</v>
      </c>
      <c r="BY110" s="83">
        <v>3.2484399999999997E-2</v>
      </c>
      <c r="BZ110" s="83">
        <v>4.0962500000000001E-3</v>
      </c>
      <c r="CA110" s="83">
        <v>1.00499E-2</v>
      </c>
      <c r="CB110" s="83">
        <v>3.3724700000000003E-2</v>
      </c>
      <c r="CC110" s="83">
        <v>4.2624799999999999E-3</v>
      </c>
      <c r="CD110" s="83">
        <v>1.00499E-2</v>
      </c>
      <c r="CE110" s="83">
        <v>2.8920899999999999E-2</v>
      </c>
      <c r="CF110" s="83">
        <v>4.0205800000000002E-3</v>
      </c>
      <c r="CG110" s="83">
        <v>1.00499E-2</v>
      </c>
      <c r="CH110" s="83">
        <v>2.6894999999999999E-2</v>
      </c>
      <c r="CI110" s="83">
        <v>4.0839700000000001E-3</v>
      </c>
      <c r="CJ110" s="83">
        <v>1.00499E-2</v>
      </c>
      <c r="CK110" s="83">
        <v>2.42834E-2</v>
      </c>
      <c r="CL110" s="83">
        <v>4.0726499999999997E-3</v>
      </c>
      <c r="CM110" s="83">
        <v>1.00499E-2</v>
      </c>
      <c r="CN110" s="83">
        <v>2.2934199999999998E-2</v>
      </c>
      <c r="CO110" s="83">
        <v>4.1036700000000002E-3</v>
      </c>
      <c r="CP110" s="83">
        <v>1.00499E-2</v>
      </c>
      <c r="CQ110" s="83">
        <v>2.07087E-2</v>
      </c>
      <c r="CR110" s="83">
        <v>4.11743E-3</v>
      </c>
      <c r="CS110" s="83">
        <v>1.00499E-2</v>
      </c>
      <c r="CT110" s="83">
        <v>1.8684900000000001E-2</v>
      </c>
      <c r="CU110" s="83">
        <v>4.1341800000000003E-3</v>
      </c>
      <c r="CV110" s="83">
        <v>1.00499E-2</v>
      </c>
      <c r="CW110" s="83">
        <v>1.58646E-2</v>
      </c>
      <c r="CX110" s="83">
        <v>4.0781999999999997E-3</v>
      </c>
    </row>
    <row r="111" spans="1:102" x14ac:dyDescent="0.2">
      <c r="A111" s="83">
        <v>1.01499E-2</v>
      </c>
      <c r="B111" s="83">
        <v>6.10565E-2</v>
      </c>
      <c r="C111" s="83">
        <v>3.7940700000000001E-3</v>
      </c>
      <c r="D111" s="83">
        <v>1.01499E-2</v>
      </c>
      <c r="E111" s="83">
        <v>6.2791200000000005E-2</v>
      </c>
      <c r="F111" s="83">
        <v>3.8660999999999999E-3</v>
      </c>
      <c r="G111" s="83">
        <v>1.01499E-2</v>
      </c>
      <c r="H111" s="83">
        <v>6.5071299999999999E-2</v>
      </c>
      <c r="I111" s="83">
        <v>3.9312100000000001E-3</v>
      </c>
      <c r="J111" s="83">
        <v>1.01499E-2</v>
      </c>
      <c r="K111" s="83">
        <v>6.5052399999999996E-2</v>
      </c>
      <c r="L111" s="83">
        <v>3.9006900000000001E-3</v>
      </c>
      <c r="M111" s="83">
        <v>1.01499E-2</v>
      </c>
      <c r="N111" s="83">
        <v>6.4788700000000005E-2</v>
      </c>
      <c r="O111" s="83">
        <v>3.8511499999999998E-3</v>
      </c>
      <c r="P111" s="83">
        <v>1.01499E-2</v>
      </c>
      <c r="Q111" s="83">
        <v>6.5217600000000001E-2</v>
      </c>
      <c r="R111" s="83">
        <v>3.9242499999999998E-3</v>
      </c>
      <c r="S111" s="83">
        <v>1.01499E-2</v>
      </c>
      <c r="T111" s="83">
        <v>6.4598199999999995E-2</v>
      </c>
      <c r="U111" s="83">
        <v>3.9860599999999996E-3</v>
      </c>
      <c r="V111" s="83">
        <v>1.01499E-2</v>
      </c>
      <c r="W111" s="83">
        <v>6.1844000000000003E-2</v>
      </c>
      <c r="X111" s="83">
        <v>3.9284599999999999E-3</v>
      </c>
      <c r="Y111" s="83">
        <v>1.01499E-2</v>
      </c>
      <c r="Z111" s="83">
        <v>6.1015899999999998E-2</v>
      </c>
      <c r="AA111" s="83">
        <v>3.9446500000000001E-3</v>
      </c>
      <c r="AB111" s="83">
        <v>1.01499E-2</v>
      </c>
      <c r="AC111" s="83">
        <v>5.9813499999999999E-2</v>
      </c>
      <c r="AD111" s="83">
        <v>3.9317700000000002E-3</v>
      </c>
      <c r="AE111" s="83">
        <v>1.01499E-2</v>
      </c>
      <c r="AF111" s="83">
        <v>5.8093800000000001E-2</v>
      </c>
      <c r="AG111" s="83">
        <v>3.9179699999999998E-3</v>
      </c>
      <c r="AH111" s="83">
        <v>1.01499E-2</v>
      </c>
      <c r="AI111" s="83">
        <v>5.66756E-2</v>
      </c>
      <c r="AJ111" s="83">
        <v>3.9155300000000004E-3</v>
      </c>
      <c r="AK111" s="83">
        <v>1.01499E-2</v>
      </c>
      <c r="AL111" s="83">
        <v>5.6028599999999998E-2</v>
      </c>
      <c r="AM111" s="83">
        <v>3.9399500000000002E-3</v>
      </c>
      <c r="AN111" s="83">
        <v>1.01499E-2</v>
      </c>
      <c r="AO111" s="83">
        <v>5.4456299999999999E-2</v>
      </c>
      <c r="AP111" s="83">
        <v>3.9912699999999999E-3</v>
      </c>
      <c r="AQ111" s="83">
        <v>1.01499E-2</v>
      </c>
      <c r="AR111" s="83">
        <v>5.1158500000000003E-2</v>
      </c>
      <c r="AS111" s="83">
        <v>3.9023899999999999E-3</v>
      </c>
      <c r="AT111" s="83">
        <v>1.01499E-2</v>
      </c>
      <c r="AU111" s="83">
        <v>4.9044999999999998E-2</v>
      </c>
      <c r="AV111" s="83">
        <v>3.9113300000000002E-3</v>
      </c>
      <c r="AW111" s="83">
        <v>1.01499E-2</v>
      </c>
      <c r="AX111" s="83">
        <v>4.7686199999999998E-2</v>
      </c>
      <c r="AY111" s="83">
        <v>3.9297500000000001E-3</v>
      </c>
      <c r="AZ111" s="83">
        <v>1.01499E-2</v>
      </c>
      <c r="BA111" s="83">
        <v>4.5845400000000001E-2</v>
      </c>
      <c r="BB111" s="83">
        <v>3.8987100000000001E-3</v>
      </c>
      <c r="BC111" s="83">
        <v>1.01499E-2</v>
      </c>
      <c r="BD111" s="83">
        <v>4.6016799999999997E-2</v>
      </c>
      <c r="BE111" s="83">
        <v>3.9854299999999999E-3</v>
      </c>
      <c r="BF111" s="83">
        <v>1.01499E-2</v>
      </c>
      <c r="BG111" s="83">
        <v>4.3528600000000001E-2</v>
      </c>
      <c r="BH111" s="83">
        <v>3.9825099999999999E-3</v>
      </c>
      <c r="BI111" s="83">
        <v>1.01499E-2</v>
      </c>
      <c r="BJ111" s="83">
        <v>4.0102600000000002E-2</v>
      </c>
      <c r="BK111" s="83">
        <v>3.9094200000000003E-3</v>
      </c>
      <c r="BL111" s="83">
        <v>1.01499E-2</v>
      </c>
      <c r="BM111" s="83">
        <v>3.8379700000000003E-2</v>
      </c>
      <c r="BN111" s="83">
        <v>3.8676600000000002E-3</v>
      </c>
      <c r="BO111" s="83">
        <v>1.01499E-2</v>
      </c>
      <c r="BP111" s="83">
        <v>3.6331000000000002E-2</v>
      </c>
      <c r="BQ111" s="83">
        <v>3.8920000000000001E-3</v>
      </c>
      <c r="BR111" s="83">
        <v>1.01499E-2</v>
      </c>
      <c r="BS111" s="83">
        <v>3.5369699999999997E-2</v>
      </c>
      <c r="BT111" s="83">
        <v>3.9462100000000003E-3</v>
      </c>
      <c r="BU111" s="83">
        <v>1.01499E-2</v>
      </c>
      <c r="BV111" s="83">
        <v>3.38433E-2</v>
      </c>
      <c r="BW111" s="83">
        <v>3.9812900000000002E-3</v>
      </c>
      <c r="BX111" s="83">
        <v>1.01499E-2</v>
      </c>
      <c r="BY111" s="83">
        <v>2.99502E-2</v>
      </c>
      <c r="BZ111" s="83">
        <v>3.8755500000000002E-3</v>
      </c>
      <c r="CA111" s="83">
        <v>1.01499E-2</v>
      </c>
      <c r="CB111" s="83">
        <v>3.09562E-2</v>
      </c>
      <c r="CC111" s="83">
        <v>4.0251799999999997E-3</v>
      </c>
      <c r="CD111" s="83">
        <v>1.01499E-2</v>
      </c>
      <c r="CE111" s="83">
        <v>2.6415999999999999E-2</v>
      </c>
      <c r="CF111" s="83">
        <v>3.8262499999999998E-3</v>
      </c>
      <c r="CG111" s="83">
        <v>1.01499E-2</v>
      </c>
      <c r="CH111" s="83">
        <v>2.4643999999999999E-2</v>
      </c>
      <c r="CI111" s="83">
        <v>3.8632699999999998E-3</v>
      </c>
      <c r="CJ111" s="83">
        <v>1.01499E-2</v>
      </c>
      <c r="CK111" s="83">
        <v>2.1934800000000001E-2</v>
      </c>
      <c r="CL111" s="83">
        <v>3.8441399999999998E-3</v>
      </c>
      <c r="CM111" s="83">
        <v>1.01499E-2</v>
      </c>
      <c r="CN111" s="83">
        <v>2.0912699999999999E-2</v>
      </c>
      <c r="CO111" s="83">
        <v>3.8888299999999998E-3</v>
      </c>
      <c r="CP111" s="83">
        <v>1.01499E-2</v>
      </c>
      <c r="CQ111" s="83">
        <v>1.8931400000000001E-2</v>
      </c>
      <c r="CR111" s="83">
        <v>3.88989E-3</v>
      </c>
      <c r="CS111" s="83">
        <v>1.01499E-2</v>
      </c>
      <c r="CT111" s="83">
        <v>1.66146E-2</v>
      </c>
      <c r="CU111" s="83">
        <v>3.9369100000000001E-3</v>
      </c>
      <c r="CV111" s="83">
        <v>1.01499E-2</v>
      </c>
      <c r="CW111" s="83">
        <v>1.4541399999999999E-2</v>
      </c>
      <c r="CX111" s="83">
        <v>3.8350400000000001E-3</v>
      </c>
    </row>
    <row r="112" spans="1:102" x14ac:dyDescent="0.2">
      <c r="A112" s="83">
        <v>1.0249899999999999E-2</v>
      </c>
      <c r="B112" s="83">
        <v>5.6193199999999999E-2</v>
      </c>
      <c r="C112" s="83">
        <v>3.5714100000000001E-3</v>
      </c>
      <c r="D112" s="83">
        <v>1.0249899999999999E-2</v>
      </c>
      <c r="E112" s="83">
        <v>5.8289199999999999E-2</v>
      </c>
      <c r="F112" s="83">
        <v>3.6385699999999998E-3</v>
      </c>
      <c r="G112" s="83">
        <v>1.0249899999999999E-2</v>
      </c>
      <c r="H112" s="83">
        <v>6.0598699999999998E-2</v>
      </c>
      <c r="I112" s="83">
        <v>3.7280899999999999E-3</v>
      </c>
      <c r="J112" s="83">
        <v>1.0249899999999999E-2</v>
      </c>
      <c r="K112" s="83">
        <v>6.0569900000000003E-2</v>
      </c>
      <c r="L112" s="83">
        <v>3.69952E-3</v>
      </c>
      <c r="M112" s="83">
        <v>1.0249899999999999E-2</v>
      </c>
      <c r="N112" s="83">
        <v>6.0555299999999999E-2</v>
      </c>
      <c r="O112" s="83">
        <v>3.6392400000000002E-3</v>
      </c>
      <c r="P112" s="83">
        <v>1.0249899999999999E-2</v>
      </c>
      <c r="Q112" s="83">
        <v>6.0261500000000003E-2</v>
      </c>
      <c r="R112" s="83">
        <v>3.7299099999999999E-3</v>
      </c>
      <c r="S112" s="83">
        <v>1.0249899999999999E-2</v>
      </c>
      <c r="T112" s="83">
        <v>6.0267099999999997E-2</v>
      </c>
      <c r="U112" s="83">
        <v>3.7536399999999999E-3</v>
      </c>
      <c r="V112" s="83">
        <v>1.0249899999999999E-2</v>
      </c>
      <c r="W112" s="83">
        <v>5.7791299999999997E-2</v>
      </c>
      <c r="X112" s="83">
        <v>3.7097100000000002E-3</v>
      </c>
      <c r="Y112" s="83">
        <v>1.0249899999999999E-2</v>
      </c>
      <c r="Z112" s="83">
        <v>5.6367500000000001E-2</v>
      </c>
      <c r="AA112" s="83">
        <v>3.7219900000000001E-3</v>
      </c>
      <c r="AB112" s="83">
        <v>1.0249899999999999E-2</v>
      </c>
      <c r="AC112" s="83">
        <v>5.5399499999999997E-2</v>
      </c>
      <c r="AD112" s="83">
        <v>3.7345E-3</v>
      </c>
      <c r="AE112" s="83">
        <v>1.0249899999999999E-2</v>
      </c>
      <c r="AF112" s="83">
        <v>5.3948299999999998E-2</v>
      </c>
      <c r="AG112" s="83">
        <v>3.7011700000000002E-3</v>
      </c>
      <c r="AH112" s="83">
        <v>1.0249899999999999E-2</v>
      </c>
      <c r="AI112" s="83">
        <v>5.2632699999999998E-2</v>
      </c>
      <c r="AJ112" s="83">
        <v>3.7143599999999999E-3</v>
      </c>
      <c r="AK112" s="83">
        <v>1.0249899999999999E-2</v>
      </c>
      <c r="AL112" s="83">
        <v>5.2346999999999998E-2</v>
      </c>
      <c r="AM112" s="83">
        <v>3.7651400000000002E-3</v>
      </c>
      <c r="AN112" s="83">
        <v>1.0249899999999999E-2</v>
      </c>
      <c r="AO112" s="83">
        <v>5.0310800000000003E-2</v>
      </c>
      <c r="AP112" s="83">
        <v>3.7568900000000001E-3</v>
      </c>
      <c r="AQ112" s="83">
        <v>1.0249899999999999E-2</v>
      </c>
      <c r="AR112" s="83">
        <v>4.7769899999999997E-2</v>
      </c>
      <c r="AS112" s="83">
        <v>3.6855999999999998E-3</v>
      </c>
      <c r="AT112" s="83">
        <v>1.0249899999999999E-2</v>
      </c>
      <c r="AU112" s="83">
        <v>4.5187600000000001E-2</v>
      </c>
      <c r="AV112" s="83">
        <v>3.7023400000000001E-3</v>
      </c>
      <c r="AW112" s="83">
        <v>1.0249899999999999E-2</v>
      </c>
      <c r="AX112" s="83">
        <v>4.4287699999999999E-2</v>
      </c>
      <c r="AY112" s="83">
        <v>3.7236999999999999E-3</v>
      </c>
      <c r="AZ112" s="83">
        <v>1.0249899999999999E-2</v>
      </c>
      <c r="BA112" s="83">
        <v>4.2027099999999998E-2</v>
      </c>
      <c r="BB112" s="83">
        <v>3.7043800000000002E-3</v>
      </c>
      <c r="BC112" s="83">
        <v>1.0249899999999999E-2</v>
      </c>
      <c r="BD112" s="83">
        <v>4.2144800000000003E-2</v>
      </c>
      <c r="BE112" s="83">
        <v>3.7656999999999999E-3</v>
      </c>
      <c r="BF112" s="83">
        <v>1.0249899999999999E-2</v>
      </c>
      <c r="BG112" s="83">
        <v>3.9666300000000002E-2</v>
      </c>
      <c r="BH112" s="83">
        <v>3.7832899999999999E-3</v>
      </c>
      <c r="BI112" s="83">
        <v>1.0249899999999999E-2</v>
      </c>
      <c r="BJ112" s="83">
        <v>3.6518599999999998E-2</v>
      </c>
      <c r="BK112" s="83">
        <v>3.7111800000000001E-3</v>
      </c>
      <c r="BL112" s="83">
        <v>1.0249899999999999E-2</v>
      </c>
      <c r="BM112" s="83">
        <v>3.50496E-2</v>
      </c>
      <c r="BN112" s="83">
        <v>3.66161E-3</v>
      </c>
      <c r="BO112" s="83">
        <v>1.0249899999999999E-2</v>
      </c>
      <c r="BP112" s="83">
        <v>3.3259799999999999E-2</v>
      </c>
      <c r="BQ112" s="83">
        <v>3.6966899999999999E-3</v>
      </c>
      <c r="BR112" s="83">
        <v>1.0249899999999999E-2</v>
      </c>
      <c r="BS112" s="83">
        <v>3.2684100000000001E-2</v>
      </c>
      <c r="BT112" s="83">
        <v>3.7548E-3</v>
      </c>
      <c r="BU112" s="83">
        <v>1.0249899999999999E-2</v>
      </c>
      <c r="BV112" s="83">
        <v>3.04888E-2</v>
      </c>
      <c r="BW112" s="83">
        <v>3.7771800000000002E-3</v>
      </c>
      <c r="BX112" s="83">
        <v>1.0249899999999999E-2</v>
      </c>
      <c r="BY112" s="83">
        <v>2.70987E-2</v>
      </c>
      <c r="BZ112" s="83">
        <v>3.6685200000000002E-3</v>
      </c>
      <c r="CA112" s="83">
        <v>1.0249899999999999E-2</v>
      </c>
      <c r="CB112" s="83">
        <v>2.81192E-2</v>
      </c>
      <c r="CC112" s="83">
        <v>3.8073999999999998E-3</v>
      </c>
      <c r="CD112" s="83">
        <v>1.0249899999999999E-2</v>
      </c>
      <c r="CE112" s="83">
        <v>2.3725599999999999E-2</v>
      </c>
      <c r="CF112" s="83">
        <v>3.6153100000000001E-3</v>
      </c>
      <c r="CG112" s="83">
        <v>1.0249899999999999E-2</v>
      </c>
      <c r="CH112" s="83">
        <v>2.2461399999999999E-2</v>
      </c>
      <c r="CI112" s="83">
        <v>3.6542800000000002E-3</v>
      </c>
      <c r="CJ112" s="83">
        <v>1.0249899999999999E-2</v>
      </c>
      <c r="CK112" s="83">
        <v>2.0089099999999999E-2</v>
      </c>
      <c r="CL112" s="83">
        <v>3.6244099999999998E-3</v>
      </c>
      <c r="CM112" s="83">
        <v>1.0249899999999999E-2</v>
      </c>
      <c r="CN112" s="83">
        <v>1.8817899999999999E-2</v>
      </c>
      <c r="CO112" s="83">
        <v>3.68082E-3</v>
      </c>
      <c r="CP112" s="83">
        <v>1.0249899999999999E-2</v>
      </c>
      <c r="CQ112" s="83">
        <v>1.7002699999999999E-2</v>
      </c>
      <c r="CR112" s="83">
        <v>3.6789600000000002E-3</v>
      </c>
      <c r="CS112" s="83">
        <v>1.0249899999999999E-2</v>
      </c>
      <c r="CT112" s="83">
        <v>1.5037500000000001E-2</v>
      </c>
      <c r="CU112" s="83">
        <v>3.6996099999999999E-3</v>
      </c>
      <c r="CV112" s="83">
        <v>1.0249899999999999E-2</v>
      </c>
      <c r="CW112" s="83">
        <v>1.29984E-2</v>
      </c>
      <c r="CX112" s="83">
        <v>3.6475399999999999E-3</v>
      </c>
    </row>
    <row r="113" spans="1:102" x14ac:dyDescent="0.2">
      <c r="A113" s="83">
        <v>1.03499E-2</v>
      </c>
      <c r="B113" s="83">
        <v>5.2462700000000001E-2</v>
      </c>
      <c r="C113" s="83">
        <v>3.3897699999999998E-3</v>
      </c>
      <c r="D113" s="83">
        <v>1.03499E-2</v>
      </c>
      <c r="E113" s="83">
        <v>5.4094900000000001E-2</v>
      </c>
      <c r="F113" s="83">
        <v>3.4276300000000001E-3</v>
      </c>
      <c r="G113" s="83">
        <v>1.03499E-2</v>
      </c>
      <c r="H113" s="83">
        <v>5.6223700000000001E-2</v>
      </c>
      <c r="I113" s="83">
        <v>3.5152E-3</v>
      </c>
      <c r="J113" s="83">
        <v>1.03499E-2</v>
      </c>
      <c r="K113" s="83">
        <v>5.5936199999999998E-2</v>
      </c>
      <c r="L113" s="83">
        <v>3.5159200000000001E-3</v>
      </c>
      <c r="M113" s="83">
        <v>1.03499E-2</v>
      </c>
      <c r="N113" s="83">
        <v>5.6068E-2</v>
      </c>
      <c r="O113" s="83">
        <v>3.4615000000000002E-3</v>
      </c>
      <c r="P113" s="83">
        <v>1.03499E-2</v>
      </c>
      <c r="Q113" s="83">
        <v>5.5754699999999997E-2</v>
      </c>
      <c r="R113" s="83">
        <v>3.5228799999999999E-3</v>
      </c>
      <c r="S113" s="83">
        <v>1.03499E-2</v>
      </c>
      <c r="T113" s="83">
        <v>5.5760299999999999E-2</v>
      </c>
      <c r="U113" s="83">
        <v>3.5368399999999999E-3</v>
      </c>
      <c r="V113" s="83">
        <v>1.03499E-2</v>
      </c>
      <c r="W113" s="83">
        <v>5.3616499999999997E-2</v>
      </c>
      <c r="X113" s="83">
        <v>3.5290500000000002E-3</v>
      </c>
      <c r="Y113" s="83">
        <v>1.03499E-2</v>
      </c>
      <c r="Z113" s="83">
        <v>5.2138999999999998E-2</v>
      </c>
      <c r="AA113" s="83">
        <v>3.52375E-3</v>
      </c>
      <c r="AB113" s="83">
        <v>1.03499E-2</v>
      </c>
      <c r="AC113" s="83">
        <v>5.1117200000000002E-2</v>
      </c>
      <c r="AD113" s="83">
        <v>3.51966E-3</v>
      </c>
      <c r="AE113" s="83">
        <v>1.03499E-2</v>
      </c>
      <c r="AF113" s="83">
        <v>5.0334999999999998E-2</v>
      </c>
      <c r="AG113" s="83">
        <v>3.5224599999999998E-3</v>
      </c>
      <c r="AH113" s="83">
        <v>1.03499E-2</v>
      </c>
      <c r="AI113" s="83">
        <v>4.8184400000000002E-2</v>
      </c>
      <c r="AJ113" s="83">
        <v>3.53272E-3</v>
      </c>
      <c r="AK113" s="83">
        <v>1.03499E-2</v>
      </c>
      <c r="AL113" s="83">
        <v>4.8382099999999997E-2</v>
      </c>
      <c r="AM113" s="83">
        <v>3.5444399999999998E-3</v>
      </c>
      <c r="AN113" s="83">
        <v>1.03499E-2</v>
      </c>
      <c r="AO113" s="83">
        <v>4.6638899999999997E-2</v>
      </c>
      <c r="AP113" s="83">
        <v>3.5654800000000002E-3</v>
      </c>
      <c r="AQ113" s="83">
        <v>1.03499E-2</v>
      </c>
      <c r="AR113" s="83">
        <v>4.43763E-2</v>
      </c>
      <c r="AS113" s="83">
        <v>3.5137200000000001E-3</v>
      </c>
      <c r="AT113" s="83">
        <v>1.03499E-2</v>
      </c>
      <c r="AU113" s="83">
        <v>4.2223700000000003E-2</v>
      </c>
      <c r="AV113" s="83">
        <v>3.46504E-3</v>
      </c>
      <c r="AW113" s="83">
        <v>1.03499E-2</v>
      </c>
      <c r="AX113" s="83">
        <v>4.0884400000000001E-2</v>
      </c>
      <c r="AY113" s="83">
        <v>3.5401E-3</v>
      </c>
      <c r="AZ113" s="83">
        <v>1.03499E-2</v>
      </c>
      <c r="BA113" s="83">
        <v>3.8809299999999998E-2</v>
      </c>
      <c r="BB113" s="83">
        <v>3.5002700000000002E-3</v>
      </c>
      <c r="BC113" s="83">
        <v>1.03499E-2</v>
      </c>
      <c r="BD113" s="83">
        <v>3.8726799999999999E-2</v>
      </c>
      <c r="BE113" s="83">
        <v>3.5723399999999998E-3</v>
      </c>
      <c r="BF113" s="83">
        <v>1.03499E-2</v>
      </c>
      <c r="BG113" s="83">
        <v>3.63606E-2</v>
      </c>
      <c r="BH113" s="83">
        <v>3.5791899999999999E-3</v>
      </c>
      <c r="BI113" s="83">
        <v>1.03499E-2</v>
      </c>
      <c r="BJ113" s="83">
        <v>3.3955100000000002E-2</v>
      </c>
      <c r="BK113" s="83">
        <v>3.5227100000000001E-3</v>
      </c>
      <c r="BL113" s="83">
        <v>1.03499E-2</v>
      </c>
      <c r="BM113" s="83">
        <v>3.2100400000000001E-2</v>
      </c>
      <c r="BN113" s="83">
        <v>3.4584799999999999E-3</v>
      </c>
      <c r="BO113" s="83">
        <v>1.03499E-2</v>
      </c>
      <c r="BP113" s="83">
        <v>3.0608400000000001E-2</v>
      </c>
      <c r="BQ113" s="83">
        <v>3.4818399999999999E-3</v>
      </c>
      <c r="BR113" s="83">
        <v>1.03499E-2</v>
      </c>
      <c r="BS113" s="83">
        <v>2.9798399999999999E-2</v>
      </c>
      <c r="BT113" s="83">
        <v>3.5467900000000002E-3</v>
      </c>
      <c r="BU113" s="83">
        <v>1.03499E-2</v>
      </c>
      <c r="BV113" s="83">
        <v>2.7793499999999999E-2</v>
      </c>
      <c r="BW113" s="83">
        <v>3.5750399999999998E-3</v>
      </c>
      <c r="BX113" s="83">
        <v>1.03499E-2</v>
      </c>
      <c r="BY113" s="83">
        <v>2.4681700000000001E-2</v>
      </c>
      <c r="BZ113" s="83">
        <v>3.4927399999999998E-3</v>
      </c>
      <c r="CA113" s="83">
        <v>1.03499E-2</v>
      </c>
      <c r="CB113" s="83">
        <v>2.58683E-2</v>
      </c>
      <c r="CC113" s="83">
        <v>3.6218600000000002E-3</v>
      </c>
      <c r="CD113" s="83">
        <v>1.03499E-2</v>
      </c>
      <c r="CE113" s="83">
        <v>2.1718700000000001E-2</v>
      </c>
      <c r="CF113" s="83">
        <v>3.4043699999999999E-3</v>
      </c>
      <c r="CG113" s="83">
        <v>1.03499E-2</v>
      </c>
      <c r="CH113" s="83">
        <v>2.0449700000000001E-2</v>
      </c>
      <c r="CI113" s="83">
        <v>3.4443199999999998E-3</v>
      </c>
      <c r="CJ113" s="83">
        <v>1.03499E-2</v>
      </c>
      <c r="CK113" s="83">
        <v>1.8438699999999999E-2</v>
      </c>
      <c r="CL113" s="83">
        <v>3.4535099999999999E-3</v>
      </c>
      <c r="CM113" s="83">
        <v>1.03499E-2</v>
      </c>
      <c r="CN113" s="83">
        <v>1.6923400000000002E-2</v>
      </c>
      <c r="CO113" s="83">
        <v>3.48746E-3</v>
      </c>
      <c r="CP113" s="83">
        <v>1.03499E-2</v>
      </c>
      <c r="CQ113" s="83">
        <v>1.5191100000000001E-2</v>
      </c>
      <c r="CR113" s="83">
        <v>3.5070800000000001E-3</v>
      </c>
      <c r="CS113" s="83">
        <v>1.03499E-2</v>
      </c>
      <c r="CT113" s="83">
        <v>1.34701E-2</v>
      </c>
      <c r="CU113" s="83">
        <v>3.50527E-3</v>
      </c>
      <c r="CV113" s="83">
        <v>1.03499E-2</v>
      </c>
      <c r="CW113" s="83">
        <v>1.1250400000000001E-2</v>
      </c>
      <c r="CX113" s="83">
        <v>3.4121899999999998E-3</v>
      </c>
    </row>
    <row r="114" spans="1:102" x14ac:dyDescent="0.2">
      <c r="A114" s="83">
        <v>1.04499E-2</v>
      </c>
      <c r="B114" s="83">
        <v>4.8639500000000002E-2</v>
      </c>
      <c r="C114" s="83">
        <v>3.2071500000000002E-3</v>
      </c>
      <c r="D114" s="83">
        <v>1.04499E-2</v>
      </c>
      <c r="E114" s="83">
        <v>5.0681799999999999E-2</v>
      </c>
      <c r="F114" s="83">
        <v>3.24501E-3</v>
      </c>
      <c r="G114" s="83">
        <v>1.04499E-2</v>
      </c>
      <c r="H114" s="83">
        <v>5.2156300000000003E-2</v>
      </c>
      <c r="I114" s="83">
        <v>3.3316000000000001E-3</v>
      </c>
      <c r="J114" s="83">
        <v>1.04499E-2</v>
      </c>
      <c r="K114" s="83">
        <v>5.1917600000000001E-2</v>
      </c>
      <c r="L114" s="83">
        <v>3.29131E-3</v>
      </c>
      <c r="M114" s="83">
        <v>1.04499E-2</v>
      </c>
      <c r="N114" s="83">
        <v>5.1658799999999998E-2</v>
      </c>
      <c r="O114" s="83">
        <v>3.2769299999999999E-3</v>
      </c>
      <c r="P114" s="83">
        <v>1.04499E-2</v>
      </c>
      <c r="Q114" s="83">
        <v>5.1838700000000001E-2</v>
      </c>
      <c r="R114" s="83">
        <v>3.3432000000000002E-3</v>
      </c>
      <c r="S114" s="83">
        <v>1.04499E-2</v>
      </c>
      <c r="T114" s="83">
        <v>5.1741700000000002E-2</v>
      </c>
      <c r="U114" s="83">
        <v>3.3454299999999999E-3</v>
      </c>
      <c r="V114" s="83">
        <v>1.04499E-2</v>
      </c>
      <c r="W114" s="83">
        <v>4.9500299999999997E-2</v>
      </c>
      <c r="X114" s="83">
        <v>3.3259299999999999E-3</v>
      </c>
      <c r="Y114" s="83">
        <v>1.04499E-2</v>
      </c>
      <c r="Z114" s="83">
        <v>4.8510999999999999E-2</v>
      </c>
      <c r="AA114" s="83">
        <v>3.32746E-3</v>
      </c>
      <c r="AB114" s="83">
        <v>1.04499E-2</v>
      </c>
      <c r="AC114" s="83">
        <v>4.7416100000000003E-2</v>
      </c>
      <c r="AD114" s="83">
        <v>3.3243399999999998E-3</v>
      </c>
      <c r="AE114" s="83">
        <v>1.04499E-2</v>
      </c>
      <c r="AF114" s="83">
        <v>4.6790100000000001E-2</v>
      </c>
      <c r="AG114" s="83">
        <v>3.3154299999999999E-3</v>
      </c>
      <c r="AH114" s="83">
        <v>1.04499E-2</v>
      </c>
      <c r="AI114" s="83">
        <v>4.4703E-2</v>
      </c>
      <c r="AJ114" s="83">
        <v>3.32373E-3</v>
      </c>
      <c r="AK114" s="83">
        <v>1.04499E-2</v>
      </c>
      <c r="AL114" s="83">
        <v>4.4143799999999997E-2</v>
      </c>
      <c r="AM114" s="83">
        <v>3.3354600000000002E-3</v>
      </c>
      <c r="AN114" s="83">
        <v>1.04499E-2</v>
      </c>
      <c r="AO114" s="83">
        <v>4.3001200000000003E-2</v>
      </c>
      <c r="AP114" s="83">
        <v>3.3711499999999998E-3</v>
      </c>
      <c r="AQ114" s="83">
        <v>1.04499E-2</v>
      </c>
      <c r="AR114" s="83">
        <v>4.0753299999999999E-2</v>
      </c>
      <c r="AS114" s="83">
        <v>3.3223200000000001E-3</v>
      </c>
      <c r="AT114" s="83">
        <v>1.04499E-2</v>
      </c>
      <c r="AU114" s="83">
        <v>3.8405399999999999E-2</v>
      </c>
      <c r="AV114" s="83">
        <v>3.2882800000000002E-3</v>
      </c>
      <c r="AW114" s="83">
        <v>1.04499E-2</v>
      </c>
      <c r="AX114" s="83">
        <v>3.7383399999999997E-2</v>
      </c>
      <c r="AY114" s="83">
        <v>3.3350300000000001E-3</v>
      </c>
      <c r="AZ114" s="83">
        <v>1.04499E-2</v>
      </c>
      <c r="BA114" s="83">
        <v>3.6069999999999998E-2</v>
      </c>
      <c r="BB114" s="83">
        <v>3.3069200000000001E-3</v>
      </c>
      <c r="BC114" s="83">
        <v>1.04499E-2</v>
      </c>
      <c r="BD114" s="83">
        <v>3.6011899999999999E-2</v>
      </c>
      <c r="BE114" s="83">
        <v>3.4102300000000002E-3</v>
      </c>
      <c r="BF114" s="83">
        <v>1.04499E-2</v>
      </c>
      <c r="BG114" s="83">
        <v>3.3611599999999998E-2</v>
      </c>
      <c r="BH114" s="83">
        <v>3.3682500000000002E-3</v>
      </c>
      <c r="BI114" s="83">
        <v>1.04499E-2</v>
      </c>
      <c r="BJ114" s="83">
        <v>3.1079099999999998E-2</v>
      </c>
      <c r="BK114" s="83">
        <v>3.33228E-3</v>
      </c>
      <c r="BL114" s="83">
        <v>1.04499E-2</v>
      </c>
      <c r="BM114" s="83">
        <v>2.9239000000000001E-2</v>
      </c>
      <c r="BN114" s="83">
        <v>3.3022300000000002E-3</v>
      </c>
      <c r="BO114" s="83">
        <v>1.04499E-2</v>
      </c>
      <c r="BP114" s="83">
        <v>2.7854500000000001E-2</v>
      </c>
      <c r="BQ114" s="83">
        <v>3.2923900000000001E-3</v>
      </c>
      <c r="BR114" s="83">
        <v>1.04499E-2</v>
      </c>
      <c r="BS114" s="83">
        <v>2.7605999999999999E-2</v>
      </c>
      <c r="BT114" s="83">
        <v>3.36711E-3</v>
      </c>
      <c r="BU114" s="83">
        <v>1.04499E-2</v>
      </c>
      <c r="BV114" s="83">
        <v>2.54302E-2</v>
      </c>
      <c r="BW114" s="83">
        <v>3.3846100000000001E-3</v>
      </c>
      <c r="BX114" s="83">
        <v>1.04499E-2</v>
      </c>
      <c r="BY114" s="83">
        <v>2.2713899999999999E-2</v>
      </c>
      <c r="BZ114" s="83">
        <v>3.2837500000000002E-3</v>
      </c>
      <c r="CA114" s="83">
        <v>1.04499E-2</v>
      </c>
      <c r="CB114" s="83">
        <v>2.3505000000000002E-2</v>
      </c>
      <c r="CC114" s="83">
        <v>3.41092E-3</v>
      </c>
      <c r="CD114" s="83">
        <v>1.04499E-2</v>
      </c>
      <c r="CE114" s="83">
        <v>1.9521500000000001E-2</v>
      </c>
      <c r="CF114" s="83">
        <v>3.2129599999999999E-3</v>
      </c>
      <c r="CG114" s="83">
        <v>1.04499E-2</v>
      </c>
      <c r="CH114" s="83">
        <v>1.8657699999999999E-2</v>
      </c>
      <c r="CI114" s="83">
        <v>3.2792799999999999E-3</v>
      </c>
      <c r="CJ114" s="83">
        <v>1.04499E-2</v>
      </c>
      <c r="CK114" s="83">
        <v>1.6583199999999999E-2</v>
      </c>
      <c r="CL114" s="83">
        <v>3.2503900000000001E-3</v>
      </c>
      <c r="CM114" s="83">
        <v>1.04499E-2</v>
      </c>
      <c r="CN114" s="83">
        <v>1.5683200000000001E-2</v>
      </c>
      <c r="CO114" s="83">
        <v>3.27262E-3</v>
      </c>
      <c r="CP114" s="83">
        <v>1.04499E-2</v>
      </c>
      <c r="CQ114" s="83">
        <v>1.35993E-2</v>
      </c>
      <c r="CR114" s="83">
        <v>3.2844200000000001E-3</v>
      </c>
      <c r="CS114" s="83">
        <v>1.04499E-2</v>
      </c>
      <c r="CT114" s="83">
        <v>1.21371E-2</v>
      </c>
      <c r="CU114" s="83">
        <v>3.31972E-3</v>
      </c>
      <c r="CV114" s="83">
        <v>1.04499E-2</v>
      </c>
      <c r="CW114" s="83">
        <v>1.06742E-2</v>
      </c>
      <c r="CX114" s="83">
        <v>3.2452000000000002E-3</v>
      </c>
    </row>
    <row r="115" spans="1:102" x14ac:dyDescent="0.2">
      <c r="A115" s="83">
        <v>1.0549899999999999E-2</v>
      </c>
      <c r="B115" s="83">
        <v>4.5441200000000001E-2</v>
      </c>
      <c r="C115" s="83">
        <v>3.0186800000000001E-3</v>
      </c>
      <c r="D115" s="83">
        <v>1.0549899999999999E-2</v>
      </c>
      <c r="E115" s="83">
        <v>4.6785300000000002E-2</v>
      </c>
      <c r="F115" s="83">
        <v>3.06435E-3</v>
      </c>
      <c r="G115" s="83">
        <v>1.0549899999999999E-2</v>
      </c>
      <c r="H115" s="83">
        <v>4.8572299999999999E-2</v>
      </c>
      <c r="I115" s="83">
        <v>3.1685200000000002E-3</v>
      </c>
      <c r="J115" s="83">
        <v>1.0549899999999999E-2</v>
      </c>
      <c r="K115" s="83">
        <v>4.8353100000000003E-2</v>
      </c>
      <c r="L115" s="83">
        <v>3.1194399999999998E-3</v>
      </c>
      <c r="M115" s="83">
        <v>1.0549899999999999E-2</v>
      </c>
      <c r="N115" s="83">
        <v>4.8167599999999998E-2</v>
      </c>
      <c r="O115" s="83">
        <v>3.10115E-3</v>
      </c>
      <c r="P115" s="83">
        <v>1.0549899999999999E-2</v>
      </c>
      <c r="Q115" s="83">
        <v>4.8201000000000001E-2</v>
      </c>
      <c r="R115" s="83">
        <v>3.1381199999999999E-3</v>
      </c>
      <c r="S115" s="83">
        <v>1.0549899999999999E-2</v>
      </c>
      <c r="T115" s="83">
        <v>4.8304199999999999E-2</v>
      </c>
      <c r="U115" s="83">
        <v>3.1755099999999999E-3</v>
      </c>
      <c r="V115" s="83">
        <v>1.0549899999999999E-2</v>
      </c>
      <c r="W115" s="83">
        <v>4.5955299999999998E-2</v>
      </c>
      <c r="X115" s="83">
        <v>3.1227999999999998E-3</v>
      </c>
      <c r="Y115" s="83">
        <v>1.0549899999999999E-2</v>
      </c>
      <c r="Z115" s="83">
        <v>4.5112600000000003E-2</v>
      </c>
      <c r="AA115" s="83">
        <v>3.1409400000000001E-3</v>
      </c>
      <c r="AB115" s="83">
        <v>1.0549899999999999E-2</v>
      </c>
      <c r="AC115" s="83">
        <v>4.3929700000000002E-2</v>
      </c>
      <c r="AD115" s="83">
        <v>3.1182900000000001E-3</v>
      </c>
      <c r="AE115" s="83">
        <v>1.0549899999999999E-2</v>
      </c>
      <c r="AF115" s="83">
        <v>4.32354E-2</v>
      </c>
      <c r="AG115" s="83">
        <v>3.1269499999999999E-3</v>
      </c>
      <c r="AH115" s="83">
        <v>1.0549899999999999E-2</v>
      </c>
      <c r="AI115" s="83">
        <v>4.1070200000000001E-2</v>
      </c>
      <c r="AJ115" s="83">
        <v>3.15088E-3</v>
      </c>
      <c r="AK115" s="83">
        <v>1.0549899999999999E-2</v>
      </c>
      <c r="AL115" s="83">
        <v>4.1277599999999998E-2</v>
      </c>
      <c r="AM115" s="83">
        <v>3.14503E-3</v>
      </c>
      <c r="AN115" s="83">
        <v>1.0549899999999999E-2</v>
      </c>
      <c r="AO115" s="83">
        <v>3.9573499999999998E-2</v>
      </c>
      <c r="AP115" s="83">
        <v>3.1709500000000001E-3</v>
      </c>
      <c r="AQ115" s="83">
        <v>1.0549899999999999E-2</v>
      </c>
      <c r="AR115" s="83">
        <v>3.7686900000000002E-2</v>
      </c>
      <c r="AS115" s="83">
        <v>3.1406699999999999E-3</v>
      </c>
      <c r="AT115" s="83">
        <v>1.0549899999999999E-2</v>
      </c>
      <c r="AU115" s="83">
        <v>3.5754000000000001E-2</v>
      </c>
      <c r="AV115" s="83">
        <v>3.1046899999999998E-3</v>
      </c>
      <c r="AW115" s="83">
        <v>1.0549899999999999E-2</v>
      </c>
      <c r="AX115" s="83">
        <v>3.4307299999999999E-2</v>
      </c>
      <c r="AY115" s="83">
        <v>3.1484999999999998E-3</v>
      </c>
      <c r="AZ115" s="83">
        <v>1.0549899999999999E-2</v>
      </c>
      <c r="BA115" s="83">
        <v>3.30183E-2</v>
      </c>
      <c r="BB115" s="83">
        <v>3.1233200000000002E-3</v>
      </c>
      <c r="BC115" s="83">
        <v>1.0549899999999999E-2</v>
      </c>
      <c r="BD115" s="83">
        <v>3.2769800000000002E-2</v>
      </c>
      <c r="BE115" s="83">
        <v>3.1817099999999999E-3</v>
      </c>
      <c r="BF115" s="83">
        <v>1.0549899999999999E-2</v>
      </c>
      <c r="BG115" s="83">
        <v>3.0681900000000002E-2</v>
      </c>
      <c r="BH115" s="83">
        <v>3.1748900000000001E-3</v>
      </c>
      <c r="BI115" s="83">
        <v>1.0549899999999999E-2</v>
      </c>
      <c r="BJ115" s="83">
        <v>2.8764700000000001E-2</v>
      </c>
      <c r="BK115" s="83">
        <v>3.1438E-3</v>
      </c>
      <c r="BL115" s="83">
        <v>1.0549899999999999E-2</v>
      </c>
      <c r="BM115" s="83">
        <v>2.6973400000000002E-2</v>
      </c>
      <c r="BN115" s="83">
        <v>3.0981300000000002E-3</v>
      </c>
      <c r="BO115" s="83">
        <v>1.0549899999999999E-2</v>
      </c>
      <c r="BP115" s="83">
        <v>2.53887E-2</v>
      </c>
      <c r="BQ115" s="83">
        <v>3.0941499999999999E-3</v>
      </c>
      <c r="BR115" s="83">
        <v>1.0549899999999999E-2</v>
      </c>
      <c r="BS115" s="83">
        <v>2.5247599999999999E-2</v>
      </c>
      <c r="BT115" s="83">
        <v>3.1766799999999999E-3</v>
      </c>
      <c r="BU115" s="83">
        <v>1.0549899999999999E-2</v>
      </c>
      <c r="BV115" s="83">
        <v>2.3169499999999999E-2</v>
      </c>
      <c r="BW115" s="83">
        <v>3.1863600000000001E-3</v>
      </c>
      <c r="BX115" s="83">
        <v>1.0549899999999999E-2</v>
      </c>
      <c r="BY115" s="83">
        <v>2.0560599999999998E-2</v>
      </c>
      <c r="BZ115" s="83">
        <v>3.1060200000000001E-3</v>
      </c>
      <c r="CA115" s="83">
        <v>1.0549899999999999E-2</v>
      </c>
      <c r="CB115" s="83">
        <v>2.09903E-2</v>
      </c>
      <c r="CC115" s="83">
        <v>3.2214700000000001E-3</v>
      </c>
      <c r="CD115" s="83">
        <v>1.0549899999999999E-2</v>
      </c>
      <c r="CE115" s="83">
        <v>1.8076100000000001E-2</v>
      </c>
      <c r="CF115" s="83">
        <v>3.0332800000000002E-3</v>
      </c>
      <c r="CG115" s="83">
        <v>1.0549899999999999E-2</v>
      </c>
      <c r="CH115" s="83">
        <v>1.6973100000000001E-2</v>
      </c>
      <c r="CI115" s="83">
        <v>3.09764E-3</v>
      </c>
      <c r="CJ115" s="83">
        <v>1.0549899999999999E-2</v>
      </c>
      <c r="CK115" s="83">
        <v>1.46838E-2</v>
      </c>
      <c r="CL115" s="83">
        <v>3.0765599999999999E-3</v>
      </c>
      <c r="CM115" s="83">
        <v>1.0549899999999999E-2</v>
      </c>
      <c r="CN115" s="83">
        <v>1.4184199999999999E-2</v>
      </c>
      <c r="CO115" s="83">
        <v>3.1232E-3</v>
      </c>
      <c r="CP115" s="83">
        <v>1.0549899999999999E-2</v>
      </c>
      <c r="CQ115" s="83">
        <v>1.1753599999999999E-2</v>
      </c>
      <c r="CR115" s="83">
        <v>3.1242700000000002E-3</v>
      </c>
      <c r="CS115" s="83">
        <v>1.0549899999999999E-2</v>
      </c>
      <c r="CT115" s="83">
        <v>1.06625E-2</v>
      </c>
      <c r="CU115" s="83">
        <v>3.1351500000000002E-3</v>
      </c>
      <c r="CV115" s="83">
        <v>1.0549899999999999E-2</v>
      </c>
      <c r="CW115" s="83">
        <v>9.3021100000000006E-3</v>
      </c>
      <c r="CX115" s="83">
        <v>3.0791799999999999E-3</v>
      </c>
    </row>
    <row r="116" spans="1:102" x14ac:dyDescent="0.2">
      <c r="A116" s="83">
        <v>1.06499E-2</v>
      </c>
      <c r="B116" s="83">
        <v>4.1964700000000001E-2</v>
      </c>
      <c r="C116" s="83">
        <v>2.86536E-3</v>
      </c>
      <c r="D116" s="83">
        <v>1.06499E-2</v>
      </c>
      <c r="E116" s="83">
        <v>4.4065600000000003E-2</v>
      </c>
      <c r="F116" s="83">
        <v>2.88857E-3</v>
      </c>
      <c r="G116" s="83">
        <v>1.06499E-2</v>
      </c>
      <c r="H116" s="83">
        <v>4.5041999999999999E-2</v>
      </c>
      <c r="I116" s="83">
        <v>2.96832E-3</v>
      </c>
      <c r="J116" s="83">
        <v>1.06499E-2</v>
      </c>
      <c r="K116" s="83">
        <v>4.4622700000000001E-2</v>
      </c>
      <c r="L116" s="83">
        <v>2.95635E-3</v>
      </c>
      <c r="M116" s="83">
        <v>1.06499E-2</v>
      </c>
      <c r="N116" s="83">
        <v>4.4857099999999997E-2</v>
      </c>
      <c r="O116" s="83">
        <v>2.9292699999999999E-3</v>
      </c>
      <c r="P116" s="83">
        <v>1.06499E-2</v>
      </c>
      <c r="Q116" s="83">
        <v>4.4651200000000002E-2</v>
      </c>
      <c r="R116" s="83">
        <v>2.9662400000000002E-3</v>
      </c>
      <c r="S116" s="83">
        <v>1.06499E-2</v>
      </c>
      <c r="T116" s="83">
        <v>4.4402799999999999E-2</v>
      </c>
      <c r="U116" s="83">
        <v>2.9899599999999998E-3</v>
      </c>
      <c r="V116" s="83">
        <v>1.06499E-2</v>
      </c>
      <c r="W116" s="83">
        <v>4.2488499999999998E-2</v>
      </c>
      <c r="X116" s="83">
        <v>2.9343199999999998E-3</v>
      </c>
      <c r="Y116" s="83">
        <v>1.06499E-2</v>
      </c>
      <c r="Z116" s="83">
        <v>4.1709299999999998E-2</v>
      </c>
      <c r="AA116" s="83">
        <v>2.9456299999999999E-3</v>
      </c>
      <c r="AB116" s="83">
        <v>1.06499E-2</v>
      </c>
      <c r="AC116" s="83">
        <v>3.9925799999999997E-2</v>
      </c>
      <c r="AD116" s="83">
        <v>2.94641E-3</v>
      </c>
      <c r="AE116" s="83">
        <v>1.06499E-2</v>
      </c>
      <c r="AF116" s="83">
        <v>4.0022500000000003E-2</v>
      </c>
      <c r="AG116" s="83">
        <v>2.9726499999999999E-3</v>
      </c>
      <c r="AH116" s="83">
        <v>1.06499E-2</v>
      </c>
      <c r="AI116" s="83">
        <v>3.7945199999999998E-2</v>
      </c>
      <c r="AJ116" s="83">
        <v>2.9819400000000002E-3</v>
      </c>
      <c r="AK116" s="83">
        <v>1.06499E-2</v>
      </c>
      <c r="AL116" s="83">
        <v>3.7962200000000001E-2</v>
      </c>
      <c r="AM116" s="83">
        <v>2.9848700000000001E-3</v>
      </c>
      <c r="AN116" s="83">
        <v>1.06499E-2</v>
      </c>
      <c r="AO116" s="83">
        <v>3.6648699999999999E-2</v>
      </c>
      <c r="AP116" s="83">
        <v>3.0205599999999998E-3</v>
      </c>
      <c r="AQ116" s="83">
        <v>1.06499E-2</v>
      </c>
      <c r="AR116" s="83">
        <v>3.4771799999999999E-2</v>
      </c>
      <c r="AS116" s="83">
        <v>2.9512200000000001E-3</v>
      </c>
      <c r="AT116" s="83">
        <v>1.06499E-2</v>
      </c>
      <c r="AU116" s="83">
        <v>3.2673000000000001E-2</v>
      </c>
      <c r="AV116" s="83">
        <v>2.93867E-3</v>
      </c>
      <c r="AW116" s="83">
        <v>1.06499E-2</v>
      </c>
      <c r="AX116" s="83">
        <v>3.1484999999999999E-2</v>
      </c>
      <c r="AY116" s="83">
        <v>2.9766300000000001E-3</v>
      </c>
      <c r="AZ116" s="83">
        <v>1.06499E-2</v>
      </c>
      <c r="BA116" s="83">
        <v>3.0244799999999999E-2</v>
      </c>
      <c r="BB116" s="83">
        <v>2.9397300000000002E-3</v>
      </c>
      <c r="BC116" s="83">
        <v>1.06499E-2</v>
      </c>
      <c r="BD116" s="83">
        <v>3.0216E-2</v>
      </c>
      <c r="BE116" s="83">
        <v>3.0000700000000001E-3</v>
      </c>
      <c r="BF116" s="83">
        <v>1.06499E-2</v>
      </c>
      <c r="BG116" s="83">
        <v>2.8167299999999999E-2</v>
      </c>
      <c r="BH116" s="83">
        <v>3.0166899999999998E-3</v>
      </c>
      <c r="BI116" s="83">
        <v>1.06499E-2</v>
      </c>
      <c r="BJ116" s="83">
        <v>2.6225600000000002E-2</v>
      </c>
      <c r="BK116" s="83">
        <v>2.9807100000000001E-3</v>
      </c>
      <c r="BL116" s="83">
        <v>1.06499E-2</v>
      </c>
      <c r="BM116" s="83">
        <v>2.4971500000000001E-2</v>
      </c>
      <c r="BN116" s="83">
        <v>2.9467600000000001E-3</v>
      </c>
      <c r="BO116" s="83">
        <v>1.06499E-2</v>
      </c>
      <c r="BP116" s="83">
        <v>2.3079100000000002E-2</v>
      </c>
      <c r="BQ116" s="83">
        <v>2.9173900000000002E-3</v>
      </c>
      <c r="BR116" s="83">
        <v>1.06499E-2</v>
      </c>
      <c r="BS116" s="83">
        <v>2.2957499999999999E-2</v>
      </c>
      <c r="BT116" s="83">
        <v>2.9764800000000001E-3</v>
      </c>
      <c r="BU116" s="83">
        <v>1.06499E-2</v>
      </c>
      <c r="BV116" s="83">
        <v>2.09576E-2</v>
      </c>
      <c r="BW116" s="83">
        <v>3.0183900000000001E-3</v>
      </c>
      <c r="BX116" s="83">
        <v>1.06499E-2</v>
      </c>
      <c r="BY116" s="83">
        <v>1.86856E-2</v>
      </c>
      <c r="BZ116" s="83">
        <v>2.9292599999999999E-3</v>
      </c>
      <c r="CA116" s="83">
        <v>1.06499E-2</v>
      </c>
      <c r="CB116" s="83">
        <v>1.9193499999999999E-2</v>
      </c>
      <c r="CC116" s="83">
        <v>3.02908E-3</v>
      </c>
      <c r="CD116" s="83">
        <v>1.06499E-2</v>
      </c>
      <c r="CE116" s="83">
        <v>1.6333E-2</v>
      </c>
      <c r="CF116" s="83">
        <v>2.8828899999999999E-3</v>
      </c>
      <c r="CG116" s="83">
        <v>1.06499E-2</v>
      </c>
      <c r="CH116" s="83">
        <v>1.54106E-2</v>
      </c>
      <c r="CI116" s="83">
        <v>2.9413899999999999E-3</v>
      </c>
      <c r="CJ116" s="83">
        <v>1.06499E-2</v>
      </c>
      <c r="CK116" s="83">
        <v>1.35266E-2</v>
      </c>
      <c r="CL116" s="83">
        <v>2.9173799999999998E-3</v>
      </c>
      <c r="CM116" s="83">
        <v>1.06499E-2</v>
      </c>
      <c r="CN116" s="83">
        <v>1.26607E-2</v>
      </c>
      <c r="CO116" s="83">
        <v>2.9220299999999999E-3</v>
      </c>
      <c r="CP116" s="83">
        <v>1.06499E-2</v>
      </c>
      <c r="CQ116" s="83">
        <v>1.06257E-2</v>
      </c>
      <c r="CR116" s="83">
        <v>2.9572800000000001E-3</v>
      </c>
      <c r="CS116" s="83">
        <v>1.06499E-2</v>
      </c>
      <c r="CT116" s="83">
        <v>9.4271400000000005E-3</v>
      </c>
      <c r="CU116" s="83">
        <v>2.95839E-3</v>
      </c>
      <c r="CV116" s="83">
        <v>1.06499E-2</v>
      </c>
      <c r="CW116" s="83">
        <v>8.4866799999999999E-3</v>
      </c>
      <c r="CX116" s="83">
        <v>2.90047E-3</v>
      </c>
    </row>
    <row r="117" spans="1:102" x14ac:dyDescent="0.2">
      <c r="A117" s="83">
        <v>1.07499E-2</v>
      </c>
      <c r="B117" s="83">
        <v>3.9142400000000001E-2</v>
      </c>
      <c r="C117" s="83">
        <v>2.6915300000000001E-3</v>
      </c>
      <c r="D117" s="83">
        <v>1.07499E-2</v>
      </c>
      <c r="E117" s="83">
        <v>4.0496299999999999E-2</v>
      </c>
      <c r="F117" s="83">
        <v>2.7391500000000001E-3</v>
      </c>
      <c r="G117" s="83">
        <v>1.07499E-2</v>
      </c>
      <c r="H117" s="83">
        <v>4.1780299999999999E-2</v>
      </c>
      <c r="I117" s="83">
        <v>2.8003500000000001E-3</v>
      </c>
      <c r="J117" s="83">
        <v>1.07499E-2</v>
      </c>
      <c r="K117" s="83">
        <v>4.15904E-2</v>
      </c>
      <c r="L117" s="83">
        <v>2.7834999999999999E-3</v>
      </c>
      <c r="M117" s="83">
        <v>1.07499E-2</v>
      </c>
      <c r="N117" s="83">
        <v>4.1854099999999998E-2</v>
      </c>
      <c r="O117" s="83">
        <v>2.7534899999999999E-3</v>
      </c>
      <c r="P117" s="83">
        <v>1.07499E-2</v>
      </c>
      <c r="Q117" s="83">
        <v>4.1243000000000002E-2</v>
      </c>
      <c r="R117" s="83">
        <v>2.7953399999999999E-3</v>
      </c>
      <c r="S117" s="83">
        <v>1.07499E-2</v>
      </c>
      <c r="T117" s="83">
        <v>4.1043499999999997E-2</v>
      </c>
      <c r="U117" s="83">
        <v>2.8298099999999999E-3</v>
      </c>
      <c r="V117" s="83">
        <v>1.07499E-2</v>
      </c>
      <c r="W117" s="83">
        <v>3.9680899999999998E-2</v>
      </c>
      <c r="X117" s="83">
        <v>2.8112800000000002E-3</v>
      </c>
      <c r="Y117" s="83">
        <v>1.07499E-2</v>
      </c>
      <c r="Z117" s="83">
        <v>3.8921200000000003E-2</v>
      </c>
      <c r="AA117" s="83">
        <v>2.78547E-3</v>
      </c>
      <c r="AB117" s="83">
        <v>1.07499E-2</v>
      </c>
      <c r="AC117" s="83">
        <v>3.7259800000000003E-2</v>
      </c>
      <c r="AD117" s="83">
        <v>2.76575E-3</v>
      </c>
      <c r="AE117" s="83">
        <v>1.07499E-2</v>
      </c>
      <c r="AF117" s="83">
        <v>3.7195300000000001E-2</v>
      </c>
      <c r="AG117" s="83">
        <v>2.8154299999999998E-3</v>
      </c>
      <c r="AH117" s="83">
        <v>1.07499E-2</v>
      </c>
      <c r="AI117" s="83">
        <v>3.5381700000000002E-2</v>
      </c>
      <c r="AJ117" s="83">
        <v>2.8120100000000002E-3</v>
      </c>
      <c r="AK117" s="83">
        <v>1.07499E-2</v>
      </c>
      <c r="AL117" s="83">
        <v>3.4724900000000003E-2</v>
      </c>
      <c r="AM117" s="83">
        <v>2.80518E-3</v>
      </c>
      <c r="AN117" s="83">
        <v>1.07499E-2</v>
      </c>
      <c r="AO117" s="83">
        <v>3.3450399999999998E-2</v>
      </c>
      <c r="AP117" s="83">
        <v>2.8291599999999998E-3</v>
      </c>
      <c r="AQ117" s="83">
        <v>1.07499E-2</v>
      </c>
      <c r="AR117" s="83">
        <v>3.1812800000000002E-2</v>
      </c>
      <c r="AS117" s="83">
        <v>2.80474E-3</v>
      </c>
      <c r="AT117" s="83">
        <v>1.07499E-2</v>
      </c>
      <c r="AU117" s="83">
        <v>3.00851E-2</v>
      </c>
      <c r="AV117" s="83">
        <v>2.7541000000000002E-3</v>
      </c>
      <c r="AW117" s="83">
        <v>1.07499E-2</v>
      </c>
      <c r="AX117" s="83">
        <v>2.9175400000000001E-2</v>
      </c>
      <c r="AY117" s="83">
        <v>2.81745E-3</v>
      </c>
      <c r="AZ117" s="83">
        <v>1.07499E-2</v>
      </c>
      <c r="BA117" s="83">
        <v>2.7695999999999998E-2</v>
      </c>
      <c r="BB117" s="83">
        <v>2.8020300000000001E-3</v>
      </c>
      <c r="BC117" s="83">
        <v>1.07499E-2</v>
      </c>
      <c r="BD117" s="83">
        <v>2.7237500000000001E-2</v>
      </c>
      <c r="BE117" s="83">
        <v>2.8203899999999999E-3</v>
      </c>
      <c r="BF117" s="83">
        <v>1.07499E-2</v>
      </c>
      <c r="BG117" s="83">
        <v>2.60921E-2</v>
      </c>
      <c r="BH117" s="83">
        <v>2.8516499999999998E-3</v>
      </c>
      <c r="BI117" s="83">
        <v>1.07499E-2</v>
      </c>
      <c r="BJ117" s="83">
        <v>2.3725599999999999E-2</v>
      </c>
      <c r="BK117" s="83">
        <v>2.81372E-3</v>
      </c>
      <c r="BL117" s="83">
        <v>1.07499E-2</v>
      </c>
      <c r="BM117" s="83">
        <v>2.3164799999999999E-2</v>
      </c>
      <c r="BN117" s="83">
        <v>2.7631700000000001E-3</v>
      </c>
      <c r="BO117" s="83">
        <v>1.07499E-2</v>
      </c>
      <c r="BP117" s="83">
        <v>2.0759799999999998E-2</v>
      </c>
      <c r="BQ117" s="83">
        <v>2.7630900000000002E-3</v>
      </c>
      <c r="BR117" s="83">
        <v>1.07499E-2</v>
      </c>
      <c r="BS117" s="83">
        <v>2.1082500000000001E-2</v>
      </c>
      <c r="BT117" s="83">
        <v>2.8143700000000001E-3</v>
      </c>
      <c r="BU117" s="83">
        <v>1.07499E-2</v>
      </c>
      <c r="BV117" s="83">
        <v>1.8936100000000001E-2</v>
      </c>
      <c r="BW117" s="83">
        <v>2.8367499999999999E-3</v>
      </c>
      <c r="BX117" s="83">
        <v>1.07499E-2</v>
      </c>
      <c r="BY117" s="83">
        <v>1.7000999999999999E-2</v>
      </c>
      <c r="BZ117" s="83">
        <v>2.7632400000000001E-3</v>
      </c>
      <c r="CA117" s="83">
        <v>1.07499E-2</v>
      </c>
      <c r="CB117" s="83">
        <v>1.7337999999999999E-2</v>
      </c>
      <c r="CC117" s="83">
        <v>2.86404E-3</v>
      </c>
      <c r="CD117" s="83">
        <v>1.07499E-2</v>
      </c>
      <c r="CE117" s="83">
        <v>1.45019E-2</v>
      </c>
      <c r="CF117" s="83">
        <v>2.7168700000000001E-3</v>
      </c>
      <c r="CG117" s="83">
        <v>1.07499E-2</v>
      </c>
      <c r="CH117" s="83">
        <v>1.36235E-2</v>
      </c>
      <c r="CI117" s="83">
        <v>2.7568200000000001E-3</v>
      </c>
      <c r="CJ117" s="83">
        <v>1.07499E-2</v>
      </c>
      <c r="CK117" s="83">
        <v>1.2330300000000001E-2</v>
      </c>
      <c r="CL117" s="83">
        <v>2.7396399999999998E-3</v>
      </c>
      <c r="CM117" s="83">
        <v>1.07499E-2</v>
      </c>
      <c r="CN117" s="83">
        <v>1.1757399999999999E-2</v>
      </c>
      <c r="CO117" s="83">
        <v>2.7823800000000001E-3</v>
      </c>
      <c r="CP117" s="83">
        <v>1.07499E-2</v>
      </c>
      <c r="CQ117" s="83">
        <v>1.00398E-2</v>
      </c>
      <c r="CR117" s="83">
        <v>2.7990699999999999E-3</v>
      </c>
      <c r="CS117" s="83">
        <v>1.07499E-2</v>
      </c>
      <c r="CT117" s="83">
        <v>8.8949100000000007E-3</v>
      </c>
      <c r="CU117" s="83">
        <v>2.81972E-3</v>
      </c>
      <c r="CV117" s="83">
        <v>1.07499E-2</v>
      </c>
      <c r="CW117" s="83">
        <v>7.5443000000000003E-3</v>
      </c>
      <c r="CX117" s="83">
        <v>2.7237099999999998E-3</v>
      </c>
    </row>
    <row r="118" spans="1:102" x14ac:dyDescent="0.2">
      <c r="A118" s="83">
        <v>1.0849900000000001E-2</v>
      </c>
      <c r="B118" s="83">
        <v>3.62127E-2</v>
      </c>
      <c r="C118" s="83">
        <v>2.5303999999999999E-3</v>
      </c>
      <c r="D118" s="83">
        <v>1.0849900000000001E-2</v>
      </c>
      <c r="E118" s="83">
        <v>3.7449400000000001E-2</v>
      </c>
      <c r="F118" s="83">
        <v>2.5916899999999998E-3</v>
      </c>
      <c r="G118" s="83">
        <v>1.0849900000000001E-2</v>
      </c>
      <c r="H118" s="83">
        <v>3.8889699999999999E-2</v>
      </c>
      <c r="I118" s="83">
        <v>2.6440999999999999E-3</v>
      </c>
      <c r="J118" s="83">
        <v>1.0849900000000001E-2</v>
      </c>
      <c r="K118" s="83">
        <v>3.86559E-2</v>
      </c>
      <c r="L118" s="83">
        <v>2.6086999999999998E-3</v>
      </c>
      <c r="M118" s="83">
        <v>1.0849900000000001E-2</v>
      </c>
      <c r="N118" s="83">
        <v>3.8294599999999998E-2</v>
      </c>
      <c r="O118" s="83">
        <v>2.5806399999999999E-3</v>
      </c>
      <c r="P118" s="83">
        <v>1.0849900000000001E-2</v>
      </c>
      <c r="Q118" s="83">
        <v>3.85379E-2</v>
      </c>
      <c r="R118" s="83">
        <v>2.63226E-3</v>
      </c>
      <c r="S118" s="83">
        <v>1.0849900000000001E-2</v>
      </c>
      <c r="T118" s="83">
        <v>3.8186999999999999E-2</v>
      </c>
      <c r="U118" s="83">
        <v>2.6813700000000002E-3</v>
      </c>
      <c r="V118" s="83">
        <v>1.0849900000000001E-2</v>
      </c>
      <c r="W118" s="83">
        <v>3.6272699999999998E-2</v>
      </c>
      <c r="X118" s="83">
        <v>2.6618599999999998E-3</v>
      </c>
      <c r="Y118" s="83">
        <v>1.0849900000000001E-2</v>
      </c>
      <c r="Z118" s="83">
        <v>3.5932899999999997E-2</v>
      </c>
      <c r="AA118" s="83">
        <v>2.6272700000000001E-3</v>
      </c>
      <c r="AB118" s="83">
        <v>1.0849900000000001E-2</v>
      </c>
      <c r="AC118" s="83">
        <v>3.4413100000000002E-2</v>
      </c>
      <c r="AD118" s="83">
        <v>2.5929E-3</v>
      </c>
      <c r="AE118" s="83">
        <v>1.0849900000000001E-2</v>
      </c>
      <c r="AF118" s="83">
        <v>3.4299799999999998E-2</v>
      </c>
      <c r="AG118" s="83">
        <v>2.64453E-3</v>
      </c>
      <c r="AH118" s="83">
        <v>1.0849900000000001E-2</v>
      </c>
      <c r="AI118" s="83">
        <v>3.2427600000000001E-2</v>
      </c>
      <c r="AJ118" s="83">
        <v>2.6362299999999998E-3</v>
      </c>
      <c r="AK118" s="83">
        <v>1.0849900000000001E-2</v>
      </c>
      <c r="AL118" s="83">
        <v>3.2224900000000001E-2</v>
      </c>
      <c r="AM118" s="83">
        <v>2.63233E-3</v>
      </c>
      <c r="AN118" s="83">
        <v>1.0849900000000001E-2</v>
      </c>
      <c r="AO118" s="83">
        <v>3.0896699999999999E-2</v>
      </c>
      <c r="AP118" s="83">
        <v>2.6777900000000002E-3</v>
      </c>
      <c r="AQ118" s="83">
        <v>1.0849900000000001E-2</v>
      </c>
      <c r="AR118" s="83">
        <v>2.9361700000000001E-2</v>
      </c>
      <c r="AS118" s="83">
        <v>2.6309100000000002E-3</v>
      </c>
      <c r="AT118" s="83">
        <v>1.0849900000000001E-2</v>
      </c>
      <c r="AU118" s="83">
        <v>2.76876E-2</v>
      </c>
      <c r="AV118" s="83">
        <v>2.6251999999999998E-3</v>
      </c>
      <c r="AW118" s="83">
        <v>1.0849900000000001E-2</v>
      </c>
      <c r="AX118" s="83">
        <v>2.67487E-2</v>
      </c>
      <c r="AY118" s="83">
        <v>2.6455699999999999E-3</v>
      </c>
      <c r="AZ118" s="83">
        <v>1.0849900000000001E-2</v>
      </c>
      <c r="BA118" s="83">
        <v>2.5620799999999999E-2</v>
      </c>
      <c r="BB118" s="83">
        <v>2.6233200000000002E-3</v>
      </c>
      <c r="BC118" s="83">
        <v>1.0849900000000001E-2</v>
      </c>
      <c r="BD118" s="83">
        <v>2.5352800000000002E-2</v>
      </c>
      <c r="BE118" s="83">
        <v>2.6670700000000001E-3</v>
      </c>
      <c r="BF118" s="83">
        <v>1.0849900000000001E-2</v>
      </c>
      <c r="BG118" s="83">
        <v>2.40901E-2</v>
      </c>
      <c r="BH118" s="83">
        <v>2.67294E-3</v>
      </c>
      <c r="BI118" s="83">
        <v>1.0849900000000001E-2</v>
      </c>
      <c r="BJ118" s="83">
        <v>2.1845699999999999E-2</v>
      </c>
      <c r="BK118" s="83">
        <v>2.6701699999999999E-3</v>
      </c>
      <c r="BL118" s="83">
        <v>1.0849900000000001E-2</v>
      </c>
      <c r="BM118" s="83">
        <v>2.0933400000000001E-2</v>
      </c>
      <c r="BN118" s="83">
        <v>2.6088700000000001E-3</v>
      </c>
      <c r="BO118" s="83">
        <v>1.0849900000000001E-2</v>
      </c>
      <c r="BP118" s="83">
        <v>1.9006800000000001E-2</v>
      </c>
      <c r="BQ118" s="83">
        <v>2.5980500000000002E-3</v>
      </c>
      <c r="BR118" s="83">
        <v>1.0849900000000001E-2</v>
      </c>
      <c r="BS118" s="83">
        <v>1.9153799999999999E-2</v>
      </c>
      <c r="BT118" s="83">
        <v>2.6561699999999998E-3</v>
      </c>
      <c r="BU118" s="83">
        <v>1.0849900000000001E-2</v>
      </c>
      <c r="BV118" s="83">
        <v>1.7393100000000002E-2</v>
      </c>
      <c r="BW118" s="83">
        <v>2.68636E-3</v>
      </c>
      <c r="BX118" s="83">
        <v>1.0849900000000001E-2</v>
      </c>
      <c r="BY118" s="83">
        <v>1.57413E-2</v>
      </c>
      <c r="BZ118" s="83">
        <v>2.6187099999999998E-3</v>
      </c>
      <c r="CA118" s="83">
        <v>1.0849900000000001E-2</v>
      </c>
      <c r="CB118" s="83">
        <v>1.6048900000000001E-2</v>
      </c>
      <c r="CC118" s="83">
        <v>2.69608E-3</v>
      </c>
      <c r="CD118" s="83">
        <v>1.0849900000000001E-2</v>
      </c>
      <c r="CE118" s="83">
        <v>1.24609E-2</v>
      </c>
      <c r="CF118" s="83">
        <v>2.5645300000000002E-3</v>
      </c>
      <c r="CG118" s="83">
        <v>1.0849900000000001E-2</v>
      </c>
      <c r="CH118" s="83">
        <v>1.26128E-2</v>
      </c>
      <c r="CI118" s="83">
        <v>2.6044800000000002E-3</v>
      </c>
      <c r="CJ118" s="83">
        <v>1.0849900000000001E-2</v>
      </c>
      <c r="CK118" s="83">
        <v>1.12561E-2</v>
      </c>
      <c r="CL118" s="83">
        <v>2.59121E-3</v>
      </c>
      <c r="CM118" s="83">
        <v>1.0849900000000001E-2</v>
      </c>
      <c r="CN118" s="83">
        <v>1.02828E-2</v>
      </c>
      <c r="CO118" s="83">
        <v>2.6222300000000001E-3</v>
      </c>
      <c r="CP118" s="83">
        <v>1.0849900000000001E-2</v>
      </c>
      <c r="CQ118" s="83">
        <v>8.8581200000000006E-3</v>
      </c>
      <c r="CR118" s="83">
        <v>2.6291499999999998E-3</v>
      </c>
      <c r="CS118" s="83">
        <v>1.0849900000000001E-2</v>
      </c>
      <c r="CT118" s="83">
        <v>8.2161999999999999E-3</v>
      </c>
      <c r="CU118" s="83">
        <v>2.6429600000000002E-3</v>
      </c>
      <c r="CV118" s="83">
        <v>1.0849900000000001E-2</v>
      </c>
      <c r="CW118" s="83">
        <v>6.7044599999999998E-3</v>
      </c>
      <c r="CX118" s="83">
        <v>2.55281E-3</v>
      </c>
    </row>
    <row r="119" spans="1:102" x14ac:dyDescent="0.2">
      <c r="A119" s="83">
        <v>1.09499E-2</v>
      </c>
      <c r="B119" s="83">
        <v>3.3576000000000002E-2</v>
      </c>
      <c r="C119" s="83">
        <v>2.3839099999999999E-3</v>
      </c>
      <c r="D119" s="83">
        <v>1.09499E-2</v>
      </c>
      <c r="E119" s="83">
        <v>3.4949399999999999E-2</v>
      </c>
      <c r="F119" s="83">
        <v>2.4422799999999998E-3</v>
      </c>
      <c r="G119" s="83">
        <v>1.09499E-2</v>
      </c>
      <c r="H119" s="83">
        <v>3.6291999999999998E-2</v>
      </c>
      <c r="I119" s="83">
        <v>2.5025E-3</v>
      </c>
      <c r="J119" s="83">
        <v>1.09499E-2</v>
      </c>
      <c r="K119" s="83">
        <v>3.5555299999999998E-2</v>
      </c>
      <c r="L119" s="83">
        <v>2.4465899999999998E-3</v>
      </c>
      <c r="M119" s="83">
        <v>1.09499E-2</v>
      </c>
      <c r="N119" s="83">
        <v>3.6068000000000003E-2</v>
      </c>
      <c r="O119" s="83">
        <v>2.4400200000000002E-3</v>
      </c>
      <c r="P119" s="83">
        <v>1.09499E-2</v>
      </c>
      <c r="Q119" s="83">
        <v>3.60281E-2</v>
      </c>
      <c r="R119" s="83">
        <v>2.4838199999999999E-3</v>
      </c>
      <c r="S119" s="83">
        <v>1.09499E-2</v>
      </c>
      <c r="T119" s="83">
        <v>3.5027799999999998E-2</v>
      </c>
      <c r="U119" s="83">
        <v>2.5260999999999999E-3</v>
      </c>
      <c r="V119" s="83">
        <v>1.09499E-2</v>
      </c>
      <c r="W119" s="83">
        <v>3.3582300000000002E-2</v>
      </c>
      <c r="X119" s="83">
        <v>2.47729E-3</v>
      </c>
      <c r="Y119" s="83">
        <v>1.09499E-2</v>
      </c>
      <c r="Z119" s="83">
        <v>3.3003200000000003E-2</v>
      </c>
      <c r="AA119" s="83">
        <v>2.48176E-3</v>
      </c>
      <c r="AB119" s="83">
        <v>1.09499E-2</v>
      </c>
      <c r="AC119" s="83">
        <v>3.1810600000000001E-2</v>
      </c>
      <c r="AD119" s="83">
        <v>2.4678999999999999E-3</v>
      </c>
      <c r="AE119" s="83">
        <v>1.09499E-2</v>
      </c>
      <c r="AF119" s="83">
        <v>3.1541E-2</v>
      </c>
      <c r="AG119" s="83">
        <v>2.5019500000000002E-3</v>
      </c>
      <c r="AH119" s="83">
        <v>1.09499E-2</v>
      </c>
      <c r="AI119" s="83">
        <v>2.9751799999999998E-2</v>
      </c>
      <c r="AJ119" s="83">
        <v>2.4926800000000002E-3</v>
      </c>
      <c r="AK119" s="83">
        <v>1.09499E-2</v>
      </c>
      <c r="AL119" s="83">
        <v>3.0125300000000001E-2</v>
      </c>
      <c r="AM119" s="83">
        <v>2.5034200000000001E-3</v>
      </c>
      <c r="AN119" s="83">
        <v>1.09499E-2</v>
      </c>
      <c r="AO119" s="83">
        <v>2.8406500000000001E-2</v>
      </c>
      <c r="AP119" s="83">
        <v>2.5020099999999998E-3</v>
      </c>
      <c r="AQ119" s="83">
        <v>1.09499E-2</v>
      </c>
      <c r="AR119" s="83">
        <v>2.7359700000000001E-2</v>
      </c>
      <c r="AS119" s="83">
        <v>2.4805199999999999E-3</v>
      </c>
      <c r="AT119" s="83">
        <v>1.09499E-2</v>
      </c>
      <c r="AU119" s="83">
        <v>2.5744300000000001E-2</v>
      </c>
      <c r="AV119" s="83">
        <v>2.4650399999999999E-3</v>
      </c>
      <c r="AW119" s="83">
        <v>1.09499E-2</v>
      </c>
      <c r="AX119" s="83">
        <v>2.4736899999999999E-2</v>
      </c>
      <c r="AY119" s="83">
        <v>2.5010399999999999E-3</v>
      </c>
      <c r="AZ119" s="83">
        <v>1.09499E-2</v>
      </c>
      <c r="BA119" s="83">
        <v>2.3696999999999999E-2</v>
      </c>
      <c r="BB119" s="83">
        <v>2.4631700000000002E-3</v>
      </c>
      <c r="BC119" s="83">
        <v>1.09499E-2</v>
      </c>
      <c r="BD119" s="83">
        <v>2.35071E-2</v>
      </c>
      <c r="BE119" s="83">
        <v>2.50593E-3</v>
      </c>
      <c r="BF119" s="83">
        <v>1.09499E-2</v>
      </c>
      <c r="BG119" s="83">
        <v>2.1712200000000001E-2</v>
      </c>
      <c r="BH119" s="83">
        <v>2.5450099999999999E-3</v>
      </c>
      <c r="BI119" s="83">
        <v>1.09499E-2</v>
      </c>
      <c r="BJ119" s="83">
        <v>2.02051E-2</v>
      </c>
      <c r="BK119" s="83">
        <v>2.4934100000000002E-3</v>
      </c>
      <c r="BL119" s="83">
        <v>1.09499E-2</v>
      </c>
      <c r="BM119" s="83">
        <v>1.90974E-2</v>
      </c>
      <c r="BN119" s="83">
        <v>2.47606E-3</v>
      </c>
      <c r="BO119" s="83">
        <v>1.09499E-2</v>
      </c>
      <c r="BP119" s="83">
        <v>1.7395500000000001E-2</v>
      </c>
      <c r="BQ119" s="83">
        <v>2.4535199999999998E-3</v>
      </c>
      <c r="BR119" s="83">
        <v>1.09499E-2</v>
      </c>
      <c r="BS119" s="83">
        <v>1.7303200000000001E-2</v>
      </c>
      <c r="BT119" s="83">
        <v>2.51359E-3</v>
      </c>
      <c r="BU119" s="83">
        <v>1.09499E-2</v>
      </c>
      <c r="BV119" s="83">
        <v>1.5757400000000001E-2</v>
      </c>
      <c r="BW119" s="83">
        <v>2.5359699999999998E-3</v>
      </c>
      <c r="BX119" s="83">
        <v>1.09499E-2</v>
      </c>
      <c r="BY119" s="83">
        <v>1.4076200000000001E-2</v>
      </c>
      <c r="BZ119" s="83">
        <v>2.4546500000000001E-3</v>
      </c>
      <c r="CA119" s="83">
        <v>1.09499E-2</v>
      </c>
      <c r="CB119" s="83">
        <v>1.4276499999999999E-2</v>
      </c>
      <c r="CC119" s="83">
        <v>2.5691199999999998E-3</v>
      </c>
      <c r="CD119" s="83">
        <v>1.09499E-2</v>
      </c>
      <c r="CE119" s="83">
        <v>1.1689400000000001E-2</v>
      </c>
      <c r="CF119" s="83">
        <v>2.4131600000000001E-3</v>
      </c>
      <c r="CG119" s="83">
        <v>1.09499E-2</v>
      </c>
      <c r="CH119" s="83">
        <v>1.0791500000000001E-2</v>
      </c>
      <c r="CI119" s="83">
        <v>2.4579900000000002E-3</v>
      </c>
      <c r="CJ119" s="83">
        <v>1.09499E-2</v>
      </c>
      <c r="CK119" s="83">
        <v>1.0333200000000001E-2</v>
      </c>
      <c r="CL119" s="83">
        <v>2.4251899999999998E-3</v>
      </c>
      <c r="CM119" s="83">
        <v>1.09499E-2</v>
      </c>
      <c r="CN119" s="83">
        <v>9.2574000000000007E-3</v>
      </c>
      <c r="CO119" s="83">
        <v>2.46305E-3</v>
      </c>
      <c r="CP119" s="83">
        <v>1.09499E-2</v>
      </c>
      <c r="CQ119" s="83">
        <v>8.1012900000000006E-3</v>
      </c>
      <c r="CR119" s="83">
        <v>2.4875499999999998E-3</v>
      </c>
      <c r="CS119" s="83">
        <v>1.09499E-2</v>
      </c>
      <c r="CT119" s="83">
        <v>6.9759599999999998E-3</v>
      </c>
      <c r="CU119" s="83">
        <v>2.5033199999999999E-3</v>
      </c>
      <c r="CV119" s="83">
        <v>1.09499E-2</v>
      </c>
      <c r="CW119" s="83">
        <v>6.00133E-3</v>
      </c>
      <c r="CX119" s="83">
        <v>2.4180500000000001E-3</v>
      </c>
    </row>
    <row r="120" spans="1:102" x14ac:dyDescent="0.2">
      <c r="A120" s="83">
        <v>1.10499E-2</v>
      </c>
      <c r="B120" s="83">
        <v>3.0753699999999998E-2</v>
      </c>
      <c r="C120" s="83">
        <v>2.23938E-3</v>
      </c>
      <c r="D120" s="83">
        <v>1.10499E-2</v>
      </c>
      <c r="E120" s="83">
        <v>3.2307799999999998E-2</v>
      </c>
      <c r="F120" s="83">
        <v>2.3055599999999999E-3</v>
      </c>
      <c r="G120" s="83">
        <v>1.10499E-2</v>
      </c>
      <c r="H120" s="83">
        <v>3.3333000000000002E-2</v>
      </c>
      <c r="I120" s="83">
        <v>2.3472300000000001E-3</v>
      </c>
      <c r="J120" s="83">
        <v>1.10499E-2</v>
      </c>
      <c r="K120" s="83">
        <v>3.3533800000000002E-2</v>
      </c>
      <c r="L120" s="83">
        <v>2.2962E-3</v>
      </c>
      <c r="M120" s="83">
        <v>1.10499E-2</v>
      </c>
      <c r="N120" s="83">
        <v>3.28356E-2</v>
      </c>
      <c r="O120" s="83">
        <v>2.3072000000000001E-3</v>
      </c>
      <c r="P120" s="83">
        <v>1.10499E-2</v>
      </c>
      <c r="Q120" s="83">
        <v>3.2888500000000001E-2</v>
      </c>
      <c r="R120" s="83">
        <v>2.3422199999999999E-3</v>
      </c>
      <c r="S120" s="83">
        <v>1.10499E-2</v>
      </c>
      <c r="T120" s="83">
        <v>3.26206E-2</v>
      </c>
      <c r="U120" s="83">
        <v>2.36594E-3</v>
      </c>
      <c r="V120" s="83">
        <v>1.10499E-2</v>
      </c>
      <c r="W120" s="83">
        <v>3.1302000000000003E-2</v>
      </c>
      <c r="X120" s="83">
        <v>2.3210399999999999E-3</v>
      </c>
      <c r="Y120" s="83">
        <v>1.10499E-2</v>
      </c>
      <c r="Z120" s="83">
        <v>3.0679000000000001E-2</v>
      </c>
      <c r="AA120" s="83">
        <v>2.3567599999999998E-3</v>
      </c>
      <c r="AB120" s="83">
        <v>1.10499E-2</v>
      </c>
      <c r="AC120" s="83">
        <v>2.9608499999999999E-2</v>
      </c>
      <c r="AD120" s="83">
        <v>2.32825E-3</v>
      </c>
      <c r="AE120" s="83">
        <v>1.10499E-2</v>
      </c>
      <c r="AF120" s="83">
        <v>2.9675799999999999E-2</v>
      </c>
      <c r="AG120" s="83">
        <v>2.3505800000000001E-3</v>
      </c>
      <c r="AH120" s="83">
        <v>1.10499E-2</v>
      </c>
      <c r="AI120" s="83">
        <v>2.7447099999999999E-2</v>
      </c>
      <c r="AJ120" s="83">
        <v>2.3461900000000002E-3</v>
      </c>
      <c r="AK120" s="83">
        <v>1.10499E-2</v>
      </c>
      <c r="AL120" s="83">
        <v>2.7356700000000001E-2</v>
      </c>
      <c r="AM120" s="83">
        <v>2.3500999999999999E-3</v>
      </c>
      <c r="AN120" s="83">
        <v>1.10499E-2</v>
      </c>
      <c r="AO120" s="83">
        <v>2.6126199999999999E-2</v>
      </c>
      <c r="AP120" s="83">
        <v>2.37798E-3</v>
      </c>
      <c r="AQ120" s="83">
        <v>1.10499E-2</v>
      </c>
      <c r="AR120" s="83">
        <v>2.5089199999999999E-2</v>
      </c>
      <c r="AS120" s="83">
        <v>2.3565000000000001E-3</v>
      </c>
      <c r="AT120" s="83">
        <v>1.10499E-2</v>
      </c>
      <c r="AU120" s="83">
        <v>2.39083E-2</v>
      </c>
      <c r="AV120" s="83">
        <v>2.3292999999999999E-3</v>
      </c>
      <c r="AW120" s="83">
        <v>1.10499E-2</v>
      </c>
      <c r="AX120" s="83">
        <v>2.2935199999999999E-2</v>
      </c>
      <c r="AY120" s="83">
        <v>2.3535800000000001E-3</v>
      </c>
      <c r="AZ120" s="83">
        <v>1.10499E-2</v>
      </c>
      <c r="BA120" s="83">
        <v>2.1670600000000002E-2</v>
      </c>
      <c r="BB120" s="83">
        <v>2.31766E-3</v>
      </c>
      <c r="BC120" s="83">
        <v>1.10499E-2</v>
      </c>
      <c r="BD120" s="83">
        <v>2.14465E-2</v>
      </c>
      <c r="BE120" s="83">
        <v>2.3662900000000001E-3</v>
      </c>
      <c r="BF120" s="83">
        <v>1.10499E-2</v>
      </c>
      <c r="BG120" s="83">
        <v>2.0628199999999999E-2</v>
      </c>
      <c r="BH120" s="83">
        <v>2.3936399999999998E-3</v>
      </c>
      <c r="BI120" s="83">
        <v>1.10499E-2</v>
      </c>
      <c r="BJ120" s="83">
        <v>1.8559599999999999E-2</v>
      </c>
      <c r="BK120" s="83">
        <v>2.37915E-3</v>
      </c>
      <c r="BL120" s="83">
        <v>1.10499E-2</v>
      </c>
      <c r="BM120" s="83">
        <v>1.73787E-2</v>
      </c>
      <c r="BN120" s="83">
        <v>2.3334800000000002E-3</v>
      </c>
      <c r="BO120" s="83">
        <v>1.10499E-2</v>
      </c>
      <c r="BP120" s="83">
        <v>1.6394499999999999E-2</v>
      </c>
      <c r="BQ120" s="83">
        <v>2.3295E-3</v>
      </c>
      <c r="BR120" s="83">
        <v>1.10499E-2</v>
      </c>
      <c r="BS120" s="83">
        <v>1.62144E-2</v>
      </c>
      <c r="BT120" s="83">
        <v>2.3573399999999999E-3</v>
      </c>
      <c r="BU120" s="83">
        <v>1.10499E-2</v>
      </c>
      <c r="BV120" s="83">
        <v>1.4219300000000001E-2</v>
      </c>
      <c r="BW120" s="83">
        <v>2.3709299999999998E-3</v>
      </c>
      <c r="BX120" s="83">
        <v>1.10499E-2</v>
      </c>
      <c r="BY120" s="83">
        <v>1.2567399999999999E-2</v>
      </c>
      <c r="BZ120" s="83">
        <v>2.3218399999999999E-3</v>
      </c>
      <c r="CA120" s="83">
        <v>1.10499E-2</v>
      </c>
      <c r="CB120" s="83">
        <v>1.2709099999999999E-2</v>
      </c>
      <c r="CC120" s="83">
        <v>2.4128700000000001E-3</v>
      </c>
      <c r="CD120" s="83">
        <v>1.10499E-2</v>
      </c>
      <c r="CE120" s="83">
        <v>1.01172E-2</v>
      </c>
      <c r="CF120" s="83">
        <v>2.2735099999999999E-3</v>
      </c>
      <c r="CG120" s="83">
        <v>1.10499E-2</v>
      </c>
      <c r="CH120" s="83">
        <v>1.03325E-2</v>
      </c>
      <c r="CI120" s="83">
        <v>2.3154199999999999E-3</v>
      </c>
      <c r="CJ120" s="83">
        <v>1.10499E-2</v>
      </c>
      <c r="CK120" s="83">
        <v>9.0978599999999993E-3</v>
      </c>
      <c r="CL120" s="83">
        <v>2.3031200000000001E-3</v>
      </c>
      <c r="CM120" s="83">
        <v>1.10499E-2</v>
      </c>
      <c r="CN120" s="83">
        <v>8.9741999999999999E-3</v>
      </c>
      <c r="CO120" s="83">
        <v>2.3448800000000001E-3</v>
      </c>
      <c r="CP120" s="83">
        <v>1.10499E-2</v>
      </c>
      <c r="CQ120" s="83">
        <v>7.44211E-3</v>
      </c>
      <c r="CR120" s="83">
        <v>2.32446E-3</v>
      </c>
      <c r="CS120" s="83">
        <v>1.10499E-2</v>
      </c>
      <c r="CT120" s="83">
        <v>6.2972499999999999E-3</v>
      </c>
      <c r="CU120" s="83">
        <v>2.34804E-3</v>
      </c>
      <c r="CV120" s="83">
        <v>1.10499E-2</v>
      </c>
      <c r="CW120" s="83">
        <v>5.6497700000000001E-3</v>
      </c>
      <c r="CX120" s="83">
        <v>2.2774200000000001E-3</v>
      </c>
    </row>
    <row r="121" spans="1:102" x14ac:dyDescent="0.2">
      <c r="A121" s="83">
        <v>1.1149900000000001E-2</v>
      </c>
      <c r="B121" s="83">
        <v>2.8951999999999999E-2</v>
      </c>
      <c r="C121" s="83">
        <v>2.1153600000000002E-3</v>
      </c>
      <c r="D121" s="83">
        <v>1.1149900000000001E-2</v>
      </c>
      <c r="E121" s="83">
        <v>3.0012899999999999E-2</v>
      </c>
      <c r="F121" s="83">
        <v>2.1649299999999998E-3</v>
      </c>
      <c r="G121" s="83">
        <v>1.1149900000000001E-2</v>
      </c>
      <c r="H121" s="83">
        <v>3.1165100000000001E-2</v>
      </c>
      <c r="I121" s="83">
        <v>2.1978100000000001E-3</v>
      </c>
      <c r="J121" s="83">
        <v>1.1149900000000001E-2</v>
      </c>
      <c r="K121" s="83">
        <v>3.0657799999999999E-2</v>
      </c>
      <c r="L121" s="83">
        <v>2.1711999999999999E-3</v>
      </c>
      <c r="M121" s="83">
        <v>1.1149900000000001E-2</v>
      </c>
      <c r="N121" s="83">
        <v>3.0550399999999998E-2</v>
      </c>
      <c r="O121" s="83">
        <v>2.1607200000000001E-3</v>
      </c>
      <c r="P121" s="83">
        <v>1.1149900000000001E-2</v>
      </c>
      <c r="Q121" s="83">
        <v>3.0134600000000001E-2</v>
      </c>
      <c r="R121" s="83">
        <v>2.2182E-3</v>
      </c>
      <c r="S121" s="83">
        <v>1.1149900000000001E-2</v>
      </c>
      <c r="T121" s="83">
        <v>3.04234E-2</v>
      </c>
      <c r="U121" s="83">
        <v>2.2419200000000001E-3</v>
      </c>
      <c r="V121" s="83">
        <v>1.1149900000000001E-2</v>
      </c>
      <c r="W121" s="83">
        <v>2.9134E-2</v>
      </c>
      <c r="X121" s="83">
        <v>2.1813900000000001E-3</v>
      </c>
      <c r="Y121" s="83">
        <v>1.1149900000000001E-2</v>
      </c>
      <c r="Z121" s="83">
        <v>2.8569600000000001E-2</v>
      </c>
      <c r="AA121" s="83">
        <v>2.2044199999999999E-3</v>
      </c>
      <c r="AB121" s="83">
        <v>1.1149900000000001E-2</v>
      </c>
      <c r="AC121" s="83">
        <v>2.6986400000000001E-2</v>
      </c>
      <c r="AD121" s="83">
        <v>2.1964100000000002E-3</v>
      </c>
      <c r="AE121" s="83">
        <v>1.1149900000000001E-2</v>
      </c>
      <c r="AF121" s="83">
        <v>2.7454099999999999E-2</v>
      </c>
      <c r="AG121" s="83">
        <v>2.2167900000000002E-3</v>
      </c>
      <c r="AH121" s="83">
        <v>1.1149900000000001E-2</v>
      </c>
      <c r="AI121" s="83">
        <v>2.51913E-2</v>
      </c>
      <c r="AJ121" s="83">
        <v>2.1801799999999999E-3</v>
      </c>
      <c r="AK121" s="83">
        <v>1.1149900000000001E-2</v>
      </c>
      <c r="AL121" s="83">
        <v>2.51106E-2</v>
      </c>
      <c r="AM121" s="83">
        <v>2.2153400000000001E-3</v>
      </c>
      <c r="AN121" s="83">
        <v>1.1149900000000001E-2</v>
      </c>
      <c r="AO121" s="83">
        <v>2.41584E-2</v>
      </c>
      <c r="AP121" s="83">
        <v>2.2266199999999999E-3</v>
      </c>
      <c r="AQ121" s="83">
        <v>1.1149900000000001E-2</v>
      </c>
      <c r="AR121" s="83">
        <v>2.27113E-2</v>
      </c>
      <c r="AS121" s="83">
        <v>2.21587E-3</v>
      </c>
      <c r="AT121" s="83">
        <v>1.1149900000000001E-2</v>
      </c>
      <c r="AU121" s="83">
        <v>2.17941E-2</v>
      </c>
      <c r="AV121" s="83">
        <v>2.1837900000000001E-3</v>
      </c>
      <c r="AW121" s="83">
        <v>1.1149900000000001E-2</v>
      </c>
      <c r="AX121" s="83">
        <v>2.0576799999999999E-2</v>
      </c>
      <c r="AY121" s="83">
        <v>2.2207699999999999E-3</v>
      </c>
      <c r="AZ121" s="83">
        <v>1.1149900000000001E-2</v>
      </c>
      <c r="BA121" s="83">
        <v>2.0034900000000001E-2</v>
      </c>
      <c r="BB121" s="83">
        <v>2.21024E-3</v>
      </c>
      <c r="BC121" s="83">
        <v>1.1149900000000001E-2</v>
      </c>
      <c r="BD121" s="83">
        <v>1.9849800000000001E-2</v>
      </c>
      <c r="BE121" s="83">
        <v>2.2432400000000001E-3</v>
      </c>
      <c r="BF121" s="83">
        <v>1.1149900000000001E-2</v>
      </c>
      <c r="BG121" s="83">
        <v>1.8816699999999999E-2</v>
      </c>
      <c r="BH121" s="83">
        <v>2.2579000000000002E-3</v>
      </c>
      <c r="BI121" s="83">
        <v>1.1149900000000001E-2</v>
      </c>
      <c r="BJ121" s="83">
        <v>1.7202200000000001E-2</v>
      </c>
      <c r="BK121" s="83">
        <v>2.2238800000000001E-3</v>
      </c>
      <c r="BL121" s="83">
        <v>1.1149900000000001E-2</v>
      </c>
      <c r="BM121" s="83">
        <v>1.57039E-2</v>
      </c>
      <c r="BN121" s="83">
        <v>2.1909E-3</v>
      </c>
      <c r="BO121" s="83">
        <v>1.1149900000000001E-2</v>
      </c>
      <c r="BP121" s="83">
        <v>1.4666E-2</v>
      </c>
      <c r="BQ121" s="83">
        <v>2.1898500000000001E-3</v>
      </c>
      <c r="BR121" s="83">
        <v>1.1149900000000001E-2</v>
      </c>
      <c r="BS121" s="83">
        <v>1.45054E-2</v>
      </c>
      <c r="BT121" s="83">
        <v>2.23332E-3</v>
      </c>
      <c r="BU121" s="83">
        <v>1.1149900000000001E-2</v>
      </c>
      <c r="BV121" s="83">
        <v>1.29839E-2</v>
      </c>
      <c r="BW121" s="83">
        <v>2.2390999999999999E-3</v>
      </c>
      <c r="BX121" s="83">
        <v>1.1149900000000001E-2</v>
      </c>
      <c r="BY121" s="83">
        <v>1.15225E-2</v>
      </c>
      <c r="BZ121" s="83">
        <v>2.1812099999999998E-3</v>
      </c>
      <c r="CA121" s="83">
        <v>1.1149900000000001E-2</v>
      </c>
      <c r="CB121" s="83">
        <v>1.1835099999999999E-2</v>
      </c>
      <c r="CC121" s="83">
        <v>2.2742000000000001E-3</v>
      </c>
      <c r="CD121" s="83">
        <v>1.1149900000000001E-2</v>
      </c>
      <c r="CE121" s="83">
        <v>9.6581800000000006E-3</v>
      </c>
      <c r="CF121" s="83">
        <v>2.1563200000000002E-3</v>
      </c>
      <c r="CG121" s="83">
        <v>1.1149900000000001E-2</v>
      </c>
      <c r="CH121" s="83">
        <v>9.4829000000000007E-3</v>
      </c>
      <c r="CI121" s="83">
        <v>2.1581899999999999E-3</v>
      </c>
      <c r="CJ121" s="83">
        <v>1.1149900000000001E-2</v>
      </c>
      <c r="CK121" s="83">
        <v>8.5070400000000004E-3</v>
      </c>
      <c r="CL121" s="83">
        <v>2.15664E-3</v>
      </c>
      <c r="CM121" s="83">
        <v>1.1149900000000001E-2</v>
      </c>
      <c r="CN121" s="83">
        <v>8.11482E-3</v>
      </c>
      <c r="CO121" s="83">
        <v>2.1866799999999999E-3</v>
      </c>
      <c r="CP121" s="83">
        <v>1.1149900000000001E-2</v>
      </c>
      <c r="CQ121" s="83">
        <v>6.1139799999999998E-3</v>
      </c>
      <c r="CR121" s="83">
        <v>2.19067E-3</v>
      </c>
      <c r="CS121" s="83">
        <v>1.1149900000000001E-2</v>
      </c>
      <c r="CT121" s="83">
        <v>5.7454999999999997E-3</v>
      </c>
      <c r="CU121" s="83">
        <v>2.2298800000000001E-3</v>
      </c>
      <c r="CV121" s="83">
        <v>1.1149900000000001E-2</v>
      </c>
      <c r="CW121" s="83">
        <v>5.09801E-3</v>
      </c>
      <c r="CX121" s="83">
        <v>2.1660899999999999E-3</v>
      </c>
    </row>
    <row r="122" spans="1:102" x14ac:dyDescent="0.2">
      <c r="A122" s="83">
        <v>1.12499E-2</v>
      </c>
      <c r="B122" s="83">
        <v>2.6920699999999999E-2</v>
      </c>
      <c r="C122" s="83">
        <v>1.98059E-3</v>
      </c>
      <c r="D122" s="83">
        <v>1.12499E-2</v>
      </c>
      <c r="E122" s="83">
        <v>2.7957200000000001E-2</v>
      </c>
      <c r="F122" s="83">
        <v>2.0350500000000001E-3</v>
      </c>
      <c r="G122" s="83">
        <v>1.12499E-2</v>
      </c>
      <c r="H122" s="83">
        <v>2.8542999999999999E-2</v>
      </c>
      <c r="I122" s="83">
        <v>2.0796500000000002E-3</v>
      </c>
      <c r="J122" s="83">
        <v>1.12499E-2</v>
      </c>
      <c r="K122" s="83">
        <v>2.8094399999999999E-2</v>
      </c>
      <c r="L122" s="83">
        <v>2.0520600000000001E-3</v>
      </c>
      <c r="M122" s="83">
        <v>1.12499E-2</v>
      </c>
      <c r="N122" s="83">
        <v>2.8460599999999999E-2</v>
      </c>
      <c r="O122" s="83">
        <v>2.01228E-3</v>
      </c>
      <c r="P122" s="83">
        <v>1.12499E-2</v>
      </c>
      <c r="Q122" s="83">
        <v>2.7839699999999998E-2</v>
      </c>
      <c r="R122" s="83">
        <v>2.0599899999999998E-3</v>
      </c>
      <c r="S122" s="83">
        <v>1.12499E-2</v>
      </c>
      <c r="T122" s="83">
        <v>2.8382299999999999E-2</v>
      </c>
      <c r="U122" s="83">
        <v>2.1022699999999998E-3</v>
      </c>
      <c r="V122" s="83">
        <v>1.12499E-2</v>
      </c>
      <c r="W122" s="83">
        <v>2.6736599999999999E-2</v>
      </c>
      <c r="X122" s="83">
        <v>2.0769E-3</v>
      </c>
      <c r="Y122" s="83">
        <v>1.12499E-2</v>
      </c>
      <c r="Z122" s="83">
        <v>2.6435899999999998E-2</v>
      </c>
      <c r="AA122" s="83">
        <v>2.07063E-3</v>
      </c>
      <c r="AB122" s="83">
        <v>1.12499E-2</v>
      </c>
      <c r="AC122" s="83">
        <v>2.51212E-2</v>
      </c>
      <c r="AD122" s="83">
        <v>2.05872E-3</v>
      </c>
      <c r="AE122" s="83">
        <v>1.12499E-2</v>
      </c>
      <c r="AF122" s="83">
        <v>2.5481500000000001E-2</v>
      </c>
      <c r="AG122" s="83">
        <v>2.0859400000000001E-3</v>
      </c>
      <c r="AH122" s="83">
        <v>1.12499E-2</v>
      </c>
      <c r="AI122" s="83">
        <v>2.2862199999999999E-2</v>
      </c>
      <c r="AJ122" s="83">
        <v>2.0766600000000001E-3</v>
      </c>
      <c r="AK122" s="83">
        <v>1.12499E-2</v>
      </c>
      <c r="AL122" s="83">
        <v>2.3211200000000001E-2</v>
      </c>
      <c r="AM122" s="83">
        <v>2.0708100000000002E-3</v>
      </c>
      <c r="AN122" s="83">
        <v>1.12499E-2</v>
      </c>
      <c r="AO122" s="83">
        <v>2.21809E-2</v>
      </c>
      <c r="AP122" s="83">
        <v>2.1094299999999998E-3</v>
      </c>
      <c r="AQ122" s="83">
        <v>1.12499E-2</v>
      </c>
      <c r="AR122" s="83">
        <v>2.1373400000000001E-2</v>
      </c>
      <c r="AS122" s="83">
        <v>2.06646E-3</v>
      </c>
      <c r="AT122" s="83">
        <v>1.12499E-2</v>
      </c>
      <c r="AU122" s="83">
        <v>2.0109499999999999E-2</v>
      </c>
      <c r="AV122" s="83">
        <v>2.0441399999999998E-3</v>
      </c>
      <c r="AW122" s="83">
        <v>1.12499E-2</v>
      </c>
      <c r="AX122" s="83">
        <v>1.89801E-2</v>
      </c>
      <c r="AY122" s="83">
        <v>2.07917E-3</v>
      </c>
      <c r="AZ122" s="83">
        <v>1.12499E-2</v>
      </c>
      <c r="BA122" s="83">
        <v>1.8530999999999999E-2</v>
      </c>
      <c r="BB122" s="83">
        <v>2.0617999999999999E-3</v>
      </c>
      <c r="BC122" s="83">
        <v>1.12499E-2</v>
      </c>
      <c r="BD122" s="83">
        <v>1.7823499999999999E-2</v>
      </c>
      <c r="BE122" s="83">
        <v>2.0869899999999999E-3</v>
      </c>
      <c r="BF122" s="83">
        <v>1.12499E-2</v>
      </c>
      <c r="BG122" s="83">
        <v>1.7132100000000001E-2</v>
      </c>
      <c r="BH122" s="83">
        <v>2.1299700000000001E-3</v>
      </c>
      <c r="BI122" s="83">
        <v>1.12499E-2</v>
      </c>
      <c r="BJ122" s="83">
        <v>1.5732400000000001E-2</v>
      </c>
      <c r="BK122" s="83">
        <v>2.0803200000000001E-3</v>
      </c>
      <c r="BL122" s="83">
        <v>1.12499E-2</v>
      </c>
      <c r="BM122" s="83">
        <v>1.4829800000000001E-2</v>
      </c>
      <c r="BN122" s="83">
        <v>2.0580899999999998E-3</v>
      </c>
      <c r="BO122" s="83">
        <v>1.12499E-2</v>
      </c>
      <c r="BP122" s="83">
        <v>1.3059599999999999E-2</v>
      </c>
      <c r="BQ122" s="83">
        <v>2.0668000000000001E-3</v>
      </c>
      <c r="BR122" s="83">
        <v>1.12499E-2</v>
      </c>
      <c r="BS122" s="83">
        <v>1.3343300000000001E-2</v>
      </c>
      <c r="BT122" s="83">
        <v>2.0995300000000001E-3</v>
      </c>
      <c r="BU122" s="83">
        <v>1.12499E-2</v>
      </c>
      <c r="BV122" s="83">
        <v>1.13629E-2</v>
      </c>
      <c r="BW122" s="83">
        <v>2.0935900000000002E-3</v>
      </c>
      <c r="BX122" s="83">
        <v>1.12499E-2</v>
      </c>
      <c r="BY122" s="83">
        <v>1.06973E-2</v>
      </c>
      <c r="BZ122" s="83">
        <v>2.0552399999999998E-3</v>
      </c>
      <c r="CA122" s="83">
        <v>1.12499E-2</v>
      </c>
      <c r="CB122" s="83">
        <v>1.05655E-2</v>
      </c>
      <c r="CC122" s="83">
        <v>2.1452899999999998E-3</v>
      </c>
      <c r="CD122" s="83">
        <v>1.12499E-2</v>
      </c>
      <c r="CE122" s="83">
        <v>8.3935299999999997E-3</v>
      </c>
      <c r="CF122" s="83">
        <v>2.0235100000000001E-3</v>
      </c>
      <c r="CG122" s="83">
        <v>1.12499E-2</v>
      </c>
      <c r="CH122" s="83">
        <v>8.27197E-3</v>
      </c>
      <c r="CI122" s="83">
        <v>2.0126800000000002E-3</v>
      </c>
      <c r="CJ122" s="83">
        <v>1.12499E-2</v>
      </c>
      <c r="CK122" s="83">
        <v>7.34981E-3</v>
      </c>
      <c r="CL122" s="83">
        <v>2.0345699999999999E-3</v>
      </c>
      <c r="CM122" s="83">
        <v>1.12499E-2</v>
      </c>
      <c r="CN122" s="83">
        <v>7.0747800000000001E-3</v>
      </c>
      <c r="CO122" s="83">
        <v>2.0568000000000001E-3</v>
      </c>
      <c r="CP122" s="83">
        <v>1.12499E-2</v>
      </c>
      <c r="CQ122" s="83">
        <v>5.55734E-3</v>
      </c>
      <c r="CR122" s="83">
        <v>2.052E-3</v>
      </c>
      <c r="CS122" s="83">
        <v>1.12499E-2</v>
      </c>
      <c r="CT122" s="83">
        <v>5.6576100000000004E-3</v>
      </c>
      <c r="CU122" s="83">
        <v>2.08632E-3</v>
      </c>
      <c r="CV122" s="83">
        <v>1.12499E-2</v>
      </c>
      <c r="CW122" s="83">
        <v>4.4730100000000004E-3</v>
      </c>
      <c r="CX122" s="83">
        <v>2.0049600000000001E-3</v>
      </c>
    </row>
    <row r="123" spans="1:102" x14ac:dyDescent="0.2">
      <c r="A123" s="83">
        <v>1.13499E-2</v>
      </c>
      <c r="B123" s="83">
        <v>2.4713700000000002E-2</v>
      </c>
      <c r="C123" s="83">
        <v>1.87415E-3</v>
      </c>
      <c r="D123" s="83">
        <v>1.13499E-2</v>
      </c>
      <c r="E123" s="83">
        <v>2.5486499999999999E-2</v>
      </c>
      <c r="F123" s="83">
        <v>1.9159100000000001E-3</v>
      </c>
      <c r="G123" s="83">
        <v>1.13499E-2</v>
      </c>
      <c r="H123" s="83">
        <v>2.6296900000000002E-2</v>
      </c>
      <c r="I123" s="83">
        <v>1.9585599999999998E-3</v>
      </c>
      <c r="J123" s="83">
        <v>1.13499E-2</v>
      </c>
      <c r="K123" s="83">
        <v>2.5755500000000001E-2</v>
      </c>
      <c r="L123" s="83">
        <v>1.92022E-3</v>
      </c>
      <c r="M123" s="83">
        <v>1.13499E-2</v>
      </c>
      <c r="N123" s="83">
        <v>2.6024100000000001E-2</v>
      </c>
      <c r="O123" s="83">
        <v>1.90193E-3</v>
      </c>
      <c r="P123" s="83">
        <v>1.13499E-2</v>
      </c>
      <c r="Q123" s="83">
        <v>2.5950000000000001E-2</v>
      </c>
      <c r="R123" s="83">
        <v>1.95159E-3</v>
      </c>
      <c r="S123" s="83">
        <v>1.13499E-2</v>
      </c>
      <c r="T123" s="83">
        <v>2.59946E-2</v>
      </c>
      <c r="U123" s="83">
        <v>1.98117E-3</v>
      </c>
      <c r="V123" s="83">
        <v>1.13499E-2</v>
      </c>
      <c r="W123" s="83">
        <v>2.4954400000000002E-2</v>
      </c>
      <c r="X123" s="83">
        <v>1.96167E-3</v>
      </c>
      <c r="Y123" s="83">
        <v>1.13499E-2</v>
      </c>
      <c r="Z123" s="83">
        <v>2.49173E-2</v>
      </c>
      <c r="AA123" s="83">
        <v>1.94856E-3</v>
      </c>
      <c r="AB123" s="83">
        <v>1.13499E-2</v>
      </c>
      <c r="AC123" s="83">
        <v>2.3187599999999999E-2</v>
      </c>
      <c r="AD123" s="83">
        <v>1.9259100000000001E-3</v>
      </c>
      <c r="AE123" s="83">
        <v>1.13499E-2</v>
      </c>
      <c r="AF123" s="83">
        <v>2.3582100000000002E-2</v>
      </c>
      <c r="AG123" s="83">
        <v>1.95801E-3</v>
      </c>
      <c r="AH123" s="83">
        <v>1.13499E-2</v>
      </c>
      <c r="AI123" s="83">
        <v>2.13338E-2</v>
      </c>
      <c r="AJ123" s="83">
        <v>1.9497099999999999E-3</v>
      </c>
      <c r="AK123" s="83">
        <v>1.13499E-2</v>
      </c>
      <c r="AL123" s="83">
        <v>2.1350899999999999E-2</v>
      </c>
      <c r="AM123" s="83">
        <v>1.9741300000000002E-3</v>
      </c>
      <c r="AN123" s="83">
        <v>1.13499E-2</v>
      </c>
      <c r="AO123" s="83">
        <v>2.0506099999999999E-2</v>
      </c>
      <c r="AP123" s="83">
        <v>1.97466E-3</v>
      </c>
      <c r="AQ123" s="83">
        <v>1.13499E-2</v>
      </c>
      <c r="AR123" s="83">
        <v>1.9185899999999999E-2</v>
      </c>
      <c r="AS123" s="83">
        <v>1.94732E-3</v>
      </c>
      <c r="AT123" s="83">
        <v>1.13499E-2</v>
      </c>
      <c r="AU123" s="83">
        <v>1.8473699999999999E-2</v>
      </c>
      <c r="AV123" s="83">
        <v>1.93574E-3</v>
      </c>
      <c r="AW123" s="83">
        <v>1.13499E-2</v>
      </c>
      <c r="AX123" s="83">
        <v>1.74225E-2</v>
      </c>
      <c r="AY123" s="83">
        <v>1.9629600000000001E-3</v>
      </c>
      <c r="AZ123" s="83">
        <v>1.13499E-2</v>
      </c>
      <c r="BA123" s="83">
        <v>1.7373699999999999E-2</v>
      </c>
      <c r="BB123" s="83">
        <v>1.92899E-3</v>
      </c>
      <c r="BC123" s="83">
        <v>1.13499E-2</v>
      </c>
      <c r="BD123" s="83">
        <v>1.66467E-2</v>
      </c>
      <c r="BE123" s="83">
        <v>1.97175E-3</v>
      </c>
      <c r="BF123" s="83">
        <v>1.13499E-2</v>
      </c>
      <c r="BG123" s="83">
        <v>1.5774699999999999E-2</v>
      </c>
      <c r="BH123" s="83">
        <v>1.99716E-3</v>
      </c>
      <c r="BI123" s="83">
        <v>1.13499E-2</v>
      </c>
      <c r="BJ123" s="83">
        <v>1.44727E-2</v>
      </c>
      <c r="BK123" s="83">
        <v>1.94849E-3</v>
      </c>
      <c r="BL123" s="83">
        <v>1.13499E-2</v>
      </c>
      <c r="BM123" s="83">
        <v>1.3355199999999999E-2</v>
      </c>
      <c r="BN123" s="83">
        <v>1.9321200000000001E-3</v>
      </c>
      <c r="BO123" s="83">
        <v>1.13499E-2</v>
      </c>
      <c r="BP123" s="83">
        <v>1.20635E-2</v>
      </c>
      <c r="BQ123" s="83">
        <v>1.9281299999999999E-3</v>
      </c>
      <c r="BR123" s="83">
        <v>1.13499E-2</v>
      </c>
      <c r="BS123" s="83">
        <v>1.2000500000000001E-2</v>
      </c>
      <c r="BT123" s="83">
        <v>1.9725699999999999E-3</v>
      </c>
      <c r="BU123" s="83">
        <v>1.13499E-2</v>
      </c>
      <c r="BV123" s="83">
        <v>1.0776900000000001E-2</v>
      </c>
      <c r="BW123" s="83">
        <v>1.9783600000000002E-3</v>
      </c>
      <c r="BX123" s="83">
        <v>1.13499E-2</v>
      </c>
      <c r="BY123" s="83">
        <v>9.4180199999999992E-3</v>
      </c>
      <c r="BZ123" s="83">
        <v>1.9360899999999999E-3</v>
      </c>
      <c r="CA123" s="83">
        <v>1.13499E-2</v>
      </c>
      <c r="CB123" s="83">
        <v>9.9649400000000003E-3</v>
      </c>
      <c r="CC123" s="83">
        <v>1.9929499999999998E-3</v>
      </c>
      <c r="CD123" s="83">
        <v>1.13499E-2</v>
      </c>
      <c r="CE123" s="83">
        <v>7.4950900000000003E-3</v>
      </c>
      <c r="CF123" s="83">
        <v>1.91902E-3</v>
      </c>
      <c r="CG123" s="83">
        <v>1.13499E-2</v>
      </c>
      <c r="CH123" s="83">
        <v>7.6420799999999999E-3</v>
      </c>
      <c r="CI123" s="83">
        <v>1.90917E-3</v>
      </c>
      <c r="CJ123" s="83">
        <v>1.13499E-2</v>
      </c>
      <c r="CK123" s="83">
        <v>6.9836000000000004E-3</v>
      </c>
      <c r="CL123" s="83">
        <v>1.90566E-3</v>
      </c>
      <c r="CM123" s="83">
        <v>1.13499E-2</v>
      </c>
      <c r="CN123" s="83">
        <v>7.0796699999999997E-3</v>
      </c>
      <c r="CO123" s="83">
        <v>1.93863E-3</v>
      </c>
      <c r="CP123" s="83">
        <v>1.13499E-2</v>
      </c>
      <c r="CQ123" s="83">
        <v>5.3327299999999999E-3</v>
      </c>
      <c r="CR123" s="83">
        <v>1.9582499999999999E-3</v>
      </c>
      <c r="CS123" s="83">
        <v>1.13499E-2</v>
      </c>
      <c r="CT123" s="83">
        <v>4.8519399999999999E-3</v>
      </c>
      <c r="CU123" s="83">
        <v>1.9164E-3</v>
      </c>
      <c r="CV123" s="83">
        <v>1.13499E-2</v>
      </c>
      <c r="CW123" s="83">
        <v>3.8577799999999999E-3</v>
      </c>
      <c r="CX123" s="83">
        <v>1.88777E-3</v>
      </c>
    </row>
    <row r="124" spans="1:102" x14ac:dyDescent="0.2">
      <c r="A124" s="83">
        <v>1.1449900000000001E-2</v>
      </c>
      <c r="B124" s="83">
        <v>2.2638499999999999E-2</v>
      </c>
      <c r="C124" s="83">
        <v>1.7569599999999999E-3</v>
      </c>
      <c r="D124" s="83">
        <v>1.1449900000000001E-2</v>
      </c>
      <c r="E124" s="83">
        <v>2.4011899999999999E-2</v>
      </c>
      <c r="F124" s="83">
        <v>1.7830999999999999E-3</v>
      </c>
      <c r="G124" s="83">
        <v>1.1449900000000001E-2</v>
      </c>
      <c r="H124" s="83">
        <v>2.4675800000000001E-2</v>
      </c>
      <c r="I124" s="83">
        <v>1.8277E-3</v>
      </c>
      <c r="J124" s="83">
        <v>1.1449900000000001E-2</v>
      </c>
      <c r="K124" s="83">
        <v>2.4144200000000001E-2</v>
      </c>
      <c r="L124" s="83">
        <v>1.78448E-3</v>
      </c>
      <c r="M124" s="83">
        <v>1.1449900000000001E-2</v>
      </c>
      <c r="N124" s="83">
        <v>2.4818E-2</v>
      </c>
      <c r="O124" s="83">
        <v>1.77107E-3</v>
      </c>
      <c r="P124" s="83">
        <v>1.1449900000000001E-2</v>
      </c>
      <c r="Q124" s="83">
        <v>2.4240999999999999E-2</v>
      </c>
      <c r="R124" s="83">
        <v>1.82855E-3</v>
      </c>
      <c r="S124" s="83">
        <v>1.1449900000000001E-2</v>
      </c>
      <c r="T124" s="83">
        <v>2.3543499999999998E-2</v>
      </c>
      <c r="U124" s="83">
        <v>1.86301E-3</v>
      </c>
      <c r="V124" s="83">
        <v>1.1449900000000001E-2</v>
      </c>
      <c r="W124" s="83">
        <v>2.2947499999999999E-2</v>
      </c>
      <c r="X124" s="83">
        <v>1.84155E-3</v>
      </c>
      <c r="Y124" s="83">
        <v>1.1449900000000001E-2</v>
      </c>
      <c r="Z124" s="83">
        <v>2.2192699999999999E-2</v>
      </c>
      <c r="AA124" s="83">
        <v>1.83235E-3</v>
      </c>
      <c r="AB124" s="83">
        <v>1.1449900000000001E-2</v>
      </c>
      <c r="AC124" s="83">
        <v>2.1156299999999999E-2</v>
      </c>
      <c r="AD124" s="83">
        <v>1.8028600000000001E-3</v>
      </c>
      <c r="AE124" s="83">
        <v>1.1449900000000001E-2</v>
      </c>
      <c r="AF124" s="83">
        <v>2.1570300000000001E-2</v>
      </c>
      <c r="AG124" s="83">
        <v>1.8349600000000001E-3</v>
      </c>
      <c r="AH124" s="83">
        <v>1.1449900000000001E-2</v>
      </c>
      <c r="AI124" s="83">
        <v>1.97518E-2</v>
      </c>
      <c r="AJ124" s="83">
        <v>1.8315499999999999E-3</v>
      </c>
      <c r="AK124" s="83">
        <v>1.1449900000000001E-2</v>
      </c>
      <c r="AL124" s="83">
        <v>1.9407500000000001E-2</v>
      </c>
      <c r="AM124" s="83">
        <v>1.84424E-3</v>
      </c>
      <c r="AN124" s="83">
        <v>1.1449900000000001E-2</v>
      </c>
      <c r="AO124" s="83">
        <v>1.91682E-2</v>
      </c>
      <c r="AP124" s="83">
        <v>1.8652899999999999E-3</v>
      </c>
      <c r="AQ124" s="83">
        <v>1.1449900000000001E-2</v>
      </c>
      <c r="AR124" s="83">
        <v>1.7623400000000001E-2</v>
      </c>
      <c r="AS124" s="83">
        <v>1.81548E-3</v>
      </c>
      <c r="AT124" s="83">
        <v>1.1449900000000001E-2</v>
      </c>
      <c r="AU124" s="83">
        <v>1.73361E-2</v>
      </c>
      <c r="AV124" s="83">
        <v>1.8253900000000001E-3</v>
      </c>
      <c r="AW124" s="83">
        <v>1.1449900000000001E-2</v>
      </c>
      <c r="AX124" s="83">
        <v>1.62653E-2</v>
      </c>
      <c r="AY124" s="83">
        <v>1.8428400000000001E-3</v>
      </c>
      <c r="AZ124" s="83">
        <v>1.1449900000000001E-2</v>
      </c>
      <c r="BA124" s="83">
        <v>1.5366899999999999E-2</v>
      </c>
      <c r="BB124" s="83">
        <v>1.82938E-3</v>
      </c>
      <c r="BC124" s="83">
        <v>1.1449900000000001E-2</v>
      </c>
      <c r="BD124" s="83">
        <v>1.5255100000000001E-2</v>
      </c>
      <c r="BE124" s="83">
        <v>1.8584700000000001E-3</v>
      </c>
      <c r="BF124" s="83">
        <v>1.1449900000000001E-2</v>
      </c>
      <c r="BG124" s="83">
        <v>1.4256100000000001E-2</v>
      </c>
      <c r="BH124" s="83">
        <v>1.87021E-3</v>
      </c>
      <c r="BI124" s="83">
        <v>1.1449900000000001E-2</v>
      </c>
      <c r="BJ124" s="83">
        <v>1.29736E-2</v>
      </c>
      <c r="BK124" s="83">
        <v>1.8273899999999999E-3</v>
      </c>
      <c r="BL124" s="83">
        <v>1.1449900000000001E-2</v>
      </c>
      <c r="BM124" s="83">
        <v>1.2574E-2</v>
      </c>
      <c r="BN124" s="83">
        <v>1.8139499999999999E-3</v>
      </c>
      <c r="BO124" s="83">
        <v>1.1449900000000001E-2</v>
      </c>
      <c r="BP124" s="83">
        <v>1.1282199999999999E-2</v>
      </c>
      <c r="BQ124" s="83">
        <v>1.8334E-3</v>
      </c>
      <c r="BR124" s="83">
        <v>1.1449900000000001E-2</v>
      </c>
      <c r="BS124" s="83">
        <v>1.12534E-2</v>
      </c>
      <c r="BT124" s="83">
        <v>1.8573400000000001E-3</v>
      </c>
      <c r="BU124" s="83">
        <v>1.1449900000000001E-2</v>
      </c>
      <c r="BV124" s="83">
        <v>1.04937E-2</v>
      </c>
      <c r="BW124" s="83">
        <v>1.8767899999999999E-3</v>
      </c>
      <c r="BX124" s="83">
        <v>1.1449900000000001E-2</v>
      </c>
      <c r="BY124" s="83">
        <v>8.6758300000000007E-3</v>
      </c>
      <c r="BZ124" s="83">
        <v>1.8062099999999999E-3</v>
      </c>
      <c r="CA124" s="83">
        <v>1.1449900000000001E-2</v>
      </c>
      <c r="CB124" s="83">
        <v>8.82725E-3</v>
      </c>
      <c r="CC124" s="83">
        <v>1.88846E-3</v>
      </c>
      <c r="CD124" s="83">
        <v>1.1449900000000001E-2</v>
      </c>
      <c r="CE124" s="83">
        <v>7.0946999999999998E-3</v>
      </c>
      <c r="CF124" s="83">
        <v>1.7666800000000001E-3</v>
      </c>
      <c r="CG124" s="83">
        <v>1.1449900000000001E-2</v>
      </c>
      <c r="CH124" s="83">
        <v>6.68017E-3</v>
      </c>
      <c r="CI124" s="83">
        <v>1.79686E-3</v>
      </c>
      <c r="CJ124" s="83">
        <v>1.1449900000000001E-2</v>
      </c>
      <c r="CK124" s="83">
        <v>6.54903E-3</v>
      </c>
      <c r="CL124" s="83">
        <v>1.7845700000000001E-3</v>
      </c>
      <c r="CM124" s="83">
        <v>1.1449900000000001E-2</v>
      </c>
      <c r="CN124" s="83">
        <v>6.3325999999999999E-3</v>
      </c>
      <c r="CO124" s="83">
        <v>1.81656E-3</v>
      </c>
      <c r="CP124" s="83">
        <v>1.1449900000000001E-2</v>
      </c>
      <c r="CQ124" s="83">
        <v>5.2546099999999998E-3</v>
      </c>
      <c r="CR124" s="83">
        <v>1.8342300000000001E-3</v>
      </c>
      <c r="CS124" s="83">
        <v>1.1449900000000001E-2</v>
      </c>
      <c r="CT124" s="83">
        <v>4.0169799999999999E-3</v>
      </c>
      <c r="CU124" s="83">
        <v>1.8265600000000001E-3</v>
      </c>
      <c r="CV124" s="83">
        <v>1.1449900000000001E-2</v>
      </c>
      <c r="CW124" s="83">
        <v>3.5940999999999998E-3</v>
      </c>
      <c r="CX124" s="83">
        <v>1.7793799999999999E-3</v>
      </c>
    </row>
    <row r="125" spans="1:102" x14ac:dyDescent="0.2">
      <c r="A125" s="83">
        <v>1.15499E-2</v>
      </c>
      <c r="B125" s="83">
        <v>2.1349400000000001E-2</v>
      </c>
      <c r="C125" s="83">
        <v>1.6368400000000001E-3</v>
      </c>
      <c r="D125" s="83">
        <v>1.15499E-2</v>
      </c>
      <c r="E125" s="83">
        <v>2.1604600000000002E-2</v>
      </c>
      <c r="F125" s="83">
        <v>1.67567E-3</v>
      </c>
      <c r="G125" s="83">
        <v>1.15499E-2</v>
      </c>
      <c r="H125" s="83">
        <v>2.2820300000000002E-2</v>
      </c>
      <c r="I125" s="83">
        <v>1.7368800000000001E-3</v>
      </c>
      <c r="J125" s="83">
        <v>1.15499E-2</v>
      </c>
      <c r="K125" s="83">
        <v>2.22936E-2</v>
      </c>
      <c r="L125" s="83">
        <v>1.68878E-3</v>
      </c>
      <c r="M125" s="83">
        <v>1.15499E-2</v>
      </c>
      <c r="N125" s="83">
        <v>2.2664699999999999E-2</v>
      </c>
      <c r="O125" s="83">
        <v>1.6841600000000001E-3</v>
      </c>
      <c r="P125" s="83">
        <v>1.15499E-2</v>
      </c>
      <c r="Q125" s="83">
        <v>2.2327E-2</v>
      </c>
      <c r="R125" s="83">
        <v>1.6986600000000001E-3</v>
      </c>
      <c r="S125" s="83">
        <v>1.15499E-2</v>
      </c>
      <c r="T125" s="83">
        <v>2.19566E-2</v>
      </c>
      <c r="U125" s="83">
        <v>1.7419200000000001E-3</v>
      </c>
      <c r="V125" s="83">
        <v>1.15499E-2</v>
      </c>
      <c r="W125" s="83">
        <v>2.1394799999999999E-2</v>
      </c>
      <c r="X125" s="83">
        <v>1.7136199999999999E-3</v>
      </c>
      <c r="Y125" s="83">
        <v>1.15499E-2</v>
      </c>
      <c r="Z125" s="83">
        <v>2.0410500000000002E-2</v>
      </c>
      <c r="AA125" s="83">
        <v>1.7161399999999999E-3</v>
      </c>
      <c r="AB125" s="83">
        <v>1.15499E-2</v>
      </c>
      <c r="AC125" s="83">
        <v>1.9462E-2</v>
      </c>
      <c r="AD125" s="83">
        <v>1.71594E-3</v>
      </c>
      <c r="AE125" s="83">
        <v>1.15499E-2</v>
      </c>
      <c r="AF125" s="83">
        <v>1.97588E-2</v>
      </c>
      <c r="AG125" s="83">
        <v>1.69629E-3</v>
      </c>
      <c r="AH125" s="83">
        <v>1.15499E-2</v>
      </c>
      <c r="AI125" s="83">
        <v>1.8057500000000001E-2</v>
      </c>
      <c r="AJ125" s="83">
        <v>1.7182600000000001E-3</v>
      </c>
      <c r="AK125" s="83">
        <v>1.15499E-2</v>
      </c>
      <c r="AL125" s="83">
        <v>1.84993E-2</v>
      </c>
      <c r="AM125" s="83">
        <v>1.7251E-3</v>
      </c>
      <c r="AN125" s="83">
        <v>1.15499E-2</v>
      </c>
      <c r="AO125" s="83">
        <v>1.7454299999999999E-2</v>
      </c>
      <c r="AP125" s="83">
        <v>1.73931E-3</v>
      </c>
      <c r="AQ125" s="83">
        <v>1.15499E-2</v>
      </c>
      <c r="AR125" s="83">
        <v>1.60999E-2</v>
      </c>
      <c r="AS125" s="83">
        <v>1.7178199999999999E-3</v>
      </c>
      <c r="AT125" s="83">
        <v>1.15499E-2</v>
      </c>
      <c r="AU125" s="83">
        <v>1.5573399999999999E-2</v>
      </c>
      <c r="AV125" s="83">
        <v>1.71211E-3</v>
      </c>
      <c r="AW125" s="83">
        <v>1.15499E-2</v>
      </c>
      <c r="AX125" s="83">
        <v>1.5020199999999999E-2</v>
      </c>
      <c r="AY125" s="83">
        <v>1.7080699999999999E-3</v>
      </c>
      <c r="AZ125" s="83">
        <v>1.15499E-2</v>
      </c>
      <c r="BA125" s="83">
        <v>1.4160799999999999E-2</v>
      </c>
      <c r="BB125" s="83">
        <v>1.72098E-3</v>
      </c>
      <c r="BC125" s="83">
        <v>1.15499E-2</v>
      </c>
      <c r="BD125" s="83">
        <v>1.3990499999999999E-2</v>
      </c>
      <c r="BE125" s="83">
        <v>1.7666800000000001E-3</v>
      </c>
      <c r="BF125" s="83">
        <v>1.15499E-2</v>
      </c>
      <c r="BG125" s="83">
        <v>1.33431E-2</v>
      </c>
      <c r="BH125" s="83">
        <v>1.79013E-3</v>
      </c>
      <c r="BI125" s="83">
        <v>1.15499E-2</v>
      </c>
      <c r="BJ125" s="83">
        <v>1.1792E-2</v>
      </c>
      <c r="BK125" s="83">
        <v>1.72974E-3</v>
      </c>
      <c r="BL125" s="83">
        <v>1.15499E-2</v>
      </c>
      <c r="BM125" s="83">
        <v>1.09187E-2</v>
      </c>
      <c r="BN125" s="83">
        <v>1.69579E-3</v>
      </c>
      <c r="BO125" s="83">
        <v>1.15499E-2</v>
      </c>
      <c r="BP125" s="83">
        <v>9.6708799999999998E-3</v>
      </c>
      <c r="BQ125" s="83">
        <v>1.7015699999999999E-3</v>
      </c>
      <c r="BR125" s="83">
        <v>1.15499E-2</v>
      </c>
      <c r="BS125" s="83">
        <v>9.7690699999999995E-3</v>
      </c>
      <c r="BT125" s="83">
        <v>1.72843E-3</v>
      </c>
      <c r="BU125" s="83">
        <v>1.15499E-2</v>
      </c>
      <c r="BV125" s="83">
        <v>8.6284799999999991E-3</v>
      </c>
      <c r="BW125" s="83">
        <v>1.74789E-3</v>
      </c>
      <c r="BX125" s="83">
        <v>1.15499E-2</v>
      </c>
      <c r="BY125" s="83">
        <v>7.7773900000000003E-3</v>
      </c>
      <c r="BZ125" s="83">
        <v>1.69586E-3</v>
      </c>
      <c r="CA125" s="83">
        <v>1.15499E-2</v>
      </c>
      <c r="CB125" s="83">
        <v>7.7139699999999997E-3</v>
      </c>
      <c r="CC125" s="83">
        <v>1.75369E-3</v>
      </c>
      <c r="CD125" s="83">
        <v>1.15499E-2</v>
      </c>
      <c r="CE125" s="83">
        <v>6.1620800000000003E-3</v>
      </c>
      <c r="CF125" s="83">
        <v>1.6660900000000001E-3</v>
      </c>
      <c r="CG125" s="83">
        <v>1.15499E-2</v>
      </c>
      <c r="CH125" s="83">
        <v>6.3286100000000001E-3</v>
      </c>
      <c r="CI125" s="83">
        <v>1.6767399999999999E-3</v>
      </c>
      <c r="CJ125" s="83">
        <v>1.15499E-2</v>
      </c>
      <c r="CK125" s="83">
        <v>6.1388800000000002E-3</v>
      </c>
      <c r="CL125" s="83">
        <v>1.64785E-3</v>
      </c>
      <c r="CM125" s="83">
        <v>1.15499E-2</v>
      </c>
      <c r="CN125" s="83">
        <v>5.5171700000000001E-3</v>
      </c>
      <c r="CO125" s="83">
        <v>1.70524E-3</v>
      </c>
      <c r="CP125" s="83">
        <v>1.15499E-2</v>
      </c>
      <c r="CQ125" s="83">
        <v>4.0827299999999997E-3</v>
      </c>
      <c r="CR125" s="83">
        <v>1.7004399999999999E-3</v>
      </c>
      <c r="CS125" s="83">
        <v>1.15499E-2</v>
      </c>
      <c r="CT125" s="83">
        <v>3.8607300000000002E-3</v>
      </c>
      <c r="CU125" s="83">
        <v>1.7152300000000001E-3</v>
      </c>
      <c r="CV125" s="83">
        <v>1.15499E-2</v>
      </c>
      <c r="CW125" s="83">
        <v>3.4769200000000001E-3</v>
      </c>
      <c r="CX125" s="83">
        <v>1.6875799999999999E-3</v>
      </c>
    </row>
    <row r="126" spans="1:102" x14ac:dyDescent="0.2">
      <c r="A126" s="83">
        <v>1.1649899999999999E-2</v>
      </c>
      <c r="B126" s="83">
        <v>1.9869899999999999E-2</v>
      </c>
      <c r="C126" s="83">
        <v>1.5460199999999999E-3</v>
      </c>
      <c r="D126" s="83">
        <v>1.1649899999999999E-2</v>
      </c>
      <c r="E126" s="83">
        <v>2.0364400000000001E-2</v>
      </c>
      <c r="F126" s="83">
        <v>1.5828999999999999E-3</v>
      </c>
      <c r="G126" s="83">
        <v>1.1649899999999999E-2</v>
      </c>
      <c r="H126" s="83">
        <v>2.1023500000000001E-2</v>
      </c>
      <c r="I126" s="83">
        <v>1.63824E-3</v>
      </c>
      <c r="J126" s="83">
        <v>1.1649899999999999E-2</v>
      </c>
      <c r="K126" s="83">
        <v>2.0379499999999998E-2</v>
      </c>
      <c r="L126" s="83">
        <v>1.5676799999999999E-3</v>
      </c>
      <c r="M126" s="83">
        <v>1.1649899999999999E-2</v>
      </c>
      <c r="N126" s="83">
        <v>2.0980100000000002E-2</v>
      </c>
      <c r="O126" s="83">
        <v>1.5933399999999999E-3</v>
      </c>
      <c r="P126" s="83">
        <v>1.1649899999999999E-2</v>
      </c>
      <c r="Q126" s="83">
        <v>2.0705899999999999E-2</v>
      </c>
      <c r="R126" s="83">
        <v>1.6342100000000001E-3</v>
      </c>
      <c r="S126" s="83">
        <v>1.1649899999999999E-2</v>
      </c>
      <c r="T126" s="83">
        <v>2.0467300000000001E-2</v>
      </c>
      <c r="U126" s="83">
        <v>1.6218000000000001E-3</v>
      </c>
      <c r="V126" s="83">
        <v>1.1649899999999999E-2</v>
      </c>
      <c r="W126" s="83">
        <v>2.01643E-2</v>
      </c>
      <c r="X126" s="83">
        <v>1.6159600000000001E-3</v>
      </c>
      <c r="Y126" s="83">
        <v>1.1649899999999999E-2</v>
      </c>
      <c r="Z126" s="83">
        <v>1.8979800000000002E-2</v>
      </c>
      <c r="AA126" s="83">
        <v>1.60188E-3</v>
      </c>
      <c r="AB126" s="83">
        <v>1.1649899999999999E-2</v>
      </c>
      <c r="AC126" s="83">
        <v>1.8500099999999998E-2</v>
      </c>
      <c r="AD126" s="83">
        <v>1.6026599999999999E-3</v>
      </c>
      <c r="AE126" s="83">
        <v>1.1649899999999999E-2</v>
      </c>
      <c r="AF126" s="83">
        <v>1.8377000000000001E-2</v>
      </c>
      <c r="AG126" s="83">
        <v>1.6162100000000001E-3</v>
      </c>
      <c r="AH126" s="83">
        <v>1.1649899999999999E-2</v>
      </c>
      <c r="AI126" s="83">
        <v>1.68075E-2</v>
      </c>
      <c r="AJ126" s="83">
        <v>1.6303699999999999E-3</v>
      </c>
      <c r="AK126" s="83">
        <v>1.1649899999999999E-2</v>
      </c>
      <c r="AL126" s="83">
        <v>1.6761000000000002E-2</v>
      </c>
      <c r="AM126" s="83">
        <v>1.61085E-3</v>
      </c>
      <c r="AN126" s="83">
        <v>1.1649899999999999E-2</v>
      </c>
      <c r="AO126" s="83">
        <v>1.5462099999999999E-2</v>
      </c>
      <c r="AP126" s="83">
        <v>1.6494700000000001E-3</v>
      </c>
      <c r="AQ126" s="83">
        <v>1.1649899999999999E-2</v>
      </c>
      <c r="AR126" s="83">
        <v>1.5147799999999999E-2</v>
      </c>
      <c r="AS126" s="83">
        <v>1.58892E-3</v>
      </c>
      <c r="AT126" s="83">
        <v>1.1649899999999999E-2</v>
      </c>
      <c r="AU126" s="83">
        <v>1.4880000000000001E-2</v>
      </c>
      <c r="AV126" s="83">
        <v>1.60567E-3</v>
      </c>
      <c r="AW126" s="83">
        <v>1.1649899999999999E-2</v>
      </c>
      <c r="AX126" s="83">
        <v>1.37897E-2</v>
      </c>
      <c r="AY126" s="83">
        <v>1.63288E-3</v>
      </c>
      <c r="AZ126" s="83">
        <v>1.1649899999999999E-2</v>
      </c>
      <c r="BA126" s="83">
        <v>1.35114E-2</v>
      </c>
      <c r="BB126" s="83">
        <v>1.6223399999999999E-3</v>
      </c>
      <c r="BC126" s="83">
        <v>1.1649899999999999E-2</v>
      </c>
      <c r="BD126" s="83">
        <v>1.2843E-2</v>
      </c>
      <c r="BE126" s="83">
        <v>1.6328899999999999E-3</v>
      </c>
      <c r="BF126" s="83">
        <v>1.1649899999999999E-2</v>
      </c>
      <c r="BG126" s="83">
        <v>1.2141900000000001E-2</v>
      </c>
      <c r="BH126" s="83">
        <v>1.6534099999999999E-3</v>
      </c>
      <c r="BI126" s="83">
        <v>1.1649899999999999E-2</v>
      </c>
      <c r="BJ126" s="83">
        <v>1.0815399999999999E-2</v>
      </c>
      <c r="BK126" s="83">
        <v>1.6193900000000001E-3</v>
      </c>
      <c r="BL126" s="83">
        <v>1.1649899999999999E-2</v>
      </c>
      <c r="BM126" s="83">
        <v>1.0616E-2</v>
      </c>
      <c r="BN126" s="83">
        <v>1.6088700000000001E-3</v>
      </c>
      <c r="BO126" s="83">
        <v>1.1649899999999999E-2</v>
      </c>
      <c r="BP126" s="83">
        <v>9.0068200000000005E-3</v>
      </c>
      <c r="BQ126" s="83">
        <v>1.6234400000000001E-3</v>
      </c>
      <c r="BR126" s="83">
        <v>1.1649899999999999E-2</v>
      </c>
      <c r="BS126" s="83">
        <v>9.2319600000000009E-3</v>
      </c>
      <c r="BT126" s="83">
        <v>1.6385900000000001E-3</v>
      </c>
      <c r="BU126" s="83">
        <v>1.1649899999999999E-2</v>
      </c>
      <c r="BV126" s="83">
        <v>8.3696900000000008E-3</v>
      </c>
      <c r="BW126" s="83">
        <v>1.6648800000000001E-3</v>
      </c>
      <c r="BX126" s="83">
        <v>1.1649899999999999E-2</v>
      </c>
      <c r="BY126" s="83">
        <v>7.3379400000000003E-3</v>
      </c>
      <c r="BZ126" s="83">
        <v>1.58942E-3</v>
      </c>
      <c r="CA126" s="83">
        <v>1.1649899999999999E-2</v>
      </c>
      <c r="CB126" s="83">
        <v>7.2891600000000003E-3</v>
      </c>
      <c r="CC126" s="83">
        <v>1.6482199999999999E-3</v>
      </c>
      <c r="CD126" s="83">
        <v>1.1649899999999999E-2</v>
      </c>
      <c r="CE126" s="83">
        <v>5.2099399999999997E-3</v>
      </c>
      <c r="CF126" s="83">
        <v>1.57332E-3</v>
      </c>
      <c r="CG126" s="83">
        <v>1.1649899999999999E-2</v>
      </c>
      <c r="CH126" s="83">
        <v>5.5766499999999998E-3</v>
      </c>
      <c r="CI126" s="83">
        <v>1.5849499999999999E-3</v>
      </c>
      <c r="CJ126" s="83">
        <v>1.1649899999999999E-2</v>
      </c>
      <c r="CK126" s="83">
        <v>5.4064500000000001E-3</v>
      </c>
      <c r="CL126" s="83">
        <v>1.5707E-3</v>
      </c>
      <c r="CM126" s="83">
        <v>1.1649899999999999E-2</v>
      </c>
      <c r="CN126" s="83">
        <v>4.6431399999999996E-3</v>
      </c>
      <c r="CO126" s="83">
        <v>1.60074E-3</v>
      </c>
      <c r="CP126" s="83">
        <v>1.1649899999999999E-2</v>
      </c>
      <c r="CQ126" s="83">
        <v>3.9509000000000002E-3</v>
      </c>
      <c r="CR126" s="83">
        <v>1.6076700000000001E-3</v>
      </c>
      <c r="CS126" s="83">
        <v>1.1649899999999999E-2</v>
      </c>
      <c r="CT126" s="83">
        <v>3.6410000000000001E-3</v>
      </c>
      <c r="CU126" s="83">
        <v>1.60097E-3</v>
      </c>
      <c r="CV126" s="83">
        <v>1.1649899999999999E-2</v>
      </c>
      <c r="CW126" s="83">
        <v>2.84703E-3</v>
      </c>
      <c r="CX126" s="83">
        <v>1.5908999999999999E-3</v>
      </c>
    </row>
    <row r="127" spans="1:102" x14ac:dyDescent="0.2">
      <c r="A127" s="83">
        <v>1.1749900000000001E-2</v>
      </c>
      <c r="B127" s="83">
        <v>1.80535E-2</v>
      </c>
      <c r="C127" s="83">
        <v>1.4327400000000001E-3</v>
      </c>
      <c r="D127" s="83">
        <v>1.1749900000000001E-2</v>
      </c>
      <c r="E127" s="83">
        <v>1.8484500000000001E-2</v>
      </c>
      <c r="F127" s="83">
        <v>1.46962E-3</v>
      </c>
      <c r="G127" s="83">
        <v>1.1749900000000001E-2</v>
      </c>
      <c r="H127" s="83">
        <v>1.9441400000000001E-2</v>
      </c>
      <c r="I127" s="83">
        <v>1.5288700000000001E-3</v>
      </c>
      <c r="J127" s="83">
        <v>1.1749900000000001E-2</v>
      </c>
      <c r="K127" s="83">
        <v>1.8568000000000001E-2</v>
      </c>
      <c r="L127" s="83">
        <v>1.4544E-3</v>
      </c>
      <c r="M127" s="83">
        <v>1.1749900000000001E-2</v>
      </c>
      <c r="N127" s="83">
        <v>1.9476199999999999E-2</v>
      </c>
      <c r="O127" s="83">
        <v>1.48299E-3</v>
      </c>
      <c r="P127" s="83">
        <v>1.1749900000000001E-2</v>
      </c>
      <c r="Q127" s="83">
        <v>1.91922E-2</v>
      </c>
      <c r="R127" s="83">
        <v>1.5043299999999999E-3</v>
      </c>
      <c r="S127" s="83">
        <v>1.1749900000000001E-2</v>
      </c>
      <c r="T127" s="83">
        <v>1.8939000000000001E-2</v>
      </c>
      <c r="U127" s="83">
        <v>1.5309799999999999E-3</v>
      </c>
      <c r="V127" s="83">
        <v>1.1749900000000001E-2</v>
      </c>
      <c r="W127" s="83">
        <v>1.81038E-2</v>
      </c>
      <c r="X127" s="83">
        <v>1.50366E-3</v>
      </c>
      <c r="Y127" s="83">
        <v>1.1749900000000001E-2</v>
      </c>
      <c r="Z127" s="83">
        <v>1.7900699999999999E-2</v>
      </c>
      <c r="AA127" s="83">
        <v>1.51399E-3</v>
      </c>
      <c r="AB127" s="83">
        <v>1.1749900000000001E-2</v>
      </c>
      <c r="AC127" s="83">
        <v>1.67911E-2</v>
      </c>
      <c r="AD127" s="83">
        <v>1.48157E-3</v>
      </c>
      <c r="AE127" s="83">
        <v>1.1749900000000001E-2</v>
      </c>
      <c r="AF127" s="83">
        <v>1.6804699999999999E-2</v>
      </c>
      <c r="AG127" s="83">
        <v>1.5078100000000001E-3</v>
      </c>
      <c r="AH127" s="83">
        <v>1.1749900000000001E-2</v>
      </c>
      <c r="AI127" s="83">
        <v>1.5132700000000001E-2</v>
      </c>
      <c r="AJ127" s="83">
        <v>1.5239299999999999E-3</v>
      </c>
      <c r="AK127" s="83">
        <v>1.1749900000000001E-2</v>
      </c>
      <c r="AL127" s="83">
        <v>1.5637999999999999E-2</v>
      </c>
      <c r="AM127" s="83">
        <v>1.5171E-3</v>
      </c>
      <c r="AN127" s="83">
        <v>1.1749900000000001E-2</v>
      </c>
      <c r="AO127" s="83">
        <v>1.48469E-2</v>
      </c>
      <c r="AP127" s="83">
        <v>1.5381399999999999E-3</v>
      </c>
      <c r="AQ127" s="83">
        <v>1.1749900000000001E-2</v>
      </c>
      <c r="AR127" s="83">
        <v>1.3683000000000001E-2</v>
      </c>
      <c r="AS127" s="83">
        <v>1.50005E-3</v>
      </c>
      <c r="AT127" s="83">
        <v>1.1749900000000001E-2</v>
      </c>
      <c r="AU127" s="83">
        <v>1.32491E-2</v>
      </c>
      <c r="AV127" s="83">
        <v>1.4992199999999999E-3</v>
      </c>
      <c r="AW127" s="83">
        <v>1.1749900000000001E-2</v>
      </c>
      <c r="AX127" s="83">
        <v>1.26471E-2</v>
      </c>
      <c r="AY127" s="83">
        <v>1.51862E-3</v>
      </c>
      <c r="AZ127" s="83">
        <v>1.1749900000000001E-2</v>
      </c>
      <c r="BA127" s="83">
        <v>1.22419E-2</v>
      </c>
      <c r="BB127" s="83">
        <v>1.5041799999999999E-3</v>
      </c>
      <c r="BC127" s="83">
        <v>1.1749900000000001E-2</v>
      </c>
      <c r="BD127" s="83">
        <v>1.1470899999999999E-2</v>
      </c>
      <c r="BE127" s="83">
        <v>1.53816E-3</v>
      </c>
      <c r="BF127" s="83">
        <v>1.1749900000000001E-2</v>
      </c>
      <c r="BG127" s="83">
        <v>1.12386E-2</v>
      </c>
      <c r="BH127" s="83">
        <v>1.5440300000000001E-3</v>
      </c>
      <c r="BI127" s="83">
        <v>1.1749900000000001E-2</v>
      </c>
      <c r="BJ127" s="83">
        <v>1.021E-2</v>
      </c>
      <c r="BK127" s="83">
        <v>1.5012199999999999E-3</v>
      </c>
      <c r="BL127" s="83">
        <v>1.1749900000000001E-2</v>
      </c>
      <c r="BM127" s="83">
        <v>9.62965E-3</v>
      </c>
      <c r="BN127" s="83">
        <v>1.4995E-3</v>
      </c>
      <c r="BO127" s="83">
        <v>1.1749900000000001E-2</v>
      </c>
      <c r="BP127" s="83">
        <v>8.3134599999999999E-3</v>
      </c>
      <c r="BQ127" s="83">
        <v>1.4974700000000001E-3</v>
      </c>
      <c r="BR127" s="83">
        <v>1.1749900000000001E-2</v>
      </c>
      <c r="BS127" s="83">
        <v>7.5718000000000001E-3</v>
      </c>
      <c r="BT127" s="83">
        <v>1.51359E-3</v>
      </c>
      <c r="BU127" s="83">
        <v>1.1749900000000001E-2</v>
      </c>
      <c r="BV127" s="83">
        <v>7.10504E-3</v>
      </c>
      <c r="BW127" s="83">
        <v>1.5447600000000001E-3</v>
      </c>
      <c r="BX127" s="83">
        <v>1.1749900000000001E-2</v>
      </c>
      <c r="BY127" s="83">
        <v>6.7275900000000003E-3</v>
      </c>
      <c r="BZ127" s="83">
        <v>1.4976200000000001E-3</v>
      </c>
      <c r="CA127" s="83">
        <v>1.1749900000000001E-2</v>
      </c>
      <c r="CB127" s="83">
        <v>6.7715800000000001E-3</v>
      </c>
      <c r="CC127" s="83">
        <v>1.54666E-3</v>
      </c>
      <c r="CD127" s="83">
        <v>1.1749900000000001E-2</v>
      </c>
      <c r="CE127" s="83">
        <v>4.8974400000000003E-3</v>
      </c>
      <c r="CF127" s="83">
        <v>1.4678499999999999E-3</v>
      </c>
      <c r="CG127" s="83">
        <v>1.1749900000000001E-2</v>
      </c>
      <c r="CH127" s="83">
        <v>5.3569300000000002E-3</v>
      </c>
      <c r="CI127" s="83">
        <v>1.4843600000000001E-3</v>
      </c>
      <c r="CJ127" s="83">
        <v>1.1749900000000001E-2</v>
      </c>
      <c r="CK127" s="83">
        <v>4.5421999999999997E-3</v>
      </c>
      <c r="CL127" s="83">
        <v>1.45937E-3</v>
      </c>
      <c r="CM127" s="83">
        <v>1.1749900000000001E-2</v>
      </c>
      <c r="CN127" s="83">
        <v>4.5894300000000002E-3</v>
      </c>
      <c r="CO127" s="83">
        <v>1.5108999999999999E-3</v>
      </c>
      <c r="CP127" s="83">
        <v>1.1749900000000001E-2</v>
      </c>
      <c r="CQ127" s="83">
        <v>3.4137899999999999E-3</v>
      </c>
      <c r="CR127" s="83">
        <v>1.5022E-3</v>
      </c>
      <c r="CS127" s="83">
        <v>1.1749900000000001E-2</v>
      </c>
      <c r="CT127" s="83">
        <v>3.5091699999999998E-3</v>
      </c>
      <c r="CU127" s="83">
        <v>1.4886700000000001E-3</v>
      </c>
      <c r="CV127" s="83">
        <v>1.1749900000000001E-2</v>
      </c>
      <c r="CW127" s="83">
        <v>2.2806300000000001E-3</v>
      </c>
      <c r="CX127" s="83">
        <v>1.4746900000000001E-3</v>
      </c>
    </row>
    <row r="128" spans="1:102" x14ac:dyDescent="0.2">
      <c r="A128" s="83">
        <v>1.18499E-2</v>
      </c>
      <c r="B128" s="83">
        <v>1.6710800000000001E-2</v>
      </c>
      <c r="C128" s="83">
        <v>1.3370400000000001E-3</v>
      </c>
      <c r="D128" s="83">
        <v>1.18499E-2</v>
      </c>
      <c r="E128" s="83">
        <v>1.6970900000000001E-2</v>
      </c>
      <c r="F128" s="83">
        <v>1.3748899999999999E-3</v>
      </c>
      <c r="G128" s="83">
        <v>1.18499E-2</v>
      </c>
      <c r="H128" s="83">
        <v>1.8279299999999998E-2</v>
      </c>
      <c r="I128" s="83">
        <v>1.4204700000000001E-3</v>
      </c>
      <c r="J128" s="83">
        <v>1.18499E-2</v>
      </c>
      <c r="K128" s="83">
        <v>1.71959E-2</v>
      </c>
      <c r="L128" s="83">
        <v>1.3723699999999999E-3</v>
      </c>
      <c r="M128" s="83">
        <v>1.18499E-2</v>
      </c>
      <c r="N128" s="83">
        <v>1.7913700000000001E-2</v>
      </c>
      <c r="O128" s="83">
        <v>1.37947E-3</v>
      </c>
      <c r="P128" s="83">
        <v>1.18499E-2</v>
      </c>
      <c r="Q128" s="83">
        <v>1.7712700000000001E-2</v>
      </c>
      <c r="R128" s="83">
        <v>1.39105E-3</v>
      </c>
      <c r="S128" s="83">
        <v>1.18499E-2</v>
      </c>
      <c r="T128" s="83">
        <v>1.7591300000000001E-2</v>
      </c>
      <c r="U128" s="83">
        <v>1.4450400000000001E-3</v>
      </c>
      <c r="V128" s="83">
        <v>1.18499E-2</v>
      </c>
      <c r="W128" s="83">
        <v>1.7063700000000001E-2</v>
      </c>
      <c r="X128" s="83">
        <v>1.4177199999999999E-3</v>
      </c>
      <c r="Y128" s="83">
        <v>1.18499E-2</v>
      </c>
      <c r="Z128" s="83">
        <v>1.6138E-2</v>
      </c>
      <c r="AA128" s="83">
        <v>1.4163299999999999E-3</v>
      </c>
      <c r="AB128" s="83">
        <v>1.18499E-2</v>
      </c>
      <c r="AC128" s="83">
        <v>1.56583E-2</v>
      </c>
      <c r="AD128" s="83">
        <v>1.4024700000000001E-3</v>
      </c>
      <c r="AE128" s="83">
        <v>1.18499E-2</v>
      </c>
      <c r="AF128" s="83">
        <v>1.5920900000000002E-2</v>
      </c>
      <c r="AG128" s="83">
        <v>1.4277300000000001E-3</v>
      </c>
      <c r="AH128" s="83">
        <v>1.18499E-2</v>
      </c>
      <c r="AI128" s="83">
        <v>1.43661E-2</v>
      </c>
      <c r="AJ128" s="83">
        <v>1.40967E-3</v>
      </c>
      <c r="AK128" s="83">
        <v>1.18499E-2</v>
      </c>
      <c r="AL128" s="83">
        <v>1.39925E-2</v>
      </c>
      <c r="AM128" s="83">
        <v>1.4272499999999999E-3</v>
      </c>
      <c r="AN128" s="83">
        <v>1.18499E-2</v>
      </c>
      <c r="AO128" s="83">
        <v>1.3001199999999999E-2</v>
      </c>
      <c r="AP128" s="83">
        <v>1.4346300000000001E-3</v>
      </c>
      <c r="AQ128" s="83">
        <v>1.18499E-2</v>
      </c>
      <c r="AR128" s="83">
        <v>1.27259E-2</v>
      </c>
      <c r="AS128" s="83">
        <v>1.4228999999999999E-3</v>
      </c>
      <c r="AT128" s="83">
        <v>1.18499E-2</v>
      </c>
      <c r="AU128" s="83">
        <v>1.2311600000000001E-2</v>
      </c>
      <c r="AV128" s="83">
        <v>1.40156E-3</v>
      </c>
      <c r="AW128" s="83">
        <v>1.18499E-2</v>
      </c>
      <c r="AX128" s="83">
        <v>1.1470299999999999E-2</v>
      </c>
      <c r="AY128" s="83">
        <v>1.4268200000000001E-3</v>
      </c>
      <c r="AZ128" s="83">
        <v>1.18499E-2</v>
      </c>
      <c r="BA128" s="83">
        <v>1.1421600000000001E-2</v>
      </c>
      <c r="BB128" s="83">
        <v>1.4368E-3</v>
      </c>
      <c r="BC128" s="83">
        <v>1.18499E-2</v>
      </c>
      <c r="BD128" s="83">
        <v>1.10168E-2</v>
      </c>
      <c r="BE128" s="83">
        <v>1.46101E-3</v>
      </c>
      <c r="BF128" s="83">
        <v>1.18499E-2</v>
      </c>
      <c r="BG128" s="83">
        <v>1.0589100000000001E-2</v>
      </c>
      <c r="BH128" s="83">
        <v>1.46396E-3</v>
      </c>
      <c r="BI128" s="83">
        <v>1.18499E-2</v>
      </c>
      <c r="BJ128" s="83">
        <v>8.7451300000000003E-3</v>
      </c>
      <c r="BK128" s="83">
        <v>1.43286E-3</v>
      </c>
      <c r="BL128" s="83">
        <v>1.18499E-2</v>
      </c>
      <c r="BM128" s="83">
        <v>8.7214500000000004E-3</v>
      </c>
      <c r="BN128" s="83">
        <v>1.39208E-3</v>
      </c>
      <c r="BO128" s="83">
        <v>1.18499E-2</v>
      </c>
      <c r="BP128" s="83">
        <v>7.1025300000000001E-3</v>
      </c>
      <c r="BQ128" s="83">
        <v>1.41446E-3</v>
      </c>
      <c r="BR128" s="83">
        <v>1.18499E-2</v>
      </c>
      <c r="BS128" s="83">
        <v>7.1665299999999999E-3</v>
      </c>
      <c r="BT128" s="83">
        <v>1.42863E-3</v>
      </c>
      <c r="BU128" s="83">
        <v>1.18499E-2</v>
      </c>
      <c r="BV128" s="83">
        <v>6.6362900000000004E-3</v>
      </c>
      <c r="BW128" s="83">
        <v>1.4578499999999999E-3</v>
      </c>
      <c r="BX128" s="83">
        <v>1.18499E-2</v>
      </c>
      <c r="BY128" s="83">
        <v>5.6875500000000004E-3</v>
      </c>
      <c r="BZ128" s="83">
        <v>1.40387E-3</v>
      </c>
      <c r="CA128" s="83">
        <v>1.18499E-2</v>
      </c>
      <c r="CB128" s="83">
        <v>5.7413100000000003E-3</v>
      </c>
      <c r="CC128" s="83">
        <v>1.4568199999999999E-3</v>
      </c>
      <c r="CD128" s="83">
        <v>1.18499E-2</v>
      </c>
      <c r="CE128" s="83">
        <v>4.6337599999999998E-3</v>
      </c>
      <c r="CF128" s="83">
        <v>1.3858200000000001E-3</v>
      </c>
      <c r="CG128" s="83">
        <v>1.18499E-2</v>
      </c>
      <c r="CH128" s="83">
        <v>4.9907199999999997E-3</v>
      </c>
      <c r="CI128" s="83">
        <v>1.39842E-3</v>
      </c>
      <c r="CJ128" s="83">
        <v>1.18499E-2</v>
      </c>
      <c r="CK128" s="83">
        <v>4.1906299999999999E-3</v>
      </c>
      <c r="CL128" s="83">
        <v>1.3832E-3</v>
      </c>
      <c r="CM128" s="83">
        <v>1.18499E-2</v>
      </c>
      <c r="CN128" s="83">
        <v>4.32088E-3</v>
      </c>
      <c r="CO128" s="83">
        <v>1.4191E-3</v>
      </c>
      <c r="CP128" s="83">
        <v>1.18499E-2</v>
      </c>
      <c r="CQ128" s="83">
        <v>3.0719900000000001E-3</v>
      </c>
      <c r="CR128" s="83">
        <v>1.3957500000000001E-3</v>
      </c>
      <c r="CS128" s="83">
        <v>1.18499E-2</v>
      </c>
      <c r="CT128" s="83">
        <v>3.0794799999999999E-3</v>
      </c>
      <c r="CU128" s="83">
        <v>1.4076099999999999E-3</v>
      </c>
      <c r="CV128" s="83">
        <v>1.18499E-2</v>
      </c>
      <c r="CW128" s="83">
        <v>2.3685199999999998E-3</v>
      </c>
      <c r="CX128" s="83">
        <v>1.3975400000000001E-3</v>
      </c>
    </row>
    <row r="129" spans="1:102" x14ac:dyDescent="0.2">
      <c r="A129" s="83">
        <v>1.1949899999999999E-2</v>
      </c>
      <c r="B129" s="83">
        <v>1.5670699999999999E-2</v>
      </c>
      <c r="C129" s="83">
        <v>1.27454E-3</v>
      </c>
      <c r="D129" s="83">
        <v>1.1949899999999999E-2</v>
      </c>
      <c r="E129" s="83">
        <v>1.5965E-2</v>
      </c>
      <c r="F129" s="83">
        <v>1.2909099999999999E-3</v>
      </c>
      <c r="G129" s="83">
        <v>1.1949899999999999E-2</v>
      </c>
      <c r="H129" s="83">
        <v>1.63067E-2</v>
      </c>
      <c r="I129" s="83">
        <v>1.3481999999999999E-3</v>
      </c>
      <c r="J129" s="83">
        <v>1.1949899999999999E-2</v>
      </c>
      <c r="K129" s="83">
        <v>1.5980100000000001E-2</v>
      </c>
      <c r="L129" s="83">
        <v>1.2913099999999999E-3</v>
      </c>
      <c r="M129" s="83">
        <v>1.1949899999999999E-2</v>
      </c>
      <c r="N129" s="83">
        <v>1.6653899999999999E-2</v>
      </c>
      <c r="O129" s="83">
        <v>1.3120899999999999E-3</v>
      </c>
      <c r="P129" s="83">
        <v>1.1949899999999999E-2</v>
      </c>
      <c r="Q129" s="83">
        <v>1.6291799999999999E-2</v>
      </c>
      <c r="R129" s="83">
        <v>1.30999E-3</v>
      </c>
      <c r="S129" s="83">
        <v>1.1949899999999999E-2</v>
      </c>
      <c r="T129" s="83">
        <v>1.6033700000000001E-2</v>
      </c>
      <c r="U129" s="83">
        <v>1.3454300000000001E-3</v>
      </c>
      <c r="V129" s="83">
        <v>1.1949899999999999E-2</v>
      </c>
      <c r="W129" s="83">
        <v>1.57307E-2</v>
      </c>
      <c r="X129" s="83">
        <v>1.3220199999999999E-3</v>
      </c>
      <c r="Y129" s="83">
        <v>1.1949899999999999E-2</v>
      </c>
      <c r="Z129" s="83">
        <v>1.5410500000000001E-2</v>
      </c>
      <c r="AA129" s="83">
        <v>1.3186700000000001E-3</v>
      </c>
      <c r="AB129" s="83">
        <v>1.1949899999999999E-2</v>
      </c>
      <c r="AC129" s="83">
        <v>1.40616E-2</v>
      </c>
      <c r="AD129" s="83">
        <v>1.3038399999999999E-3</v>
      </c>
      <c r="AE129" s="83">
        <v>1.1949899999999999E-2</v>
      </c>
      <c r="AF129" s="83">
        <v>1.44805E-2</v>
      </c>
      <c r="AG129" s="83">
        <v>1.3408199999999999E-3</v>
      </c>
      <c r="AH129" s="83">
        <v>1.1949899999999999E-2</v>
      </c>
      <c r="AI129" s="83">
        <v>1.31942E-2</v>
      </c>
      <c r="AJ129" s="83">
        <v>1.3315499999999999E-3</v>
      </c>
      <c r="AK129" s="83">
        <v>1.1949899999999999E-2</v>
      </c>
      <c r="AL129" s="83">
        <v>1.30159E-2</v>
      </c>
      <c r="AM129" s="83">
        <v>1.32178E-3</v>
      </c>
      <c r="AN129" s="83">
        <v>1.1949899999999999E-2</v>
      </c>
      <c r="AO129" s="83">
        <v>1.22737E-2</v>
      </c>
      <c r="AP129" s="83">
        <v>1.35943E-3</v>
      </c>
      <c r="AQ129" s="83">
        <v>1.1949899999999999E-2</v>
      </c>
      <c r="AR129" s="83">
        <v>1.2222999999999999E-2</v>
      </c>
      <c r="AS129" s="83">
        <v>1.3291500000000001E-3</v>
      </c>
      <c r="AT129" s="83">
        <v>1.1949899999999999E-2</v>
      </c>
      <c r="AU129" s="83">
        <v>1.1232499999999999E-2</v>
      </c>
      <c r="AV129" s="83">
        <v>1.3146500000000001E-3</v>
      </c>
      <c r="AW129" s="83">
        <v>1.1949899999999999E-2</v>
      </c>
      <c r="AX129" s="83">
        <v>1.086E-2</v>
      </c>
      <c r="AY129" s="83">
        <v>1.3418600000000001E-3</v>
      </c>
      <c r="AZ129" s="83">
        <v>1.1949899999999999E-2</v>
      </c>
      <c r="BA129" s="83">
        <v>1.04694E-2</v>
      </c>
      <c r="BB129" s="83">
        <v>1.3235199999999999E-3</v>
      </c>
      <c r="BC129" s="83">
        <v>1.1949899999999999E-2</v>
      </c>
      <c r="BD129" s="83">
        <v>9.2980800000000002E-3</v>
      </c>
      <c r="BE129" s="83">
        <v>1.36921E-3</v>
      </c>
      <c r="BF129" s="83">
        <v>1.1949899999999999E-2</v>
      </c>
      <c r="BG129" s="83">
        <v>9.0071200000000004E-3</v>
      </c>
      <c r="BH129" s="83">
        <v>1.3731399999999999E-3</v>
      </c>
      <c r="BI129" s="83">
        <v>1.1949899999999999E-2</v>
      </c>
      <c r="BJ129" s="83">
        <v>8.4130999999999997E-3</v>
      </c>
      <c r="BK129" s="83">
        <v>1.32446E-3</v>
      </c>
      <c r="BL129" s="83">
        <v>1.1949899999999999E-2</v>
      </c>
      <c r="BM129" s="83">
        <v>8.2331699999999997E-3</v>
      </c>
      <c r="BN129" s="83">
        <v>1.3090700000000001E-3</v>
      </c>
      <c r="BO129" s="83">
        <v>1.1949899999999999E-2</v>
      </c>
      <c r="BP129" s="83">
        <v>6.4775299999999996E-3</v>
      </c>
      <c r="BQ129" s="83">
        <v>1.3324299999999999E-3</v>
      </c>
      <c r="BR129" s="83">
        <v>1.1949899999999999E-2</v>
      </c>
      <c r="BS129" s="83">
        <v>6.9272700000000001E-3</v>
      </c>
      <c r="BT129" s="83">
        <v>1.33781E-3</v>
      </c>
      <c r="BU129" s="83">
        <v>1.1949899999999999E-2</v>
      </c>
      <c r="BV129" s="83">
        <v>6.0357099999999997E-3</v>
      </c>
      <c r="BW129" s="83">
        <v>1.3797200000000001E-3</v>
      </c>
      <c r="BX129" s="83">
        <v>1.1949899999999999E-2</v>
      </c>
      <c r="BY129" s="83">
        <v>5.3506300000000003E-3</v>
      </c>
      <c r="BZ129" s="83">
        <v>1.3101199999999999E-3</v>
      </c>
      <c r="CA129" s="83">
        <v>1.1949899999999999E-2</v>
      </c>
      <c r="CB129" s="83">
        <v>5.0430700000000002E-3</v>
      </c>
      <c r="CC129" s="83">
        <v>1.3581800000000001E-3</v>
      </c>
      <c r="CD129" s="83">
        <v>1.1949899999999999E-2</v>
      </c>
      <c r="CE129" s="83">
        <v>4.1015399999999999E-3</v>
      </c>
      <c r="CF129" s="83">
        <v>1.30086E-3</v>
      </c>
      <c r="CG129" s="83">
        <v>1.1949899999999999E-2</v>
      </c>
      <c r="CH129" s="83">
        <v>4.4487199999999998E-3</v>
      </c>
      <c r="CI129" s="83">
        <v>1.3105300000000001E-3</v>
      </c>
      <c r="CJ129" s="83">
        <v>1.1949899999999999E-2</v>
      </c>
      <c r="CK129" s="83">
        <v>4.0636800000000001E-3</v>
      </c>
      <c r="CL129" s="83">
        <v>1.2923800000000001E-3</v>
      </c>
      <c r="CM129" s="83">
        <v>1.1949899999999999E-2</v>
      </c>
      <c r="CN129" s="83">
        <v>4.3306400000000002E-3</v>
      </c>
      <c r="CO129" s="83">
        <v>1.31949E-3</v>
      </c>
      <c r="CP129" s="83">
        <v>1.1949899999999999E-2</v>
      </c>
      <c r="CQ129" s="83">
        <v>2.9059799999999998E-3</v>
      </c>
      <c r="CR129" s="83">
        <v>1.34107E-3</v>
      </c>
      <c r="CS129" s="83">
        <v>1.1949899999999999E-2</v>
      </c>
      <c r="CT129" s="83">
        <v>2.8451100000000001E-3</v>
      </c>
      <c r="CU129" s="83">
        <v>1.28652E-3</v>
      </c>
      <c r="CV129" s="83">
        <v>1.1949899999999999E-2</v>
      </c>
      <c r="CW129" s="83">
        <v>2.3196900000000001E-3</v>
      </c>
      <c r="CX129" s="83">
        <v>1.28035E-3</v>
      </c>
    </row>
    <row r="130" spans="1:102" x14ac:dyDescent="0.2">
      <c r="A130" s="83">
        <v>1.2049900000000001E-2</v>
      </c>
      <c r="B130" s="83">
        <v>1.40692E-2</v>
      </c>
      <c r="C130" s="83">
        <v>1.1798100000000001E-3</v>
      </c>
      <c r="D130" s="83">
        <v>1.2049900000000001E-2</v>
      </c>
      <c r="E130" s="83">
        <v>1.46906E-2</v>
      </c>
      <c r="F130" s="83">
        <v>1.2127800000000001E-3</v>
      </c>
      <c r="G130" s="83">
        <v>1.2049900000000001E-2</v>
      </c>
      <c r="H130" s="83">
        <v>1.53057E-2</v>
      </c>
      <c r="I130" s="83">
        <v>1.2222299999999999E-3</v>
      </c>
      <c r="J130" s="83">
        <v>1.2049900000000001E-2</v>
      </c>
      <c r="K130" s="83">
        <v>1.49401E-2</v>
      </c>
      <c r="L130" s="83">
        <v>1.1975600000000001E-3</v>
      </c>
      <c r="M130" s="83">
        <v>1.2049900000000001E-2</v>
      </c>
      <c r="N130" s="83">
        <v>1.54723E-2</v>
      </c>
      <c r="O130" s="83">
        <v>1.22029E-3</v>
      </c>
      <c r="P130" s="83">
        <v>1.2049900000000001E-2</v>
      </c>
      <c r="Q130" s="83">
        <v>1.5417800000000001E-2</v>
      </c>
      <c r="R130" s="83">
        <v>1.2308899999999999E-3</v>
      </c>
      <c r="S130" s="83">
        <v>1.2049900000000001E-2</v>
      </c>
      <c r="T130" s="83">
        <v>1.48179E-2</v>
      </c>
      <c r="U130" s="83">
        <v>1.24485E-3</v>
      </c>
      <c r="V130" s="83">
        <v>1.2049900000000001E-2</v>
      </c>
      <c r="W130" s="83">
        <v>1.50178E-2</v>
      </c>
      <c r="X130" s="83">
        <v>1.2253399999999999E-3</v>
      </c>
      <c r="Y130" s="83">
        <v>1.2049900000000001E-2</v>
      </c>
      <c r="Z130" s="83">
        <v>1.4087199999999999E-2</v>
      </c>
      <c r="AA130" s="83">
        <v>1.2434799999999999E-3</v>
      </c>
      <c r="AB130" s="83">
        <v>1.2049900000000001E-2</v>
      </c>
      <c r="AC130" s="83">
        <v>1.30362E-2</v>
      </c>
      <c r="AD130" s="83">
        <v>1.2110599999999999E-3</v>
      </c>
      <c r="AE130" s="83">
        <v>1.2049900000000001E-2</v>
      </c>
      <c r="AF130" s="83">
        <v>1.34991E-2</v>
      </c>
      <c r="AG130" s="83">
        <v>1.23828E-3</v>
      </c>
      <c r="AH130" s="83">
        <v>1.2049900000000001E-2</v>
      </c>
      <c r="AI130" s="83">
        <v>1.23299E-2</v>
      </c>
      <c r="AJ130" s="83">
        <v>1.24463E-3</v>
      </c>
      <c r="AK130" s="83">
        <v>1.2049900000000001E-2</v>
      </c>
      <c r="AL130" s="83">
        <v>1.1507099999999999E-2</v>
      </c>
      <c r="AM130" s="83">
        <v>1.2338900000000001E-3</v>
      </c>
      <c r="AN130" s="83">
        <v>1.2049900000000001E-2</v>
      </c>
      <c r="AO130" s="83">
        <v>1.11506E-2</v>
      </c>
      <c r="AP130" s="83">
        <v>1.2529799999999999E-3</v>
      </c>
      <c r="AQ130" s="83">
        <v>1.2049900000000001E-2</v>
      </c>
      <c r="AR130" s="83">
        <v>1.06751E-2</v>
      </c>
      <c r="AS130" s="83">
        <v>1.23247E-3</v>
      </c>
      <c r="AT130" s="83">
        <v>1.2049900000000001E-2</v>
      </c>
      <c r="AU130" s="83">
        <v>1.02267E-2</v>
      </c>
      <c r="AV130" s="83">
        <v>1.23945E-3</v>
      </c>
      <c r="AW130" s="83">
        <v>1.2049900000000001E-2</v>
      </c>
      <c r="AX130" s="83">
        <v>9.5660499999999996E-3</v>
      </c>
      <c r="AY130" s="83">
        <v>1.25299E-3</v>
      </c>
      <c r="AZ130" s="83">
        <v>1.2049900000000001E-2</v>
      </c>
      <c r="BA130" s="83">
        <v>9.3903400000000005E-3</v>
      </c>
      <c r="BB130" s="83">
        <v>1.25516E-3</v>
      </c>
      <c r="BC130" s="83">
        <v>1.2049900000000001E-2</v>
      </c>
      <c r="BD130" s="83">
        <v>8.91722E-3</v>
      </c>
      <c r="BE130" s="83">
        <v>1.27254E-3</v>
      </c>
      <c r="BF130" s="83">
        <v>1.2049900000000001E-2</v>
      </c>
      <c r="BG130" s="83">
        <v>8.7922699999999996E-3</v>
      </c>
      <c r="BH130" s="83">
        <v>1.28232E-3</v>
      </c>
      <c r="BI130" s="83">
        <v>1.2049900000000001E-2</v>
      </c>
      <c r="BJ130" s="83">
        <v>7.6464999999999997E-3</v>
      </c>
      <c r="BK130" s="83">
        <v>1.2580600000000001E-3</v>
      </c>
      <c r="BL130" s="83">
        <v>1.2049900000000001E-2</v>
      </c>
      <c r="BM130" s="83">
        <v>7.5935200000000003E-3</v>
      </c>
      <c r="BN130" s="83">
        <v>1.2367999999999999E-3</v>
      </c>
      <c r="BO130" s="83">
        <v>1.2049900000000001E-2</v>
      </c>
      <c r="BP130" s="83">
        <v>6.3359200000000001E-3</v>
      </c>
      <c r="BQ130" s="83">
        <v>1.21426E-3</v>
      </c>
      <c r="BR130" s="83">
        <v>1.2049900000000001E-2</v>
      </c>
      <c r="BS130" s="83">
        <v>6.47805E-3</v>
      </c>
      <c r="BT130" s="83">
        <v>1.24406E-3</v>
      </c>
      <c r="BU130" s="83">
        <v>1.2049900000000001E-2</v>
      </c>
      <c r="BV130" s="83">
        <v>5.65973E-3</v>
      </c>
      <c r="BW130" s="83">
        <v>1.29671E-3</v>
      </c>
      <c r="BX130" s="83">
        <v>1.2049900000000001E-2</v>
      </c>
      <c r="BY130" s="83">
        <v>5.0185999999999998E-3</v>
      </c>
      <c r="BZ130" s="83">
        <v>1.2251600000000001E-3</v>
      </c>
      <c r="CA130" s="83">
        <v>1.2049900000000001E-2</v>
      </c>
      <c r="CB130" s="83">
        <v>4.7012699999999996E-3</v>
      </c>
      <c r="CC130" s="83">
        <v>1.2839699999999999E-3</v>
      </c>
      <c r="CD130" s="83">
        <v>1.2049900000000001E-2</v>
      </c>
      <c r="CE130" s="83">
        <v>3.8036900000000002E-3</v>
      </c>
      <c r="CF130" s="83">
        <v>1.21101E-3</v>
      </c>
      <c r="CG130" s="83">
        <v>1.2049900000000001E-2</v>
      </c>
      <c r="CH130" s="83">
        <v>3.6918900000000002E-3</v>
      </c>
      <c r="CI130" s="83">
        <v>1.2333800000000001E-3</v>
      </c>
      <c r="CJ130" s="83">
        <v>1.2049900000000001E-2</v>
      </c>
      <c r="CK130" s="83">
        <v>3.7853600000000002E-3</v>
      </c>
      <c r="CL130" s="83">
        <v>1.22207E-3</v>
      </c>
      <c r="CM130" s="83">
        <v>1.2049900000000001E-2</v>
      </c>
      <c r="CN130" s="83">
        <v>3.2954899999999999E-3</v>
      </c>
      <c r="CO130" s="83">
        <v>1.2296500000000001E-3</v>
      </c>
      <c r="CP130" s="83">
        <v>1.2049900000000001E-2</v>
      </c>
      <c r="CQ130" s="83">
        <v>2.6813700000000002E-3</v>
      </c>
      <c r="CR130" s="83">
        <v>1.2385300000000001E-3</v>
      </c>
      <c r="CS130" s="83">
        <v>1.2049900000000001E-2</v>
      </c>
      <c r="CT130" s="83">
        <v>2.2005699999999998E-3</v>
      </c>
      <c r="CU130" s="83">
        <v>1.2259700000000001E-3</v>
      </c>
      <c r="CV130" s="83">
        <v>1.2049900000000001E-2</v>
      </c>
      <c r="CW130" s="83">
        <v>2.02184E-3</v>
      </c>
      <c r="CX130" s="83">
        <v>1.2285900000000001E-3</v>
      </c>
    </row>
    <row r="131" spans="1:102" x14ac:dyDescent="0.2">
      <c r="A131" s="83">
        <v>1.21499E-2</v>
      </c>
      <c r="B131" s="83">
        <v>1.30145E-2</v>
      </c>
      <c r="C131" s="83">
        <v>1.0968E-3</v>
      </c>
      <c r="D131" s="83">
        <v>1.21499E-2</v>
      </c>
      <c r="E131" s="83">
        <v>1.3513799999999999E-2</v>
      </c>
      <c r="F131" s="83">
        <v>1.1287999999999999E-3</v>
      </c>
      <c r="G131" s="83">
        <v>1.21499E-2</v>
      </c>
      <c r="H131" s="83">
        <v>1.4143599999999999E-2</v>
      </c>
      <c r="I131" s="83">
        <v>1.1567999999999999E-3</v>
      </c>
      <c r="J131" s="83">
        <v>1.21499E-2</v>
      </c>
      <c r="K131" s="83">
        <v>1.33092E-2</v>
      </c>
      <c r="L131" s="83">
        <v>1.11163E-3</v>
      </c>
      <c r="M131" s="83">
        <v>1.21499E-2</v>
      </c>
      <c r="N131" s="83">
        <v>1.4090500000000001E-2</v>
      </c>
      <c r="O131" s="83">
        <v>1.12166E-3</v>
      </c>
      <c r="P131" s="83">
        <v>1.21499E-2</v>
      </c>
      <c r="Q131" s="83">
        <v>1.3938300000000001E-2</v>
      </c>
      <c r="R131" s="83">
        <v>1.14886E-3</v>
      </c>
      <c r="S131" s="83">
        <v>1.21499E-2</v>
      </c>
      <c r="T131" s="83">
        <v>1.3582500000000001E-2</v>
      </c>
      <c r="U131" s="83">
        <v>1.1725800000000001E-3</v>
      </c>
      <c r="V131" s="83">
        <v>1.21499E-2</v>
      </c>
      <c r="W131" s="83">
        <v>1.3499300000000001E-2</v>
      </c>
      <c r="X131" s="83">
        <v>1.16577E-3</v>
      </c>
      <c r="Y131" s="83">
        <v>1.21499E-2</v>
      </c>
      <c r="Z131" s="83">
        <v>1.29398E-2</v>
      </c>
      <c r="AA131" s="83">
        <v>1.15168E-3</v>
      </c>
      <c r="AB131" s="83">
        <v>1.21499E-2</v>
      </c>
      <c r="AC131" s="83">
        <v>1.19376E-2</v>
      </c>
      <c r="AD131" s="83">
        <v>1.1505199999999999E-3</v>
      </c>
      <c r="AE131" s="83">
        <v>1.21499E-2</v>
      </c>
      <c r="AF131" s="83">
        <v>1.20147E-2</v>
      </c>
      <c r="AG131" s="83">
        <v>1.16504E-3</v>
      </c>
      <c r="AH131" s="83">
        <v>1.21499E-2</v>
      </c>
      <c r="AI131" s="83">
        <v>1.1206900000000001E-2</v>
      </c>
      <c r="AJ131" s="83">
        <v>1.18604E-3</v>
      </c>
      <c r="AK131" s="83">
        <v>1.21499E-2</v>
      </c>
      <c r="AL131" s="83">
        <v>1.12239E-2</v>
      </c>
      <c r="AM131" s="83">
        <v>1.1391699999999999E-3</v>
      </c>
      <c r="AN131" s="83">
        <v>1.21499E-2</v>
      </c>
      <c r="AO131" s="83">
        <v>1.0349799999999999E-2</v>
      </c>
      <c r="AP131" s="83">
        <v>1.18267E-3</v>
      </c>
      <c r="AQ131" s="83">
        <v>1.21499E-2</v>
      </c>
      <c r="AR131" s="83">
        <v>9.8157599999999998E-3</v>
      </c>
      <c r="AS131" s="83">
        <v>1.1650899999999999E-3</v>
      </c>
      <c r="AT131" s="83">
        <v>1.21499E-2</v>
      </c>
      <c r="AU131" s="83">
        <v>9.9239399999999992E-3</v>
      </c>
      <c r="AV131" s="83">
        <v>1.1418000000000001E-3</v>
      </c>
      <c r="AW131" s="83">
        <v>1.21499E-2</v>
      </c>
      <c r="AX131" s="83">
        <v>9.5709300000000001E-3</v>
      </c>
      <c r="AY131" s="83">
        <v>1.1670599999999999E-3</v>
      </c>
      <c r="AZ131" s="83">
        <v>1.21499E-2</v>
      </c>
      <c r="BA131" s="83">
        <v>8.9069400000000003E-3</v>
      </c>
      <c r="BB131" s="83">
        <v>1.1799600000000001E-3</v>
      </c>
      <c r="BC131" s="83">
        <v>1.21499E-2</v>
      </c>
      <c r="BD131" s="83">
        <v>8.8000300000000004E-3</v>
      </c>
      <c r="BE131" s="83">
        <v>1.1895300000000001E-3</v>
      </c>
      <c r="BF131" s="83">
        <v>1.21499E-2</v>
      </c>
      <c r="BG131" s="83">
        <v>8.3430499999999994E-3</v>
      </c>
      <c r="BH131" s="83">
        <v>1.21591E-3</v>
      </c>
      <c r="BI131" s="83">
        <v>1.21499E-2</v>
      </c>
      <c r="BJ131" s="83">
        <v>6.9287200000000002E-3</v>
      </c>
      <c r="BK131" s="83">
        <v>1.17212E-3</v>
      </c>
      <c r="BL131" s="83">
        <v>1.21499E-2</v>
      </c>
      <c r="BM131" s="83">
        <v>6.8171500000000001E-3</v>
      </c>
      <c r="BN131" s="83">
        <v>1.1704E-3</v>
      </c>
      <c r="BO131" s="83">
        <v>1.21499E-2</v>
      </c>
      <c r="BP131" s="83">
        <v>6.0869000000000001E-3</v>
      </c>
      <c r="BQ131" s="83">
        <v>1.1400399999999999E-3</v>
      </c>
      <c r="BR131" s="83">
        <v>1.21499E-2</v>
      </c>
      <c r="BS131" s="83">
        <v>5.6968000000000001E-3</v>
      </c>
      <c r="BT131" s="83">
        <v>1.1805800000000001E-3</v>
      </c>
      <c r="BU131" s="83">
        <v>1.21499E-2</v>
      </c>
      <c r="BV131" s="83">
        <v>5.08356E-3</v>
      </c>
      <c r="BW131" s="83">
        <v>1.1717100000000001E-3</v>
      </c>
      <c r="BX131" s="83">
        <v>1.21499E-2</v>
      </c>
      <c r="BY131" s="83">
        <v>4.1885200000000003E-3</v>
      </c>
      <c r="BZ131" s="83">
        <v>1.1441000000000001E-3</v>
      </c>
      <c r="CA131" s="83">
        <v>1.21499E-2</v>
      </c>
      <c r="CB131" s="83">
        <v>4.3252999999999998E-3</v>
      </c>
      <c r="CC131" s="83">
        <v>1.17947E-3</v>
      </c>
      <c r="CD131" s="83">
        <v>1.21499E-2</v>
      </c>
      <c r="CE131" s="83">
        <v>3.64255E-3</v>
      </c>
      <c r="CF131" s="83">
        <v>1.1299599999999999E-3</v>
      </c>
      <c r="CG131" s="83">
        <v>1.21499E-2</v>
      </c>
      <c r="CH131" s="83">
        <v>3.1596599999999999E-3</v>
      </c>
      <c r="CI131" s="83">
        <v>1.13671E-3</v>
      </c>
      <c r="CJ131" s="83">
        <v>1.21499E-2</v>
      </c>
      <c r="CK131" s="83">
        <v>3.9318499999999998E-3</v>
      </c>
      <c r="CL131" s="83">
        <v>1.1458900000000001E-3</v>
      </c>
      <c r="CM131" s="83">
        <v>1.21499E-2</v>
      </c>
      <c r="CN131" s="83">
        <v>3.08553E-3</v>
      </c>
      <c r="CO131" s="83">
        <v>1.1642200000000001E-3</v>
      </c>
      <c r="CP131" s="83">
        <v>1.21499E-2</v>
      </c>
      <c r="CQ131" s="83">
        <v>1.81223E-3</v>
      </c>
      <c r="CR131" s="83">
        <v>1.15161E-3</v>
      </c>
      <c r="CS131" s="83">
        <v>1.21499E-2</v>
      </c>
      <c r="CT131" s="83">
        <v>2.3763600000000001E-3</v>
      </c>
      <c r="CU131" s="83">
        <v>1.1351499999999999E-3</v>
      </c>
      <c r="CV131" s="83">
        <v>1.21499E-2</v>
      </c>
      <c r="CW131" s="83">
        <v>1.5579700000000001E-3</v>
      </c>
      <c r="CX131" s="83">
        <v>1.1328899999999999E-3</v>
      </c>
    </row>
    <row r="132" spans="1:102" x14ac:dyDescent="0.2">
      <c r="A132" s="83">
        <v>1.2249899999999999E-2</v>
      </c>
      <c r="B132" s="83">
        <v>1.22039E-2</v>
      </c>
      <c r="C132" s="83">
        <v>1.02063E-3</v>
      </c>
      <c r="D132" s="83">
        <v>1.2249899999999999E-2</v>
      </c>
      <c r="E132" s="83">
        <v>1.22687E-2</v>
      </c>
      <c r="F132" s="83">
        <v>1.08095E-3</v>
      </c>
      <c r="G132" s="83">
        <v>1.2249899999999999E-2</v>
      </c>
      <c r="H132" s="83">
        <v>1.3225600000000001E-2</v>
      </c>
      <c r="I132" s="83">
        <v>1.0718399999999999E-3</v>
      </c>
      <c r="J132" s="83">
        <v>1.2249899999999999E-2</v>
      </c>
      <c r="K132" s="83">
        <v>1.27721E-2</v>
      </c>
      <c r="L132" s="83">
        <v>1.0520600000000001E-3</v>
      </c>
      <c r="M132" s="83">
        <v>1.2249899999999999E-2</v>
      </c>
      <c r="N132" s="83">
        <v>1.33043E-2</v>
      </c>
      <c r="O132" s="83">
        <v>1.04353E-3</v>
      </c>
      <c r="P132" s="83">
        <v>1.2249899999999999E-2</v>
      </c>
      <c r="Q132" s="83">
        <v>1.33133E-2</v>
      </c>
      <c r="R132" s="83">
        <v>1.0668299999999999E-3</v>
      </c>
      <c r="S132" s="83">
        <v>1.2249899999999999E-2</v>
      </c>
      <c r="T132" s="83">
        <v>1.22691E-2</v>
      </c>
      <c r="U132" s="83">
        <v>1.1052E-3</v>
      </c>
      <c r="V132" s="83">
        <v>1.2249899999999999E-2</v>
      </c>
      <c r="W132" s="83">
        <v>1.24788E-2</v>
      </c>
      <c r="X132" s="83">
        <v>1.08764E-3</v>
      </c>
      <c r="Y132" s="83">
        <v>1.2249899999999999E-2</v>
      </c>
      <c r="Z132" s="83">
        <v>1.20804E-2</v>
      </c>
      <c r="AA132" s="83">
        <v>1.0774599999999999E-3</v>
      </c>
      <c r="AB132" s="83">
        <v>1.2249899999999999E-2</v>
      </c>
      <c r="AC132" s="83">
        <v>1.13712E-2</v>
      </c>
      <c r="AD132" s="83">
        <v>1.04407E-3</v>
      </c>
      <c r="AE132" s="83">
        <v>1.2249899999999999E-2</v>
      </c>
      <c r="AF132" s="83">
        <v>1.11553E-2</v>
      </c>
      <c r="AG132" s="83">
        <v>1.08789E-3</v>
      </c>
      <c r="AH132" s="83">
        <v>1.2249899999999999E-2</v>
      </c>
      <c r="AI132" s="83">
        <v>1.0279099999999999E-2</v>
      </c>
      <c r="AJ132" s="83">
        <v>1.1010799999999999E-3</v>
      </c>
      <c r="AK132" s="83">
        <v>1.2249899999999999E-2</v>
      </c>
      <c r="AL132" s="83">
        <v>1.0271799999999999E-2</v>
      </c>
      <c r="AM132" s="83">
        <v>1.0766700000000001E-3</v>
      </c>
      <c r="AN132" s="83">
        <v>1.2249899999999999E-2</v>
      </c>
      <c r="AO132" s="83">
        <v>9.9591999999999997E-3</v>
      </c>
      <c r="AP132" s="83">
        <v>1.0938E-3</v>
      </c>
      <c r="AQ132" s="83">
        <v>1.2249899999999999E-2</v>
      </c>
      <c r="AR132" s="83">
        <v>8.9759200000000001E-3</v>
      </c>
      <c r="AS132" s="83">
        <v>1.0830600000000001E-3</v>
      </c>
      <c r="AT132" s="83">
        <v>1.2249899999999999E-2</v>
      </c>
      <c r="AU132" s="83">
        <v>8.6788300000000002E-3</v>
      </c>
      <c r="AV132" s="83">
        <v>1.06953E-3</v>
      </c>
      <c r="AW132" s="83">
        <v>1.2249899999999999E-2</v>
      </c>
      <c r="AX132" s="83">
        <v>8.6920299999999999E-3</v>
      </c>
      <c r="AY132" s="83">
        <v>1.1035800000000001E-3</v>
      </c>
      <c r="AZ132" s="83">
        <v>1.2249899999999999E-2</v>
      </c>
      <c r="BA132" s="83">
        <v>8.4772600000000004E-3</v>
      </c>
      <c r="BB132" s="83">
        <v>1.1008599999999999E-3</v>
      </c>
      <c r="BC132" s="83">
        <v>1.2249899999999999E-2</v>
      </c>
      <c r="BD132" s="83">
        <v>8.0138999999999991E-3</v>
      </c>
      <c r="BE132" s="83">
        <v>1.1075E-3</v>
      </c>
      <c r="BF132" s="83">
        <v>1.2249899999999999E-2</v>
      </c>
      <c r="BG132" s="83">
        <v>7.4983300000000001E-3</v>
      </c>
      <c r="BH132" s="83">
        <v>1.10946E-3</v>
      </c>
      <c r="BI132" s="83">
        <v>1.2249899999999999E-2</v>
      </c>
      <c r="BJ132" s="83">
        <v>6.3086100000000001E-3</v>
      </c>
      <c r="BK132" s="83">
        <v>1.0969199999999999E-3</v>
      </c>
      <c r="BL132" s="83">
        <v>1.2249899999999999E-2</v>
      </c>
      <c r="BM132" s="83">
        <v>5.9187199999999997E-3</v>
      </c>
      <c r="BN132" s="83">
        <v>1.0864099999999999E-3</v>
      </c>
      <c r="BO132" s="83">
        <v>1.2249899999999999E-2</v>
      </c>
      <c r="BP132" s="83">
        <v>6.0136599999999997E-3</v>
      </c>
      <c r="BQ132" s="83">
        <v>1.08047E-3</v>
      </c>
      <c r="BR132" s="83">
        <v>1.2249899999999999E-2</v>
      </c>
      <c r="BS132" s="83">
        <v>5.1010999999999999E-3</v>
      </c>
      <c r="BT132" s="83">
        <v>1.1034300000000001E-3</v>
      </c>
      <c r="BU132" s="83">
        <v>1.2249899999999999E-2</v>
      </c>
      <c r="BV132" s="83">
        <v>4.2876600000000004E-3</v>
      </c>
      <c r="BW132" s="83">
        <v>1.11703E-3</v>
      </c>
      <c r="BX132" s="83">
        <v>1.2249899999999999E-2</v>
      </c>
      <c r="BY132" s="83">
        <v>4.3301199999999998E-3</v>
      </c>
      <c r="BZ132" s="83">
        <v>1.0718399999999999E-3</v>
      </c>
      <c r="CA132" s="83">
        <v>1.2249899999999999E-2</v>
      </c>
      <c r="CB132" s="83">
        <v>4.1543999999999999E-3</v>
      </c>
      <c r="CC132" s="83">
        <v>1.1130700000000001E-3</v>
      </c>
      <c r="CD132" s="83">
        <v>1.2249899999999999E-2</v>
      </c>
      <c r="CE132" s="83">
        <v>2.7392300000000001E-3</v>
      </c>
      <c r="CF132" s="83">
        <v>1.0313200000000001E-3</v>
      </c>
      <c r="CG132" s="83">
        <v>1.2249899999999999E-2</v>
      </c>
      <c r="CH132" s="83">
        <v>3.1401300000000001E-3</v>
      </c>
      <c r="CI132" s="83">
        <v>1.06737E-3</v>
      </c>
      <c r="CJ132" s="83">
        <v>1.2249899999999999E-2</v>
      </c>
      <c r="CK132" s="83">
        <v>3.2043100000000001E-3</v>
      </c>
      <c r="CL132" s="83">
        <v>1.0658200000000001E-3</v>
      </c>
      <c r="CM132" s="83">
        <v>1.2249899999999999E-2</v>
      </c>
      <c r="CN132" s="83">
        <v>2.6411899999999999E-3</v>
      </c>
      <c r="CO132" s="83">
        <v>1.0909800000000001E-3</v>
      </c>
      <c r="CP132" s="83">
        <v>1.2249899999999999E-2</v>
      </c>
      <c r="CQ132" s="83">
        <v>1.4557800000000001E-3</v>
      </c>
      <c r="CR132" s="83">
        <v>1.0598199999999999E-3</v>
      </c>
      <c r="CS132" s="83">
        <v>1.2249899999999999E-2</v>
      </c>
      <c r="CT132" s="83">
        <v>1.9857299999999998E-3</v>
      </c>
      <c r="CU132" s="83">
        <v>1.05605E-3</v>
      </c>
      <c r="CV132" s="83">
        <v>1.2249899999999999E-2</v>
      </c>
      <c r="CW132" s="83">
        <v>1.47496E-3</v>
      </c>
      <c r="CX132" s="83">
        <v>1.0557400000000001E-3</v>
      </c>
    </row>
    <row r="133" spans="1:102" x14ac:dyDescent="0.2">
      <c r="A133" s="83">
        <v>1.23499E-2</v>
      </c>
      <c r="B133" s="83">
        <v>1.09149E-2</v>
      </c>
      <c r="C133" s="83">
        <v>9.7473199999999996E-4</v>
      </c>
      <c r="D133" s="83">
        <v>1.23499E-2</v>
      </c>
      <c r="E133" s="83">
        <v>1.1341E-2</v>
      </c>
      <c r="F133" s="83">
        <v>9.8915200000000009E-4</v>
      </c>
      <c r="G133" s="83">
        <v>1.23499E-2</v>
      </c>
      <c r="H133" s="83">
        <v>1.1956100000000001E-2</v>
      </c>
      <c r="I133" s="83">
        <v>9.9175900000000004E-4</v>
      </c>
      <c r="J133" s="83">
        <v>1.23499E-2</v>
      </c>
      <c r="K133" s="83">
        <v>1.19518E-2</v>
      </c>
      <c r="L133" s="83">
        <v>9.7881500000000007E-4</v>
      </c>
      <c r="M133" s="83">
        <v>1.23499E-2</v>
      </c>
      <c r="N133" s="83">
        <v>1.2220399999999999E-2</v>
      </c>
      <c r="O133" s="83">
        <v>9.8786899999999994E-4</v>
      </c>
      <c r="P133" s="83">
        <v>1.23499E-2</v>
      </c>
      <c r="Q133" s="83">
        <v>1.20926E-2</v>
      </c>
      <c r="R133" s="83">
        <v>9.7893799999999994E-4</v>
      </c>
      <c r="S133" s="83">
        <v>1.23499E-2</v>
      </c>
      <c r="T133" s="83">
        <v>1.14927E-2</v>
      </c>
      <c r="U133" s="83">
        <v>1.0134E-3</v>
      </c>
      <c r="V133" s="83">
        <v>1.23499E-2</v>
      </c>
      <c r="W133" s="83">
        <v>1.16731E-2</v>
      </c>
      <c r="X133" s="83">
        <v>9.9780000000000008E-4</v>
      </c>
      <c r="Y133" s="83">
        <v>1.23499E-2</v>
      </c>
      <c r="Z133" s="83">
        <v>1.1162399999999999E-2</v>
      </c>
      <c r="AA133" s="83">
        <v>1.0032400000000001E-3</v>
      </c>
      <c r="AB133" s="83">
        <v>1.23499E-2</v>
      </c>
      <c r="AC133" s="83">
        <v>1.0555699999999999E-2</v>
      </c>
      <c r="AD133" s="83">
        <v>1.0108700000000001E-3</v>
      </c>
      <c r="AE133" s="83">
        <v>1.23499E-2</v>
      </c>
      <c r="AF133" s="83">
        <v>1.09307E-2</v>
      </c>
      <c r="AG133" s="83">
        <v>1.02148E-3</v>
      </c>
      <c r="AH133" s="83">
        <v>1.23499E-2</v>
      </c>
      <c r="AI133" s="83">
        <v>9.63462E-3</v>
      </c>
      <c r="AJ133" s="83">
        <v>1.02783E-3</v>
      </c>
      <c r="AK133" s="83">
        <v>1.23499E-2</v>
      </c>
      <c r="AL133" s="83">
        <v>9.1926600000000001E-3</v>
      </c>
      <c r="AM133" s="83">
        <v>1.0043999999999999E-3</v>
      </c>
      <c r="AN133" s="83">
        <v>1.23499E-2</v>
      </c>
      <c r="AO133" s="83">
        <v>8.3332200000000006E-3</v>
      </c>
      <c r="AP133" s="83">
        <v>1.0352099999999999E-3</v>
      </c>
      <c r="AQ133" s="83">
        <v>1.23499E-2</v>
      </c>
      <c r="AR133" s="83">
        <v>8.2776800000000008E-3</v>
      </c>
      <c r="AS133" s="83">
        <v>1.0147000000000001E-3</v>
      </c>
      <c r="AT133" s="83">
        <v>1.23499E-2</v>
      </c>
      <c r="AU133" s="83">
        <v>8.1661300000000006E-3</v>
      </c>
      <c r="AV133" s="83">
        <v>9.8652399999999991E-4</v>
      </c>
      <c r="AW133" s="83">
        <v>1.23499E-2</v>
      </c>
      <c r="AX133" s="83">
        <v>8.3355800000000004E-3</v>
      </c>
      <c r="AY133" s="83">
        <v>1.0205699999999999E-3</v>
      </c>
      <c r="AZ133" s="83">
        <v>1.23499E-2</v>
      </c>
      <c r="BA133" s="83">
        <v>8.0573299999999997E-3</v>
      </c>
      <c r="BB133" s="83">
        <v>1.0325E-3</v>
      </c>
      <c r="BC133" s="83">
        <v>1.23499E-2</v>
      </c>
      <c r="BD133" s="83">
        <v>7.0226899999999998E-3</v>
      </c>
      <c r="BE133" s="83">
        <v>1.0401099999999999E-3</v>
      </c>
      <c r="BF133" s="83">
        <v>1.23499E-2</v>
      </c>
      <c r="BG133" s="83">
        <v>6.80008E-3</v>
      </c>
      <c r="BH133" s="83">
        <v>1.04403E-3</v>
      </c>
      <c r="BI133" s="83">
        <v>1.23499E-2</v>
      </c>
      <c r="BJ133" s="83">
        <v>6.084E-3</v>
      </c>
      <c r="BK133" s="83">
        <v>1.0129399999999999E-3</v>
      </c>
      <c r="BL133" s="83">
        <v>1.23499E-2</v>
      </c>
      <c r="BM133" s="83">
        <v>5.6501600000000004E-3</v>
      </c>
      <c r="BN133" s="83">
        <v>9.9266200000000006E-4</v>
      </c>
      <c r="BO133" s="83">
        <v>1.23499E-2</v>
      </c>
      <c r="BP133" s="83">
        <v>5.1494000000000002E-3</v>
      </c>
      <c r="BQ133" s="83">
        <v>1.0130899999999999E-3</v>
      </c>
      <c r="BR133" s="83">
        <v>1.23499E-2</v>
      </c>
      <c r="BS133" s="83">
        <v>4.6079399999999996E-3</v>
      </c>
      <c r="BT133" s="83">
        <v>1.02921E-3</v>
      </c>
      <c r="BU133" s="83">
        <v>1.23499E-2</v>
      </c>
      <c r="BV133" s="83">
        <v>3.8823899999999999E-3</v>
      </c>
      <c r="BW133" s="83">
        <v>1.0682000000000001E-3</v>
      </c>
      <c r="BX133" s="83">
        <v>1.23499E-2</v>
      </c>
      <c r="BY133" s="83">
        <v>4.0957500000000004E-3</v>
      </c>
      <c r="BZ133" s="83">
        <v>1.00055E-3</v>
      </c>
      <c r="CA133" s="83">
        <v>1.23499E-2</v>
      </c>
      <c r="CB133" s="83">
        <v>3.5977600000000002E-3</v>
      </c>
      <c r="CC133" s="83">
        <v>1.03787E-3</v>
      </c>
      <c r="CD133" s="83">
        <v>1.23499E-2</v>
      </c>
      <c r="CE133" s="83">
        <v>2.51462E-3</v>
      </c>
      <c r="CF133" s="83">
        <v>9.9812100000000003E-4</v>
      </c>
      <c r="CG133" s="83">
        <v>1.23499E-2</v>
      </c>
      <c r="CH133" s="83">
        <v>3.0864199999999999E-3</v>
      </c>
      <c r="CI133" s="83">
        <v>9.9998600000000002E-4</v>
      </c>
      <c r="CJ133" s="83">
        <v>1.23499E-2</v>
      </c>
      <c r="CK133" s="83">
        <v>3.4045E-3</v>
      </c>
      <c r="CL133" s="83">
        <v>9.9452700000000004E-4</v>
      </c>
      <c r="CM133" s="83">
        <v>1.23499E-2</v>
      </c>
      <c r="CN133" s="83">
        <v>2.5288899999999998E-3</v>
      </c>
      <c r="CO133" s="83">
        <v>1.0108999999999999E-3</v>
      </c>
      <c r="CP133" s="83">
        <v>1.23499E-2</v>
      </c>
      <c r="CQ133" s="83">
        <v>1.79758E-3</v>
      </c>
      <c r="CR133" s="83">
        <v>1.01001E-3</v>
      </c>
      <c r="CS133" s="83">
        <v>1.23499E-2</v>
      </c>
      <c r="CT133" s="83">
        <v>1.64393E-3</v>
      </c>
      <c r="CU133" s="83">
        <v>9.7402000000000003E-4</v>
      </c>
      <c r="CV133" s="83">
        <v>1.23499E-2</v>
      </c>
      <c r="CW133" s="83">
        <v>1.17223E-3</v>
      </c>
      <c r="CX133" s="83">
        <v>1.0020300000000001E-3</v>
      </c>
    </row>
    <row r="134" spans="1:102" x14ac:dyDescent="0.2">
      <c r="A134" s="83">
        <v>1.24499E-2</v>
      </c>
      <c r="B134" s="83">
        <v>1.0304499999999999E-2</v>
      </c>
      <c r="C134" s="83">
        <v>8.96607E-4</v>
      </c>
      <c r="D134" s="83">
        <v>1.24499E-2</v>
      </c>
      <c r="E134" s="83">
        <v>1.08918E-2</v>
      </c>
      <c r="F134" s="83">
        <v>9.2372199999999998E-4</v>
      </c>
      <c r="G134" s="83">
        <v>1.24499E-2</v>
      </c>
      <c r="H134" s="83">
        <v>1.12286E-2</v>
      </c>
      <c r="I134" s="83">
        <v>9.4195399999999995E-4</v>
      </c>
      <c r="J134" s="83">
        <v>1.24499E-2</v>
      </c>
      <c r="K134" s="83">
        <v>1.05895E-2</v>
      </c>
      <c r="L134" s="83">
        <v>9.1240799999999997E-4</v>
      </c>
      <c r="M134" s="83">
        <v>1.24499E-2</v>
      </c>
      <c r="N134" s="83">
        <v>1.0960599999999999E-2</v>
      </c>
      <c r="O134" s="83">
        <v>9.1169700000000005E-4</v>
      </c>
      <c r="P134" s="83">
        <v>1.24499E-2</v>
      </c>
      <c r="Q134" s="83">
        <v>1.1052599999999999E-2</v>
      </c>
      <c r="R134" s="83">
        <v>8.9592999999999997E-4</v>
      </c>
      <c r="S134" s="83">
        <v>1.24499E-2</v>
      </c>
      <c r="T134" s="83">
        <v>1.0950700000000001E-2</v>
      </c>
      <c r="U134" s="83">
        <v>9.5187699999999995E-4</v>
      </c>
      <c r="V134" s="83">
        <v>1.24499E-2</v>
      </c>
      <c r="W134" s="83">
        <v>1.0711200000000001E-2</v>
      </c>
      <c r="X134" s="83">
        <v>9.6850300000000001E-4</v>
      </c>
      <c r="Y134" s="83">
        <v>1.24499E-2</v>
      </c>
      <c r="Z134" s="83">
        <v>1.09427E-2</v>
      </c>
      <c r="AA134" s="83">
        <v>9.4269799999999995E-4</v>
      </c>
      <c r="AB134" s="83">
        <v>1.24499E-2</v>
      </c>
      <c r="AC134" s="83">
        <v>9.5400999999999993E-3</v>
      </c>
      <c r="AD134" s="83">
        <v>9.4641400000000002E-4</v>
      </c>
      <c r="AE134" s="83">
        <v>1.24499E-2</v>
      </c>
      <c r="AF134" s="83">
        <v>9.8857800000000003E-3</v>
      </c>
      <c r="AG134" s="83">
        <v>9.4335700000000003E-4</v>
      </c>
      <c r="AH134" s="83">
        <v>1.24499E-2</v>
      </c>
      <c r="AI134" s="83">
        <v>9.2439900000000005E-3</v>
      </c>
      <c r="AJ134" s="83">
        <v>9.59475E-4</v>
      </c>
      <c r="AK134" s="83">
        <v>1.24499E-2</v>
      </c>
      <c r="AL134" s="83">
        <v>8.6164899999999992E-3</v>
      </c>
      <c r="AM134" s="83">
        <v>9.5069000000000002E-4</v>
      </c>
      <c r="AN134" s="83">
        <v>1.24499E-2</v>
      </c>
      <c r="AO134" s="83">
        <v>8.0744300000000005E-3</v>
      </c>
      <c r="AP134" s="83">
        <v>9.67828E-4</v>
      </c>
      <c r="AQ134" s="83">
        <v>1.24499E-2</v>
      </c>
      <c r="AR134" s="83">
        <v>7.8089300000000004E-3</v>
      </c>
      <c r="AS134" s="83">
        <v>9.4048000000000005E-4</v>
      </c>
      <c r="AT134" s="83">
        <v>1.24499E-2</v>
      </c>
      <c r="AU134" s="83">
        <v>7.7364399999999998E-3</v>
      </c>
      <c r="AV134" s="83">
        <v>9.2597800000000004E-4</v>
      </c>
      <c r="AW134" s="83">
        <v>1.24499E-2</v>
      </c>
      <c r="AX134" s="83">
        <v>7.7008099999999998E-3</v>
      </c>
      <c r="AY134" s="83">
        <v>9.6100199999999997E-4</v>
      </c>
      <c r="AZ134" s="83">
        <v>1.24499E-2</v>
      </c>
      <c r="BA134" s="83">
        <v>7.4225699999999999E-3</v>
      </c>
      <c r="BB134" s="83">
        <v>9.6121200000000003E-4</v>
      </c>
      <c r="BC134" s="83">
        <v>1.24499E-2</v>
      </c>
      <c r="BD134" s="83">
        <v>6.4611699999999996E-3</v>
      </c>
      <c r="BE134" s="83">
        <v>9.785900000000001E-4</v>
      </c>
      <c r="BF134" s="83">
        <v>1.24499E-2</v>
      </c>
      <c r="BG134" s="83">
        <v>6.2434400000000003E-3</v>
      </c>
      <c r="BH134" s="83">
        <v>9.7469799999999997E-4</v>
      </c>
      <c r="BI134" s="83">
        <v>1.24499E-2</v>
      </c>
      <c r="BJ134" s="83">
        <v>5.6543100000000001E-3</v>
      </c>
      <c r="BK134" s="83">
        <v>9.4360500000000003E-4</v>
      </c>
      <c r="BL134" s="83">
        <v>1.24499E-2</v>
      </c>
      <c r="BM134" s="83">
        <v>5.0691099999999999E-3</v>
      </c>
      <c r="BN134" s="83">
        <v>9.0770100000000002E-4</v>
      </c>
      <c r="BO134" s="83">
        <v>1.24499E-2</v>
      </c>
      <c r="BP134" s="83">
        <v>4.73436E-3</v>
      </c>
      <c r="BQ134" s="83">
        <v>9.2227200000000002E-4</v>
      </c>
      <c r="BR134" s="83">
        <v>1.24499E-2</v>
      </c>
      <c r="BS134" s="83">
        <v>4.4809799999999999E-3</v>
      </c>
      <c r="BT134" s="83">
        <v>9.5987899999999996E-4</v>
      </c>
      <c r="BU134" s="83">
        <v>1.24499E-2</v>
      </c>
      <c r="BV134" s="83">
        <v>3.59918E-3</v>
      </c>
      <c r="BW134" s="83">
        <v>9.7152000000000002E-4</v>
      </c>
      <c r="BX134" s="83">
        <v>1.24499E-2</v>
      </c>
      <c r="BY134" s="83">
        <v>3.6855899999999999E-3</v>
      </c>
      <c r="BZ134" s="83">
        <v>9.2730600000000003E-4</v>
      </c>
      <c r="CA134" s="83">
        <v>1.24499E-2</v>
      </c>
      <c r="CB134" s="83">
        <v>2.9092800000000002E-3</v>
      </c>
      <c r="CC134" s="83">
        <v>9.9099699999999997E-4</v>
      </c>
      <c r="CD134" s="83">
        <v>1.24499E-2</v>
      </c>
      <c r="CE134" s="83">
        <v>2.4364999999999999E-3</v>
      </c>
      <c r="CF134" s="83">
        <v>9.1901999999999999E-4</v>
      </c>
      <c r="CG134" s="83">
        <v>1.24499E-2</v>
      </c>
      <c r="CH134" s="83">
        <v>2.7983299999999999E-3</v>
      </c>
      <c r="CI134" s="83">
        <v>9.3260399999999996E-4</v>
      </c>
      <c r="CJ134" s="83">
        <v>1.24499E-2</v>
      </c>
      <c r="CK134" s="83">
        <v>2.6672000000000002E-3</v>
      </c>
      <c r="CL134" s="83">
        <v>9.3886299999999996E-4</v>
      </c>
      <c r="CM134" s="83">
        <v>1.24499E-2</v>
      </c>
      <c r="CN134" s="83">
        <v>2.2407999999999998E-3</v>
      </c>
      <c r="CO134" s="83">
        <v>9.4156399999999999E-4</v>
      </c>
      <c r="CP134" s="83">
        <v>1.24499E-2</v>
      </c>
      <c r="CQ134" s="83">
        <v>1.48996E-3</v>
      </c>
      <c r="CR134" s="83">
        <v>9.4262800000000004E-4</v>
      </c>
      <c r="CS134" s="83">
        <v>1.24499E-2</v>
      </c>
      <c r="CT134" s="83">
        <v>1.3119E-3</v>
      </c>
      <c r="CU134" s="83">
        <v>9.1347300000000004E-4</v>
      </c>
      <c r="CV134" s="83">
        <v>1.24499E-2</v>
      </c>
      <c r="CW134" s="83">
        <v>1.2357100000000001E-3</v>
      </c>
      <c r="CX134" s="83">
        <v>8.9461E-4</v>
      </c>
    </row>
    <row r="135" spans="1:102" x14ac:dyDescent="0.2">
      <c r="A135" s="83" t="s">
        <v>57</v>
      </c>
      <c r="B135" s="83" t="s">
        <v>131</v>
      </c>
      <c r="D135" s="83" t="s">
        <v>57</v>
      </c>
      <c r="E135" s="83" t="s">
        <v>131</v>
      </c>
      <c r="G135" s="83" t="s">
        <v>57</v>
      </c>
      <c r="H135" s="83" t="s">
        <v>131</v>
      </c>
      <c r="J135" s="83" t="s">
        <v>57</v>
      </c>
      <c r="K135" s="83" t="s">
        <v>131</v>
      </c>
      <c r="M135" s="83" t="s">
        <v>57</v>
      </c>
      <c r="N135" s="83" t="s">
        <v>131</v>
      </c>
      <c r="P135" s="83" t="s">
        <v>57</v>
      </c>
      <c r="Q135" s="83" t="s">
        <v>131</v>
      </c>
      <c r="S135" s="83" t="s">
        <v>57</v>
      </c>
      <c r="T135" s="83" t="s">
        <v>131</v>
      </c>
      <c r="V135" s="83" t="s">
        <v>57</v>
      </c>
      <c r="W135" s="83" t="s">
        <v>131</v>
      </c>
      <c r="Y135" s="83" t="s">
        <v>57</v>
      </c>
      <c r="Z135" s="83" t="s">
        <v>131</v>
      </c>
      <c r="AB135" s="83" t="s">
        <v>57</v>
      </c>
      <c r="AC135" s="83" t="s">
        <v>131</v>
      </c>
      <c r="AE135" s="83" t="s">
        <v>57</v>
      </c>
      <c r="AF135" s="83" t="s">
        <v>131</v>
      </c>
      <c r="AH135" s="83" t="s">
        <v>57</v>
      </c>
      <c r="AI135" s="83" t="s">
        <v>131</v>
      </c>
      <c r="AK135" s="83" t="s">
        <v>57</v>
      </c>
      <c r="AL135" s="83" t="s">
        <v>131</v>
      </c>
      <c r="AN135" s="83" t="s">
        <v>57</v>
      </c>
      <c r="AO135" s="83" t="s">
        <v>131</v>
      </c>
      <c r="AQ135" s="83" t="s">
        <v>57</v>
      </c>
      <c r="AR135" s="83" t="s">
        <v>131</v>
      </c>
      <c r="AT135" s="83" t="s">
        <v>57</v>
      </c>
      <c r="AU135" s="83" t="s">
        <v>131</v>
      </c>
      <c r="AW135" s="83" t="s">
        <v>57</v>
      </c>
      <c r="AX135" s="83" t="s">
        <v>131</v>
      </c>
      <c r="AZ135" s="83" t="s">
        <v>57</v>
      </c>
      <c r="BA135" s="83" t="s">
        <v>131</v>
      </c>
      <c r="BC135" s="83" t="s">
        <v>57</v>
      </c>
      <c r="BD135" s="83" t="s">
        <v>131</v>
      </c>
      <c r="BF135" s="83" t="s">
        <v>57</v>
      </c>
      <c r="BG135" s="83" t="s">
        <v>131</v>
      </c>
      <c r="BI135" s="83" t="s">
        <v>57</v>
      </c>
      <c r="BJ135" s="83" t="s">
        <v>131</v>
      </c>
      <c r="BL135" s="83" t="s">
        <v>57</v>
      </c>
      <c r="BM135" s="83" t="s">
        <v>131</v>
      </c>
      <c r="BO135" s="83" t="s">
        <v>57</v>
      </c>
      <c r="BP135" s="83" t="s">
        <v>131</v>
      </c>
      <c r="BR135" s="83" t="s">
        <v>57</v>
      </c>
      <c r="BS135" s="83" t="s">
        <v>131</v>
      </c>
      <c r="BU135" s="83" t="s">
        <v>57</v>
      </c>
      <c r="BV135" s="83" t="s">
        <v>131</v>
      </c>
      <c r="BX135" s="83" t="s">
        <v>57</v>
      </c>
      <c r="BY135" s="83" t="s">
        <v>131</v>
      </c>
      <c r="CA135" s="83" t="s">
        <v>57</v>
      </c>
      <c r="CB135" s="83" t="s">
        <v>131</v>
      </c>
      <c r="CD135" s="83" t="s">
        <v>57</v>
      </c>
      <c r="CE135" s="83" t="s">
        <v>131</v>
      </c>
      <c r="CG135" s="83" t="s">
        <v>57</v>
      </c>
      <c r="CH135" s="83" t="s">
        <v>131</v>
      </c>
      <c r="CJ135" s="83" t="s">
        <v>57</v>
      </c>
      <c r="CK135" s="83" t="s">
        <v>131</v>
      </c>
      <c r="CM135" s="83" t="s">
        <v>57</v>
      </c>
      <c r="CN135" s="83" t="s">
        <v>131</v>
      </c>
      <c r="CP135" s="83" t="s">
        <v>57</v>
      </c>
      <c r="CQ135" s="83" t="s">
        <v>131</v>
      </c>
      <c r="CS135" s="83" t="s">
        <v>57</v>
      </c>
      <c r="CT135" s="83" t="s">
        <v>131</v>
      </c>
      <c r="CV135" s="83" t="s">
        <v>57</v>
      </c>
      <c r="CW135" s="83" t="s">
        <v>131</v>
      </c>
    </row>
    <row r="137" spans="1:102" x14ac:dyDescent="0.2">
      <c r="A137" s="83" t="s">
        <v>80</v>
      </c>
      <c r="B137" s="83" t="s">
        <v>132</v>
      </c>
      <c r="D137" s="83" t="s">
        <v>80</v>
      </c>
      <c r="E137" s="83" t="s">
        <v>132</v>
      </c>
      <c r="G137" s="83" t="s">
        <v>80</v>
      </c>
      <c r="H137" s="83" t="s">
        <v>132</v>
      </c>
      <c r="J137" s="83" t="s">
        <v>80</v>
      </c>
      <c r="K137" s="83" t="s">
        <v>132</v>
      </c>
      <c r="M137" s="83" t="s">
        <v>80</v>
      </c>
      <c r="N137" s="83" t="s">
        <v>132</v>
      </c>
      <c r="P137" s="83" t="s">
        <v>80</v>
      </c>
      <c r="Q137" s="83" t="s">
        <v>132</v>
      </c>
      <c r="S137" s="83" t="s">
        <v>80</v>
      </c>
      <c r="T137" s="83" t="s">
        <v>132</v>
      </c>
      <c r="V137" s="83" t="s">
        <v>80</v>
      </c>
      <c r="W137" s="83" t="s">
        <v>132</v>
      </c>
      <c r="Y137" s="83" t="s">
        <v>80</v>
      </c>
      <c r="Z137" s="83" t="s">
        <v>132</v>
      </c>
      <c r="AB137" s="83" t="s">
        <v>80</v>
      </c>
      <c r="AC137" s="83" t="s">
        <v>132</v>
      </c>
      <c r="AE137" s="83" t="s">
        <v>80</v>
      </c>
      <c r="AF137" s="83" t="s">
        <v>132</v>
      </c>
      <c r="AH137" s="83" t="s">
        <v>80</v>
      </c>
      <c r="AI137" s="83" t="s">
        <v>132</v>
      </c>
      <c r="AK137" s="83" t="s">
        <v>80</v>
      </c>
      <c r="AL137" s="83" t="s">
        <v>132</v>
      </c>
      <c r="AN137" s="83" t="s">
        <v>80</v>
      </c>
      <c r="AO137" s="83" t="s">
        <v>132</v>
      </c>
      <c r="AQ137" s="83" t="s">
        <v>80</v>
      </c>
      <c r="AR137" s="83" t="s">
        <v>132</v>
      </c>
      <c r="AT137" s="83" t="s">
        <v>80</v>
      </c>
      <c r="AU137" s="83" t="s">
        <v>132</v>
      </c>
      <c r="AW137" s="83" t="s">
        <v>80</v>
      </c>
      <c r="AX137" s="83" t="s">
        <v>132</v>
      </c>
      <c r="AZ137" s="83" t="s">
        <v>80</v>
      </c>
      <c r="BA137" s="83" t="s">
        <v>132</v>
      </c>
      <c r="BC137" s="83" t="s">
        <v>80</v>
      </c>
      <c r="BD137" s="83" t="s">
        <v>132</v>
      </c>
      <c r="BF137" s="83" t="s">
        <v>80</v>
      </c>
      <c r="BG137" s="83" t="s">
        <v>132</v>
      </c>
      <c r="BI137" s="83" t="s">
        <v>80</v>
      </c>
      <c r="BJ137" s="83" t="s">
        <v>132</v>
      </c>
      <c r="BL137" s="83" t="s">
        <v>80</v>
      </c>
      <c r="BM137" s="83" t="s">
        <v>132</v>
      </c>
      <c r="BO137" s="83" t="s">
        <v>80</v>
      </c>
      <c r="BP137" s="83" t="s">
        <v>132</v>
      </c>
      <c r="BR137" s="83" t="s">
        <v>80</v>
      </c>
      <c r="BS137" s="83" t="s">
        <v>132</v>
      </c>
      <c r="BU137" s="83" t="s">
        <v>80</v>
      </c>
      <c r="BV137" s="83" t="s">
        <v>132</v>
      </c>
      <c r="BX137" s="83" t="s">
        <v>80</v>
      </c>
      <c r="BY137" s="83" t="s">
        <v>132</v>
      </c>
      <c r="CA137" s="83" t="s">
        <v>80</v>
      </c>
      <c r="CB137" s="83" t="s">
        <v>132</v>
      </c>
      <c r="CD137" s="83" t="s">
        <v>80</v>
      </c>
      <c r="CE137" s="83" t="s">
        <v>132</v>
      </c>
      <c r="CG137" s="83" t="s">
        <v>80</v>
      </c>
      <c r="CH137" s="83" t="s">
        <v>132</v>
      </c>
      <c r="CJ137" s="83" t="s">
        <v>80</v>
      </c>
      <c r="CK137" s="83" t="s">
        <v>132</v>
      </c>
      <c r="CM137" s="83" t="s">
        <v>80</v>
      </c>
      <c r="CN137" s="83" t="s">
        <v>132</v>
      </c>
      <c r="CP137" s="83" t="s">
        <v>80</v>
      </c>
      <c r="CQ137" s="83" t="s">
        <v>132</v>
      </c>
      <c r="CS137" s="83" t="s">
        <v>80</v>
      </c>
      <c r="CT137" s="83" t="s">
        <v>132</v>
      </c>
      <c r="CV137" s="83" t="s">
        <v>80</v>
      </c>
      <c r="CW137" s="83" t="s">
        <v>132</v>
      </c>
    </row>
    <row r="139" spans="1:102" x14ac:dyDescent="0.2">
      <c r="A139" s="83" t="s">
        <v>69</v>
      </c>
      <c r="B139" s="83">
        <v>5</v>
      </c>
      <c r="D139" s="83" t="s">
        <v>69</v>
      </c>
      <c r="E139" s="83">
        <v>5</v>
      </c>
      <c r="G139" s="83" t="s">
        <v>69</v>
      </c>
      <c r="H139" s="83">
        <v>5</v>
      </c>
      <c r="J139" s="83" t="s">
        <v>69</v>
      </c>
      <c r="K139" s="83">
        <v>5</v>
      </c>
      <c r="M139" s="83" t="s">
        <v>69</v>
      </c>
      <c r="N139" s="83">
        <v>5</v>
      </c>
      <c r="P139" s="83" t="s">
        <v>69</v>
      </c>
      <c r="Q139" s="83">
        <v>5</v>
      </c>
      <c r="S139" s="83" t="s">
        <v>69</v>
      </c>
      <c r="T139" s="83">
        <v>5</v>
      </c>
      <c r="V139" s="83" t="s">
        <v>69</v>
      </c>
      <c r="W139" s="83">
        <v>5</v>
      </c>
      <c r="Y139" s="83" t="s">
        <v>69</v>
      </c>
      <c r="Z139" s="83">
        <v>5</v>
      </c>
      <c r="AB139" s="83" t="s">
        <v>69</v>
      </c>
      <c r="AC139" s="83">
        <v>5</v>
      </c>
      <c r="AE139" s="83" t="s">
        <v>69</v>
      </c>
      <c r="AF139" s="83">
        <v>5</v>
      </c>
      <c r="AH139" s="83" t="s">
        <v>69</v>
      </c>
      <c r="AI139" s="83">
        <v>5</v>
      </c>
      <c r="AK139" s="83" t="s">
        <v>69</v>
      </c>
      <c r="AL139" s="83">
        <v>5</v>
      </c>
      <c r="AN139" s="83" t="s">
        <v>69</v>
      </c>
      <c r="AO139" s="83">
        <v>5</v>
      </c>
      <c r="AQ139" s="83" t="s">
        <v>69</v>
      </c>
      <c r="AR139" s="83">
        <v>5</v>
      </c>
      <c r="AT139" s="83" t="s">
        <v>69</v>
      </c>
      <c r="AU139" s="83">
        <v>5</v>
      </c>
      <c r="AW139" s="83" t="s">
        <v>69</v>
      </c>
      <c r="AX139" s="83">
        <v>5</v>
      </c>
      <c r="AZ139" s="83" t="s">
        <v>69</v>
      </c>
      <c r="BA139" s="83">
        <v>5</v>
      </c>
      <c r="BC139" s="83" t="s">
        <v>69</v>
      </c>
      <c r="BD139" s="83">
        <v>5</v>
      </c>
      <c r="BF139" s="83" t="s">
        <v>69</v>
      </c>
      <c r="BG139" s="83">
        <v>5</v>
      </c>
      <c r="BI139" s="83" t="s">
        <v>69</v>
      </c>
      <c r="BJ139" s="83">
        <v>5</v>
      </c>
      <c r="BL139" s="83" t="s">
        <v>69</v>
      </c>
      <c r="BM139" s="83">
        <v>5</v>
      </c>
      <c r="BO139" s="83" t="s">
        <v>69</v>
      </c>
      <c r="BP139" s="83">
        <v>5</v>
      </c>
      <c r="BR139" s="83" t="s">
        <v>69</v>
      </c>
      <c r="BS139" s="83">
        <v>5</v>
      </c>
      <c r="BU139" s="83" t="s">
        <v>69</v>
      </c>
      <c r="BV139" s="83">
        <v>5</v>
      </c>
      <c r="BX139" s="83" t="s">
        <v>69</v>
      </c>
      <c r="BY139" s="83">
        <v>5</v>
      </c>
      <c r="CA139" s="83" t="s">
        <v>69</v>
      </c>
      <c r="CB139" s="83">
        <v>5</v>
      </c>
      <c r="CD139" s="83" t="s">
        <v>69</v>
      </c>
      <c r="CE139" s="83">
        <v>5</v>
      </c>
      <c r="CG139" s="83" t="s">
        <v>69</v>
      </c>
      <c r="CH139" s="83">
        <v>5</v>
      </c>
      <c r="CJ139" s="83" t="s">
        <v>69</v>
      </c>
      <c r="CK139" s="83">
        <v>5</v>
      </c>
      <c r="CM139" s="83" t="s">
        <v>69</v>
      </c>
      <c r="CN139" s="83">
        <v>5</v>
      </c>
      <c r="CP139" s="83" t="s">
        <v>69</v>
      </c>
      <c r="CQ139" s="83">
        <v>5</v>
      </c>
      <c r="CS139" s="83" t="s">
        <v>69</v>
      </c>
      <c r="CT139" s="83">
        <v>5</v>
      </c>
      <c r="CV139" s="83" t="s">
        <v>69</v>
      </c>
      <c r="CW139" s="83">
        <v>5</v>
      </c>
    </row>
    <row r="141" spans="1:102" x14ac:dyDescent="0.2">
      <c r="A141" s="83" t="s">
        <v>68</v>
      </c>
      <c r="B141" s="83">
        <v>5</v>
      </c>
      <c r="D141" s="83" t="s">
        <v>68</v>
      </c>
      <c r="E141" s="83">
        <v>5</v>
      </c>
      <c r="G141" s="83" t="s">
        <v>68</v>
      </c>
      <c r="H141" s="83">
        <v>5</v>
      </c>
      <c r="J141" s="83" t="s">
        <v>68</v>
      </c>
      <c r="K141" s="83">
        <v>5</v>
      </c>
      <c r="M141" s="83" t="s">
        <v>68</v>
      </c>
      <c r="N141" s="83">
        <v>5</v>
      </c>
      <c r="P141" s="83" t="s">
        <v>68</v>
      </c>
      <c r="Q141" s="83">
        <v>5</v>
      </c>
      <c r="S141" s="83" t="s">
        <v>68</v>
      </c>
      <c r="T141" s="83">
        <v>5</v>
      </c>
      <c r="V141" s="83" t="s">
        <v>68</v>
      </c>
      <c r="W141" s="83">
        <v>5</v>
      </c>
      <c r="Y141" s="83" t="s">
        <v>68</v>
      </c>
      <c r="Z141" s="83">
        <v>5</v>
      </c>
      <c r="AB141" s="83" t="s">
        <v>68</v>
      </c>
      <c r="AC141" s="83">
        <v>5</v>
      </c>
      <c r="AE141" s="83" t="s">
        <v>68</v>
      </c>
      <c r="AF141" s="83">
        <v>5</v>
      </c>
      <c r="AH141" s="83" t="s">
        <v>68</v>
      </c>
      <c r="AI141" s="83">
        <v>5</v>
      </c>
      <c r="AK141" s="83" t="s">
        <v>68</v>
      </c>
      <c r="AL141" s="83">
        <v>5</v>
      </c>
      <c r="AN141" s="83" t="s">
        <v>68</v>
      </c>
      <c r="AO141" s="83">
        <v>5</v>
      </c>
      <c r="AQ141" s="83" t="s">
        <v>68</v>
      </c>
      <c r="AR141" s="83">
        <v>5</v>
      </c>
      <c r="AT141" s="83" t="s">
        <v>68</v>
      </c>
      <c r="AU141" s="83">
        <v>5</v>
      </c>
      <c r="AW141" s="83" t="s">
        <v>68</v>
      </c>
      <c r="AX141" s="83">
        <v>5</v>
      </c>
      <c r="AZ141" s="83" t="s">
        <v>68</v>
      </c>
      <c r="BA141" s="83">
        <v>5</v>
      </c>
      <c r="BC141" s="83" t="s">
        <v>68</v>
      </c>
      <c r="BD141" s="83">
        <v>5</v>
      </c>
      <c r="BF141" s="83" t="s">
        <v>68</v>
      </c>
      <c r="BG141" s="83">
        <v>5</v>
      </c>
      <c r="BI141" s="83" t="s">
        <v>68</v>
      </c>
      <c r="BJ141" s="83">
        <v>5</v>
      </c>
      <c r="BL141" s="83" t="s">
        <v>68</v>
      </c>
      <c r="BM141" s="83">
        <v>5</v>
      </c>
      <c r="BO141" s="83" t="s">
        <v>68</v>
      </c>
      <c r="BP141" s="83">
        <v>5</v>
      </c>
      <c r="BR141" s="83" t="s">
        <v>68</v>
      </c>
      <c r="BS141" s="83">
        <v>5</v>
      </c>
      <c r="BU141" s="83" t="s">
        <v>68</v>
      </c>
      <c r="BV141" s="83">
        <v>5</v>
      </c>
      <c r="BX141" s="83" t="s">
        <v>68</v>
      </c>
      <c r="BY141" s="83">
        <v>5</v>
      </c>
      <c r="CA141" s="83" t="s">
        <v>68</v>
      </c>
      <c r="CB141" s="83">
        <v>5</v>
      </c>
      <c r="CD141" s="83" t="s">
        <v>68</v>
      </c>
      <c r="CE141" s="83">
        <v>5</v>
      </c>
      <c r="CG141" s="83" t="s">
        <v>68</v>
      </c>
      <c r="CH141" s="83">
        <v>5</v>
      </c>
      <c r="CJ141" s="83" t="s">
        <v>68</v>
      </c>
      <c r="CK141" s="83">
        <v>5</v>
      </c>
      <c r="CM141" s="83" t="s">
        <v>68</v>
      </c>
      <c r="CN141" s="83">
        <v>5</v>
      </c>
      <c r="CP141" s="83" t="s">
        <v>68</v>
      </c>
      <c r="CQ141" s="83">
        <v>5</v>
      </c>
      <c r="CS141" s="83" t="s">
        <v>68</v>
      </c>
      <c r="CT141" s="83">
        <v>5</v>
      </c>
      <c r="CV141" s="83" t="s">
        <v>68</v>
      </c>
      <c r="CW141" s="83">
        <v>5</v>
      </c>
    </row>
    <row r="143" spans="1:102" x14ac:dyDescent="0.2">
      <c r="A143" s="83" t="s">
        <v>67</v>
      </c>
      <c r="B143" s="83">
        <v>10</v>
      </c>
      <c r="D143" s="83" t="s">
        <v>67</v>
      </c>
      <c r="E143" s="83">
        <v>10</v>
      </c>
      <c r="G143" s="83" t="s">
        <v>67</v>
      </c>
      <c r="H143" s="83">
        <v>10</v>
      </c>
      <c r="J143" s="83" t="s">
        <v>67</v>
      </c>
      <c r="K143" s="83">
        <v>10</v>
      </c>
      <c r="M143" s="83" t="s">
        <v>67</v>
      </c>
      <c r="N143" s="83">
        <v>10</v>
      </c>
      <c r="P143" s="83" t="s">
        <v>67</v>
      </c>
      <c r="Q143" s="83">
        <v>10</v>
      </c>
      <c r="S143" s="83" t="s">
        <v>67</v>
      </c>
      <c r="T143" s="83">
        <v>10</v>
      </c>
      <c r="V143" s="83" t="s">
        <v>67</v>
      </c>
      <c r="W143" s="83">
        <v>10</v>
      </c>
      <c r="Y143" s="83" t="s">
        <v>67</v>
      </c>
      <c r="Z143" s="83">
        <v>10</v>
      </c>
      <c r="AB143" s="83" t="s">
        <v>67</v>
      </c>
      <c r="AC143" s="83">
        <v>10</v>
      </c>
      <c r="AE143" s="83" t="s">
        <v>67</v>
      </c>
      <c r="AF143" s="83">
        <v>10</v>
      </c>
      <c r="AH143" s="83" t="s">
        <v>67</v>
      </c>
      <c r="AI143" s="83">
        <v>10</v>
      </c>
      <c r="AK143" s="83" t="s">
        <v>67</v>
      </c>
      <c r="AL143" s="83">
        <v>10</v>
      </c>
      <c r="AN143" s="83" t="s">
        <v>67</v>
      </c>
      <c r="AO143" s="83">
        <v>10</v>
      </c>
      <c r="AQ143" s="83" t="s">
        <v>67</v>
      </c>
      <c r="AR143" s="83">
        <v>10</v>
      </c>
      <c r="AT143" s="83" t="s">
        <v>67</v>
      </c>
      <c r="AU143" s="83">
        <v>10</v>
      </c>
      <c r="AW143" s="83" t="s">
        <v>67</v>
      </c>
      <c r="AX143" s="83">
        <v>10</v>
      </c>
      <c r="AZ143" s="83" t="s">
        <v>67</v>
      </c>
      <c r="BA143" s="83">
        <v>10</v>
      </c>
      <c r="BC143" s="83" t="s">
        <v>67</v>
      </c>
      <c r="BD143" s="83">
        <v>10</v>
      </c>
      <c r="BF143" s="83" t="s">
        <v>67</v>
      </c>
      <c r="BG143" s="83">
        <v>10</v>
      </c>
      <c r="BI143" s="83" t="s">
        <v>67</v>
      </c>
      <c r="BJ143" s="83">
        <v>10</v>
      </c>
      <c r="BL143" s="83" t="s">
        <v>67</v>
      </c>
      <c r="BM143" s="83">
        <v>10</v>
      </c>
      <c r="BO143" s="83" t="s">
        <v>67</v>
      </c>
      <c r="BP143" s="83">
        <v>10</v>
      </c>
      <c r="BR143" s="83" t="s">
        <v>67</v>
      </c>
      <c r="BS143" s="83">
        <v>10</v>
      </c>
      <c r="BU143" s="83" t="s">
        <v>67</v>
      </c>
      <c r="BV143" s="83">
        <v>10</v>
      </c>
      <c r="BX143" s="83" t="s">
        <v>67</v>
      </c>
      <c r="BY143" s="83">
        <v>10</v>
      </c>
      <c r="CA143" s="83" t="s">
        <v>67</v>
      </c>
      <c r="CB143" s="83">
        <v>10</v>
      </c>
      <c r="CD143" s="83" t="s">
        <v>67</v>
      </c>
      <c r="CE143" s="83">
        <v>10</v>
      </c>
      <c r="CG143" s="83" t="s">
        <v>67</v>
      </c>
      <c r="CH143" s="83">
        <v>10</v>
      </c>
      <c r="CJ143" s="83" t="s">
        <v>67</v>
      </c>
      <c r="CK143" s="83">
        <v>10</v>
      </c>
      <c r="CM143" s="83" t="s">
        <v>67</v>
      </c>
      <c r="CN143" s="83">
        <v>10</v>
      </c>
      <c r="CP143" s="83" t="s">
        <v>67</v>
      </c>
      <c r="CQ143" s="83">
        <v>10</v>
      </c>
      <c r="CS143" s="83" t="s">
        <v>67</v>
      </c>
      <c r="CT143" s="83">
        <v>10</v>
      </c>
      <c r="CV143" s="83" t="s">
        <v>67</v>
      </c>
      <c r="CW143" s="83">
        <v>10</v>
      </c>
    </row>
    <row r="145" spans="1:101" x14ac:dyDescent="0.2">
      <c r="A145" s="83" t="s">
        <v>66</v>
      </c>
      <c r="B145" s="83">
        <v>20</v>
      </c>
      <c r="D145" s="83" t="s">
        <v>66</v>
      </c>
      <c r="E145" s="83">
        <v>20</v>
      </c>
      <c r="G145" s="83" t="s">
        <v>66</v>
      </c>
      <c r="H145" s="83">
        <v>20</v>
      </c>
      <c r="J145" s="83" t="s">
        <v>66</v>
      </c>
      <c r="K145" s="83">
        <v>20</v>
      </c>
      <c r="M145" s="83" t="s">
        <v>66</v>
      </c>
      <c r="N145" s="83">
        <v>20</v>
      </c>
      <c r="P145" s="83" t="s">
        <v>66</v>
      </c>
      <c r="Q145" s="83">
        <v>20</v>
      </c>
      <c r="S145" s="83" t="s">
        <v>66</v>
      </c>
      <c r="T145" s="83">
        <v>20</v>
      </c>
      <c r="V145" s="83" t="s">
        <v>66</v>
      </c>
      <c r="W145" s="83">
        <v>20</v>
      </c>
      <c r="Y145" s="83" t="s">
        <v>66</v>
      </c>
      <c r="Z145" s="83">
        <v>20</v>
      </c>
      <c r="AB145" s="83" t="s">
        <v>66</v>
      </c>
      <c r="AC145" s="83">
        <v>20</v>
      </c>
      <c r="AE145" s="83" t="s">
        <v>66</v>
      </c>
      <c r="AF145" s="83">
        <v>20</v>
      </c>
      <c r="AH145" s="83" t="s">
        <v>66</v>
      </c>
      <c r="AI145" s="83">
        <v>20</v>
      </c>
      <c r="AK145" s="83" t="s">
        <v>66</v>
      </c>
      <c r="AL145" s="83">
        <v>20</v>
      </c>
      <c r="AN145" s="83" t="s">
        <v>66</v>
      </c>
      <c r="AO145" s="83">
        <v>20</v>
      </c>
      <c r="AQ145" s="83" t="s">
        <v>66</v>
      </c>
      <c r="AR145" s="83">
        <v>20</v>
      </c>
      <c r="AT145" s="83" t="s">
        <v>66</v>
      </c>
      <c r="AU145" s="83">
        <v>20</v>
      </c>
      <c r="AW145" s="83" t="s">
        <v>66</v>
      </c>
      <c r="AX145" s="83">
        <v>20</v>
      </c>
      <c r="AZ145" s="83" t="s">
        <v>66</v>
      </c>
      <c r="BA145" s="83">
        <v>20</v>
      </c>
      <c r="BC145" s="83" t="s">
        <v>66</v>
      </c>
      <c r="BD145" s="83">
        <v>20</v>
      </c>
      <c r="BF145" s="83" t="s">
        <v>66</v>
      </c>
      <c r="BG145" s="83">
        <v>20</v>
      </c>
      <c r="BI145" s="83" t="s">
        <v>66</v>
      </c>
      <c r="BJ145" s="83">
        <v>20</v>
      </c>
      <c r="BL145" s="83" t="s">
        <v>66</v>
      </c>
      <c r="BM145" s="83">
        <v>20</v>
      </c>
      <c r="BO145" s="83" t="s">
        <v>66</v>
      </c>
      <c r="BP145" s="83">
        <v>20</v>
      </c>
      <c r="BR145" s="83" t="s">
        <v>66</v>
      </c>
      <c r="BS145" s="83">
        <v>20</v>
      </c>
      <c r="BU145" s="83" t="s">
        <v>66</v>
      </c>
      <c r="BV145" s="83">
        <v>20</v>
      </c>
      <c r="BX145" s="83" t="s">
        <v>66</v>
      </c>
      <c r="BY145" s="83">
        <v>20</v>
      </c>
      <c r="CA145" s="83" t="s">
        <v>66</v>
      </c>
      <c r="CB145" s="83">
        <v>20</v>
      </c>
      <c r="CD145" s="83" t="s">
        <v>66</v>
      </c>
      <c r="CE145" s="83">
        <v>20</v>
      </c>
      <c r="CG145" s="83" t="s">
        <v>66</v>
      </c>
      <c r="CH145" s="83">
        <v>20</v>
      </c>
      <c r="CJ145" s="83" t="s">
        <v>66</v>
      </c>
      <c r="CK145" s="83">
        <v>20</v>
      </c>
      <c r="CM145" s="83" t="s">
        <v>66</v>
      </c>
      <c r="CN145" s="83">
        <v>20</v>
      </c>
      <c r="CP145" s="83" t="s">
        <v>66</v>
      </c>
      <c r="CQ145" s="83">
        <v>20</v>
      </c>
      <c r="CS145" s="83" t="s">
        <v>66</v>
      </c>
      <c r="CT145" s="83">
        <v>20</v>
      </c>
      <c r="CV145" s="83" t="s">
        <v>66</v>
      </c>
      <c r="CW145" s="83">
        <v>20</v>
      </c>
    </row>
    <row r="147" spans="1:101" x14ac:dyDescent="0.2">
      <c r="A147" s="83" t="s">
        <v>73</v>
      </c>
      <c r="B147" s="83">
        <v>1</v>
      </c>
      <c r="D147" s="83" t="s">
        <v>73</v>
      </c>
      <c r="E147" s="83">
        <v>1</v>
      </c>
      <c r="G147" s="83" t="s">
        <v>73</v>
      </c>
      <c r="H147" s="83">
        <v>1</v>
      </c>
      <c r="J147" s="83" t="s">
        <v>73</v>
      </c>
      <c r="K147" s="83">
        <v>1</v>
      </c>
      <c r="M147" s="83" t="s">
        <v>73</v>
      </c>
      <c r="N147" s="83">
        <v>1</v>
      </c>
      <c r="P147" s="83" t="s">
        <v>73</v>
      </c>
      <c r="Q147" s="83">
        <v>1</v>
      </c>
      <c r="S147" s="83" t="s">
        <v>73</v>
      </c>
      <c r="T147" s="83">
        <v>1</v>
      </c>
      <c r="V147" s="83" t="s">
        <v>73</v>
      </c>
      <c r="W147" s="83">
        <v>1</v>
      </c>
      <c r="Y147" s="83" t="s">
        <v>73</v>
      </c>
      <c r="Z147" s="83">
        <v>1</v>
      </c>
      <c r="AB147" s="83" t="s">
        <v>73</v>
      </c>
      <c r="AC147" s="83">
        <v>1</v>
      </c>
      <c r="AE147" s="83" t="s">
        <v>73</v>
      </c>
      <c r="AF147" s="83">
        <v>1</v>
      </c>
      <c r="AH147" s="83" t="s">
        <v>73</v>
      </c>
      <c r="AI147" s="83">
        <v>1</v>
      </c>
      <c r="AK147" s="83" t="s">
        <v>73</v>
      </c>
      <c r="AL147" s="83">
        <v>1</v>
      </c>
      <c r="AN147" s="83" t="s">
        <v>73</v>
      </c>
      <c r="AO147" s="83">
        <v>1</v>
      </c>
      <c r="AQ147" s="83" t="s">
        <v>73</v>
      </c>
      <c r="AR147" s="83">
        <v>1</v>
      </c>
      <c r="AT147" s="83" t="s">
        <v>73</v>
      </c>
      <c r="AU147" s="83">
        <v>1</v>
      </c>
      <c r="AW147" s="83" t="s">
        <v>73</v>
      </c>
      <c r="AX147" s="83">
        <v>1</v>
      </c>
      <c r="AZ147" s="83" t="s">
        <v>73</v>
      </c>
      <c r="BA147" s="83">
        <v>1</v>
      </c>
      <c r="BC147" s="83" t="s">
        <v>73</v>
      </c>
      <c r="BD147" s="83">
        <v>1</v>
      </c>
      <c r="BF147" s="83" t="s">
        <v>73</v>
      </c>
      <c r="BG147" s="83">
        <v>1</v>
      </c>
      <c r="BI147" s="83" t="s">
        <v>73</v>
      </c>
      <c r="BJ147" s="83">
        <v>1</v>
      </c>
      <c r="BL147" s="83" t="s">
        <v>73</v>
      </c>
      <c r="BM147" s="83">
        <v>1</v>
      </c>
      <c r="BO147" s="83" t="s">
        <v>73</v>
      </c>
      <c r="BP147" s="83">
        <v>1</v>
      </c>
      <c r="BR147" s="83" t="s">
        <v>73</v>
      </c>
      <c r="BS147" s="83">
        <v>1</v>
      </c>
      <c r="BU147" s="83" t="s">
        <v>73</v>
      </c>
      <c r="BV147" s="83">
        <v>1</v>
      </c>
      <c r="BX147" s="83" t="s">
        <v>73</v>
      </c>
      <c r="BY147" s="83">
        <v>1</v>
      </c>
      <c r="CA147" s="83" t="s">
        <v>73</v>
      </c>
      <c r="CB147" s="83">
        <v>1</v>
      </c>
      <c r="CD147" s="83" t="s">
        <v>73</v>
      </c>
      <c r="CE147" s="83">
        <v>1</v>
      </c>
      <c r="CG147" s="83" t="s">
        <v>73</v>
      </c>
      <c r="CH147" s="83">
        <v>1</v>
      </c>
      <c r="CJ147" s="83" t="s">
        <v>73</v>
      </c>
      <c r="CK147" s="83">
        <v>1</v>
      </c>
      <c r="CM147" s="83" t="s">
        <v>73</v>
      </c>
      <c r="CN147" s="83">
        <v>1</v>
      </c>
      <c r="CP147" s="83" t="s">
        <v>73</v>
      </c>
      <c r="CQ147" s="83">
        <v>1</v>
      </c>
      <c r="CS147" s="83" t="s">
        <v>73</v>
      </c>
      <c r="CT147" s="83">
        <v>1</v>
      </c>
      <c r="CV147" s="83" t="s">
        <v>73</v>
      </c>
      <c r="CW147" s="83">
        <v>1</v>
      </c>
    </row>
    <row r="149" spans="1:101" x14ac:dyDescent="0.2">
      <c r="A149" s="83" t="s">
        <v>72</v>
      </c>
      <c r="B149" s="83">
        <v>1</v>
      </c>
      <c r="D149" s="83" t="s">
        <v>72</v>
      </c>
      <c r="E149" s="83">
        <v>1</v>
      </c>
      <c r="G149" s="83" t="s">
        <v>72</v>
      </c>
      <c r="H149" s="83">
        <v>1</v>
      </c>
      <c r="J149" s="83" t="s">
        <v>72</v>
      </c>
      <c r="K149" s="83">
        <v>1</v>
      </c>
      <c r="M149" s="83" t="s">
        <v>72</v>
      </c>
      <c r="N149" s="83">
        <v>1</v>
      </c>
      <c r="P149" s="83" t="s">
        <v>72</v>
      </c>
      <c r="Q149" s="83">
        <v>1</v>
      </c>
      <c r="S149" s="83" t="s">
        <v>72</v>
      </c>
      <c r="T149" s="83">
        <v>1</v>
      </c>
      <c r="V149" s="83" t="s">
        <v>72</v>
      </c>
      <c r="W149" s="83">
        <v>1</v>
      </c>
      <c r="Y149" s="83" t="s">
        <v>72</v>
      </c>
      <c r="Z149" s="83">
        <v>1</v>
      </c>
      <c r="AB149" s="83" t="s">
        <v>72</v>
      </c>
      <c r="AC149" s="83">
        <v>1</v>
      </c>
      <c r="AE149" s="83" t="s">
        <v>72</v>
      </c>
      <c r="AF149" s="83">
        <v>1</v>
      </c>
      <c r="AH149" s="83" t="s">
        <v>72</v>
      </c>
      <c r="AI149" s="83">
        <v>1</v>
      </c>
      <c r="AK149" s="83" t="s">
        <v>72</v>
      </c>
      <c r="AL149" s="83">
        <v>1</v>
      </c>
      <c r="AN149" s="83" t="s">
        <v>72</v>
      </c>
      <c r="AO149" s="83">
        <v>1</v>
      </c>
      <c r="AQ149" s="83" t="s">
        <v>72</v>
      </c>
      <c r="AR149" s="83">
        <v>1</v>
      </c>
      <c r="AT149" s="83" t="s">
        <v>72</v>
      </c>
      <c r="AU149" s="83">
        <v>1</v>
      </c>
      <c r="AW149" s="83" t="s">
        <v>72</v>
      </c>
      <c r="AX149" s="83">
        <v>1</v>
      </c>
      <c r="AZ149" s="83" t="s">
        <v>72</v>
      </c>
      <c r="BA149" s="83">
        <v>1</v>
      </c>
      <c r="BC149" s="83" t="s">
        <v>72</v>
      </c>
      <c r="BD149" s="83">
        <v>1</v>
      </c>
      <c r="BF149" s="83" t="s">
        <v>72</v>
      </c>
      <c r="BG149" s="83">
        <v>1</v>
      </c>
      <c r="BI149" s="83" t="s">
        <v>72</v>
      </c>
      <c r="BJ149" s="83">
        <v>1</v>
      </c>
      <c r="BL149" s="83" t="s">
        <v>72</v>
      </c>
      <c r="BM149" s="83">
        <v>1</v>
      </c>
      <c r="BO149" s="83" t="s">
        <v>72</v>
      </c>
      <c r="BP149" s="83">
        <v>1</v>
      </c>
      <c r="BR149" s="83" t="s">
        <v>72</v>
      </c>
      <c r="BS149" s="83">
        <v>1</v>
      </c>
      <c r="BU149" s="83" t="s">
        <v>72</v>
      </c>
      <c r="BV149" s="83">
        <v>1</v>
      </c>
      <c r="BX149" s="83" t="s">
        <v>72</v>
      </c>
      <c r="BY149" s="83">
        <v>1</v>
      </c>
      <c r="CA149" s="83" t="s">
        <v>72</v>
      </c>
      <c r="CB149" s="83">
        <v>1</v>
      </c>
      <c r="CD149" s="83" t="s">
        <v>72</v>
      </c>
      <c r="CE149" s="83">
        <v>1</v>
      </c>
      <c r="CG149" s="83" t="s">
        <v>72</v>
      </c>
      <c r="CH149" s="83">
        <v>1</v>
      </c>
      <c r="CJ149" s="83" t="s">
        <v>72</v>
      </c>
      <c r="CK149" s="83">
        <v>1</v>
      </c>
      <c r="CM149" s="83" t="s">
        <v>72</v>
      </c>
      <c r="CN149" s="83">
        <v>1</v>
      </c>
      <c r="CP149" s="83" t="s">
        <v>72</v>
      </c>
      <c r="CQ149" s="83">
        <v>1</v>
      </c>
      <c r="CS149" s="83" t="s">
        <v>72</v>
      </c>
      <c r="CT149" s="83">
        <v>1</v>
      </c>
      <c r="CV149" s="83" t="s">
        <v>72</v>
      </c>
      <c r="CW149" s="83">
        <v>1</v>
      </c>
    </row>
    <row r="151" spans="1:101" x14ac:dyDescent="0.2">
      <c r="A151" s="83" t="s">
        <v>71</v>
      </c>
      <c r="B151" s="83">
        <v>3.45031</v>
      </c>
      <c r="D151" s="83" t="s">
        <v>71</v>
      </c>
      <c r="E151" s="83">
        <v>3.5755400000000002</v>
      </c>
      <c r="G151" s="83" t="s">
        <v>71</v>
      </c>
      <c r="H151" s="83">
        <v>3.64141</v>
      </c>
      <c r="J151" s="83" t="s">
        <v>71</v>
      </c>
      <c r="K151" s="83">
        <v>3.7604299999999999</v>
      </c>
      <c r="M151" s="83" t="s">
        <v>71</v>
      </c>
      <c r="N151" s="83">
        <v>3.7923800000000001</v>
      </c>
      <c r="P151" s="83" t="s">
        <v>71</v>
      </c>
      <c r="Q151" s="83">
        <v>3.8708</v>
      </c>
      <c r="S151" s="83" t="s">
        <v>71</v>
      </c>
      <c r="T151" s="83">
        <v>3.9173300000000002</v>
      </c>
      <c r="V151" s="83" t="s">
        <v>71</v>
      </c>
      <c r="W151" s="83">
        <v>3.9485399999999999</v>
      </c>
      <c r="Y151" s="83" t="s">
        <v>71</v>
      </c>
      <c r="Z151" s="83">
        <v>3.9807700000000001</v>
      </c>
      <c r="AB151" s="83" t="s">
        <v>71</v>
      </c>
      <c r="AC151" s="83">
        <v>4.0544000000000002</v>
      </c>
      <c r="AE151" s="83" t="s">
        <v>71</v>
      </c>
      <c r="AF151" s="83">
        <v>4.1176700000000004</v>
      </c>
      <c r="AH151" s="83" t="s">
        <v>71</v>
      </c>
      <c r="AI151" s="83">
        <v>4.1727299999999996</v>
      </c>
      <c r="AK151" s="83" t="s">
        <v>71</v>
      </c>
      <c r="AL151" s="83">
        <v>4.2178399999999998</v>
      </c>
      <c r="AN151" s="83" t="s">
        <v>71</v>
      </c>
      <c r="AO151" s="83">
        <v>4.27799</v>
      </c>
      <c r="AQ151" s="83" t="s">
        <v>71</v>
      </c>
      <c r="AR151" s="83">
        <v>4.3097700000000003</v>
      </c>
      <c r="AT151" s="83" t="s">
        <v>71</v>
      </c>
      <c r="AU151" s="83">
        <v>4.3560999999999996</v>
      </c>
      <c r="AW151" s="83" t="s">
        <v>71</v>
      </c>
      <c r="AX151" s="83">
        <v>4.4449500000000004</v>
      </c>
      <c r="AZ151" s="83" t="s">
        <v>71</v>
      </c>
      <c r="BA151" s="83">
        <v>4.4912900000000002</v>
      </c>
      <c r="BC151" s="83" t="s">
        <v>71</v>
      </c>
      <c r="BD151" s="83">
        <v>4.6036200000000003</v>
      </c>
      <c r="BF151" s="83" t="s">
        <v>71</v>
      </c>
      <c r="BG151" s="83">
        <v>4.6668599999999998</v>
      </c>
      <c r="BI151" s="83" t="s">
        <v>71</v>
      </c>
      <c r="BJ151" s="83">
        <v>4.7227800000000002</v>
      </c>
      <c r="BL151" s="83" t="s">
        <v>71</v>
      </c>
      <c r="BM151" s="83">
        <v>4.7763099999999996</v>
      </c>
      <c r="BO151" s="83" t="s">
        <v>71</v>
      </c>
      <c r="BP151" s="83">
        <v>4.8426499999999999</v>
      </c>
      <c r="BR151" s="83" t="s">
        <v>71</v>
      </c>
      <c r="BS151" s="83">
        <v>4.9216600000000001</v>
      </c>
      <c r="BU151" s="83" t="s">
        <v>71</v>
      </c>
      <c r="BV151" s="83">
        <v>4.9962299999999997</v>
      </c>
      <c r="BX151" s="83" t="s">
        <v>71</v>
      </c>
      <c r="BY151" s="83">
        <v>4.99777</v>
      </c>
      <c r="CA151" s="83" t="s">
        <v>71</v>
      </c>
      <c r="CB151" s="83">
        <v>4.9972799999999999</v>
      </c>
      <c r="CD151" s="83" t="s">
        <v>71</v>
      </c>
      <c r="CE151" s="83">
        <v>4.9975800000000001</v>
      </c>
      <c r="CG151" s="83" t="s">
        <v>71</v>
      </c>
      <c r="CH151" s="83">
        <v>4.9982100000000003</v>
      </c>
      <c r="CJ151" s="83" t="s">
        <v>71</v>
      </c>
      <c r="CK151" s="83">
        <v>4.9990899999999998</v>
      </c>
      <c r="CM151" s="83" t="s">
        <v>71</v>
      </c>
      <c r="CN151" s="83">
        <v>4.9996200000000002</v>
      </c>
      <c r="CP151" s="83" t="s">
        <v>71</v>
      </c>
      <c r="CQ151" s="83">
        <v>4.99817</v>
      </c>
      <c r="CS151" s="83" t="s">
        <v>71</v>
      </c>
      <c r="CT151" s="83">
        <v>4.9987399999999997</v>
      </c>
      <c r="CV151" s="83" t="s">
        <v>71</v>
      </c>
      <c r="CW151" s="83">
        <v>4.9987599999999999</v>
      </c>
    </row>
    <row r="153" spans="1:101" x14ac:dyDescent="0.2">
      <c r="A153" s="83" t="s">
        <v>70</v>
      </c>
      <c r="B153" s="83">
        <v>0.62051699999999999</v>
      </c>
      <c r="D153" s="83" t="s">
        <v>70</v>
      </c>
      <c r="E153" s="83">
        <v>0.62635300000000005</v>
      </c>
      <c r="G153" s="83" t="s">
        <v>70</v>
      </c>
      <c r="H153" s="83">
        <v>0.62390500000000004</v>
      </c>
      <c r="J153" s="83" t="s">
        <v>70</v>
      </c>
      <c r="K153" s="83">
        <v>0.62587000000000004</v>
      </c>
      <c r="M153" s="83" t="s">
        <v>70</v>
      </c>
      <c r="N153" s="83">
        <v>0.62183500000000003</v>
      </c>
      <c r="P153" s="83" t="s">
        <v>70</v>
      </c>
      <c r="Q153" s="83">
        <v>0.62768500000000005</v>
      </c>
      <c r="S153" s="83" t="s">
        <v>70</v>
      </c>
      <c r="T153" s="83">
        <v>0.62866200000000005</v>
      </c>
      <c r="V153" s="83" t="s">
        <v>70</v>
      </c>
      <c r="W153" s="83">
        <v>0.62133799999999995</v>
      </c>
      <c r="Y153" s="83" t="s">
        <v>70</v>
      </c>
      <c r="Z153" s="83">
        <v>0.61743400000000004</v>
      </c>
      <c r="AB153" s="83" t="s">
        <v>70</v>
      </c>
      <c r="AC153" s="83">
        <v>0.62035899999999999</v>
      </c>
      <c r="AE153" s="83" t="s">
        <v>70</v>
      </c>
      <c r="AF153" s="83">
        <v>0.62524900000000005</v>
      </c>
      <c r="AH153" s="83" t="s">
        <v>70</v>
      </c>
      <c r="AI153" s="83">
        <v>0.62476299999999996</v>
      </c>
      <c r="AK153" s="83" t="s">
        <v>70</v>
      </c>
      <c r="AL153" s="83">
        <v>0.62391700000000005</v>
      </c>
      <c r="AN153" s="83" t="s">
        <v>70</v>
      </c>
      <c r="AO153" s="83">
        <v>0.62294499999999997</v>
      </c>
      <c r="AQ153" s="83" t="s">
        <v>70</v>
      </c>
      <c r="AR153" s="83">
        <v>0.61903799999999998</v>
      </c>
      <c r="AT153" s="83" t="s">
        <v>70</v>
      </c>
      <c r="AU153" s="83">
        <v>0.61512999999999995</v>
      </c>
      <c r="AW153" s="83" t="s">
        <v>70</v>
      </c>
      <c r="AX153" s="83">
        <v>0.62197000000000002</v>
      </c>
      <c r="AZ153" s="83" t="s">
        <v>70</v>
      </c>
      <c r="BA153" s="83">
        <v>0.62050000000000005</v>
      </c>
      <c r="BC153" s="83" t="s">
        <v>70</v>
      </c>
      <c r="BD153" s="83">
        <v>0.63027200000000005</v>
      </c>
      <c r="BF153" s="83" t="s">
        <v>70</v>
      </c>
      <c r="BG153" s="83">
        <v>0.62782899999999997</v>
      </c>
      <c r="BI153" s="83" t="s">
        <v>70</v>
      </c>
      <c r="BJ153" s="83">
        <v>0.62538300000000002</v>
      </c>
      <c r="BL153" s="83" t="s">
        <v>70</v>
      </c>
      <c r="BM153" s="83">
        <v>0.62294899999999997</v>
      </c>
      <c r="BO153" s="83" t="s">
        <v>70</v>
      </c>
      <c r="BP153" s="83">
        <v>0.62294700000000003</v>
      </c>
      <c r="BR153" s="83" t="s">
        <v>70</v>
      </c>
      <c r="BS153" s="83">
        <v>0.622946</v>
      </c>
      <c r="BU153" s="83" t="s">
        <v>70</v>
      </c>
      <c r="BV153" s="83">
        <v>0.63564299999999996</v>
      </c>
      <c r="BX153" s="83" t="s">
        <v>70</v>
      </c>
      <c r="BY153" s="83">
        <v>0.62148300000000001</v>
      </c>
      <c r="CA153" s="83" t="s">
        <v>70</v>
      </c>
      <c r="CB153" s="83">
        <v>0.63514499999999996</v>
      </c>
      <c r="CD153" s="83" t="s">
        <v>70</v>
      </c>
      <c r="CE153" s="83">
        <v>0.62489799999999995</v>
      </c>
      <c r="CG153" s="83" t="s">
        <v>70</v>
      </c>
      <c r="CH153" s="83">
        <v>0.62197100000000005</v>
      </c>
      <c r="CJ153" s="83" t="s">
        <v>70</v>
      </c>
      <c r="CK153" s="83">
        <v>0.62050700000000003</v>
      </c>
      <c r="CM153" s="83" t="s">
        <v>70</v>
      </c>
      <c r="CN153" s="83">
        <v>0.63173599999999996</v>
      </c>
      <c r="CP153" s="83" t="s">
        <v>70</v>
      </c>
      <c r="CQ153" s="83">
        <v>0.62929400000000002</v>
      </c>
      <c r="CS153" s="83" t="s">
        <v>70</v>
      </c>
      <c r="CT153" s="83">
        <v>0.63515699999999997</v>
      </c>
      <c r="CV153" s="83" t="s">
        <v>70</v>
      </c>
      <c r="CW153" s="83">
        <v>0.63222699999999998</v>
      </c>
    </row>
    <row r="155" spans="1:101" x14ac:dyDescent="0.2">
      <c r="A155" s="83" t="s">
        <v>63</v>
      </c>
      <c r="B155" s="83">
        <v>125</v>
      </c>
      <c r="D155" s="83" t="s">
        <v>63</v>
      </c>
      <c r="E155" s="83">
        <v>125</v>
      </c>
      <c r="G155" s="83" t="s">
        <v>63</v>
      </c>
      <c r="H155" s="83">
        <v>125</v>
      </c>
      <c r="J155" s="83" t="s">
        <v>63</v>
      </c>
      <c r="K155" s="83">
        <v>125</v>
      </c>
      <c r="M155" s="83" t="s">
        <v>63</v>
      </c>
      <c r="N155" s="83">
        <v>125</v>
      </c>
      <c r="P155" s="83" t="s">
        <v>63</v>
      </c>
      <c r="Q155" s="83">
        <v>125</v>
      </c>
      <c r="S155" s="83" t="s">
        <v>63</v>
      </c>
      <c r="T155" s="83">
        <v>125</v>
      </c>
      <c r="V155" s="83" t="s">
        <v>63</v>
      </c>
      <c r="W155" s="83">
        <v>125</v>
      </c>
      <c r="Y155" s="83" t="s">
        <v>63</v>
      </c>
      <c r="Z155" s="83">
        <v>125</v>
      </c>
      <c r="AB155" s="83" t="s">
        <v>63</v>
      </c>
      <c r="AC155" s="83">
        <v>125</v>
      </c>
      <c r="AE155" s="83" t="s">
        <v>63</v>
      </c>
      <c r="AF155" s="83">
        <v>125</v>
      </c>
      <c r="AH155" s="83" t="s">
        <v>63</v>
      </c>
      <c r="AI155" s="83">
        <v>125</v>
      </c>
      <c r="AK155" s="83" t="s">
        <v>63</v>
      </c>
      <c r="AL155" s="83">
        <v>125</v>
      </c>
      <c r="AN155" s="83" t="s">
        <v>63</v>
      </c>
      <c r="AO155" s="83">
        <v>125</v>
      </c>
      <c r="AQ155" s="83" t="s">
        <v>63</v>
      </c>
      <c r="AR155" s="83">
        <v>125</v>
      </c>
      <c r="AT155" s="83" t="s">
        <v>63</v>
      </c>
      <c r="AU155" s="83">
        <v>125</v>
      </c>
      <c r="AW155" s="83" t="s">
        <v>63</v>
      </c>
      <c r="AX155" s="83">
        <v>125</v>
      </c>
      <c r="AZ155" s="83" t="s">
        <v>63</v>
      </c>
      <c r="BA155" s="83">
        <v>125</v>
      </c>
      <c r="BC155" s="83" t="s">
        <v>63</v>
      </c>
      <c r="BD155" s="83">
        <v>125</v>
      </c>
      <c r="BF155" s="83" t="s">
        <v>63</v>
      </c>
      <c r="BG155" s="83">
        <v>125</v>
      </c>
      <c r="BI155" s="83" t="s">
        <v>63</v>
      </c>
      <c r="BJ155" s="83">
        <v>125</v>
      </c>
      <c r="BL155" s="83" t="s">
        <v>63</v>
      </c>
      <c r="BM155" s="83">
        <v>125</v>
      </c>
      <c r="BO155" s="83" t="s">
        <v>63</v>
      </c>
      <c r="BP155" s="83">
        <v>125</v>
      </c>
      <c r="BR155" s="83" t="s">
        <v>63</v>
      </c>
      <c r="BS155" s="83">
        <v>125</v>
      </c>
      <c r="BU155" s="83" t="s">
        <v>63</v>
      </c>
      <c r="BV155" s="83">
        <v>125</v>
      </c>
      <c r="BX155" s="83" t="s">
        <v>63</v>
      </c>
      <c r="BY155" s="83">
        <v>125</v>
      </c>
      <c r="CA155" s="83" t="s">
        <v>63</v>
      </c>
      <c r="CB155" s="83">
        <v>125</v>
      </c>
      <c r="CD155" s="83" t="s">
        <v>63</v>
      </c>
      <c r="CE155" s="83">
        <v>125</v>
      </c>
      <c r="CG155" s="83" t="s">
        <v>63</v>
      </c>
      <c r="CH155" s="83">
        <v>125</v>
      </c>
      <c r="CJ155" s="83" t="s">
        <v>63</v>
      </c>
      <c r="CK155" s="83">
        <v>125</v>
      </c>
      <c r="CM155" s="83" t="s">
        <v>63</v>
      </c>
      <c r="CN155" s="83">
        <v>125</v>
      </c>
      <c r="CP155" s="83" t="s">
        <v>63</v>
      </c>
      <c r="CQ155" s="83">
        <v>125</v>
      </c>
      <c r="CS155" s="83" t="s">
        <v>63</v>
      </c>
      <c r="CT155" s="83">
        <v>125</v>
      </c>
      <c r="CV155" s="83" t="s">
        <v>63</v>
      </c>
      <c r="CW155" s="83">
        <v>125</v>
      </c>
    </row>
    <row r="157" spans="1:101" x14ac:dyDescent="0.2">
      <c r="A157" s="83" t="s">
        <v>61</v>
      </c>
      <c r="B157" s="83">
        <v>12500</v>
      </c>
      <c r="D157" s="83" t="s">
        <v>61</v>
      </c>
      <c r="E157" s="83">
        <v>12500</v>
      </c>
      <c r="G157" s="83" t="s">
        <v>61</v>
      </c>
      <c r="H157" s="83">
        <v>12500</v>
      </c>
      <c r="J157" s="83" t="s">
        <v>61</v>
      </c>
      <c r="K157" s="83">
        <v>12500</v>
      </c>
      <c r="M157" s="83" t="s">
        <v>61</v>
      </c>
      <c r="N157" s="83">
        <v>12500</v>
      </c>
      <c r="P157" s="83" t="s">
        <v>61</v>
      </c>
      <c r="Q157" s="83">
        <v>12500</v>
      </c>
      <c r="S157" s="83" t="s">
        <v>61</v>
      </c>
      <c r="T157" s="83">
        <v>12500</v>
      </c>
      <c r="V157" s="83" t="s">
        <v>61</v>
      </c>
      <c r="W157" s="83">
        <v>12500</v>
      </c>
      <c r="Y157" s="83" t="s">
        <v>61</v>
      </c>
      <c r="Z157" s="83">
        <v>12500</v>
      </c>
      <c r="AB157" s="83" t="s">
        <v>61</v>
      </c>
      <c r="AC157" s="83">
        <v>12500</v>
      </c>
      <c r="AE157" s="83" t="s">
        <v>61</v>
      </c>
      <c r="AF157" s="83">
        <v>12500</v>
      </c>
      <c r="AH157" s="83" t="s">
        <v>61</v>
      </c>
      <c r="AI157" s="83">
        <v>12500</v>
      </c>
      <c r="AK157" s="83" t="s">
        <v>61</v>
      </c>
      <c r="AL157" s="83">
        <v>12500</v>
      </c>
      <c r="AN157" s="83" t="s">
        <v>61</v>
      </c>
      <c r="AO157" s="83">
        <v>12500</v>
      </c>
      <c r="AQ157" s="83" t="s">
        <v>61</v>
      </c>
      <c r="AR157" s="83">
        <v>12500</v>
      </c>
      <c r="AT157" s="83" t="s">
        <v>61</v>
      </c>
      <c r="AU157" s="83">
        <v>12500</v>
      </c>
      <c r="AW157" s="83" t="s">
        <v>61</v>
      </c>
      <c r="AX157" s="83">
        <v>12500</v>
      </c>
      <c r="AZ157" s="83" t="s">
        <v>61</v>
      </c>
      <c r="BA157" s="83">
        <v>12500</v>
      </c>
      <c r="BC157" s="83" t="s">
        <v>61</v>
      </c>
      <c r="BD157" s="83">
        <v>12500</v>
      </c>
      <c r="BF157" s="83" t="s">
        <v>61</v>
      </c>
      <c r="BG157" s="83">
        <v>12500</v>
      </c>
      <c r="BI157" s="83" t="s">
        <v>61</v>
      </c>
      <c r="BJ157" s="83">
        <v>12500</v>
      </c>
      <c r="BL157" s="83" t="s">
        <v>61</v>
      </c>
      <c r="BM157" s="83">
        <v>12500</v>
      </c>
      <c r="BO157" s="83" t="s">
        <v>61</v>
      </c>
      <c r="BP157" s="83">
        <v>12500</v>
      </c>
      <c r="BR157" s="83" t="s">
        <v>61</v>
      </c>
      <c r="BS157" s="83">
        <v>12500</v>
      </c>
      <c r="BU157" s="83" t="s">
        <v>61</v>
      </c>
      <c r="BV157" s="83">
        <v>12500</v>
      </c>
      <c r="BX157" s="83" t="s">
        <v>61</v>
      </c>
      <c r="BY157" s="83">
        <v>12500</v>
      </c>
      <c r="CA157" s="83" t="s">
        <v>61</v>
      </c>
      <c r="CB157" s="83">
        <v>12500</v>
      </c>
      <c r="CD157" s="83" t="s">
        <v>61</v>
      </c>
      <c r="CE157" s="83">
        <v>12500</v>
      </c>
      <c r="CG157" s="83" t="s">
        <v>61</v>
      </c>
      <c r="CH157" s="83">
        <v>12500</v>
      </c>
      <c r="CJ157" s="83" t="s">
        <v>61</v>
      </c>
      <c r="CK157" s="83">
        <v>12500</v>
      </c>
      <c r="CM157" s="83" t="s">
        <v>61</v>
      </c>
      <c r="CN157" s="83">
        <v>12500</v>
      </c>
      <c r="CP157" s="83" t="s">
        <v>61</v>
      </c>
      <c r="CQ157" s="83">
        <v>12500</v>
      </c>
      <c r="CS157" s="83" t="s">
        <v>61</v>
      </c>
      <c r="CT157" s="83">
        <v>12500</v>
      </c>
      <c r="CV157" s="83" t="s">
        <v>61</v>
      </c>
      <c r="CW157" s="83">
        <v>12500</v>
      </c>
    </row>
    <row r="159" spans="1:101" x14ac:dyDescent="0.2">
      <c r="A159" s="83" t="s">
        <v>58</v>
      </c>
      <c r="B159" s="83">
        <v>0.2</v>
      </c>
      <c r="D159" s="83" t="s">
        <v>58</v>
      </c>
      <c r="E159" s="83">
        <v>0.2</v>
      </c>
      <c r="G159" s="83" t="s">
        <v>58</v>
      </c>
      <c r="H159" s="83">
        <v>0.2</v>
      </c>
      <c r="J159" s="83" t="s">
        <v>58</v>
      </c>
      <c r="K159" s="83">
        <v>0.2</v>
      </c>
      <c r="M159" s="83" t="s">
        <v>58</v>
      </c>
      <c r="N159" s="83">
        <v>0.2</v>
      </c>
      <c r="P159" s="83" t="s">
        <v>58</v>
      </c>
      <c r="Q159" s="83">
        <v>0.2</v>
      </c>
      <c r="S159" s="83" t="s">
        <v>58</v>
      </c>
      <c r="T159" s="83">
        <v>0.2</v>
      </c>
      <c r="V159" s="83" t="s">
        <v>58</v>
      </c>
      <c r="W159" s="83">
        <v>0.2</v>
      </c>
      <c r="Y159" s="83" t="s">
        <v>58</v>
      </c>
      <c r="Z159" s="83">
        <v>0.2</v>
      </c>
      <c r="AB159" s="83" t="s">
        <v>58</v>
      </c>
      <c r="AC159" s="83">
        <v>0.2</v>
      </c>
      <c r="AE159" s="83" t="s">
        <v>58</v>
      </c>
      <c r="AF159" s="83">
        <v>0.2</v>
      </c>
      <c r="AH159" s="83" t="s">
        <v>58</v>
      </c>
      <c r="AI159" s="83">
        <v>0.2</v>
      </c>
      <c r="AK159" s="83" t="s">
        <v>58</v>
      </c>
      <c r="AL159" s="83">
        <v>0.2</v>
      </c>
      <c r="AN159" s="83" t="s">
        <v>58</v>
      </c>
      <c r="AO159" s="83">
        <v>0.2</v>
      </c>
      <c r="AQ159" s="83" t="s">
        <v>58</v>
      </c>
      <c r="AR159" s="83">
        <v>0.2</v>
      </c>
      <c r="AT159" s="83" t="s">
        <v>58</v>
      </c>
      <c r="AU159" s="83">
        <v>0.2</v>
      </c>
      <c r="AW159" s="83" t="s">
        <v>58</v>
      </c>
      <c r="AX159" s="83">
        <v>0.2</v>
      </c>
      <c r="AZ159" s="83" t="s">
        <v>58</v>
      </c>
      <c r="BA159" s="83">
        <v>0.2</v>
      </c>
      <c r="BC159" s="83" t="s">
        <v>58</v>
      </c>
      <c r="BD159" s="83">
        <v>0.2</v>
      </c>
      <c r="BF159" s="83" t="s">
        <v>58</v>
      </c>
      <c r="BG159" s="83">
        <v>0.2</v>
      </c>
      <c r="BI159" s="83" t="s">
        <v>58</v>
      </c>
      <c r="BJ159" s="83">
        <v>0.2</v>
      </c>
      <c r="BL159" s="83" t="s">
        <v>58</v>
      </c>
      <c r="BM159" s="83">
        <v>0.2</v>
      </c>
      <c r="BO159" s="83" t="s">
        <v>58</v>
      </c>
      <c r="BP159" s="83">
        <v>0.2</v>
      </c>
      <c r="BR159" s="83" t="s">
        <v>58</v>
      </c>
      <c r="BS159" s="83">
        <v>0.2</v>
      </c>
      <c r="BU159" s="83" t="s">
        <v>58</v>
      </c>
      <c r="BV159" s="83">
        <v>0.2</v>
      </c>
      <c r="BX159" s="83" t="s">
        <v>58</v>
      </c>
      <c r="BY159" s="83">
        <v>0.2</v>
      </c>
      <c r="CA159" s="83" t="s">
        <v>58</v>
      </c>
      <c r="CB159" s="83">
        <v>0.2</v>
      </c>
      <c r="CD159" s="83" t="s">
        <v>58</v>
      </c>
      <c r="CE159" s="83">
        <v>0.2</v>
      </c>
      <c r="CG159" s="83" t="s">
        <v>58</v>
      </c>
      <c r="CH159" s="83">
        <v>0.2</v>
      </c>
      <c r="CJ159" s="83" t="s">
        <v>58</v>
      </c>
      <c r="CK159" s="83">
        <v>0.2</v>
      </c>
      <c r="CM159" s="83" t="s">
        <v>58</v>
      </c>
      <c r="CN159" s="83">
        <v>0.2</v>
      </c>
      <c r="CP159" s="83" t="s">
        <v>58</v>
      </c>
      <c r="CQ159" s="83">
        <v>0.2</v>
      </c>
      <c r="CS159" s="83" t="s">
        <v>58</v>
      </c>
      <c r="CT159" s="83">
        <v>0.2</v>
      </c>
      <c r="CV159" s="83" t="s">
        <v>58</v>
      </c>
      <c r="CW159" s="83">
        <v>0.2</v>
      </c>
    </row>
    <row r="161" spans="1:101" x14ac:dyDescent="0.2">
      <c r="A161" s="83" t="s">
        <v>59</v>
      </c>
      <c r="B161" s="83">
        <v>0.02</v>
      </c>
      <c r="D161" s="83" t="s">
        <v>59</v>
      </c>
      <c r="E161" s="83">
        <v>0.02</v>
      </c>
      <c r="G161" s="83" t="s">
        <v>59</v>
      </c>
      <c r="H161" s="83">
        <v>0.02</v>
      </c>
      <c r="J161" s="83" t="s">
        <v>59</v>
      </c>
      <c r="K161" s="83">
        <v>0.02</v>
      </c>
      <c r="M161" s="83" t="s">
        <v>59</v>
      </c>
      <c r="N161" s="83">
        <v>0.02</v>
      </c>
      <c r="P161" s="83" t="s">
        <v>59</v>
      </c>
      <c r="Q161" s="83">
        <v>0.02</v>
      </c>
      <c r="S161" s="83" t="s">
        <v>59</v>
      </c>
      <c r="T161" s="83">
        <v>0.02</v>
      </c>
      <c r="V161" s="83" t="s">
        <v>59</v>
      </c>
      <c r="W161" s="83">
        <v>0.02</v>
      </c>
      <c r="Y161" s="83" t="s">
        <v>59</v>
      </c>
      <c r="Z161" s="83">
        <v>0.02</v>
      </c>
      <c r="AB161" s="83" t="s">
        <v>59</v>
      </c>
      <c r="AC161" s="83">
        <v>0.02</v>
      </c>
      <c r="AE161" s="83" t="s">
        <v>59</v>
      </c>
      <c r="AF161" s="83">
        <v>0.02</v>
      </c>
      <c r="AH161" s="83" t="s">
        <v>59</v>
      </c>
      <c r="AI161" s="83">
        <v>0.02</v>
      </c>
      <c r="AK161" s="83" t="s">
        <v>59</v>
      </c>
      <c r="AL161" s="83">
        <v>0.02</v>
      </c>
      <c r="AN161" s="83" t="s">
        <v>59</v>
      </c>
      <c r="AO161" s="83">
        <v>0.02</v>
      </c>
      <c r="AQ161" s="83" t="s">
        <v>59</v>
      </c>
      <c r="AR161" s="83">
        <v>0.02</v>
      </c>
      <c r="AT161" s="83" t="s">
        <v>59</v>
      </c>
      <c r="AU161" s="83">
        <v>0.02</v>
      </c>
      <c r="AW161" s="83" t="s">
        <v>59</v>
      </c>
      <c r="AX161" s="83">
        <v>0.02</v>
      </c>
      <c r="AZ161" s="83" t="s">
        <v>59</v>
      </c>
      <c r="BA161" s="83">
        <v>0.02</v>
      </c>
      <c r="BC161" s="83" t="s">
        <v>59</v>
      </c>
      <c r="BD161" s="83">
        <v>0.02</v>
      </c>
      <c r="BF161" s="83" t="s">
        <v>59</v>
      </c>
      <c r="BG161" s="83">
        <v>0.02</v>
      </c>
      <c r="BI161" s="83" t="s">
        <v>59</v>
      </c>
      <c r="BJ161" s="83">
        <v>0.02</v>
      </c>
      <c r="BL161" s="83" t="s">
        <v>59</v>
      </c>
      <c r="BM161" s="83">
        <v>0.02</v>
      </c>
      <c r="BO161" s="83" t="s">
        <v>59</v>
      </c>
      <c r="BP161" s="83">
        <v>0.02</v>
      </c>
      <c r="BR161" s="83" t="s">
        <v>59</v>
      </c>
      <c r="BS161" s="83">
        <v>0.02</v>
      </c>
      <c r="BU161" s="83" t="s">
        <v>59</v>
      </c>
      <c r="BV161" s="83">
        <v>0.02</v>
      </c>
      <c r="BX161" s="83" t="s">
        <v>59</v>
      </c>
      <c r="BY161" s="83">
        <v>0.02</v>
      </c>
      <c r="CA161" s="83" t="s">
        <v>59</v>
      </c>
      <c r="CB161" s="83">
        <v>0.02</v>
      </c>
      <c r="CD161" s="83" t="s">
        <v>59</v>
      </c>
      <c r="CE161" s="83">
        <v>0.02</v>
      </c>
      <c r="CG161" s="83" t="s">
        <v>59</v>
      </c>
      <c r="CH161" s="83">
        <v>0.02</v>
      </c>
      <c r="CJ161" s="83" t="s">
        <v>59</v>
      </c>
      <c r="CK161" s="83">
        <v>0.02</v>
      </c>
      <c r="CM161" s="83" t="s">
        <v>59</v>
      </c>
      <c r="CN161" s="83">
        <v>0.02</v>
      </c>
      <c r="CP161" s="83" t="s">
        <v>59</v>
      </c>
      <c r="CQ161" s="83">
        <v>0.02</v>
      </c>
      <c r="CS161" s="83" t="s">
        <v>59</v>
      </c>
      <c r="CT161" s="83">
        <v>0.02</v>
      </c>
      <c r="CV161" s="83" t="s">
        <v>59</v>
      </c>
      <c r="CW161" s="83">
        <v>0.02</v>
      </c>
    </row>
    <row r="163" spans="1:101" x14ac:dyDescent="0.2">
      <c r="A163" s="83" t="s">
        <v>60</v>
      </c>
      <c r="B163" s="83">
        <v>1000</v>
      </c>
      <c r="D163" s="83" t="s">
        <v>60</v>
      </c>
      <c r="E163" s="83">
        <v>1000</v>
      </c>
      <c r="G163" s="83" t="s">
        <v>60</v>
      </c>
      <c r="H163" s="83">
        <v>1000</v>
      </c>
      <c r="J163" s="83" t="s">
        <v>60</v>
      </c>
      <c r="K163" s="83">
        <v>1000</v>
      </c>
      <c r="M163" s="83" t="s">
        <v>60</v>
      </c>
      <c r="N163" s="83">
        <v>1000</v>
      </c>
      <c r="P163" s="83" t="s">
        <v>60</v>
      </c>
      <c r="Q163" s="83">
        <v>1000</v>
      </c>
      <c r="S163" s="83" t="s">
        <v>60</v>
      </c>
      <c r="T163" s="83">
        <v>1000</v>
      </c>
      <c r="V163" s="83" t="s">
        <v>60</v>
      </c>
      <c r="W163" s="83">
        <v>1000</v>
      </c>
      <c r="Y163" s="83" t="s">
        <v>60</v>
      </c>
      <c r="Z163" s="83">
        <v>1000</v>
      </c>
      <c r="AB163" s="83" t="s">
        <v>60</v>
      </c>
      <c r="AC163" s="83">
        <v>1000</v>
      </c>
      <c r="AE163" s="83" t="s">
        <v>60</v>
      </c>
      <c r="AF163" s="83">
        <v>1000</v>
      </c>
      <c r="AH163" s="83" t="s">
        <v>60</v>
      </c>
      <c r="AI163" s="83">
        <v>1000</v>
      </c>
      <c r="AK163" s="83" t="s">
        <v>60</v>
      </c>
      <c r="AL163" s="83">
        <v>1000</v>
      </c>
      <c r="AN163" s="83" t="s">
        <v>60</v>
      </c>
      <c r="AO163" s="83">
        <v>1000</v>
      </c>
      <c r="AQ163" s="83" t="s">
        <v>60</v>
      </c>
      <c r="AR163" s="83">
        <v>1000</v>
      </c>
      <c r="AT163" s="83" t="s">
        <v>60</v>
      </c>
      <c r="AU163" s="83">
        <v>1000</v>
      </c>
      <c r="AW163" s="83" t="s">
        <v>60</v>
      </c>
      <c r="AX163" s="83">
        <v>1000</v>
      </c>
      <c r="AZ163" s="83" t="s">
        <v>60</v>
      </c>
      <c r="BA163" s="83">
        <v>1000</v>
      </c>
      <c r="BC163" s="83" t="s">
        <v>60</v>
      </c>
      <c r="BD163" s="83">
        <v>1000</v>
      </c>
      <c r="BF163" s="83" t="s">
        <v>60</v>
      </c>
      <c r="BG163" s="83">
        <v>1000</v>
      </c>
      <c r="BI163" s="83" t="s">
        <v>60</v>
      </c>
      <c r="BJ163" s="83">
        <v>1000</v>
      </c>
      <c r="BL163" s="83" t="s">
        <v>60</v>
      </c>
      <c r="BM163" s="83">
        <v>1000</v>
      </c>
      <c r="BO163" s="83" t="s">
        <v>60</v>
      </c>
      <c r="BP163" s="83">
        <v>1000</v>
      </c>
      <c r="BR163" s="83" t="s">
        <v>60</v>
      </c>
      <c r="BS163" s="83">
        <v>1000</v>
      </c>
      <c r="BU163" s="83" t="s">
        <v>60</v>
      </c>
      <c r="BV163" s="83">
        <v>1000</v>
      </c>
      <c r="BX163" s="83" t="s">
        <v>60</v>
      </c>
      <c r="BY163" s="83">
        <v>1000</v>
      </c>
      <c r="CA163" s="83" t="s">
        <v>60</v>
      </c>
      <c r="CB163" s="83">
        <v>1000</v>
      </c>
      <c r="CD163" s="83" t="s">
        <v>60</v>
      </c>
      <c r="CE163" s="83">
        <v>1000</v>
      </c>
      <c r="CG163" s="83" t="s">
        <v>60</v>
      </c>
      <c r="CH163" s="83">
        <v>1000</v>
      </c>
      <c r="CJ163" s="83" t="s">
        <v>60</v>
      </c>
      <c r="CK163" s="83">
        <v>1000</v>
      </c>
      <c r="CM163" s="83" t="s">
        <v>60</v>
      </c>
      <c r="CN163" s="83">
        <v>1000</v>
      </c>
      <c r="CP163" s="83" t="s">
        <v>60</v>
      </c>
      <c r="CQ163" s="83">
        <v>1000</v>
      </c>
      <c r="CS163" s="83" t="s">
        <v>60</v>
      </c>
      <c r="CT163" s="83">
        <v>1000</v>
      </c>
      <c r="CV163" s="83" t="s">
        <v>60</v>
      </c>
      <c r="CW163" s="83">
        <v>1000</v>
      </c>
    </row>
    <row r="165" spans="1:101" x14ac:dyDescent="0.2">
      <c r="A165" s="83" t="s">
        <v>62</v>
      </c>
      <c r="B165" s="83">
        <v>0.05</v>
      </c>
      <c r="D165" s="83" t="s">
        <v>62</v>
      </c>
      <c r="E165" s="83">
        <v>0.05</v>
      </c>
      <c r="G165" s="83" t="s">
        <v>62</v>
      </c>
      <c r="H165" s="83">
        <v>0.05</v>
      </c>
      <c r="J165" s="83" t="s">
        <v>62</v>
      </c>
      <c r="K165" s="83">
        <v>0.05</v>
      </c>
      <c r="M165" s="83" t="s">
        <v>62</v>
      </c>
      <c r="N165" s="83">
        <v>0.05</v>
      </c>
      <c r="P165" s="83" t="s">
        <v>62</v>
      </c>
      <c r="Q165" s="83">
        <v>0.05</v>
      </c>
      <c r="S165" s="83" t="s">
        <v>62</v>
      </c>
      <c r="T165" s="83">
        <v>0.05</v>
      </c>
      <c r="V165" s="83" t="s">
        <v>62</v>
      </c>
      <c r="W165" s="83">
        <v>0.05</v>
      </c>
      <c r="Y165" s="83" t="s">
        <v>62</v>
      </c>
      <c r="Z165" s="83">
        <v>0.05</v>
      </c>
      <c r="AB165" s="83" t="s">
        <v>62</v>
      </c>
      <c r="AC165" s="83">
        <v>0.05</v>
      </c>
      <c r="AE165" s="83" t="s">
        <v>62</v>
      </c>
      <c r="AF165" s="83">
        <v>0.05</v>
      </c>
      <c r="AH165" s="83" t="s">
        <v>62</v>
      </c>
      <c r="AI165" s="83">
        <v>0.05</v>
      </c>
      <c r="AK165" s="83" t="s">
        <v>62</v>
      </c>
      <c r="AL165" s="83">
        <v>0.05</v>
      </c>
      <c r="AN165" s="83" t="s">
        <v>62</v>
      </c>
      <c r="AO165" s="83">
        <v>0.05</v>
      </c>
      <c r="AQ165" s="83" t="s">
        <v>62</v>
      </c>
      <c r="AR165" s="83">
        <v>0.05</v>
      </c>
      <c r="AT165" s="83" t="s">
        <v>62</v>
      </c>
      <c r="AU165" s="83">
        <v>0.05</v>
      </c>
      <c r="AW165" s="83" t="s">
        <v>62</v>
      </c>
      <c r="AX165" s="83">
        <v>0.05</v>
      </c>
      <c r="AZ165" s="83" t="s">
        <v>62</v>
      </c>
      <c r="BA165" s="83">
        <v>0.05</v>
      </c>
      <c r="BC165" s="83" t="s">
        <v>62</v>
      </c>
      <c r="BD165" s="83">
        <v>0.05</v>
      </c>
      <c r="BF165" s="83" t="s">
        <v>62</v>
      </c>
      <c r="BG165" s="83">
        <v>0.05</v>
      </c>
      <c r="BI165" s="83" t="s">
        <v>62</v>
      </c>
      <c r="BJ165" s="83">
        <v>0.05</v>
      </c>
      <c r="BL165" s="83" t="s">
        <v>62</v>
      </c>
      <c r="BM165" s="83">
        <v>0.05</v>
      </c>
      <c r="BO165" s="83" t="s">
        <v>62</v>
      </c>
      <c r="BP165" s="83">
        <v>0.05</v>
      </c>
      <c r="BR165" s="83" t="s">
        <v>62</v>
      </c>
      <c r="BS165" s="83">
        <v>0.05</v>
      </c>
      <c r="BU165" s="83" t="s">
        <v>62</v>
      </c>
      <c r="BV165" s="83">
        <v>0.05</v>
      </c>
      <c r="BX165" s="83" t="s">
        <v>62</v>
      </c>
      <c r="BY165" s="83">
        <v>0.05</v>
      </c>
      <c r="CA165" s="83" t="s">
        <v>62</v>
      </c>
      <c r="CB165" s="83">
        <v>0.05</v>
      </c>
      <c r="CD165" s="83" t="s">
        <v>62</v>
      </c>
      <c r="CE165" s="83">
        <v>0.05</v>
      </c>
      <c r="CG165" s="83" t="s">
        <v>62</v>
      </c>
      <c r="CH165" s="83">
        <v>0.05</v>
      </c>
      <c r="CJ165" s="83" t="s">
        <v>62</v>
      </c>
      <c r="CK165" s="83">
        <v>0.05</v>
      </c>
      <c r="CM165" s="83" t="s">
        <v>62</v>
      </c>
      <c r="CN165" s="83">
        <v>0.05</v>
      </c>
      <c r="CP165" s="83" t="s">
        <v>62</v>
      </c>
      <c r="CQ165" s="83">
        <v>0.05</v>
      </c>
      <c r="CS165" s="83" t="s">
        <v>62</v>
      </c>
      <c r="CT165" s="83">
        <v>0.05</v>
      </c>
      <c r="CV165" s="83" t="s">
        <v>62</v>
      </c>
      <c r="CW165" s="83">
        <v>0.05</v>
      </c>
    </row>
    <row r="167" spans="1:101" x14ac:dyDescent="0.2">
      <c r="A167" s="83" t="s">
        <v>64</v>
      </c>
      <c r="B167" s="83">
        <v>-0.102297</v>
      </c>
      <c r="D167" s="83" t="s">
        <v>64</v>
      </c>
      <c r="E167" s="83">
        <v>-9.3031100000000005E-2</v>
      </c>
      <c r="G167" s="83" t="s">
        <v>64</v>
      </c>
      <c r="H167" s="83">
        <v>-8.8678499999999993E-2</v>
      </c>
      <c r="J167" s="83" t="s">
        <v>64</v>
      </c>
      <c r="K167" s="83">
        <v>-8.2840300000000006E-2</v>
      </c>
      <c r="M167" s="83" t="s">
        <v>64</v>
      </c>
      <c r="N167" s="83">
        <v>-8.5348400000000005E-2</v>
      </c>
      <c r="P167" s="83" t="s">
        <v>64</v>
      </c>
      <c r="Q167" s="83">
        <v>-8.3053799999999997E-2</v>
      </c>
      <c r="S167" s="83" t="s">
        <v>64</v>
      </c>
      <c r="T167" s="83">
        <v>-8.3233399999999999E-2</v>
      </c>
      <c r="V167" s="83" t="s">
        <v>64</v>
      </c>
      <c r="W167" s="83">
        <v>-8.6135100000000006E-2</v>
      </c>
      <c r="Y167" s="83" t="s">
        <v>64</v>
      </c>
      <c r="Z167" s="83">
        <v>-8.8994100000000007E-2</v>
      </c>
      <c r="AB167" s="83" t="s">
        <v>64</v>
      </c>
      <c r="AC167" s="83">
        <v>-9.3186900000000003E-2</v>
      </c>
      <c r="AE167" s="83" t="s">
        <v>64</v>
      </c>
      <c r="AF167" s="83">
        <v>-9.9197199999999999E-2</v>
      </c>
      <c r="AH167" s="83" t="s">
        <v>64</v>
      </c>
      <c r="AI167" s="83">
        <v>-0.10670399999999999</v>
      </c>
      <c r="AK167" s="83" t="s">
        <v>64</v>
      </c>
      <c r="AL167" s="83">
        <v>-0.10771699999999999</v>
      </c>
      <c r="AN167" s="83" t="s">
        <v>64</v>
      </c>
      <c r="AO167" s="83">
        <v>-0.11669300000000001</v>
      </c>
      <c r="AQ167" s="83" t="s">
        <v>64</v>
      </c>
      <c r="AR167" s="83">
        <v>-0.12582399999999999</v>
      </c>
      <c r="AT167" s="83" t="s">
        <v>64</v>
      </c>
      <c r="AU167" s="83">
        <v>-0.13619300000000001</v>
      </c>
      <c r="AW167" s="83" t="s">
        <v>64</v>
      </c>
      <c r="AX167" s="83">
        <v>-0.146534</v>
      </c>
      <c r="AZ167" s="83" t="s">
        <v>64</v>
      </c>
      <c r="BA167" s="83">
        <v>-0.15872700000000001</v>
      </c>
      <c r="BC167" s="83" t="s">
        <v>64</v>
      </c>
      <c r="BD167" s="83">
        <v>-0.17089799999999999</v>
      </c>
      <c r="BF167" s="83" t="s">
        <v>64</v>
      </c>
      <c r="BG167" s="83">
        <v>-0.184723</v>
      </c>
      <c r="BI167" s="83" t="s">
        <v>64</v>
      </c>
      <c r="BJ167" s="83">
        <v>-0.198772</v>
      </c>
      <c r="BL167" s="83" t="s">
        <v>64</v>
      </c>
      <c r="BM167" s="83">
        <v>-0.213667</v>
      </c>
      <c r="BO167" s="83" t="s">
        <v>64</v>
      </c>
      <c r="BP167" s="83">
        <v>-0.22939699999999999</v>
      </c>
      <c r="BR167" s="83" t="s">
        <v>64</v>
      </c>
      <c r="BS167" s="83">
        <v>-0.24506700000000001</v>
      </c>
      <c r="BU167" s="83" t="s">
        <v>64</v>
      </c>
      <c r="BV167" s="83">
        <v>-0.26295000000000002</v>
      </c>
      <c r="BX167" s="83" t="s">
        <v>64</v>
      </c>
      <c r="BY167" s="83">
        <v>-0.279005</v>
      </c>
      <c r="CA167" s="83" t="s">
        <v>64</v>
      </c>
      <c r="CB167" s="83">
        <v>-0.29780099999999998</v>
      </c>
      <c r="CD167" s="83" t="s">
        <v>64</v>
      </c>
      <c r="CE167" s="83">
        <v>-0.31669399999999998</v>
      </c>
      <c r="CG167" s="83" t="s">
        <v>64</v>
      </c>
      <c r="CH167" s="83">
        <v>-0.336505</v>
      </c>
      <c r="CJ167" s="83" t="s">
        <v>64</v>
      </c>
      <c r="CK167" s="83">
        <v>-0.356518</v>
      </c>
      <c r="CM167" s="83" t="s">
        <v>64</v>
      </c>
      <c r="CN167" s="83">
        <v>-0.377023</v>
      </c>
      <c r="CP167" s="83" t="s">
        <v>64</v>
      </c>
      <c r="CQ167" s="83">
        <v>-0.39963500000000002</v>
      </c>
      <c r="CS167" s="83" t="s">
        <v>64</v>
      </c>
      <c r="CT167" s="83">
        <v>-0.41876600000000003</v>
      </c>
      <c r="CV167" s="83" t="s">
        <v>64</v>
      </c>
      <c r="CW167" s="83">
        <v>-0.44396999999999998</v>
      </c>
    </row>
    <row r="169" spans="1:101" x14ac:dyDescent="0.2">
      <c r="A169" s="83" t="s">
        <v>76</v>
      </c>
      <c r="B169" s="83" t="s">
        <v>131</v>
      </c>
      <c r="D169" s="83" t="s">
        <v>76</v>
      </c>
      <c r="E169" s="83" t="s">
        <v>131</v>
      </c>
      <c r="G169" s="83" t="s">
        <v>76</v>
      </c>
      <c r="H169" s="83" t="s">
        <v>131</v>
      </c>
      <c r="J169" s="83" t="s">
        <v>76</v>
      </c>
      <c r="K169" s="83" t="s">
        <v>131</v>
      </c>
      <c r="M169" s="83" t="s">
        <v>76</v>
      </c>
      <c r="N169" s="83" t="s">
        <v>131</v>
      </c>
      <c r="P169" s="83" t="s">
        <v>76</v>
      </c>
      <c r="Q169" s="83" t="s">
        <v>131</v>
      </c>
      <c r="S169" s="83" t="s">
        <v>76</v>
      </c>
      <c r="T169" s="83" t="s">
        <v>131</v>
      </c>
      <c r="V169" s="83" t="s">
        <v>76</v>
      </c>
      <c r="W169" s="83" t="s">
        <v>131</v>
      </c>
      <c r="Y169" s="83" t="s">
        <v>76</v>
      </c>
      <c r="Z169" s="83" t="s">
        <v>131</v>
      </c>
      <c r="AB169" s="83" t="s">
        <v>76</v>
      </c>
      <c r="AC169" s="83" t="s">
        <v>131</v>
      </c>
      <c r="AE169" s="83" t="s">
        <v>76</v>
      </c>
      <c r="AF169" s="83" t="s">
        <v>131</v>
      </c>
      <c r="AH169" s="83" t="s">
        <v>76</v>
      </c>
      <c r="AI169" s="83" t="s">
        <v>131</v>
      </c>
      <c r="AK169" s="83" t="s">
        <v>76</v>
      </c>
      <c r="AL169" s="83" t="s">
        <v>131</v>
      </c>
      <c r="AN169" s="83" t="s">
        <v>76</v>
      </c>
      <c r="AO169" s="83" t="s">
        <v>131</v>
      </c>
      <c r="AQ169" s="83" t="s">
        <v>76</v>
      </c>
      <c r="AR169" s="83" t="s">
        <v>131</v>
      </c>
      <c r="AT169" s="83" t="s">
        <v>76</v>
      </c>
      <c r="AU169" s="83" t="s">
        <v>131</v>
      </c>
      <c r="AW169" s="83" t="s">
        <v>76</v>
      </c>
      <c r="AX169" s="83" t="s">
        <v>131</v>
      </c>
      <c r="AZ169" s="83" t="s">
        <v>76</v>
      </c>
      <c r="BA169" s="83" t="s">
        <v>131</v>
      </c>
      <c r="BC169" s="83" t="s">
        <v>76</v>
      </c>
      <c r="BD169" s="83" t="s">
        <v>131</v>
      </c>
      <c r="BF169" s="83" t="s">
        <v>76</v>
      </c>
      <c r="BG169" s="83" t="s">
        <v>131</v>
      </c>
      <c r="BI169" s="83" t="s">
        <v>76</v>
      </c>
      <c r="BJ169" s="83" t="s">
        <v>131</v>
      </c>
      <c r="BL169" s="83" t="s">
        <v>76</v>
      </c>
      <c r="BM169" s="83" t="s">
        <v>131</v>
      </c>
      <c r="BO169" s="83" t="s">
        <v>76</v>
      </c>
      <c r="BP169" s="83" t="s">
        <v>131</v>
      </c>
      <c r="BR169" s="83" t="s">
        <v>76</v>
      </c>
      <c r="BS169" s="83" t="s">
        <v>131</v>
      </c>
      <c r="BU169" s="83" t="s">
        <v>76</v>
      </c>
      <c r="BV169" s="83" t="s">
        <v>131</v>
      </c>
      <c r="BX169" s="83" t="s">
        <v>76</v>
      </c>
      <c r="BY169" s="83" t="s">
        <v>131</v>
      </c>
      <c r="CA169" s="83" t="s">
        <v>76</v>
      </c>
      <c r="CB169" s="83" t="s">
        <v>131</v>
      </c>
      <c r="CD169" s="83" t="s">
        <v>76</v>
      </c>
      <c r="CE169" s="83" t="s">
        <v>131</v>
      </c>
      <c r="CG169" s="83" t="s">
        <v>76</v>
      </c>
      <c r="CH169" s="83" t="s">
        <v>131</v>
      </c>
      <c r="CJ169" s="83" t="s">
        <v>76</v>
      </c>
      <c r="CK169" s="83" t="s">
        <v>131</v>
      </c>
      <c r="CM169" s="83" t="s">
        <v>76</v>
      </c>
      <c r="CN169" s="83" t="s">
        <v>131</v>
      </c>
      <c r="CP169" s="83" t="s">
        <v>76</v>
      </c>
      <c r="CQ169" s="83" t="s">
        <v>131</v>
      </c>
      <c r="CS169" s="83" t="s">
        <v>76</v>
      </c>
      <c r="CT169" s="83" t="s">
        <v>131</v>
      </c>
      <c r="CV169" s="83" t="s">
        <v>76</v>
      </c>
      <c r="CW169" s="83" t="s">
        <v>131</v>
      </c>
    </row>
    <row r="171" spans="1:101" x14ac:dyDescent="0.2">
      <c r="A171" s="83" t="s">
        <v>74</v>
      </c>
      <c r="B171" s="83" t="s">
        <v>131</v>
      </c>
      <c r="D171" s="83" t="s">
        <v>74</v>
      </c>
      <c r="E171" s="83" t="s">
        <v>131</v>
      </c>
      <c r="G171" s="83" t="s">
        <v>74</v>
      </c>
      <c r="H171" s="83" t="s">
        <v>131</v>
      </c>
      <c r="J171" s="83" t="s">
        <v>74</v>
      </c>
      <c r="K171" s="83" t="s">
        <v>131</v>
      </c>
      <c r="M171" s="83" t="s">
        <v>74</v>
      </c>
      <c r="N171" s="83" t="s">
        <v>131</v>
      </c>
      <c r="P171" s="83" t="s">
        <v>74</v>
      </c>
      <c r="Q171" s="83" t="s">
        <v>131</v>
      </c>
      <c r="S171" s="83" t="s">
        <v>74</v>
      </c>
      <c r="T171" s="83" t="s">
        <v>131</v>
      </c>
      <c r="V171" s="83" t="s">
        <v>74</v>
      </c>
      <c r="W171" s="83" t="s">
        <v>131</v>
      </c>
      <c r="Y171" s="83" t="s">
        <v>74</v>
      </c>
      <c r="Z171" s="83" t="s">
        <v>131</v>
      </c>
      <c r="AB171" s="83" t="s">
        <v>74</v>
      </c>
      <c r="AC171" s="83" t="s">
        <v>131</v>
      </c>
      <c r="AE171" s="83" t="s">
        <v>74</v>
      </c>
      <c r="AF171" s="83" t="s">
        <v>131</v>
      </c>
      <c r="AH171" s="83" t="s">
        <v>74</v>
      </c>
      <c r="AI171" s="83" t="s">
        <v>131</v>
      </c>
      <c r="AK171" s="83" t="s">
        <v>74</v>
      </c>
      <c r="AL171" s="83" t="s">
        <v>131</v>
      </c>
      <c r="AN171" s="83" t="s">
        <v>74</v>
      </c>
      <c r="AO171" s="83" t="s">
        <v>131</v>
      </c>
      <c r="AQ171" s="83" t="s">
        <v>74</v>
      </c>
      <c r="AR171" s="83" t="s">
        <v>131</v>
      </c>
      <c r="AT171" s="83" t="s">
        <v>74</v>
      </c>
      <c r="AU171" s="83" t="s">
        <v>131</v>
      </c>
      <c r="AW171" s="83" t="s">
        <v>74</v>
      </c>
      <c r="AX171" s="83" t="s">
        <v>131</v>
      </c>
      <c r="AZ171" s="83" t="s">
        <v>74</v>
      </c>
      <c r="BA171" s="83" t="s">
        <v>131</v>
      </c>
      <c r="BC171" s="83" t="s">
        <v>74</v>
      </c>
      <c r="BD171" s="83" t="s">
        <v>131</v>
      </c>
      <c r="BF171" s="83" t="s">
        <v>74</v>
      </c>
      <c r="BG171" s="83" t="s">
        <v>131</v>
      </c>
      <c r="BI171" s="83" t="s">
        <v>74</v>
      </c>
      <c r="BJ171" s="83" t="s">
        <v>131</v>
      </c>
      <c r="BL171" s="83" t="s">
        <v>74</v>
      </c>
      <c r="BM171" s="83" t="s">
        <v>131</v>
      </c>
      <c r="BO171" s="83" t="s">
        <v>74</v>
      </c>
      <c r="BP171" s="83" t="s">
        <v>131</v>
      </c>
      <c r="BR171" s="83" t="s">
        <v>74</v>
      </c>
      <c r="BS171" s="83" t="s">
        <v>131</v>
      </c>
      <c r="BU171" s="83" t="s">
        <v>74</v>
      </c>
      <c r="BV171" s="83" t="s">
        <v>131</v>
      </c>
      <c r="BX171" s="83" t="s">
        <v>74</v>
      </c>
      <c r="BY171" s="83" t="s">
        <v>131</v>
      </c>
      <c r="CA171" s="83" t="s">
        <v>74</v>
      </c>
      <c r="CB171" s="83" t="s">
        <v>131</v>
      </c>
      <c r="CD171" s="83" t="s">
        <v>74</v>
      </c>
      <c r="CE171" s="83" t="s">
        <v>131</v>
      </c>
      <c r="CG171" s="83" t="s">
        <v>74</v>
      </c>
      <c r="CH171" s="83" t="s">
        <v>131</v>
      </c>
      <c r="CJ171" s="83" t="s">
        <v>74</v>
      </c>
      <c r="CK171" s="83" t="s">
        <v>131</v>
      </c>
      <c r="CM171" s="83" t="s">
        <v>74</v>
      </c>
      <c r="CN171" s="83" t="s">
        <v>131</v>
      </c>
      <c r="CP171" s="83" t="s">
        <v>74</v>
      </c>
      <c r="CQ171" s="83" t="s">
        <v>131</v>
      </c>
      <c r="CS171" s="83" t="s">
        <v>74</v>
      </c>
      <c r="CT171" s="83" t="s">
        <v>131</v>
      </c>
      <c r="CV171" s="83" t="s">
        <v>74</v>
      </c>
      <c r="CW171" s="83" t="s">
        <v>131</v>
      </c>
    </row>
    <row r="173" spans="1:101" x14ac:dyDescent="0.2">
      <c r="A173" s="83" t="s">
        <v>75</v>
      </c>
      <c r="B173" s="83" t="s">
        <v>132</v>
      </c>
      <c r="D173" s="83" t="s">
        <v>75</v>
      </c>
      <c r="E173" s="83" t="s">
        <v>132</v>
      </c>
      <c r="G173" s="83" t="s">
        <v>75</v>
      </c>
      <c r="H173" s="83" t="s">
        <v>132</v>
      </c>
      <c r="J173" s="83" t="s">
        <v>75</v>
      </c>
      <c r="K173" s="83" t="s">
        <v>132</v>
      </c>
      <c r="M173" s="83" t="s">
        <v>75</v>
      </c>
      <c r="N173" s="83" t="s">
        <v>132</v>
      </c>
      <c r="P173" s="83" t="s">
        <v>75</v>
      </c>
      <c r="Q173" s="83" t="s">
        <v>132</v>
      </c>
      <c r="S173" s="83" t="s">
        <v>75</v>
      </c>
      <c r="T173" s="83" t="s">
        <v>132</v>
      </c>
      <c r="V173" s="83" t="s">
        <v>75</v>
      </c>
      <c r="W173" s="83" t="s">
        <v>132</v>
      </c>
      <c r="Y173" s="83" t="s">
        <v>75</v>
      </c>
      <c r="Z173" s="83" t="s">
        <v>132</v>
      </c>
      <c r="AB173" s="83" t="s">
        <v>75</v>
      </c>
      <c r="AC173" s="83" t="s">
        <v>132</v>
      </c>
      <c r="AE173" s="83" t="s">
        <v>75</v>
      </c>
      <c r="AF173" s="83" t="s">
        <v>132</v>
      </c>
      <c r="AH173" s="83" t="s">
        <v>75</v>
      </c>
      <c r="AI173" s="83" t="s">
        <v>132</v>
      </c>
      <c r="AK173" s="83" t="s">
        <v>75</v>
      </c>
      <c r="AL173" s="83" t="s">
        <v>132</v>
      </c>
      <c r="AN173" s="83" t="s">
        <v>75</v>
      </c>
      <c r="AO173" s="83" t="s">
        <v>132</v>
      </c>
      <c r="AQ173" s="83" t="s">
        <v>75</v>
      </c>
      <c r="AR173" s="83" t="s">
        <v>132</v>
      </c>
      <c r="AT173" s="83" t="s">
        <v>75</v>
      </c>
      <c r="AU173" s="83" t="s">
        <v>132</v>
      </c>
      <c r="AW173" s="83" t="s">
        <v>75</v>
      </c>
      <c r="AX173" s="83" t="s">
        <v>132</v>
      </c>
      <c r="AZ173" s="83" t="s">
        <v>75</v>
      </c>
      <c r="BA173" s="83" t="s">
        <v>132</v>
      </c>
      <c r="BC173" s="83" t="s">
        <v>75</v>
      </c>
      <c r="BD173" s="83" t="s">
        <v>132</v>
      </c>
      <c r="BF173" s="83" t="s">
        <v>75</v>
      </c>
      <c r="BG173" s="83" t="s">
        <v>132</v>
      </c>
      <c r="BI173" s="83" t="s">
        <v>75</v>
      </c>
      <c r="BJ173" s="83" t="s">
        <v>132</v>
      </c>
      <c r="BL173" s="83" t="s">
        <v>75</v>
      </c>
      <c r="BM173" s="83" t="s">
        <v>132</v>
      </c>
      <c r="BO173" s="83" t="s">
        <v>75</v>
      </c>
      <c r="BP173" s="83" t="s">
        <v>132</v>
      </c>
      <c r="BR173" s="83" t="s">
        <v>75</v>
      </c>
      <c r="BS173" s="83" t="s">
        <v>132</v>
      </c>
      <c r="BU173" s="83" t="s">
        <v>75</v>
      </c>
      <c r="BV173" s="83" t="s">
        <v>132</v>
      </c>
      <c r="BX173" s="83" t="s">
        <v>75</v>
      </c>
      <c r="BY173" s="83" t="s">
        <v>132</v>
      </c>
      <c r="CA173" s="83" t="s">
        <v>75</v>
      </c>
      <c r="CB173" s="83" t="s">
        <v>132</v>
      </c>
      <c r="CD173" s="83" t="s">
        <v>75</v>
      </c>
      <c r="CE173" s="83" t="s">
        <v>132</v>
      </c>
      <c r="CG173" s="83" t="s">
        <v>75</v>
      </c>
      <c r="CH173" s="83" t="s">
        <v>132</v>
      </c>
      <c r="CJ173" s="83" t="s">
        <v>75</v>
      </c>
      <c r="CK173" s="83" t="s">
        <v>132</v>
      </c>
      <c r="CM173" s="83" t="s">
        <v>75</v>
      </c>
      <c r="CN173" s="83" t="s">
        <v>132</v>
      </c>
      <c r="CP173" s="83" t="s">
        <v>75</v>
      </c>
      <c r="CQ173" s="83" t="s">
        <v>132</v>
      </c>
      <c r="CS173" s="83" t="s">
        <v>75</v>
      </c>
      <c r="CT173" s="83" t="s">
        <v>132</v>
      </c>
      <c r="CV173" s="83" t="s">
        <v>75</v>
      </c>
      <c r="CW173" s="83" t="s">
        <v>132</v>
      </c>
    </row>
    <row r="175" spans="1:101" x14ac:dyDescent="0.2">
      <c r="A175" s="83" t="s">
        <v>79</v>
      </c>
      <c r="B175" s="83">
        <v>20000</v>
      </c>
      <c r="D175" s="83" t="s">
        <v>79</v>
      </c>
      <c r="E175" s="83">
        <v>20000</v>
      </c>
      <c r="G175" s="83" t="s">
        <v>79</v>
      </c>
      <c r="H175" s="83">
        <v>20000</v>
      </c>
      <c r="J175" s="83" t="s">
        <v>79</v>
      </c>
      <c r="K175" s="83">
        <v>20000</v>
      </c>
      <c r="M175" s="83" t="s">
        <v>79</v>
      </c>
      <c r="N175" s="83">
        <v>20000</v>
      </c>
      <c r="P175" s="83" t="s">
        <v>79</v>
      </c>
      <c r="Q175" s="83">
        <v>20000</v>
      </c>
      <c r="S175" s="83" t="s">
        <v>79</v>
      </c>
      <c r="T175" s="83">
        <v>20000</v>
      </c>
      <c r="V175" s="83" t="s">
        <v>79</v>
      </c>
      <c r="W175" s="83">
        <v>20000</v>
      </c>
      <c r="Y175" s="83" t="s">
        <v>79</v>
      </c>
      <c r="Z175" s="83">
        <v>20000</v>
      </c>
      <c r="AB175" s="83" t="s">
        <v>79</v>
      </c>
      <c r="AC175" s="83">
        <v>20000</v>
      </c>
      <c r="AE175" s="83" t="s">
        <v>79</v>
      </c>
      <c r="AF175" s="83">
        <v>20000</v>
      </c>
      <c r="AH175" s="83" t="s">
        <v>79</v>
      </c>
      <c r="AI175" s="83">
        <v>20000</v>
      </c>
      <c r="AK175" s="83" t="s">
        <v>79</v>
      </c>
      <c r="AL175" s="83">
        <v>20000</v>
      </c>
      <c r="AN175" s="83" t="s">
        <v>79</v>
      </c>
      <c r="AO175" s="83">
        <v>20000</v>
      </c>
      <c r="AQ175" s="83" t="s">
        <v>79</v>
      </c>
      <c r="AR175" s="83">
        <v>20000</v>
      </c>
      <c r="AT175" s="83" t="s">
        <v>79</v>
      </c>
      <c r="AU175" s="83">
        <v>20000</v>
      </c>
      <c r="AW175" s="83" t="s">
        <v>79</v>
      </c>
      <c r="AX175" s="83">
        <v>20000</v>
      </c>
      <c r="AZ175" s="83" t="s">
        <v>79</v>
      </c>
      <c r="BA175" s="83">
        <v>20000</v>
      </c>
      <c r="BC175" s="83" t="s">
        <v>79</v>
      </c>
      <c r="BD175" s="83">
        <v>20000</v>
      </c>
      <c r="BF175" s="83" t="s">
        <v>79</v>
      </c>
      <c r="BG175" s="83">
        <v>20000</v>
      </c>
      <c r="BI175" s="83" t="s">
        <v>79</v>
      </c>
      <c r="BJ175" s="83">
        <v>20000</v>
      </c>
      <c r="BL175" s="83" t="s">
        <v>79</v>
      </c>
      <c r="BM175" s="83">
        <v>20000</v>
      </c>
      <c r="BO175" s="83" t="s">
        <v>79</v>
      </c>
      <c r="BP175" s="83">
        <v>20000</v>
      </c>
      <c r="BR175" s="83" t="s">
        <v>79</v>
      </c>
      <c r="BS175" s="83">
        <v>20000</v>
      </c>
      <c r="BU175" s="83" t="s">
        <v>79</v>
      </c>
      <c r="BV175" s="83">
        <v>20000</v>
      </c>
      <c r="BX175" s="83" t="s">
        <v>79</v>
      </c>
      <c r="BY175" s="83">
        <v>20000</v>
      </c>
      <c r="CA175" s="83" t="s">
        <v>79</v>
      </c>
      <c r="CB175" s="83">
        <v>20000</v>
      </c>
      <c r="CD175" s="83" t="s">
        <v>79</v>
      </c>
      <c r="CE175" s="83">
        <v>20000</v>
      </c>
      <c r="CG175" s="83" t="s">
        <v>79</v>
      </c>
      <c r="CH175" s="83">
        <v>20000</v>
      </c>
      <c r="CJ175" s="83" t="s">
        <v>79</v>
      </c>
      <c r="CK175" s="83">
        <v>20000</v>
      </c>
      <c r="CM175" s="83" t="s">
        <v>79</v>
      </c>
      <c r="CN175" s="83">
        <v>20000</v>
      </c>
      <c r="CP175" s="83" t="s">
        <v>79</v>
      </c>
      <c r="CQ175" s="83">
        <v>20000</v>
      </c>
      <c r="CS175" s="83" t="s">
        <v>79</v>
      </c>
      <c r="CT175" s="83">
        <v>20000</v>
      </c>
      <c r="CV175" s="83" t="s">
        <v>79</v>
      </c>
      <c r="CW175" s="83">
        <v>20000</v>
      </c>
    </row>
    <row r="177" spans="1:101" x14ac:dyDescent="0.2">
      <c r="A177" s="83" t="s">
        <v>77</v>
      </c>
      <c r="B177" s="83">
        <v>6</v>
      </c>
      <c r="D177" s="83" t="s">
        <v>77</v>
      </c>
      <c r="E177" s="83">
        <v>6</v>
      </c>
      <c r="G177" s="83" t="s">
        <v>77</v>
      </c>
      <c r="H177" s="83">
        <v>6</v>
      </c>
      <c r="J177" s="83" t="s">
        <v>77</v>
      </c>
      <c r="K177" s="83">
        <v>6</v>
      </c>
      <c r="M177" s="83" t="s">
        <v>77</v>
      </c>
      <c r="N177" s="83">
        <v>6</v>
      </c>
      <c r="P177" s="83" t="s">
        <v>77</v>
      </c>
      <c r="Q177" s="83">
        <v>6</v>
      </c>
      <c r="S177" s="83" t="s">
        <v>77</v>
      </c>
      <c r="T177" s="83">
        <v>6</v>
      </c>
      <c r="V177" s="83" t="s">
        <v>77</v>
      </c>
      <c r="W177" s="83">
        <v>6</v>
      </c>
      <c r="Y177" s="83" t="s">
        <v>77</v>
      </c>
      <c r="Z177" s="83">
        <v>6</v>
      </c>
      <c r="AB177" s="83" t="s">
        <v>77</v>
      </c>
      <c r="AC177" s="83">
        <v>6</v>
      </c>
      <c r="AE177" s="83" t="s">
        <v>77</v>
      </c>
      <c r="AF177" s="83">
        <v>6</v>
      </c>
      <c r="AH177" s="83" t="s">
        <v>77</v>
      </c>
      <c r="AI177" s="83">
        <v>6</v>
      </c>
      <c r="AK177" s="83" t="s">
        <v>77</v>
      </c>
      <c r="AL177" s="83">
        <v>6</v>
      </c>
      <c r="AN177" s="83" t="s">
        <v>77</v>
      </c>
      <c r="AO177" s="83">
        <v>6</v>
      </c>
      <c r="AQ177" s="83" t="s">
        <v>77</v>
      </c>
      <c r="AR177" s="83">
        <v>6</v>
      </c>
      <c r="AT177" s="83" t="s">
        <v>77</v>
      </c>
      <c r="AU177" s="83">
        <v>6</v>
      </c>
      <c r="AW177" s="83" t="s">
        <v>77</v>
      </c>
      <c r="AX177" s="83">
        <v>6</v>
      </c>
      <c r="AZ177" s="83" t="s">
        <v>77</v>
      </c>
      <c r="BA177" s="83">
        <v>6</v>
      </c>
      <c r="BC177" s="83" t="s">
        <v>77</v>
      </c>
      <c r="BD177" s="83">
        <v>6</v>
      </c>
      <c r="BF177" s="83" t="s">
        <v>77</v>
      </c>
      <c r="BG177" s="83">
        <v>6</v>
      </c>
      <c r="BI177" s="83" t="s">
        <v>77</v>
      </c>
      <c r="BJ177" s="83">
        <v>6</v>
      </c>
      <c r="BL177" s="83" t="s">
        <v>77</v>
      </c>
      <c r="BM177" s="83">
        <v>6</v>
      </c>
      <c r="BO177" s="83" t="s">
        <v>77</v>
      </c>
      <c r="BP177" s="83">
        <v>6</v>
      </c>
      <c r="BR177" s="83" t="s">
        <v>77</v>
      </c>
      <c r="BS177" s="83">
        <v>6</v>
      </c>
      <c r="BU177" s="83" t="s">
        <v>77</v>
      </c>
      <c r="BV177" s="83">
        <v>6</v>
      </c>
      <c r="BX177" s="83" t="s">
        <v>77</v>
      </c>
      <c r="BY177" s="83">
        <v>6</v>
      </c>
      <c r="CA177" s="83" t="s">
        <v>77</v>
      </c>
      <c r="CB177" s="83">
        <v>6</v>
      </c>
      <c r="CD177" s="83" t="s">
        <v>77</v>
      </c>
      <c r="CE177" s="83">
        <v>6</v>
      </c>
      <c r="CG177" s="83" t="s">
        <v>77</v>
      </c>
      <c r="CH177" s="83">
        <v>6</v>
      </c>
      <c r="CJ177" s="83" t="s">
        <v>77</v>
      </c>
      <c r="CK177" s="83">
        <v>6</v>
      </c>
      <c r="CM177" s="83" t="s">
        <v>77</v>
      </c>
      <c r="CN177" s="83">
        <v>6</v>
      </c>
      <c r="CP177" s="83" t="s">
        <v>77</v>
      </c>
      <c r="CQ177" s="83">
        <v>6</v>
      </c>
      <c r="CS177" s="83" t="s">
        <v>77</v>
      </c>
      <c r="CT177" s="83">
        <v>6</v>
      </c>
      <c r="CV177" s="83" t="s">
        <v>77</v>
      </c>
      <c r="CW177" s="83">
        <v>6</v>
      </c>
    </row>
    <row r="179" spans="1:101" x14ac:dyDescent="0.2">
      <c r="A179" s="83" t="s">
        <v>78</v>
      </c>
      <c r="B179" s="83">
        <v>1</v>
      </c>
      <c r="D179" s="83" t="s">
        <v>78</v>
      </c>
      <c r="E179" s="83">
        <v>1</v>
      </c>
      <c r="G179" s="83" t="s">
        <v>78</v>
      </c>
      <c r="H179" s="83">
        <v>1</v>
      </c>
      <c r="J179" s="83" t="s">
        <v>78</v>
      </c>
      <c r="K179" s="83">
        <v>1</v>
      </c>
      <c r="M179" s="83" t="s">
        <v>78</v>
      </c>
      <c r="N179" s="83">
        <v>1</v>
      </c>
      <c r="P179" s="83" t="s">
        <v>78</v>
      </c>
      <c r="Q179" s="83">
        <v>1</v>
      </c>
      <c r="S179" s="83" t="s">
        <v>78</v>
      </c>
      <c r="T179" s="83">
        <v>1</v>
      </c>
      <c r="V179" s="83" t="s">
        <v>78</v>
      </c>
      <c r="W179" s="83">
        <v>1</v>
      </c>
      <c r="Y179" s="83" t="s">
        <v>78</v>
      </c>
      <c r="Z179" s="83">
        <v>1</v>
      </c>
      <c r="AB179" s="83" t="s">
        <v>78</v>
      </c>
      <c r="AC179" s="83">
        <v>1</v>
      </c>
      <c r="AE179" s="83" t="s">
        <v>78</v>
      </c>
      <c r="AF179" s="83">
        <v>1</v>
      </c>
      <c r="AH179" s="83" t="s">
        <v>78</v>
      </c>
      <c r="AI179" s="83">
        <v>1</v>
      </c>
      <c r="AK179" s="83" t="s">
        <v>78</v>
      </c>
      <c r="AL179" s="83">
        <v>1</v>
      </c>
      <c r="AN179" s="83" t="s">
        <v>78</v>
      </c>
      <c r="AO179" s="83">
        <v>1</v>
      </c>
      <c r="AQ179" s="83" t="s">
        <v>78</v>
      </c>
      <c r="AR179" s="83">
        <v>1</v>
      </c>
      <c r="AT179" s="83" t="s">
        <v>78</v>
      </c>
      <c r="AU179" s="83">
        <v>1</v>
      </c>
      <c r="AW179" s="83" t="s">
        <v>78</v>
      </c>
      <c r="AX179" s="83">
        <v>1</v>
      </c>
      <c r="AZ179" s="83" t="s">
        <v>78</v>
      </c>
      <c r="BA179" s="83">
        <v>1</v>
      </c>
      <c r="BC179" s="83" t="s">
        <v>78</v>
      </c>
      <c r="BD179" s="83">
        <v>1</v>
      </c>
      <c r="BF179" s="83" t="s">
        <v>78</v>
      </c>
      <c r="BG179" s="83">
        <v>1</v>
      </c>
      <c r="BI179" s="83" t="s">
        <v>78</v>
      </c>
      <c r="BJ179" s="83">
        <v>1</v>
      </c>
      <c r="BL179" s="83" t="s">
        <v>78</v>
      </c>
      <c r="BM179" s="83">
        <v>1</v>
      </c>
      <c r="BO179" s="83" t="s">
        <v>78</v>
      </c>
      <c r="BP179" s="83">
        <v>1</v>
      </c>
      <c r="BR179" s="83" t="s">
        <v>78</v>
      </c>
      <c r="BS179" s="83">
        <v>1</v>
      </c>
      <c r="BU179" s="83" t="s">
        <v>78</v>
      </c>
      <c r="BV179" s="83">
        <v>1</v>
      </c>
      <c r="BX179" s="83" t="s">
        <v>78</v>
      </c>
      <c r="BY179" s="83">
        <v>1</v>
      </c>
      <c r="CA179" s="83" t="s">
        <v>78</v>
      </c>
      <c r="CB179" s="83">
        <v>1</v>
      </c>
      <c r="CD179" s="83" t="s">
        <v>78</v>
      </c>
      <c r="CE179" s="83">
        <v>1</v>
      </c>
      <c r="CG179" s="83" t="s">
        <v>78</v>
      </c>
      <c r="CH179" s="83">
        <v>1</v>
      </c>
      <c r="CJ179" s="83" t="s">
        <v>78</v>
      </c>
      <c r="CK179" s="83">
        <v>1</v>
      </c>
      <c r="CM179" s="83" t="s">
        <v>78</v>
      </c>
      <c r="CN179" s="83">
        <v>1</v>
      </c>
      <c r="CP179" s="83" t="s">
        <v>78</v>
      </c>
      <c r="CQ179" s="83">
        <v>1</v>
      </c>
      <c r="CS179" s="83" t="s">
        <v>78</v>
      </c>
      <c r="CT179" s="83">
        <v>1</v>
      </c>
      <c r="CV179" s="83" t="s">
        <v>78</v>
      </c>
      <c r="CW179" s="83">
        <v>1</v>
      </c>
    </row>
    <row r="181" spans="1:101" x14ac:dyDescent="0.2">
      <c r="A181" s="83" t="s">
        <v>81</v>
      </c>
      <c r="B181" s="83">
        <v>20</v>
      </c>
      <c r="D181" s="83" t="s">
        <v>81</v>
      </c>
      <c r="E181" s="83">
        <v>20</v>
      </c>
      <c r="G181" s="83" t="s">
        <v>81</v>
      </c>
      <c r="H181" s="83">
        <v>20</v>
      </c>
      <c r="J181" s="83" t="s">
        <v>81</v>
      </c>
      <c r="K181" s="83">
        <v>20</v>
      </c>
      <c r="M181" s="83" t="s">
        <v>81</v>
      </c>
      <c r="N181" s="83">
        <v>20</v>
      </c>
      <c r="P181" s="83" t="s">
        <v>81</v>
      </c>
      <c r="Q181" s="83">
        <v>20</v>
      </c>
      <c r="S181" s="83" t="s">
        <v>81</v>
      </c>
      <c r="T181" s="83">
        <v>20</v>
      </c>
      <c r="V181" s="83" t="s">
        <v>81</v>
      </c>
      <c r="W181" s="83">
        <v>20</v>
      </c>
      <c r="Y181" s="83" t="s">
        <v>81</v>
      </c>
      <c r="Z181" s="83">
        <v>20</v>
      </c>
      <c r="AB181" s="83" t="s">
        <v>81</v>
      </c>
      <c r="AC181" s="83">
        <v>20</v>
      </c>
      <c r="AE181" s="83" t="s">
        <v>81</v>
      </c>
      <c r="AF181" s="83">
        <v>20</v>
      </c>
      <c r="AH181" s="83" t="s">
        <v>81</v>
      </c>
      <c r="AI181" s="83">
        <v>20</v>
      </c>
      <c r="AK181" s="83" t="s">
        <v>81</v>
      </c>
      <c r="AL181" s="83">
        <v>20</v>
      </c>
      <c r="AN181" s="83" t="s">
        <v>81</v>
      </c>
      <c r="AO181" s="83">
        <v>20</v>
      </c>
      <c r="AQ181" s="83" t="s">
        <v>81</v>
      </c>
      <c r="AR181" s="83">
        <v>20</v>
      </c>
      <c r="AT181" s="83" t="s">
        <v>81</v>
      </c>
      <c r="AU181" s="83">
        <v>20</v>
      </c>
      <c r="AW181" s="83" t="s">
        <v>81</v>
      </c>
      <c r="AX181" s="83">
        <v>20</v>
      </c>
      <c r="AZ181" s="83" t="s">
        <v>81</v>
      </c>
      <c r="BA181" s="83">
        <v>20</v>
      </c>
      <c r="BC181" s="83" t="s">
        <v>81</v>
      </c>
      <c r="BD181" s="83">
        <v>20</v>
      </c>
      <c r="BF181" s="83" t="s">
        <v>81</v>
      </c>
      <c r="BG181" s="83">
        <v>20</v>
      </c>
      <c r="BI181" s="83" t="s">
        <v>81</v>
      </c>
      <c r="BJ181" s="83">
        <v>20</v>
      </c>
      <c r="BL181" s="83" t="s">
        <v>81</v>
      </c>
      <c r="BM181" s="83">
        <v>20</v>
      </c>
      <c r="BO181" s="83" t="s">
        <v>81</v>
      </c>
      <c r="BP181" s="83">
        <v>20</v>
      </c>
      <c r="BR181" s="83" t="s">
        <v>81</v>
      </c>
      <c r="BS181" s="83">
        <v>20</v>
      </c>
      <c r="BU181" s="83" t="s">
        <v>81</v>
      </c>
      <c r="BV181" s="83">
        <v>20</v>
      </c>
      <c r="BX181" s="83" t="s">
        <v>81</v>
      </c>
      <c r="BY181" s="83">
        <v>20</v>
      </c>
      <c r="CA181" s="83" t="s">
        <v>81</v>
      </c>
      <c r="CB181" s="83">
        <v>20</v>
      </c>
      <c r="CD181" s="83" t="s">
        <v>81</v>
      </c>
      <c r="CE181" s="83">
        <v>20</v>
      </c>
      <c r="CG181" s="83" t="s">
        <v>81</v>
      </c>
      <c r="CH181" s="83">
        <v>20</v>
      </c>
      <c r="CJ181" s="83" t="s">
        <v>81</v>
      </c>
      <c r="CK181" s="83">
        <v>20</v>
      </c>
      <c r="CM181" s="83" t="s">
        <v>81</v>
      </c>
      <c r="CN181" s="83">
        <v>20</v>
      </c>
      <c r="CP181" s="83" t="s">
        <v>81</v>
      </c>
      <c r="CQ181" s="83">
        <v>20</v>
      </c>
      <c r="CS181" s="83" t="s">
        <v>81</v>
      </c>
      <c r="CT181" s="83">
        <v>20</v>
      </c>
      <c r="CV181" s="83" t="s">
        <v>81</v>
      </c>
      <c r="CW181" s="83">
        <v>20</v>
      </c>
    </row>
    <row r="183" spans="1:101" x14ac:dyDescent="0.2">
      <c r="A183" s="83" t="s">
        <v>83</v>
      </c>
      <c r="B183" s="83">
        <v>1</v>
      </c>
      <c r="D183" s="83" t="s">
        <v>83</v>
      </c>
      <c r="E183" s="83">
        <v>1</v>
      </c>
      <c r="G183" s="83" t="s">
        <v>83</v>
      </c>
      <c r="H183" s="83">
        <v>1</v>
      </c>
      <c r="J183" s="83" t="s">
        <v>83</v>
      </c>
      <c r="K183" s="83">
        <v>1</v>
      </c>
      <c r="M183" s="83" t="s">
        <v>83</v>
      </c>
      <c r="N183" s="83">
        <v>1</v>
      </c>
      <c r="P183" s="83" t="s">
        <v>83</v>
      </c>
      <c r="Q183" s="83">
        <v>1</v>
      </c>
      <c r="S183" s="83" t="s">
        <v>83</v>
      </c>
      <c r="T183" s="83">
        <v>1</v>
      </c>
      <c r="V183" s="83" t="s">
        <v>83</v>
      </c>
      <c r="W183" s="83">
        <v>1</v>
      </c>
      <c r="Y183" s="83" t="s">
        <v>83</v>
      </c>
      <c r="Z183" s="83">
        <v>1</v>
      </c>
      <c r="AB183" s="83" t="s">
        <v>83</v>
      </c>
      <c r="AC183" s="83">
        <v>1</v>
      </c>
      <c r="AE183" s="83" t="s">
        <v>83</v>
      </c>
      <c r="AF183" s="83">
        <v>1</v>
      </c>
      <c r="AH183" s="83" t="s">
        <v>83</v>
      </c>
      <c r="AI183" s="83">
        <v>1</v>
      </c>
      <c r="AK183" s="83" t="s">
        <v>83</v>
      </c>
      <c r="AL183" s="83">
        <v>1</v>
      </c>
      <c r="AN183" s="83" t="s">
        <v>83</v>
      </c>
      <c r="AO183" s="83">
        <v>1</v>
      </c>
      <c r="AQ183" s="83" t="s">
        <v>83</v>
      </c>
      <c r="AR183" s="83">
        <v>1</v>
      </c>
      <c r="AT183" s="83" t="s">
        <v>83</v>
      </c>
      <c r="AU183" s="83">
        <v>1</v>
      </c>
      <c r="AW183" s="83" t="s">
        <v>83</v>
      </c>
      <c r="AX183" s="83">
        <v>1</v>
      </c>
      <c r="AZ183" s="83" t="s">
        <v>83</v>
      </c>
      <c r="BA183" s="83">
        <v>1</v>
      </c>
      <c r="BC183" s="83" t="s">
        <v>83</v>
      </c>
      <c r="BD183" s="83">
        <v>1</v>
      </c>
      <c r="BF183" s="83" t="s">
        <v>83</v>
      </c>
      <c r="BG183" s="83">
        <v>1</v>
      </c>
      <c r="BI183" s="83" t="s">
        <v>83</v>
      </c>
      <c r="BJ183" s="83">
        <v>1</v>
      </c>
      <c r="BL183" s="83" t="s">
        <v>83</v>
      </c>
      <c r="BM183" s="83">
        <v>1</v>
      </c>
      <c r="BO183" s="83" t="s">
        <v>83</v>
      </c>
      <c r="BP183" s="83">
        <v>1</v>
      </c>
      <c r="BR183" s="83" t="s">
        <v>83</v>
      </c>
      <c r="BS183" s="83">
        <v>1</v>
      </c>
      <c r="BU183" s="83" t="s">
        <v>83</v>
      </c>
      <c r="BV183" s="83">
        <v>1</v>
      </c>
      <c r="BX183" s="83" t="s">
        <v>83</v>
      </c>
      <c r="BY183" s="83">
        <v>1</v>
      </c>
      <c r="CA183" s="83" t="s">
        <v>83</v>
      </c>
      <c r="CB183" s="83">
        <v>1</v>
      </c>
      <c r="CD183" s="83" t="s">
        <v>83</v>
      </c>
      <c r="CE183" s="83">
        <v>1</v>
      </c>
      <c r="CG183" s="83" t="s">
        <v>83</v>
      </c>
      <c r="CH183" s="83">
        <v>1</v>
      </c>
      <c r="CJ183" s="83" t="s">
        <v>83</v>
      </c>
      <c r="CK183" s="83">
        <v>1</v>
      </c>
      <c r="CM183" s="83" t="s">
        <v>83</v>
      </c>
      <c r="CN183" s="83">
        <v>1</v>
      </c>
      <c r="CP183" s="83" t="s">
        <v>83</v>
      </c>
      <c r="CQ183" s="83">
        <v>1</v>
      </c>
      <c r="CS183" s="83" t="s">
        <v>83</v>
      </c>
      <c r="CT183" s="83">
        <v>1</v>
      </c>
      <c r="CV183" s="83" t="s">
        <v>83</v>
      </c>
      <c r="CW183" s="83">
        <v>1</v>
      </c>
    </row>
    <row r="185" spans="1:101" x14ac:dyDescent="0.2">
      <c r="A185" s="83" t="s">
        <v>84</v>
      </c>
      <c r="B185" s="83" t="s">
        <v>132</v>
      </c>
      <c r="D185" s="83" t="s">
        <v>84</v>
      </c>
      <c r="E185" s="83" t="s">
        <v>132</v>
      </c>
      <c r="G185" s="83" t="s">
        <v>84</v>
      </c>
      <c r="H185" s="83" t="s">
        <v>132</v>
      </c>
      <c r="J185" s="83" t="s">
        <v>84</v>
      </c>
      <c r="K185" s="83" t="s">
        <v>132</v>
      </c>
      <c r="M185" s="83" t="s">
        <v>84</v>
      </c>
      <c r="N185" s="83" t="s">
        <v>132</v>
      </c>
      <c r="P185" s="83" t="s">
        <v>84</v>
      </c>
      <c r="Q185" s="83" t="s">
        <v>132</v>
      </c>
      <c r="S185" s="83" t="s">
        <v>84</v>
      </c>
      <c r="T185" s="83" t="s">
        <v>132</v>
      </c>
      <c r="V185" s="83" t="s">
        <v>84</v>
      </c>
      <c r="W185" s="83" t="s">
        <v>132</v>
      </c>
      <c r="Y185" s="83" t="s">
        <v>84</v>
      </c>
      <c r="Z185" s="83" t="s">
        <v>132</v>
      </c>
      <c r="AB185" s="83" t="s">
        <v>84</v>
      </c>
      <c r="AC185" s="83" t="s">
        <v>132</v>
      </c>
      <c r="AE185" s="83" t="s">
        <v>84</v>
      </c>
      <c r="AF185" s="83" t="s">
        <v>132</v>
      </c>
      <c r="AH185" s="83" t="s">
        <v>84</v>
      </c>
      <c r="AI185" s="83" t="s">
        <v>132</v>
      </c>
      <c r="AK185" s="83" t="s">
        <v>84</v>
      </c>
      <c r="AL185" s="83" t="s">
        <v>132</v>
      </c>
      <c r="AN185" s="83" t="s">
        <v>84</v>
      </c>
      <c r="AO185" s="83" t="s">
        <v>132</v>
      </c>
      <c r="AQ185" s="83" t="s">
        <v>84</v>
      </c>
      <c r="AR185" s="83" t="s">
        <v>132</v>
      </c>
      <c r="AT185" s="83" t="s">
        <v>84</v>
      </c>
      <c r="AU185" s="83" t="s">
        <v>132</v>
      </c>
      <c r="AW185" s="83" t="s">
        <v>84</v>
      </c>
      <c r="AX185" s="83" t="s">
        <v>132</v>
      </c>
      <c r="AZ185" s="83" t="s">
        <v>84</v>
      </c>
      <c r="BA185" s="83" t="s">
        <v>132</v>
      </c>
      <c r="BC185" s="83" t="s">
        <v>84</v>
      </c>
      <c r="BD185" s="83" t="s">
        <v>132</v>
      </c>
      <c r="BF185" s="83" t="s">
        <v>84</v>
      </c>
      <c r="BG185" s="83" t="s">
        <v>132</v>
      </c>
      <c r="BI185" s="83" t="s">
        <v>84</v>
      </c>
      <c r="BJ185" s="83" t="s">
        <v>132</v>
      </c>
      <c r="BL185" s="83" t="s">
        <v>84</v>
      </c>
      <c r="BM185" s="83" t="s">
        <v>132</v>
      </c>
      <c r="BO185" s="83" t="s">
        <v>84</v>
      </c>
      <c r="BP185" s="83" t="s">
        <v>132</v>
      </c>
      <c r="BR185" s="83" t="s">
        <v>84</v>
      </c>
      <c r="BS185" s="83" t="s">
        <v>132</v>
      </c>
      <c r="BU185" s="83" t="s">
        <v>84</v>
      </c>
      <c r="BV185" s="83" t="s">
        <v>132</v>
      </c>
      <c r="BX185" s="83" t="s">
        <v>84</v>
      </c>
      <c r="BY185" s="83" t="s">
        <v>132</v>
      </c>
      <c r="CA185" s="83" t="s">
        <v>84</v>
      </c>
      <c r="CB185" s="83" t="s">
        <v>132</v>
      </c>
      <c r="CD185" s="83" t="s">
        <v>84</v>
      </c>
      <c r="CE185" s="83" t="s">
        <v>132</v>
      </c>
      <c r="CG185" s="83" t="s">
        <v>84</v>
      </c>
      <c r="CH185" s="83" t="s">
        <v>132</v>
      </c>
      <c r="CJ185" s="83" t="s">
        <v>84</v>
      </c>
      <c r="CK185" s="83" t="s">
        <v>132</v>
      </c>
      <c r="CM185" s="83" t="s">
        <v>84</v>
      </c>
      <c r="CN185" s="83" t="s">
        <v>132</v>
      </c>
      <c r="CP185" s="83" t="s">
        <v>84</v>
      </c>
      <c r="CQ185" s="83" t="s">
        <v>132</v>
      </c>
      <c r="CS185" s="83" t="s">
        <v>84</v>
      </c>
      <c r="CT185" s="83" t="s">
        <v>132</v>
      </c>
      <c r="CV185" s="83" t="s">
        <v>84</v>
      </c>
      <c r="CW185" s="83" t="s">
        <v>132</v>
      </c>
    </row>
    <row r="187" spans="1:101" x14ac:dyDescent="0.2">
      <c r="A187" s="83" t="s">
        <v>85</v>
      </c>
      <c r="D187" s="83" t="s">
        <v>85</v>
      </c>
      <c r="G187" s="83" t="s">
        <v>85</v>
      </c>
      <c r="J187" s="83" t="s">
        <v>85</v>
      </c>
      <c r="M187" s="83" t="s">
        <v>85</v>
      </c>
      <c r="P187" s="83" t="s">
        <v>85</v>
      </c>
      <c r="S187" s="83" t="s">
        <v>85</v>
      </c>
      <c r="V187" s="83" t="s">
        <v>85</v>
      </c>
      <c r="Y187" s="83" t="s">
        <v>85</v>
      </c>
      <c r="AB187" s="83" t="s">
        <v>85</v>
      </c>
      <c r="AE187" s="83" t="s">
        <v>85</v>
      </c>
      <c r="AH187" s="83" t="s">
        <v>85</v>
      </c>
      <c r="AK187" s="83" t="s">
        <v>85</v>
      </c>
      <c r="AN187" s="83" t="s">
        <v>85</v>
      </c>
      <c r="AQ187" s="83" t="s">
        <v>85</v>
      </c>
      <c r="AT187" s="83" t="s">
        <v>85</v>
      </c>
      <c r="AW187" s="83" t="s">
        <v>85</v>
      </c>
      <c r="AZ187" s="83" t="s">
        <v>85</v>
      </c>
      <c r="BC187" s="83" t="s">
        <v>85</v>
      </c>
      <c r="BF187" s="83" t="s">
        <v>85</v>
      </c>
      <c r="BI187" s="83" t="s">
        <v>85</v>
      </c>
      <c r="BL187" s="83" t="s">
        <v>85</v>
      </c>
      <c r="BO187" s="83" t="s">
        <v>85</v>
      </c>
      <c r="BR187" s="83" t="s">
        <v>85</v>
      </c>
      <c r="BU187" s="83" t="s">
        <v>85</v>
      </c>
      <c r="BX187" s="83" t="s">
        <v>85</v>
      </c>
      <c r="CA187" s="83" t="s">
        <v>85</v>
      </c>
      <c r="CD187" s="83" t="s">
        <v>85</v>
      </c>
      <c r="CG187" s="83" t="s">
        <v>85</v>
      </c>
      <c r="CJ187" s="83" t="s">
        <v>85</v>
      </c>
      <c r="CM187" s="83" t="s">
        <v>85</v>
      </c>
      <c r="CP187" s="83" t="s">
        <v>85</v>
      </c>
      <c r="CS187" s="83" t="s">
        <v>85</v>
      </c>
      <c r="CV187" s="83" t="s">
        <v>85</v>
      </c>
    </row>
    <row r="188" spans="1:101" x14ac:dyDescent="0.2">
      <c r="A188" s="83" t="s">
        <v>99</v>
      </c>
      <c r="B188" s="83">
        <v>1</v>
      </c>
      <c r="D188" s="83" t="s">
        <v>99</v>
      </c>
      <c r="E188" s="83">
        <v>1</v>
      </c>
      <c r="G188" s="83" t="s">
        <v>99</v>
      </c>
      <c r="H188" s="83">
        <v>1</v>
      </c>
      <c r="J188" s="83" t="s">
        <v>99</v>
      </c>
      <c r="K188" s="83">
        <v>1</v>
      </c>
      <c r="M188" s="83" t="s">
        <v>99</v>
      </c>
      <c r="N188" s="83">
        <v>1</v>
      </c>
      <c r="P188" s="83" t="s">
        <v>99</v>
      </c>
      <c r="Q188" s="83">
        <v>1</v>
      </c>
      <c r="S188" s="83" t="s">
        <v>99</v>
      </c>
      <c r="T188" s="83">
        <v>1</v>
      </c>
      <c r="V188" s="83" t="s">
        <v>99</v>
      </c>
      <c r="W188" s="83">
        <v>1</v>
      </c>
      <c r="Y188" s="83" t="s">
        <v>99</v>
      </c>
      <c r="Z188" s="83">
        <v>1</v>
      </c>
      <c r="AB188" s="83" t="s">
        <v>99</v>
      </c>
      <c r="AC188" s="83">
        <v>1</v>
      </c>
      <c r="AE188" s="83" t="s">
        <v>99</v>
      </c>
      <c r="AF188" s="83">
        <v>1</v>
      </c>
      <c r="AH188" s="83" t="s">
        <v>99</v>
      </c>
      <c r="AI188" s="83">
        <v>1</v>
      </c>
      <c r="AK188" s="83" t="s">
        <v>99</v>
      </c>
      <c r="AL188" s="83">
        <v>1</v>
      </c>
      <c r="AN188" s="83" t="s">
        <v>99</v>
      </c>
      <c r="AO188" s="83">
        <v>1</v>
      </c>
      <c r="AQ188" s="83" t="s">
        <v>99</v>
      </c>
      <c r="AR188" s="83">
        <v>1</v>
      </c>
      <c r="AT188" s="83" t="s">
        <v>99</v>
      </c>
      <c r="AU188" s="83">
        <v>1</v>
      </c>
      <c r="AW188" s="83" t="s">
        <v>99</v>
      </c>
      <c r="AX188" s="83">
        <v>1</v>
      </c>
      <c r="AZ188" s="83" t="s">
        <v>99</v>
      </c>
      <c r="BA188" s="83">
        <v>1</v>
      </c>
      <c r="BC188" s="83" t="s">
        <v>99</v>
      </c>
      <c r="BD188" s="83">
        <v>1</v>
      </c>
      <c r="BF188" s="83" t="s">
        <v>99</v>
      </c>
      <c r="BG188" s="83">
        <v>1</v>
      </c>
      <c r="BI188" s="83" t="s">
        <v>99</v>
      </c>
      <c r="BJ188" s="83">
        <v>1</v>
      </c>
      <c r="BL188" s="83" t="s">
        <v>99</v>
      </c>
      <c r="BM188" s="83">
        <v>1</v>
      </c>
      <c r="BO188" s="83" t="s">
        <v>99</v>
      </c>
      <c r="BP188" s="83">
        <v>1</v>
      </c>
      <c r="BR188" s="83" t="s">
        <v>99</v>
      </c>
      <c r="BS188" s="83">
        <v>1</v>
      </c>
      <c r="BU188" s="83" t="s">
        <v>99</v>
      </c>
      <c r="BV188" s="83">
        <v>1</v>
      </c>
      <c r="BX188" s="83" t="s">
        <v>99</v>
      </c>
      <c r="BY188" s="83">
        <v>1</v>
      </c>
      <c r="CA188" s="83" t="s">
        <v>99</v>
      </c>
      <c r="CB188" s="83">
        <v>1</v>
      </c>
      <c r="CD188" s="83" t="s">
        <v>99</v>
      </c>
      <c r="CE188" s="83">
        <v>1</v>
      </c>
      <c r="CG188" s="83" t="s">
        <v>99</v>
      </c>
      <c r="CH188" s="83">
        <v>1</v>
      </c>
      <c r="CJ188" s="83" t="s">
        <v>99</v>
      </c>
      <c r="CK188" s="83">
        <v>1</v>
      </c>
      <c r="CM188" s="83" t="s">
        <v>99</v>
      </c>
      <c r="CN188" s="83">
        <v>1</v>
      </c>
      <c r="CP188" s="83" t="s">
        <v>99</v>
      </c>
      <c r="CQ188" s="83">
        <v>1</v>
      </c>
      <c r="CS188" s="83" t="s">
        <v>99</v>
      </c>
      <c r="CT188" s="83">
        <v>1</v>
      </c>
      <c r="CV188" s="83" t="s">
        <v>99</v>
      </c>
      <c r="CW188" s="83">
        <v>1</v>
      </c>
    </row>
    <row r="190" spans="1:101" x14ac:dyDescent="0.2">
      <c r="A190" s="83" t="s">
        <v>100</v>
      </c>
      <c r="B190" s="83">
        <v>1</v>
      </c>
      <c r="D190" s="83" t="s">
        <v>100</v>
      </c>
      <c r="E190" s="83">
        <v>1</v>
      </c>
      <c r="G190" s="83" t="s">
        <v>100</v>
      </c>
      <c r="H190" s="83">
        <v>1</v>
      </c>
      <c r="J190" s="83" t="s">
        <v>100</v>
      </c>
      <c r="K190" s="83">
        <v>1</v>
      </c>
      <c r="M190" s="83" t="s">
        <v>100</v>
      </c>
      <c r="N190" s="83">
        <v>1</v>
      </c>
      <c r="P190" s="83" t="s">
        <v>100</v>
      </c>
      <c r="Q190" s="83">
        <v>1</v>
      </c>
      <c r="S190" s="83" t="s">
        <v>100</v>
      </c>
      <c r="T190" s="83">
        <v>1</v>
      </c>
      <c r="V190" s="83" t="s">
        <v>100</v>
      </c>
      <c r="W190" s="83">
        <v>1</v>
      </c>
      <c r="Y190" s="83" t="s">
        <v>100</v>
      </c>
      <c r="Z190" s="83">
        <v>1</v>
      </c>
      <c r="AB190" s="83" t="s">
        <v>100</v>
      </c>
      <c r="AC190" s="83">
        <v>1</v>
      </c>
      <c r="AE190" s="83" t="s">
        <v>100</v>
      </c>
      <c r="AF190" s="83">
        <v>1</v>
      </c>
      <c r="AH190" s="83" t="s">
        <v>100</v>
      </c>
      <c r="AI190" s="83">
        <v>1</v>
      </c>
      <c r="AK190" s="83" t="s">
        <v>100</v>
      </c>
      <c r="AL190" s="83">
        <v>1</v>
      </c>
      <c r="AN190" s="83" t="s">
        <v>100</v>
      </c>
      <c r="AO190" s="83">
        <v>1</v>
      </c>
      <c r="AQ190" s="83" t="s">
        <v>100</v>
      </c>
      <c r="AR190" s="83">
        <v>1</v>
      </c>
      <c r="AT190" s="83" t="s">
        <v>100</v>
      </c>
      <c r="AU190" s="83">
        <v>1</v>
      </c>
      <c r="AW190" s="83" t="s">
        <v>100</v>
      </c>
      <c r="AX190" s="83">
        <v>1</v>
      </c>
      <c r="AZ190" s="83" t="s">
        <v>100</v>
      </c>
      <c r="BA190" s="83">
        <v>1</v>
      </c>
      <c r="BC190" s="83" t="s">
        <v>100</v>
      </c>
      <c r="BD190" s="83">
        <v>1</v>
      </c>
      <c r="BF190" s="83" t="s">
        <v>100</v>
      </c>
      <c r="BG190" s="83">
        <v>1</v>
      </c>
      <c r="BI190" s="83" t="s">
        <v>100</v>
      </c>
      <c r="BJ190" s="83">
        <v>1</v>
      </c>
      <c r="BL190" s="83" t="s">
        <v>100</v>
      </c>
      <c r="BM190" s="83">
        <v>1</v>
      </c>
      <c r="BO190" s="83" t="s">
        <v>100</v>
      </c>
      <c r="BP190" s="83">
        <v>1</v>
      </c>
      <c r="BR190" s="83" t="s">
        <v>100</v>
      </c>
      <c r="BS190" s="83">
        <v>1</v>
      </c>
      <c r="BU190" s="83" t="s">
        <v>100</v>
      </c>
      <c r="BV190" s="83">
        <v>1</v>
      </c>
      <c r="BX190" s="83" t="s">
        <v>100</v>
      </c>
      <c r="BY190" s="83">
        <v>1</v>
      </c>
      <c r="CA190" s="83" t="s">
        <v>100</v>
      </c>
      <c r="CB190" s="83">
        <v>1</v>
      </c>
      <c r="CD190" s="83" t="s">
        <v>100</v>
      </c>
      <c r="CE190" s="83">
        <v>1</v>
      </c>
      <c r="CG190" s="83" t="s">
        <v>100</v>
      </c>
      <c r="CH190" s="83">
        <v>1</v>
      </c>
      <c r="CJ190" s="83" t="s">
        <v>100</v>
      </c>
      <c r="CK190" s="83">
        <v>1</v>
      </c>
      <c r="CM190" s="83" t="s">
        <v>100</v>
      </c>
      <c r="CN190" s="83">
        <v>1</v>
      </c>
      <c r="CP190" s="83" t="s">
        <v>100</v>
      </c>
      <c r="CQ190" s="83">
        <v>1</v>
      </c>
      <c r="CS190" s="83" t="s">
        <v>100</v>
      </c>
      <c r="CT190" s="83">
        <v>1</v>
      </c>
      <c r="CV190" s="83" t="s">
        <v>100</v>
      </c>
      <c r="CW190" s="83">
        <v>1</v>
      </c>
    </row>
    <row r="192" spans="1:101" x14ac:dyDescent="0.2">
      <c r="A192" s="83" t="s">
        <v>101</v>
      </c>
      <c r="B192" s="83">
        <v>1</v>
      </c>
      <c r="D192" s="83" t="s">
        <v>101</v>
      </c>
      <c r="E192" s="83">
        <v>1</v>
      </c>
      <c r="G192" s="83" t="s">
        <v>101</v>
      </c>
      <c r="H192" s="83">
        <v>1</v>
      </c>
      <c r="J192" s="83" t="s">
        <v>101</v>
      </c>
      <c r="K192" s="83">
        <v>1</v>
      </c>
      <c r="M192" s="83" t="s">
        <v>101</v>
      </c>
      <c r="N192" s="83">
        <v>1</v>
      </c>
      <c r="P192" s="83" t="s">
        <v>101</v>
      </c>
      <c r="Q192" s="83">
        <v>1</v>
      </c>
      <c r="S192" s="83" t="s">
        <v>101</v>
      </c>
      <c r="T192" s="83">
        <v>1</v>
      </c>
      <c r="V192" s="83" t="s">
        <v>101</v>
      </c>
      <c r="W192" s="83">
        <v>1</v>
      </c>
      <c r="Y192" s="83" t="s">
        <v>101</v>
      </c>
      <c r="Z192" s="83">
        <v>1</v>
      </c>
      <c r="AB192" s="83" t="s">
        <v>101</v>
      </c>
      <c r="AC192" s="83">
        <v>1</v>
      </c>
      <c r="AE192" s="83" t="s">
        <v>101</v>
      </c>
      <c r="AF192" s="83">
        <v>1</v>
      </c>
      <c r="AH192" s="83" t="s">
        <v>101</v>
      </c>
      <c r="AI192" s="83">
        <v>1</v>
      </c>
      <c r="AK192" s="83" t="s">
        <v>101</v>
      </c>
      <c r="AL192" s="83">
        <v>1</v>
      </c>
      <c r="AN192" s="83" t="s">
        <v>101</v>
      </c>
      <c r="AO192" s="83">
        <v>1</v>
      </c>
      <c r="AQ192" s="83" t="s">
        <v>101</v>
      </c>
      <c r="AR192" s="83">
        <v>1</v>
      </c>
      <c r="AT192" s="83" t="s">
        <v>101</v>
      </c>
      <c r="AU192" s="83">
        <v>1</v>
      </c>
      <c r="AW192" s="83" t="s">
        <v>101</v>
      </c>
      <c r="AX192" s="83">
        <v>1</v>
      </c>
      <c r="AZ192" s="83" t="s">
        <v>101</v>
      </c>
      <c r="BA192" s="83">
        <v>1</v>
      </c>
      <c r="BC192" s="83" t="s">
        <v>101</v>
      </c>
      <c r="BD192" s="83">
        <v>1</v>
      </c>
      <c r="BF192" s="83" t="s">
        <v>101</v>
      </c>
      <c r="BG192" s="83">
        <v>1</v>
      </c>
      <c r="BI192" s="83" t="s">
        <v>101</v>
      </c>
      <c r="BJ192" s="83">
        <v>1</v>
      </c>
      <c r="BL192" s="83" t="s">
        <v>101</v>
      </c>
      <c r="BM192" s="83">
        <v>1</v>
      </c>
      <c r="BO192" s="83" t="s">
        <v>101</v>
      </c>
      <c r="BP192" s="83">
        <v>1</v>
      </c>
      <c r="BR192" s="83" t="s">
        <v>101</v>
      </c>
      <c r="BS192" s="83">
        <v>1</v>
      </c>
      <c r="BU192" s="83" t="s">
        <v>101</v>
      </c>
      <c r="BV192" s="83">
        <v>1</v>
      </c>
      <c r="BX192" s="83" t="s">
        <v>101</v>
      </c>
      <c r="BY192" s="83">
        <v>1</v>
      </c>
      <c r="CA192" s="83" t="s">
        <v>101</v>
      </c>
      <c r="CB192" s="83">
        <v>1</v>
      </c>
      <c r="CD192" s="83" t="s">
        <v>101</v>
      </c>
      <c r="CE192" s="83">
        <v>1</v>
      </c>
      <c r="CG192" s="83" t="s">
        <v>101</v>
      </c>
      <c r="CH192" s="83">
        <v>1</v>
      </c>
      <c r="CJ192" s="83" t="s">
        <v>101</v>
      </c>
      <c r="CK192" s="83">
        <v>1</v>
      </c>
      <c r="CM192" s="83" t="s">
        <v>101</v>
      </c>
      <c r="CN192" s="83">
        <v>1</v>
      </c>
      <c r="CP192" s="83" t="s">
        <v>101</v>
      </c>
      <c r="CQ192" s="83">
        <v>1</v>
      </c>
      <c r="CS192" s="83" t="s">
        <v>101</v>
      </c>
      <c r="CT192" s="83">
        <v>1</v>
      </c>
      <c r="CV192" s="83" t="s">
        <v>101</v>
      </c>
      <c r="CW192" s="83">
        <v>1</v>
      </c>
    </row>
    <row r="194" spans="1:101" x14ac:dyDescent="0.2">
      <c r="A194" s="83" t="s">
        <v>102</v>
      </c>
      <c r="B194" s="83">
        <v>1</v>
      </c>
      <c r="D194" s="83" t="s">
        <v>102</v>
      </c>
      <c r="E194" s="83">
        <v>1</v>
      </c>
      <c r="G194" s="83" t="s">
        <v>102</v>
      </c>
      <c r="H194" s="83">
        <v>1</v>
      </c>
      <c r="J194" s="83" t="s">
        <v>102</v>
      </c>
      <c r="K194" s="83">
        <v>1</v>
      </c>
      <c r="M194" s="83" t="s">
        <v>102</v>
      </c>
      <c r="N194" s="83">
        <v>1</v>
      </c>
      <c r="P194" s="83" t="s">
        <v>102</v>
      </c>
      <c r="Q194" s="83">
        <v>1</v>
      </c>
      <c r="S194" s="83" t="s">
        <v>102</v>
      </c>
      <c r="T194" s="83">
        <v>1</v>
      </c>
      <c r="V194" s="83" t="s">
        <v>102</v>
      </c>
      <c r="W194" s="83">
        <v>1</v>
      </c>
      <c r="Y194" s="83" t="s">
        <v>102</v>
      </c>
      <c r="Z194" s="83">
        <v>1</v>
      </c>
      <c r="AB194" s="83" t="s">
        <v>102</v>
      </c>
      <c r="AC194" s="83">
        <v>1</v>
      </c>
      <c r="AE194" s="83" t="s">
        <v>102</v>
      </c>
      <c r="AF194" s="83">
        <v>1</v>
      </c>
      <c r="AH194" s="83" t="s">
        <v>102</v>
      </c>
      <c r="AI194" s="83">
        <v>1</v>
      </c>
      <c r="AK194" s="83" t="s">
        <v>102</v>
      </c>
      <c r="AL194" s="83">
        <v>1</v>
      </c>
      <c r="AN194" s="83" t="s">
        <v>102</v>
      </c>
      <c r="AO194" s="83">
        <v>1</v>
      </c>
      <c r="AQ194" s="83" t="s">
        <v>102</v>
      </c>
      <c r="AR194" s="83">
        <v>1</v>
      </c>
      <c r="AT194" s="83" t="s">
        <v>102</v>
      </c>
      <c r="AU194" s="83">
        <v>1</v>
      </c>
      <c r="AW194" s="83" t="s">
        <v>102</v>
      </c>
      <c r="AX194" s="83">
        <v>1</v>
      </c>
      <c r="AZ194" s="83" t="s">
        <v>102</v>
      </c>
      <c r="BA194" s="83">
        <v>1</v>
      </c>
      <c r="BC194" s="83" t="s">
        <v>102</v>
      </c>
      <c r="BD194" s="83">
        <v>1</v>
      </c>
      <c r="BF194" s="83" t="s">
        <v>102</v>
      </c>
      <c r="BG194" s="83">
        <v>1</v>
      </c>
      <c r="BI194" s="83" t="s">
        <v>102</v>
      </c>
      <c r="BJ194" s="83">
        <v>1</v>
      </c>
      <c r="BL194" s="83" t="s">
        <v>102</v>
      </c>
      <c r="BM194" s="83">
        <v>1</v>
      </c>
      <c r="BO194" s="83" t="s">
        <v>102</v>
      </c>
      <c r="BP194" s="83">
        <v>1</v>
      </c>
      <c r="BR194" s="83" t="s">
        <v>102</v>
      </c>
      <c r="BS194" s="83">
        <v>1</v>
      </c>
      <c r="BU194" s="83" t="s">
        <v>102</v>
      </c>
      <c r="BV194" s="83">
        <v>1</v>
      </c>
      <c r="BX194" s="83" t="s">
        <v>102</v>
      </c>
      <c r="BY194" s="83">
        <v>1</v>
      </c>
      <c r="CA194" s="83" t="s">
        <v>102</v>
      </c>
      <c r="CB194" s="83">
        <v>1</v>
      </c>
      <c r="CD194" s="83" t="s">
        <v>102</v>
      </c>
      <c r="CE194" s="83">
        <v>1</v>
      </c>
      <c r="CG194" s="83" t="s">
        <v>102</v>
      </c>
      <c r="CH194" s="83">
        <v>1</v>
      </c>
      <c r="CJ194" s="83" t="s">
        <v>102</v>
      </c>
      <c r="CK194" s="83">
        <v>1</v>
      </c>
      <c r="CM194" s="83" t="s">
        <v>102</v>
      </c>
      <c r="CN194" s="83">
        <v>1</v>
      </c>
      <c r="CP194" s="83" t="s">
        <v>102</v>
      </c>
      <c r="CQ194" s="83">
        <v>1</v>
      </c>
      <c r="CS194" s="83" t="s">
        <v>102</v>
      </c>
      <c r="CT194" s="83">
        <v>1</v>
      </c>
      <c r="CV194" s="83" t="s">
        <v>102</v>
      </c>
      <c r="CW194" s="83">
        <v>1</v>
      </c>
    </row>
    <row r="196" spans="1:101" x14ac:dyDescent="0.2">
      <c r="A196" s="83" t="s">
        <v>103</v>
      </c>
      <c r="B196" s="83">
        <v>1</v>
      </c>
      <c r="D196" s="83" t="s">
        <v>103</v>
      </c>
      <c r="E196" s="83">
        <v>1</v>
      </c>
      <c r="G196" s="83" t="s">
        <v>103</v>
      </c>
      <c r="H196" s="83">
        <v>1</v>
      </c>
      <c r="J196" s="83" t="s">
        <v>103</v>
      </c>
      <c r="K196" s="83">
        <v>1</v>
      </c>
      <c r="M196" s="83" t="s">
        <v>103</v>
      </c>
      <c r="N196" s="83">
        <v>1</v>
      </c>
      <c r="P196" s="83" t="s">
        <v>103</v>
      </c>
      <c r="Q196" s="83">
        <v>1</v>
      </c>
      <c r="S196" s="83" t="s">
        <v>103</v>
      </c>
      <c r="T196" s="83">
        <v>1</v>
      </c>
      <c r="V196" s="83" t="s">
        <v>103</v>
      </c>
      <c r="W196" s="83">
        <v>1</v>
      </c>
      <c r="Y196" s="83" t="s">
        <v>103</v>
      </c>
      <c r="Z196" s="83">
        <v>1</v>
      </c>
      <c r="AB196" s="83" t="s">
        <v>103</v>
      </c>
      <c r="AC196" s="83">
        <v>1</v>
      </c>
      <c r="AE196" s="83" t="s">
        <v>103</v>
      </c>
      <c r="AF196" s="83">
        <v>1</v>
      </c>
      <c r="AH196" s="83" t="s">
        <v>103</v>
      </c>
      <c r="AI196" s="83">
        <v>1</v>
      </c>
      <c r="AK196" s="83" t="s">
        <v>103</v>
      </c>
      <c r="AL196" s="83">
        <v>1</v>
      </c>
      <c r="AN196" s="83" t="s">
        <v>103</v>
      </c>
      <c r="AO196" s="83">
        <v>1</v>
      </c>
      <c r="AQ196" s="83" t="s">
        <v>103</v>
      </c>
      <c r="AR196" s="83">
        <v>1</v>
      </c>
      <c r="AT196" s="83" t="s">
        <v>103</v>
      </c>
      <c r="AU196" s="83">
        <v>1</v>
      </c>
      <c r="AW196" s="83" t="s">
        <v>103</v>
      </c>
      <c r="AX196" s="83">
        <v>1</v>
      </c>
      <c r="AZ196" s="83" t="s">
        <v>103</v>
      </c>
      <c r="BA196" s="83">
        <v>1</v>
      </c>
      <c r="BC196" s="83" t="s">
        <v>103</v>
      </c>
      <c r="BD196" s="83">
        <v>1</v>
      </c>
      <c r="BF196" s="83" t="s">
        <v>103</v>
      </c>
      <c r="BG196" s="83">
        <v>1</v>
      </c>
      <c r="BI196" s="83" t="s">
        <v>103</v>
      </c>
      <c r="BJ196" s="83">
        <v>1</v>
      </c>
      <c r="BL196" s="83" t="s">
        <v>103</v>
      </c>
      <c r="BM196" s="83">
        <v>1</v>
      </c>
      <c r="BO196" s="83" t="s">
        <v>103</v>
      </c>
      <c r="BP196" s="83">
        <v>1</v>
      </c>
      <c r="BR196" s="83" t="s">
        <v>103</v>
      </c>
      <c r="BS196" s="83">
        <v>1</v>
      </c>
      <c r="BU196" s="83" t="s">
        <v>103</v>
      </c>
      <c r="BV196" s="83">
        <v>1</v>
      </c>
      <c r="BX196" s="83" t="s">
        <v>103</v>
      </c>
      <c r="BY196" s="83">
        <v>1</v>
      </c>
      <c r="CA196" s="83" t="s">
        <v>103</v>
      </c>
      <c r="CB196" s="83">
        <v>1</v>
      </c>
      <c r="CD196" s="83" t="s">
        <v>103</v>
      </c>
      <c r="CE196" s="83">
        <v>1</v>
      </c>
      <c r="CG196" s="83" t="s">
        <v>103</v>
      </c>
      <c r="CH196" s="83">
        <v>1</v>
      </c>
      <c r="CJ196" s="83" t="s">
        <v>103</v>
      </c>
      <c r="CK196" s="83">
        <v>1</v>
      </c>
      <c r="CM196" s="83" t="s">
        <v>103</v>
      </c>
      <c r="CN196" s="83">
        <v>1</v>
      </c>
      <c r="CP196" s="83" t="s">
        <v>103</v>
      </c>
      <c r="CQ196" s="83">
        <v>1</v>
      </c>
      <c r="CS196" s="83" t="s">
        <v>103</v>
      </c>
      <c r="CT196" s="83">
        <v>1</v>
      </c>
      <c r="CV196" s="83" t="s">
        <v>103</v>
      </c>
      <c r="CW196" s="83">
        <v>1</v>
      </c>
    </row>
    <row r="198" spans="1:101" x14ac:dyDescent="0.2">
      <c r="A198" s="83" t="s">
        <v>104</v>
      </c>
      <c r="B198" s="83">
        <v>1</v>
      </c>
      <c r="D198" s="83" t="s">
        <v>104</v>
      </c>
      <c r="E198" s="83">
        <v>1</v>
      </c>
      <c r="G198" s="83" t="s">
        <v>104</v>
      </c>
      <c r="H198" s="83">
        <v>1</v>
      </c>
      <c r="J198" s="83" t="s">
        <v>104</v>
      </c>
      <c r="K198" s="83">
        <v>1</v>
      </c>
      <c r="M198" s="83" t="s">
        <v>104</v>
      </c>
      <c r="N198" s="83">
        <v>1</v>
      </c>
      <c r="P198" s="83" t="s">
        <v>104</v>
      </c>
      <c r="Q198" s="83">
        <v>1</v>
      </c>
      <c r="S198" s="83" t="s">
        <v>104</v>
      </c>
      <c r="T198" s="83">
        <v>1</v>
      </c>
      <c r="V198" s="83" t="s">
        <v>104</v>
      </c>
      <c r="W198" s="83">
        <v>1</v>
      </c>
      <c r="Y198" s="83" t="s">
        <v>104</v>
      </c>
      <c r="Z198" s="83">
        <v>1</v>
      </c>
      <c r="AB198" s="83" t="s">
        <v>104</v>
      </c>
      <c r="AC198" s="83">
        <v>1</v>
      </c>
      <c r="AE198" s="83" t="s">
        <v>104</v>
      </c>
      <c r="AF198" s="83">
        <v>1</v>
      </c>
      <c r="AH198" s="83" t="s">
        <v>104</v>
      </c>
      <c r="AI198" s="83">
        <v>1</v>
      </c>
      <c r="AK198" s="83" t="s">
        <v>104</v>
      </c>
      <c r="AL198" s="83">
        <v>1</v>
      </c>
      <c r="AN198" s="83" t="s">
        <v>104</v>
      </c>
      <c r="AO198" s="83">
        <v>1</v>
      </c>
      <c r="AQ198" s="83" t="s">
        <v>104</v>
      </c>
      <c r="AR198" s="83">
        <v>1</v>
      </c>
      <c r="AT198" s="83" t="s">
        <v>104</v>
      </c>
      <c r="AU198" s="83">
        <v>1</v>
      </c>
      <c r="AW198" s="83" t="s">
        <v>104</v>
      </c>
      <c r="AX198" s="83">
        <v>1</v>
      </c>
      <c r="AZ198" s="83" t="s">
        <v>104</v>
      </c>
      <c r="BA198" s="83">
        <v>1</v>
      </c>
      <c r="BC198" s="83" t="s">
        <v>104</v>
      </c>
      <c r="BD198" s="83">
        <v>1</v>
      </c>
      <c r="BF198" s="83" t="s">
        <v>104</v>
      </c>
      <c r="BG198" s="83">
        <v>1</v>
      </c>
      <c r="BI198" s="83" t="s">
        <v>104</v>
      </c>
      <c r="BJ198" s="83">
        <v>1</v>
      </c>
      <c r="BL198" s="83" t="s">
        <v>104</v>
      </c>
      <c r="BM198" s="83">
        <v>1</v>
      </c>
      <c r="BO198" s="83" t="s">
        <v>104</v>
      </c>
      <c r="BP198" s="83">
        <v>1</v>
      </c>
      <c r="BR198" s="83" t="s">
        <v>104</v>
      </c>
      <c r="BS198" s="83">
        <v>1</v>
      </c>
      <c r="BU198" s="83" t="s">
        <v>104</v>
      </c>
      <c r="BV198" s="83">
        <v>1</v>
      </c>
      <c r="BX198" s="83" t="s">
        <v>104</v>
      </c>
      <c r="BY198" s="83">
        <v>1</v>
      </c>
      <c r="CA198" s="83" t="s">
        <v>104</v>
      </c>
      <c r="CB198" s="83">
        <v>1</v>
      </c>
      <c r="CD198" s="83" t="s">
        <v>104</v>
      </c>
      <c r="CE198" s="83">
        <v>1</v>
      </c>
      <c r="CG198" s="83" t="s">
        <v>104</v>
      </c>
      <c r="CH198" s="83">
        <v>1</v>
      </c>
      <c r="CJ198" s="83" t="s">
        <v>104</v>
      </c>
      <c r="CK198" s="83">
        <v>1</v>
      </c>
      <c r="CM198" s="83" t="s">
        <v>104</v>
      </c>
      <c r="CN198" s="83">
        <v>1</v>
      </c>
      <c r="CP198" s="83" t="s">
        <v>104</v>
      </c>
      <c r="CQ198" s="83">
        <v>1</v>
      </c>
      <c r="CS198" s="83" t="s">
        <v>104</v>
      </c>
      <c r="CT198" s="83">
        <v>1</v>
      </c>
      <c r="CV198" s="83" t="s">
        <v>104</v>
      </c>
      <c r="CW198" s="83">
        <v>1</v>
      </c>
    </row>
    <row r="200" spans="1:101" x14ac:dyDescent="0.2">
      <c r="A200" s="83" t="s">
        <v>105</v>
      </c>
      <c r="B200" s="83">
        <v>1</v>
      </c>
      <c r="D200" s="83" t="s">
        <v>105</v>
      </c>
      <c r="E200" s="83">
        <v>1</v>
      </c>
      <c r="G200" s="83" t="s">
        <v>105</v>
      </c>
      <c r="H200" s="83">
        <v>1</v>
      </c>
      <c r="J200" s="83" t="s">
        <v>105</v>
      </c>
      <c r="K200" s="83">
        <v>1</v>
      </c>
      <c r="M200" s="83" t="s">
        <v>105</v>
      </c>
      <c r="N200" s="83">
        <v>1</v>
      </c>
      <c r="P200" s="83" t="s">
        <v>105</v>
      </c>
      <c r="Q200" s="83">
        <v>1</v>
      </c>
      <c r="S200" s="83" t="s">
        <v>105</v>
      </c>
      <c r="T200" s="83">
        <v>1</v>
      </c>
      <c r="V200" s="83" t="s">
        <v>105</v>
      </c>
      <c r="W200" s="83">
        <v>1</v>
      </c>
      <c r="Y200" s="83" t="s">
        <v>105</v>
      </c>
      <c r="Z200" s="83">
        <v>1</v>
      </c>
      <c r="AB200" s="83" t="s">
        <v>105</v>
      </c>
      <c r="AC200" s="83">
        <v>1</v>
      </c>
      <c r="AE200" s="83" t="s">
        <v>105</v>
      </c>
      <c r="AF200" s="83">
        <v>1</v>
      </c>
      <c r="AH200" s="83" t="s">
        <v>105</v>
      </c>
      <c r="AI200" s="83">
        <v>1</v>
      </c>
      <c r="AK200" s="83" t="s">
        <v>105</v>
      </c>
      <c r="AL200" s="83">
        <v>1</v>
      </c>
      <c r="AN200" s="83" t="s">
        <v>105</v>
      </c>
      <c r="AO200" s="83">
        <v>1</v>
      </c>
      <c r="AQ200" s="83" t="s">
        <v>105</v>
      </c>
      <c r="AR200" s="83">
        <v>1</v>
      </c>
      <c r="AT200" s="83" t="s">
        <v>105</v>
      </c>
      <c r="AU200" s="83">
        <v>1</v>
      </c>
      <c r="AW200" s="83" t="s">
        <v>105</v>
      </c>
      <c r="AX200" s="83">
        <v>1</v>
      </c>
      <c r="AZ200" s="83" t="s">
        <v>105</v>
      </c>
      <c r="BA200" s="83">
        <v>1</v>
      </c>
      <c r="BC200" s="83" t="s">
        <v>105</v>
      </c>
      <c r="BD200" s="83">
        <v>1</v>
      </c>
      <c r="BF200" s="83" t="s">
        <v>105</v>
      </c>
      <c r="BG200" s="83">
        <v>1</v>
      </c>
      <c r="BI200" s="83" t="s">
        <v>105</v>
      </c>
      <c r="BJ200" s="83">
        <v>1</v>
      </c>
      <c r="BL200" s="83" t="s">
        <v>105</v>
      </c>
      <c r="BM200" s="83">
        <v>1</v>
      </c>
      <c r="BO200" s="83" t="s">
        <v>105</v>
      </c>
      <c r="BP200" s="83">
        <v>1</v>
      </c>
      <c r="BR200" s="83" t="s">
        <v>105</v>
      </c>
      <c r="BS200" s="83">
        <v>1</v>
      </c>
      <c r="BU200" s="83" t="s">
        <v>105</v>
      </c>
      <c r="BV200" s="83">
        <v>1</v>
      </c>
      <c r="BX200" s="83" t="s">
        <v>105</v>
      </c>
      <c r="BY200" s="83">
        <v>1</v>
      </c>
      <c r="CA200" s="83" t="s">
        <v>105</v>
      </c>
      <c r="CB200" s="83">
        <v>1</v>
      </c>
      <c r="CD200" s="83" t="s">
        <v>105</v>
      </c>
      <c r="CE200" s="83">
        <v>1</v>
      </c>
      <c r="CG200" s="83" t="s">
        <v>105</v>
      </c>
      <c r="CH200" s="83">
        <v>1</v>
      </c>
      <c r="CJ200" s="83" t="s">
        <v>105</v>
      </c>
      <c r="CK200" s="83">
        <v>1</v>
      </c>
      <c r="CM200" s="83" t="s">
        <v>105</v>
      </c>
      <c r="CN200" s="83">
        <v>1</v>
      </c>
      <c r="CP200" s="83" t="s">
        <v>105</v>
      </c>
      <c r="CQ200" s="83">
        <v>1</v>
      </c>
      <c r="CS200" s="83" t="s">
        <v>105</v>
      </c>
      <c r="CT200" s="83">
        <v>1</v>
      </c>
      <c r="CV200" s="83" t="s">
        <v>105</v>
      </c>
      <c r="CW200" s="83">
        <v>1</v>
      </c>
    </row>
    <row r="202" spans="1:101" x14ac:dyDescent="0.2">
      <c r="A202" s="83" t="s">
        <v>106</v>
      </c>
      <c r="B202" s="83">
        <v>1</v>
      </c>
      <c r="D202" s="83" t="s">
        <v>106</v>
      </c>
      <c r="E202" s="83">
        <v>1</v>
      </c>
      <c r="G202" s="83" t="s">
        <v>106</v>
      </c>
      <c r="H202" s="83">
        <v>1</v>
      </c>
      <c r="J202" s="83" t="s">
        <v>106</v>
      </c>
      <c r="K202" s="83">
        <v>1</v>
      </c>
      <c r="M202" s="83" t="s">
        <v>106</v>
      </c>
      <c r="N202" s="83">
        <v>1</v>
      </c>
      <c r="P202" s="83" t="s">
        <v>106</v>
      </c>
      <c r="Q202" s="83">
        <v>1</v>
      </c>
      <c r="S202" s="83" t="s">
        <v>106</v>
      </c>
      <c r="T202" s="83">
        <v>1</v>
      </c>
      <c r="V202" s="83" t="s">
        <v>106</v>
      </c>
      <c r="W202" s="83">
        <v>1</v>
      </c>
      <c r="Y202" s="83" t="s">
        <v>106</v>
      </c>
      <c r="Z202" s="83">
        <v>1</v>
      </c>
      <c r="AB202" s="83" t="s">
        <v>106</v>
      </c>
      <c r="AC202" s="83">
        <v>1</v>
      </c>
      <c r="AE202" s="83" t="s">
        <v>106</v>
      </c>
      <c r="AF202" s="83">
        <v>1</v>
      </c>
      <c r="AH202" s="83" t="s">
        <v>106</v>
      </c>
      <c r="AI202" s="83">
        <v>1</v>
      </c>
      <c r="AK202" s="83" t="s">
        <v>106</v>
      </c>
      <c r="AL202" s="83">
        <v>1</v>
      </c>
      <c r="AN202" s="83" t="s">
        <v>106</v>
      </c>
      <c r="AO202" s="83">
        <v>1</v>
      </c>
      <c r="AQ202" s="83" t="s">
        <v>106</v>
      </c>
      <c r="AR202" s="83">
        <v>1</v>
      </c>
      <c r="AT202" s="83" t="s">
        <v>106</v>
      </c>
      <c r="AU202" s="83">
        <v>1</v>
      </c>
      <c r="AW202" s="83" t="s">
        <v>106</v>
      </c>
      <c r="AX202" s="83">
        <v>1</v>
      </c>
      <c r="AZ202" s="83" t="s">
        <v>106</v>
      </c>
      <c r="BA202" s="83">
        <v>1</v>
      </c>
      <c r="BC202" s="83" t="s">
        <v>106</v>
      </c>
      <c r="BD202" s="83">
        <v>1</v>
      </c>
      <c r="BF202" s="83" t="s">
        <v>106</v>
      </c>
      <c r="BG202" s="83">
        <v>1</v>
      </c>
      <c r="BI202" s="83" t="s">
        <v>106</v>
      </c>
      <c r="BJ202" s="83">
        <v>1</v>
      </c>
      <c r="BL202" s="83" t="s">
        <v>106</v>
      </c>
      <c r="BM202" s="83">
        <v>1</v>
      </c>
      <c r="BO202" s="83" t="s">
        <v>106</v>
      </c>
      <c r="BP202" s="83">
        <v>1</v>
      </c>
      <c r="BR202" s="83" t="s">
        <v>106</v>
      </c>
      <c r="BS202" s="83">
        <v>1</v>
      </c>
      <c r="BU202" s="83" t="s">
        <v>106</v>
      </c>
      <c r="BV202" s="83">
        <v>1</v>
      </c>
      <c r="BX202" s="83" t="s">
        <v>106</v>
      </c>
      <c r="BY202" s="83">
        <v>1</v>
      </c>
      <c r="CA202" s="83" t="s">
        <v>106</v>
      </c>
      <c r="CB202" s="83">
        <v>1</v>
      </c>
      <c r="CD202" s="83" t="s">
        <v>106</v>
      </c>
      <c r="CE202" s="83">
        <v>1</v>
      </c>
      <c r="CG202" s="83" t="s">
        <v>106</v>
      </c>
      <c r="CH202" s="83">
        <v>1</v>
      </c>
      <c r="CJ202" s="83" t="s">
        <v>106</v>
      </c>
      <c r="CK202" s="83">
        <v>1</v>
      </c>
      <c r="CM202" s="83" t="s">
        <v>106</v>
      </c>
      <c r="CN202" s="83">
        <v>1</v>
      </c>
      <c r="CP202" s="83" t="s">
        <v>106</v>
      </c>
      <c r="CQ202" s="83">
        <v>1</v>
      </c>
      <c r="CS202" s="83" t="s">
        <v>106</v>
      </c>
      <c r="CT202" s="83">
        <v>1</v>
      </c>
      <c r="CV202" s="83" t="s">
        <v>106</v>
      </c>
      <c r="CW202" s="83">
        <v>1</v>
      </c>
    </row>
    <row r="204" spans="1:101" x14ac:dyDescent="0.2">
      <c r="A204" s="83" t="s">
        <v>107</v>
      </c>
      <c r="B204" s="83">
        <v>1</v>
      </c>
      <c r="D204" s="83" t="s">
        <v>107</v>
      </c>
      <c r="E204" s="83">
        <v>1</v>
      </c>
      <c r="G204" s="83" t="s">
        <v>107</v>
      </c>
      <c r="H204" s="83">
        <v>1</v>
      </c>
      <c r="J204" s="83" t="s">
        <v>107</v>
      </c>
      <c r="K204" s="83">
        <v>1</v>
      </c>
      <c r="M204" s="83" t="s">
        <v>107</v>
      </c>
      <c r="N204" s="83">
        <v>1</v>
      </c>
      <c r="P204" s="83" t="s">
        <v>107</v>
      </c>
      <c r="Q204" s="83">
        <v>1</v>
      </c>
      <c r="S204" s="83" t="s">
        <v>107</v>
      </c>
      <c r="T204" s="83">
        <v>1</v>
      </c>
      <c r="V204" s="83" t="s">
        <v>107</v>
      </c>
      <c r="W204" s="83">
        <v>1</v>
      </c>
      <c r="Y204" s="83" t="s">
        <v>107</v>
      </c>
      <c r="Z204" s="83">
        <v>1</v>
      </c>
      <c r="AB204" s="83" t="s">
        <v>107</v>
      </c>
      <c r="AC204" s="83">
        <v>1</v>
      </c>
      <c r="AE204" s="83" t="s">
        <v>107</v>
      </c>
      <c r="AF204" s="83">
        <v>1</v>
      </c>
      <c r="AH204" s="83" t="s">
        <v>107</v>
      </c>
      <c r="AI204" s="83">
        <v>1</v>
      </c>
      <c r="AK204" s="83" t="s">
        <v>107</v>
      </c>
      <c r="AL204" s="83">
        <v>1</v>
      </c>
      <c r="AN204" s="83" t="s">
        <v>107</v>
      </c>
      <c r="AO204" s="83">
        <v>1</v>
      </c>
      <c r="AQ204" s="83" t="s">
        <v>107</v>
      </c>
      <c r="AR204" s="83">
        <v>1</v>
      </c>
      <c r="AT204" s="83" t="s">
        <v>107</v>
      </c>
      <c r="AU204" s="83">
        <v>1</v>
      </c>
      <c r="AW204" s="83" t="s">
        <v>107</v>
      </c>
      <c r="AX204" s="83">
        <v>1</v>
      </c>
      <c r="AZ204" s="83" t="s">
        <v>107</v>
      </c>
      <c r="BA204" s="83">
        <v>1</v>
      </c>
      <c r="BC204" s="83" t="s">
        <v>107</v>
      </c>
      <c r="BD204" s="83">
        <v>1</v>
      </c>
      <c r="BF204" s="83" t="s">
        <v>107</v>
      </c>
      <c r="BG204" s="83">
        <v>1</v>
      </c>
      <c r="BI204" s="83" t="s">
        <v>107</v>
      </c>
      <c r="BJ204" s="83">
        <v>1</v>
      </c>
      <c r="BL204" s="83" t="s">
        <v>107</v>
      </c>
      <c r="BM204" s="83">
        <v>1</v>
      </c>
      <c r="BO204" s="83" t="s">
        <v>107</v>
      </c>
      <c r="BP204" s="83">
        <v>1</v>
      </c>
      <c r="BR204" s="83" t="s">
        <v>107</v>
      </c>
      <c r="BS204" s="83">
        <v>1</v>
      </c>
      <c r="BU204" s="83" t="s">
        <v>107</v>
      </c>
      <c r="BV204" s="83">
        <v>1</v>
      </c>
      <c r="BX204" s="83" t="s">
        <v>107</v>
      </c>
      <c r="BY204" s="83">
        <v>1</v>
      </c>
      <c r="CA204" s="83" t="s">
        <v>107</v>
      </c>
      <c r="CB204" s="83">
        <v>1</v>
      </c>
      <c r="CD204" s="83" t="s">
        <v>107</v>
      </c>
      <c r="CE204" s="83">
        <v>1</v>
      </c>
      <c r="CG204" s="83" t="s">
        <v>107</v>
      </c>
      <c r="CH204" s="83">
        <v>1</v>
      </c>
      <c r="CJ204" s="83" t="s">
        <v>107</v>
      </c>
      <c r="CK204" s="83">
        <v>1</v>
      </c>
      <c r="CM204" s="83" t="s">
        <v>107</v>
      </c>
      <c r="CN204" s="83">
        <v>1</v>
      </c>
      <c r="CP204" s="83" t="s">
        <v>107</v>
      </c>
      <c r="CQ204" s="83">
        <v>1</v>
      </c>
      <c r="CS204" s="83" t="s">
        <v>107</v>
      </c>
      <c r="CT204" s="83">
        <v>1</v>
      </c>
      <c r="CV204" s="83" t="s">
        <v>107</v>
      </c>
      <c r="CW204" s="83">
        <v>1</v>
      </c>
    </row>
    <row r="206" spans="1:101" x14ac:dyDescent="0.2">
      <c r="A206" s="83" t="s">
        <v>108</v>
      </c>
      <c r="B206" s="83" t="s">
        <v>132</v>
      </c>
      <c r="D206" s="83" t="s">
        <v>108</v>
      </c>
      <c r="E206" s="83" t="s">
        <v>132</v>
      </c>
      <c r="G206" s="83" t="s">
        <v>108</v>
      </c>
      <c r="H206" s="83" t="s">
        <v>132</v>
      </c>
      <c r="J206" s="83" t="s">
        <v>108</v>
      </c>
      <c r="K206" s="83" t="s">
        <v>132</v>
      </c>
      <c r="M206" s="83" t="s">
        <v>108</v>
      </c>
      <c r="N206" s="83" t="s">
        <v>132</v>
      </c>
      <c r="P206" s="83" t="s">
        <v>108</v>
      </c>
      <c r="Q206" s="83" t="s">
        <v>132</v>
      </c>
      <c r="S206" s="83" t="s">
        <v>108</v>
      </c>
      <c r="T206" s="83" t="s">
        <v>132</v>
      </c>
      <c r="V206" s="83" t="s">
        <v>108</v>
      </c>
      <c r="W206" s="83" t="s">
        <v>132</v>
      </c>
      <c r="Y206" s="83" t="s">
        <v>108</v>
      </c>
      <c r="Z206" s="83" t="s">
        <v>132</v>
      </c>
      <c r="AB206" s="83" t="s">
        <v>108</v>
      </c>
      <c r="AC206" s="83" t="s">
        <v>132</v>
      </c>
      <c r="AE206" s="83" t="s">
        <v>108</v>
      </c>
      <c r="AF206" s="83" t="s">
        <v>132</v>
      </c>
      <c r="AH206" s="83" t="s">
        <v>108</v>
      </c>
      <c r="AI206" s="83" t="s">
        <v>132</v>
      </c>
      <c r="AK206" s="83" t="s">
        <v>108</v>
      </c>
      <c r="AL206" s="83" t="s">
        <v>132</v>
      </c>
      <c r="AN206" s="83" t="s">
        <v>108</v>
      </c>
      <c r="AO206" s="83" t="s">
        <v>132</v>
      </c>
      <c r="AQ206" s="83" t="s">
        <v>108</v>
      </c>
      <c r="AR206" s="83" t="s">
        <v>132</v>
      </c>
      <c r="AT206" s="83" t="s">
        <v>108</v>
      </c>
      <c r="AU206" s="83" t="s">
        <v>132</v>
      </c>
      <c r="AW206" s="83" t="s">
        <v>108</v>
      </c>
      <c r="AX206" s="83" t="s">
        <v>132</v>
      </c>
      <c r="AZ206" s="83" t="s">
        <v>108</v>
      </c>
      <c r="BA206" s="83" t="s">
        <v>132</v>
      </c>
      <c r="BC206" s="83" t="s">
        <v>108</v>
      </c>
      <c r="BD206" s="83" t="s">
        <v>132</v>
      </c>
      <c r="BF206" s="83" t="s">
        <v>108</v>
      </c>
      <c r="BG206" s="83" t="s">
        <v>132</v>
      </c>
      <c r="BI206" s="83" t="s">
        <v>108</v>
      </c>
      <c r="BJ206" s="83" t="s">
        <v>132</v>
      </c>
      <c r="BL206" s="83" t="s">
        <v>108</v>
      </c>
      <c r="BM206" s="83" t="s">
        <v>132</v>
      </c>
      <c r="BO206" s="83" t="s">
        <v>108</v>
      </c>
      <c r="BP206" s="83" t="s">
        <v>132</v>
      </c>
      <c r="BR206" s="83" t="s">
        <v>108</v>
      </c>
      <c r="BS206" s="83" t="s">
        <v>132</v>
      </c>
      <c r="BU206" s="83" t="s">
        <v>108</v>
      </c>
      <c r="BV206" s="83" t="s">
        <v>132</v>
      </c>
      <c r="BX206" s="83" t="s">
        <v>108</v>
      </c>
      <c r="BY206" s="83" t="s">
        <v>132</v>
      </c>
      <c r="CA206" s="83" t="s">
        <v>108</v>
      </c>
      <c r="CB206" s="83" t="s">
        <v>132</v>
      </c>
      <c r="CD206" s="83" t="s">
        <v>108</v>
      </c>
      <c r="CE206" s="83" t="s">
        <v>132</v>
      </c>
      <c r="CG206" s="83" t="s">
        <v>108</v>
      </c>
      <c r="CH206" s="83" t="s">
        <v>132</v>
      </c>
      <c r="CJ206" s="83" t="s">
        <v>108</v>
      </c>
      <c r="CK206" s="83" t="s">
        <v>132</v>
      </c>
      <c r="CM206" s="83" t="s">
        <v>108</v>
      </c>
      <c r="CN206" s="83" t="s">
        <v>132</v>
      </c>
      <c r="CP206" s="83" t="s">
        <v>108</v>
      </c>
      <c r="CQ206" s="83" t="s">
        <v>132</v>
      </c>
      <c r="CS206" s="83" t="s">
        <v>108</v>
      </c>
      <c r="CT206" s="83" t="s">
        <v>132</v>
      </c>
      <c r="CV206" s="83" t="s">
        <v>108</v>
      </c>
      <c r="CW206" s="83" t="s">
        <v>132</v>
      </c>
    </row>
    <row r="208" spans="1:101" x14ac:dyDescent="0.2">
      <c r="A208" s="83" t="s">
        <v>109</v>
      </c>
      <c r="B208" s="83">
        <v>1</v>
      </c>
      <c r="D208" s="83" t="s">
        <v>109</v>
      </c>
      <c r="E208" s="83">
        <v>1</v>
      </c>
      <c r="G208" s="83" t="s">
        <v>109</v>
      </c>
      <c r="H208" s="83">
        <v>1</v>
      </c>
      <c r="J208" s="83" t="s">
        <v>109</v>
      </c>
      <c r="K208" s="83">
        <v>1</v>
      </c>
      <c r="M208" s="83" t="s">
        <v>109</v>
      </c>
      <c r="N208" s="83">
        <v>1</v>
      </c>
      <c r="P208" s="83" t="s">
        <v>109</v>
      </c>
      <c r="Q208" s="83">
        <v>1</v>
      </c>
      <c r="S208" s="83" t="s">
        <v>109</v>
      </c>
      <c r="T208" s="83">
        <v>1</v>
      </c>
      <c r="V208" s="83" t="s">
        <v>109</v>
      </c>
      <c r="W208" s="83">
        <v>1</v>
      </c>
      <c r="Y208" s="83" t="s">
        <v>109</v>
      </c>
      <c r="Z208" s="83">
        <v>1</v>
      </c>
      <c r="AB208" s="83" t="s">
        <v>109</v>
      </c>
      <c r="AC208" s="83">
        <v>1</v>
      </c>
      <c r="AE208" s="83" t="s">
        <v>109</v>
      </c>
      <c r="AF208" s="83">
        <v>1</v>
      </c>
      <c r="AH208" s="83" t="s">
        <v>109</v>
      </c>
      <c r="AI208" s="83">
        <v>1</v>
      </c>
      <c r="AK208" s="83" t="s">
        <v>109</v>
      </c>
      <c r="AL208" s="83">
        <v>1</v>
      </c>
      <c r="AN208" s="83" t="s">
        <v>109</v>
      </c>
      <c r="AO208" s="83">
        <v>1</v>
      </c>
      <c r="AQ208" s="83" t="s">
        <v>109</v>
      </c>
      <c r="AR208" s="83">
        <v>1</v>
      </c>
      <c r="AT208" s="83" t="s">
        <v>109</v>
      </c>
      <c r="AU208" s="83">
        <v>1</v>
      </c>
      <c r="AW208" s="83" t="s">
        <v>109</v>
      </c>
      <c r="AX208" s="83">
        <v>1</v>
      </c>
      <c r="AZ208" s="83" t="s">
        <v>109</v>
      </c>
      <c r="BA208" s="83">
        <v>1</v>
      </c>
      <c r="BC208" s="83" t="s">
        <v>109</v>
      </c>
      <c r="BD208" s="83">
        <v>1</v>
      </c>
      <c r="BF208" s="83" t="s">
        <v>109</v>
      </c>
      <c r="BG208" s="83">
        <v>1</v>
      </c>
      <c r="BI208" s="83" t="s">
        <v>109</v>
      </c>
      <c r="BJ208" s="83">
        <v>1</v>
      </c>
      <c r="BL208" s="83" t="s">
        <v>109</v>
      </c>
      <c r="BM208" s="83">
        <v>1</v>
      </c>
      <c r="BO208" s="83" t="s">
        <v>109</v>
      </c>
      <c r="BP208" s="83">
        <v>1</v>
      </c>
      <c r="BR208" s="83" t="s">
        <v>109</v>
      </c>
      <c r="BS208" s="83">
        <v>1</v>
      </c>
      <c r="BU208" s="83" t="s">
        <v>109</v>
      </c>
      <c r="BV208" s="83">
        <v>1</v>
      </c>
      <c r="BX208" s="83" t="s">
        <v>109</v>
      </c>
      <c r="BY208" s="83">
        <v>1</v>
      </c>
      <c r="CA208" s="83" t="s">
        <v>109</v>
      </c>
      <c r="CB208" s="83">
        <v>1</v>
      </c>
      <c r="CD208" s="83" t="s">
        <v>109</v>
      </c>
      <c r="CE208" s="83">
        <v>1</v>
      </c>
      <c r="CG208" s="83" t="s">
        <v>109</v>
      </c>
      <c r="CH208" s="83">
        <v>1</v>
      </c>
      <c r="CJ208" s="83" t="s">
        <v>109</v>
      </c>
      <c r="CK208" s="83">
        <v>1</v>
      </c>
      <c r="CM208" s="83" t="s">
        <v>109</v>
      </c>
      <c r="CN208" s="83">
        <v>1</v>
      </c>
      <c r="CP208" s="83" t="s">
        <v>109</v>
      </c>
      <c r="CQ208" s="83">
        <v>1</v>
      </c>
      <c r="CS208" s="83" t="s">
        <v>109</v>
      </c>
      <c r="CT208" s="83">
        <v>1</v>
      </c>
      <c r="CV208" s="83" t="s">
        <v>109</v>
      </c>
      <c r="CW208" s="83">
        <v>1</v>
      </c>
    </row>
    <row r="210" spans="1:101" x14ac:dyDescent="0.2">
      <c r="A210" s="83" t="s">
        <v>110</v>
      </c>
      <c r="B210" s="83">
        <v>1</v>
      </c>
      <c r="D210" s="83" t="s">
        <v>110</v>
      </c>
      <c r="E210" s="83">
        <v>1</v>
      </c>
      <c r="G210" s="83" t="s">
        <v>110</v>
      </c>
      <c r="H210" s="83">
        <v>1</v>
      </c>
      <c r="J210" s="83" t="s">
        <v>110</v>
      </c>
      <c r="K210" s="83">
        <v>1</v>
      </c>
      <c r="M210" s="83" t="s">
        <v>110</v>
      </c>
      <c r="N210" s="83">
        <v>1</v>
      </c>
      <c r="P210" s="83" t="s">
        <v>110</v>
      </c>
      <c r="Q210" s="83">
        <v>1</v>
      </c>
      <c r="S210" s="83" t="s">
        <v>110</v>
      </c>
      <c r="T210" s="83">
        <v>1</v>
      </c>
      <c r="V210" s="83" t="s">
        <v>110</v>
      </c>
      <c r="W210" s="83">
        <v>1</v>
      </c>
      <c r="Y210" s="83" t="s">
        <v>110</v>
      </c>
      <c r="Z210" s="83">
        <v>1</v>
      </c>
      <c r="AB210" s="83" t="s">
        <v>110</v>
      </c>
      <c r="AC210" s="83">
        <v>1</v>
      </c>
      <c r="AE210" s="83" t="s">
        <v>110</v>
      </c>
      <c r="AF210" s="83">
        <v>1</v>
      </c>
      <c r="AH210" s="83" t="s">
        <v>110</v>
      </c>
      <c r="AI210" s="83">
        <v>1</v>
      </c>
      <c r="AK210" s="83" t="s">
        <v>110</v>
      </c>
      <c r="AL210" s="83">
        <v>1</v>
      </c>
      <c r="AN210" s="83" t="s">
        <v>110</v>
      </c>
      <c r="AO210" s="83">
        <v>1</v>
      </c>
      <c r="AQ210" s="83" t="s">
        <v>110</v>
      </c>
      <c r="AR210" s="83">
        <v>1</v>
      </c>
      <c r="AT210" s="83" t="s">
        <v>110</v>
      </c>
      <c r="AU210" s="83">
        <v>1</v>
      </c>
      <c r="AW210" s="83" t="s">
        <v>110</v>
      </c>
      <c r="AX210" s="83">
        <v>1</v>
      </c>
      <c r="AZ210" s="83" t="s">
        <v>110</v>
      </c>
      <c r="BA210" s="83">
        <v>1</v>
      </c>
      <c r="BC210" s="83" t="s">
        <v>110</v>
      </c>
      <c r="BD210" s="83">
        <v>1</v>
      </c>
      <c r="BF210" s="83" t="s">
        <v>110</v>
      </c>
      <c r="BG210" s="83">
        <v>1</v>
      </c>
      <c r="BI210" s="83" t="s">
        <v>110</v>
      </c>
      <c r="BJ210" s="83">
        <v>1</v>
      </c>
      <c r="BL210" s="83" t="s">
        <v>110</v>
      </c>
      <c r="BM210" s="83">
        <v>1</v>
      </c>
      <c r="BO210" s="83" t="s">
        <v>110</v>
      </c>
      <c r="BP210" s="83">
        <v>1</v>
      </c>
      <c r="BR210" s="83" t="s">
        <v>110</v>
      </c>
      <c r="BS210" s="83">
        <v>1</v>
      </c>
      <c r="BU210" s="83" t="s">
        <v>110</v>
      </c>
      <c r="BV210" s="83">
        <v>1</v>
      </c>
      <c r="BX210" s="83" t="s">
        <v>110</v>
      </c>
      <c r="BY210" s="83">
        <v>1</v>
      </c>
      <c r="CA210" s="83" t="s">
        <v>110</v>
      </c>
      <c r="CB210" s="83">
        <v>1</v>
      </c>
      <c r="CD210" s="83" t="s">
        <v>110</v>
      </c>
      <c r="CE210" s="83">
        <v>1</v>
      </c>
      <c r="CG210" s="83" t="s">
        <v>110</v>
      </c>
      <c r="CH210" s="83">
        <v>1</v>
      </c>
      <c r="CJ210" s="83" t="s">
        <v>110</v>
      </c>
      <c r="CK210" s="83">
        <v>1</v>
      </c>
      <c r="CM210" s="83" t="s">
        <v>110</v>
      </c>
      <c r="CN210" s="83">
        <v>1</v>
      </c>
      <c r="CP210" s="83" t="s">
        <v>110</v>
      </c>
      <c r="CQ210" s="83">
        <v>1</v>
      </c>
      <c r="CS210" s="83" t="s">
        <v>110</v>
      </c>
      <c r="CT210" s="83">
        <v>1</v>
      </c>
      <c r="CV210" s="83" t="s">
        <v>110</v>
      </c>
      <c r="CW210" s="83">
        <v>1</v>
      </c>
    </row>
    <row r="212" spans="1:101" x14ac:dyDescent="0.2">
      <c r="A212" s="83" t="s">
        <v>91</v>
      </c>
      <c r="B212" s="83">
        <v>1</v>
      </c>
      <c r="D212" s="83" t="s">
        <v>91</v>
      </c>
      <c r="E212" s="83">
        <v>1</v>
      </c>
      <c r="G212" s="83" t="s">
        <v>91</v>
      </c>
      <c r="H212" s="83">
        <v>1</v>
      </c>
      <c r="J212" s="83" t="s">
        <v>91</v>
      </c>
      <c r="K212" s="83">
        <v>1</v>
      </c>
      <c r="M212" s="83" t="s">
        <v>91</v>
      </c>
      <c r="N212" s="83">
        <v>1</v>
      </c>
      <c r="P212" s="83" t="s">
        <v>91</v>
      </c>
      <c r="Q212" s="83">
        <v>1</v>
      </c>
      <c r="S212" s="83" t="s">
        <v>91</v>
      </c>
      <c r="T212" s="83">
        <v>1</v>
      </c>
      <c r="V212" s="83" t="s">
        <v>91</v>
      </c>
      <c r="W212" s="83">
        <v>1</v>
      </c>
      <c r="Y212" s="83" t="s">
        <v>91</v>
      </c>
      <c r="Z212" s="83">
        <v>1</v>
      </c>
      <c r="AB212" s="83" t="s">
        <v>91</v>
      </c>
      <c r="AC212" s="83">
        <v>1</v>
      </c>
      <c r="AE212" s="83" t="s">
        <v>91</v>
      </c>
      <c r="AF212" s="83">
        <v>1</v>
      </c>
      <c r="AH212" s="83" t="s">
        <v>91</v>
      </c>
      <c r="AI212" s="83">
        <v>1</v>
      </c>
      <c r="AK212" s="83" t="s">
        <v>91</v>
      </c>
      <c r="AL212" s="83">
        <v>1</v>
      </c>
      <c r="AN212" s="83" t="s">
        <v>91</v>
      </c>
      <c r="AO212" s="83">
        <v>1</v>
      </c>
      <c r="AQ212" s="83" t="s">
        <v>91</v>
      </c>
      <c r="AR212" s="83">
        <v>1</v>
      </c>
      <c r="AT212" s="83" t="s">
        <v>91</v>
      </c>
      <c r="AU212" s="83">
        <v>1</v>
      </c>
      <c r="AW212" s="83" t="s">
        <v>91</v>
      </c>
      <c r="AX212" s="83">
        <v>1</v>
      </c>
      <c r="AZ212" s="83" t="s">
        <v>91</v>
      </c>
      <c r="BA212" s="83">
        <v>1</v>
      </c>
      <c r="BC212" s="83" t="s">
        <v>91</v>
      </c>
      <c r="BD212" s="83">
        <v>1</v>
      </c>
      <c r="BF212" s="83" t="s">
        <v>91</v>
      </c>
      <c r="BG212" s="83">
        <v>1</v>
      </c>
      <c r="BI212" s="83" t="s">
        <v>91</v>
      </c>
      <c r="BJ212" s="83">
        <v>1</v>
      </c>
      <c r="BL212" s="83" t="s">
        <v>91</v>
      </c>
      <c r="BM212" s="83">
        <v>1</v>
      </c>
      <c r="BO212" s="83" t="s">
        <v>91</v>
      </c>
      <c r="BP212" s="83">
        <v>1</v>
      </c>
      <c r="BR212" s="83" t="s">
        <v>91</v>
      </c>
      <c r="BS212" s="83">
        <v>1</v>
      </c>
      <c r="BU212" s="83" t="s">
        <v>91</v>
      </c>
      <c r="BV212" s="83">
        <v>1</v>
      </c>
      <c r="BX212" s="83" t="s">
        <v>91</v>
      </c>
      <c r="BY212" s="83">
        <v>1</v>
      </c>
      <c r="CA212" s="83" t="s">
        <v>91</v>
      </c>
      <c r="CB212" s="83">
        <v>1</v>
      </c>
      <c r="CD212" s="83" t="s">
        <v>91</v>
      </c>
      <c r="CE212" s="83">
        <v>1</v>
      </c>
      <c r="CG212" s="83" t="s">
        <v>91</v>
      </c>
      <c r="CH212" s="83">
        <v>1</v>
      </c>
      <c r="CJ212" s="83" t="s">
        <v>91</v>
      </c>
      <c r="CK212" s="83">
        <v>1</v>
      </c>
      <c r="CM212" s="83" t="s">
        <v>91</v>
      </c>
      <c r="CN212" s="83">
        <v>1</v>
      </c>
      <c r="CP212" s="83" t="s">
        <v>91</v>
      </c>
      <c r="CQ212" s="83">
        <v>1</v>
      </c>
      <c r="CS212" s="83" t="s">
        <v>91</v>
      </c>
      <c r="CT212" s="83">
        <v>1</v>
      </c>
      <c r="CV212" s="83" t="s">
        <v>91</v>
      </c>
      <c r="CW212" s="83">
        <v>1</v>
      </c>
    </row>
    <row r="214" spans="1:101" x14ac:dyDescent="0.2">
      <c r="A214" s="83" t="s">
        <v>92</v>
      </c>
      <c r="B214" s="83">
        <v>1</v>
      </c>
      <c r="D214" s="83" t="s">
        <v>92</v>
      </c>
      <c r="E214" s="83">
        <v>1</v>
      </c>
      <c r="G214" s="83" t="s">
        <v>92</v>
      </c>
      <c r="H214" s="83">
        <v>1</v>
      </c>
      <c r="J214" s="83" t="s">
        <v>92</v>
      </c>
      <c r="K214" s="83">
        <v>1</v>
      </c>
      <c r="M214" s="83" t="s">
        <v>92</v>
      </c>
      <c r="N214" s="83">
        <v>1</v>
      </c>
      <c r="P214" s="83" t="s">
        <v>92</v>
      </c>
      <c r="Q214" s="83">
        <v>1</v>
      </c>
      <c r="S214" s="83" t="s">
        <v>92</v>
      </c>
      <c r="T214" s="83">
        <v>1</v>
      </c>
      <c r="V214" s="83" t="s">
        <v>92</v>
      </c>
      <c r="W214" s="83">
        <v>1</v>
      </c>
      <c r="Y214" s="83" t="s">
        <v>92</v>
      </c>
      <c r="Z214" s="83">
        <v>1</v>
      </c>
      <c r="AB214" s="83" t="s">
        <v>92</v>
      </c>
      <c r="AC214" s="83">
        <v>1</v>
      </c>
      <c r="AE214" s="83" t="s">
        <v>92</v>
      </c>
      <c r="AF214" s="83">
        <v>1</v>
      </c>
      <c r="AH214" s="83" t="s">
        <v>92</v>
      </c>
      <c r="AI214" s="83">
        <v>1</v>
      </c>
      <c r="AK214" s="83" t="s">
        <v>92</v>
      </c>
      <c r="AL214" s="83">
        <v>1</v>
      </c>
      <c r="AN214" s="83" t="s">
        <v>92</v>
      </c>
      <c r="AO214" s="83">
        <v>1</v>
      </c>
      <c r="AQ214" s="83" t="s">
        <v>92</v>
      </c>
      <c r="AR214" s="83">
        <v>1</v>
      </c>
      <c r="AT214" s="83" t="s">
        <v>92</v>
      </c>
      <c r="AU214" s="83">
        <v>1</v>
      </c>
      <c r="AW214" s="83" t="s">
        <v>92</v>
      </c>
      <c r="AX214" s="83">
        <v>1</v>
      </c>
      <c r="AZ214" s="83" t="s">
        <v>92</v>
      </c>
      <c r="BA214" s="83">
        <v>1</v>
      </c>
      <c r="BC214" s="83" t="s">
        <v>92</v>
      </c>
      <c r="BD214" s="83">
        <v>1</v>
      </c>
      <c r="BF214" s="83" t="s">
        <v>92</v>
      </c>
      <c r="BG214" s="83">
        <v>1</v>
      </c>
      <c r="BI214" s="83" t="s">
        <v>92</v>
      </c>
      <c r="BJ214" s="83">
        <v>1</v>
      </c>
      <c r="BL214" s="83" t="s">
        <v>92</v>
      </c>
      <c r="BM214" s="83">
        <v>1</v>
      </c>
      <c r="BO214" s="83" t="s">
        <v>92</v>
      </c>
      <c r="BP214" s="83">
        <v>1</v>
      </c>
      <c r="BR214" s="83" t="s">
        <v>92</v>
      </c>
      <c r="BS214" s="83">
        <v>1</v>
      </c>
      <c r="BU214" s="83" t="s">
        <v>92</v>
      </c>
      <c r="BV214" s="83">
        <v>1</v>
      </c>
      <c r="BX214" s="83" t="s">
        <v>92</v>
      </c>
      <c r="BY214" s="83">
        <v>1</v>
      </c>
      <c r="CA214" s="83" t="s">
        <v>92</v>
      </c>
      <c r="CB214" s="83">
        <v>1</v>
      </c>
      <c r="CD214" s="83" t="s">
        <v>92</v>
      </c>
      <c r="CE214" s="83">
        <v>1</v>
      </c>
      <c r="CG214" s="83" t="s">
        <v>92</v>
      </c>
      <c r="CH214" s="83">
        <v>1</v>
      </c>
      <c r="CJ214" s="83" t="s">
        <v>92</v>
      </c>
      <c r="CK214" s="83">
        <v>1</v>
      </c>
      <c r="CM214" s="83" t="s">
        <v>92</v>
      </c>
      <c r="CN214" s="83">
        <v>1</v>
      </c>
      <c r="CP214" s="83" t="s">
        <v>92</v>
      </c>
      <c r="CQ214" s="83">
        <v>1</v>
      </c>
      <c r="CS214" s="83" t="s">
        <v>92</v>
      </c>
      <c r="CT214" s="83">
        <v>1</v>
      </c>
      <c r="CV214" s="83" t="s">
        <v>92</v>
      </c>
      <c r="CW214" s="83">
        <v>1</v>
      </c>
    </row>
    <row r="216" spans="1:101" x14ac:dyDescent="0.2">
      <c r="A216" s="83" t="s">
        <v>93</v>
      </c>
      <c r="B216" s="83">
        <v>1</v>
      </c>
      <c r="D216" s="83" t="s">
        <v>93</v>
      </c>
      <c r="E216" s="83">
        <v>1</v>
      </c>
      <c r="G216" s="83" t="s">
        <v>93</v>
      </c>
      <c r="H216" s="83">
        <v>1</v>
      </c>
      <c r="J216" s="83" t="s">
        <v>93</v>
      </c>
      <c r="K216" s="83">
        <v>1</v>
      </c>
      <c r="M216" s="83" t="s">
        <v>93</v>
      </c>
      <c r="N216" s="83">
        <v>1</v>
      </c>
      <c r="P216" s="83" t="s">
        <v>93</v>
      </c>
      <c r="Q216" s="83">
        <v>1</v>
      </c>
      <c r="S216" s="83" t="s">
        <v>93</v>
      </c>
      <c r="T216" s="83">
        <v>1</v>
      </c>
      <c r="V216" s="83" t="s">
        <v>93</v>
      </c>
      <c r="W216" s="83">
        <v>1</v>
      </c>
      <c r="Y216" s="83" t="s">
        <v>93</v>
      </c>
      <c r="Z216" s="83">
        <v>1</v>
      </c>
      <c r="AB216" s="83" t="s">
        <v>93</v>
      </c>
      <c r="AC216" s="83">
        <v>1</v>
      </c>
      <c r="AE216" s="83" t="s">
        <v>93</v>
      </c>
      <c r="AF216" s="83">
        <v>1</v>
      </c>
      <c r="AH216" s="83" t="s">
        <v>93</v>
      </c>
      <c r="AI216" s="83">
        <v>1</v>
      </c>
      <c r="AK216" s="83" t="s">
        <v>93</v>
      </c>
      <c r="AL216" s="83">
        <v>1</v>
      </c>
      <c r="AN216" s="83" t="s">
        <v>93</v>
      </c>
      <c r="AO216" s="83">
        <v>1</v>
      </c>
      <c r="AQ216" s="83" t="s">
        <v>93</v>
      </c>
      <c r="AR216" s="83">
        <v>1</v>
      </c>
      <c r="AT216" s="83" t="s">
        <v>93</v>
      </c>
      <c r="AU216" s="83">
        <v>1</v>
      </c>
      <c r="AW216" s="83" t="s">
        <v>93</v>
      </c>
      <c r="AX216" s="83">
        <v>1</v>
      </c>
      <c r="AZ216" s="83" t="s">
        <v>93</v>
      </c>
      <c r="BA216" s="83">
        <v>1</v>
      </c>
      <c r="BC216" s="83" t="s">
        <v>93</v>
      </c>
      <c r="BD216" s="83">
        <v>1</v>
      </c>
      <c r="BF216" s="83" t="s">
        <v>93</v>
      </c>
      <c r="BG216" s="83">
        <v>1</v>
      </c>
      <c r="BI216" s="83" t="s">
        <v>93</v>
      </c>
      <c r="BJ216" s="83">
        <v>1</v>
      </c>
      <c r="BL216" s="83" t="s">
        <v>93</v>
      </c>
      <c r="BM216" s="83">
        <v>1</v>
      </c>
      <c r="BO216" s="83" t="s">
        <v>93</v>
      </c>
      <c r="BP216" s="83">
        <v>1</v>
      </c>
      <c r="BR216" s="83" t="s">
        <v>93</v>
      </c>
      <c r="BS216" s="83">
        <v>1</v>
      </c>
      <c r="BU216" s="83" t="s">
        <v>93</v>
      </c>
      <c r="BV216" s="83">
        <v>1</v>
      </c>
      <c r="BX216" s="83" t="s">
        <v>93</v>
      </c>
      <c r="BY216" s="83">
        <v>1</v>
      </c>
      <c r="CA216" s="83" t="s">
        <v>93</v>
      </c>
      <c r="CB216" s="83">
        <v>1</v>
      </c>
      <c r="CD216" s="83" t="s">
        <v>93</v>
      </c>
      <c r="CE216" s="83">
        <v>1</v>
      </c>
      <c r="CG216" s="83" t="s">
        <v>93</v>
      </c>
      <c r="CH216" s="83">
        <v>1</v>
      </c>
      <c r="CJ216" s="83" t="s">
        <v>93</v>
      </c>
      <c r="CK216" s="83">
        <v>1</v>
      </c>
      <c r="CM216" s="83" t="s">
        <v>93</v>
      </c>
      <c r="CN216" s="83">
        <v>1</v>
      </c>
      <c r="CP216" s="83" t="s">
        <v>93</v>
      </c>
      <c r="CQ216" s="83">
        <v>1</v>
      </c>
      <c r="CS216" s="83" t="s">
        <v>93</v>
      </c>
      <c r="CT216" s="83">
        <v>1</v>
      </c>
      <c r="CV216" s="83" t="s">
        <v>93</v>
      </c>
      <c r="CW216" s="83">
        <v>1</v>
      </c>
    </row>
    <row r="218" spans="1:101" x14ac:dyDescent="0.2">
      <c r="A218" s="83" t="s">
        <v>94</v>
      </c>
      <c r="B218" s="83">
        <v>1</v>
      </c>
      <c r="D218" s="83" t="s">
        <v>94</v>
      </c>
      <c r="E218" s="83">
        <v>1</v>
      </c>
      <c r="G218" s="83" t="s">
        <v>94</v>
      </c>
      <c r="H218" s="83">
        <v>1</v>
      </c>
      <c r="J218" s="83" t="s">
        <v>94</v>
      </c>
      <c r="K218" s="83">
        <v>1</v>
      </c>
      <c r="M218" s="83" t="s">
        <v>94</v>
      </c>
      <c r="N218" s="83">
        <v>1</v>
      </c>
      <c r="P218" s="83" t="s">
        <v>94</v>
      </c>
      <c r="Q218" s="83">
        <v>1</v>
      </c>
      <c r="S218" s="83" t="s">
        <v>94</v>
      </c>
      <c r="T218" s="83">
        <v>1</v>
      </c>
      <c r="V218" s="83" t="s">
        <v>94</v>
      </c>
      <c r="W218" s="83">
        <v>1</v>
      </c>
      <c r="Y218" s="83" t="s">
        <v>94</v>
      </c>
      <c r="Z218" s="83">
        <v>1</v>
      </c>
      <c r="AB218" s="83" t="s">
        <v>94</v>
      </c>
      <c r="AC218" s="83">
        <v>1</v>
      </c>
      <c r="AE218" s="83" t="s">
        <v>94</v>
      </c>
      <c r="AF218" s="83">
        <v>1</v>
      </c>
      <c r="AH218" s="83" t="s">
        <v>94</v>
      </c>
      <c r="AI218" s="83">
        <v>1</v>
      </c>
      <c r="AK218" s="83" t="s">
        <v>94</v>
      </c>
      <c r="AL218" s="83">
        <v>1</v>
      </c>
      <c r="AN218" s="83" t="s">
        <v>94</v>
      </c>
      <c r="AO218" s="83">
        <v>1</v>
      </c>
      <c r="AQ218" s="83" t="s">
        <v>94</v>
      </c>
      <c r="AR218" s="83">
        <v>1</v>
      </c>
      <c r="AT218" s="83" t="s">
        <v>94</v>
      </c>
      <c r="AU218" s="83">
        <v>1</v>
      </c>
      <c r="AW218" s="83" t="s">
        <v>94</v>
      </c>
      <c r="AX218" s="83">
        <v>1</v>
      </c>
      <c r="AZ218" s="83" t="s">
        <v>94</v>
      </c>
      <c r="BA218" s="83">
        <v>1</v>
      </c>
      <c r="BC218" s="83" t="s">
        <v>94</v>
      </c>
      <c r="BD218" s="83">
        <v>1</v>
      </c>
      <c r="BF218" s="83" t="s">
        <v>94</v>
      </c>
      <c r="BG218" s="83">
        <v>1</v>
      </c>
      <c r="BI218" s="83" t="s">
        <v>94</v>
      </c>
      <c r="BJ218" s="83">
        <v>1</v>
      </c>
      <c r="BL218" s="83" t="s">
        <v>94</v>
      </c>
      <c r="BM218" s="83">
        <v>1</v>
      </c>
      <c r="BO218" s="83" t="s">
        <v>94</v>
      </c>
      <c r="BP218" s="83">
        <v>1</v>
      </c>
      <c r="BR218" s="83" t="s">
        <v>94</v>
      </c>
      <c r="BS218" s="83">
        <v>1</v>
      </c>
      <c r="BU218" s="83" t="s">
        <v>94</v>
      </c>
      <c r="BV218" s="83">
        <v>1</v>
      </c>
      <c r="BX218" s="83" t="s">
        <v>94</v>
      </c>
      <c r="BY218" s="83">
        <v>1</v>
      </c>
      <c r="CA218" s="83" t="s">
        <v>94</v>
      </c>
      <c r="CB218" s="83">
        <v>1</v>
      </c>
      <c r="CD218" s="83" t="s">
        <v>94</v>
      </c>
      <c r="CE218" s="83">
        <v>1</v>
      </c>
      <c r="CG218" s="83" t="s">
        <v>94</v>
      </c>
      <c r="CH218" s="83">
        <v>1</v>
      </c>
      <c r="CJ218" s="83" t="s">
        <v>94</v>
      </c>
      <c r="CK218" s="83">
        <v>1</v>
      </c>
      <c r="CM218" s="83" t="s">
        <v>94</v>
      </c>
      <c r="CN218" s="83">
        <v>1</v>
      </c>
      <c r="CP218" s="83" t="s">
        <v>94</v>
      </c>
      <c r="CQ218" s="83">
        <v>1</v>
      </c>
      <c r="CS218" s="83" t="s">
        <v>94</v>
      </c>
      <c r="CT218" s="83">
        <v>1</v>
      </c>
      <c r="CV218" s="83" t="s">
        <v>94</v>
      </c>
      <c r="CW218" s="83">
        <v>1</v>
      </c>
    </row>
    <row r="220" spans="1:101" x14ac:dyDescent="0.2">
      <c r="A220" s="83" t="s">
        <v>95</v>
      </c>
      <c r="B220" s="83">
        <v>1</v>
      </c>
      <c r="D220" s="83" t="s">
        <v>95</v>
      </c>
      <c r="E220" s="83">
        <v>1</v>
      </c>
      <c r="G220" s="83" t="s">
        <v>95</v>
      </c>
      <c r="H220" s="83">
        <v>1</v>
      </c>
      <c r="J220" s="83" t="s">
        <v>95</v>
      </c>
      <c r="K220" s="83">
        <v>1</v>
      </c>
      <c r="M220" s="83" t="s">
        <v>95</v>
      </c>
      <c r="N220" s="83">
        <v>1</v>
      </c>
      <c r="P220" s="83" t="s">
        <v>95</v>
      </c>
      <c r="Q220" s="83">
        <v>1</v>
      </c>
      <c r="S220" s="83" t="s">
        <v>95</v>
      </c>
      <c r="T220" s="83">
        <v>1</v>
      </c>
      <c r="V220" s="83" t="s">
        <v>95</v>
      </c>
      <c r="W220" s="83">
        <v>1</v>
      </c>
      <c r="Y220" s="83" t="s">
        <v>95</v>
      </c>
      <c r="Z220" s="83">
        <v>1</v>
      </c>
      <c r="AB220" s="83" t="s">
        <v>95</v>
      </c>
      <c r="AC220" s="83">
        <v>1</v>
      </c>
      <c r="AE220" s="83" t="s">
        <v>95</v>
      </c>
      <c r="AF220" s="83">
        <v>1</v>
      </c>
      <c r="AH220" s="83" t="s">
        <v>95</v>
      </c>
      <c r="AI220" s="83">
        <v>1</v>
      </c>
      <c r="AK220" s="83" t="s">
        <v>95</v>
      </c>
      <c r="AL220" s="83">
        <v>1</v>
      </c>
      <c r="AN220" s="83" t="s">
        <v>95</v>
      </c>
      <c r="AO220" s="83">
        <v>1</v>
      </c>
      <c r="AQ220" s="83" t="s">
        <v>95</v>
      </c>
      <c r="AR220" s="83">
        <v>1</v>
      </c>
      <c r="AT220" s="83" t="s">
        <v>95</v>
      </c>
      <c r="AU220" s="83">
        <v>1</v>
      </c>
      <c r="AW220" s="83" t="s">
        <v>95</v>
      </c>
      <c r="AX220" s="83">
        <v>1</v>
      </c>
      <c r="AZ220" s="83" t="s">
        <v>95</v>
      </c>
      <c r="BA220" s="83">
        <v>1</v>
      </c>
      <c r="BC220" s="83" t="s">
        <v>95</v>
      </c>
      <c r="BD220" s="83">
        <v>1</v>
      </c>
      <c r="BF220" s="83" t="s">
        <v>95</v>
      </c>
      <c r="BG220" s="83">
        <v>1</v>
      </c>
      <c r="BI220" s="83" t="s">
        <v>95</v>
      </c>
      <c r="BJ220" s="83">
        <v>1</v>
      </c>
      <c r="BL220" s="83" t="s">
        <v>95</v>
      </c>
      <c r="BM220" s="83">
        <v>1</v>
      </c>
      <c r="BO220" s="83" t="s">
        <v>95</v>
      </c>
      <c r="BP220" s="83">
        <v>1</v>
      </c>
      <c r="BR220" s="83" t="s">
        <v>95</v>
      </c>
      <c r="BS220" s="83">
        <v>1</v>
      </c>
      <c r="BU220" s="83" t="s">
        <v>95</v>
      </c>
      <c r="BV220" s="83">
        <v>1</v>
      </c>
      <c r="BX220" s="83" t="s">
        <v>95</v>
      </c>
      <c r="BY220" s="83">
        <v>1</v>
      </c>
      <c r="CA220" s="83" t="s">
        <v>95</v>
      </c>
      <c r="CB220" s="83">
        <v>1</v>
      </c>
      <c r="CD220" s="83" t="s">
        <v>95</v>
      </c>
      <c r="CE220" s="83">
        <v>1</v>
      </c>
      <c r="CG220" s="83" t="s">
        <v>95</v>
      </c>
      <c r="CH220" s="83">
        <v>1</v>
      </c>
      <c r="CJ220" s="83" t="s">
        <v>95</v>
      </c>
      <c r="CK220" s="83">
        <v>1</v>
      </c>
      <c r="CM220" s="83" t="s">
        <v>95</v>
      </c>
      <c r="CN220" s="83">
        <v>1</v>
      </c>
      <c r="CP220" s="83" t="s">
        <v>95</v>
      </c>
      <c r="CQ220" s="83">
        <v>1</v>
      </c>
      <c r="CS220" s="83" t="s">
        <v>95</v>
      </c>
      <c r="CT220" s="83">
        <v>1</v>
      </c>
      <c r="CV220" s="83" t="s">
        <v>95</v>
      </c>
      <c r="CW220" s="83">
        <v>1</v>
      </c>
    </row>
    <row r="222" spans="1:101" x14ac:dyDescent="0.2">
      <c r="A222" s="83" t="s">
        <v>98</v>
      </c>
      <c r="B222" s="83">
        <v>1</v>
      </c>
      <c r="D222" s="83" t="s">
        <v>98</v>
      </c>
      <c r="E222" s="83">
        <v>1</v>
      </c>
      <c r="G222" s="83" t="s">
        <v>98</v>
      </c>
      <c r="H222" s="83">
        <v>1</v>
      </c>
      <c r="J222" s="83" t="s">
        <v>98</v>
      </c>
      <c r="K222" s="83">
        <v>1</v>
      </c>
      <c r="M222" s="83" t="s">
        <v>98</v>
      </c>
      <c r="N222" s="83">
        <v>1</v>
      </c>
      <c r="P222" s="83" t="s">
        <v>98</v>
      </c>
      <c r="Q222" s="83">
        <v>1</v>
      </c>
      <c r="S222" s="83" t="s">
        <v>98</v>
      </c>
      <c r="T222" s="83">
        <v>1</v>
      </c>
      <c r="V222" s="83" t="s">
        <v>98</v>
      </c>
      <c r="W222" s="83">
        <v>1</v>
      </c>
      <c r="Y222" s="83" t="s">
        <v>98</v>
      </c>
      <c r="Z222" s="83">
        <v>1</v>
      </c>
      <c r="AB222" s="83" t="s">
        <v>98</v>
      </c>
      <c r="AC222" s="83">
        <v>1</v>
      </c>
      <c r="AE222" s="83" t="s">
        <v>98</v>
      </c>
      <c r="AF222" s="83">
        <v>1</v>
      </c>
      <c r="AH222" s="83" t="s">
        <v>98</v>
      </c>
      <c r="AI222" s="83">
        <v>1</v>
      </c>
      <c r="AK222" s="83" t="s">
        <v>98</v>
      </c>
      <c r="AL222" s="83">
        <v>1</v>
      </c>
      <c r="AN222" s="83" t="s">
        <v>98</v>
      </c>
      <c r="AO222" s="83">
        <v>1</v>
      </c>
      <c r="AQ222" s="83" t="s">
        <v>98</v>
      </c>
      <c r="AR222" s="83">
        <v>1</v>
      </c>
      <c r="AT222" s="83" t="s">
        <v>98</v>
      </c>
      <c r="AU222" s="83">
        <v>1</v>
      </c>
      <c r="AW222" s="83" t="s">
        <v>98</v>
      </c>
      <c r="AX222" s="83">
        <v>1</v>
      </c>
      <c r="AZ222" s="83" t="s">
        <v>98</v>
      </c>
      <c r="BA222" s="83">
        <v>1</v>
      </c>
      <c r="BC222" s="83" t="s">
        <v>98</v>
      </c>
      <c r="BD222" s="83">
        <v>1</v>
      </c>
      <c r="BF222" s="83" t="s">
        <v>98</v>
      </c>
      <c r="BG222" s="83">
        <v>1</v>
      </c>
      <c r="BI222" s="83" t="s">
        <v>98</v>
      </c>
      <c r="BJ222" s="83">
        <v>1</v>
      </c>
      <c r="BL222" s="83" t="s">
        <v>98</v>
      </c>
      <c r="BM222" s="83">
        <v>1</v>
      </c>
      <c r="BO222" s="83" t="s">
        <v>98</v>
      </c>
      <c r="BP222" s="83">
        <v>1</v>
      </c>
      <c r="BR222" s="83" t="s">
        <v>98</v>
      </c>
      <c r="BS222" s="83">
        <v>1</v>
      </c>
      <c r="BU222" s="83" t="s">
        <v>98</v>
      </c>
      <c r="BV222" s="83">
        <v>1</v>
      </c>
      <c r="BX222" s="83" t="s">
        <v>98</v>
      </c>
      <c r="BY222" s="83">
        <v>1</v>
      </c>
      <c r="CA222" s="83" t="s">
        <v>98</v>
      </c>
      <c r="CB222" s="83">
        <v>1</v>
      </c>
      <c r="CD222" s="83" t="s">
        <v>98</v>
      </c>
      <c r="CE222" s="83">
        <v>1</v>
      </c>
      <c r="CG222" s="83" t="s">
        <v>98</v>
      </c>
      <c r="CH222" s="83">
        <v>1</v>
      </c>
      <c r="CJ222" s="83" t="s">
        <v>98</v>
      </c>
      <c r="CK222" s="83">
        <v>1</v>
      </c>
      <c r="CM222" s="83" t="s">
        <v>98</v>
      </c>
      <c r="CN222" s="83">
        <v>1</v>
      </c>
      <c r="CP222" s="83" t="s">
        <v>98</v>
      </c>
      <c r="CQ222" s="83">
        <v>1</v>
      </c>
      <c r="CS222" s="83" t="s">
        <v>98</v>
      </c>
      <c r="CT222" s="83">
        <v>1</v>
      </c>
      <c r="CV222" s="83" t="s">
        <v>98</v>
      </c>
      <c r="CW222" s="83">
        <v>1</v>
      </c>
    </row>
    <row r="224" spans="1:101" x14ac:dyDescent="0.2">
      <c r="A224" s="83" t="s">
        <v>96</v>
      </c>
      <c r="B224" s="83">
        <v>1</v>
      </c>
      <c r="D224" s="83" t="s">
        <v>96</v>
      </c>
      <c r="E224" s="83">
        <v>1</v>
      </c>
      <c r="G224" s="83" t="s">
        <v>96</v>
      </c>
      <c r="H224" s="83">
        <v>1</v>
      </c>
      <c r="J224" s="83" t="s">
        <v>96</v>
      </c>
      <c r="K224" s="83">
        <v>1</v>
      </c>
      <c r="M224" s="83" t="s">
        <v>96</v>
      </c>
      <c r="N224" s="83">
        <v>1</v>
      </c>
      <c r="P224" s="83" t="s">
        <v>96</v>
      </c>
      <c r="Q224" s="83">
        <v>1</v>
      </c>
      <c r="S224" s="83" t="s">
        <v>96</v>
      </c>
      <c r="T224" s="83">
        <v>1</v>
      </c>
      <c r="V224" s="83" t="s">
        <v>96</v>
      </c>
      <c r="W224" s="83">
        <v>1</v>
      </c>
      <c r="Y224" s="83" t="s">
        <v>96</v>
      </c>
      <c r="Z224" s="83">
        <v>1</v>
      </c>
      <c r="AB224" s="83" t="s">
        <v>96</v>
      </c>
      <c r="AC224" s="83">
        <v>1</v>
      </c>
      <c r="AE224" s="83" t="s">
        <v>96</v>
      </c>
      <c r="AF224" s="83">
        <v>1</v>
      </c>
      <c r="AH224" s="83" t="s">
        <v>96</v>
      </c>
      <c r="AI224" s="83">
        <v>1</v>
      </c>
      <c r="AK224" s="83" t="s">
        <v>96</v>
      </c>
      <c r="AL224" s="83">
        <v>1</v>
      </c>
      <c r="AN224" s="83" t="s">
        <v>96</v>
      </c>
      <c r="AO224" s="83">
        <v>1</v>
      </c>
      <c r="AQ224" s="83" t="s">
        <v>96</v>
      </c>
      <c r="AR224" s="83">
        <v>1</v>
      </c>
      <c r="AT224" s="83" t="s">
        <v>96</v>
      </c>
      <c r="AU224" s="83">
        <v>1</v>
      </c>
      <c r="AW224" s="83" t="s">
        <v>96</v>
      </c>
      <c r="AX224" s="83">
        <v>1</v>
      </c>
      <c r="AZ224" s="83" t="s">
        <v>96</v>
      </c>
      <c r="BA224" s="83">
        <v>1</v>
      </c>
      <c r="BC224" s="83" t="s">
        <v>96</v>
      </c>
      <c r="BD224" s="83">
        <v>1</v>
      </c>
      <c r="BF224" s="83" t="s">
        <v>96</v>
      </c>
      <c r="BG224" s="83">
        <v>1</v>
      </c>
      <c r="BI224" s="83" t="s">
        <v>96</v>
      </c>
      <c r="BJ224" s="83">
        <v>1</v>
      </c>
      <c r="BL224" s="83" t="s">
        <v>96</v>
      </c>
      <c r="BM224" s="83">
        <v>1</v>
      </c>
      <c r="BO224" s="83" t="s">
        <v>96</v>
      </c>
      <c r="BP224" s="83">
        <v>1</v>
      </c>
      <c r="BR224" s="83" t="s">
        <v>96</v>
      </c>
      <c r="BS224" s="83">
        <v>1</v>
      </c>
      <c r="BU224" s="83" t="s">
        <v>96</v>
      </c>
      <c r="BV224" s="83">
        <v>1</v>
      </c>
      <c r="BX224" s="83" t="s">
        <v>96</v>
      </c>
      <c r="BY224" s="83">
        <v>1</v>
      </c>
      <c r="CA224" s="83" t="s">
        <v>96</v>
      </c>
      <c r="CB224" s="83">
        <v>1</v>
      </c>
      <c r="CD224" s="83" t="s">
        <v>96</v>
      </c>
      <c r="CE224" s="83">
        <v>1</v>
      </c>
      <c r="CG224" s="83" t="s">
        <v>96</v>
      </c>
      <c r="CH224" s="83">
        <v>1</v>
      </c>
      <c r="CJ224" s="83" t="s">
        <v>96</v>
      </c>
      <c r="CK224" s="83">
        <v>1</v>
      </c>
      <c r="CM224" s="83" t="s">
        <v>96</v>
      </c>
      <c r="CN224" s="83">
        <v>1</v>
      </c>
      <c r="CP224" s="83" t="s">
        <v>96</v>
      </c>
      <c r="CQ224" s="83">
        <v>1</v>
      </c>
      <c r="CS224" s="83" t="s">
        <v>96</v>
      </c>
      <c r="CT224" s="83">
        <v>1</v>
      </c>
      <c r="CV224" s="83" t="s">
        <v>96</v>
      </c>
      <c r="CW224" s="83">
        <v>1</v>
      </c>
    </row>
    <row r="226" spans="1:101" x14ac:dyDescent="0.2">
      <c r="A226" s="83" t="s">
        <v>97</v>
      </c>
      <c r="B226" s="83">
        <v>1</v>
      </c>
      <c r="D226" s="83" t="s">
        <v>97</v>
      </c>
      <c r="E226" s="83">
        <v>1</v>
      </c>
      <c r="G226" s="83" t="s">
        <v>97</v>
      </c>
      <c r="H226" s="83">
        <v>1</v>
      </c>
      <c r="J226" s="83" t="s">
        <v>97</v>
      </c>
      <c r="K226" s="83">
        <v>1</v>
      </c>
      <c r="M226" s="83" t="s">
        <v>97</v>
      </c>
      <c r="N226" s="83">
        <v>1</v>
      </c>
      <c r="P226" s="83" t="s">
        <v>97</v>
      </c>
      <c r="Q226" s="83">
        <v>1</v>
      </c>
      <c r="S226" s="83" t="s">
        <v>97</v>
      </c>
      <c r="T226" s="83">
        <v>1</v>
      </c>
      <c r="V226" s="83" t="s">
        <v>97</v>
      </c>
      <c r="W226" s="83">
        <v>1</v>
      </c>
      <c r="Y226" s="83" t="s">
        <v>97</v>
      </c>
      <c r="Z226" s="83">
        <v>1</v>
      </c>
      <c r="AB226" s="83" t="s">
        <v>97</v>
      </c>
      <c r="AC226" s="83">
        <v>1</v>
      </c>
      <c r="AE226" s="83" t="s">
        <v>97</v>
      </c>
      <c r="AF226" s="83">
        <v>1</v>
      </c>
      <c r="AH226" s="83" t="s">
        <v>97</v>
      </c>
      <c r="AI226" s="83">
        <v>1</v>
      </c>
      <c r="AK226" s="83" t="s">
        <v>97</v>
      </c>
      <c r="AL226" s="83">
        <v>1</v>
      </c>
      <c r="AN226" s="83" t="s">
        <v>97</v>
      </c>
      <c r="AO226" s="83">
        <v>1</v>
      </c>
      <c r="AQ226" s="83" t="s">
        <v>97</v>
      </c>
      <c r="AR226" s="83">
        <v>1</v>
      </c>
      <c r="AT226" s="83" t="s">
        <v>97</v>
      </c>
      <c r="AU226" s="83">
        <v>1</v>
      </c>
      <c r="AW226" s="83" t="s">
        <v>97</v>
      </c>
      <c r="AX226" s="83">
        <v>1</v>
      </c>
      <c r="AZ226" s="83" t="s">
        <v>97</v>
      </c>
      <c r="BA226" s="83">
        <v>1</v>
      </c>
      <c r="BC226" s="83" t="s">
        <v>97</v>
      </c>
      <c r="BD226" s="83">
        <v>1</v>
      </c>
      <c r="BF226" s="83" t="s">
        <v>97</v>
      </c>
      <c r="BG226" s="83">
        <v>1</v>
      </c>
      <c r="BI226" s="83" t="s">
        <v>97</v>
      </c>
      <c r="BJ226" s="83">
        <v>1</v>
      </c>
      <c r="BL226" s="83" t="s">
        <v>97</v>
      </c>
      <c r="BM226" s="83">
        <v>1</v>
      </c>
      <c r="BO226" s="83" t="s">
        <v>97</v>
      </c>
      <c r="BP226" s="83">
        <v>1</v>
      </c>
      <c r="BR226" s="83" t="s">
        <v>97</v>
      </c>
      <c r="BS226" s="83">
        <v>1</v>
      </c>
      <c r="BU226" s="83" t="s">
        <v>97</v>
      </c>
      <c r="BV226" s="83">
        <v>1</v>
      </c>
      <c r="BX226" s="83" t="s">
        <v>97</v>
      </c>
      <c r="BY226" s="83">
        <v>1</v>
      </c>
      <c r="CA226" s="83" t="s">
        <v>97</v>
      </c>
      <c r="CB226" s="83">
        <v>1</v>
      </c>
      <c r="CD226" s="83" t="s">
        <v>97</v>
      </c>
      <c r="CE226" s="83">
        <v>1</v>
      </c>
      <c r="CG226" s="83" t="s">
        <v>97</v>
      </c>
      <c r="CH226" s="83">
        <v>1</v>
      </c>
      <c r="CJ226" s="83" t="s">
        <v>97</v>
      </c>
      <c r="CK226" s="83">
        <v>1</v>
      </c>
      <c r="CM226" s="83" t="s">
        <v>97</v>
      </c>
      <c r="CN226" s="83">
        <v>1</v>
      </c>
      <c r="CP226" s="83" t="s">
        <v>97</v>
      </c>
      <c r="CQ226" s="83">
        <v>1</v>
      </c>
      <c r="CS226" s="83" t="s">
        <v>97</v>
      </c>
      <c r="CT226" s="83">
        <v>1</v>
      </c>
      <c r="CV226" s="83" t="s">
        <v>97</v>
      </c>
      <c r="CW226" s="83">
        <v>1</v>
      </c>
    </row>
    <row r="228" spans="1:101" x14ac:dyDescent="0.2">
      <c r="A228" s="83" t="s">
        <v>111</v>
      </c>
      <c r="B228" s="83">
        <v>1</v>
      </c>
      <c r="D228" s="83" t="s">
        <v>111</v>
      </c>
      <c r="E228" s="83">
        <v>1</v>
      </c>
      <c r="G228" s="83" t="s">
        <v>111</v>
      </c>
      <c r="H228" s="83">
        <v>1</v>
      </c>
      <c r="J228" s="83" t="s">
        <v>111</v>
      </c>
      <c r="K228" s="83">
        <v>1</v>
      </c>
      <c r="M228" s="83" t="s">
        <v>111</v>
      </c>
      <c r="N228" s="83">
        <v>1</v>
      </c>
      <c r="P228" s="83" t="s">
        <v>111</v>
      </c>
      <c r="Q228" s="83">
        <v>1</v>
      </c>
      <c r="S228" s="83" t="s">
        <v>111</v>
      </c>
      <c r="T228" s="83">
        <v>1</v>
      </c>
      <c r="V228" s="83" t="s">
        <v>111</v>
      </c>
      <c r="W228" s="83">
        <v>1</v>
      </c>
      <c r="Y228" s="83" t="s">
        <v>111</v>
      </c>
      <c r="Z228" s="83">
        <v>1</v>
      </c>
      <c r="AB228" s="83" t="s">
        <v>111</v>
      </c>
      <c r="AC228" s="83">
        <v>1</v>
      </c>
      <c r="AE228" s="83" t="s">
        <v>111</v>
      </c>
      <c r="AF228" s="83">
        <v>1</v>
      </c>
      <c r="AH228" s="83" t="s">
        <v>111</v>
      </c>
      <c r="AI228" s="83">
        <v>1</v>
      </c>
      <c r="AK228" s="83" t="s">
        <v>111</v>
      </c>
      <c r="AL228" s="83">
        <v>1</v>
      </c>
      <c r="AN228" s="83" t="s">
        <v>111</v>
      </c>
      <c r="AO228" s="83">
        <v>1</v>
      </c>
      <c r="AQ228" s="83" t="s">
        <v>111</v>
      </c>
      <c r="AR228" s="83">
        <v>1</v>
      </c>
      <c r="AT228" s="83" t="s">
        <v>111</v>
      </c>
      <c r="AU228" s="83">
        <v>1</v>
      </c>
      <c r="AW228" s="83" t="s">
        <v>111</v>
      </c>
      <c r="AX228" s="83">
        <v>1</v>
      </c>
      <c r="AZ228" s="83" t="s">
        <v>111</v>
      </c>
      <c r="BA228" s="83">
        <v>1</v>
      </c>
      <c r="BC228" s="83" t="s">
        <v>111</v>
      </c>
      <c r="BD228" s="83">
        <v>1</v>
      </c>
      <c r="BF228" s="83" t="s">
        <v>111</v>
      </c>
      <c r="BG228" s="83">
        <v>1</v>
      </c>
      <c r="BI228" s="83" t="s">
        <v>111</v>
      </c>
      <c r="BJ228" s="83">
        <v>1</v>
      </c>
      <c r="BL228" s="83" t="s">
        <v>111</v>
      </c>
      <c r="BM228" s="83">
        <v>1</v>
      </c>
      <c r="BO228" s="83" t="s">
        <v>111</v>
      </c>
      <c r="BP228" s="83">
        <v>1</v>
      </c>
      <c r="BR228" s="83" t="s">
        <v>111</v>
      </c>
      <c r="BS228" s="83">
        <v>1</v>
      </c>
      <c r="BU228" s="83" t="s">
        <v>111</v>
      </c>
      <c r="BV228" s="83">
        <v>1</v>
      </c>
      <c r="BX228" s="83" t="s">
        <v>111</v>
      </c>
      <c r="BY228" s="83">
        <v>1</v>
      </c>
      <c r="CA228" s="83" t="s">
        <v>111</v>
      </c>
      <c r="CB228" s="83">
        <v>1</v>
      </c>
      <c r="CD228" s="83" t="s">
        <v>111</v>
      </c>
      <c r="CE228" s="83">
        <v>1</v>
      </c>
      <c r="CG228" s="83" t="s">
        <v>111</v>
      </c>
      <c r="CH228" s="83">
        <v>1</v>
      </c>
      <c r="CJ228" s="83" t="s">
        <v>111</v>
      </c>
      <c r="CK228" s="83">
        <v>1</v>
      </c>
      <c r="CM228" s="83" t="s">
        <v>111</v>
      </c>
      <c r="CN228" s="83">
        <v>1</v>
      </c>
      <c r="CP228" s="83" t="s">
        <v>111</v>
      </c>
      <c r="CQ228" s="83">
        <v>1</v>
      </c>
      <c r="CS228" s="83" t="s">
        <v>111</v>
      </c>
      <c r="CT228" s="83">
        <v>1</v>
      </c>
      <c r="CV228" s="83" t="s">
        <v>111</v>
      </c>
      <c r="CW228" s="83">
        <v>1</v>
      </c>
    </row>
    <row r="230" spans="1:101" x14ac:dyDescent="0.2">
      <c r="A230" s="83" t="s">
        <v>112</v>
      </c>
      <c r="B230" s="83">
        <v>1</v>
      </c>
      <c r="D230" s="83" t="s">
        <v>112</v>
      </c>
      <c r="E230" s="83">
        <v>1</v>
      </c>
      <c r="G230" s="83" t="s">
        <v>112</v>
      </c>
      <c r="H230" s="83">
        <v>1</v>
      </c>
      <c r="J230" s="83" t="s">
        <v>112</v>
      </c>
      <c r="K230" s="83">
        <v>1</v>
      </c>
      <c r="M230" s="83" t="s">
        <v>112</v>
      </c>
      <c r="N230" s="83">
        <v>1</v>
      </c>
      <c r="P230" s="83" t="s">
        <v>112</v>
      </c>
      <c r="Q230" s="83">
        <v>1</v>
      </c>
      <c r="S230" s="83" t="s">
        <v>112</v>
      </c>
      <c r="T230" s="83">
        <v>1</v>
      </c>
      <c r="V230" s="83" t="s">
        <v>112</v>
      </c>
      <c r="W230" s="83">
        <v>1</v>
      </c>
      <c r="Y230" s="83" t="s">
        <v>112</v>
      </c>
      <c r="Z230" s="83">
        <v>1</v>
      </c>
      <c r="AB230" s="83" t="s">
        <v>112</v>
      </c>
      <c r="AC230" s="83">
        <v>1</v>
      </c>
      <c r="AE230" s="83" t="s">
        <v>112</v>
      </c>
      <c r="AF230" s="83">
        <v>1</v>
      </c>
      <c r="AH230" s="83" t="s">
        <v>112</v>
      </c>
      <c r="AI230" s="83">
        <v>1</v>
      </c>
      <c r="AK230" s="83" t="s">
        <v>112</v>
      </c>
      <c r="AL230" s="83">
        <v>1</v>
      </c>
      <c r="AN230" s="83" t="s">
        <v>112</v>
      </c>
      <c r="AO230" s="83">
        <v>1</v>
      </c>
      <c r="AQ230" s="83" t="s">
        <v>112</v>
      </c>
      <c r="AR230" s="83">
        <v>1</v>
      </c>
      <c r="AT230" s="83" t="s">
        <v>112</v>
      </c>
      <c r="AU230" s="83">
        <v>1</v>
      </c>
      <c r="AW230" s="83" t="s">
        <v>112</v>
      </c>
      <c r="AX230" s="83">
        <v>1</v>
      </c>
      <c r="AZ230" s="83" t="s">
        <v>112</v>
      </c>
      <c r="BA230" s="83">
        <v>1</v>
      </c>
      <c r="BC230" s="83" t="s">
        <v>112</v>
      </c>
      <c r="BD230" s="83">
        <v>1</v>
      </c>
      <c r="BF230" s="83" t="s">
        <v>112</v>
      </c>
      <c r="BG230" s="83">
        <v>1</v>
      </c>
      <c r="BI230" s="83" t="s">
        <v>112</v>
      </c>
      <c r="BJ230" s="83">
        <v>1</v>
      </c>
      <c r="BL230" s="83" t="s">
        <v>112</v>
      </c>
      <c r="BM230" s="83">
        <v>1</v>
      </c>
      <c r="BO230" s="83" t="s">
        <v>112</v>
      </c>
      <c r="BP230" s="83">
        <v>1</v>
      </c>
      <c r="BR230" s="83" t="s">
        <v>112</v>
      </c>
      <c r="BS230" s="83">
        <v>1</v>
      </c>
      <c r="BU230" s="83" t="s">
        <v>112</v>
      </c>
      <c r="BV230" s="83">
        <v>1</v>
      </c>
      <c r="BX230" s="83" t="s">
        <v>112</v>
      </c>
      <c r="BY230" s="83">
        <v>1</v>
      </c>
      <c r="CA230" s="83" t="s">
        <v>112</v>
      </c>
      <c r="CB230" s="83">
        <v>1</v>
      </c>
      <c r="CD230" s="83" t="s">
        <v>112</v>
      </c>
      <c r="CE230" s="83">
        <v>1</v>
      </c>
      <c r="CG230" s="83" t="s">
        <v>112</v>
      </c>
      <c r="CH230" s="83">
        <v>1</v>
      </c>
      <c r="CJ230" s="83" t="s">
        <v>112</v>
      </c>
      <c r="CK230" s="83">
        <v>1</v>
      </c>
      <c r="CM230" s="83" t="s">
        <v>112</v>
      </c>
      <c r="CN230" s="83">
        <v>1</v>
      </c>
      <c r="CP230" s="83" t="s">
        <v>112</v>
      </c>
      <c r="CQ230" s="83">
        <v>1</v>
      </c>
      <c r="CS230" s="83" t="s">
        <v>112</v>
      </c>
      <c r="CT230" s="83">
        <v>1</v>
      </c>
      <c r="CV230" s="83" t="s">
        <v>112</v>
      </c>
      <c r="CW230" s="83">
        <v>1</v>
      </c>
    </row>
    <row r="232" spans="1:101" x14ac:dyDescent="0.2">
      <c r="A232" s="83" t="s">
        <v>149</v>
      </c>
      <c r="B232" s="83">
        <v>1</v>
      </c>
      <c r="D232" s="83" t="s">
        <v>149</v>
      </c>
      <c r="E232" s="83">
        <v>1</v>
      </c>
      <c r="G232" s="83" t="s">
        <v>149</v>
      </c>
      <c r="H232" s="83">
        <v>1</v>
      </c>
      <c r="J232" s="83" t="s">
        <v>149</v>
      </c>
      <c r="K232" s="83">
        <v>1</v>
      </c>
      <c r="M232" s="83" t="s">
        <v>149</v>
      </c>
      <c r="N232" s="83">
        <v>1</v>
      </c>
      <c r="P232" s="83" t="s">
        <v>149</v>
      </c>
      <c r="Q232" s="83">
        <v>1</v>
      </c>
      <c r="S232" s="83" t="s">
        <v>149</v>
      </c>
      <c r="T232" s="83">
        <v>1</v>
      </c>
      <c r="V232" s="83" t="s">
        <v>149</v>
      </c>
      <c r="W232" s="83">
        <v>1</v>
      </c>
      <c r="Y232" s="83" t="s">
        <v>149</v>
      </c>
      <c r="Z232" s="83">
        <v>1</v>
      </c>
      <c r="AB232" s="83" t="s">
        <v>149</v>
      </c>
      <c r="AC232" s="83">
        <v>1</v>
      </c>
      <c r="AE232" s="83" t="s">
        <v>149</v>
      </c>
      <c r="AF232" s="83">
        <v>1</v>
      </c>
      <c r="AH232" s="83" t="s">
        <v>149</v>
      </c>
      <c r="AI232" s="83">
        <v>1</v>
      </c>
      <c r="AK232" s="83" t="s">
        <v>149</v>
      </c>
      <c r="AL232" s="83">
        <v>1</v>
      </c>
      <c r="AN232" s="83" t="s">
        <v>149</v>
      </c>
      <c r="AO232" s="83">
        <v>1</v>
      </c>
      <c r="AQ232" s="83" t="s">
        <v>149</v>
      </c>
      <c r="AR232" s="83">
        <v>1</v>
      </c>
      <c r="AT232" s="83" t="s">
        <v>149</v>
      </c>
      <c r="AU232" s="83">
        <v>1</v>
      </c>
      <c r="AW232" s="83" t="s">
        <v>149</v>
      </c>
      <c r="AX232" s="83">
        <v>1</v>
      </c>
      <c r="AZ232" s="83" t="s">
        <v>149</v>
      </c>
      <c r="BA232" s="83">
        <v>1</v>
      </c>
      <c r="BC232" s="83" t="s">
        <v>149</v>
      </c>
      <c r="BD232" s="83">
        <v>1</v>
      </c>
      <c r="BF232" s="83" t="s">
        <v>149</v>
      </c>
      <c r="BG232" s="83">
        <v>1</v>
      </c>
      <c r="BI232" s="83" t="s">
        <v>149</v>
      </c>
      <c r="BJ232" s="83">
        <v>1</v>
      </c>
      <c r="BL232" s="83" t="s">
        <v>149</v>
      </c>
      <c r="BM232" s="83">
        <v>1</v>
      </c>
      <c r="BO232" s="83" t="s">
        <v>149</v>
      </c>
      <c r="BP232" s="83">
        <v>1</v>
      </c>
      <c r="BR232" s="83" t="s">
        <v>149</v>
      </c>
      <c r="BS232" s="83">
        <v>1</v>
      </c>
      <c r="BU232" s="83" t="s">
        <v>149</v>
      </c>
      <c r="BV232" s="83">
        <v>1</v>
      </c>
      <c r="BX232" s="83" t="s">
        <v>149</v>
      </c>
      <c r="BY232" s="83">
        <v>1</v>
      </c>
      <c r="CA232" s="83" t="s">
        <v>149</v>
      </c>
      <c r="CB232" s="83">
        <v>1</v>
      </c>
      <c r="CD232" s="83" t="s">
        <v>149</v>
      </c>
      <c r="CE232" s="83">
        <v>1</v>
      </c>
      <c r="CG232" s="83" t="s">
        <v>149</v>
      </c>
      <c r="CH232" s="83">
        <v>1</v>
      </c>
      <c r="CJ232" s="83" t="s">
        <v>149</v>
      </c>
      <c r="CK232" s="83">
        <v>1</v>
      </c>
      <c r="CM232" s="83" t="s">
        <v>149</v>
      </c>
      <c r="CN232" s="83">
        <v>1</v>
      </c>
      <c r="CP232" s="83" t="s">
        <v>149</v>
      </c>
      <c r="CQ232" s="83">
        <v>1</v>
      </c>
      <c r="CS232" s="83" t="s">
        <v>149</v>
      </c>
      <c r="CT232" s="83">
        <v>1</v>
      </c>
      <c r="CV232" s="83" t="s">
        <v>149</v>
      </c>
      <c r="CW232" s="83">
        <v>1</v>
      </c>
    </row>
    <row r="234" spans="1:101" x14ac:dyDescent="0.2">
      <c r="A234" s="83" t="s">
        <v>150</v>
      </c>
      <c r="B234" s="83">
        <v>1</v>
      </c>
      <c r="D234" s="83" t="s">
        <v>150</v>
      </c>
      <c r="E234" s="83">
        <v>1</v>
      </c>
      <c r="G234" s="83" t="s">
        <v>150</v>
      </c>
      <c r="H234" s="83">
        <v>1</v>
      </c>
      <c r="J234" s="83" t="s">
        <v>150</v>
      </c>
      <c r="K234" s="83">
        <v>1</v>
      </c>
      <c r="M234" s="83" t="s">
        <v>150</v>
      </c>
      <c r="N234" s="83">
        <v>1</v>
      </c>
      <c r="P234" s="83" t="s">
        <v>150</v>
      </c>
      <c r="Q234" s="83">
        <v>1</v>
      </c>
      <c r="S234" s="83" t="s">
        <v>150</v>
      </c>
      <c r="T234" s="83">
        <v>1</v>
      </c>
      <c r="V234" s="83" t="s">
        <v>150</v>
      </c>
      <c r="W234" s="83">
        <v>1</v>
      </c>
      <c r="Y234" s="83" t="s">
        <v>150</v>
      </c>
      <c r="Z234" s="83">
        <v>1</v>
      </c>
      <c r="AB234" s="83" t="s">
        <v>150</v>
      </c>
      <c r="AC234" s="83">
        <v>1</v>
      </c>
      <c r="AE234" s="83" t="s">
        <v>150</v>
      </c>
      <c r="AF234" s="83">
        <v>1</v>
      </c>
      <c r="AH234" s="83" t="s">
        <v>150</v>
      </c>
      <c r="AI234" s="83">
        <v>1</v>
      </c>
      <c r="AK234" s="83" t="s">
        <v>150</v>
      </c>
      <c r="AL234" s="83">
        <v>1</v>
      </c>
      <c r="AN234" s="83" t="s">
        <v>150</v>
      </c>
      <c r="AO234" s="83">
        <v>1</v>
      </c>
      <c r="AQ234" s="83" t="s">
        <v>150</v>
      </c>
      <c r="AR234" s="83">
        <v>1</v>
      </c>
      <c r="AT234" s="83" t="s">
        <v>150</v>
      </c>
      <c r="AU234" s="83">
        <v>1</v>
      </c>
      <c r="AW234" s="83" t="s">
        <v>150</v>
      </c>
      <c r="AX234" s="83">
        <v>1</v>
      </c>
      <c r="AZ234" s="83" t="s">
        <v>150</v>
      </c>
      <c r="BA234" s="83">
        <v>1</v>
      </c>
      <c r="BC234" s="83" t="s">
        <v>150</v>
      </c>
      <c r="BD234" s="83">
        <v>1</v>
      </c>
      <c r="BF234" s="83" t="s">
        <v>150</v>
      </c>
      <c r="BG234" s="83">
        <v>1</v>
      </c>
      <c r="BI234" s="83" t="s">
        <v>150</v>
      </c>
      <c r="BJ234" s="83">
        <v>1</v>
      </c>
      <c r="BL234" s="83" t="s">
        <v>150</v>
      </c>
      <c r="BM234" s="83">
        <v>1</v>
      </c>
      <c r="BO234" s="83" t="s">
        <v>150</v>
      </c>
      <c r="BP234" s="83">
        <v>1</v>
      </c>
      <c r="BR234" s="83" t="s">
        <v>150</v>
      </c>
      <c r="BS234" s="83">
        <v>1</v>
      </c>
      <c r="BU234" s="83" t="s">
        <v>150</v>
      </c>
      <c r="BV234" s="83">
        <v>1</v>
      </c>
      <c r="BX234" s="83" t="s">
        <v>150</v>
      </c>
      <c r="BY234" s="83">
        <v>1</v>
      </c>
      <c r="CA234" s="83" t="s">
        <v>150</v>
      </c>
      <c r="CB234" s="83">
        <v>1</v>
      </c>
      <c r="CD234" s="83" t="s">
        <v>150</v>
      </c>
      <c r="CE234" s="83">
        <v>1</v>
      </c>
      <c r="CG234" s="83" t="s">
        <v>150</v>
      </c>
      <c r="CH234" s="83">
        <v>1</v>
      </c>
      <c r="CJ234" s="83" t="s">
        <v>150</v>
      </c>
      <c r="CK234" s="83">
        <v>1</v>
      </c>
      <c r="CM234" s="83" t="s">
        <v>150</v>
      </c>
      <c r="CN234" s="83">
        <v>1</v>
      </c>
      <c r="CP234" s="83" t="s">
        <v>150</v>
      </c>
      <c r="CQ234" s="83">
        <v>1</v>
      </c>
      <c r="CS234" s="83" t="s">
        <v>150</v>
      </c>
      <c r="CT234" s="83">
        <v>1</v>
      </c>
      <c r="CV234" s="83" t="s">
        <v>150</v>
      </c>
      <c r="CW234" s="83">
        <v>1</v>
      </c>
    </row>
    <row r="236" spans="1:101" x14ac:dyDescent="0.2">
      <c r="A236" s="83" t="s">
        <v>134</v>
      </c>
      <c r="B236" s="83">
        <v>1</v>
      </c>
      <c r="D236" s="83" t="s">
        <v>134</v>
      </c>
      <c r="E236" s="83">
        <v>1</v>
      </c>
      <c r="G236" s="83" t="s">
        <v>134</v>
      </c>
      <c r="H236" s="83">
        <v>1</v>
      </c>
      <c r="J236" s="83" t="s">
        <v>134</v>
      </c>
      <c r="K236" s="83">
        <v>1</v>
      </c>
      <c r="M236" s="83" t="s">
        <v>134</v>
      </c>
      <c r="N236" s="83">
        <v>1</v>
      </c>
      <c r="P236" s="83" t="s">
        <v>134</v>
      </c>
      <c r="Q236" s="83">
        <v>1</v>
      </c>
      <c r="S236" s="83" t="s">
        <v>134</v>
      </c>
      <c r="T236" s="83">
        <v>1</v>
      </c>
      <c r="V236" s="83" t="s">
        <v>134</v>
      </c>
      <c r="W236" s="83">
        <v>1</v>
      </c>
      <c r="Y236" s="83" t="s">
        <v>134</v>
      </c>
      <c r="Z236" s="83">
        <v>1</v>
      </c>
      <c r="AB236" s="83" t="s">
        <v>134</v>
      </c>
      <c r="AC236" s="83">
        <v>1</v>
      </c>
      <c r="AE236" s="83" t="s">
        <v>134</v>
      </c>
      <c r="AF236" s="83">
        <v>1</v>
      </c>
      <c r="AH236" s="83" t="s">
        <v>134</v>
      </c>
      <c r="AI236" s="83">
        <v>1</v>
      </c>
      <c r="AK236" s="83" t="s">
        <v>134</v>
      </c>
      <c r="AL236" s="83">
        <v>1</v>
      </c>
      <c r="AN236" s="83" t="s">
        <v>134</v>
      </c>
      <c r="AO236" s="83">
        <v>1</v>
      </c>
      <c r="AQ236" s="83" t="s">
        <v>134</v>
      </c>
      <c r="AR236" s="83">
        <v>1</v>
      </c>
      <c r="AT236" s="83" t="s">
        <v>134</v>
      </c>
      <c r="AU236" s="83">
        <v>1</v>
      </c>
      <c r="AW236" s="83" t="s">
        <v>134</v>
      </c>
      <c r="AX236" s="83">
        <v>1</v>
      </c>
      <c r="AZ236" s="83" t="s">
        <v>134</v>
      </c>
      <c r="BA236" s="83">
        <v>1</v>
      </c>
      <c r="BC236" s="83" t="s">
        <v>134</v>
      </c>
      <c r="BD236" s="83">
        <v>1</v>
      </c>
      <c r="BF236" s="83" t="s">
        <v>134</v>
      </c>
      <c r="BG236" s="83">
        <v>1</v>
      </c>
      <c r="BI236" s="83" t="s">
        <v>134</v>
      </c>
      <c r="BJ236" s="83">
        <v>1</v>
      </c>
      <c r="BL236" s="83" t="s">
        <v>134</v>
      </c>
      <c r="BM236" s="83">
        <v>1</v>
      </c>
      <c r="BO236" s="83" t="s">
        <v>134</v>
      </c>
      <c r="BP236" s="83">
        <v>1</v>
      </c>
      <c r="BR236" s="83" t="s">
        <v>134</v>
      </c>
      <c r="BS236" s="83">
        <v>1</v>
      </c>
      <c r="BU236" s="83" t="s">
        <v>134</v>
      </c>
      <c r="BV236" s="83">
        <v>1</v>
      </c>
      <c r="BX236" s="83" t="s">
        <v>134</v>
      </c>
      <c r="BY236" s="83">
        <v>1</v>
      </c>
      <c r="CA236" s="83" t="s">
        <v>134</v>
      </c>
      <c r="CB236" s="83">
        <v>1</v>
      </c>
      <c r="CD236" s="83" t="s">
        <v>134</v>
      </c>
      <c r="CE236" s="83">
        <v>1</v>
      </c>
      <c r="CG236" s="83" t="s">
        <v>134</v>
      </c>
      <c r="CH236" s="83">
        <v>1</v>
      </c>
      <c r="CJ236" s="83" t="s">
        <v>134</v>
      </c>
      <c r="CK236" s="83">
        <v>1</v>
      </c>
      <c r="CM236" s="83" t="s">
        <v>134</v>
      </c>
      <c r="CN236" s="83">
        <v>1</v>
      </c>
      <c r="CP236" s="83" t="s">
        <v>134</v>
      </c>
      <c r="CQ236" s="83">
        <v>1</v>
      </c>
      <c r="CS236" s="83" t="s">
        <v>134</v>
      </c>
      <c r="CT236" s="83">
        <v>1</v>
      </c>
      <c r="CV236" s="83" t="s">
        <v>134</v>
      </c>
      <c r="CW236" s="83">
        <v>1</v>
      </c>
    </row>
    <row r="238" spans="1:101" x14ac:dyDescent="0.2">
      <c r="A238" s="83" t="s">
        <v>133</v>
      </c>
      <c r="B238" s="83">
        <v>1</v>
      </c>
      <c r="D238" s="83" t="s">
        <v>133</v>
      </c>
      <c r="E238" s="83">
        <v>1</v>
      </c>
      <c r="G238" s="83" t="s">
        <v>133</v>
      </c>
      <c r="H238" s="83">
        <v>1</v>
      </c>
      <c r="J238" s="83" t="s">
        <v>133</v>
      </c>
      <c r="K238" s="83">
        <v>1</v>
      </c>
      <c r="M238" s="83" t="s">
        <v>133</v>
      </c>
      <c r="N238" s="83">
        <v>1</v>
      </c>
      <c r="P238" s="83" t="s">
        <v>133</v>
      </c>
      <c r="Q238" s="83">
        <v>1</v>
      </c>
      <c r="S238" s="83" t="s">
        <v>133</v>
      </c>
      <c r="T238" s="83">
        <v>1</v>
      </c>
      <c r="V238" s="83" t="s">
        <v>133</v>
      </c>
      <c r="W238" s="83">
        <v>1</v>
      </c>
      <c r="Y238" s="83" t="s">
        <v>133</v>
      </c>
      <c r="Z238" s="83">
        <v>1</v>
      </c>
      <c r="AB238" s="83" t="s">
        <v>133</v>
      </c>
      <c r="AC238" s="83">
        <v>1</v>
      </c>
      <c r="AE238" s="83" t="s">
        <v>133</v>
      </c>
      <c r="AF238" s="83">
        <v>1</v>
      </c>
      <c r="AH238" s="83" t="s">
        <v>133</v>
      </c>
      <c r="AI238" s="83">
        <v>1</v>
      </c>
      <c r="AK238" s="83" t="s">
        <v>133</v>
      </c>
      <c r="AL238" s="83">
        <v>1</v>
      </c>
      <c r="AN238" s="83" t="s">
        <v>133</v>
      </c>
      <c r="AO238" s="83">
        <v>1</v>
      </c>
      <c r="AQ238" s="83" t="s">
        <v>133</v>
      </c>
      <c r="AR238" s="83">
        <v>1</v>
      </c>
      <c r="AT238" s="83" t="s">
        <v>133</v>
      </c>
      <c r="AU238" s="83">
        <v>1</v>
      </c>
      <c r="AW238" s="83" t="s">
        <v>133</v>
      </c>
      <c r="AX238" s="83">
        <v>1</v>
      </c>
      <c r="AZ238" s="83" t="s">
        <v>133</v>
      </c>
      <c r="BA238" s="83">
        <v>1</v>
      </c>
      <c r="BC238" s="83" t="s">
        <v>133</v>
      </c>
      <c r="BD238" s="83">
        <v>1</v>
      </c>
      <c r="BF238" s="83" t="s">
        <v>133</v>
      </c>
      <c r="BG238" s="83">
        <v>1</v>
      </c>
      <c r="BI238" s="83" t="s">
        <v>133</v>
      </c>
      <c r="BJ238" s="83">
        <v>1</v>
      </c>
      <c r="BL238" s="83" t="s">
        <v>133</v>
      </c>
      <c r="BM238" s="83">
        <v>1</v>
      </c>
      <c r="BO238" s="83" t="s">
        <v>133</v>
      </c>
      <c r="BP238" s="83">
        <v>1</v>
      </c>
      <c r="BR238" s="83" t="s">
        <v>133</v>
      </c>
      <c r="BS238" s="83">
        <v>1</v>
      </c>
      <c r="BU238" s="83" t="s">
        <v>133</v>
      </c>
      <c r="BV238" s="83">
        <v>1</v>
      </c>
      <c r="BX238" s="83" t="s">
        <v>133</v>
      </c>
      <c r="BY238" s="83">
        <v>1</v>
      </c>
      <c r="CA238" s="83" t="s">
        <v>133</v>
      </c>
      <c r="CB238" s="83">
        <v>1</v>
      </c>
      <c r="CD238" s="83" t="s">
        <v>133</v>
      </c>
      <c r="CE238" s="83">
        <v>1</v>
      </c>
      <c r="CG238" s="83" t="s">
        <v>133</v>
      </c>
      <c r="CH238" s="83">
        <v>1</v>
      </c>
      <c r="CJ238" s="83" t="s">
        <v>133</v>
      </c>
      <c r="CK238" s="83">
        <v>1</v>
      </c>
      <c r="CM238" s="83" t="s">
        <v>133</v>
      </c>
      <c r="CN238" s="83">
        <v>1</v>
      </c>
      <c r="CP238" s="83" t="s">
        <v>133</v>
      </c>
      <c r="CQ238" s="83">
        <v>1</v>
      </c>
      <c r="CS238" s="83" t="s">
        <v>133</v>
      </c>
      <c r="CT238" s="83">
        <v>1</v>
      </c>
      <c r="CV238" s="83" t="s">
        <v>133</v>
      </c>
      <c r="CW238" s="83">
        <v>1</v>
      </c>
    </row>
    <row r="240" spans="1:101" x14ac:dyDescent="0.2">
      <c r="A240" s="83" t="s">
        <v>135</v>
      </c>
      <c r="B240" s="83">
        <v>1</v>
      </c>
      <c r="D240" s="83" t="s">
        <v>135</v>
      </c>
      <c r="E240" s="83">
        <v>1</v>
      </c>
      <c r="G240" s="83" t="s">
        <v>135</v>
      </c>
      <c r="H240" s="83">
        <v>1</v>
      </c>
      <c r="J240" s="83" t="s">
        <v>135</v>
      </c>
      <c r="K240" s="83">
        <v>1</v>
      </c>
      <c r="M240" s="83" t="s">
        <v>135</v>
      </c>
      <c r="N240" s="83">
        <v>1</v>
      </c>
      <c r="P240" s="83" t="s">
        <v>135</v>
      </c>
      <c r="Q240" s="83">
        <v>1</v>
      </c>
      <c r="S240" s="83" t="s">
        <v>135</v>
      </c>
      <c r="T240" s="83">
        <v>1</v>
      </c>
      <c r="V240" s="83" t="s">
        <v>135</v>
      </c>
      <c r="W240" s="83">
        <v>1</v>
      </c>
      <c r="Y240" s="83" t="s">
        <v>135</v>
      </c>
      <c r="Z240" s="83">
        <v>1</v>
      </c>
      <c r="AB240" s="83" t="s">
        <v>135</v>
      </c>
      <c r="AC240" s="83">
        <v>1</v>
      </c>
      <c r="AE240" s="83" t="s">
        <v>135</v>
      </c>
      <c r="AF240" s="83">
        <v>1</v>
      </c>
      <c r="AH240" s="83" t="s">
        <v>135</v>
      </c>
      <c r="AI240" s="83">
        <v>1</v>
      </c>
      <c r="AK240" s="83" t="s">
        <v>135</v>
      </c>
      <c r="AL240" s="83">
        <v>1</v>
      </c>
      <c r="AN240" s="83" t="s">
        <v>135</v>
      </c>
      <c r="AO240" s="83">
        <v>1</v>
      </c>
      <c r="AQ240" s="83" t="s">
        <v>135</v>
      </c>
      <c r="AR240" s="83">
        <v>1</v>
      </c>
      <c r="AT240" s="83" t="s">
        <v>135</v>
      </c>
      <c r="AU240" s="83">
        <v>1</v>
      </c>
      <c r="AW240" s="83" t="s">
        <v>135</v>
      </c>
      <c r="AX240" s="83">
        <v>1</v>
      </c>
      <c r="AZ240" s="83" t="s">
        <v>135</v>
      </c>
      <c r="BA240" s="83">
        <v>1</v>
      </c>
      <c r="BC240" s="83" t="s">
        <v>135</v>
      </c>
      <c r="BD240" s="83">
        <v>1</v>
      </c>
      <c r="BF240" s="83" t="s">
        <v>135</v>
      </c>
      <c r="BG240" s="83">
        <v>1</v>
      </c>
      <c r="BI240" s="83" t="s">
        <v>135</v>
      </c>
      <c r="BJ240" s="83">
        <v>1</v>
      </c>
      <c r="BL240" s="83" t="s">
        <v>135</v>
      </c>
      <c r="BM240" s="83">
        <v>1</v>
      </c>
      <c r="BO240" s="83" t="s">
        <v>135</v>
      </c>
      <c r="BP240" s="83">
        <v>1</v>
      </c>
      <c r="BR240" s="83" t="s">
        <v>135</v>
      </c>
      <c r="BS240" s="83">
        <v>1</v>
      </c>
      <c r="BU240" s="83" t="s">
        <v>135</v>
      </c>
      <c r="BV240" s="83">
        <v>1</v>
      </c>
      <c r="BX240" s="83" t="s">
        <v>135</v>
      </c>
      <c r="BY240" s="83">
        <v>1</v>
      </c>
      <c r="CA240" s="83" t="s">
        <v>135</v>
      </c>
      <c r="CB240" s="83">
        <v>1</v>
      </c>
      <c r="CD240" s="83" t="s">
        <v>135</v>
      </c>
      <c r="CE240" s="83">
        <v>1</v>
      </c>
      <c r="CG240" s="83" t="s">
        <v>135</v>
      </c>
      <c r="CH240" s="83">
        <v>1</v>
      </c>
      <c r="CJ240" s="83" t="s">
        <v>135</v>
      </c>
      <c r="CK240" s="83">
        <v>1</v>
      </c>
      <c r="CM240" s="83" t="s">
        <v>135</v>
      </c>
      <c r="CN240" s="83">
        <v>1</v>
      </c>
      <c r="CP240" s="83" t="s">
        <v>135</v>
      </c>
      <c r="CQ240" s="83">
        <v>1</v>
      </c>
      <c r="CS240" s="83" t="s">
        <v>135</v>
      </c>
      <c r="CT240" s="83">
        <v>1</v>
      </c>
      <c r="CV240" s="83" t="s">
        <v>135</v>
      </c>
      <c r="CW240" s="83">
        <v>1</v>
      </c>
    </row>
    <row r="242" spans="1:101" x14ac:dyDescent="0.2">
      <c r="A242" s="83" t="s">
        <v>136</v>
      </c>
      <c r="B242" s="83">
        <v>1</v>
      </c>
      <c r="D242" s="83" t="s">
        <v>136</v>
      </c>
      <c r="E242" s="83">
        <v>1</v>
      </c>
      <c r="G242" s="83" t="s">
        <v>136</v>
      </c>
      <c r="H242" s="83">
        <v>1</v>
      </c>
      <c r="J242" s="83" t="s">
        <v>136</v>
      </c>
      <c r="K242" s="83">
        <v>1</v>
      </c>
      <c r="M242" s="83" t="s">
        <v>136</v>
      </c>
      <c r="N242" s="83">
        <v>1</v>
      </c>
      <c r="P242" s="83" t="s">
        <v>136</v>
      </c>
      <c r="Q242" s="83">
        <v>1</v>
      </c>
      <c r="S242" s="83" t="s">
        <v>136</v>
      </c>
      <c r="T242" s="83">
        <v>1</v>
      </c>
      <c r="V242" s="83" t="s">
        <v>136</v>
      </c>
      <c r="W242" s="83">
        <v>1</v>
      </c>
      <c r="Y242" s="83" t="s">
        <v>136</v>
      </c>
      <c r="Z242" s="83">
        <v>1</v>
      </c>
      <c r="AB242" s="83" t="s">
        <v>136</v>
      </c>
      <c r="AC242" s="83">
        <v>1</v>
      </c>
      <c r="AE242" s="83" t="s">
        <v>136</v>
      </c>
      <c r="AF242" s="83">
        <v>1</v>
      </c>
      <c r="AH242" s="83" t="s">
        <v>136</v>
      </c>
      <c r="AI242" s="83">
        <v>1</v>
      </c>
      <c r="AK242" s="83" t="s">
        <v>136</v>
      </c>
      <c r="AL242" s="83">
        <v>1</v>
      </c>
      <c r="AN242" s="83" t="s">
        <v>136</v>
      </c>
      <c r="AO242" s="83">
        <v>1</v>
      </c>
      <c r="AQ242" s="83" t="s">
        <v>136</v>
      </c>
      <c r="AR242" s="83">
        <v>1</v>
      </c>
      <c r="AT242" s="83" t="s">
        <v>136</v>
      </c>
      <c r="AU242" s="83">
        <v>1</v>
      </c>
      <c r="AW242" s="83" t="s">
        <v>136</v>
      </c>
      <c r="AX242" s="83">
        <v>1</v>
      </c>
      <c r="AZ242" s="83" t="s">
        <v>136</v>
      </c>
      <c r="BA242" s="83">
        <v>1</v>
      </c>
      <c r="BC242" s="83" t="s">
        <v>136</v>
      </c>
      <c r="BD242" s="83">
        <v>1</v>
      </c>
      <c r="BF242" s="83" t="s">
        <v>136</v>
      </c>
      <c r="BG242" s="83">
        <v>1</v>
      </c>
      <c r="BI242" s="83" t="s">
        <v>136</v>
      </c>
      <c r="BJ242" s="83">
        <v>1</v>
      </c>
      <c r="BL242" s="83" t="s">
        <v>136</v>
      </c>
      <c r="BM242" s="83">
        <v>1</v>
      </c>
      <c r="BO242" s="83" t="s">
        <v>136</v>
      </c>
      <c r="BP242" s="83">
        <v>1</v>
      </c>
      <c r="BR242" s="83" t="s">
        <v>136</v>
      </c>
      <c r="BS242" s="83">
        <v>1</v>
      </c>
      <c r="BU242" s="83" t="s">
        <v>136</v>
      </c>
      <c r="BV242" s="83">
        <v>1</v>
      </c>
      <c r="BX242" s="83" t="s">
        <v>136</v>
      </c>
      <c r="BY242" s="83">
        <v>1</v>
      </c>
      <c r="CA242" s="83" t="s">
        <v>136</v>
      </c>
      <c r="CB242" s="83">
        <v>1</v>
      </c>
      <c r="CD242" s="83" t="s">
        <v>136</v>
      </c>
      <c r="CE242" s="83">
        <v>1</v>
      </c>
      <c r="CG242" s="83" t="s">
        <v>136</v>
      </c>
      <c r="CH242" s="83">
        <v>1</v>
      </c>
      <c r="CJ242" s="83" t="s">
        <v>136</v>
      </c>
      <c r="CK242" s="83">
        <v>1</v>
      </c>
      <c r="CM242" s="83" t="s">
        <v>136</v>
      </c>
      <c r="CN242" s="83">
        <v>1</v>
      </c>
      <c r="CP242" s="83" t="s">
        <v>136</v>
      </c>
      <c r="CQ242" s="83">
        <v>1</v>
      </c>
      <c r="CS242" s="83" t="s">
        <v>136</v>
      </c>
      <c r="CT242" s="83">
        <v>1</v>
      </c>
      <c r="CV242" s="83" t="s">
        <v>136</v>
      </c>
      <c r="CW242" s="83">
        <v>1</v>
      </c>
    </row>
    <row r="244" spans="1:101" x14ac:dyDescent="0.2">
      <c r="A244" s="83" t="s">
        <v>137</v>
      </c>
      <c r="B244" s="83">
        <v>1</v>
      </c>
      <c r="D244" s="83" t="s">
        <v>137</v>
      </c>
      <c r="E244" s="83">
        <v>1</v>
      </c>
      <c r="G244" s="83" t="s">
        <v>137</v>
      </c>
      <c r="H244" s="83">
        <v>1</v>
      </c>
      <c r="J244" s="83" t="s">
        <v>137</v>
      </c>
      <c r="K244" s="83">
        <v>1</v>
      </c>
      <c r="M244" s="83" t="s">
        <v>137</v>
      </c>
      <c r="N244" s="83">
        <v>1</v>
      </c>
      <c r="P244" s="83" t="s">
        <v>137</v>
      </c>
      <c r="Q244" s="83">
        <v>1</v>
      </c>
      <c r="S244" s="83" t="s">
        <v>137</v>
      </c>
      <c r="T244" s="83">
        <v>1</v>
      </c>
      <c r="V244" s="83" t="s">
        <v>137</v>
      </c>
      <c r="W244" s="83">
        <v>1</v>
      </c>
      <c r="Y244" s="83" t="s">
        <v>137</v>
      </c>
      <c r="Z244" s="83">
        <v>1</v>
      </c>
      <c r="AB244" s="83" t="s">
        <v>137</v>
      </c>
      <c r="AC244" s="83">
        <v>1</v>
      </c>
      <c r="AE244" s="83" t="s">
        <v>137</v>
      </c>
      <c r="AF244" s="83">
        <v>1</v>
      </c>
      <c r="AH244" s="83" t="s">
        <v>137</v>
      </c>
      <c r="AI244" s="83">
        <v>1</v>
      </c>
      <c r="AK244" s="83" t="s">
        <v>137</v>
      </c>
      <c r="AL244" s="83">
        <v>1</v>
      </c>
      <c r="AN244" s="83" t="s">
        <v>137</v>
      </c>
      <c r="AO244" s="83">
        <v>1</v>
      </c>
      <c r="AQ244" s="83" t="s">
        <v>137</v>
      </c>
      <c r="AR244" s="83">
        <v>1</v>
      </c>
      <c r="AT244" s="83" t="s">
        <v>137</v>
      </c>
      <c r="AU244" s="83">
        <v>1</v>
      </c>
      <c r="AW244" s="83" t="s">
        <v>137</v>
      </c>
      <c r="AX244" s="83">
        <v>1</v>
      </c>
      <c r="AZ244" s="83" t="s">
        <v>137</v>
      </c>
      <c r="BA244" s="83">
        <v>1</v>
      </c>
      <c r="BC244" s="83" t="s">
        <v>137</v>
      </c>
      <c r="BD244" s="83">
        <v>1</v>
      </c>
      <c r="BF244" s="83" t="s">
        <v>137</v>
      </c>
      <c r="BG244" s="83">
        <v>1</v>
      </c>
      <c r="BI244" s="83" t="s">
        <v>137</v>
      </c>
      <c r="BJ244" s="83">
        <v>1</v>
      </c>
      <c r="BL244" s="83" t="s">
        <v>137</v>
      </c>
      <c r="BM244" s="83">
        <v>1</v>
      </c>
      <c r="BO244" s="83" t="s">
        <v>137</v>
      </c>
      <c r="BP244" s="83">
        <v>1</v>
      </c>
      <c r="BR244" s="83" t="s">
        <v>137</v>
      </c>
      <c r="BS244" s="83">
        <v>1</v>
      </c>
      <c r="BU244" s="83" t="s">
        <v>137</v>
      </c>
      <c r="BV244" s="83">
        <v>1</v>
      </c>
      <c r="BX244" s="83" t="s">
        <v>137</v>
      </c>
      <c r="BY244" s="83">
        <v>1</v>
      </c>
      <c r="CA244" s="83" t="s">
        <v>137</v>
      </c>
      <c r="CB244" s="83">
        <v>1</v>
      </c>
      <c r="CD244" s="83" t="s">
        <v>137</v>
      </c>
      <c r="CE244" s="83">
        <v>1</v>
      </c>
      <c r="CG244" s="83" t="s">
        <v>137</v>
      </c>
      <c r="CH244" s="83">
        <v>1</v>
      </c>
      <c r="CJ244" s="83" t="s">
        <v>137</v>
      </c>
      <c r="CK244" s="83">
        <v>1</v>
      </c>
      <c r="CM244" s="83" t="s">
        <v>137</v>
      </c>
      <c r="CN244" s="83">
        <v>1</v>
      </c>
      <c r="CP244" s="83" t="s">
        <v>137</v>
      </c>
      <c r="CQ244" s="83">
        <v>1</v>
      </c>
      <c r="CS244" s="83" t="s">
        <v>137</v>
      </c>
      <c r="CT244" s="83">
        <v>1</v>
      </c>
      <c r="CV244" s="83" t="s">
        <v>137</v>
      </c>
      <c r="CW244" s="83">
        <v>1</v>
      </c>
    </row>
    <row r="246" spans="1:101" x14ac:dyDescent="0.2">
      <c r="A246" s="83" t="s">
        <v>138</v>
      </c>
      <c r="B246" s="83">
        <v>1</v>
      </c>
      <c r="D246" s="83" t="s">
        <v>138</v>
      </c>
      <c r="E246" s="83">
        <v>1</v>
      </c>
      <c r="G246" s="83" t="s">
        <v>138</v>
      </c>
      <c r="H246" s="83">
        <v>1</v>
      </c>
      <c r="J246" s="83" t="s">
        <v>138</v>
      </c>
      <c r="K246" s="83">
        <v>1</v>
      </c>
      <c r="M246" s="83" t="s">
        <v>138</v>
      </c>
      <c r="N246" s="83">
        <v>1</v>
      </c>
      <c r="P246" s="83" t="s">
        <v>138</v>
      </c>
      <c r="Q246" s="83">
        <v>1</v>
      </c>
      <c r="S246" s="83" t="s">
        <v>138</v>
      </c>
      <c r="T246" s="83">
        <v>1</v>
      </c>
      <c r="V246" s="83" t="s">
        <v>138</v>
      </c>
      <c r="W246" s="83">
        <v>1</v>
      </c>
      <c r="Y246" s="83" t="s">
        <v>138</v>
      </c>
      <c r="Z246" s="83">
        <v>1</v>
      </c>
      <c r="AB246" s="83" t="s">
        <v>138</v>
      </c>
      <c r="AC246" s="83">
        <v>1</v>
      </c>
      <c r="AE246" s="83" t="s">
        <v>138</v>
      </c>
      <c r="AF246" s="83">
        <v>1</v>
      </c>
      <c r="AH246" s="83" t="s">
        <v>138</v>
      </c>
      <c r="AI246" s="83">
        <v>1</v>
      </c>
      <c r="AK246" s="83" t="s">
        <v>138</v>
      </c>
      <c r="AL246" s="83">
        <v>1</v>
      </c>
      <c r="AN246" s="83" t="s">
        <v>138</v>
      </c>
      <c r="AO246" s="83">
        <v>1</v>
      </c>
      <c r="AQ246" s="83" t="s">
        <v>138</v>
      </c>
      <c r="AR246" s="83">
        <v>1</v>
      </c>
      <c r="AT246" s="83" t="s">
        <v>138</v>
      </c>
      <c r="AU246" s="83">
        <v>1</v>
      </c>
      <c r="AW246" s="83" t="s">
        <v>138</v>
      </c>
      <c r="AX246" s="83">
        <v>1</v>
      </c>
      <c r="AZ246" s="83" t="s">
        <v>138</v>
      </c>
      <c r="BA246" s="83">
        <v>1</v>
      </c>
      <c r="BC246" s="83" t="s">
        <v>138</v>
      </c>
      <c r="BD246" s="83">
        <v>1</v>
      </c>
      <c r="BF246" s="83" t="s">
        <v>138</v>
      </c>
      <c r="BG246" s="83">
        <v>1</v>
      </c>
      <c r="BI246" s="83" t="s">
        <v>138</v>
      </c>
      <c r="BJ246" s="83">
        <v>1</v>
      </c>
      <c r="BL246" s="83" t="s">
        <v>138</v>
      </c>
      <c r="BM246" s="83">
        <v>1</v>
      </c>
      <c r="BO246" s="83" t="s">
        <v>138</v>
      </c>
      <c r="BP246" s="83">
        <v>1</v>
      </c>
      <c r="BR246" s="83" t="s">
        <v>138</v>
      </c>
      <c r="BS246" s="83">
        <v>1</v>
      </c>
      <c r="BU246" s="83" t="s">
        <v>138</v>
      </c>
      <c r="BV246" s="83">
        <v>1</v>
      </c>
      <c r="BX246" s="83" t="s">
        <v>138</v>
      </c>
      <c r="BY246" s="83">
        <v>1</v>
      </c>
      <c r="CA246" s="83" t="s">
        <v>138</v>
      </c>
      <c r="CB246" s="83">
        <v>1</v>
      </c>
      <c r="CD246" s="83" t="s">
        <v>138</v>
      </c>
      <c r="CE246" s="83">
        <v>1</v>
      </c>
      <c r="CG246" s="83" t="s">
        <v>138</v>
      </c>
      <c r="CH246" s="83">
        <v>1</v>
      </c>
      <c r="CJ246" s="83" t="s">
        <v>138</v>
      </c>
      <c r="CK246" s="83">
        <v>1</v>
      </c>
      <c r="CM246" s="83" t="s">
        <v>138</v>
      </c>
      <c r="CN246" s="83">
        <v>1</v>
      </c>
      <c r="CP246" s="83" t="s">
        <v>138</v>
      </c>
      <c r="CQ246" s="83">
        <v>1</v>
      </c>
      <c r="CS246" s="83" t="s">
        <v>138</v>
      </c>
      <c r="CT246" s="83">
        <v>1</v>
      </c>
      <c r="CV246" s="83" t="s">
        <v>138</v>
      </c>
      <c r="CW246" s="83">
        <v>1</v>
      </c>
    </row>
    <row r="248" spans="1:101" x14ac:dyDescent="0.2">
      <c r="A248" s="83" t="s">
        <v>139</v>
      </c>
      <c r="B248" s="83">
        <v>1</v>
      </c>
      <c r="D248" s="83" t="s">
        <v>139</v>
      </c>
      <c r="E248" s="83">
        <v>1</v>
      </c>
      <c r="G248" s="83" t="s">
        <v>139</v>
      </c>
      <c r="H248" s="83">
        <v>1</v>
      </c>
      <c r="J248" s="83" t="s">
        <v>139</v>
      </c>
      <c r="K248" s="83">
        <v>1</v>
      </c>
      <c r="M248" s="83" t="s">
        <v>139</v>
      </c>
      <c r="N248" s="83">
        <v>1</v>
      </c>
      <c r="P248" s="83" t="s">
        <v>139</v>
      </c>
      <c r="Q248" s="83">
        <v>1</v>
      </c>
      <c r="S248" s="83" t="s">
        <v>139</v>
      </c>
      <c r="T248" s="83">
        <v>1</v>
      </c>
      <c r="V248" s="83" t="s">
        <v>139</v>
      </c>
      <c r="W248" s="83">
        <v>1</v>
      </c>
      <c r="Y248" s="83" t="s">
        <v>139</v>
      </c>
      <c r="Z248" s="83">
        <v>1</v>
      </c>
      <c r="AB248" s="83" t="s">
        <v>139</v>
      </c>
      <c r="AC248" s="83">
        <v>1</v>
      </c>
      <c r="AE248" s="83" t="s">
        <v>139</v>
      </c>
      <c r="AF248" s="83">
        <v>1</v>
      </c>
      <c r="AH248" s="83" t="s">
        <v>139</v>
      </c>
      <c r="AI248" s="83">
        <v>1</v>
      </c>
      <c r="AK248" s="83" t="s">
        <v>139</v>
      </c>
      <c r="AL248" s="83">
        <v>1</v>
      </c>
      <c r="AN248" s="83" t="s">
        <v>139</v>
      </c>
      <c r="AO248" s="83">
        <v>1</v>
      </c>
      <c r="AQ248" s="83" t="s">
        <v>139</v>
      </c>
      <c r="AR248" s="83">
        <v>1</v>
      </c>
      <c r="AT248" s="83" t="s">
        <v>139</v>
      </c>
      <c r="AU248" s="83">
        <v>1</v>
      </c>
      <c r="AW248" s="83" t="s">
        <v>139</v>
      </c>
      <c r="AX248" s="83">
        <v>1</v>
      </c>
      <c r="AZ248" s="83" t="s">
        <v>139</v>
      </c>
      <c r="BA248" s="83">
        <v>1</v>
      </c>
      <c r="BC248" s="83" t="s">
        <v>139</v>
      </c>
      <c r="BD248" s="83">
        <v>1</v>
      </c>
      <c r="BF248" s="83" t="s">
        <v>139</v>
      </c>
      <c r="BG248" s="83">
        <v>1</v>
      </c>
      <c r="BI248" s="83" t="s">
        <v>139</v>
      </c>
      <c r="BJ248" s="83">
        <v>1</v>
      </c>
      <c r="BL248" s="83" t="s">
        <v>139</v>
      </c>
      <c r="BM248" s="83">
        <v>1</v>
      </c>
      <c r="BO248" s="83" t="s">
        <v>139</v>
      </c>
      <c r="BP248" s="83">
        <v>1</v>
      </c>
      <c r="BR248" s="83" t="s">
        <v>139</v>
      </c>
      <c r="BS248" s="83">
        <v>1</v>
      </c>
      <c r="BU248" s="83" t="s">
        <v>139</v>
      </c>
      <c r="BV248" s="83">
        <v>1</v>
      </c>
      <c r="BX248" s="83" t="s">
        <v>139</v>
      </c>
      <c r="BY248" s="83">
        <v>1</v>
      </c>
      <c r="CA248" s="83" t="s">
        <v>139</v>
      </c>
      <c r="CB248" s="83">
        <v>1</v>
      </c>
      <c r="CD248" s="83" t="s">
        <v>139</v>
      </c>
      <c r="CE248" s="83">
        <v>1</v>
      </c>
      <c r="CG248" s="83" t="s">
        <v>139</v>
      </c>
      <c r="CH248" s="83">
        <v>1</v>
      </c>
      <c r="CJ248" s="83" t="s">
        <v>139</v>
      </c>
      <c r="CK248" s="83">
        <v>1</v>
      </c>
      <c r="CM248" s="83" t="s">
        <v>139</v>
      </c>
      <c r="CN248" s="83">
        <v>1</v>
      </c>
      <c r="CP248" s="83" t="s">
        <v>139</v>
      </c>
      <c r="CQ248" s="83">
        <v>1</v>
      </c>
      <c r="CS248" s="83" t="s">
        <v>139</v>
      </c>
      <c r="CT248" s="83">
        <v>1</v>
      </c>
      <c r="CV248" s="83" t="s">
        <v>139</v>
      </c>
      <c r="CW248" s="83">
        <v>1</v>
      </c>
    </row>
    <row r="250" spans="1:101" x14ac:dyDescent="0.2">
      <c r="A250" s="83" t="s">
        <v>140</v>
      </c>
      <c r="B250" s="83">
        <v>1</v>
      </c>
      <c r="D250" s="83" t="s">
        <v>140</v>
      </c>
      <c r="E250" s="83">
        <v>1</v>
      </c>
      <c r="G250" s="83" t="s">
        <v>140</v>
      </c>
      <c r="H250" s="83">
        <v>1</v>
      </c>
      <c r="J250" s="83" t="s">
        <v>140</v>
      </c>
      <c r="K250" s="83">
        <v>1</v>
      </c>
      <c r="M250" s="83" t="s">
        <v>140</v>
      </c>
      <c r="N250" s="83">
        <v>1</v>
      </c>
      <c r="P250" s="83" t="s">
        <v>140</v>
      </c>
      <c r="Q250" s="83">
        <v>1</v>
      </c>
      <c r="S250" s="83" t="s">
        <v>140</v>
      </c>
      <c r="T250" s="83">
        <v>1</v>
      </c>
      <c r="V250" s="83" t="s">
        <v>140</v>
      </c>
      <c r="W250" s="83">
        <v>1</v>
      </c>
      <c r="Y250" s="83" t="s">
        <v>140</v>
      </c>
      <c r="Z250" s="83">
        <v>1</v>
      </c>
      <c r="AB250" s="83" t="s">
        <v>140</v>
      </c>
      <c r="AC250" s="83">
        <v>1</v>
      </c>
      <c r="AE250" s="83" t="s">
        <v>140</v>
      </c>
      <c r="AF250" s="83">
        <v>1</v>
      </c>
      <c r="AH250" s="83" t="s">
        <v>140</v>
      </c>
      <c r="AI250" s="83">
        <v>1</v>
      </c>
      <c r="AK250" s="83" t="s">
        <v>140</v>
      </c>
      <c r="AL250" s="83">
        <v>1</v>
      </c>
      <c r="AN250" s="83" t="s">
        <v>140</v>
      </c>
      <c r="AO250" s="83">
        <v>1</v>
      </c>
      <c r="AQ250" s="83" t="s">
        <v>140</v>
      </c>
      <c r="AR250" s="83">
        <v>1</v>
      </c>
      <c r="AT250" s="83" t="s">
        <v>140</v>
      </c>
      <c r="AU250" s="83">
        <v>1</v>
      </c>
      <c r="AW250" s="83" t="s">
        <v>140</v>
      </c>
      <c r="AX250" s="83">
        <v>1</v>
      </c>
      <c r="AZ250" s="83" t="s">
        <v>140</v>
      </c>
      <c r="BA250" s="83">
        <v>1</v>
      </c>
      <c r="BC250" s="83" t="s">
        <v>140</v>
      </c>
      <c r="BD250" s="83">
        <v>1</v>
      </c>
      <c r="BF250" s="83" t="s">
        <v>140</v>
      </c>
      <c r="BG250" s="83">
        <v>1</v>
      </c>
      <c r="BI250" s="83" t="s">
        <v>140</v>
      </c>
      <c r="BJ250" s="83">
        <v>1</v>
      </c>
      <c r="BL250" s="83" t="s">
        <v>140</v>
      </c>
      <c r="BM250" s="83">
        <v>1</v>
      </c>
      <c r="BO250" s="83" t="s">
        <v>140</v>
      </c>
      <c r="BP250" s="83">
        <v>1</v>
      </c>
      <c r="BR250" s="83" t="s">
        <v>140</v>
      </c>
      <c r="BS250" s="83">
        <v>1</v>
      </c>
      <c r="BU250" s="83" t="s">
        <v>140</v>
      </c>
      <c r="BV250" s="83">
        <v>1</v>
      </c>
      <c r="BX250" s="83" t="s">
        <v>140</v>
      </c>
      <c r="BY250" s="83">
        <v>1</v>
      </c>
      <c r="CA250" s="83" t="s">
        <v>140</v>
      </c>
      <c r="CB250" s="83">
        <v>1</v>
      </c>
      <c r="CD250" s="83" t="s">
        <v>140</v>
      </c>
      <c r="CE250" s="83">
        <v>1</v>
      </c>
      <c r="CG250" s="83" t="s">
        <v>140</v>
      </c>
      <c r="CH250" s="83">
        <v>1</v>
      </c>
      <c r="CJ250" s="83" t="s">
        <v>140</v>
      </c>
      <c r="CK250" s="83">
        <v>1</v>
      </c>
      <c r="CM250" s="83" t="s">
        <v>140</v>
      </c>
      <c r="CN250" s="83">
        <v>1</v>
      </c>
      <c r="CP250" s="83" t="s">
        <v>140</v>
      </c>
      <c r="CQ250" s="83">
        <v>1</v>
      </c>
      <c r="CS250" s="83" t="s">
        <v>140</v>
      </c>
      <c r="CT250" s="83">
        <v>1</v>
      </c>
      <c r="CV250" s="83" t="s">
        <v>140</v>
      </c>
      <c r="CW250" s="83">
        <v>1</v>
      </c>
    </row>
    <row r="252" spans="1:101" x14ac:dyDescent="0.2">
      <c r="A252" s="83" t="s">
        <v>141</v>
      </c>
      <c r="B252" s="83">
        <v>1</v>
      </c>
      <c r="D252" s="83" t="s">
        <v>141</v>
      </c>
      <c r="E252" s="83">
        <v>1</v>
      </c>
      <c r="G252" s="83" t="s">
        <v>141</v>
      </c>
      <c r="H252" s="83">
        <v>1</v>
      </c>
      <c r="J252" s="83" t="s">
        <v>141</v>
      </c>
      <c r="K252" s="83">
        <v>1</v>
      </c>
      <c r="M252" s="83" t="s">
        <v>141</v>
      </c>
      <c r="N252" s="83">
        <v>1</v>
      </c>
      <c r="P252" s="83" t="s">
        <v>141</v>
      </c>
      <c r="Q252" s="83">
        <v>1</v>
      </c>
      <c r="S252" s="83" t="s">
        <v>141</v>
      </c>
      <c r="T252" s="83">
        <v>1</v>
      </c>
      <c r="V252" s="83" t="s">
        <v>141</v>
      </c>
      <c r="W252" s="83">
        <v>1</v>
      </c>
      <c r="Y252" s="83" t="s">
        <v>141</v>
      </c>
      <c r="Z252" s="83">
        <v>1</v>
      </c>
      <c r="AB252" s="83" t="s">
        <v>141</v>
      </c>
      <c r="AC252" s="83">
        <v>1</v>
      </c>
      <c r="AE252" s="83" t="s">
        <v>141</v>
      </c>
      <c r="AF252" s="83">
        <v>1</v>
      </c>
      <c r="AH252" s="83" t="s">
        <v>141</v>
      </c>
      <c r="AI252" s="83">
        <v>1</v>
      </c>
      <c r="AK252" s="83" t="s">
        <v>141</v>
      </c>
      <c r="AL252" s="83">
        <v>1</v>
      </c>
      <c r="AN252" s="83" t="s">
        <v>141</v>
      </c>
      <c r="AO252" s="83">
        <v>1</v>
      </c>
      <c r="AQ252" s="83" t="s">
        <v>141</v>
      </c>
      <c r="AR252" s="83">
        <v>1</v>
      </c>
      <c r="AT252" s="83" t="s">
        <v>141</v>
      </c>
      <c r="AU252" s="83">
        <v>1</v>
      </c>
      <c r="AW252" s="83" t="s">
        <v>141</v>
      </c>
      <c r="AX252" s="83">
        <v>1</v>
      </c>
      <c r="AZ252" s="83" t="s">
        <v>141</v>
      </c>
      <c r="BA252" s="83">
        <v>1</v>
      </c>
      <c r="BC252" s="83" t="s">
        <v>141</v>
      </c>
      <c r="BD252" s="83">
        <v>1</v>
      </c>
      <c r="BF252" s="83" t="s">
        <v>141</v>
      </c>
      <c r="BG252" s="83">
        <v>1</v>
      </c>
      <c r="BI252" s="83" t="s">
        <v>141</v>
      </c>
      <c r="BJ252" s="83">
        <v>1</v>
      </c>
      <c r="BL252" s="83" t="s">
        <v>141</v>
      </c>
      <c r="BM252" s="83">
        <v>1</v>
      </c>
      <c r="BO252" s="83" t="s">
        <v>141</v>
      </c>
      <c r="BP252" s="83">
        <v>1</v>
      </c>
      <c r="BR252" s="83" t="s">
        <v>141</v>
      </c>
      <c r="BS252" s="83">
        <v>1</v>
      </c>
      <c r="BU252" s="83" t="s">
        <v>141</v>
      </c>
      <c r="BV252" s="83">
        <v>1</v>
      </c>
      <c r="BX252" s="83" t="s">
        <v>141</v>
      </c>
      <c r="BY252" s="83">
        <v>1</v>
      </c>
      <c r="CA252" s="83" t="s">
        <v>141</v>
      </c>
      <c r="CB252" s="83">
        <v>1</v>
      </c>
      <c r="CD252" s="83" t="s">
        <v>141</v>
      </c>
      <c r="CE252" s="83">
        <v>1</v>
      </c>
      <c r="CG252" s="83" t="s">
        <v>141</v>
      </c>
      <c r="CH252" s="83">
        <v>1</v>
      </c>
      <c r="CJ252" s="83" t="s">
        <v>141</v>
      </c>
      <c r="CK252" s="83">
        <v>1</v>
      </c>
      <c r="CM252" s="83" t="s">
        <v>141</v>
      </c>
      <c r="CN252" s="83">
        <v>1</v>
      </c>
      <c r="CP252" s="83" t="s">
        <v>141</v>
      </c>
      <c r="CQ252" s="83">
        <v>1</v>
      </c>
      <c r="CS252" s="83" t="s">
        <v>141</v>
      </c>
      <c r="CT252" s="83">
        <v>1</v>
      </c>
      <c r="CV252" s="83" t="s">
        <v>141</v>
      </c>
      <c r="CW252" s="83">
        <v>1</v>
      </c>
    </row>
    <row r="254" spans="1:101" x14ac:dyDescent="0.2">
      <c r="A254" s="83" t="s">
        <v>142</v>
      </c>
      <c r="B254" s="83">
        <v>1</v>
      </c>
      <c r="D254" s="83" t="s">
        <v>142</v>
      </c>
      <c r="E254" s="83">
        <v>1</v>
      </c>
      <c r="G254" s="83" t="s">
        <v>142</v>
      </c>
      <c r="H254" s="83">
        <v>1</v>
      </c>
      <c r="J254" s="83" t="s">
        <v>142</v>
      </c>
      <c r="K254" s="83">
        <v>1</v>
      </c>
      <c r="M254" s="83" t="s">
        <v>142</v>
      </c>
      <c r="N254" s="83">
        <v>1</v>
      </c>
      <c r="P254" s="83" t="s">
        <v>142</v>
      </c>
      <c r="Q254" s="83">
        <v>1</v>
      </c>
      <c r="S254" s="83" t="s">
        <v>142</v>
      </c>
      <c r="T254" s="83">
        <v>1</v>
      </c>
      <c r="V254" s="83" t="s">
        <v>142</v>
      </c>
      <c r="W254" s="83">
        <v>1</v>
      </c>
      <c r="Y254" s="83" t="s">
        <v>142</v>
      </c>
      <c r="Z254" s="83">
        <v>1</v>
      </c>
      <c r="AB254" s="83" t="s">
        <v>142</v>
      </c>
      <c r="AC254" s="83">
        <v>1</v>
      </c>
      <c r="AE254" s="83" t="s">
        <v>142</v>
      </c>
      <c r="AF254" s="83">
        <v>1</v>
      </c>
      <c r="AH254" s="83" t="s">
        <v>142</v>
      </c>
      <c r="AI254" s="83">
        <v>1</v>
      </c>
      <c r="AK254" s="83" t="s">
        <v>142</v>
      </c>
      <c r="AL254" s="83">
        <v>1</v>
      </c>
      <c r="AN254" s="83" t="s">
        <v>142</v>
      </c>
      <c r="AO254" s="83">
        <v>1</v>
      </c>
      <c r="AQ254" s="83" t="s">
        <v>142</v>
      </c>
      <c r="AR254" s="83">
        <v>1</v>
      </c>
      <c r="AT254" s="83" t="s">
        <v>142</v>
      </c>
      <c r="AU254" s="83">
        <v>1</v>
      </c>
      <c r="AW254" s="83" t="s">
        <v>142</v>
      </c>
      <c r="AX254" s="83">
        <v>1</v>
      </c>
      <c r="AZ254" s="83" t="s">
        <v>142</v>
      </c>
      <c r="BA254" s="83">
        <v>1</v>
      </c>
      <c r="BC254" s="83" t="s">
        <v>142</v>
      </c>
      <c r="BD254" s="83">
        <v>1</v>
      </c>
      <c r="BF254" s="83" t="s">
        <v>142</v>
      </c>
      <c r="BG254" s="83">
        <v>1</v>
      </c>
      <c r="BI254" s="83" t="s">
        <v>142</v>
      </c>
      <c r="BJ254" s="83">
        <v>1</v>
      </c>
      <c r="BL254" s="83" t="s">
        <v>142</v>
      </c>
      <c r="BM254" s="83">
        <v>1</v>
      </c>
      <c r="BO254" s="83" t="s">
        <v>142</v>
      </c>
      <c r="BP254" s="83">
        <v>1</v>
      </c>
      <c r="BR254" s="83" t="s">
        <v>142</v>
      </c>
      <c r="BS254" s="83">
        <v>1</v>
      </c>
      <c r="BU254" s="83" t="s">
        <v>142</v>
      </c>
      <c r="BV254" s="83">
        <v>1</v>
      </c>
      <c r="BX254" s="83" t="s">
        <v>142</v>
      </c>
      <c r="BY254" s="83">
        <v>1</v>
      </c>
      <c r="CA254" s="83" t="s">
        <v>142</v>
      </c>
      <c r="CB254" s="83">
        <v>1</v>
      </c>
      <c r="CD254" s="83" t="s">
        <v>142</v>
      </c>
      <c r="CE254" s="83">
        <v>1</v>
      </c>
      <c r="CG254" s="83" t="s">
        <v>142</v>
      </c>
      <c r="CH254" s="83">
        <v>1</v>
      </c>
      <c r="CJ254" s="83" t="s">
        <v>142</v>
      </c>
      <c r="CK254" s="83">
        <v>1</v>
      </c>
      <c r="CM254" s="83" t="s">
        <v>142</v>
      </c>
      <c r="CN254" s="83">
        <v>1</v>
      </c>
      <c r="CP254" s="83" t="s">
        <v>142</v>
      </c>
      <c r="CQ254" s="83">
        <v>1</v>
      </c>
      <c r="CS254" s="83" t="s">
        <v>142</v>
      </c>
      <c r="CT254" s="83">
        <v>1</v>
      </c>
      <c r="CV254" s="83" t="s">
        <v>142</v>
      </c>
      <c r="CW254" s="83">
        <v>1</v>
      </c>
    </row>
    <row r="256" spans="1:101" x14ac:dyDescent="0.2">
      <c r="A256" s="83" t="s">
        <v>143</v>
      </c>
      <c r="B256" s="83">
        <v>1</v>
      </c>
      <c r="D256" s="83" t="s">
        <v>143</v>
      </c>
      <c r="E256" s="83">
        <v>1</v>
      </c>
      <c r="G256" s="83" t="s">
        <v>143</v>
      </c>
      <c r="H256" s="83">
        <v>1</v>
      </c>
      <c r="J256" s="83" t="s">
        <v>143</v>
      </c>
      <c r="K256" s="83">
        <v>1</v>
      </c>
      <c r="M256" s="83" t="s">
        <v>143</v>
      </c>
      <c r="N256" s="83">
        <v>1</v>
      </c>
      <c r="P256" s="83" t="s">
        <v>143</v>
      </c>
      <c r="Q256" s="83">
        <v>1</v>
      </c>
      <c r="S256" s="83" t="s">
        <v>143</v>
      </c>
      <c r="T256" s="83">
        <v>1</v>
      </c>
      <c r="V256" s="83" t="s">
        <v>143</v>
      </c>
      <c r="W256" s="83">
        <v>1</v>
      </c>
      <c r="Y256" s="83" t="s">
        <v>143</v>
      </c>
      <c r="Z256" s="83">
        <v>1</v>
      </c>
      <c r="AB256" s="83" t="s">
        <v>143</v>
      </c>
      <c r="AC256" s="83">
        <v>1</v>
      </c>
      <c r="AE256" s="83" t="s">
        <v>143</v>
      </c>
      <c r="AF256" s="83">
        <v>1</v>
      </c>
      <c r="AH256" s="83" t="s">
        <v>143</v>
      </c>
      <c r="AI256" s="83">
        <v>1</v>
      </c>
      <c r="AK256" s="83" t="s">
        <v>143</v>
      </c>
      <c r="AL256" s="83">
        <v>1</v>
      </c>
      <c r="AN256" s="83" t="s">
        <v>143</v>
      </c>
      <c r="AO256" s="83">
        <v>1</v>
      </c>
      <c r="AQ256" s="83" t="s">
        <v>143</v>
      </c>
      <c r="AR256" s="83">
        <v>1</v>
      </c>
      <c r="AT256" s="83" t="s">
        <v>143</v>
      </c>
      <c r="AU256" s="83">
        <v>1</v>
      </c>
      <c r="AW256" s="83" t="s">
        <v>143</v>
      </c>
      <c r="AX256" s="83">
        <v>1</v>
      </c>
      <c r="AZ256" s="83" t="s">
        <v>143</v>
      </c>
      <c r="BA256" s="83">
        <v>1</v>
      </c>
      <c r="BC256" s="83" t="s">
        <v>143</v>
      </c>
      <c r="BD256" s="83">
        <v>1</v>
      </c>
      <c r="BF256" s="83" t="s">
        <v>143</v>
      </c>
      <c r="BG256" s="83">
        <v>1</v>
      </c>
      <c r="BI256" s="83" t="s">
        <v>143</v>
      </c>
      <c r="BJ256" s="83">
        <v>1</v>
      </c>
      <c r="BL256" s="83" t="s">
        <v>143</v>
      </c>
      <c r="BM256" s="83">
        <v>1</v>
      </c>
      <c r="BO256" s="83" t="s">
        <v>143</v>
      </c>
      <c r="BP256" s="83">
        <v>1</v>
      </c>
      <c r="BR256" s="83" t="s">
        <v>143</v>
      </c>
      <c r="BS256" s="83">
        <v>1</v>
      </c>
      <c r="BU256" s="83" t="s">
        <v>143</v>
      </c>
      <c r="BV256" s="83">
        <v>1</v>
      </c>
      <c r="BX256" s="83" t="s">
        <v>143</v>
      </c>
      <c r="BY256" s="83">
        <v>1</v>
      </c>
      <c r="CA256" s="83" t="s">
        <v>143</v>
      </c>
      <c r="CB256" s="83">
        <v>1</v>
      </c>
      <c r="CD256" s="83" t="s">
        <v>143</v>
      </c>
      <c r="CE256" s="83">
        <v>1</v>
      </c>
      <c r="CG256" s="83" t="s">
        <v>143</v>
      </c>
      <c r="CH256" s="83">
        <v>1</v>
      </c>
      <c r="CJ256" s="83" t="s">
        <v>143</v>
      </c>
      <c r="CK256" s="83">
        <v>1</v>
      </c>
      <c r="CM256" s="83" t="s">
        <v>143</v>
      </c>
      <c r="CN256" s="83">
        <v>1</v>
      </c>
      <c r="CP256" s="83" t="s">
        <v>143</v>
      </c>
      <c r="CQ256" s="83">
        <v>1</v>
      </c>
      <c r="CS256" s="83" t="s">
        <v>143</v>
      </c>
      <c r="CT256" s="83">
        <v>1</v>
      </c>
      <c r="CV256" s="83" t="s">
        <v>143</v>
      </c>
      <c r="CW256" s="83">
        <v>1</v>
      </c>
    </row>
    <row r="258" spans="1:101" x14ac:dyDescent="0.2">
      <c r="A258" s="83" t="s">
        <v>144</v>
      </c>
      <c r="B258" s="83">
        <v>1</v>
      </c>
      <c r="D258" s="83" t="s">
        <v>144</v>
      </c>
      <c r="E258" s="83">
        <v>1</v>
      </c>
      <c r="G258" s="83" t="s">
        <v>144</v>
      </c>
      <c r="H258" s="83">
        <v>1</v>
      </c>
      <c r="J258" s="83" t="s">
        <v>144</v>
      </c>
      <c r="K258" s="83">
        <v>1</v>
      </c>
      <c r="M258" s="83" t="s">
        <v>144</v>
      </c>
      <c r="N258" s="83">
        <v>1</v>
      </c>
      <c r="P258" s="83" t="s">
        <v>144</v>
      </c>
      <c r="Q258" s="83">
        <v>1</v>
      </c>
      <c r="S258" s="83" t="s">
        <v>144</v>
      </c>
      <c r="T258" s="83">
        <v>1</v>
      </c>
      <c r="V258" s="83" t="s">
        <v>144</v>
      </c>
      <c r="W258" s="83">
        <v>1</v>
      </c>
      <c r="Y258" s="83" t="s">
        <v>144</v>
      </c>
      <c r="Z258" s="83">
        <v>1</v>
      </c>
      <c r="AB258" s="83" t="s">
        <v>144</v>
      </c>
      <c r="AC258" s="83">
        <v>1</v>
      </c>
      <c r="AE258" s="83" t="s">
        <v>144</v>
      </c>
      <c r="AF258" s="83">
        <v>1</v>
      </c>
      <c r="AH258" s="83" t="s">
        <v>144</v>
      </c>
      <c r="AI258" s="83">
        <v>1</v>
      </c>
      <c r="AK258" s="83" t="s">
        <v>144</v>
      </c>
      <c r="AL258" s="83">
        <v>1</v>
      </c>
      <c r="AN258" s="83" t="s">
        <v>144</v>
      </c>
      <c r="AO258" s="83">
        <v>1</v>
      </c>
      <c r="AQ258" s="83" t="s">
        <v>144</v>
      </c>
      <c r="AR258" s="83">
        <v>1</v>
      </c>
      <c r="AT258" s="83" t="s">
        <v>144</v>
      </c>
      <c r="AU258" s="83">
        <v>1</v>
      </c>
      <c r="AW258" s="83" t="s">
        <v>144</v>
      </c>
      <c r="AX258" s="83">
        <v>1</v>
      </c>
      <c r="AZ258" s="83" t="s">
        <v>144</v>
      </c>
      <c r="BA258" s="83">
        <v>1</v>
      </c>
      <c r="BC258" s="83" t="s">
        <v>144</v>
      </c>
      <c r="BD258" s="83">
        <v>1</v>
      </c>
      <c r="BF258" s="83" t="s">
        <v>144</v>
      </c>
      <c r="BG258" s="83">
        <v>1</v>
      </c>
      <c r="BI258" s="83" t="s">
        <v>144</v>
      </c>
      <c r="BJ258" s="83">
        <v>1</v>
      </c>
      <c r="BL258" s="83" t="s">
        <v>144</v>
      </c>
      <c r="BM258" s="83">
        <v>1</v>
      </c>
      <c r="BO258" s="83" t="s">
        <v>144</v>
      </c>
      <c r="BP258" s="83">
        <v>1</v>
      </c>
      <c r="BR258" s="83" t="s">
        <v>144</v>
      </c>
      <c r="BS258" s="83">
        <v>1</v>
      </c>
      <c r="BU258" s="83" t="s">
        <v>144</v>
      </c>
      <c r="BV258" s="83">
        <v>1</v>
      </c>
      <c r="BX258" s="83" t="s">
        <v>144</v>
      </c>
      <c r="BY258" s="83">
        <v>1</v>
      </c>
      <c r="CA258" s="83" t="s">
        <v>144</v>
      </c>
      <c r="CB258" s="83">
        <v>1</v>
      </c>
      <c r="CD258" s="83" t="s">
        <v>144</v>
      </c>
      <c r="CE258" s="83">
        <v>1</v>
      </c>
      <c r="CG258" s="83" t="s">
        <v>144</v>
      </c>
      <c r="CH258" s="83">
        <v>1</v>
      </c>
      <c r="CJ258" s="83" t="s">
        <v>144</v>
      </c>
      <c r="CK258" s="83">
        <v>1</v>
      </c>
      <c r="CM258" s="83" t="s">
        <v>144</v>
      </c>
      <c r="CN258" s="83">
        <v>1</v>
      </c>
      <c r="CP258" s="83" t="s">
        <v>144</v>
      </c>
      <c r="CQ258" s="83">
        <v>1</v>
      </c>
      <c r="CS258" s="83" t="s">
        <v>144</v>
      </c>
      <c r="CT258" s="83">
        <v>1</v>
      </c>
      <c r="CV258" s="83" t="s">
        <v>144</v>
      </c>
      <c r="CW258" s="83">
        <v>1</v>
      </c>
    </row>
    <row r="260" spans="1:101" x14ac:dyDescent="0.2">
      <c r="A260" s="83" t="s">
        <v>145</v>
      </c>
      <c r="B260" s="83">
        <v>1</v>
      </c>
      <c r="D260" s="83" t="s">
        <v>145</v>
      </c>
      <c r="E260" s="83">
        <v>1</v>
      </c>
      <c r="G260" s="83" t="s">
        <v>145</v>
      </c>
      <c r="H260" s="83">
        <v>1</v>
      </c>
      <c r="J260" s="83" t="s">
        <v>145</v>
      </c>
      <c r="K260" s="83">
        <v>1</v>
      </c>
      <c r="M260" s="83" t="s">
        <v>145</v>
      </c>
      <c r="N260" s="83">
        <v>1</v>
      </c>
      <c r="P260" s="83" t="s">
        <v>145</v>
      </c>
      <c r="Q260" s="83">
        <v>1</v>
      </c>
      <c r="S260" s="83" t="s">
        <v>145</v>
      </c>
      <c r="T260" s="83">
        <v>1</v>
      </c>
      <c r="V260" s="83" t="s">
        <v>145</v>
      </c>
      <c r="W260" s="83">
        <v>1</v>
      </c>
      <c r="Y260" s="83" t="s">
        <v>145</v>
      </c>
      <c r="Z260" s="83">
        <v>1</v>
      </c>
      <c r="AB260" s="83" t="s">
        <v>145</v>
      </c>
      <c r="AC260" s="83">
        <v>1</v>
      </c>
      <c r="AE260" s="83" t="s">
        <v>145</v>
      </c>
      <c r="AF260" s="83">
        <v>1</v>
      </c>
      <c r="AH260" s="83" t="s">
        <v>145</v>
      </c>
      <c r="AI260" s="83">
        <v>1</v>
      </c>
      <c r="AK260" s="83" t="s">
        <v>145</v>
      </c>
      <c r="AL260" s="83">
        <v>1</v>
      </c>
      <c r="AN260" s="83" t="s">
        <v>145</v>
      </c>
      <c r="AO260" s="83">
        <v>1</v>
      </c>
      <c r="AQ260" s="83" t="s">
        <v>145</v>
      </c>
      <c r="AR260" s="83">
        <v>1</v>
      </c>
      <c r="AT260" s="83" t="s">
        <v>145</v>
      </c>
      <c r="AU260" s="83">
        <v>1</v>
      </c>
      <c r="AW260" s="83" t="s">
        <v>145</v>
      </c>
      <c r="AX260" s="83">
        <v>1</v>
      </c>
      <c r="AZ260" s="83" t="s">
        <v>145</v>
      </c>
      <c r="BA260" s="83">
        <v>1</v>
      </c>
      <c r="BC260" s="83" t="s">
        <v>145</v>
      </c>
      <c r="BD260" s="83">
        <v>1</v>
      </c>
      <c r="BF260" s="83" t="s">
        <v>145</v>
      </c>
      <c r="BG260" s="83">
        <v>1</v>
      </c>
      <c r="BI260" s="83" t="s">
        <v>145</v>
      </c>
      <c r="BJ260" s="83">
        <v>1</v>
      </c>
      <c r="BL260" s="83" t="s">
        <v>145</v>
      </c>
      <c r="BM260" s="83">
        <v>1</v>
      </c>
      <c r="BO260" s="83" t="s">
        <v>145</v>
      </c>
      <c r="BP260" s="83">
        <v>1</v>
      </c>
      <c r="BR260" s="83" t="s">
        <v>145</v>
      </c>
      <c r="BS260" s="83">
        <v>1</v>
      </c>
      <c r="BU260" s="83" t="s">
        <v>145</v>
      </c>
      <c r="BV260" s="83">
        <v>1</v>
      </c>
      <c r="BX260" s="83" t="s">
        <v>145</v>
      </c>
      <c r="BY260" s="83">
        <v>1</v>
      </c>
      <c r="CA260" s="83" t="s">
        <v>145</v>
      </c>
      <c r="CB260" s="83">
        <v>1</v>
      </c>
      <c r="CD260" s="83" t="s">
        <v>145</v>
      </c>
      <c r="CE260" s="83">
        <v>1</v>
      </c>
      <c r="CG260" s="83" t="s">
        <v>145</v>
      </c>
      <c r="CH260" s="83">
        <v>1</v>
      </c>
      <c r="CJ260" s="83" t="s">
        <v>145</v>
      </c>
      <c r="CK260" s="83">
        <v>1</v>
      </c>
      <c r="CM260" s="83" t="s">
        <v>145</v>
      </c>
      <c r="CN260" s="83">
        <v>1</v>
      </c>
      <c r="CP260" s="83" t="s">
        <v>145</v>
      </c>
      <c r="CQ260" s="83">
        <v>1</v>
      </c>
      <c r="CS260" s="83" t="s">
        <v>145</v>
      </c>
      <c r="CT260" s="83">
        <v>1</v>
      </c>
      <c r="CV260" s="83" t="s">
        <v>145</v>
      </c>
      <c r="CW260" s="83">
        <v>1</v>
      </c>
    </row>
    <row r="262" spans="1:101" x14ac:dyDescent="0.2">
      <c r="A262" s="83" t="s">
        <v>146</v>
      </c>
      <c r="B262" s="83">
        <v>1</v>
      </c>
      <c r="D262" s="83" t="s">
        <v>146</v>
      </c>
      <c r="E262" s="83">
        <v>1</v>
      </c>
      <c r="G262" s="83" t="s">
        <v>146</v>
      </c>
      <c r="H262" s="83">
        <v>1</v>
      </c>
      <c r="J262" s="83" t="s">
        <v>146</v>
      </c>
      <c r="K262" s="83">
        <v>1</v>
      </c>
      <c r="M262" s="83" t="s">
        <v>146</v>
      </c>
      <c r="N262" s="83">
        <v>1</v>
      </c>
      <c r="P262" s="83" t="s">
        <v>146</v>
      </c>
      <c r="Q262" s="83">
        <v>1</v>
      </c>
      <c r="S262" s="83" t="s">
        <v>146</v>
      </c>
      <c r="T262" s="83">
        <v>1</v>
      </c>
      <c r="V262" s="83" t="s">
        <v>146</v>
      </c>
      <c r="W262" s="83">
        <v>1</v>
      </c>
      <c r="Y262" s="83" t="s">
        <v>146</v>
      </c>
      <c r="Z262" s="83">
        <v>1</v>
      </c>
      <c r="AB262" s="83" t="s">
        <v>146</v>
      </c>
      <c r="AC262" s="83">
        <v>1</v>
      </c>
      <c r="AE262" s="83" t="s">
        <v>146</v>
      </c>
      <c r="AF262" s="83">
        <v>1</v>
      </c>
      <c r="AH262" s="83" t="s">
        <v>146</v>
      </c>
      <c r="AI262" s="83">
        <v>1</v>
      </c>
      <c r="AK262" s="83" t="s">
        <v>146</v>
      </c>
      <c r="AL262" s="83">
        <v>1</v>
      </c>
      <c r="AN262" s="83" t="s">
        <v>146</v>
      </c>
      <c r="AO262" s="83">
        <v>1</v>
      </c>
      <c r="AQ262" s="83" t="s">
        <v>146</v>
      </c>
      <c r="AR262" s="83">
        <v>1</v>
      </c>
      <c r="AT262" s="83" t="s">
        <v>146</v>
      </c>
      <c r="AU262" s="83">
        <v>1</v>
      </c>
      <c r="AW262" s="83" t="s">
        <v>146</v>
      </c>
      <c r="AX262" s="83">
        <v>1</v>
      </c>
      <c r="AZ262" s="83" t="s">
        <v>146</v>
      </c>
      <c r="BA262" s="83">
        <v>1</v>
      </c>
      <c r="BC262" s="83" t="s">
        <v>146</v>
      </c>
      <c r="BD262" s="83">
        <v>1</v>
      </c>
      <c r="BF262" s="83" t="s">
        <v>146</v>
      </c>
      <c r="BG262" s="83">
        <v>1</v>
      </c>
      <c r="BI262" s="83" t="s">
        <v>146</v>
      </c>
      <c r="BJ262" s="83">
        <v>1</v>
      </c>
      <c r="BL262" s="83" t="s">
        <v>146</v>
      </c>
      <c r="BM262" s="83">
        <v>1</v>
      </c>
      <c r="BO262" s="83" t="s">
        <v>146</v>
      </c>
      <c r="BP262" s="83">
        <v>1</v>
      </c>
      <c r="BR262" s="83" t="s">
        <v>146</v>
      </c>
      <c r="BS262" s="83">
        <v>1</v>
      </c>
      <c r="BU262" s="83" t="s">
        <v>146</v>
      </c>
      <c r="BV262" s="83">
        <v>1</v>
      </c>
      <c r="BX262" s="83" t="s">
        <v>146</v>
      </c>
      <c r="BY262" s="83">
        <v>1</v>
      </c>
      <c r="CA262" s="83" t="s">
        <v>146</v>
      </c>
      <c r="CB262" s="83">
        <v>1</v>
      </c>
      <c r="CD262" s="83" t="s">
        <v>146</v>
      </c>
      <c r="CE262" s="83">
        <v>1</v>
      </c>
      <c r="CG262" s="83" t="s">
        <v>146</v>
      </c>
      <c r="CH262" s="83">
        <v>1</v>
      </c>
      <c r="CJ262" s="83" t="s">
        <v>146</v>
      </c>
      <c r="CK262" s="83">
        <v>1</v>
      </c>
      <c r="CM262" s="83" t="s">
        <v>146</v>
      </c>
      <c r="CN262" s="83">
        <v>1</v>
      </c>
      <c r="CP262" s="83" t="s">
        <v>146</v>
      </c>
      <c r="CQ262" s="83">
        <v>1</v>
      </c>
      <c r="CS262" s="83" t="s">
        <v>146</v>
      </c>
      <c r="CT262" s="83">
        <v>1</v>
      </c>
      <c r="CV262" s="83" t="s">
        <v>146</v>
      </c>
      <c r="CW262" s="83">
        <v>1</v>
      </c>
    </row>
    <row r="264" spans="1:101" x14ac:dyDescent="0.2">
      <c r="A264" s="83" t="s">
        <v>147</v>
      </c>
      <c r="B264" s="83">
        <v>1</v>
      </c>
      <c r="D264" s="83" t="s">
        <v>147</v>
      </c>
      <c r="E264" s="83">
        <v>1</v>
      </c>
      <c r="G264" s="83" t="s">
        <v>147</v>
      </c>
      <c r="H264" s="83">
        <v>1</v>
      </c>
      <c r="J264" s="83" t="s">
        <v>147</v>
      </c>
      <c r="K264" s="83">
        <v>1</v>
      </c>
      <c r="M264" s="83" t="s">
        <v>147</v>
      </c>
      <c r="N264" s="83">
        <v>1</v>
      </c>
      <c r="P264" s="83" t="s">
        <v>147</v>
      </c>
      <c r="Q264" s="83">
        <v>1</v>
      </c>
      <c r="S264" s="83" t="s">
        <v>147</v>
      </c>
      <c r="T264" s="83">
        <v>1</v>
      </c>
      <c r="V264" s="83" t="s">
        <v>147</v>
      </c>
      <c r="W264" s="83">
        <v>1</v>
      </c>
      <c r="Y264" s="83" t="s">
        <v>147</v>
      </c>
      <c r="Z264" s="83">
        <v>1</v>
      </c>
      <c r="AB264" s="83" t="s">
        <v>147</v>
      </c>
      <c r="AC264" s="83">
        <v>1</v>
      </c>
      <c r="AE264" s="83" t="s">
        <v>147</v>
      </c>
      <c r="AF264" s="83">
        <v>1</v>
      </c>
      <c r="AH264" s="83" t="s">
        <v>147</v>
      </c>
      <c r="AI264" s="83">
        <v>1</v>
      </c>
      <c r="AK264" s="83" t="s">
        <v>147</v>
      </c>
      <c r="AL264" s="83">
        <v>1</v>
      </c>
      <c r="AN264" s="83" t="s">
        <v>147</v>
      </c>
      <c r="AO264" s="83">
        <v>1</v>
      </c>
      <c r="AQ264" s="83" t="s">
        <v>147</v>
      </c>
      <c r="AR264" s="83">
        <v>1</v>
      </c>
      <c r="AT264" s="83" t="s">
        <v>147</v>
      </c>
      <c r="AU264" s="83">
        <v>1</v>
      </c>
      <c r="AW264" s="83" t="s">
        <v>147</v>
      </c>
      <c r="AX264" s="83">
        <v>1</v>
      </c>
      <c r="AZ264" s="83" t="s">
        <v>147</v>
      </c>
      <c r="BA264" s="83">
        <v>1</v>
      </c>
      <c r="BC264" s="83" t="s">
        <v>147</v>
      </c>
      <c r="BD264" s="83">
        <v>1</v>
      </c>
      <c r="BF264" s="83" t="s">
        <v>147</v>
      </c>
      <c r="BG264" s="83">
        <v>1</v>
      </c>
      <c r="BI264" s="83" t="s">
        <v>147</v>
      </c>
      <c r="BJ264" s="83">
        <v>1</v>
      </c>
      <c r="BL264" s="83" t="s">
        <v>147</v>
      </c>
      <c r="BM264" s="83">
        <v>1</v>
      </c>
      <c r="BO264" s="83" t="s">
        <v>147</v>
      </c>
      <c r="BP264" s="83">
        <v>1</v>
      </c>
      <c r="BR264" s="83" t="s">
        <v>147</v>
      </c>
      <c r="BS264" s="83">
        <v>1</v>
      </c>
      <c r="BU264" s="83" t="s">
        <v>147</v>
      </c>
      <c r="BV264" s="83">
        <v>1</v>
      </c>
      <c r="BX264" s="83" t="s">
        <v>147</v>
      </c>
      <c r="BY264" s="83">
        <v>1</v>
      </c>
      <c r="CA264" s="83" t="s">
        <v>147</v>
      </c>
      <c r="CB264" s="83">
        <v>1</v>
      </c>
      <c r="CD264" s="83" t="s">
        <v>147</v>
      </c>
      <c r="CE264" s="83">
        <v>1</v>
      </c>
      <c r="CG264" s="83" t="s">
        <v>147</v>
      </c>
      <c r="CH264" s="83">
        <v>1</v>
      </c>
      <c r="CJ264" s="83" t="s">
        <v>147</v>
      </c>
      <c r="CK264" s="83">
        <v>1</v>
      </c>
      <c r="CM264" s="83" t="s">
        <v>147</v>
      </c>
      <c r="CN264" s="83">
        <v>1</v>
      </c>
      <c r="CP264" s="83" t="s">
        <v>147</v>
      </c>
      <c r="CQ264" s="83">
        <v>1</v>
      </c>
      <c r="CS264" s="83" t="s">
        <v>147</v>
      </c>
      <c r="CT264" s="83">
        <v>1</v>
      </c>
      <c r="CV264" s="83" t="s">
        <v>147</v>
      </c>
      <c r="CW264" s="83">
        <v>1</v>
      </c>
    </row>
    <row r="266" spans="1:101" x14ac:dyDescent="0.2">
      <c r="A266" s="83" t="s">
        <v>148</v>
      </c>
      <c r="B266" s="83">
        <v>1</v>
      </c>
      <c r="D266" s="83" t="s">
        <v>148</v>
      </c>
      <c r="E266" s="83">
        <v>1</v>
      </c>
      <c r="G266" s="83" t="s">
        <v>148</v>
      </c>
      <c r="H266" s="83">
        <v>1</v>
      </c>
      <c r="J266" s="83" t="s">
        <v>148</v>
      </c>
      <c r="K266" s="83">
        <v>1</v>
      </c>
      <c r="M266" s="83" t="s">
        <v>148</v>
      </c>
      <c r="N266" s="83">
        <v>1</v>
      </c>
      <c r="P266" s="83" t="s">
        <v>148</v>
      </c>
      <c r="Q266" s="83">
        <v>1</v>
      </c>
      <c r="S266" s="83" t="s">
        <v>148</v>
      </c>
      <c r="T266" s="83">
        <v>1</v>
      </c>
      <c r="V266" s="83" t="s">
        <v>148</v>
      </c>
      <c r="W266" s="83">
        <v>1</v>
      </c>
      <c r="Y266" s="83" t="s">
        <v>148</v>
      </c>
      <c r="Z266" s="83">
        <v>1</v>
      </c>
      <c r="AB266" s="83" t="s">
        <v>148</v>
      </c>
      <c r="AC266" s="83">
        <v>1</v>
      </c>
      <c r="AE266" s="83" t="s">
        <v>148</v>
      </c>
      <c r="AF266" s="83">
        <v>1</v>
      </c>
      <c r="AH266" s="83" t="s">
        <v>148</v>
      </c>
      <c r="AI266" s="83">
        <v>1</v>
      </c>
      <c r="AK266" s="83" t="s">
        <v>148</v>
      </c>
      <c r="AL266" s="83">
        <v>1</v>
      </c>
      <c r="AN266" s="83" t="s">
        <v>148</v>
      </c>
      <c r="AO266" s="83">
        <v>1</v>
      </c>
      <c r="AQ266" s="83" t="s">
        <v>148</v>
      </c>
      <c r="AR266" s="83">
        <v>1</v>
      </c>
      <c r="AT266" s="83" t="s">
        <v>148</v>
      </c>
      <c r="AU266" s="83">
        <v>1</v>
      </c>
      <c r="AW266" s="83" t="s">
        <v>148</v>
      </c>
      <c r="AX266" s="83">
        <v>1</v>
      </c>
      <c r="AZ266" s="83" t="s">
        <v>148</v>
      </c>
      <c r="BA266" s="83">
        <v>1</v>
      </c>
      <c r="BC266" s="83" t="s">
        <v>148</v>
      </c>
      <c r="BD266" s="83">
        <v>1</v>
      </c>
      <c r="BF266" s="83" t="s">
        <v>148</v>
      </c>
      <c r="BG266" s="83">
        <v>1</v>
      </c>
      <c r="BI266" s="83" t="s">
        <v>148</v>
      </c>
      <c r="BJ266" s="83">
        <v>1</v>
      </c>
      <c r="BL266" s="83" t="s">
        <v>148</v>
      </c>
      <c r="BM266" s="83">
        <v>1</v>
      </c>
      <c r="BO266" s="83" t="s">
        <v>148</v>
      </c>
      <c r="BP266" s="83">
        <v>1</v>
      </c>
      <c r="BR266" s="83" t="s">
        <v>148</v>
      </c>
      <c r="BS266" s="83">
        <v>1</v>
      </c>
      <c r="BU266" s="83" t="s">
        <v>148</v>
      </c>
      <c r="BV266" s="83">
        <v>1</v>
      </c>
      <c r="BX266" s="83" t="s">
        <v>148</v>
      </c>
      <c r="BY266" s="83">
        <v>1</v>
      </c>
      <c r="CA266" s="83" t="s">
        <v>148</v>
      </c>
      <c r="CB266" s="83">
        <v>1</v>
      </c>
      <c r="CD266" s="83" t="s">
        <v>148</v>
      </c>
      <c r="CE266" s="83">
        <v>1</v>
      </c>
      <c r="CG266" s="83" t="s">
        <v>148</v>
      </c>
      <c r="CH266" s="83">
        <v>1</v>
      </c>
      <c r="CJ266" s="83" t="s">
        <v>148</v>
      </c>
      <c r="CK266" s="83">
        <v>1</v>
      </c>
      <c r="CM266" s="83" t="s">
        <v>148</v>
      </c>
      <c r="CN266" s="83">
        <v>1</v>
      </c>
      <c r="CP266" s="83" t="s">
        <v>148</v>
      </c>
      <c r="CQ266" s="83">
        <v>1</v>
      </c>
      <c r="CS266" s="83" t="s">
        <v>148</v>
      </c>
      <c r="CT266" s="83">
        <v>1</v>
      </c>
      <c r="CV266" s="83" t="s">
        <v>148</v>
      </c>
      <c r="CW266" s="83">
        <v>1</v>
      </c>
    </row>
    <row r="268" spans="1:101" x14ac:dyDescent="0.2">
      <c r="A268" s="83" t="s">
        <v>113</v>
      </c>
      <c r="D268" s="83" t="s">
        <v>113</v>
      </c>
      <c r="G268" s="83" t="s">
        <v>113</v>
      </c>
      <c r="J268" s="83" t="s">
        <v>113</v>
      </c>
      <c r="M268" s="83" t="s">
        <v>113</v>
      </c>
      <c r="P268" s="83" t="s">
        <v>113</v>
      </c>
      <c r="S268" s="83" t="s">
        <v>113</v>
      </c>
      <c r="V268" s="83" t="s">
        <v>113</v>
      </c>
      <c r="Y268" s="83" t="s">
        <v>113</v>
      </c>
      <c r="AB268" s="83" t="s">
        <v>113</v>
      </c>
      <c r="AE268" s="83" t="s">
        <v>113</v>
      </c>
      <c r="AH268" s="83" t="s">
        <v>113</v>
      </c>
      <c r="AK268" s="83" t="s">
        <v>113</v>
      </c>
      <c r="AN268" s="83" t="s">
        <v>113</v>
      </c>
      <c r="AQ268" s="83" t="s">
        <v>113</v>
      </c>
      <c r="AT268" s="83" t="s">
        <v>113</v>
      </c>
      <c r="AW268" s="83" t="s">
        <v>113</v>
      </c>
      <c r="AZ268" s="83" t="s">
        <v>113</v>
      </c>
      <c r="BC268" s="83" t="s">
        <v>113</v>
      </c>
      <c r="BF268" s="83" t="s">
        <v>113</v>
      </c>
      <c r="BI268" s="83" t="s">
        <v>113</v>
      </c>
      <c r="BL268" s="83" t="s">
        <v>113</v>
      </c>
      <c r="BO268" s="83" t="s">
        <v>113</v>
      </c>
      <c r="BR268" s="83" t="s">
        <v>113</v>
      </c>
      <c r="BU268" s="83" t="s">
        <v>113</v>
      </c>
      <c r="BX268" s="83" t="s">
        <v>113</v>
      </c>
      <c r="CA268" s="83" t="s">
        <v>113</v>
      </c>
      <c r="CD268" s="83" t="s">
        <v>113</v>
      </c>
      <c r="CG268" s="83" t="s">
        <v>113</v>
      </c>
      <c r="CJ268" s="83" t="s">
        <v>113</v>
      </c>
      <c r="CM268" s="83" t="s">
        <v>113</v>
      </c>
      <c r="CP268" s="83" t="s">
        <v>113</v>
      </c>
      <c r="CS268" s="83" t="s">
        <v>113</v>
      </c>
      <c r="CV268" s="83" t="s">
        <v>113</v>
      </c>
    </row>
    <row r="269" spans="1:101" x14ac:dyDescent="0.2">
      <c r="A269" s="83" t="s">
        <v>114</v>
      </c>
      <c r="B269" s="83" t="s">
        <v>132</v>
      </c>
      <c r="D269" s="83" t="s">
        <v>114</v>
      </c>
      <c r="E269" s="83" t="s">
        <v>132</v>
      </c>
      <c r="G269" s="83" t="s">
        <v>114</v>
      </c>
      <c r="H269" s="83" t="s">
        <v>132</v>
      </c>
      <c r="J269" s="83" t="s">
        <v>114</v>
      </c>
      <c r="K269" s="83" t="s">
        <v>132</v>
      </c>
      <c r="M269" s="83" t="s">
        <v>114</v>
      </c>
      <c r="N269" s="83" t="s">
        <v>132</v>
      </c>
      <c r="P269" s="83" t="s">
        <v>114</v>
      </c>
      <c r="Q269" s="83" t="s">
        <v>132</v>
      </c>
      <c r="S269" s="83" t="s">
        <v>114</v>
      </c>
      <c r="T269" s="83" t="s">
        <v>132</v>
      </c>
      <c r="V269" s="83" t="s">
        <v>114</v>
      </c>
      <c r="W269" s="83" t="s">
        <v>132</v>
      </c>
      <c r="Y269" s="83" t="s">
        <v>114</v>
      </c>
      <c r="Z269" s="83" t="s">
        <v>132</v>
      </c>
      <c r="AB269" s="83" t="s">
        <v>114</v>
      </c>
      <c r="AC269" s="83" t="s">
        <v>132</v>
      </c>
      <c r="AE269" s="83" t="s">
        <v>114</v>
      </c>
      <c r="AF269" s="83" t="s">
        <v>132</v>
      </c>
      <c r="AH269" s="83" t="s">
        <v>114</v>
      </c>
      <c r="AI269" s="83" t="s">
        <v>132</v>
      </c>
      <c r="AK269" s="83" t="s">
        <v>114</v>
      </c>
      <c r="AL269" s="83" t="s">
        <v>132</v>
      </c>
      <c r="AN269" s="83" t="s">
        <v>114</v>
      </c>
      <c r="AO269" s="83" t="s">
        <v>132</v>
      </c>
      <c r="AQ269" s="83" t="s">
        <v>114</v>
      </c>
      <c r="AR269" s="83" t="s">
        <v>132</v>
      </c>
      <c r="AT269" s="83" t="s">
        <v>114</v>
      </c>
      <c r="AU269" s="83" t="s">
        <v>132</v>
      </c>
      <c r="AW269" s="83" t="s">
        <v>114</v>
      </c>
      <c r="AX269" s="83" t="s">
        <v>132</v>
      </c>
      <c r="AZ269" s="83" t="s">
        <v>114</v>
      </c>
      <c r="BA269" s="83" t="s">
        <v>132</v>
      </c>
      <c r="BC269" s="83" t="s">
        <v>114</v>
      </c>
      <c r="BD269" s="83" t="s">
        <v>132</v>
      </c>
      <c r="BF269" s="83" t="s">
        <v>114</v>
      </c>
      <c r="BG269" s="83" t="s">
        <v>132</v>
      </c>
      <c r="BI269" s="83" t="s">
        <v>114</v>
      </c>
      <c r="BJ269" s="83" t="s">
        <v>132</v>
      </c>
      <c r="BL269" s="83" t="s">
        <v>114</v>
      </c>
      <c r="BM269" s="83" t="s">
        <v>132</v>
      </c>
      <c r="BO269" s="83" t="s">
        <v>114</v>
      </c>
      <c r="BP269" s="83" t="s">
        <v>132</v>
      </c>
      <c r="BR269" s="83" t="s">
        <v>114</v>
      </c>
      <c r="BS269" s="83" t="s">
        <v>132</v>
      </c>
      <c r="BU269" s="83" t="s">
        <v>114</v>
      </c>
      <c r="BV269" s="83" t="s">
        <v>132</v>
      </c>
      <c r="BX269" s="83" t="s">
        <v>114</v>
      </c>
      <c r="BY269" s="83" t="s">
        <v>132</v>
      </c>
      <c r="CA269" s="83" t="s">
        <v>114</v>
      </c>
      <c r="CB269" s="83" t="s">
        <v>132</v>
      </c>
      <c r="CD269" s="83" t="s">
        <v>114</v>
      </c>
      <c r="CE269" s="83" t="s">
        <v>132</v>
      </c>
      <c r="CG269" s="83" t="s">
        <v>114</v>
      </c>
      <c r="CH269" s="83" t="s">
        <v>132</v>
      </c>
      <c r="CJ269" s="83" t="s">
        <v>114</v>
      </c>
      <c r="CK269" s="83" t="s">
        <v>132</v>
      </c>
      <c r="CM269" s="83" t="s">
        <v>114</v>
      </c>
      <c r="CN269" s="83" t="s">
        <v>132</v>
      </c>
      <c r="CP269" s="83" t="s">
        <v>114</v>
      </c>
      <c r="CQ269" s="83" t="s">
        <v>132</v>
      </c>
      <c r="CS269" s="83" t="s">
        <v>114</v>
      </c>
      <c r="CT269" s="83" t="s">
        <v>132</v>
      </c>
      <c r="CV269" s="83" t="s">
        <v>114</v>
      </c>
      <c r="CW269" s="83" t="s">
        <v>132</v>
      </c>
    </row>
    <row r="271" spans="1:101" x14ac:dyDescent="0.2">
      <c r="A271" s="83" t="s">
        <v>115</v>
      </c>
      <c r="B271" s="83" t="s">
        <v>151</v>
      </c>
      <c r="D271" s="83" t="s">
        <v>115</v>
      </c>
      <c r="E271" s="83" t="s">
        <v>151</v>
      </c>
      <c r="G271" s="83" t="s">
        <v>115</v>
      </c>
      <c r="H271" s="83" t="s">
        <v>151</v>
      </c>
      <c r="J271" s="83" t="s">
        <v>115</v>
      </c>
      <c r="K271" s="83" t="s">
        <v>151</v>
      </c>
      <c r="M271" s="83" t="s">
        <v>115</v>
      </c>
      <c r="N271" s="83" t="s">
        <v>151</v>
      </c>
      <c r="P271" s="83" t="s">
        <v>115</v>
      </c>
      <c r="Q271" s="83" t="s">
        <v>151</v>
      </c>
      <c r="S271" s="83" t="s">
        <v>115</v>
      </c>
      <c r="T271" s="83" t="s">
        <v>151</v>
      </c>
      <c r="V271" s="83" t="s">
        <v>115</v>
      </c>
      <c r="W271" s="83" t="s">
        <v>151</v>
      </c>
      <c r="Y271" s="83" t="s">
        <v>115</v>
      </c>
      <c r="Z271" s="83" t="s">
        <v>151</v>
      </c>
      <c r="AB271" s="83" t="s">
        <v>115</v>
      </c>
      <c r="AC271" s="83" t="s">
        <v>151</v>
      </c>
      <c r="AE271" s="83" t="s">
        <v>115</v>
      </c>
      <c r="AF271" s="83" t="s">
        <v>151</v>
      </c>
      <c r="AH271" s="83" t="s">
        <v>115</v>
      </c>
      <c r="AI271" s="83" t="s">
        <v>151</v>
      </c>
      <c r="AK271" s="83" t="s">
        <v>115</v>
      </c>
      <c r="AL271" s="83" t="s">
        <v>151</v>
      </c>
      <c r="AN271" s="83" t="s">
        <v>115</v>
      </c>
      <c r="AO271" s="83" t="s">
        <v>151</v>
      </c>
      <c r="AQ271" s="83" t="s">
        <v>115</v>
      </c>
      <c r="AR271" s="83" t="s">
        <v>151</v>
      </c>
      <c r="AT271" s="83" t="s">
        <v>115</v>
      </c>
      <c r="AU271" s="83" t="s">
        <v>151</v>
      </c>
      <c r="AW271" s="83" t="s">
        <v>115</v>
      </c>
      <c r="AX271" s="83" t="s">
        <v>151</v>
      </c>
      <c r="AZ271" s="83" t="s">
        <v>115</v>
      </c>
      <c r="BA271" s="83" t="s">
        <v>151</v>
      </c>
      <c r="BC271" s="83" t="s">
        <v>115</v>
      </c>
      <c r="BD271" s="83" t="s">
        <v>151</v>
      </c>
      <c r="BF271" s="83" t="s">
        <v>115</v>
      </c>
      <c r="BG271" s="83" t="s">
        <v>151</v>
      </c>
      <c r="BI271" s="83" t="s">
        <v>115</v>
      </c>
      <c r="BJ271" s="83" t="s">
        <v>151</v>
      </c>
      <c r="BL271" s="83" t="s">
        <v>115</v>
      </c>
      <c r="BM271" s="83" t="s">
        <v>151</v>
      </c>
      <c r="BO271" s="83" t="s">
        <v>115</v>
      </c>
      <c r="BP271" s="83" t="s">
        <v>151</v>
      </c>
      <c r="BR271" s="83" t="s">
        <v>115</v>
      </c>
      <c r="BS271" s="83" t="s">
        <v>151</v>
      </c>
      <c r="BU271" s="83" t="s">
        <v>115</v>
      </c>
      <c r="BV271" s="83" t="s">
        <v>151</v>
      </c>
      <c r="BX271" s="83" t="s">
        <v>115</v>
      </c>
      <c r="BY271" s="83" t="s">
        <v>151</v>
      </c>
      <c r="CA271" s="83" t="s">
        <v>115</v>
      </c>
      <c r="CB271" s="83" t="s">
        <v>151</v>
      </c>
      <c r="CD271" s="83" t="s">
        <v>115</v>
      </c>
      <c r="CE271" s="83" t="s">
        <v>151</v>
      </c>
      <c r="CG271" s="83" t="s">
        <v>115</v>
      </c>
      <c r="CH271" s="83" t="s">
        <v>151</v>
      </c>
      <c r="CJ271" s="83" t="s">
        <v>115</v>
      </c>
      <c r="CK271" s="83" t="s">
        <v>151</v>
      </c>
      <c r="CM271" s="83" t="s">
        <v>115</v>
      </c>
      <c r="CN271" s="83" t="s">
        <v>151</v>
      </c>
      <c r="CP271" s="83" t="s">
        <v>115</v>
      </c>
      <c r="CQ271" s="83" t="s">
        <v>151</v>
      </c>
      <c r="CS271" s="83" t="s">
        <v>115</v>
      </c>
      <c r="CT271" s="83" t="s">
        <v>151</v>
      </c>
      <c r="CV271" s="83" t="s">
        <v>115</v>
      </c>
      <c r="CW271" s="83" t="s">
        <v>151</v>
      </c>
    </row>
    <row r="273" spans="1:101" x14ac:dyDescent="0.2">
      <c r="A273" s="83" t="s">
        <v>116</v>
      </c>
      <c r="B273" s="83" t="s">
        <v>151</v>
      </c>
      <c r="D273" s="83" t="s">
        <v>116</v>
      </c>
      <c r="E273" s="83" t="s">
        <v>151</v>
      </c>
      <c r="G273" s="83" t="s">
        <v>116</v>
      </c>
      <c r="H273" s="83" t="s">
        <v>151</v>
      </c>
      <c r="J273" s="83" t="s">
        <v>116</v>
      </c>
      <c r="K273" s="83" t="s">
        <v>151</v>
      </c>
      <c r="M273" s="83" t="s">
        <v>116</v>
      </c>
      <c r="N273" s="83" t="s">
        <v>151</v>
      </c>
      <c r="P273" s="83" t="s">
        <v>116</v>
      </c>
      <c r="Q273" s="83" t="s">
        <v>151</v>
      </c>
      <c r="S273" s="83" t="s">
        <v>116</v>
      </c>
      <c r="T273" s="83" t="s">
        <v>151</v>
      </c>
      <c r="V273" s="83" t="s">
        <v>116</v>
      </c>
      <c r="W273" s="83" t="s">
        <v>151</v>
      </c>
      <c r="Y273" s="83" t="s">
        <v>116</v>
      </c>
      <c r="Z273" s="83" t="s">
        <v>151</v>
      </c>
      <c r="AB273" s="83" t="s">
        <v>116</v>
      </c>
      <c r="AC273" s="83" t="s">
        <v>151</v>
      </c>
      <c r="AE273" s="83" t="s">
        <v>116</v>
      </c>
      <c r="AF273" s="83" t="s">
        <v>151</v>
      </c>
      <c r="AH273" s="83" t="s">
        <v>116</v>
      </c>
      <c r="AI273" s="83" t="s">
        <v>151</v>
      </c>
      <c r="AK273" s="83" t="s">
        <v>116</v>
      </c>
      <c r="AL273" s="83" t="s">
        <v>151</v>
      </c>
      <c r="AN273" s="83" t="s">
        <v>116</v>
      </c>
      <c r="AO273" s="83" t="s">
        <v>151</v>
      </c>
      <c r="AQ273" s="83" t="s">
        <v>116</v>
      </c>
      <c r="AR273" s="83" t="s">
        <v>151</v>
      </c>
      <c r="AT273" s="83" t="s">
        <v>116</v>
      </c>
      <c r="AU273" s="83" t="s">
        <v>151</v>
      </c>
      <c r="AW273" s="83" t="s">
        <v>116</v>
      </c>
      <c r="AX273" s="83" t="s">
        <v>151</v>
      </c>
      <c r="AZ273" s="83" t="s">
        <v>116</v>
      </c>
      <c r="BA273" s="83" t="s">
        <v>151</v>
      </c>
      <c r="BC273" s="83" t="s">
        <v>116</v>
      </c>
      <c r="BD273" s="83" t="s">
        <v>151</v>
      </c>
      <c r="BF273" s="83" t="s">
        <v>116</v>
      </c>
      <c r="BG273" s="83" t="s">
        <v>151</v>
      </c>
      <c r="BI273" s="83" t="s">
        <v>116</v>
      </c>
      <c r="BJ273" s="83" t="s">
        <v>151</v>
      </c>
      <c r="BL273" s="83" t="s">
        <v>116</v>
      </c>
      <c r="BM273" s="83" t="s">
        <v>151</v>
      </c>
      <c r="BO273" s="83" t="s">
        <v>116</v>
      </c>
      <c r="BP273" s="83" t="s">
        <v>151</v>
      </c>
      <c r="BR273" s="83" t="s">
        <v>116</v>
      </c>
      <c r="BS273" s="83" t="s">
        <v>151</v>
      </c>
      <c r="BU273" s="83" t="s">
        <v>116</v>
      </c>
      <c r="BV273" s="83" t="s">
        <v>151</v>
      </c>
      <c r="BX273" s="83" t="s">
        <v>116</v>
      </c>
      <c r="BY273" s="83" t="s">
        <v>151</v>
      </c>
      <c r="CA273" s="83" t="s">
        <v>116</v>
      </c>
      <c r="CB273" s="83" t="s">
        <v>151</v>
      </c>
      <c r="CD273" s="83" t="s">
        <v>116</v>
      </c>
      <c r="CE273" s="83" t="s">
        <v>151</v>
      </c>
      <c r="CG273" s="83" t="s">
        <v>116</v>
      </c>
      <c r="CH273" s="83" t="s">
        <v>151</v>
      </c>
      <c r="CJ273" s="83" t="s">
        <v>116</v>
      </c>
      <c r="CK273" s="83" t="s">
        <v>151</v>
      </c>
      <c r="CM273" s="83" t="s">
        <v>116</v>
      </c>
      <c r="CN273" s="83" t="s">
        <v>151</v>
      </c>
      <c r="CP273" s="83" t="s">
        <v>116</v>
      </c>
      <c r="CQ273" s="83" t="s">
        <v>151</v>
      </c>
      <c r="CS273" s="83" t="s">
        <v>116</v>
      </c>
      <c r="CT273" s="83" t="s">
        <v>151</v>
      </c>
      <c r="CV273" s="83" t="s">
        <v>116</v>
      </c>
      <c r="CW273" s="83" t="s">
        <v>151</v>
      </c>
    </row>
    <row r="275" spans="1:101" x14ac:dyDescent="0.2">
      <c r="A275" s="83" t="s">
        <v>117</v>
      </c>
      <c r="B275" s="83" t="s">
        <v>132</v>
      </c>
      <c r="D275" s="83" t="s">
        <v>117</v>
      </c>
      <c r="E275" s="83" t="s">
        <v>132</v>
      </c>
      <c r="G275" s="83" t="s">
        <v>117</v>
      </c>
      <c r="H275" s="83" t="s">
        <v>132</v>
      </c>
      <c r="J275" s="83" t="s">
        <v>117</v>
      </c>
      <c r="K275" s="83" t="s">
        <v>132</v>
      </c>
      <c r="M275" s="83" t="s">
        <v>117</v>
      </c>
      <c r="N275" s="83" t="s">
        <v>132</v>
      </c>
      <c r="P275" s="83" t="s">
        <v>117</v>
      </c>
      <c r="Q275" s="83" t="s">
        <v>132</v>
      </c>
      <c r="S275" s="83" t="s">
        <v>117</v>
      </c>
      <c r="T275" s="83" t="s">
        <v>132</v>
      </c>
      <c r="V275" s="83" t="s">
        <v>117</v>
      </c>
      <c r="W275" s="83" t="s">
        <v>132</v>
      </c>
      <c r="Y275" s="83" t="s">
        <v>117</v>
      </c>
      <c r="Z275" s="83" t="s">
        <v>132</v>
      </c>
      <c r="AB275" s="83" t="s">
        <v>117</v>
      </c>
      <c r="AC275" s="83" t="s">
        <v>132</v>
      </c>
      <c r="AE275" s="83" t="s">
        <v>117</v>
      </c>
      <c r="AF275" s="83" t="s">
        <v>132</v>
      </c>
      <c r="AH275" s="83" t="s">
        <v>117</v>
      </c>
      <c r="AI275" s="83" t="s">
        <v>132</v>
      </c>
      <c r="AK275" s="83" t="s">
        <v>117</v>
      </c>
      <c r="AL275" s="83" t="s">
        <v>132</v>
      </c>
      <c r="AN275" s="83" t="s">
        <v>117</v>
      </c>
      <c r="AO275" s="83" t="s">
        <v>132</v>
      </c>
      <c r="AQ275" s="83" t="s">
        <v>117</v>
      </c>
      <c r="AR275" s="83" t="s">
        <v>132</v>
      </c>
      <c r="AT275" s="83" t="s">
        <v>117</v>
      </c>
      <c r="AU275" s="83" t="s">
        <v>132</v>
      </c>
      <c r="AW275" s="83" t="s">
        <v>117</v>
      </c>
      <c r="AX275" s="83" t="s">
        <v>132</v>
      </c>
      <c r="AZ275" s="83" t="s">
        <v>117</v>
      </c>
      <c r="BA275" s="83" t="s">
        <v>132</v>
      </c>
      <c r="BC275" s="83" t="s">
        <v>117</v>
      </c>
      <c r="BD275" s="83" t="s">
        <v>132</v>
      </c>
      <c r="BF275" s="83" t="s">
        <v>117</v>
      </c>
      <c r="BG275" s="83" t="s">
        <v>132</v>
      </c>
      <c r="BI275" s="83" t="s">
        <v>117</v>
      </c>
      <c r="BJ275" s="83" t="s">
        <v>132</v>
      </c>
      <c r="BL275" s="83" t="s">
        <v>117</v>
      </c>
      <c r="BM275" s="83" t="s">
        <v>132</v>
      </c>
      <c r="BO275" s="83" t="s">
        <v>117</v>
      </c>
      <c r="BP275" s="83" t="s">
        <v>132</v>
      </c>
      <c r="BR275" s="83" t="s">
        <v>117</v>
      </c>
      <c r="BS275" s="83" t="s">
        <v>132</v>
      </c>
      <c r="BU275" s="83" t="s">
        <v>117</v>
      </c>
      <c r="BV275" s="83" t="s">
        <v>132</v>
      </c>
      <c r="BX275" s="83" t="s">
        <v>117</v>
      </c>
      <c r="BY275" s="83" t="s">
        <v>132</v>
      </c>
      <c r="CA275" s="83" t="s">
        <v>117</v>
      </c>
      <c r="CB275" s="83" t="s">
        <v>132</v>
      </c>
      <c r="CD275" s="83" t="s">
        <v>117</v>
      </c>
      <c r="CE275" s="83" t="s">
        <v>132</v>
      </c>
      <c r="CG275" s="83" t="s">
        <v>117</v>
      </c>
      <c r="CH275" s="83" t="s">
        <v>132</v>
      </c>
      <c r="CJ275" s="83" t="s">
        <v>117</v>
      </c>
      <c r="CK275" s="83" t="s">
        <v>132</v>
      </c>
      <c r="CM275" s="83" t="s">
        <v>117</v>
      </c>
      <c r="CN275" s="83" t="s">
        <v>132</v>
      </c>
      <c r="CP275" s="83" t="s">
        <v>117</v>
      </c>
      <c r="CQ275" s="83" t="s">
        <v>132</v>
      </c>
      <c r="CS275" s="83" t="s">
        <v>117</v>
      </c>
      <c r="CT275" s="83" t="s">
        <v>132</v>
      </c>
      <c r="CV275" s="83" t="s">
        <v>117</v>
      </c>
      <c r="CW275" s="83" t="s">
        <v>132</v>
      </c>
    </row>
    <row r="277" spans="1:101" x14ac:dyDescent="0.2">
      <c r="A277" s="83" t="s">
        <v>118</v>
      </c>
      <c r="B277" s="83" t="s">
        <v>151</v>
      </c>
      <c r="D277" s="83" t="s">
        <v>118</v>
      </c>
      <c r="E277" s="83" t="s">
        <v>151</v>
      </c>
      <c r="G277" s="83" t="s">
        <v>118</v>
      </c>
      <c r="H277" s="83" t="s">
        <v>151</v>
      </c>
      <c r="J277" s="83" t="s">
        <v>118</v>
      </c>
      <c r="K277" s="83" t="s">
        <v>151</v>
      </c>
      <c r="M277" s="83" t="s">
        <v>118</v>
      </c>
      <c r="N277" s="83" t="s">
        <v>151</v>
      </c>
      <c r="P277" s="83" t="s">
        <v>118</v>
      </c>
      <c r="Q277" s="83" t="s">
        <v>151</v>
      </c>
      <c r="S277" s="83" t="s">
        <v>118</v>
      </c>
      <c r="T277" s="83" t="s">
        <v>151</v>
      </c>
      <c r="V277" s="83" t="s">
        <v>118</v>
      </c>
      <c r="W277" s="83" t="s">
        <v>151</v>
      </c>
      <c r="Y277" s="83" t="s">
        <v>118</v>
      </c>
      <c r="Z277" s="83" t="s">
        <v>151</v>
      </c>
      <c r="AB277" s="83" t="s">
        <v>118</v>
      </c>
      <c r="AC277" s="83" t="s">
        <v>151</v>
      </c>
      <c r="AE277" s="83" t="s">
        <v>118</v>
      </c>
      <c r="AF277" s="83" t="s">
        <v>151</v>
      </c>
      <c r="AH277" s="83" t="s">
        <v>118</v>
      </c>
      <c r="AI277" s="83" t="s">
        <v>151</v>
      </c>
      <c r="AK277" s="83" t="s">
        <v>118</v>
      </c>
      <c r="AL277" s="83" t="s">
        <v>151</v>
      </c>
      <c r="AN277" s="83" t="s">
        <v>118</v>
      </c>
      <c r="AO277" s="83" t="s">
        <v>151</v>
      </c>
      <c r="AQ277" s="83" t="s">
        <v>118</v>
      </c>
      <c r="AR277" s="83" t="s">
        <v>151</v>
      </c>
      <c r="AT277" s="83" t="s">
        <v>118</v>
      </c>
      <c r="AU277" s="83" t="s">
        <v>151</v>
      </c>
      <c r="AW277" s="83" t="s">
        <v>118</v>
      </c>
      <c r="AX277" s="83" t="s">
        <v>151</v>
      </c>
      <c r="AZ277" s="83" t="s">
        <v>118</v>
      </c>
      <c r="BA277" s="83" t="s">
        <v>151</v>
      </c>
      <c r="BC277" s="83" t="s">
        <v>118</v>
      </c>
      <c r="BD277" s="83" t="s">
        <v>151</v>
      </c>
      <c r="BF277" s="83" t="s">
        <v>118</v>
      </c>
      <c r="BG277" s="83" t="s">
        <v>151</v>
      </c>
      <c r="BI277" s="83" t="s">
        <v>118</v>
      </c>
      <c r="BJ277" s="83" t="s">
        <v>151</v>
      </c>
      <c r="BL277" s="83" t="s">
        <v>118</v>
      </c>
      <c r="BM277" s="83" t="s">
        <v>151</v>
      </c>
      <c r="BO277" s="83" t="s">
        <v>118</v>
      </c>
      <c r="BP277" s="83" t="s">
        <v>151</v>
      </c>
      <c r="BR277" s="83" t="s">
        <v>118</v>
      </c>
      <c r="BS277" s="83" t="s">
        <v>151</v>
      </c>
      <c r="BU277" s="83" t="s">
        <v>118</v>
      </c>
      <c r="BV277" s="83" t="s">
        <v>151</v>
      </c>
      <c r="BX277" s="83" t="s">
        <v>118</v>
      </c>
      <c r="BY277" s="83" t="s">
        <v>151</v>
      </c>
      <c r="CA277" s="83" t="s">
        <v>118</v>
      </c>
      <c r="CB277" s="83" t="s">
        <v>151</v>
      </c>
      <c r="CD277" s="83" t="s">
        <v>118</v>
      </c>
      <c r="CE277" s="83" t="s">
        <v>151</v>
      </c>
      <c r="CG277" s="83" t="s">
        <v>118</v>
      </c>
      <c r="CH277" s="83" t="s">
        <v>151</v>
      </c>
      <c r="CJ277" s="83" t="s">
        <v>118</v>
      </c>
      <c r="CK277" s="83" t="s">
        <v>151</v>
      </c>
      <c r="CM277" s="83" t="s">
        <v>118</v>
      </c>
      <c r="CN277" s="83" t="s">
        <v>151</v>
      </c>
      <c r="CP277" s="83" t="s">
        <v>118</v>
      </c>
      <c r="CQ277" s="83" t="s">
        <v>151</v>
      </c>
      <c r="CS277" s="83" t="s">
        <v>118</v>
      </c>
      <c r="CT277" s="83" t="s">
        <v>151</v>
      </c>
      <c r="CV277" s="83" t="s">
        <v>118</v>
      </c>
      <c r="CW277" s="83" t="s">
        <v>151</v>
      </c>
    </row>
    <row r="279" spans="1:101" x14ac:dyDescent="0.2">
      <c r="A279" s="83" t="s">
        <v>119</v>
      </c>
      <c r="B279" s="83" t="s">
        <v>132</v>
      </c>
      <c r="D279" s="83" t="s">
        <v>119</v>
      </c>
      <c r="E279" s="83" t="s">
        <v>132</v>
      </c>
      <c r="G279" s="83" t="s">
        <v>119</v>
      </c>
      <c r="H279" s="83" t="s">
        <v>132</v>
      </c>
      <c r="J279" s="83" t="s">
        <v>119</v>
      </c>
      <c r="K279" s="83" t="s">
        <v>132</v>
      </c>
      <c r="M279" s="83" t="s">
        <v>119</v>
      </c>
      <c r="N279" s="83" t="s">
        <v>132</v>
      </c>
      <c r="P279" s="83" t="s">
        <v>119</v>
      </c>
      <c r="Q279" s="83" t="s">
        <v>132</v>
      </c>
      <c r="S279" s="83" t="s">
        <v>119</v>
      </c>
      <c r="T279" s="83" t="s">
        <v>132</v>
      </c>
      <c r="V279" s="83" t="s">
        <v>119</v>
      </c>
      <c r="W279" s="83" t="s">
        <v>132</v>
      </c>
      <c r="Y279" s="83" t="s">
        <v>119</v>
      </c>
      <c r="Z279" s="83" t="s">
        <v>132</v>
      </c>
      <c r="AB279" s="83" t="s">
        <v>119</v>
      </c>
      <c r="AC279" s="83" t="s">
        <v>132</v>
      </c>
      <c r="AE279" s="83" t="s">
        <v>119</v>
      </c>
      <c r="AF279" s="83" t="s">
        <v>132</v>
      </c>
      <c r="AH279" s="83" t="s">
        <v>119</v>
      </c>
      <c r="AI279" s="83" t="s">
        <v>132</v>
      </c>
      <c r="AK279" s="83" t="s">
        <v>119</v>
      </c>
      <c r="AL279" s="83" t="s">
        <v>132</v>
      </c>
      <c r="AN279" s="83" t="s">
        <v>119</v>
      </c>
      <c r="AO279" s="83" t="s">
        <v>132</v>
      </c>
      <c r="AQ279" s="83" t="s">
        <v>119</v>
      </c>
      <c r="AR279" s="83" t="s">
        <v>132</v>
      </c>
      <c r="AT279" s="83" t="s">
        <v>119</v>
      </c>
      <c r="AU279" s="83" t="s">
        <v>132</v>
      </c>
      <c r="AW279" s="83" t="s">
        <v>119</v>
      </c>
      <c r="AX279" s="83" t="s">
        <v>132</v>
      </c>
      <c r="AZ279" s="83" t="s">
        <v>119</v>
      </c>
      <c r="BA279" s="83" t="s">
        <v>132</v>
      </c>
      <c r="BC279" s="83" t="s">
        <v>119</v>
      </c>
      <c r="BD279" s="83" t="s">
        <v>132</v>
      </c>
      <c r="BF279" s="83" t="s">
        <v>119</v>
      </c>
      <c r="BG279" s="83" t="s">
        <v>132</v>
      </c>
      <c r="BI279" s="83" t="s">
        <v>119</v>
      </c>
      <c r="BJ279" s="83" t="s">
        <v>132</v>
      </c>
      <c r="BL279" s="83" t="s">
        <v>119</v>
      </c>
      <c r="BM279" s="83" t="s">
        <v>132</v>
      </c>
      <c r="BO279" s="83" t="s">
        <v>119</v>
      </c>
      <c r="BP279" s="83" t="s">
        <v>132</v>
      </c>
      <c r="BR279" s="83" t="s">
        <v>119</v>
      </c>
      <c r="BS279" s="83" t="s">
        <v>132</v>
      </c>
      <c r="BU279" s="83" t="s">
        <v>119</v>
      </c>
      <c r="BV279" s="83" t="s">
        <v>132</v>
      </c>
      <c r="BX279" s="83" t="s">
        <v>119</v>
      </c>
      <c r="BY279" s="83" t="s">
        <v>132</v>
      </c>
      <c r="CA279" s="83" t="s">
        <v>119</v>
      </c>
      <c r="CB279" s="83" t="s">
        <v>132</v>
      </c>
      <c r="CD279" s="83" t="s">
        <v>119</v>
      </c>
      <c r="CE279" s="83" t="s">
        <v>132</v>
      </c>
      <c r="CG279" s="83" t="s">
        <v>119</v>
      </c>
      <c r="CH279" s="83" t="s">
        <v>132</v>
      </c>
      <c r="CJ279" s="83" t="s">
        <v>119</v>
      </c>
      <c r="CK279" s="83" t="s">
        <v>132</v>
      </c>
      <c r="CM279" s="83" t="s">
        <v>119</v>
      </c>
      <c r="CN279" s="83" t="s">
        <v>132</v>
      </c>
      <c r="CP279" s="83" t="s">
        <v>119</v>
      </c>
      <c r="CQ279" s="83" t="s">
        <v>132</v>
      </c>
      <c r="CS279" s="83" t="s">
        <v>119</v>
      </c>
      <c r="CT279" s="83" t="s">
        <v>132</v>
      </c>
      <c r="CV279" s="83" t="s">
        <v>119</v>
      </c>
      <c r="CW279" s="83" t="s">
        <v>132</v>
      </c>
    </row>
    <row r="281" spans="1:101" x14ac:dyDescent="0.2">
      <c r="A281" s="83" t="s">
        <v>120</v>
      </c>
      <c r="B281" s="83" t="s">
        <v>151</v>
      </c>
      <c r="D281" s="83" t="s">
        <v>120</v>
      </c>
      <c r="E281" s="83" t="s">
        <v>151</v>
      </c>
      <c r="G281" s="83" t="s">
        <v>120</v>
      </c>
      <c r="H281" s="83" t="s">
        <v>151</v>
      </c>
      <c r="J281" s="83" t="s">
        <v>120</v>
      </c>
      <c r="K281" s="83" t="s">
        <v>151</v>
      </c>
      <c r="M281" s="83" t="s">
        <v>120</v>
      </c>
      <c r="N281" s="83" t="s">
        <v>151</v>
      </c>
      <c r="P281" s="83" t="s">
        <v>120</v>
      </c>
      <c r="Q281" s="83" t="s">
        <v>151</v>
      </c>
      <c r="S281" s="83" t="s">
        <v>120</v>
      </c>
      <c r="T281" s="83" t="s">
        <v>151</v>
      </c>
      <c r="V281" s="83" t="s">
        <v>120</v>
      </c>
      <c r="W281" s="83" t="s">
        <v>151</v>
      </c>
      <c r="Y281" s="83" t="s">
        <v>120</v>
      </c>
      <c r="Z281" s="83" t="s">
        <v>151</v>
      </c>
      <c r="AB281" s="83" t="s">
        <v>120</v>
      </c>
      <c r="AC281" s="83" t="s">
        <v>151</v>
      </c>
      <c r="AE281" s="83" t="s">
        <v>120</v>
      </c>
      <c r="AF281" s="83" t="s">
        <v>151</v>
      </c>
      <c r="AH281" s="83" t="s">
        <v>120</v>
      </c>
      <c r="AI281" s="83" t="s">
        <v>151</v>
      </c>
      <c r="AK281" s="83" t="s">
        <v>120</v>
      </c>
      <c r="AL281" s="83" t="s">
        <v>151</v>
      </c>
      <c r="AN281" s="83" t="s">
        <v>120</v>
      </c>
      <c r="AO281" s="83" t="s">
        <v>151</v>
      </c>
      <c r="AQ281" s="83" t="s">
        <v>120</v>
      </c>
      <c r="AR281" s="83" t="s">
        <v>151</v>
      </c>
      <c r="AT281" s="83" t="s">
        <v>120</v>
      </c>
      <c r="AU281" s="83" t="s">
        <v>151</v>
      </c>
      <c r="AW281" s="83" t="s">
        <v>120</v>
      </c>
      <c r="AX281" s="83" t="s">
        <v>151</v>
      </c>
      <c r="AZ281" s="83" t="s">
        <v>120</v>
      </c>
      <c r="BA281" s="83" t="s">
        <v>151</v>
      </c>
      <c r="BC281" s="83" t="s">
        <v>120</v>
      </c>
      <c r="BD281" s="83" t="s">
        <v>151</v>
      </c>
      <c r="BF281" s="83" t="s">
        <v>120</v>
      </c>
      <c r="BG281" s="83" t="s">
        <v>151</v>
      </c>
      <c r="BI281" s="83" t="s">
        <v>120</v>
      </c>
      <c r="BJ281" s="83" t="s">
        <v>151</v>
      </c>
      <c r="BL281" s="83" t="s">
        <v>120</v>
      </c>
      <c r="BM281" s="83" t="s">
        <v>151</v>
      </c>
      <c r="BO281" s="83" t="s">
        <v>120</v>
      </c>
      <c r="BP281" s="83" t="s">
        <v>151</v>
      </c>
      <c r="BR281" s="83" t="s">
        <v>120</v>
      </c>
      <c r="BS281" s="83" t="s">
        <v>151</v>
      </c>
      <c r="BU281" s="83" t="s">
        <v>120</v>
      </c>
      <c r="BV281" s="83" t="s">
        <v>151</v>
      </c>
      <c r="BX281" s="83" t="s">
        <v>120</v>
      </c>
      <c r="BY281" s="83" t="s">
        <v>151</v>
      </c>
      <c r="CA281" s="83" t="s">
        <v>120</v>
      </c>
      <c r="CB281" s="83" t="s">
        <v>151</v>
      </c>
      <c r="CD281" s="83" t="s">
        <v>120</v>
      </c>
      <c r="CE281" s="83" t="s">
        <v>151</v>
      </c>
      <c r="CG281" s="83" t="s">
        <v>120</v>
      </c>
      <c r="CH281" s="83" t="s">
        <v>151</v>
      </c>
      <c r="CJ281" s="83" t="s">
        <v>120</v>
      </c>
      <c r="CK281" s="83" t="s">
        <v>151</v>
      </c>
      <c r="CM281" s="83" t="s">
        <v>120</v>
      </c>
      <c r="CN281" s="83" t="s">
        <v>151</v>
      </c>
      <c r="CP281" s="83" t="s">
        <v>120</v>
      </c>
      <c r="CQ281" s="83" t="s">
        <v>151</v>
      </c>
      <c r="CS281" s="83" t="s">
        <v>120</v>
      </c>
      <c r="CT281" s="83" t="s">
        <v>151</v>
      </c>
      <c r="CV281" s="83" t="s">
        <v>120</v>
      </c>
      <c r="CW281" s="83" t="s">
        <v>151</v>
      </c>
    </row>
    <row r="283" spans="1:101" x14ac:dyDescent="0.2">
      <c r="A283" s="83" t="s">
        <v>121</v>
      </c>
      <c r="B283" s="83">
        <v>1</v>
      </c>
      <c r="D283" s="83" t="s">
        <v>121</v>
      </c>
      <c r="E283" s="83">
        <v>1</v>
      </c>
      <c r="G283" s="83" t="s">
        <v>121</v>
      </c>
      <c r="H283" s="83">
        <v>1</v>
      </c>
      <c r="J283" s="83" t="s">
        <v>121</v>
      </c>
      <c r="K283" s="83">
        <v>1</v>
      </c>
      <c r="M283" s="83" t="s">
        <v>121</v>
      </c>
      <c r="N283" s="83">
        <v>1</v>
      </c>
      <c r="P283" s="83" t="s">
        <v>121</v>
      </c>
      <c r="Q283" s="83">
        <v>1</v>
      </c>
      <c r="S283" s="83" t="s">
        <v>121</v>
      </c>
      <c r="T283" s="83">
        <v>1</v>
      </c>
      <c r="V283" s="83" t="s">
        <v>121</v>
      </c>
      <c r="W283" s="83">
        <v>1</v>
      </c>
      <c r="Y283" s="83" t="s">
        <v>121</v>
      </c>
      <c r="Z283" s="83">
        <v>1</v>
      </c>
      <c r="AB283" s="83" t="s">
        <v>121</v>
      </c>
      <c r="AC283" s="83">
        <v>1</v>
      </c>
      <c r="AE283" s="83" t="s">
        <v>121</v>
      </c>
      <c r="AF283" s="83">
        <v>1</v>
      </c>
      <c r="AH283" s="83" t="s">
        <v>121</v>
      </c>
      <c r="AI283" s="83">
        <v>1</v>
      </c>
      <c r="AK283" s="83" t="s">
        <v>121</v>
      </c>
      <c r="AL283" s="83">
        <v>1</v>
      </c>
      <c r="AN283" s="83" t="s">
        <v>121</v>
      </c>
      <c r="AO283" s="83">
        <v>1</v>
      </c>
      <c r="AQ283" s="83" t="s">
        <v>121</v>
      </c>
      <c r="AR283" s="83">
        <v>1</v>
      </c>
      <c r="AT283" s="83" t="s">
        <v>121</v>
      </c>
      <c r="AU283" s="83">
        <v>1</v>
      </c>
      <c r="AW283" s="83" t="s">
        <v>121</v>
      </c>
      <c r="AX283" s="83">
        <v>1</v>
      </c>
      <c r="AZ283" s="83" t="s">
        <v>121</v>
      </c>
      <c r="BA283" s="83">
        <v>1</v>
      </c>
      <c r="BC283" s="83" t="s">
        <v>121</v>
      </c>
      <c r="BD283" s="83">
        <v>1</v>
      </c>
      <c r="BF283" s="83" t="s">
        <v>121</v>
      </c>
      <c r="BG283" s="83">
        <v>1</v>
      </c>
      <c r="BI283" s="83" t="s">
        <v>121</v>
      </c>
      <c r="BJ283" s="83">
        <v>1</v>
      </c>
      <c r="BL283" s="83" t="s">
        <v>121</v>
      </c>
      <c r="BM283" s="83">
        <v>1</v>
      </c>
      <c r="BO283" s="83" t="s">
        <v>121</v>
      </c>
      <c r="BP283" s="83">
        <v>1</v>
      </c>
      <c r="BR283" s="83" t="s">
        <v>121</v>
      </c>
      <c r="BS283" s="83">
        <v>1</v>
      </c>
      <c r="BU283" s="83" t="s">
        <v>121</v>
      </c>
      <c r="BV283" s="83">
        <v>1</v>
      </c>
      <c r="BX283" s="83" t="s">
        <v>121</v>
      </c>
      <c r="BY283" s="83">
        <v>1</v>
      </c>
      <c r="CA283" s="83" t="s">
        <v>121</v>
      </c>
      <c r="CB283" s="83">
        <v>1</v>
      </c>
      <c r="CD283" s="83" t="s">
        <v>121</v>
      </c>
      <c r="CE283" s="83">
        <v>1</v>
      </c>
      <c r="CG283" s="83" t="s">
        <v>121</v>
      </c>
      <c r="CH283" s="83">
        <v>1</v>
      </c>
      <c r="CJ283" s="83" t="s">
        <v>121</v>
      </c>
      <c r="CK283" s="83">
        <v>1</v>
      </c>
      <c r="CM283" s="83" t="s">
        <v>121</v>
      </c>
      <c r="CN283" s="83">
        <v>1</v>
      </c>
      <c r="CP283" s="83" t="s">
        <v>121</v>
      </c>
      <c r="CQ283" s="83">
        <v>1</v>
      </c>
      <c r="CS283" s="83" t="s">
        <v>121</v>
      </c>
      <c r="CT283" s="83">
        <v>1</v>
      </c>
      <c r="CV283" s="83" t="s">
        <v>121</v>
      </c>
      <c r="CW283" s="83">
        <v>1</v>
      </c>
    </row>
    <row r="285" spans="1:101" x14ac:dyDescent="0.2">
      <c r="A285" s="83" t="s">
        <v>122</v>
      </c>
      <c r="B285" s="83">
        <v>1</v>
      </c>
      <c r="D285" s="83" t="s">
        <v>122</v>
      </c>
      <c r="E285" s="83">
        <v>1</v>
      </c>
      <c r="G285" s="83" t="s">
        <v>122</v>
      </c>
      <c r="H285" s="83">
        <v>1</v>
      </c>
      <c r="J285" s="83" t="s">
        <v>122</v>
      </c>
      <c r="K285" s="83">
        <v>1</v>
      </c>
      <c r="M285" s="83" t="s">
        <v>122</v>
      </c>
      <c r="N285" s="83">
        <v>1</v>
      </c>
      <c r="P285" s="83" t="s">
        <v>122</v>
      </c>
      <c r="Q285" s="83">
        <v>1</v>
      </c>
      <c r="S285" s="83" t="s">
        <v>122</v>
      </c>
      <c r="T285" s="83">
        <v>1</v>
      </c>
      <c r="V285" s="83" t="s">
        <v>122</v>
      </c>
      <c r="W285" s="83">
        <v>1</v>
      </c>
      <c r="Y285" s="83" t="s">
        <v>122</v>
      </c>
      <c r="Z285" s="83">
        <v>1</v>
      </c>
      <c r="AB285" s="83" t="s">
        <v>122</v>
      </c>
      <c r="AC285" s="83">
        <v>1</v>
      </c>
      <c r="AE285" s="83" t="s">
        <v>122</v>
      </c>
      <c r="AF285" s="83">
        <v>1</v>
      </c>
      <c r="AH285" s="83" t="s">
        <v>122</v>
      </c>
      <c r="AI285" s="83">
        <v>1</v>
      </c>
      <c r="AK285" s="83" t="s">
        <v>122</v>
      </c>
      <c r="AL285" s="83">
        <v>1</v>
      </c>
      <c r="AN285" s="83" t="s">
        <v>122</v>
      </c>
      <c r="AO285" s="83">
        <v>1</v>
      </c>
      <c r="AQ285" s="83" t="s">
        <v>122</v>
      </c>
      <c r="AR285" s="83">
        <v>1</v>
      </c>
      <c r="AT285" s="83" t="s">
        <v>122</v>
      </c>
      <c r="AU285" s="83">
        <v>1</v>
      </c>
      <c r="AW285" s="83" t="s">
        <v>122</v>
      </c>
      <c r="AX285" s="83">
        <v>1</v>
      </c>
      <c r="AZ285" s="83" t="s">
        <v>122</v>
      </c>
      <c r="BA285" s="83">
        <v>1</v>
      </c>
      <c r="BC285" s="83" t="s">
        <v>122</v>
      </c>
      <c r="BD285" s="83">
        <v>1</v>
      </c>
      <c r="BF285" s="83" t="s">
        <v>122</v>
      </c>
      <c r="BG285" s="83">
        <v>1</v>
      </c>
      <c r="BI285" s="83" t="s">
        <v>122</v>
      </c>
      <c r="BJ285" s="83">
        <v>1</v>
      </c>
      <c r="BL285" s="83" t="s">
        <v>122</v>
      </c>
      <c r="BM285" s="83">
        <v>1</v>
      </c>
      <c r="BO285" s="83" t="s">
        <v>122</v>
      </c>
      <c r="BP285" s="83">
        <v>1</v>
      </c>
      <c r="BR285" s="83" t="s">
        <v>122</v>
      </c>
      <c r="BS285" s="83">
        <v>1</v>
      </c>
      <c r="BU285" s="83" t="s">
        <v>122</v>
      </c>
      <c r="BV285" s="83">
        <v>1</v>
      </c>
      <c r="BX285" s="83" t="s">
        <v>122</v>
      </c>
      <c r="BY285" s="83">
        <v>1</v>
      </c>
      <c r="CA285" s="83" t="s">
        <v>122</v>
      </c>
      <c r="CB285" s="83">
        <v>1</v>
      </c>
      <c r="CD285" s="83" t="s">
        <v>122</v>
      </c>
      <c r="CE285" s="83">
        <v>1</v>
      </c>
      <c r="CG285" s="83" t="s">
        <v>122</v>
      </c>
      <c r="CH285" s="83">
        <v>1</v>
      </c>
      <c r="CJ285" s="83" t="s">
        <v>122</v>
      </c>
      <c r="CK285" s="83">
        <v>1</v>
      </c>
      <c r="CM285" s="83" t="s">
        <v>122</v>
      </c>
      <c r="CN285" s="83">
        <v>1</v>
      </c>
      <c r="CP285" s="83" t="s">
        <v>122</v>
      </c>
      <c r="CQ285" s="83">
        <v>1</v>
      </c>
      <c r="CS285" s="83" t="s">
        <v>122</v>
      </c>
      <c r="CT285" s="83">
        <v>1</v>
      </c>
      <c r="CV285" s="83" t="s">
        <v>122</v>
      </c>
      <c r="CW285" s="83">
        <v>1</v>
      </c>
    </row>
    <row r="287" spans="1:101" x14ac:dyDescent="0.2">
      <c r="A287" s="83" t="s">
        <v>123</v>
      </c>
      <c r="B287" s="83">
        <v>1</v>
      </c>
      <c r="D287" s="83" t="s">
        <v>123</v>
      </c>
      <c r="E287" s="83">
        <v>1</v>
      </c>
      <c r="G287" s="83" t="s">
        <v>123</v>
      </c>
      <c r="H287" s="83">
        <v>1</v>
      </c>
      <c r="J287" s="83" t="s">
        <v>123</v>
      </c>
      <c r="K287" s="83">
        <v>1</v>
      </c>
      <c r="M287" s="83" t="s">
        <v>123</v>
      </c>
      <c r="N287" s="83">
        <v>1</v>
      </c>
      <c r="P287" s="83" t="s">
        <v>123</v>
      </c>
      <c r="Q287" s="83">
        <v>1</v>
      </c>
      <c r="S287" s="83" t="s">
        <v>123</v>
      </c>
      <c r="T287" s="83">
        <v>1</v>
      </c>
      <c r="V287" s="83" t="s">
        <v>123</v>
      </c>
      <c r="W287" s="83">
        <v>1</v>
      </c>
      <c r="Y287" s="83" t="s">
        <v>123</v>
      </c>
      <c r="Z287" s="83">
        <v>1</v>
      </c>
      <c r="AB287" s="83" t="s">
        <v>123</v>
      </c>
      <c r="AC287" s="83">
        <v>1</v>
      </c>
      <c r="AE287" s="83" t="s">
        <v>123</v>
      </c>
      <c r="AF287" s="83">
        <v>1</v>
      </c>
      <c r="AH287" s="83" t="s">
        <v>123</v>
      </c>
      <c r="AI287" s="83">
        <v>1</v>
      </c>
      <c r="AK287" s="83" t="s">
        <v>123</v>
      </c>
      <c r="AL287" s="83">
        <v>1</v>
      </c>
      <c r="AN287" s="83" t="s">
        <v>123</v>
      </c>
      <c r="AO287" s="83">
        <v>1</v>
      </c>
      <c r="AQ287" s="83" t="s">
        <v>123</v>
      </c>
      <c r="AR287" s="83">
        <v>1</v>
      </c>
      <c r="AT287" s="83" t="s">
        <v>123</v>
      </c>
      <c r="AU287" s="83">
        <v>1</v>
      </c>
      <c r="AW287" s="83" t="s">
        <v>123</v>
      </c>
      <c r="AX287" s="83">
        <v>1</v>
      </c>
      <c r="AZ287" s="83" t="s">
        <v>123</v>
      </c>
      <c r="BA287" s="83">
        <v>1</v>
      </c>
      <c r="BC287" s="83" t="s">
        <v>123</v>
      </c>
      <c r="BD287" s="83">
        <v>1</v>
      </c>
      <c r="BF287" s="83" t="s">
        <v>123</v>
      </c>
      <c r="BG287" s="83">
        <v>1</v>
      </c>
      <c r="BI287" s="83" t="s">
        <v>123</v>
      </c>
      <c r="BJ287" s="83">
        <v>1</v>
      </c>
      <c r="BL287" s="83" t="s">
        <v>123</v>
      </c>
      <c r="BM287" s="83">
        <v>1</v>
      </c>
      <c r="BO287" s="83" t="s">
        <v>123</v>
      </c>
      <c r="BP287" s="83">
        <v>1</v>
      </c>
      <c r="BR287" s="83" t="s">
        <v>123</v>
      </c>
      <c r="BS287" s="83">
        <v>1</v>
      </c>
      <c r="BU287" s="83" t="s">
        <v>123</v>
      </c>
      <c r="BV287" s="83">
        <v>1</v>
      </c>
      <c r="BX287" s="83" t="s">
        <v>123</v>
      </c>
      <c r="BY287" s="83">
        <v>1</v>
      </c>
      <c r="CA287" s="83" t="s">
        <v>123</v>
      </c>
      <c r="CB287" s="83">
        <v>1</v>
      </c>
      <c r="CD287" s="83" t="s">
        <v>123</v>
      </c>
      <c r="CE287" s="83">
        <v>1</v>
      </c>
      <c r="CG287" s="83" t="s">
        <v>123</v>
      </c>
      <c r="CH287" s="83">
        <v>1</v>
      </c>
      <c r="CJ287" s="83" t="s">
        <v>123</v>
      </c>
      <c r="CK287" s="83">
        <v>1</v>
      </c>
      <c r="CM287" s="83" t="s">
        <v>123</v>
      </c>
      <c r="CN287" s="83">
        <v>1</v>
      </c>
      <c r="CP287" s="83" t="s">
        <v>123</v>
      </c>
      <c r="CQ287" s="83">
        <v>1</v>
      </c>
      <c r="CS287" s="83" t="s">
        <v>123</v>
      </c>
      <c r="CT287" s="83">
        <v>1</v>
      </c>
      <c r="CV287" s="83" t="s">
        <v>123</v>
      </c>
      <c r="CW287" s="83">
        <v>1</v>
      </c>
    </row>
    <row r="289" spans="1:101" x14ac:dyDescent="0.2">
      <c r="A289" s="83" t="s">
        <v>124</v>
      </c>
      <c r="B289" s="83" t="s">
        <v>151</v>
      </c>
      <c r="D289" s="83" t="s">
        <v>124</v>
      </c>
      <c r="E289" s="83" t="s">
        <v>151</v>
      </c>
      <c r="G289" s="83" t="s">
        <v>124</v>
      </c>
      <c r="H289" s="83" t="s">
        <v>151</v>
      </c>
      <c r="J289" s="83" t="s">
        <v>124</v>
      </c>
      <c r="K289" s="83" t="s">
        <v>151</v>
      </c>
      <c r="M289" s="83" t="s">
        <v>124</v>
      </c>
      <c r="N289" s="83" t="s">
        <v>151</v>
      </c>
      <c r="P289" s="83" t="s">
        <v>124</v>
      </c>
      <c r="Q289" s="83" t="s">
        <v>151</v>
      </c>
      <c r="S289" s="83" t="s">
        <v>124</v>
      </c>
      <c r="T289" s="83" t="s">
        <v>151</v>
      </c>
      <c r="V289" s="83" t="s">
        <v>124</v>
      </c>
      <c r="W289" s="83" t="s">
        <v>151</v>
      </c>
      <c r="Y289" s="83" t="s">
        <v>124</v>
      </c>
      <c r="Z289" s="83" t="s">
        <v>151</v>
      </c>
      <c r="AB289" s="83" t="s">
        <v>124</v>
      </c>
      <c r="AC289" s="83" t="s">
        <v>151</v>
      </c>
      <c r="AE289" s="83" t="s">
        <v>124</v>
      </c>
      <c r="AF289" s="83" t="s">
        <v>151</v>
      </c>
      <c r="AH289" s="83" t="s">
        <v>124</v>
      </c>
      <c r="AI289" s="83" t="s">
        <v>151</v>
      </c>
      <c r="AK289" s="83" t="s">
        <v>124</v>
      </c>
      <c r="AL289" s="83" t="s">
        <v>151</v>
      </c>
      <c r="AN289" s="83" t="s">
        <v>124</v>
      </c>
      <c r="AO289" s="83" t="s">
        <v>151</v>
      </c>
      <c r="AQ289" s="83" t="s">
        <v>124</v>
      </c>
      <c r="AR289" s="83" t="s">
        <v>151</v>
      </c>
      <c r="AT289" s="83" t="s">
        <v>124</v>
      </c>
      <c r="AU289" s="83" t="s">
        <v>151</v>
      </c>
      <c r="AW289" s="83" t="s">
        <v>124</v>
      </c>
      <c r="AX289" s="83" t="s">
        <v>151</v>
      </c>
      <c r="AZ289" s="83" t="s">
        <v>124</v>
      </c>
      <c r="BA289" s="83" t="s">
        <v>151</v>
      </c>
      <c r="BC289" s="83" t="s">
        <v>124</v>
      </c>
      <c r="BD289" s="83" t="s">
        <v>151</v>
      </c>
      <c r="BF289" s="83" t="s">
        <v>124</v>
      </c>
      <c r="BG289" s="83" t="s">
        <v>151</v>
      </c>
      <c r="BI289" s="83" t="s">
        <v>124</v>
      </c>
      <c r="BJ289" s="83" t="s">
        <v>151</v>
      </c>
      <c r="BL289" s="83" t="s">
        <v>124</v>
      </c>
      <c r="BM289" s="83" t="s">
        <v>151</v>
      </c>
      <c r="BO289" s="83" t="s">
        <v>124</v>
      </c>
      <c r="BP289" s="83" t="s">
        <v>151</v>
      </c>
      <c r="BR289" s="83" t="s">
        <v>124</v>
      </c>
      <c r="BS289" s="83" t="s">
        <v>151</v>
      </c>
      <c r="BU289" s="83" t="s">
        <v>124</v>
      </c>
      <c r="BV289" s="83" t="s">
        <v>151</v>
      </c>
      <c r="BX289" s="83" t="s">
        <v>124</v>
      </c>
      <c r="BY289" s="83" t="s">
        <v>151</v>
      </c>
      <c r="CA289" s="83" t="s">
        <v>124</v>
      </c>
      <c r="CB289" s="83" t="s">
        <v>151</v>
      </c>
      <c r="CD289" s="83" t="s">
        <v>124</v>
      </c>
      <c r="CE289" s="83" t="s">
        <v>151</v>
      </c>
      <c r="CG289" s="83" t="s">
        <v>124</v>
      </c>
      <c r="CH289" s="83" t="s">
        <v>151</v>
      </c>
      <c r="CJ289" s="83" t="s">
        <v>124</v>
      </c>
      <c r="CK289" s="83" t="s">
        <v>151</v>
      </c>
      <c r="CM289" s="83" t="s">
        <v>124</v>
      </c>
      <c r="CN289" s="83" t="s">
        <v>151</v>
      </c>
      <c r="CP289" s="83" t="s">
        <v>124</v>
      </c>
      <c r="CQ289" s="83" t="s">
        <v>151</v>
      </c>
      <c r="CS289" s="83" t="s">
        <v>124</v>
      </c>
      <c r="CT289" s="83" t="s">
        <v>151</v>
      </c>
      <c r="CV289" s="83" t="s">
        <v>124</v>
      </c>
      <c r="CW289" s="83" t="s">
        <v>151</v>
      </c>
    </row>
    <row r="291" spans="1:101" x14ac:dyDescent="0.2">
      <c r="A291" s="83" t="s">
        <v>125</v>
      </c>
      <c r="B291" s="83" t="s">
        <v>151</v>
      </c>
      <c r="D291" s="83" t="s">
        <v>125</v>
      </c>
      <c r="E291" s="83" t="s">
        <v>151</v>
      </c>
      <c r="G291" s="83" t="s">
        <v>125</v>
      </c>
      <c r="H291" s="83" t="s">
        <v>151</v>
      </c>
      <c r="J291" s="83" t="s">
        <v>125</v>
      </c>
      <c r="K291" s="83" t="s">
        <v>151</v>
      </c>
      <c r="M291" s="83" t="s">
        <v>125</v>
      </c>
      <c r="N291" s="83" t="s">
        <v>151</v>
      </c>
      <c r="P291" s="83" t="s">
        <v>125</v>
      </c>
      <c r="Q291" s="83" t="s">
        <v>151</v>
      </c>
      <c r="S291" s="83" t="s">
        <v>125</v>
      </c>
      <c r="T291" s="83" t="s">
        <v>151</v>
      </c>
      <c r="V291" s="83" t="s">
        <v>125</v>
      </c>
      <c r="W291" s="83" t="s">
        <v>151</v>
      </c>
      <c r="Y291" s="83" t="s">
        <v>125</v>
      </c>
      <c r="Z291" s="83" t="s">
        <v>151</v>
      </c>
      <c r="AB291" s="83" t="s">
        <v>125</v>
      </c>
      <c r="AC291" s="83" t="s">
        <v>151</v>
      </c>
      <c r="AE291" s="83" t="s">
        <v>125</v>
      </c>
      <c r="AF291" s="83" t="s">
        <v>151</v>
      </c>
      <c r="AH291" s="83" t="s">
        <v>125</v>
      </c>
      <c r="AI291" s="83" t="s">
        <v>151</v>
      </c>
      <c r="AK291" s="83" t="s">
        <v>125</v>
      </c>
      <c r="AL291" s="83" t="s">
        <v>151</v>
      </c>
      <c r="AN291" s="83" t="s">
        <v>125</v>
      </c>
      <c r="AO291" s="83" t="s">
        <v>151</v>
      </c>
      <c r="AQ291" s="83" t="s">
        <v>125</v>
      </c>
      <c r="AR291" s="83" t="s">
        <v>151</v>
      </c>
      <c r="AT291" s="83" t="s">
        <v>125</v>
      </c>
      <c r="AU291" s="83" t="s">
        <v>151</v>
      </c>
      <c r="AW291" s="83" t="s">
        <v>125</v>
      </c>
      <c r="AX291" s="83" t="s">
        <v>151</v>
      </c>
      <c r="AZ291" s="83" t="s">
        <v>125</v>
      </c>
      <c r="BA291" s="83" t="s">
        <v>151</v>
      </c>
      <c r="BC291" s="83" t="s">
        <v>125</v>
      </c>
      <c r="BD291" s="83" t="s">
        <v>151</v>
      </c>
      <c r="BF291" s="83" t="s">
        <v>125</v>
      </c>
      <c r="BG291" s="83" t="s">
        <v>151</v>
      </c>
      <c r="BI291" s="83" t="s">
        <v>125</v>
      </c>
      <c r="BJ291" s="83" t="s">
        <v>151</v>
      </c>
      <c r="BL291" s="83" t="s">
        <v>125</v>
      </c>
      <c r="BM291" s="83" t="s">
        <v>151</v>
      </c>
      <c r="BO291" s="83" t="s">
        <v>125</v>
      </c>
      <c r="BP291" s="83" t="s">
        <v>151</v>
      </c>
      <c r="BR291" s="83" t="s">
        <v>125</v>
      </c>
      <c r="BS291" s="83" t="s">
        <v>151</v>
      </c>
      <c r="BU291" s="83" t="s">
        <v>125</v>
      </c>
      <c r="BV291" s="83" t="s">
        <v>151</v>
      </c>
      <c r="BX291" s="83" t="s">
        <v>125</v>
      </c>
      <c r="BY291" s="83" t="s">
        <v>151</v>
      </c>
      <c r="CA291" s="83" t="s">
        <v>125</v>
      </c>
      <c r="CB291" s="83" t="s">
        <v>151</v>
      </c>
      <c r="CD291" s="83" t="s">
        <v>125</v>
      </c>
      <c r="CE291" s="83" t="s">
        <v>151</v>
      </c>
      <c r="CG291" s="83" t="s">
        <v>125</v>
      </c>
      <c r="CH291" s="83" t="s">
        <v>151</v>
      </c>
      <c r="CJ291" s="83" t="s">
        <v>125</v>
      </c>
      <c r="CK291" s="83" t="s">
        <v>151</v>
      </c>
      <c r="CM291" s="83" t="s">
        <v>125</v>
      </c>
      <c r="CN291" s="83" t="s">
        <v>151</v>
      </c>
      <c r="CP291" s="83" t="s">
        <v>125</v>
      </c>
      <c r="CQ291" s="83" t="s">
        <v>151</v>
      </c>
      <c r="CS291" s="83" t="s">
        <v>125</v>
      </c>
      <c r="CT291" s="83" t="s">
        <v>151</v>
      </c>
      <c r="CV291" s="83" t="s">
        <v>125</v>
      </c>
      <c r="CW291" s="83" t="s">
        <v>151</v>
      </c>
    </row>
    <row r="293" spans="1:101" x14ac:dyDescent="0.2">
      <c r="A293" s="83" t="s">
        <v>126</v>
      </c>
      <c r="B293" s="83">
        <v>1</v>
      </c>
      <c r="D293" s="83" t="s">
        <v>126</v>
      </c>
      <c r="E293" s="83">
        <v>1</v>
      </c>
      <c r="G293" s="83" t="s">
        <v>126</v>
      </c>
      <c r="H293" s="83">
        <v>1</v>
      </c>
      <c r="J293" s="83" t="s">
        <v>126</v>
      </c>
      <c r="K293" s="83">
        <v>1</v>
      </c>
      <c r="M293" s="83" t="s">
        <v>126</v>
      </c>
      <c r="N293" s="83">
        <v>1</v>
      </c>
      <c r="P293" s="83" t="s">
        <v>126</v>
      </c>
      <c r="Q293" s="83">
        <v>1</v>
      </c>
      <c r="S293" s="83" t="s">
        <v>126</v>
      </c>
      <c r="T293" s="83">
        <v>1</v>
      </c>
      <c r="V293" s="83" t="s">
        <v>126</v>
      </c>
      <c r="W293" s="83">
        <v>1</v>
      </c>
      <c r="Y293" s="83" t="s">
        <v>126</v>
      </c>
      <c r="Z293" s="83">
        <v>1</v>
      </c>
      <c r="AB293" s="83" t="s">
        <v>126</v>
      </c>
      <c r="AC293" s="83">
        <v>1</v>
      </c>
      <c r="AE293" s="83" t="s">
        <v>126</v>
      </c>
      <c r="AF293" s="83">
        <v>1</v>
      </c>
      <c r="AH293" s="83" t="s">
        <v>126</v>
      </c>
      <c r="AI293" s="83">
        <v>1</v>
      </c>
      <c r="AK293" s="83" t="s">
        <v>126</v>
      </c>
      <c r="AL293" s="83">
        <v>1</v>
      </c>
      <c r="AN293" s="83" t="s">
        <v>126</v>
      </c>
      <c r="AO293" s="83">
        <v>1</v>
      </c>
      <c r="AQ293" s="83" t="s">
        <v>126</v>
      </c>
      <c r="AR293" s="83">
        <v>1</v>
      </c>
      <c r="AT293" s="83" t="s">
        <v>126</v>
      </c>
      <c r="AU293" s="83">
        <v>1</v>
      </c>
      <c r="AW293" s="83" t="s">
        <v>126</v>
      </c>
      <c r="AX293" s="83">
        <v>1</v>
      </c>
      <c r="AZ293" s="83" t="s">
        <v>126</v>
      </c>
      <c r="BA293" s="83">
        <v>1</v>
      </c>
      <c r="BC293" s="83" t="s">
        <v>126</v>
      </c>
      <c r="BD293" s="83">
        <v>1</v>
      </c>
      <c r="BF293" s="83" t="s">
        <v>126</v>
      </c>
      <c r="BG293" s="83">
        <v>1</v>
      </c>
      <c r="BI293" s="83" t="s">
        <v>126</v>
      </c>
      <c r="BJ293" s="83">
        <v>1</v>
      </c>
      <c r="BL293" s="83" t="s">
        <v>126</v>
      </c>
      <c r="BM293" s="83">
        <v>1</v>
      </c>
      <c r="BO293" s="83" t="s">
        <v>126</v>
      </c>
      <c r="BP293" s="83">
        <v>1</v>
      </c>
      <c r="BR293" s="83" t="s">
        <v>126</v>
      </c>
      <c r="BS293" s="83">
        <v>1</v>
      </c>
      <c r="BU293" s="83" t="s">
        <v>126</v>
      </c>
      <c r="BV293" s="83">
        <v>1</v>
      </c>
      <c r="BX293" s="83" t="s">
        <v>126</v>
      </c>
      <c r="BY293" s="83">
        <v>1</v>
      </c>
      <c r="CA293" s="83" t="s">
        <v>126</v>
      </c>
      <c r="CB293" s="83">
        <v>1</v>
      </c>
      <c r="CD293" s="83" t="s">
        <v>126</v>
      </c>
      <c r="CE293" s="83">
        <v>1</v>
      </c>
      <c r="CG293" s="83" t="s">
        <v>126</v>
      </c>
      <c r="CH293" s="83">
        <v>1</v>
      </c>
      <c r="CJ293" s="83" t="s">
        <v>126</v>
      </c>
      <c r="CK293" s="83">
        <v>1</v>
      </c>
      <c r="CM293" s="83" t="s">
        <v>126</v>
      </c>
      <c r="CN293" s="83">
        <v>1</v>
      </c>
      <c r="CP293" s="83" t="s">
        <v>126</v>
      </c>
      <c r="CQ293" s="83">
        <v>1</v>
      </c>
      <c r="CS293" s="83" t="s">
        <v>126</v>
      </c>
      <c r="CT293" s="83">
        <v>1</v>
      </c>
      <c r="CV293" s="83" t="s">
        <v>126</v>
      </c>
      <c r="CW293" s="83">
        <v>1</v>
      </c>
    </row>
    <row r="295" spans="1:101" x14ac:dyDescent="0.2">
      <c r="A295" s="83" t="s">
        <v>127</v>
      </c>
      <c r="B295" s="83">
        <v>1</v>
      </c>
      <c r="D295" s="83" t="s">
        <v>127</v>
      </c>
      <c r="E295" s="83">
        <v>1</v>
      </c>
      <c r="G295" s="83" t="s">
        <v>127</v>
      </c>
      <c r="H295" s="83">
        <v>1</v>
      </c>
      <c r="J295" s="83" t="s">
        <v>127</v>
      </c>
      <c r="K295" s="83">
        <v>1</v>
      </c>
      <c r="M295" s="83" t="s">
        <v>127</v>
      </c>
      <c r="N295" s="83">
        <v>1</v>
      </c>
      <c r="P295" s="83" t="s">
        <v>127</v>
      </c>
      <c r="Q295" s="83">
        <v>1</v>
      </c>
      <c r="S295" s="83" t="s">
        <v>127</v>
      </c>
      <c r="T295" s="83">
        <v>1</v>
      </c>
      <c r="V295" s="83" t="s">
        <v>127</v>
      </c>
      <c r="W295" s="83">
        <v>1</v>
      </c>
      <c r="Y295" s="83" t="s">
        <v>127</v>
      </c>
      <c r="Z295" s="83">
        <v>1</v>
      </c>
      <c r="AB295" s="83" t="s">
        <v>127</v>
      </c>
      <c r="AC295" s="83">
        <v>1</v>
      </c>
      <c r="AE295" s="83" t="s">
        <v>127</v>
      </c>
      <c r="AF295" s="83">
        <v>1</v>
      </c>
      <c r="AH295" s="83" t="s">
        <v>127</v>
      </c>
      <c r="AI295" s="83">
        <v>1</v>
      </c>
      <c r="AK295" s="83" t="s">
        <v>127</v>
      </c>
      <c r="AL295" s="83">
        <v>1</v>
      </c>
      <c r="AN295" s="83" t="s">
        <v>127</v>
      </c>
      <c r="AO295" s="83">
        <v>1</v>
      </c>
      <c r="AQ295" s="83" t="s">
        <v>127</v>
      </c>
      <c r="AR295" s="83">
        <v>1</v>
      </c>
      <c r="AT295" s="83" t="s">
        <v>127</v>
      </c>
      <c r="AU295" s="83">
        <v>1</v>
      </c>
      <c r="AW295" s="83" t="s">
        <v>127</v>
      </c>
      <c r="AX295" s="83">
        <v>1</v>
      </c>
      <c r="AZ295" s="83" t="s">
        <v>127</v>
      </c>
      <c r="BA295" s="83">
        <v>1</v>
      </c>
      <c r="BC295" s="83" t="s">
        <v>127</v>
      </c>
      <c r="BD295" s="83">
        <v>1</v>
      </c>
      <c r="BF295" s="83" t="s">
        <v>127</v>
      </c>
      <c r="BG295" s="83">
        <v>1</v>
      </c>
      <c r="BI295" s="83" t="s">
        <v>127</v>
      </c>
      <c r="BJ295" s="83">
        <v>1</v>
      </c>
      <c r="BL295" s="83" t="s">
        <v>127</v>
      </c>
      <c r="BM295" s="83">
        <v>1</v>
      </c>
      <c r="BO295" s="83" t="s">
        <v>127</v>
      </c>
      <c r="BP295" s="83">
        <v>1</v>
      </c>
      <c r="BR295" s="83" t="s">
        <v>127</v>
      </c>
      <c r="BS295" s="83">
        <v>1</v>
      </c>
      <c r="BU295" s="83" t="s">
        <v>127</v>
      </c>
      <c r="BV295" s="83">
        <v>1</v>
      </c>
      <c r="BX295" s="83" t="s">
        <v>127</v>
      </c>
      <c r="BY295" s="83">
        <v>1</v>
      </c>
      <c r="CA295" s="83" t="s">
        <v>127</v>
      </c>
      <c r="CB295" s="83">
        <v>1</v>
      </c>
      <c r="CD295" s="83" t="s">
        <v>127</v>
      </c>
      <c r="CE295" s="83">
        <v>1</v>
      </c>
      <c r="CG295" s="83" t="s">
        <v>127</v>
      </c>
      <c r="CH295" s="83">
        <v>1</v>
      </c>
      <c r="CJ295" s="83" t="s">
        <v>127</v>
      </c>
      <c r="CK295" s="83">
        <v>1</v>
      </c>
      <c r="CM295" s="83" t="s">
        <v>127</v>
      </c>
      <c r="CN295" s="83">
        <v>1</v>
      </c>
      <c r="CP295" s="83" t="s">
        <v>127</v>
      </c>
      <c r="CQ295" s="83">
        <v>1</v>
      </c>
      <c r="CS295" s="83" t="s">
        <v>127</v>
      </c>
      <c r="CT295" s="83">
        <v>1</v>
      </c>
      <c r="CV295" s="83" t="s">
        <v>127</v>
      </c>
      <c r="CW295" s="83">
        <v>1</v>
      </c>
    </row>
    <row r="297" spans="1:101" x14ac:dyDescent="0.2">
      <c r="A297" s="83" t="s">
        <v>128</v>
      </c>
      <c r="B297" s="83" t="s">
        <v>151</v>
      </c>
      <c r="D297" s="83" t="s">
        <v>128</v>
      </c>
      <c r="E297" s="83" t="s">
        <v>151</v>
      </c>
      <c r="G297" s="83" t="s">
        <v>128</v>
      </c>
      <c r="H297" s="83" t="s">
        <v>151</v>
      </c>
      <c r="J297" s="83" t="s">
        <v>128</v>
      </c>
      <c r="K297" s="83" t="s">
        <v>151</v>
      </c>
      <c r="M297" s="83" t="s">
        <v>128</v>
      </c>
      <c r="N297" s="83" t="s">
        <v>151</v>
      </c>
      <c r="P297" s="83" t="s">
        <v>128</v>
      </c>
      <c r="Q297" s="83" t="s">
        <v>151</v>
      </c>
      <c r="S297" s="83" t="s">
        <v>128</v>
      </c>
      <c r="T297" s="83" t="s">
        <v>151</v>
      </c>
      <c r="V297" s="83" t="s">
        <v>128</v>
      </c>
      <c r="W297" s="83" t="s">
        <v>151</v>
      </c>
      <c r="Y297" s="83" t="s">
        <v>128</v>
      </c>
      <c r="Z297" s="83" t="s">
        <v>151</v>
      </c>
      <c r="AB297" s="83" t="s">
        <v>128</v>
      </c>
      <c r="AC297" s="83" t="s">
        <v>151</v>
      </c>
      <c r="AE297" s="83" t="s">
        <v>128</v>
      </c>
      <c r="AF297" s="83" t="s">
        <v>151</v>
      </c>
      <c r="AH297" s="83" t="s">
        <v>128</v>
      </c>
      <c r="AI297" s="83" t="s">
        <v>151</v>
      </c>
      <c r="AK297" s="83" t="s">
        <v>128</v>
      </c>
      <c r="AL297" s="83" t="s">
        <v>151</v>
      </c>
      <c r="AN297" s="83" t="s">
        <v>128</v>
      </c>
      <c r="AO297" s="83" t="s">
        <v>151</v>
      </c>
      <c r="AQ297" s="83" t="s">
        <v>128</v>
      </c>
      <c r="AR297" s="83" t="s">
        <v>151</v>
      </c>
      <c r="AT297" s="83" t="s">
        <v>128</v>
      </c>
      <c r="AU297" s="83" t="s">
        <v>151</v>
      </c>
      <c r="AW297" s="83" t="s">
        <v>128</v>
      </c>
      <c r="AX297" s="83" t="s">
        <v>151</v>
      </c>
      <c r="AZ297" s="83" t="s">
        <v>128</v>
      </c>
      <c r="BA297" s="83" t="s">
        <v>151</v>
      </c>
      <c r="BC297" s="83" t="s">
        <v>128</v>
      </c>
      <c r="BD297" s="83" t="s">
        <v>151</v>
      </c>
      <c r="BF297" s="83" t="s">
        <v>128</v>
      </c>
      <c r="BG297" s="83" t="s">
        <v>151</v>
      </c>
      <c r="BI297" s="83" t="s">
        <v>128</v>
      </c>
      <c r="BJ297" s="83" t="s">
        <v>151</v>
      </c>
      <c r="BL297" s="83" t="s">
        <v>128</v>
      </c>
      <c r="BM297" s="83" t="s">
        <v>151</v>
      </c>
      <c r="BO297" s="83" t="s">
        <v>128</v>
      </c>
      <c r="BP297" s="83" t="s">
        <v>151</v>
      </c>
      <c r="BR297" s="83" t="s">
        <v>128</v>
      </c>
      <c r="BS297" s="83" t="s">
        <v>151</v>
      </c>
      <c r="BU297" s="83" t="s">
        <v>128</v>
      </c>
      <c r="BV297" s="83" t="s">
        <v>151</v>
      </c>
      <c r="BX297" s="83" t="s">
        <v>128</v>
      </c>
      <c r="BY297" s="83" t="s">
        <v>151</v>
      </c>
      <c r="CA297" s="83" t="s">
        <v>128</v>
      </c>
      <c r="CB297" s="83" t="s">
        <v>151</v>
      </c>
      <c r="CD297" s="83" t="s">
        <v>128</v>
      </c>
      <c r="CE297" s="83" t="s">
        <v>151</v>
      </c>
      <c r="CG297" s="83" t="s">
        <v>128</v>
      </c>
      <c r="CH297" s="83" t="s">
        <v>151</v>
      </c>
      <c r="CJ297" s="83" t="s">
        <v>128</v>
      </c>
      <c r="CK297" s="83" t="s">
        <v>151</v>
      </c>
      <c r="CM297" s="83" t="s">
        <v>128</v>
      </c>
      <c r="CN297" s="83" t="s">
        <v>151</v>
      </c>
      <c r="CP297" s="83" t="s">
        <v>128</v>
      </c>
      <c r="CQ297" s="83" t="s">
        <v>151</v>
      </c>
      <c r="CS297" s="83" t="s">
        <v>128</v>
      </c>
      <c r="CT297" s="83" t="s">
        <v>151</v>
      </c>
      <c r="CV297" s="83" t="s">
        <v>128</v>
      </c>
      <c r="CW297" s="83" t="s">
        <v>151</v>
      </c>
    </row>
    <row r="299" spans="1:101" x14ac:dyDescent="0.2">
      <c r="A299" s="83" t="s">
        <v>152</v>
      </c>
      <c r="B299" s="83" t="s">
        <v>151</v>
      </c>
      <c r="D299" s="83" t="s">
        <v>152</v>
      </c>
      <c r="E299" s="83" t="s">
        <v>151</v>
      </c>
      <c r="G299" s="83" t="s">
        <v>152</v>
      </c>
      <c r="H299" s="83" t="s">
        <v>151</v>
      </c>
      <c r="J299" s="83" t="s">
        <v>152</v>
      </c>
      <c r="K299" s="83" t="s">
        <v>151</v>
      </c>
      <c r="M299" s="83" t="s">
        <v>152</v>
      </c>
      <c r="N299" s="83" t="s">
        <v>151</v>
      </c>
      <c r="P299" s="83" t="s">
        <v>152</v>
      </c>
      <c r="Q299" s="83" t="s">
        <v>151</v>
      </c>
      <c r="S299" s="83" t="s">
        <v>152</v>
      </c>
      <c r="T299" s="83" t="s">
        <v>151</v>
      </c>
      <c r="V299" s="83" t="s">
        <v>152</v>
      </c>
      <c r="W299" s="83" t="s">
        <v>151</v>
      </c>
      <c r="Y299" s="83" t="s">
        <v>152</v>
      </c>
      <c r="Z299" s="83" t="s">
        <v>151</v>
      </c>
      <c r="AB299" s="83" t="s">
        <v>152</v>
      </c>
      <c r="AC299" s="83" t="s">
        <v>151</v>
      </c>
      <c r="AE299" s="83" t="s">
        <v>152</v>
      </c>
      <c r="AF299" s="83" t="s">
        <v>151</v>
      </c>
      <c r="AH299" s="83" t="s">
        <v>152</v>
      </c>
      <c r="AI299" s="83" t="s">
        <v>151</v>
      </c>
      <c r="AK299" s="83" t="s">
        <v>152</v>
      </c>
      <c r="AL299" s="83" t="s">
        <v>151</v>
      </c>
      <c r="AN299" s="83" t="s">
        <v>152</v>
      </c>
      <c r="AO299" s="83" t="s">
        <v>151</v>
      </c>
      <c r="AQ299" s="83" t="s">
        <v>152</v>
      </c>
      <c r="AR299" s="83" t="s">
        <v>151</v>
      </c>
      <c r="AT299" s="83" t="s">
        <v>152</v>
      </c>
      <c r="AU299" s="83" t="s">
        <v>151</v>
      </c>
      <c r="AW299" s="83" t="s">
        <v>152</v>
      </c>
      <c r="AX299" s="83" t="s">
        <v>151</v>
      </c>
      <c r="AZ299" s="83" t="s">
        <v>152</v>
      </c>
      <c r="BA299" s="83" t="s">
        <v>151</v>
      </c>
      <c r="BC299" s="83" t="s">
        <v>152</v>
      </c>
      <c r="BD299" s="83" t="s">
        <v>151</v>
      </c>
      <c r="BF299" s="83" t="s">
        <v>152</v>
      </c>
      <c r="BG299" s="83" t="s">
        <v>151</v>
      </c>
      <c r="BI299" s="83" t="s">
        <v>152</v>
      </c>
      <c r="BJ299" s="83" t="s">
        <v>151</v>
      </c>
      <c r="BL299" s="83" t="s">
        <v>152</v>
      </c>
      <c r="BM299" s="83" t="s">
        <v>151</v>
      </c>
      <c r="BO299" s="83" t="s">
        <v>152</v>
      </c>
      <c r="BP299" s="83" t="s">
        <v>151</v>
      </c>
      <c r="BR299" s="83" t="s">
        <v>152</v>
      </c>
      <c r="BS299" s="83" t="s">
        <v>151</v>
      </c>
      <c r="BU299" s="83" t="s">
        <v>152</v>
      </c>
      <c r="BV299" s="83" t="s">
        <v>151</v>
      </c>
      <c r="BX299" s="83" t="s">
        <v>152</v>
      </c>
      <c r="BY299" s="83" t="s">
        <v>151</v>
      </c>
      <c r="CA299" s="83" t="s">
        <v>152</v>
      </c>
      <c r="CB299" s="83" t="s">
        <v>151</v>
      </c>
      <c r="CD299" s="83" t="s">
        <v>152</v>
      </c>
      <c r="CE299" s="83" t="s">
        <v>151</v>
      </c>
      <c r="CG299" s="83" t="s">
        <v>152</v>
      </c>
      <c r="CH299" s="83" t="s">
        <v>151</v>
      </c>
      <c r="CJ299" s="83" t="s">
        <v>152</v>
      </c>
      <c r="CK299" s="83" t="s">
        <v>151</v>
      </c>
      <c r="CM299" s="83" t="s">
        <v>152</v>
      </c>
      <c r="CN299" s="83" t="s">
        <v>151</v>
      </c>
      <c r="CP299" s="83" t="s">
        <v>152</v>
      </c>
      <c r="CQ299" s="83" t="s">
        <v>151</v>
      </c>
      <c r="CS299" s="83" t="s">
        <v>152</v>
      </c>
      <c r="CT299" s="83" t="s">
        <v>151</v>
      </c>
      <c r="CV299" s="83" t="s">
        <v>152</v>
      </c>
      <c r="CW299" s="83" t="s">
        <v>151</v>
      </c>
    </row>
    <row r="301" spans="1:101" x14ac:dyDescent="0.2">
      <c r="A301" s="83" t="s">
        <v>129</v>
      </c>
      <c r="D301" s="83" t="s">
        <v>129</v>
      </c>
      <c r="G301" s="83" t="s">
        <v>129</v>
      </c>
      <c r="J301" s="83" t="s">
        <v>129</v>
      </c>
      <c r="M301" s="83" t="s">
        <v>129</v>
      </c>
      <c r="P301" s="83" t="s">
        <v>129</v>
      </c>
      <c r="S301" s="83" t="s">
        <v>129</v>
      </c>
      <c r="V301" s="83" t="s">
        <v>129</v>
      </c>
      <c r="Y301" s="83" t="s">
        <v>129</v>
      </c>
      <c r="AB301" s="83" t="s">
        <v>129</v>
      </c>
      <c r="AE301" s="83" t="s">
        <v>129</v>
      </c>
      <c r="AH301" s="83" t="s">
        <v>129</v>
      </c>
      <c r="AK301" s="83" t="s">
        <v>129</v>
      </c>
      <c r="AN301" s="83" t="s">
        <v>129</v>
      </c>
      <c r="AQ301" s="83" t="s">
        <v>129</v>
      </c>
      <c r="AT301" s="83" t="s">
        <v>129</v>
      </c>
      <c r="AW301" s="83" t="s">
        <v>129</v>
      </c>
      <c r="AZ301" s="83" t="s">
        <v>129</v>
      </c>
      <c r="BC301" s="83" t="s">
        <v>129</v>
      </c>
      <c r="BF301" s="83" t="s">
        <v>129</v>
      </c>
      <c r="BI301" s="83" t="s">
        <v>129</v>
      </c>
      <c r="BL301" s="83" t="s">
        <v>129</v>
      </c>
      <c r="BO301" s="83" t="s">
        <v>129</v>
      </c>
      <c r="BR301" s="83" t="s">
        <v>129</v>
      </c>
      <c r="BU301" s="83" t="s">
        <v>129</v>
      </c>
      <c r="BX301" s="83" t="s">
        <v>129</v>
      </c>
      <c r="CA301" s="83" t="s">
        <v>129</v>
      </c>
      <c r="CD301" s="83" t="s">
        <v>129</v>
      </c>
      <c r="CG301" s="83" t="s">
        <v>129</v>
      </c>
      <c r="CJ301" s="83" t="s">
        <v>129</v>
      </c>
      <c r="CM301" s="83" t="s">
        <v>129</v>
      </c>
      <c r="CP301" s="83" t="s">
        <v>129</v>
      </c>
      <c r="CS301" s="83" t="s">
        <v>129</v>
      </c>
      <c r="CV301" s="83" t="s">
        <v>129</v>
      </c>
    </row>
    <row r="302" spans="1:101" x14ac:dyDescent="0.2">
      <c r="A302" s="83" t="s">
        <v>86</v>
      </c>
      <c r="B302" s="83">
        <v>1</v>
      </c>
      <c r="D302" s="83" t="s">
        <v>86</v>
      </c>
      <c r="E302" s="83">
        <v>1</v>
      </c>
      <c r="G302" s="83" t="s">
        <v>86</v>
      </c>
      <c r="H302" s="83">
        <v>1</v>
      </c>
      <c r="J302" s="83" t="s">
        <v>86</v>
      </c>
      <c r="K302" s="83">
        <v>1</v>
      </c>
      <c r="M302" s="83" t="s">
        <v>86</v>
      </c>
      <c r="N302" s="83">
        <v>1</v>
      </c>
      <c r="P302" s="83" t="s">
        <v>86</v>
      </c>
      <c r="Q302" s="83">
        <v>1</v>
      </c>
      <c r="S302" s="83" t="s">
        <v>86</v>
      </c>
      <c r="T302" s="83">
        <v>1</v>
      </c>
      <c r="V302" s="83" t="s">
        <v>86</v>
      </c>
      <c r="W302" s="83">
        <v>1</v>
      </c>
      <c r="Y302" s="83" t="s">
        <v>86</v>
      </c>
      <c r="Z302" s="83">
        <v>1</v>
      </c>
      <c r="AB302" s="83" t="s">
        <v>86</v>
      </c>
      <c r="AC302" s="83">
        <v>1</v>
      </c>
      <c r="AE302" s="83" t="s">
        <v>86</v>
      </c>
      <c r="AF302" s="83">
        <v>1</v>
      </c>
      <c r="AH302" s="83" t="s">
        <v>86</v>
      </c>
      <c r="AI302" s="83">
        <v>1</v>
      </c>
      <c r="AK302" s="83" t="s">
        <v>86</v>
      </c>
      <c r="AL302" s="83">
        <v>1</v>
      </c>
      <c r="AN302" s="83" t="s">
        <v>86</v>
      </c>
      <c r="AO302" s="83">
        <v>1</v>
      </c>
      <c r="AQ302" s="83" t="s">
        <v>86</v>
      </c>
      <c r="AR302" s="83">
        <v>1</v>
      </c>
      <c r="AT302" s="83" t="s">
        <v>86</v>
      </c>
      <c r="AU302" s="83">
        <v>1</v>
      </c>
      <c r="AW302" s="83" t="s">
        <v>86</v>
      </c>
      <c r="AX302" s="83">
        <v>1</v>
      </c>
      <c r="AZ302" s="83" t="s">
        <v>86</v>
      </c>
      <c r="BA302" s="83">
        <v>1</v>
      </c>
      <c r="BC302" s="83" t="s">
        <v>86</v>
      </c>
      <c r="BD302" s="83">
        <v>1</v>
      </c>
      <c r="BF302" s="83" t="s">
        <v>86</v>
      </c>
      <c r="BG302" s="83">
        <v>1</v>
      </c>
      <c r="BI302" s="83" t="s">
        <v>86</v>
      </c>
      <c r="BJ302" s="83">
        <v>1</v>
      </c>
      <c r="BL302" s="83" t="s">
        <v>86</v>
      </c>
      <c r="BM302" s="83">
        <v>1</v>
      </c>
      <c r="BO302" s="83" t="s">
        <v>86</v>
      </c>
      <c r="BP302" s="83">
        <v>1</v>
      </c>
      <c r="BR302" s="83" t="s">
        <v>86</v>
      </c>
      <c r="BS302" s="83">
        <v>1</v>
      </c>
      <c r="BU302" s="83" t="s">
        <v>86</v>
      </c>
      <c r="BV302" s="83">
        <v>1</v>
      </c>
      <c r="BX302" s="83" t="s">
        <v>86</v>
      </c>
      <c r="BY302" s="83">
        <v>1</v>
      </c>
      <c r="CA302" s="83" t="s">
        <v>86</v>
      </c>
      <c r="CB302" s="83">
        <v>1</v>
      </c>
      <c r="CD302" s="83" t="s">
        <v>86</v>
      </c>
      <c r="CE302" s="83">
        <v>1</v>
      </c>
      <c r="CG302" s="83" t="s">
        <v>86</v>
      </c>
      <c r="CH302" s="83">
        <v>1</v>
      </c>
      <c r="CJ302" s="83" t="s">
        <v>86</v>
      </c>
      <c r="CK302" s="83">
        <v>1</v>
      </c>
      <c r="CM302" s="83" t="s">
        <v>86</v>
      </c>
      <c r="CN302" s="83">
        <v>1</v>
      </c>
      <c r="CP302" s="83" t="s">
        <v>86</v>
      </c>
      <c r="CQ302" s="83">
        <v>1</v>
      </c>
      <c r="CS302" s="83" t="s">
        <v>86</v>
      </c>
      <c r="CT302" s="83">
        <v>1</v>
      </c>
      <c r="CV302" s="83" t="s">
        <v>86</v>
      </c>
      <c r="CW302" s="83">
        <v>1</v>
      </c>
    </row>
    <row r="304" spans="1:101" x14ac:dyDescent="0.2">
      <c r="A304" s="83" t="s">
        <v>87</v>
      </c>
      <c r="B304" s="83">
        <v>1</v>
      </c>
      <c r="D304" s="83" t="s">
        <v>87</v>
      </c>
      <c r="E304" s="83">
        <v>1</v>
      </c>
      <c r="G304" s="83" t="s">
        <v>87</v>
      </c>
      <c r="H304" s="83">
        <v>1</v>
      </c>
      <c r="J304" s="83" t="s">
        <v>87</v>
      </c>
      <c r="K304" s="83">
        <v>1</v>
      </c>
      <c r="M304" s="83" t="s">
        <v>87</v>
      </c>
      <c r="N304" s="83">
        <v>1</v>
      </c>
      <c r="P304" s="83" t="s">
        <v>87</v>
      </c>
      <c r="Q304" s="83">
        <v>1</v>
      </c>
      <c r="S304" s="83" t="s">
        <v>87</v>
      </c>
      <c r="T304" s="83">
        <v>1</v>
      </c>
      <c r="V304" s="83" t="s">
        <v>87</v>
      </c>
      <c r="W304" s="83">
        <v>1</v>
      </c>
      <c r="Y304" s="83" t="s">
        <v>87</v>
      </c>
      <c r="Z304" s="83">
        <v>1</v>
      </c>
      <c r="AB304" s="83" t="s">
        <v>87</v>
      </c>
      <c r="AC304" s="83">
        <v>1</v>
      </c>
      <c r="AE304" s="83" t="s">
        <v>87</v>
      </c>
      <c r="AF304" s="83">
        <v>1</v>
      </c>
      <c r="AH304" s="83" t="s">
        <v>87</v>
      </c>
      <c r="AI304" s="83">
        <v>1</v>
      </c>
      <c r="AK304" s="83" t="s">
        <v>87</v>
      </c>
      <c r="AL304" s="83">
        <v>1</v>
      </c>
      <c r="AN304" s="83" t="s">
        <v>87</v>
      </c>
      <c r="AO304" s="83">
        <v>1</v>
      </c>
      <c r="AQ304" s="83" t="s">
        <v>87</v>
      </c>
      <c r="AR304" s="83">
        <v>1</v>
      </c>
      <c r="AT304" s="83" t="s">
        <v>87</v>
      </c>
      <c r="AU304" s="83">
        <v>1</v>
      </c>
      <c r="AW304" s="83" t="s">
        <v>87</v>
      </c>
      <c r="AX304" s="83">
        <v>1</v>
      </c>
      <c r="AZ304" s="83" t="s">
        <v>87</v>
      </c>
      <c r="BA304" s="83">
        <v>1</v>
      </c>
      <c r="BC304" s="83" t="s">
        <v>87</v>
      </c>
      <c r="BD304" s="83">
        <v>1</v>
      </c>
      <c r="BF304" s="83" t="s">
        <v>87</v>
      </c>
      <c r="BG304" s="83">
        <v>1</v>
      </c>
      <c r="BI304" s="83" t="s">
        <v>87</v>
      </c>
      <c r="BJ304" s="83">
        <v>1</v>
      </c>
      <c r="BL304" s="83" t="s">
        <v>87</v>
      </c>
      <c r="BM304" s="83">
        <v>1</v>
      </c>
      <c r="BO304" s="83" t="s">
        <v>87</v>
      </c>
      <c r="BP304" s="83">
        <v>1</v>
      </c>
      <c r="BR304" s="83" t="s">
        <v>87</v>
      </c>
      <c r="BS304" s="83">
        <v>1</v>
      </c>
      <c r="BU304" s="83" t="s">
        <v>87</v>
      </c>
      <c r="BV304" s="83">
        <v>1</v>
      </c>
      <c r="BX304" s="83" t="s">
        <v>87</v>
      </c>
      <c r="BY304" s="83">
        <v>1</v>
      </c>
      <c r="CA304" s="83" t="s">
        <v>87</v>
      </c>
      <c r="CB304" s="83">
        <v>1</v>
      </c>
      <c r="CD304" s="83" t="s">
        <v>87</v>
      </c>
      <c r="CE304" s="83">
        <v>1</v>
      </c>
      <c r="CG304" s="83" t="s">
        <v>87</v>
      </c>
      <c r="CH304" s="83">
        <v>1</v>
      </c>
      <c r="CJ304" s="83" t="s">
        <v>87</v>
      </c>
      <c r="CK304" s="83">
        <v>1</v>
      </c>
      <c r="CM304" s="83" t="s">
        <v>87</v>
      </c>
      <c r="CN304" s="83">
        <v>1</v>
      </c>
      <c r="CP304" s="83" t="s">
        <v>87</v>
      </c>
      <c r="CQ304" s="83">
        <v>1</v>
      </c>
      <c r="CS304" s="83" t="s">
        <v>87</v>
      </c>
      <c r="CT304" s="83">
        <v>1</v>
      </c>
      <c r="CV304" s="83" t="s">
        <v>87</v>
      </c>
      <c r="CW304" s="83">
        <v>1</v>
      </c>
    </row>
    <row r="306" spans="1:101" x14ac:dyDescent="0.2">
      <c r="A306" s="83" t="s">
        <v>88</v>
      </c>
      <c r="B306" s="83">
        <v>1</v>
      </c>
      <c r="D306" s="83" t="s">
        <v>88</v>
      </c>
      <c r="E306" s="83">
        <v>1</v>
      </c>
      <c r="G306" s="83" t="s">
        <v>88</v>
      </c>
      <c r="H306" s="83">
        <v>1</v>
      </c>
      <c r="J306" s="83" t="s">
        <v>88</v>
      </c>
      <c r="K306" s="83">
        <v>1</v>
      </c>
      <c r="M306" s="83" t="s">
        <v>88</v>
      </c>
      <c r="N306" s="83">
        <v>1</v>
      </c>
      <c r="P306" s="83" t="s">
        <v>88</v>
      </c>
      <c r="Q306" s="83">
        <v>1</v>
      </c>
      <c r="S306" s="83" t="s">
        <v>88</v>
      </c>
      <c r="T306" s="83">
        <v>1</v>
      </c>
      <c r="V306" s="83" t="s">
        <v>88</v>
      </c>
      <c r="W306" s="83">
        <v>1</v>
      </c>
      <c r="Y306" s="83" t="s">
        <v>88</v>
      </c>
      <c r="Z306" s="83">
        <v>1</v>
      </c>
      <c r="AB306" s="83" t="s">
        <v>88</v>
      </c>
      <c r="AC306" s="83">
        <v>1</v>
      </c>
      <c r="AE306" s="83" t="s">
        <v>88</v>
      </c>
      <c r="AF306" s="83">
        <v>1</v>
      </c>
      <c r="AH306" s="83" t="s">
        <v>88</v>
      </c>
      <c r="AI306" s="83">
        <v>1</v>
      </c>
      <c r="AK306" s="83" t="s">
        <v>88</v>
      </c>
      <c r="AL306" s="83">
        <v>1</v>
      </c>
      <c r="AN306" s="83" t="s">
        <v>88</v>
      </c>
      <c r="AO306" s="83">
        <v>1</v>
      </c>
      <c r="AQ306" s="83" t="s">
        <v>88</v>
      </c>
      <c r="AR306" s="83">
        <v>1</v>
      </c>
      <c r="AT306" s="83" t="s">
        <v>88</v>
      </c>
      <c r="AU306" s="83">
        <v>1</v>
      </c>
      <c r="AW306" s="83" t="s">
        <v>88</v>
      </c>
      <c r="AX306" s="83">
        <v>1</v>
      </c>
      <c r="AZ306" s="83" t="s">
        <v>88</v>
      </c>
      <c r="BA306" s="83">
        <v>1</v>
      </c>
      <c r="BC306" s="83" t="s">
        <v>88</v>
      </c>
      <c r="BD306" s="83">
        <v>1</v>
      </c>
      <c r="BF306" s="83" t="s">
        <v>88</v>
      </c>
      <c r="BG306" s="83">
        <v>1</v>
      </c>
      <c r="BI306" s="83" t="s">
        <v>88</v>
      </c>
      <c r="BJ306" s="83">
        <v>1</v>
      </c>
      <c r="BL306" s="83" t="s">
        <v>88</v>
      </c>
      <c r="BM306" s="83">
        <v>1</v>
      </c>
      <c r="BO306" s="83" t="s">
        <v>88</v>
      </c>
      <c r="BP306" s="83">
        <v>1</v>
      </c>
      <c r="BR306" s="83" t="s">
        <v>88</v>
      </c>
      <c r="BS306" s="83">
        <v>1</v>
      </c>
      <c r="BU306" s="83" t="s">
        <v>88</v>
      </c>
      <c r="BV306" s="83">
        <v>1</v>
      </c>
      <c r="BX306" s="83" t="s">
        <v>88</v>
      </c>
      <c r="BY306" s="83">
        <v>1</v>
      </c>
      <c r="CA306" s="83" t="s">
        <v>88</v>
      </c>
      <c r="CB306" s="83">
        <v>1</v>
      </c>
      <c r="CD306" s="83" t="s">
        <v>88</v>
      </c>
      <c r="CE306" s="83">
        <v>1</v>
      </c>
      <c r="CG306" s="83" t="s">
        <v>88</v>
      </c>
      <c r="CH306" s="83">
        <v>1</v>
      </c>
      <c r="CJ306" s="83" t="s">
        <v>88</v>
      </c>
      <c r="CK306" s="83">
        <v>1</v>
      </c>
      <c r="CM306" s="83" t="s">
        <v>88</v>
      </c>
      <c r="CN306" s="83">
        <v>1</v>
      </c>
      <c r="CP306" s="83" t="s">
        <v>88</v>
      </c>
      <c r="CQ306" s="83">
        <v>1</v>
      </c>
      <c r="CS306" s="83" t="s">
        <v>88</v>
      </c>
      <c r="CT306" s="83">
        <v>1</v>
      </c>
      <c r="CV306" s="83" t="s">
        <v>88</v>
      </c>
      <c r="CW306" s="83">
        <v>1</v>
      </c>
    </row>
    <row r="308" spans="1:101" x14ac:dyDescent="0.2">
      <c r="A308" s="83" t="s">
        <v>89</v>
      </c>
      <c r="B308" s="83">
        <v>1</v>
      </c>
      <c r="D308" s="83" t="s">
        <v>89</v>
      </c>
      <c r="E308" s="83">
        <v>1</v>
      </c>
      <c r="G308" s="83" t="s">
        <v>89</v>
      </c>
      <c r="H308" s="83">
        <v>1</v>
      </c>
      <c r="J308" s="83" t="s">
        <v>89</v>
      </c>
      <c r="K308" s="83">
        <v>1</v>
      </c>
      <c r="M308" s="83" t="s">
        <v>89</v>
      </c>
      <c r="N308" s="83">
        <v>1</v>
      </c>
      <c r="P308" s="83" t="s">
        <v>89</v>
      </c>
      <c r="Q308" s="83">
        <v>1</v>
      </c>
      <c r="S308" s="83" t="s">
        <v>89</v>
      </c>
      <c r="T308" s="83">
        <v>1</v>
      </c>
      <c r="V308" s="83" t="s">
        <v>89</v>
      </c>
      <c r="W308" s="83">
        <v>1</v>
      </c>
      <c r="Y308" s="83" t="s">
        <v>89</v>
      </c>
      <c r="Z308" s="83">
        <v>1</v>
      </c>
      <c r="AB308" s="83" t="s">
        <v>89</v>
      </c>
      <c r="AC308" s="83">
        <v>1</v>
      </c>
      <c r="AE308" s="83" t="s">
        <v>89</v>
      </c>
      <c r="AF308" s="83">
        <v>1</v>
      </c>
      <c r="AH308" s="83" t="s">
        <v>89</v>
      </c>
      <c r="AI308" s="83">
        <v>1</v>
      </c>
      <c r="AK308" s="83" t="s">
        <v>89</v>
      </c>
      <c r="AL308" s="83">
        <v>1</v>
      </c>
      <c r="AN308" s="83" t="s">
        <v>89</v>
      </c>
      <c r="AO308" s="83">
        <v>1</v>
      </c>
      <c r="AQ308" s="83" t="s">
        <v>89</v>
      </c>
      <c r="AR308" s="83">
        <v>1</v>
      </c>
      <c r="AT308" s="83" t="s">
        <v>89</v>
      </c>
      <c r="AU308" s="83">
        <v>1</v>
      </c>
      <c r="AW308" s="83" t="s">
        <v>89</v>
      </c>
      <c r="AX308" s="83">
        <v>1</v>
      </c>
      <c r="AZ308" s="83" t="s">
        <v>89</v>
      </c>
      <c r="BA308" s="83">
        <v>1</v>
      </c>
      <c r="BC308" s="83" t="s">
        <v>89</v>
      </c>
      <c r="BD308" s="83">
        <v>1</v>
      </c>
      <c r="BF308" s="83" t="s">
        <v>89</v>
      </c>
      <c r="BG308" s="83">
        <v>1</v>
      </c>
      <c r="BI308" s="83" t="s">
        <v>89</v>
      </c>
      <c r="BJ308" s="83">
        <v>1</v>
      </c>
      <c r="BL308" s="83" t="s">
        <v>89</v>
      </c>
      <c r="BM308" s="83">
        <v>1</v>
      </c>
      <c r="BO308" s="83" t="s">
        <v>89</v>
      </c>
      <c r="BP308" s="83">
        <v>1</v>
      </c>
      <c r="BR308" s="83" t="s">
        <v>89</v>
      </c>
      <c r="BS308" s="83">
        <v>1</v>
      </c>
      <c r="BU308" s="83" t="s">
        <v>89</v>
      </c>
      <c r="BV308" s="83">
        <v>1</v>
      </c>
      <c r="BX308" s="83" t="s">
        <v>89</v>
      </c>
      <c r="BY308" s="83">
        <v>1</v>
      </c>
      <c r="CA308" s="83" t="s">
        <v>89</v>
      </c>
      <c r="CB308" s="83">
        <v>1</v>
      </c>
      <c r="CD308" s="83" t="s">
        <v>89</v>
      </c>
      <c r="CE308" s="83">
        <v>1</v>
      </c>
      <c r="CG308" s="83" t="s">
        <v>89</v>
      </c>
      <c r="CH308" s="83">
        <v>1</v>
      </c>
      <c r="CJ308" s="83" t="s">
        <v>89</v>
      </c>
      <c r="CK308" s="83">
        <v>1</v>
      </c>
      <c r="CM308" s="83" t="s">
        <v>89</v>
      </c>
      <c r="CN308" s="83">
        <v>1</v>
      </c>
      <c r="CP308" s="83" t="s">
        <v>89</v>
      </c>
      <c r="CQ308" s="83">
        <v>1</v>
      </c>
      <c r="CS308" s="83" t="s">
        <v>89</v>
      </c>
      <c r="CT308" s="83">
        <v>1</v>
      </c>
      <c r="CV308" s="83" t="s">
        <v>89</v>
      </c>
      <c r="CW308" s="83">
        <v>1</v>
      </c>
    </row>
    <row r="310" spans="1:101" x14ac:dyDescent="0.2">
      <c r="A310" s="83" t="s">
        <v>90</v>
      </c>
      <c r="B310" s="83">
        <v>1</v>
      </c>
      <c r="D310" s="83" t="s">
        <v>90</v>
      </c>
      <c r="E310" s="83">
        <v>1</v>
      </c>
      <c r="G310" s="83" t="s">
        <v>90</v>
      </c>
      <c r="H310" s="83">
        <v>1</v>
      </c>
      <c r="J310" s="83" t="s">
        <v>90</v>
      </c>
      <c r="K310" s="83">
        <v>1</v>
      </c>
      <c r="M310" s="83" t="s">
        <v>90</v>
      </c>
      <c r="N310" s="83">
        <v>1</v>
      </c>
      <c r="P310" s="83" t="s">
        <v>90</v>
      </c>
      <c r="Q310" s="83">
        <v>1</v>
      </c>
      <c r="S310" s="83" t="s">
        <v>90</v>
      </c>
      <c r="T310" s="83">
        <v>1</v>
      </c>
      <c r="V310" s="83" t="s">
        <v>90</v>
      </c>
      <c r="W310" s="83">
        <v>1</v>
      </c>
      <c r="Y310" s="83" t="s">
        <v>90</v>
      </c>
      <c r="Z310" s="83">
        <v>1</v>
      </c>
      <c r="AB310" s="83" t="s">
        <v>90</v>
      </c>
      <c r="AC310" s="83">
        <v>1</v>
      </c>
      <c r="AE310" s="83" t="s">
        <v>90</v>
      </c>
      <c r="AF310" s="83">
        <v>1</v>
      </c>
      <c r="AH310" s="83" t="s">
        <v>90</v>
      </c>
      <c r="AI310" s="83">
        <v>1</v>
      </c>
      <c r="AK310" s="83" t="s">
        <v>90</v>
      </c>
      <c r="AL310" s="83">
        <v>1</v>
      </c>
      <c r="AN310" s="83" t="s">
        <v>90</v>
      </c>
      <c r="AO310" s="83">
        <v>1</v>
      </c>
      <c r="AQ310" s="83" t="s">
        <v>90</v>
      </c>
      <c r="AR310" s="83">
        <v>1</v>
      </c>
      <c r="AT310" s="83" t="s">
        <v>90</v>
      </c>
      <c r="AU310" s="83">
        <v>1</v>
      </c>
      <c r="AW310" s="83" t="s">
        <v>90</v>
      </c>
      <c r="AX310" s="83">
        <v>1</v>
      </c>
      <c r="AZ310" s="83" t="s">
        <v>90</v>
      </c>
      <c r="BA310" s="83">
        <v>1</v>
      </c>
      <c r="BC310" s="83" t="s">
        <v>90</v>
      </c>
      <c r="BD310" s="83">
        <v>1</v>
      </c>
      <c r="BF310" s="83" t="s">
        <v>90</v>
      </c>
      <c r="BG310" s="83">
        <v>1</v>
      </c>
      <c r="BI310" s="83" t="s">
        <v>90</v>
      </c>
      <c r="BJ310" s="83">
        <v>1</v>
      </c>
      <c r="BL310" s="83" t="s">
        <v>90</v>
      </c>
      <c r="BM310" s="83">
        <v>1</v>
      </c>
      <c r="BO310" s="83" t="s">
        <v>90</v>
      </c>
      <c r="BP310" s="83">
        <v>1</v>
      </c>
      <c r="BR310" s="83" t="s">
        <v>90</v>
      </c>
      <c r="BS310" s="83">
        <v>1</v>
      </c>
      <c r="BU310" s="83" t="s">
        <v>90</v>
      </c>
      <c r="BV310" s="83">
        <v>1</v>
      </c>
      <c r="BX310" s="83" t="s">
        <v>90</v>
      </c>
      <c r="BY310" s="83">
        <v>1</v>
      </c>
      <c r="CA310" s="83" t="s">
        <v>90</v>
      </c>
      <c r="CB310" s="83">
        <v>1</v>
      </c>
      <c r="CD310" s="83" t="s">
        <v>90</v>
      </c>
      <c r="CE310" s="83">
        <v>1</v>
      </c>
      <c r="CG310" s="83" t="s">
        <v>90</v>
      </c>
      <c r="CH310" s="83">
        <v>1</v>
      </c>
      <c r="CJ310" s="83" t="s">
        <v>90</v>
      </c>
      <c r="CK310" s="83">
        <v>1</v>
      </c>
      <c r="CM310" s="83" t="s">
        <v>90</v>
      </c>
      <c r="CN310" s="83">
        <v>1</v>
      </c>
      <c r="CP310" s="83" t="s">
        <v>90</v>
      </c>
      <c r="CQ310" s="83">
        <v>1</v>
      </c>
      <c r="CS310" s="83" t="s">
        <v>90</v>
      </c>
      <c r="CT310" s="83">
        <v>1</v>
      </c>
      <c r="CV310" s="83" t="s">
        <v>90</v>
      </c>
      <c r="CW310" s="83">
        <v>1</v>
      </c>
    </row>
    <row r="312" spans="1:101" x14ac:dyDescent="0.2">
      <c r="A312" s="83" t="s">
        <v>153</v>
      </c>
      <c r="B312" s="83">
        <v>1</v>
      </c>
      <c r="D312" s="83" t="s">
        <v>153</v>
      </c>
      <c r="E312" s="83">
        <v>1</v>
      </c>
      <c r="G312" s="83" t="s">
        <v>153</v>
      </c>
      <c r="H312" s="83">
        <v>1</v>
      </c>
      <c r="J312" s="83" t="s">
        <v>153</v>
      </c>
      <c r="K312" s="83">
        <v>1</v>
      </c>
      <c r="M312" s="83" t="s">
        <v>153</v>
      </c>
      <c r="N312" s="83">
        <v>1</v>
      </c>
      <c r="P312" s="83" t="s">
        <v>153</v>
      </c>
      <c r="Q312" s="83">
        <v>1</v>
      </c>
      <c r="S312" s="83" t="s">
        <v>153</v>
      </c>
      <c r="T312" s="83">
        <v>1</v>
      </c>
      <c r="V312" s="83" t="s">
        <v>153</v>
      </c>
      <c r="W312" s="83">
        <v>1</v>
      </c>
      <c r="Y312" s="83" t="s">
        <v>153</v>
      </c>
      <c r="Z312" s="83">
        <v>1</v>
      </c>
      <c r="AB312" s="83" t="s">
        <v>153</v>
      </c>
      <c r="AC312" s="83">
        <v>1</v>
      </c>
      <c r="AE312" s="83" t="s">
        <v>153</v>
      </c>
      <c r="AF312" s="83">
        <v>1</v>
      </c>
      <c r="AH312" s="83" t="s">
        <v>153</v>
      </c>
      <c r="AI312" s="83">
        <v>1</v>
      </c>
      <c r="AK312" s="83" t="s">
        <v>153</v>
      </c>
      <c r="AL312" s="83">
        <v>1</v>
      </c>
      <c r="AN312" s="83" t="s">
        <v>153</v>
      </c>
      <c r="AO312" s="83">
        <v>1</v>
      </c>
      <c r="AQ312" s="83" t="s">
        <v>153</v>
      </c>
      <c r="AR312" s="83">
        <v>1</v>
      </c>
      <c r="AT312" s="83" t="s">
        <v>153</v>
      </c>
      <c r="AU312" s="83">
        <v>1</v>
      </c>
      <c r="AW312" s="83" t="s">
        <v>153</v>
      </c>
      <c r="AX312" s="83">
        <v>1</v>
      </c>
      <c r="AZ312" s="83" t="s">
        <v>153</v>
      </c>
      <c r="BA312" s="83">
        <v>1</v>
      </c>
      <c r="BC312" s="83" t="s">
        <v>153</v>
      </c>
      <c r="BD312" s="83">
        <v>1</v>
      </c>
      <c r="BF312" s="83" t="s">
        <v>153</v>
      </c>
      <c r="BG312" s="83">
        <v>1</v>
      </c>
      <c r="BI312" s="83" t="s">
        <v>153</v>
      </c>
      <c r="BJ312" s="83">
        <v>1</v>
      </c>
      <c r="BL312" s="83" t="s">
        <v>153</v>
      </c>
      <c r="BM312" s="83">
        <v>1</v>
      </c>
      <c r="BO312" s="83" t="s">
        <v>153</v>
      </c>
      <c r="BP312" s="83">
        <v>1</v>
      </c>
      <c r="BR312" s="83" t="s">
        <v>153</v>
      </c>
      <c r="BS312" s="83">
        <v>1</v>
      </c>
      <c r="BU312" s="83" t="s">
        <v>153</v>
      </c>
      <c r="BV312" s="83">
        <v>1</v>
      </c>
      <c r="BX312" s="83" t="s">
        <v>153</v>
      </c>
      <c r="BY312" s="83">
        <v>1</v>
      </c>
      <c r="CA312" s="83" t="s">
        <v>153</v>
      </c>
      <c r="CB312" s="83">
        <v>1</v>
      </c>
      <c r="CD312" s="83" t="s">
        <v>153</v>
      </c>
      <c r="CE312" s="83">
        <v>1</v>
      </c>
      <c r="CG312" s="83" t="s">
        <v>153</v>
      </c>
      <c r="CH312" s="83">
        <v>1</v>
      </c>
      <c r="CJ312" s="83" t="s">
        <v>153</v>
      </c>
      <c r="CK312" s="83">
        <v>1</v>
      </c>
      <c r="CM312" s="83" t="s">
        <v>153</v>
      </c>
      <c r="CN312" s="83">
        <v>1</v>
      </c>
      <c r="CP312" s="83" t="s">
        <v>153</v>
      </c>
      <c r="CQ312" s="83">
        <v>1</v>
      </c>
      <c r="CS312" s="83" t="s">
        <v>153</v>
      </c>
      <c r="CT312" s="83">
        <v>1</v>
      </c>
      <c r="CV312" s="83" t="s">
        <v>153</v>
      </c>
      <c r="CW312" s="83">
        <v>1</v>
      </c>
    </row>
    <row r="314" spans="1:101" x14ac:dyDescent="0.2">
      <c r="A314" s="83" t="s">
        <v>154</v>
      </c>
      <c r="B314" s="83">
        <v>1</v>
      </c>
      <c r="D314" s="83" t="s">
        <v>154</v>
      </c>
      <c r="E314" s="83">
        <v>1</v>
      </c>
      <c r="G314" s="83" t="s">
        <v>154</v>
      </c>
      <c r="H314" s="83">
        <v>1</v>
      </c>
      <c r="J314" s="83" t="s">
        <v>154</v>
      </c>
      <c r="K314" s="83">
        <v>1</v>
      </c>
      <c r="M314" s="83" t="s">
        <v>154</v>
      </c>
      <c r="N314" s="83">
        <v>1</v>
      </c>
      <c r="P314" s="83" t="s">
        <v>154</v>
      </c>
      <c r="Q314" s="83">
        <v>1</v>
      </c>
      <c r="S314" s="83" t="s">
        <v>154</v>
      </c>
      <c r="T314" s="83">
        <v>1</v>
      </c>
      <c r="V314" s="83" t="s">
        <v>154</v>
      </c>
      <c r="W314" s="83">
        <v>1</v>
      </c>
      <c r="Y314" s="83" t="s">
        <v>154</v>
      </c>
      <c r="Z314" s="83">
        <v>1</v>
      </c>
      <c r="AB314" s="83" t="s">
        <v>154</v>
      </c>
      <c r="AC314" s="83">
        <v>1</v>
      </c>
      <c r="AE314" s="83" t="s">
        <v>154</v>
      </c>
      <c r="AF314" s="83">
        <v>1</v>
      </c>
      <c r="AH314" s="83" t="s">
        <v>154</v>
      </c>
      <c r="AI314" s="83">
        <v>1</v>
      </c>
      <c r="AK314" s="83" t="s">
        <v>154</v>
      </c>
      <c r="AL314" s="83">
        <v>1</v>
      </c>
      <c r="AN314" s="83" t="s">
        <v>154</v>
      </c>
      <c r="AO314" s="83">
        <v>1</v>
      </c>
      <c r="AQ314" s="83" t="s">
        <v>154</v>
      </c>
      <c r="AR314" s="83">
        <v>1</v>
      </c>
      <c r="AT314" s="83" t="s">
        <v>154</v>
      </c>
      <c r="AU314" s="83">
        <v>1</v>
      </c>
      <c r="AW314" s="83" t="s">
        <v>154</v>
      </c>
      <c r="AX314" s="83">
        <v>1</v>
      </c>
      <c r="AZ314" s="83" t="s">
        <v>154</v>
      </c>
      <c r="BA314" s="83">
        <v>1</v>
      </c>
      <c r="BC314" s="83" t="s">
        <v>154</v>
      </c>
      <c r="BD314" s="83">
        <v>1</v>
      </c>
      <c r="BF314" s="83" t="s">
        <v>154</v>
      </c>
      <c r="BG314" s="83">
        <v>1</v>
      </c>
      <c r="BI314" s="83" t="s">
        <v>154</v>
      </c>
      <c r="BJ314" s="83">
        <v>1</v>
      </c>
      <c r="BL314" s="83" t="s">
        <v>154</v>
      </c>
      <c r="BM314" s="83">
        <v>1</v>
      </c>
      <c r="BO314" s="83" t="s">
        <v>154</v>
      </c>
      <c r="BP314" s="83">
        <v>1</v>
      </c>
      <c r="BR314" s="83" t="s">
        <v>154</v>
      </c>
      <c r="BS314" s="83">
        <v>1</v>
      </c>
      <c r="BU314" s="83" t="s">
        <v>154</v>
      </c>
      <c r="BV314" s="83">
        <v>1</v>
      </c>
      <c r="BX314" s="83" t="s">
        <v>154</v>
      </c>
      <c r="BY314" s="83">
        <v>1</v>
      </c>
      <c r="CA314" s="83" t="s">
        <v>154</v>
      </c>
      <c r="CB314" s="83">
        <v>1</v>
      </c>
      <c r="CD314" s="83" t="s">
        <v>154</v>
      </c>
      <c r="CE314" s="83">
        <v>1</v>
      </c>
      <c r="CG314" s="83" t="s">
        <v>154</v>
      </c>
      <c r="CH314" s="83">
        <v>1</v>
      </c>
      <c r="CJ314" s="83" t="s">
        <v>154</v>
      </c>
      <c r="CK314" s="83">
        <v>1</v>
      </c>
      <c r="CM314" s="83" t="s">
        <v>154</v>
      </c>
      <c r="CN314" s="83">
        <v>1</v>
      </c>
      <c r="CP314" s="83" t="s">
        <v>154</v>
      </c>
      <c r="CQ314" s="83">
        <v>1</v>
      </c>
      <c r="CS314" s="83" t="s">
        <v>154</v>
      </c>
      <c r="CT314" s="83">
        <v>1</v>
      </c>
      <c r="CV314" s="83" t="s">
        <v>154</v>
      </c>
      <c r="CW314" s="83">
        <v>1</v>
      </c>
    </row>
    <row r="316" spans="1:101" x14ac:dyDescent="0.2">
      <c r="A316" s="83" t="s">
        <v>251</v>
      </c>
      <c r="B316" s="83">
        <v>1</v>
      </c>
      <c r="D316" s="83" t="s">
        <v>251</v>
      </c>
      <c r="E316" s="83">
        <v>1</v>
      </c>
      <c r="G316" s="83" t="s">
        <v>251</v>
      </c>
      <c r="H316" s="83">
        <v>1</v>
      </c>
      <c r="J316" s="83" t="s">
        <v>251</v>
      </c>
      <c r="K316" s="83">
        <v>1</v>
      </c>
      <c r="M316" s="83" t="s">
        <v>251</v>
      </c>
      <c r="N316" s="83">
        <v>1</v>
      </c>
      <c r="P316" s="83" t="s">
        <v>251</v>
      </c>
      <c r="Q316" s="83">
        <v>1</v>
      </c>
      <c r="S316" s="83" t="s">
        <v>251</v>
      </c>
      <c r="T316" s="83">
        <v>1</v>
      </c>
      <c r="V316" s="83" t="s">
        <v>251</v>
      </c>
      <c r="W316" s="83">
        <v>1</v>
      </c>
      <c r="Y316" s="83" t="s">
        <v>251</v>
      </c>
      <c r="Z316" s="83">
        <v>1</v>
      </c>
      <c r="AB316" s="83" t="s">
        <v>251</v>
      </c>
      <c r="AC316" s="83">
        <v>1</v>
      </c>
      <c r="AE316" s="83" t="s">
        <v>251</v>
      </c>
      <c r="AF316" s="83">
        <v>1</v>
      </c>
      <c r="AH316" s="83" t="s">
        <v>251</v>
      </c>
      <c r="AI316" s="83">
        <v>1</v>
      </c>
      <c r="AK316" s="83" t="s">
        <v>251</v>
      </c>
      <c r="AL316" s="83">
        <v>1</v>
      </c>
      <c r="AN316" s="83" t="s">
        <v>251</v>
      </c>
      <c r="AO316" s="83">
        <v>1</v>
      </c>
      <c r="AQ316" s="83" t="s">
        <v>251</v>
      </c>
      <c r="AR316" s="83">
        <v>1</v>
      </c>
      <c r="AT316" s="83" t="s">
        <v>251</v>
      </c>
      <c r="AU316" s="83">
        <v>1</v>
      </c>
      <c r="AW316" s="83" t="s">
        <v>251</v>
      </c>
      <c r="AX316" s="83">
        <v>1</v>
      </c>
      <c r="AZ316" s="83" t="s">
        <v>251</v>
      </c>
      <c r="BA316" s="83">
        <v>1</v>
      </c>
      <c r="BC316" s="83" t="s">
        <v>251</v>
      </c>
      <c r="BD316" s="83">
        <v>1</v>
      </c>
      <c r="BF316" s="83" t="s">
        <v>251</v>
      </c>
      <c r="BG316" s="83">
        <v>1</v>
      </c>
      <c r="BI316" s="83" t="s">
        <v>251</v>
      </c>
      <c r="BJ316" s="83">
        <v>1</v>
      </c>
      <c r="BL316" s="83" t="s">
        <v>251</v>
      </c>
      <c r="BM316" s="83">
        <v>1</v>
      </c>
      <c r="BO316" s="83" t="s">
        <v>251</v>
      </c>
      <c r="BP316" s="83">
        <v>1</v>
      </c>
      <c r="BR316" s="83" t="s">
        <v>251</v>
      </c>
      <c r="BS316" s="83">
        <v>1</v>
      </c>
      <c r="BU316" s="83" t="s">
        <v>251</v>
      </c>
      <c r="BV316" s="83">
        <v>1</v>
      </c>
      <c r="BX316" s="83" t="s">
        <v>251</v>
      </c>
      <c r="BY316" s="83">
        <v>1</v>
      </c>
      <c r="CA316" s="83" t="s">
        <v>251</v>
      </c>
      <c r="CB316" s="83">
        <v>1</v>
      </c>
      <c r="CD316" s="83" t="s">
        <v>251</v>
      </c>
      <c r="CE316" s="83">
        <v>1</v>
      </c>
      <c r="CG316" s="83" t="s">
        <v>251</v>
      </c>
      <c r="CH316" s="83">
        <v>1</v>
      </c>
      <c r="CJ316" s="83" t="s">
        <v>251</v>
      </c>
      <c r="CK316" s="83">
        <v>1</v>
      </c>
      <c r="CM316" s="83" t="s">
        <v>251</v>
      </c>
      <c r="CN316" s="83">
        <v>1</v>
      </c>
      <c r="CP316" s="83" t="s">
        <v>251</v>
      </c>
      <c r="CQ316" s="83">
        <v>1</v>
      </c>
      <c r="CS316" s="83" t="s">
        <v>251</v>
      </c>
      <c r="CT316" s="83">
        <v>1</v>
      </c>
      <c r="CV316" s="83" t="s">
        <v>251</v>
      </c>
      <c r="CW316" s="83">
        <v>1</v>
      </c>
    </row>
    <row r="320" spans="1:101" x14ac:dyDescent="0.2">
      <c r="A320" s="83" t="s">
        <v>88</v>
      </c>
      <c r="B320" s="83">
        <v>1</v>
      </c>
      <c r="D320" s="83" t="s">
        <v>88</v>
      </c>
      <c r="E320" s="83">
        <v>1</v>
      </c>
      <c r="G320" s="83" t="s">
        <v>88</v>
      </c>
      <c r="H320" s="83">
        <v>1</v>
      </c>
      <c r="J320" s="83" t="s">
        <v>88</v>
      </c>
      <c r="K320" s="83">
        <v>1</v>
      </c>
      <c r="M320" s="83" t="s">
        <v>88</v>
      </c>
      <c r="N320" s="83">
        <v>1</v>
      </c>
      <c r="P320" s="83" t="s">
        <v>88</v>
      </c>
      <c r="Q320" s="83">
        <v>1</v>
      </c>
      <c r="S320" s="83" t="s">
        <v>88</v>
      </c>
      <c r="T320" s="83">
        <v>1</v>
      </c>
      <c r="V320" s="83" t="s">
        <v>88</v>
      </c>
      <c r="W320" s="83">
        <v>1</v>
      </c>
      <c r="Y320" s="83" t="s">
        <v>88</v>
      </c>
      <c r="Z320" s="83">
        <v>1</v>
      </c>
      <c r="AB320" s="83" t="s">
        <v>88</v>
      </c>
      <c r="AC320" s="83">
        <v>1</v>
      </c>
      <c r="AE320" s="83" t="s">
        <v>88</v>
      </c>
      <c r="AF320" s="83">
        <v>1</v>
      </c>
      <c r="AH320" s="83" t="s">
        <v>88</v>
      </c>
      <c r="AI320" s="83">
        <v>1</v>
      </c>
      <c r="AK320" s="83" t="s">
        <v>88</v>
      </c>
      <c r="AL320" s="83">
        <v>1</v>
      </c>
      <c r="AN320" s="83" t="s">
        <v>88</v>
      </c>
      <c r="AO320" s="83">
        <v>1</v>
      </c>
      <c r="AQ320" s="83" t="s">
        <v>88</v>
      </c>
      <c r="AR320" s="83">
        <v>1</v>
      </c>
      <c r="AT320" s="83" t="s">
        <v>88</v>
      </c>
      <c r="AU320" s="83">
        <v>1</v>
      </c>
      <c r="AW320" s="83" t="s">
        <v>88</v>
      </c>
      <c r="AX320" s="83">
        <v>1</v>
      </c>
      <c r="AZ320" s="83" t="s">
        <v>88</v>
      </c>
      <c r="BA320" s="83">
        <v>1</v>
      </c>
      <c r="BC320" s="83" t="s">
        <v>88</v>
      </c>
      <c r="BD320" s="83">
        <v>1</v>
      </c>
      <c r="BF320" s="83" t="s">
        <v>88</v>
      </c>
      <c r="BG320" s="83">
        <v>1</v>
      </c>
      <c r="BI320" s="83" t="s">
        <v>88</v>
      </c>
      <c r="BJ320" s="83">
        <v>1</v>
      </c>
      <c r="BL320" s="83" t="s">
        <v>88</v>
      </c>
      <c r="BM320" s="83">
        <v>1</v>
      </c>
      <c r="BO320" s="83" t="s">
        <v>88</v>
      </c>
      <c r="BP320" s="83">
        <v>1</v>
      </c>
      <c r="BR320" s="83" t="s">
        <v>88</v>
      </c>
      <c r="BS320" s="83">
        <v>1</v>
      </c>
      <c r="BU320" s="83" t="s">
        <v>88</v>
      </c>
      <c r="BV320" s="83">
        <v>1</v>
      </c>
      <c r="BX320" s="83" t="s">
        <v>88</v>
      </c>
      <c r="BY320" s="83">
        <v>1</v>
      </c>
      <c r="CA320" s="83" t="s">
        <v>88</v>
      </c>
      <c r="CB320" s="83">
        <v>1</v>
      </c>
      <c r="CD320" s="83" t="s">
        <v>88</v>
      </c>
      <c r="CE320" s="83">
        <v>1</v>
      </c>
      <c r="CG320" s="83" t="s">
        <v>88</v>
      </c>
      <c r="CH320" s="83">
        <v>1</v>
      </c>
      <c r="CJ320" s="83" t="s">
        <v>88</v>
      </c>
      <c r="CK320" s="83">
        <v>1</v>
      </c>
      <c r="CM320" s="83" t="s">
        <v>88</v>
      </c>
      <c r="CN320" s="83">
        <v>1</v>
      </c>
      <c r="CP320" s="83" t="s">
        <v>88</v>
      </c>
      <c r="CQ320" s="83">
        <v>1</v>
      </c>
      <c r="CS320" s="83" t="s">
        <v>88</v>
      </c>
      <c r="CT320" s="83">
        <v>1</v>
      </c>
      <c r="CV320" s="83" t="s">
        <v>88</v>
      </c>
      <c r="CW320" s="83">
        <v>1</v>
      </c>
    </row>
    <row r="322" spans="1:101" x14ac:dyDescent="0.2">
      <c r="A322" s="83" t="s">
        <v>89</v>
      </c>
      <c r="B322" s="83">
        <v>1</v>
      </c>
      <c r="D322" s="83" t="s">
        <v>89</v>
      </c>
      <c r="E322" s="83">
        <v>1</v>
      </c>
      <c r="G322" s="83" t="s">
        <v>89</v>
      </c>
      <c r="H322" s="83">
        <v>1</v>
      </c>
      <c r="J322" s="83" t="s">
        <v>89</v>
      </c>
      <c r="K322" s="83">
        <v>1</v>
      </c>
      <c r="M322" s="83" t="s">
        <v>89</v>
      </c>
      <c r="N322" s="83">
        <v>1</v>
      </c>
      <c r="P322" s="83" t="s">
        <v>89</v>
      </c>
      <c r="Q322" s="83">
        <v>1</v>
      </c>
      <c r="S322" s="83" t="s">
        <v>89</v>
      </c>
      <c r="T322" s="83">
        <v>1</v>
      </c>
      <c r="V322" s="83" t="s">
        <v>89</v>
      </c>
      <c r="W322" s="83">
        <v>1</v>
      </c>
      <c r="Y322" s="83" t="s">
        <v>89</v>
      </c>
      <c r="Z322" s="83">
        <v>1</v>
      </c>
      <c r="AB322" s="83" t="s">
        <v>89</v>
      </c>
      <c r="AC322" s="83">
        <v>1</v>
      </c>
      <c r="AE322" s="83" t="s">
        <v>89</v>
      </c>
      <c r="AF322" s="83">
        <v>1</v>
      </c>
      <c r="AH322" s="83" t="s">
        <v>89</v>
      </c>
      <c r="AI322" s="83">
        <v>1</v>
      </c>
      <c r="AK322" s="83" t="s">
        <v>89</v>
      </c>
      <c r="AL322" s="83">
        <v>1</v>
      </c>
      <c r="AN322" s="83" t="s">
        <v>89</v>
      </c>
      <c r="AO322" s="83">
        <v>1</v>
      </c>
      <c r="AQ322" s="83" t="s">
        <v>89</v>
      </c>
      <c r="AR322" s="83">
        <v>1</v>
      </c>
      <c r="AT322" s="83" t="s">
        <v>89</v>
      </c>
      <c r="AU322" s="83">
        <v>1</v>
      </c>
      <c r="AW322" s="83" t="s">
        <v>89</v>
      </c>
      <c r="AX322" s="83">
        <v>1</v>
      </c>
      <c r="AZ322" s="83" t="s">
        <v>89</v>
      </c>
      <c r="BA322" s="83">
        <v>1</v>
      </c>
      <c r="BC322" s="83" t="s">
        <v>89</v>
      </c>
      <c r="BD322" s="83">
        <v>1</v>
      </c>
      <c r="BF322" s="83" t="s">
        <v>89</v>
      </c>
      <c r="BG322" s="83">
        <v>1</v>
      </c>
      <c r="BI322" s="83" t="s">
        <v>89</v>
      </c>
      <c r="BJ322" s="83">
        <v>1</v>
      </c>
      <c r="BL322" s="83" t="s">
        <v>89</v>
      </c>
      <c r="BM322" s="83">
        <v>1</v>
      </c>
      <c r="BO322" s="83" t="s">
        <v>89</v>
      </c>
      <c r="BP322" s="83">
        <v>1</v>
      </c>
      <c r="BR322" s="83" t="s">
        <v>89</v>
      </c>
      <c r="BS322" s="83">
        <v>1</v>
      </c>
      <c r="BU322" s="83" t="s">
        <v>89</v>
      </c>
      <c r="BV322" s="83">
        <v>1</v>
      </c>
      <c r="BX322" s="83" t="s">
        <v>89</v>
      </c>
      <c r="BY322" s="83">
        <v>1</v>
      </c>
      <c r="CA322" s="83" t="s">
        <v>89</v>
      </c>
      <c r="CB322" s="83">
        <v>1</v>
      </c>
      <c r="CD322" s="83" t="s">
        <v>89</v>
      </c>
      <c r="CE322" s="83">
        <v>1</v>
      </c>
      <c r="CG322" s="83" t="s">
        <v>89</v>
      </c>
      <c r="CH322" s="83">
        <v>1</v>
      </c>
      <c r="CJ322" s="83" t="s">
        <v>89</v>
      </c>
      <c r="CK322" s="83">
        <v>1</v>
      </c>
      <c r="CM322" s="83" t="s">
        <v>89</v>
      </c>
      <c r="CN322" s="83">
        <v>1</v>
      </c>
      <c r="CP322" s="83" t="s">
        <v>89</v>
      </c>
      <c r="CQ322" s="83">
        <v>1</v>
      </c>
      <c r="CS322" s="83" t="s">
        <v>89</v>
      </c>
      <c r="CT322" s="83">
        <v>1</v>
      </c>
      <c r="CV322" s="83" t="s">
        <v>89</v>
      </c>
      <c r="CW322" s="83">
        <v>1</v>
      </c>
    </row>
    <row r="324" spans="1:101" x14ac:dyDescent="0.2">
      <c r="A324" s="83" t="s">
        <v>90</v>
      </c>
      <c r="B324" s="83">
        <v>1</v>
      </c>
      <c r="D324" s="83" t="s">
        <v>90</v>
      </c>
      <c r="E324" s="83">
        <v>1</v>
      </c>
      <c r="G324" s="83" t="s">
        <v>90</v>
      </c>
      <c r="H324" s="83">
        <v>1</v>
      </c>
      <c r="J324" s="83" t="s">
        <v>90</v>
      </c>
      <c r="K324" s="83">
        <v>1</v>
      </c>
      <c r="M324" s="83" t="s">
        <v>90</v>
      </c>
      <c r="N324" s="83">
        <v>1</v>
      </c>
      <c r="P324" s="83" t="s">
        <v>90</v>
      </c>
      <c r="Q324" s="83">
        <v>1</v>
      </c>
      <c r="S324" s="83" t="s">
        <v>90</v>
      </c>
      <c r="T324" s="83">
        <v>1</v>
      </c>
      <c r="V324" s="83" t="s">
        <v>90</v>
      </c>
      <c r="W324" s="83">
        <v>1</v>
      </c>
      <c r="Y324" s="83" t="s">
        <v>90</v>
      </c>
      <c r="Z324" s="83">
        <v>1</v>
      </c>
      <c r="AB324" s="83" t="s">
        <v>90</v>
      </c>
      <c r="AC324" s="83">
        <v>1</v>
      </c>
      <c r="AE324" s="83" t="s">
        <v>90</v>
      </c>
      <c r="AF324" s="83">
        <v>1</v>
      </c>
      <c r="AH324" s="83" t="s">
        <v>90</v>
      </c>
      <c r="AI324" s="83">
        <v>1</v>
      </c>
      <c r="AK324" s="83" t="s">
        <v>90</v>
      </c>
      <c r="AL324" s="83">
        <v>1</v>
      </c>
      <c r="AN324" s="83" t="s">
        <v>90</v>
      </c>
      <c r="AO324" s="83">
        <v>1</v>
      </c>
      <c r="AQ324" s="83" t="s">
        <v>90</v>
      </c>
      <c r="AR324" s="83">
        <v>1</v>
      </c>
      <c r="AT324" s="83" t="s">
        <v>90</v>
      </c>
      <c r="AU324" s="83">
        <v>1</v>
      </c>
      <c r="AW324" s="83" t="s">
        <v>90</v>
      </c>
      <c r="AX324" s="83">
        <v>1</v>
      </c>
      <c r="AZ324" s="83" t="s">
        <v>90</v>
      </c>
      <c r="BA324" s="83">
        <v>1</v>
      </c>
      <c r="BC324" s="83" t="s">
        <v>90</v>
      </c>
      <c r="BD324" s="83">
        <v>1</v>
      </c>
      <c r="BF324" s="83" t="s">
        <v>90</v>
      </c>
      <c r="BG324" s="83">
        <v>1</v>
      </c>
      <c r="BI324" s="83" t="s">
        <v>90</v>
      </c>
      <c r="BJ324" s="83">
        <v>1</v>
      </c>
      <c r="BL324" s="83" t="s">
        <v>90</v>
      </c>
      <c r="BM324" s="83">
        <v>1</v>
      </c>
      <c r="BO324" s="83" t="s">
        <v>90</v>
      </c>
      <c r="BP324" s="83">
        <v>1</v>
      </c>
      <c r="BR324" s="83" t="s">
        <v>90</v>
      </c>
      <c r="BS324" s="83">
        <v>1</v>
      </c>
      <c r="BU324" s="83" t="s">
        <v>90</v>
      </c>
      <c r="BV324" s="83">
        <v>1</v>
      </c>
      <c r="BX324" s="83" t="s">
        <v>90</v>
      </c>
      <c r="BY324" s="83">
        <v>1</v>
      </c>
      <c r="CA324" s="83" t="s">
        <v>90</v>
      </c>
      <c r="CB324" s="83">
        <v>1</v>
      </c>
      <c r="CD324" s="83" t="s">
        <v>90</v>
      </c>
      <c r="CE324" s="83">
        <v>1</v>
      </c>
      <c r="CG324" s="83" t="s">
        <v>90</v>
      </c>
      <c r="CH324" s="83">
        <v>1</v>
      </c>
      <c r="CJ324" s="83" t="s">
        <v>90</v>
      </c>
      <c r="CK324" s="83">
        <v>1</v>
      </c>
      <c r="CM324" s="83" t="s">
        <v>90</v>
      </c>
      <c r="CN324" s="83">
        <v>1</v>
      </c>
      <c r="CP324" s="83" t="s">
        <v>90</v>
      </c>
      <c r="CQ324" s="83">
        <v>1</v>
      </c>
      <c r="CS324" s="83" t="s">
        <v>90</v>
      </c>
      <c r="CT324" s="83">
        <v>1</v>
      </c>
      <c r="CV324" s="83" t="s">
        <v>90</v>
      </c>
      <c r="CW324" s="83">
        <v>1</v>
      </c>
    </row>
    <row r="326" spans="1:101" x14ac:dyDescent="0.2">
      <c r="A326" s="83" t="s">
        <v>153</v>
      </c>
      <c r="B326" s="83">
        <v>1</v>
      </c>
      <c r="D326" s="83" t="s">
        <v>153</v>
      </c>
      <c r="E326" s="83">
        <v>1</v>
      </c>
      <c r="G326" s="83" t="s">
        <v>153</v>
      </c>
      <c r="H326" s="83">
        <v>1</v>
      </c>
      <c r="J326" s="83" t="s">
        <v>153</v>
      </c>
      <c r="K326" s="83">
        <v>1</v>
      </c>
      <c r="M326" s="83" t="s">
        <v>153</v>
      </c>
      <c r="N326" s="83">
        <v>1</v>
      </c>
      <c r="P326" s="83" t="s">
        <v>153</v>
      </c>
      <c r="Q326" s="83">
        <v>1</v>
      </c>
      <c r="S326" s="83" t="s">
        <v>153</v>
      </c>
      <c r="T326" s="83">
        <v>1</v>
      </c>
      <c r="V326" s="83" t="s">
        <v>153</v>
      </c>
      <c r="W326" s="83">
        <v>1</v>
      </c>
      <c r="Y326" s="83" t="s">
        <v>153</v>
      </c>
      <c r="Z326" s="83">
        <v>1</v>
      </c>
      <c r="AB326" s="83" t="s">
        <v>153</v>
      </c>
      <c r="AC326" s="83">
        <v>1</v>
      </c>
      <c r="AE326" s="83" t="s">
        <v>153</v>
      </c>
      <c r="AF326" s="83">
        <v>1</v>
      </c>
      <c r="AH326" s="83" t="s">
        <v>153</v>
      </c>
      <c r="AI326" s="83">
        <v>1</v>
      </c>
      <c r="AK326" s="83" t="s">
        <v>153</v>
      </c>
      <c r="AL326" s="83">
        <v>1</v>
      </c>
      <c r="AN326" s="83" t="s">
        <v>153</v>
      </c>
      <c r="AO326" s="83">
        <v>1</v>
      </c>
      <c r="AQ326" s="83" t="s">
        <v>153</v>
      </c>
      <c r="AR326" s="83">
        <v>1</v>
      </c>
      <c r="AT326" s="83" t="s">
        <v>153</v>
      </c>
      <c r="AU326" s="83">
        <v>1</v>
      </c>
      <c r="AW326" s="83" t="s">
        <v>153</v>
      </c>
      <c r="AX326" s="83">
        <v>1</v>
      </c>
      <c r="AZ326" s="83" t="s">
        <v>153</v>
      </c>
      <c r="BA326" s="83">
        <v>1</v>
      </c>
      <c r="BC326" s="83" t="s">
        <v>153</v>
      </c>
      <c r="BD326" s="83">
        <v>1</v>
      </c>
      <c r="BF326" s="83" t="s">
        <v>153</v>
      </c>
      <c r="BG326" s="83">
        <v>1</v>
      </c>
      <c r="BI326" s="83" t="s">
        <v>153</v>
      </c>
      <c r="BJ326" s="83">
        <v>1</v>
      </c>
      <c r="BL326" s="83" t="s">
        <v>153</v>
      </c>
      <c r="BM326" s="83">
        <v>1</v>
      </c>
      <c r="BO326" s="83" t="s">
        <v>153</v>
      </c>
      <c r="BP326" s="83">
        <v>1</v>
      </c>
      <c r="BR326" s="83" t="s">
        <v>153</v>
      </c>
      <c r="BS326" s="83">
        <v>1</v>
      </c>
      <c r="BU326" s="83" t="s">
        <v>153</v>
      </c>
      <c r="BV326" s="83">
        <v>1</v>
      </c>
      <c r="BX326" s="83" t="s">
        <v>153</v>
      </c>
      <c r="BY326" s="83">
        <v>1</v>
      </c>
      <c r="CA326" s="83" t="s">
        <v>153</v>
      </c>
      <c r="CB326" s="83">
        <v>1</v>
      </c>
      <c r="CD326" s="83" t="s">
        <v>153</v>
      </c>
      <c r="CE326" s="83">
        <v>1</v>
      </c>
      <c r="CG326" s="83" t="s">
        <v>153</v>
      </c>
      <c r="CH326" s="83">
        <v>1</v>
      </c>
      <c r="CJ326" s="83" t="s">
        <v>153</v>
      </c>
      <c r="CK326" s="83">
        <v>1</v>
      </c>
      <c r="CM326" s="83" t="s">
        <v>153</v>
      </c>
      <c r="CN326" s="83">
        <v>1</v>
      </c>
      <c r="CP326" s="83" t="s">
        <v>153</v>
      </c>
      <c r="CQ326" s="83">
        <v>1</v>
      </c>
      <c r="CS326" s="83" t="s">
        <v>153</v>
      </c>
      <c r="CT326" s="83">
        <v>1</v>
      </c>
      <c r="CV326" s="83" t="s">
        <v>153</v>
      </c>
      <c r="CW326" s="83">
        <v>1</v>
      </c>
    </row>
    <row r="328" spans="1:101" x14ac:dyDescent="0.2">
      <c r="A328" s="83" t="s">
        <v>154</v>
      </c>
      <c r="B328" s="83">
        <v>1</v>
      </c>
      <c r="D328" s="83" t="s">
        <v>154</v>
      </c>
      <c r="E328" s="83">
        <v>1</v>
      </c>
      <c r="G328" s="83" t="s">
        <v>154</v>
      </c>
      <c r="H328" s="83">
        <v>1</v>
      </c>
      <c r="J328" s="83" t="s">
        <v>154</v>
      </c>
      <c r="K328" s="83">
        <v>1</v>
      </c>
      <c r="M328" s="83" t="s">
        <v>154</v>
      </c>
      <c r="N328" s="83">
        <v>1</v>
      </c>
      <c r="P328" s="83" t="s">
        <v>154</v>
      </c>
      <c r="Q328" s="83">
        <v>1</v>
      </c>
      <c r="S328" s="83" t="s">
        <v>154</v>
      </c>
      <c r="T328" s="83">
        <v>1</v>
      </c>
      <c r="V328" s="83" t="s">
        <v>154</v>
      </c>
      <c r="W328" s="83">
        <v>1</v>
      </c>
      <c r="Y328" s="83" t="s">
        <v>154</v>
      </c>
      <c r="Z328" s="83">
        <v>1</v>
      </c>
      <c r="AB328" s="83" t="s">
        <v>154</v>
      </c>
      <c r="AC328" s="83">
        <v>1</v>
      </c>
      <c r="AE328" s="83" t="s">
        <v>154</v>
      </c>
      <c r="AF328" s="83">
        <v>1</v>
      </c>
      <c r="AH328" s="83" t="s">
        <v>154</v>
      </c>
      <c r="AI328" s="83">
        <v>1</v>
      </c>
      <c r="AK328" s="83" t="s">
        <v>154</v>
      </c>
      <c r="AL328" s="83">
        <v>1</v>
      </c>
      <c r="AN328" s="83" t="s">
        <v>154</v>
      </c>
      <c r="AO328" s="83">
        <v>1</v>
      </c>
      <c r="AQ328" s="83" t="s">
        <v>154</v>
      </c>
      <c r="AR328" s="83">
        <v>1</v>
      </c>
      <c r="AT328" s="83" t="s">
        <v>154</v>
      </c>
      <c r="AU328" s="83">
        <v>1</v>
      </c>
      <c r="AW328" s="83" t="s">
        <v>154</v>
      </c>
      <c r="AX328" s="83">
        <v>1</v>
      </c>
      <c r="AZ328" s="83" t="s">
        <v>154</v>
      </c>
      <c r="BA328" s="83">
        <v>1</v>
      </c>
      <c r="BC328" s="83" t="s">
        <v>154</v>
      </c>
      <c r="BD328" s="83">
        <v>1</v>
      </c>
      <c r="BF328" s="83" t="s">
        <v>154</v>
      </c>
      <c r="BG328" s="83">
        <v>1</v>
      </c>
      <c r="BI328" s="83" t="s">
        <v>154</v>
      </c>
      <c r="BJ328" s="83">
        <v>1</v>
      </c>
      <c r="BL328" s="83" t="s">
        <v>154</v>
      </c>
      <c r="BM328" s="83">
        <v>1</v>
      </c>
      <c r="BO328" s="83" t="s">
        <v>154</v>
      </c>
      <c r="BP328" s="83">
        <v>1</v>
      </c>
      <c r="BR328" s="83" t="s">
        <v>154</v>
      </c>
      <c r="BS328" s="83">
        <v>1</v>
      </c>
      <c r="BU328" s="83" t="s">
        <v>154</v>
      </c>
      <c r="BV328" s="83">
        <v>1</v>
      </c>
      <c r="BX328" s="83" t="s">
        <v>154</v>
      </c>
      <c r="BY328" s="83">
        <v>1</v>
      </c>
      <c r="CA328" s="83" t="s">
        <v>154</v>
      </c>
      <c r="CB328" s="83">
        <v>1</v>
      </c>
      <c r="CD328" s="83" t="s">
        <v>154</v>
      </c>
      <c r="CE328" s="83">
        <v>1</v>
      </c>
      <c r="CG328" s="83" t="s">
        <v>154</v>
      </c>
      <c r="CH328" s="83">
        <v>1</v>
      </c>
      <c r="CJ328" s="83" t="s">
        <v>154</v>
      </c>
      <c r="CK328" s="83">
        <v>1</v>
      </c>
      <c r="CM328" s="83" t="s">
        <v>154</v>
      </c>
      <c r="CN328" s="83">
        <v>1</v>
      </c>
      <c r="CP328" s="83" t="s">
        <v>154</v>
      </c>
      <c r="CQ328" s="83">
        <v>1</v>
      </c>
      <c r="CS328" s="83" t="s">
        <v>154</v>
      </c>
      <c r="CT328" s="83">
        <v>1</v>
      </c>
      <c r="CV328" s="83" t="s">
        <v>154</v>
      </c>
      <c r="CW328" s="8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heetViews>
  <sheetFormatPr defaultRowHeight="12.75" x14ac:dyDescent="0.2"/>
  <cols>
    <col min="1" max="1" width="9.28515625" style="83" bestFit="1" customWidth="1"/>
    <col min="2" max="2" width="13.7109375" style="83" customWidth="1"/>
    <col min="3" max="3" width="11.5703125" style="83" customWidth="1"/>
    <col min="4" max="5" width="12.42578125" style="83" bestFit="1" customWidth="1"/>
    <col min="6" max="6" width="9.28515625" style="83" bestFit="1" customWidth="1"/>
    <col min="7" max="7" width="12.42578125" style="83" bestFit="1" customWidth="1"/>
    <col min="8" max="8" width="12.42578125" style="83" customWidth="1"/>
    <col min="9" max="9" width="9.28515625" style="83" bestFit="1" customWidth="1"/>
    <col min="10" max="16384" width="9.140625" style="83"/>
  </cols>
  <sheetData>
    <row r="1" spans="1:26" ht="38.25" x14ac:dyDescent="0.2">
      <c r="A1" s="171" t="s">
        <v>275</v>
      </c>
      <c r="B1" s="171" t="s">
        <v>55</v>
      </c>
      <c r="C1" s="171" t="s">
        <v>56</v>
      </c>
      <c r="D1" s="171" t="s">
        <v>180</v>
      </c>
      <c r="E1" s="171" t="s">
        <v>181</v>
      </c>
      <c r="F1" s="171" t="s">
        <v>301</v>
      </c>
      <c r="G1" s="171" t="s">
        <v>11</v>
      </c>
      <c r="H1" s="171" t="s">
        <v>278</v>
      </c>
      <c r="I1" s="171" t="s">
        <v>277</v>
      </c>
      <c r="J1" s="171" t="s">
        <v>308</v>
      </c>
      <c r="K1" s="172"/>
      <c r="L1" s="172"/>
      <c r="M1" s="172"/>
      <c r="N1" s="172"/>
      <c r="O1" s="172"/>
      <c r="P1" s="172"/>
      <c r="Q1" s="172"/>
      <c r="R1" s="172"/>
      <c r="S1" s="172"/>
      <c r="T1" s="172"/>
      <c r="U1" s="172"/>
      <c r="V1" s="172"/>
      <c r="W1" s="172"/>
      <c r="X1" s="172"/>
      <c r="Y1" s="172"/>
      <c r="Z1" s="172"/>
    </row>
    <row r="2" spans="1:26" x14ac:dyDescent="0.2">
      <c r="A2" s="173">
        <f>Calc!A9</f>
        <v>4.99E-5</v>
      </c>
      <c r="B2" s="173">
        <f>Calc!B9</f>
        <v>1.2362200000000001</v>
      </c>
      <c r="C2" s="173">
        <f>Calc!C9</f>
        <v>0.36374400000000001</v>
      </c>
      <c r="D2" s="173">
        <f>Calc!I9</f>
        <v>8984270978808332</v>
      </c>
      <c r="E2" s="173">
        <f>Calc!P9</f>
        <v>0</v>
      </c>
      <c r="F2" s="174">
        <f>Calc!S9</f>
        <v>0</v>
      </c>
      <c r="G2" s="173">
        <f>Calc!O9</f>
        <v>8984270978808332</v>
      </c>
      <c r="H2" s="175" t="str">
        <f>Calc!X9</f>
        <v/>
      </c>
      <c r="I2" s="175" t="str">
        <f>Calc!Y9</f>
        <v/>
      </c>
      <c r="J2" s="176">
        <f>Calc!AE9</f>
        <v>1313.5998438240799</v>
      </c>
      <c r="K2" s="172"/>
      <c r="L2" s="172"/>
      <c r="M2" s="172"/>
      <c r="N2" s="172"/>
      <c r="O2" s="172"/>
      <c r="P2" s="172"/>
      <c r="Q2" s="172"/>
      <c r="R2" s="172"/>
      <c r="S2" s="172"/>
      <c r="T2" s="172"/>
      <c r="U2" s="172"/>
      <c r="V2" s="172"/>
      <c r="W2" s="172"/>
      <c r="X2" s="172"/>
      <c r="Y2" s="172"/>
      <c r="Z2" s="172"/>
    </row>
    <row r="3" spans="1:26" x14ac:dyDescent="0.2">
      <c r="A3" s="173">
        <f>Calc!A10</f>
        <v>1.4990000000000001E-4</v>
      </c>
      <c r="B3" s="173">
        <f>Calc!B10</f>
        <v>4.0390300000000003</v>
      </c>
      <c r="C3" s="173">
        <f>Calc!C10</f>
        <v>0.54524700000000004</v>
      </c>
      <c r="D3" s="173">
        <f>Calc!I10</f>
        <v>3.8619909260557984E+16</v>
      </c>
      <c r="E3" s="173">
        <f>Calc!P10</f>
        <v>0</v>
      </c>
      <c r="F3" s="174">
        <f>Calc!S10</f>
        <v>0</v>
      </c>
      <c r="G3" s="173">
        <f>Calc!O10</f>
        <v>3.8619909260557984E+16</v>
      </c>
      <c r="H3" s="175" t="str">
        <f>Calc!X10</f>
        <v/>
      </c>
      <c r="I3" s="175" t="str">
        <f>Calc!Y10</f>
        <v/>
      </c>
      <c r="J3" s="176">
        <f>Calc!AE10</f>
        <v>1039.2101195076484</v>
      </c>
    </row>
    <row r="4" spans="1:26" x14ac:dyDescent="0.2">
      <c r="A4" s="173">
        <f>Calc!A11</f>
        <v>2.499E-4</v>
      </c>
      <c r="B4" s="173">
        <f>Calc!B11</f>
        <v>4.9950299999999999</v>
      </c>
      <c r="C4" s="173">
        <f>Calc!C11</f>
        <v>0.614012</v>
      </c>
      <c r="D4" s="173">
        <f>Calc!I11</f>
        <v>5.1970380339175648E+16</v>
      </c>
      <c r="E4" s="173">
        <f>Calc!P11</f>
        <v>1.3417804507876878E-4</v>
      </c>
      <c r="F4" s="174">
        <f>Calc!S11</f>
        <v>2969.2561749393935</v>
      </c>
      <c r="G4" s="173">
        <f>Calc!O11</f>
        <v>5.1970380339175648E+16</v>
      </c>
      <c r="H4" s="175" t="str">
        <f>Calc!X11</f>
        <v/>
      </c>
      <c r="I4" s="175" t="str">
        <f>Calc!Y11</f>
        <v/>
      </c>
      <c r="J4" s="176">
        <f>Calc!AE11</f>
        <v>967.82006486851014</v>
      </c>
    </row>
    <row r="5" spans="1:26" x14ac:dyDescent="0.2">
      <c r="A5" s="173">
        <f>Calc!A12</f>
        <v>3.4989999999999999E-4</v>
      </c>
      <c r="B5" s="173">
        <f>Calc!B12</f>
        <v>4.9987599999999999</v>
      </c>
      <c r="C5" s="173">
        <f>Calc!C12</f>
        <v>0.629274</v>
      </c>
      <c r="D5" s="173">
        <f>Calc!I12</f>
        <v>5.2026036746357208E+16</v>
      </c>
      <c r="E5" s="173">
        <f>Calc!P12</f>
        <v>1.1021388823813468E-4</v>
      </c>
      <c r="F5" s="174">
        <f>Calc!S12</f>
        <v>4580.1305723687747</v>
      </c>
      <c r="G5" s="173">
        <f>Calc!O12</f>
        <v>5.2026036746357208E+16</v>
      </c>
      <c r="H5" s="175" t="str">
        <f>Calc!X12</f>
        <v/>
      </c>
      <c r="I5" s="175" t="str">
        <f>Calc!Y12</f>
        <v/>
      </c>
      <c r="J5" s="176">
        <f>Calc!AE12</f>
        <v>967.55651253268911</v>
      </c>
    </row>
    <row r="6" spans="1:26" x14ac:dyDescent="0.2">
      <c r="A6" s="173">
        <f>Calc!A13</f>
        <v>4.4989999999999999E-4</v>
      </c>
      <c r="B6" s="173">
        <f>Calc!B13</f>
        <v>4.9987599999999999</v>
      </c>
      <c r="C6" s="173">
        <f>Calc!C13</f>
        <v>0.61385500000000004</v>
      </c>
      <c r="D6" s="173">
        <f>Calc!I13</f>
        <v>5.2026036746357208E+16</v>
      </c>
      <c r="E6" s="173">
        <f>Calc!P13</f>
        <v>1.0692231886130217E-4</v>
      </c>
      <c r="F6" s="174">
        <f>Calc!S13</f>
        <v>4859.4481842109817</v>
      </c>
      <c r="G6" s="173">
        <f>Calc!O13</f>
        <v>5.2026036746357208E+16</v>
      </c>
      <c r="H6" s="177" t="str">
        <f>Calc!X13</f>
        <v/>
      </c>
      <c r="I6" s="178" t="str">
        <f>Calc!Y13</f>
        <v/>
      </c>
      <c r="J6" s="176">
        <f>Calc!AE13</f>
        <v>967.55651253268911</v>
      </c>
    </row>
    <row r="7" spans="1:26" x14ac:dyDescent="0.2">
      <c r="A7" s="173">
        <f>Calc!A14</f>
        <v>5.4989999999999998E-4</v>
      </c>
      <c r="B7" s="173">
        <f>Calc!B14</f>
        <v>4.9987599999999999</v>
      </c>
      <c r="C7" s="173">
        <f>Calc!C14</f>
        <v>0.58575299999999997</v>
      </c>
      <c r="D7" s="173">
        <f>Calc!I14</f>
        <v>5.2026036746357208E+16</v>
      </c>
      <c r="E7" s="173">
        <f>Calc!P14</f>
        <v>1.1202638020035421E-4</v>
      </c>
      <c r="F7" s="174">
        <f>Calc!S14</f>
        <v>4433.3328011469257</v>
      </c>
      <c r="G7" s="173">
        <f>Calc!O14</f>
        <v>5.2026036746357208E+16</v>
      </c>
      <c r="H7" s="177" t="str">
        <f>Calc!X14</f>
        <v/>
      </c>
      <c r="I7" s="178" t="str">
        <f>Calc!Y14</f>
        <v/>
      </c>
      <c r="J7" s="176">
        <f>Calc!AE14</f>
        <v>967.55651253268911</v>
      </c>
    </row>
    <row r="8" spans="1:26" x14ac:dyDescent="0.2">
      <c r="A8" s="173">
        <f>Calc!A15</f>
        <v>6.4990000000000002E-4</v>
      </c>
      <c r="B8" s="173">
        <f>Calc!B15</f>
        <v>4.9987599999999999</v>
      </c>
      <c r="C8" s="173">
        <f>Calc!C15</f>
        <v>0.552257</v>
      </c>
      <c r="D8" s="173">
        <f>Calc!I15</f>
        <v>5.2026036746357208E+16</v>
      </c>
      <c r="E8" s="173">
        <f>Calc!P15</f>
        <v>1.18821107333955E-4</v>
      </c>
      <c r="F8" s="174">
        <f>Calc!S15</f>
        <v>3922.8770254564934</v>
      </c>
      <c r="G8" s="173">
        <f>Calc!O15</f>
        <v>5.2026036746357208E+16</v>
      </c>
      <c r="H8" s="177" t="str">
        <f>Calc!X15</f>
        <v/>
      </c>
      <c r="I8" s="178" t="str">
        <f>Calc!Y15</f>
        <v/>
      </c>
      <c r="J8" s="176">
        <f>Calc!AE15</f>
        <v>967.55651253268911</v>
      </c>
    </row>
    <row r="9" spans="1:26" x14ac:dyDescent="0.2">
      <c r="A9" s="173">
        <f>Calc!A16</f>
        <v>7.4989999999999996E-4</v>
      </c>
      <c r="B9" s="173">
        <f>Calc!B16</f>
        <v>4.9987599999999999</v>
      </c>
      <c r="C9" s="173">
        <f>Calc!C16</f>
        <v>0.51972399999999996</v>
      </c>
      <c r="D9" s="173">
        <f>Calc!I16</f>
        <v>5.2026036746357208E+16</v>
      </c>
      <c r="E9" s="173">
        <f>Calc!P16</f>
        <v>1.2625150741205977E-4</v>
      </c>
      <c r="F9" s="174">
        <f>Calc!S16</f>
        <v>3427.5613976662398</v>
      </c>
      <c r="G9" s="173">
        <f>Calc!O16</f>
        <v>5.2026036746357208E+16</v>
      </c>
      <c r="H9" s="177" t="str">
        <f>Calc!X16</f>
        <v/>
      </c>
      <c r="I9" s="178" t="str">
        <f>Calc!Y16</f>
        <v/>
      </c>
      <c r="J9" s="176">
        <f>Calc!AE16</f>
        <v>967.55651253268911</v>
      </c>
    </row>
    <row r="10" spans="1:26" x14ac:dyDescent="0.2">
      <c r="A10" s="173">
        <f>Calc!A17</f>
        <v>8.499E-4</v>
      </c>
      <c r="B10" s="173">
        <f>Calc!B17</f>
        <v>4.9987599999999999</v>
      </c>
      <c r="C10" s="173">
        <f>Calc!C17</f>
        <v>0.48920200000000003</v>
      </c>
      <c r="D10" s="173">
        <f>Calc!I17</f>
        <v>5.2026036746357208E+16</v>
      </c>
      <c r="E10" s="173">
        <f>Calc!P17</f>
        <v>1.3327145945317591E-4</v>
      </c>
      <c r="F10" s="174">
        <f>Calc!S17</f>
        <v>3010.3459123799657</v>
      </c>
      <c r="G10" s="173">
        <f>Calc!O17</f>
        <v>5.2026036746357208E+16</v>
      </c>
      <c r="H10" s="177" t="str">
        <f>Calc!X17</f>
        <v/>
      </c>
      <c r="I10" s="178" t="str">
        <f>Calc!Y17</f>
        <v/>
      </c>
      <c r="J10" s="176">
        <f>Calc!AE17</f>
        <v>967.55651253268911</v>
      </c>
    </row>
    <row r="11" spans="1:26" x14ac:dyDescent="0.2">
      <c r="A11" s="173">
        <f>Calc!A18</f>
        <v>9.4990000000000005E-4</v>
      </c>
      <c r="B11" s="173">
        <f>Calc!B18</f>
        <v>4.9979500000000003</v>
      </c>
      <c r="C11" s="173">
        <f>Calc!C18</f>
        <v>0.46024799999999999</v>
      </c>
      <c r="D11" s="173">
        <f>Calc!I18</f>
        <v>5.2013948081466216E+16</v>
      </c>
      <c r="E11" s="173">
        <f>Calc!P18</f>
        <v>1.3956275029491119E-4</v>
      </c>
      <c r="F11" s="174">
        <f>Calc!S18</f>
        <v>2674.1873745086577</v>
      </c>
      <c r="G11" s="173">
        <f>Calc!O18</f>
        <v>5.2013948081466216E+16</v>
      </c>
      <c r="H11" s="177">
        <f>Calc!X18</f>
        <v>0.80487291301646868</v>
      </c>
      <c r="I11" s="178">
        <f>Calc!Y18</f>
        <v>44.666739527872188</v>
      </c>
      <c r="J11" s="176">
        <f>Calc!AE18</f>
        <v>967.61373584644707</v>
      </c>
    </row>
    <row r="12" spans="1:26" x14ac:dyDescent="0.2">
      <c r="A12" s="173">
        <f>Calc!A19</f>
        <v>1.0499000000000001E-3</v>
      </c>
      <c r="B12" s="173">
        <f>Calc!B19</f>
        <v>4.9143499999999998</v>
      </c>
      <c r="C12" s="173">
        <f>Calc!C19</f>
        <v>0.433251</v>
      </c>
      <c r="D12" s="173">
        <f>Calc!I19</f>
        <v>5.0773485096633512E+16</v>
      </c>
      <c r="E12" s="173">
        <f>Calc!P19</f>
        <v>1.4212803995937404E-4</v>
      </c>
      <c r="F12" s="174">
        <f>Calc!S19</f>
        <v>2756.5176435758494</v>
      </c>
      <c r="G12" s="173">
        <f>Calc!O19</f>
        <v>5.0773485096633512E+16</v>
      </c>
      <c r="H12" s="177">
        <f>Calc!X19</f>
        <v>0.80369250582883422</v>
      </c>
      <c r="I12" s="178">
        <f>Calc!Y19</f>
        <v>42.81452785278578</v>
      </c>
      <c r="J12" s="176">
        <f>Calc!AE19</f>
        <v>973.54744190476026</v>
      </c>
    </row>
    <row r="13" spans="1:26" x14ac:dyDescent="0.2">
      <c r="A13" s="173">
        <f>Calc!A20</f>
        <v>1.1498999999999999E-3</v>
      </c>
      <c r="B13" s="173">
        <f>Calc!B20</f>
        <v>4.7764199999999999</v>
      </c>
      <c r="C13" s="173">
        <f>Calc!C20</f>
        <v>0.40786899999999998</v>
      </c>
      <c r="D13" s="173">
        <f>Calc!I20</f>
        <v>4.8757879264362536E+16</v>
      </c>
      <c r="E13" s="173">
        <f>Calc!P20</f>
        <v>1.4271955978045636E-4</v>
      </c>
      <c r="F13" s="174">
        <f>Calc!S20</f>
        <v>3060.3789577044386</v>
      </c>
      <c r="G13" s="173">
        <f>Calc!O20</f>
        <v>4.8757879264362536E+16</v>
      </c>
      <c r="H13" s="177">
        <f>Calc!X20</f>
        <v>0.8017145347527953</v>
      </c>
      <c r="I13" s="178">
        <f>Calc!Y20</f>
        <v>40.944470742017089</v>
      </c>
      <c r="J13" s="176">
        <f>Calc!AE20</f>
        <v>983.45914207572605</v>
      </c>
    </row>
    <row r="14" spans="1:26" x14ac:dyDescent="0.2">
      <c r="A14" s="173">
        <f>Calc!A21</f>
        <v>1.2499E-3</v>
      </c>
      <c r="B14" s="173">
        <f>Calc!B21</f>
        <v>4.6387900000000002</v>
      </c>
      <c r="C14" s="173">
        <f>Calc!C21</f>
        <v>0.38402999999999998</v>
      </c>
      <c r="D14" s="173">
        <f>Calc!I21</f>
        <v>4.6784758491489496E+16</v>
      </c>
      <c r="E14" s="173">
        <f>Calc!P21</f>
        <v>1.4446947875747663E-4</v>
      </c>
      <c r="F14" s="174">
        <f>Calc!S21</f>
        <v>3288.4466405568241</v>
      </c>
      <c r="G14" s="173">
        <f>Calc!O21</f>
        <v>4.6784758491489496E+16</v>
      </c>
      <c r="H14" s="177">
        <f>Calc!X21</f>
        <v>0.7997013544799203</v>
      </c>
      <c r="I14" s="178">
        <f>Calc!Y21</f>
        <v>38.81166173411988</v>
      </c>
      <c r="J14" s="176">
        <f>Calc!AE21</f>
        <v>993.50435304773418</v>
      </c>
    </row>
    <row r="15" spans="1:26" x14ac:dyDescent="0.2">
      <c r="A15" s="173">
        <f>Calc!A22</f>
        <v>1.3499E-3</v>
      </c>
      <c r="B15" s="173">
        <f>Calc!B22</f>
        <v>4.5032800000000002</v>
      </c>
      <c r="C15" s="173">
        <f>Calc!C22</f>
        <v>0.36186000000000001</v>
      </c>
      <c r="D15" s="173">
        <f>Calc!I22</f>
        <v>4.487878794563816E+16</v>
      </c>
      <c r="E15" s="173">
        <f>Calc!P22</f>
        <v>1.4681178556465188E-4</v>
      </c>
      <c r="F15" s="174">
        <f>Calc!S22</f>
        <v>3468.0269484595906</v>
      </c>
      <c r="G15" s="173">
        <f>Calc!O22</f>
        <v>4.487878794563816E+16</v>
      </c>
      <c r="H15" s="177">
        <f>Calc!X22</f>
        <v>0.79767854727225018</v>
      </c>
      <c r="I15" s="178">
        <f>Calc!Y22</f>
        <v>36.63651456470938</v>
      </c>
      <c r="J15" s="176">
        <f>Calc!AE22</f>
        <v>1003.5507523914988</v>
      </c>
    </row>
    <row r="16" spans="1:26" x14ac:dyDescent="0.2">
      <c r="A16" s="173">
        <f>Calc!A23</f>
        <v>1.4499000000000001E-3</v>
      </c>
      <c r="B16" s="173">
        <f>Calc!B23</f>
        <v>4.3693999999999997</v>
      </c>
      <c r="C16" s="173">
        <f>Calc!C23</f>
        <v>0.34109699999999998</v>
      </c>
      <c r="D16" s="173">
        <f>Calc!I23</f>
        <v>4.3031153215258848E+16</v>
      </c>
      <c r="E16" s="173">
        <f>Calc!P23</f>
        <v>1.4907994120486138E-4</v>
      </c>
      <c r="F16" s="174">
        <f>Calc!S23</f>
        <v>3634.0214897737237</v>
      </c>
      <c r="G16" s="173">
        <f>Calc!O23</f>
        <v>4.3031153215258848E+16</v>
      </c>
      <c r="H16" s="177">
        <f>Calc!X23</f>
        <v>0.79563830116994128</v>
      </c>
      <c r="I16" s="178">
        <f>Calc!Y23</f>
        <v>34.593756475836294</v>
      </c>
      <c r="J16" s="176">
        <f>Calc!AE23</f>
        <v>1013.6329202134806</v>
      </c>
    </row>
    <row r="17" spans="1:10" x14ac:dyDescent="0.2">
      <c r="A17" s="173">
        <f>Calc!A24</f>
        <v>1.5499000000000001E-3</v>
      </c>
      <c r="B17" s="173">
        <f>Calc!B24</f>
        <v>4.2370400000000004</v>
      </c>
      <c r="C17" s="173">
        <f>Calc!C24</f>
        <v>0.32154300000000002</v>
      </c>
      <c r="D17" s="173">
        <f>Calc!I24</f>
        <v>4.1238707250754864E+16</v>
      </c>
      <c r="E17" s="173">
        <f>Calc!P24</f>
        <v>1.5128158826291488E-4</v>
      </c>
      <c r="F17" s="174">
        <f>Calc!S24</f>
        <v>3787.1423032188982</v>
      </c>
      <c r="G17" s="173">
        <f>Calc!O24</f>
        <v>4.1238707250754864E+16</v>
      </c>
      <c r="H17" s="177">
        <f>Calc!X24</f>
        <v>0.79357812790074078</v>
      </c>
      <c r="I17" s="178">
        <f>Calc!Y24</f>
        <v>32.670284672006879</v>
      </c>
      <c r="J17" s="176">
        <f>Calc!AE24</f>
        <v>1023.7584349564793</v>
      </c>
    </row>
    <row r="18" spans="1:10" x14ac:dyDescent="0.2">
      <c r="A18" s="173">
        <f>Calc!A25</f>
        <v>1.6498999999999999E-3</v>
      </c>
      <c r="B18" s="173">
        <f>Calc!B25</f>
        <v>4.1062200000000004</v>
      </c>
      <c r="C18" s="173">
        <f>Calc!C25</f>
        <v>0.30321399999999998</v>
      </c>
      <c r="D18" s="173">
        <f>Calc!I25</f>
        <v>3.950017372885296E+16</v>
      </c>
      <c r="E18" s="173">
        <f>Calc!P25</f>
        <v>1.5339003601929477E-4</v>
      </c>
      <c r="F18" s="174">
        <f>Calc!S25</f>
        <v>3929.2904991638511</v>
      </c>
      <c r="G18" s="173">
        <f>Calc!O25</f>
        <v>3.950017372885296E+16</v>
      </c>
      <c r="H18" s="177">
        <f>Calc!X25</f>
        <v>0.7914974313243629</v>
      </c>
      <c r="I18" s="178">
        <f>Calc!Y25</f>
        <v>30.862834348245546</v>
      </c>
      <c r="J18" s="176">
        <f>Calc!AE25</f>
        <v>1033.9252375745427</v>
      </c>
    </row>
    <row r="19" spans="1:10" x14ac:dyDescent="0.2">
      <c r="A19" s="173">
        <f>Calc!A26</f>
        <v>1.7499E-3</v>
      </c>
      <c r="B19" s="173">
        <f>Calc!B26</f>
        <v>3.9768300000000001</v>
      </c>
      <c r="C19" s="173">
        <f>Calc!C26</f>
        <v>0.28594000000000003</v>
      </c>
      <c r="D19" s="173">
        <f>Calc!I26</f>
        <v>3.78126213718818E+16</v>
      </c>
      <c r="E19" s="173">
        <f>Calc!P26</f>
        <v>1.5542210405339074E-4</v>
      </c>
      <c r="F19" s="174">
        <f>Calc!S26</f>
        <v>4060.6326555089063</v>
      </c>
      <c r="G19" s="173">
        <f>Calc!O26</f>
        <v>3.78126213718818E+16</v>
      </c>
      <c r="H19" s="177">
        <f>Calc!X26</f>
        <v>0.78939344690688729</v>
      </c>
      <c r="I19" s="178">
        <f>Calc!Y26</f>
        <v>29.158014898895519</v>
      </c>
      <c r="J19" s="176">
        <f>Calc!AE26</f>
        <v>1044.1415400153287</v>
      </c>
    </row>
    <row r="20" spans="1:10" x14ac:dyDescent="0.2">
      <c r="A20" s="173">
        <f>Calc!A27</f>
        <v>1.8499E-3</v>
      </c>
      <c r="B20" s="173">
        <f>Calc!B27</f>
        <v>3.84985</v>
      </c>
      <c r="C20" s="173">
        <f>Calc!C27</f>
        <v>0.26969900000000002</v>
      </c>
      <c r="D20" s="173">
        <f>Calc!I27</f>
        <v>3.6187091115367704E+16</v>
      </c>
      <c r="E20" s="173">
        <f>Calc!P27</f>
        <v>1.5742875610768047E-4</v>
      </c>
      <c r="F20" s="174">
        <f>Calc!S27</f>
        <v>4178.300427496366</v>
      </c>
      <c r="G20" s="173">
        <f>Calc!O27</f>
        <v>3.6187091115367704E+16</v>
      </c>
      <c r="H20" s="177">
        <f>Calc!X27</f>
        <v>0.78728151817267766</v>
      </c>
      <c r="I20" s="178">
        <f>Calc!Y27</f>
        <v>27.54885552612491</v>
      </c>
      <c r="J20" s="176">
        <f>Calc!AE27</f>
        <v>1054.3280001806297</v>
      </c>
    </row>
    <row r="21" spans="1:10" x14ac:dyDescent="0.2">
      <c r="A21" s="173">
        <f>Calc!A28</f>
        <v>1.9499000000000001E-3</v>
      </c>
      <c r="B21" s="173">
        <f>Calc!B28</f>
        <v>3.72377</v>
      </c>
      <c r="C21" s="173">
        <f>Calc!C28</f>
        <v>0.25451099999999999</v>
      </c>
      <c r="D21" s="173">
        <f>Calc!I28</f>
        <v>3.4602750369678396E+16</v>
      </c>
      <c r="E21" s="173">
        <f>Calc!P28</f>
        <v>1.5925865054472268E-4</v>
      </c>
      <c r="F21" s="174">
        <f>Calc!S28</f>
        <v>4291.4922141266243</v>
      </c>
      <c r="G21" s="173">
        <f>Calc!O28</f>
        <v>3.4602750369678396E+16</v>
      </c>
      <c r="H21" s="177">
        <f>Calc!X28</f>
        <v>0.78513558545129591</v>
      </c>
      <c r="I21" s="178">
        <f>Calc!Y28</f>
        <v>26.040033567803363</v>
      </c>
      <c r="J21" s="176">
        <f>Calc!AE28</f>
        <v>1064.6048094309717</v>
      </c>
    </row>
    <row r="22" spans="1:10" x14ac:dyDescent="0.2">
      <c r="A22" s="173">
        <f>Calc!A29</f>
        <v>2.0498999999999999E-3</v>
      </c>
      <c r="B22" s="173">
        <f>Calc!B29</f>
        <v>3.6009600000000002</v>
      </c>
      <c r="C22" s="173">
        <f>Calc!C29</f>
        <v>0.24026800000000001</v>
      </c>
      <c r="D22" s="173">
        <f>Calc!I29</f>
        <v>3.3087633836506652E+16</v>
      </c>
      <c r="E22" s="173">
        <f>Calc!P29</f>
        <v>1.6103664020258746E-4</v>
      </c>
      <c r="F22" s="174">
        <f>Calc!S29</f>
        <v>4392.4130009005885</v>
      </c>
      <c r="G22" s="173">
        <f>Calc!O29</f>
        <v>3.3087633836506652E+16</v>
      </c>
      <c r="H22" s="177">
        <f>Calc!X29</f>
        <v>0.78299552894616953</v>
      </c>
      <c r="I22" s="178">
        <f>Calc!Y29</f>
        <v>24.624927553359001</v>
      </c>
      <c r="J22" s="176">
        <f>Calc!AE29</f>
        <v>1074.7761298622663</v>
      </c>
    </row>
    <row r="23" spans="1:10" x14ac:dyDescent="0.2">
      <c r="A23" s="173">
        <f>Calc!A30</f>
        <v>2.1499000000000002E-3</v>
      </c>
      <c r="B23" s="173">
        <f>Calc!B30</f>
        <v>3.4797099999999999</v>
      </c>
      <c r="C23" s="173">
        <f>Calc!C30</f>
        <v>0.22689899999999999</v>
      </c>
      <c r="D23" s="173">
        <f>Calc!I30</f>
        <v>3.1618728278715068E+16</v>
      </c>
      <c r="E23" s="173">
        <f>Calc!P30</f>
        <v>1.6268975679088524E-4</v>
      </c>
      <c r="F23" s="174">
        <f>Calc!S30</f>
        <v>4487.093476056134</v>
      </c>
      <c r="G23" s="173">
        <f>Calc!O30</f>
        <v>3.1618728278715068E+16</v>
      </c>
      <c r="H23" s="177">
        <f>Calc!X30</f>
        <v>0.78083146835970207</v>
      </c>
      <c r="I23" s="178">
        <f>Calc!Y30</f>
        <v>23.29260918900362</v>
      </c>
      <c r="J23" s="176">
        <f>Calc!AE30</f>
        <v>1084.9795982732098</v>
      </c>
    </row>
    <row r="24" spans="1:10" x14ac:dyDescent="0.2">
      <c r="A24" s="173">
        <f>Calc!A31</f>
        <v>2.2499E-3</v>
      </c>
      <c r="B24" s="173">
        <f>Calc!B31</f>
        <v>3.3598699999999999</v>
      </c>
      <c r="C24" s="173">
        <f>Calc!C31</f>
        <v>0.21440500000000001</v>
      </c>
      <c r="D24" s="173">
        <f>Calc!I31</f>
        <v>3.0192975810282412E+16</v>
      </c>
      <c r="E24" s="173">
        <f>Calc!P31</f>
        <v>1.6411961821743783E-4</v>
      </c>
      <c r="F24" s="174">
        <f>Calc!S31</f>
        <v>4579.8345733565839</v>
      </c>
      <c r="G24" s="173">
        <f>Calc!O31</f>
        <v>3.0192975810282412E+16</v>
      </c>
      <c r="H24" s="177">
        <f>Calc!X31</f>
        <v>0.77863943961427284</v>
      </c>
      <c r="I24" s="178">
        <f>Calc!Y31</f>
        <v>22.048516429277871</v>
      </c>
      <c r="J24" s="176">
        <f>Calc!AE31</f>
        <v>1095.2275299046503</v>
      </c>
    </row>
    <row r="25" spans="1:10" x14ac:dyDescent="0.2">
      <c r="A25" s="173">
        <f>Calc!A32</f>
        <v>2.3498999999999998E-3</v>
      </c>
      <c r="B25" s="173">
        <f>Calc!B32</f>
        <v>3.2425899999999999</v>
      </c>
      <c r="C25" s="173">
        <f>Calc!C32</f>
        <v>0.202567</v>
      </c>
      <c r="D25" s="173">
        <f>Calc!I32</f>
        <v>2.8822536267712164E+16</v>
      </c>
      <c r="E25" s="173">
        <f>Calc!P32</f>
        <v>1.6555967990242301E-4</v>
      </c>
      <c r="F25" s="174">
        <f>Calc!S32</f>
        <v>4661.0919131164437</v>
      </c>
      <c r="G25" s="173">
        <f>Calc!O32</f>
        <v>2.8822536267712164E+16</v>
      </c>
      <c r="H25" s="177">
        <f>Calc!X32</f>
        <v>0.77643980311742522</v>
      </c>
      <c r="I25" s="178">
        <f>Calc!Y32</f>
        <v>20.864672286763081</v>
      </c>
      <c r="J25" s="176">
        <f>Calc!AE32</f>
        <v>1105.4192319950012</v>
      </c>
    </row>
    <row r="26" spans="1:10" x14ac:dyDescent="0.2">
      <c r="A26" s="173">
        <f>Calc!A33</f>
        <v>2.4499000000000001E-3</v>
      </c>
      <c r="B26" s="173">
        <f>Calc!B33</f>
        <v>3.1269900000000002</v>
      </c>
      <c r="C26" s="173">
        <f>Calc!C33</f>
        <v>0.191496</v>
      </c>
      <c r="D26" s="173">
        <f>Calc!I33</f>
        <v>2.7495567520674884E+16</v>
      </c>
      <c r="E26" s="173">
        <f>Calc!P33</f>
        <v>1.6682865909768951E-4</v>
      </c>
      <c r="F26" s="174">
        <f>Calc!S33</f>
        <v>4739.2035879021987</v>
      </c>
      <c r="G26" s="173">
        <f>Calc!O33</f>
        <v>2.7495567520674884E+16</v>
      </c>
      <c r="H26" s="177">
        <f>Calc!X33</f>
        <v>0.7742155260043434</v>
      </c>
      <c r="I26" s="178">
        <f>Calc!Y33</f>
        <v>19.752677838072767</v>
      </c>
      <c r="J26" s="176">
        <f>Calc!AE33</f>
        <v>1115.6282447731523</v>
      </c>
    </row>
    <row r="27" spans="1:10" x14ac:dyDescent="0.2">
      <c r="A27" s="173">
        <f>Calc!A34</f>
        <v>2.5498999999999999E-3</v>
      </c>
      <c r="B27" s="173">
        <f>Calc!B34</f>
        <v>3.0141900000000001</v>
      </c>
      <c r="C27" s="173">
        <f>Calc!C34</f>
        <v>0.18112900000000001</v>
      </c>
      <c r="D27" s="173">
        <f>Calc!I34</f>
        <v>2.6223350176377768E+16</v>
      </c>
      <c r="E27" s="173">
        <f>Calc!P34</f>
        <v>1.6797412818170797E-4</v>
      </c>
      <c r="F27" s="174">
        <f>Calc!S34</f>
        <v>4811.775356970913</v>
      </c>
      <c r="G27" s="173">
        <f>Calc!O34</f>
        <v>2.6223350176377768E+16</v>
      </c>
      <c r="H27" s="177">
        <f>Calc!X34</f>
        <v>0.7719878112204368</v>
      </c>
      <c r="I27" s="178">
        <f>Calc!Y34</f>
        <v>18.710256022475718</v>
      </c>
      <c r="J27" s="176">
        <f>Calc!AE34</f>
        <v>1125.752136297913</v>
      </c>
    </row>
    <row r="28" spans="1:10" x14ac:dyDescent="0.2">
      <c r="A28" s="173">
        <f>Calc!A35</f>
        <v>2.6499000000000002E-3</v>
      </c>
      <c r="B28" s="173">
        <f>Calc!B35</f>
        <v>2.9037199999999999</v>
      </c>
      <c r="C28" s="173">
        <f>Calc!C35</f>
        <v>0.171399</v>
      </c>
      <c r="D28" s="173">
        <f>Calc!I35</f>
        <v>2.4998869847838296E+16</v>
      </c>
      <c r="E28" s="173">
        <f>Calc!P35</f>
        <v>1.6900943283540152E-4</v>
      </c>
      <c r="F28" s="174">
        <f>Calc!S35</f>
        <v>4879.4233124684561</v>
      </c>
      <c r="G28" s="173">
        <f>Calc!O35</f>
        <v>2.4998869847838296E+16</v>
      </c>
      <c r="H28" s="177">
        <f>Calc!X35</f>
        <v>0.76974753265995177</v>
      </c>
      <c r="I28" s="178">
        <f>Calc!Y35</f>
        <v>17.727332177767842</v>
      </c>
      <c r="J28" s="176">
        <f>Calc!AE35</f>
        <v>1135.8280912466166</v>
      </c>
    </row>
    <row r="29" spans="1:10" x14ac:dyDescent="0.2">
      <c r="A29" s="173">
        <f>Calc!A36</f>
        <v>2.7499E-3</v>
      </c>
      <c r="B29" s="173">
        <f>Calc!B36</f>
        <v>2.7951899999999998</v>
      </c>
      <c r="C29" s="173">
        <f>Calc!C36</f>
        <v>0.16217500000000001</v>
      </c>
      <c r="D29" s="173">
        <f>Calc!I36</f>
        <v>2.3816397735887984E+16</v>
      </c>
      <c r="E29" s="173">
        <f>Calc!P36</f>
        <v>1.6995375636822112E-4</v>
      </c>
      <c r="F29" s="174">
        <f>Calc!S36</f>
        <v>4942.3669723811026</v>
      </c>
      <c r="G29" s="173">
        <f>Calc!O36</f>
        <v>2.3816397735887984E+16</v>
      </c>
      <c r="H29" s="177">
        <f>Calc!X36</f>
        <v>0.76748626875690351</v>
      </c>
      <c r="I29" s="178">
        <f>Calc!Y36</f>
        <v>16.794970991185167</v>
      </c>
      <c r="J29" s="176">
        <f>Calc!AE36</f>
        <v>1145.8884803992776</v>
      </c>
    </row>
    <row r="30" spans="1:10" x14ac:dyDescent="0.2">
      <c r="A30" s="173">
        <f>Calc!A37</f>
        <v>2.8498999999999998E-3</v>
      </c>
      <c r="B30" s="173">
        <f>Calc!B37</f>
        <v>2.6898599999999999</v>
      </c>
      <c r="C30" s="173">
        <f>Calc!C37</f>
        <v>0.15327099999999999</v>
      </c>
      <c r="D30" s="173">
        <f>Calc!I37</f>
        <v>2.2688066943653968E+16</v>
      </c>
      <c r="E30" s="173">
        <f>Calc!P37</f>
        <v>1.7107406053861824E-4</v>
      </c>
      <c r="F30" s="174">
        <f>Calc!S37</f>
        <v>4990.939235785705</v>
      </c>
      <c r="G30" s="173">
        <f>Calc!O37</f>
        <v>2.2688066943653968E+16</v>
      </c>
      <c r="H30" s="177">
        <f>Calc!X37</f>
        <v>0.76523052021671945</v>
      </c>
      <c r="I30" s="178">
        <f>Calc!Y37</f>
        <v>15.894515080722512</v>
      </c>
      <c r="J30" s="176">
        <f>Calc!AE37</f>
        <v>1155.81125817468</v>
      </c>
    </row>
    <row r="31" spans="1:10" x14ac:dyDescent="0.2">
      <c r="A31" s="173">
        <f>Calc!A38</f>
        <v>2.9499000000000001E-3</v>
      </c>
      <c r="B31" s="173">
        <f>Calc!B38</f>
        <v>2.5866699999999998</v>
      </c>
      <c r="C31" s="173">
        <f>Calc!C38</f>
        <v>0.14512</v>
      </c>
      <c r="D31" s="173">
        <f>Calc!I38</f>
        <v>2.1600930686647804E+16</v>
      </c>
      <c r="E31" s="173">
        <f>Calc!P38</f>
        <v>1.7180539741691508E-4</v>
      </c>
      <c r="F31" s="174">
        <f>Calc!S38</f>
        <v>5045.9825635922916</v>
      </c>
      <c r="G31" s="173">
        <f>Calc!O38</f>
        <v>2.1600930686647804E+16</v>
      </c>
      <c r="H31" s="177">
        <f>Calc!X38</f>
        <v>0.76295805185176824</v>
      </c>
      <c r="I31" s="178">
        <f>Calc!Y38</f>
        <v>15.068485738900032</v>
      </c>
      <c r="J31" s="176">
        <f>Calc!AE38</f>
        <v>1165.6904764533576</v>
      </c>
    </row>
    <row r="32" spans="1:10" x14ac:dyDescent="0.2">
      <c r="A32" s="173">
        <f>Calc!A39</f>
        <v>3.0498999999999999E-3</v>
      </c>
      <c r="B32" s="173">
        <f>Calc!B39</f>
        <v>2.4858099999999999</v>
      </c>
      <c r="C32" s="173">
        <f>Calc!C39</f>
        <v>0.13744999999999999</v>
      </c>
      <c r="D32" s="173">
        <f>Calc!I39</f>
        <v>2.0555686508262216E+16</v>
      </c>
      <c r="E32" s="173">
        <f>Calc!P39</f>
        <v>1.7240009393270419E-4</v>
      </c>
      <c r="F32" s="174">
        <f>Calc!S39</f>
        <v>5099.050705331797</v>
      </c>
      <c r="G32" s="173">
        <f>Calc!O39</f>
        <v>2.0555686508262216E+16</v>
      </c>
      <c r="H32" s="177">
        <f>Calc!X39</f>
        <v>0.76067277911961861</v>
      </c>
      <c r="I32" s="178">
        <f>Calc!Y39</f>
        <v>14.289875305240791</v>
      </c>
      <c r="J32" s="176">
        <f>Calc!AE39</f>
        <v>1175.5040148707203</v>
      </c>
    </row>
    <row r="33" spans="1:10" x14ac:dyDescent="0.2">
      <c r="A33" s="173">
        <f>Calc!A40</f>
        <v>3.1499000000000002E-3</v>
      </c>
      <c r="B33" s="173">
        <f>Calc!B40</f>
        <v>2.3868399999999999</v>
      </c>
      <c r="C33" s="173">
        <f>Calc!C40</f>
        <v>0.13025200000000001</v>
      </c>
      <c r="D33" s="173">
        <f>Calc!I40</f>
        <v>1.9546577929605804E+16</v>
      </c>
      <c r="E33" s="173">
        <f>Calc!P40</f>
        <v>1.7277898949044634E-4</v>
      </c>
      <c r="F33" s="174">
        <f>Calc!S40</f>
        <v>5153.5067037770832</v>
      </c>
      <c r="G33" s="173">
        <f>Calc!O40</f>
        <v>1.9546577929605804E+16</v>
      </c>
      <c r="H33" s="177">
        <f>Calc!X40</f>
        <v>0.75836421806697796</v>
      </c>
      <c r="I33" s="178">
        <f>Calc!Y40</f>
        <v>13.558565927254058</v>
      </c>
      <c r="J33" s="176">
        <f>Calc!AE40</f>
        <v>1185.2912824718087</v>
      </c>
    </row>
    <row r="34" spans="1:10" x14ac:dyDescent="0.2">
      <c r="A34" s="173">
        <f>Calc!A41</f>
        <v>3.2499E-3</v>
      </c>
      <c r="B34" s="173">
        <f>Calc!B41</f>
        <v>2.29121</v>
      </c>
      <c r="C34" s="173">
        <f>Calc!C41</f>
        <v>0.12349499999999999</v>
      </c>
      <c r="D34" s="173">
        <f>Calc!I41</f>
        <v>1.8586990390344212E+16</v>
      </c>
      <c r="E34" s="173">
        <f>Calc!P41</f>
        <v>1.730886020268032E-4</v>
      </c>
      <c r="F34" s="174">
        <f>Calc!S41</f>
        <v>5203.8974174770938</v>
      </c>
      <c r="G34" s="173">
        <f>Calc!O41</f>
        <v>1.8586990390344212E+16</v>
      </c>
      <c r="H34" s="177">
        <f>Calc!X41</f>
        <v>0.75606675007310808</v>
      </c>
      <c r="I34" s="178">
        <f>Calc!Y41</f>
        <v>12.869881722002024</v>
      </c>
      <c r="J34" s="176">
        <f>Calc!AE41</f>
        <v>1194.9029492778891</v>
      </c>
    </row>
    <row r="35" spans="1:10" x14ac:dyDescent="0.2">
      <c r="A35" s="173">
        <f>Calc!A42</f>
        <v>3.3498999999999998E-3</v>
      </c>
      <c r="B35" s="173">
        <f>Calc!B42</f>
        <v>2.1968100000000002</v>
      </c>
      <c r="C35" s="173">
        <f>Calc!C42</f>
        <v>0.11709899999999999</v>
      </c>
      <c r="D35" s="173">
        <f>Calc!I42</f>
        <v>1.7654557046110988E+16</v>
      </c>
      <c r="E35" s="173">
        <f>Calc!P42</f>
        <v>1.7319482657732893E-4</v>
      </c>
      <c r="F35" s="174">
        <f>Calc!S42</f>
        <v>5256.450099857846</v>
      </c>
      <c r="G35" s="173">
        <f>Calc!O42</f>
        <v>1.7654557046110988E+16</v>
      </c>
      <c r="H35" s="177">
        <f>Calc!X42</f>
        <v>0.75372956727015372</v>
      </c>
      <c r="I35" s="178">
        <f>Calc!Y42</f>
        <v>12.216754926436156</v>
      </c>
      <c r="J35" s="176">
        <f>Calc!AE42</f>
        <v>1204.5466809163299</v>
      </c>
    </row>
    <row r="36" spans="1:10" x14ac:dyDescent="0.2">
      <c r="A36" s="173">
        <f>Calc!A43</f>
        <v>3.4499000000000001E-3</v>
      </c>
      <c r="B36" s="173">
        <f>Calc!B43</f>
        <v>2.1053899999999999</v>
      </c>
      <c r="C36" s="173">
        <f>Calc!C43</f>
        <v>0.111058</v>
      </c>
      <c r="D36" s="173">
        <f>Calc!I43</f>
        <v>1.6765499005896626E+16</v>
      </c>
      <c r="E36" s="173">
        <f>Calc!P43</f>
        <v>1.7320981165905921E-4</v>
      </c>
      <c r="F36" s="174">
        <f>Calc!S43</f>
        <v>5306.7489509826437</v>
      </c>
      <c r="G36" s="173">
        <f>Calc!O43</f>
        <v>1.6765499005896626E+16</v>
      </c>
      <c r="H36" s="177">
        <f>Calc!X43</f>
        <v>0.75139555154719873</v>
      </c>
      <c r="I36" s="178">
        <f>Calc!Y43</f>
        <v>11.600533065380153</v>
      </c>
      <c r="J36" s="176">
        <f>Calc!AE43</f>
        <v>1214.0400526260823</v>
      </c>
    </row>
    <row r="37" spans="1:10" x14ac:dyDescent="0.2">
      <c r="A37" s="173">
        <f>Calc!A44</f>
        <v>3.5498999999999999E-3</v>
      </c>
      <c r="B37" s="173">
        <f>Calc!B44</f>
        <v>2.0161099999999998</v>
      </c>
      <c r="C37" s="173">
        <f>Calc!C44</f>
        <v>0.10535700000000001</v>
      </c>
      <c r="D37" s="173">
        <f>Calc!I44</f>
        <v>1.591041447702518E+16</v>
      </c>
      <c r="E37" s="173">
        <f>Calc!P44</f>
        <v>1.7310220480599314E-4</v>
      </c>
      <c r="F37" s="174">
        <f>Calc!S44</f>
        <v>5356.7193887989442</v>
      </c>
      <c r="G37" s="173">
        <f>Calc!O44</f>
        <v>1.591041447702518E+16</v>
      </c>
      <c r="H37" s="177">
        <f>Calc!X44</f>
        <v>0.74904388033339508</v>
      </c>
      <c r="I37" s="178">
        <f>Calc!Y44</f>
        <v>11.015718910871849</v>
      </c>
      <c r="J37" s="176">
        <f>Calc!AE44</f>
        <v>1223.4642790369683</v>
      </c>
    </row>
    <row r="38" spans="1:10" x14ac:dyDescent="0.2">
      <c r="A38" s="173">
        <f>Calc!A45</f>
        <v>3.6499000000000002E-3</v>
      </c>
      <c r="B38" s="173">
        <f>Calc!B45</f>
        <v>1.92896</v>
      </c>
      <c r="C38" s="173">
        <f>Calc!C45</f>
        <v>9.9976599999999999E-2</v>
      </c>
      <c r="D38" s="173">
        <f>Calc!I45</f>
        <v>1.5088206084509412E+16</v>
      </c>
      <c r="E38" s="173">
        <f>Calc!P45</f>
        <v>1.7280732474522217E-4</v>
      </c>
      <c r="F38" s="174">
        <f>Calc!S45</f>
        <v>5408.8861648705115</v>
      </c>
      <c r="G38" s="173">
        <f>Calc!O45</f>
        <v>1.5088206084509412E+16</v>
      </c>
      <c r="H38" s="177">
        <f>Calc!X45</f>
        <v>0.74667395267843606</v>
      </c>
      <c r="I38" s="178">
        <f>Calc!Y45</f>
        <v>10.464281448258866</v>
      </c>
      <c r="J38" s="176">
        <f>Calc!AE45</f>
        <v>1232.8164677170137</v>
      </c>
    </row>
    <row r="39" spans="1:10" x14ac:dyDescent="0.2">
      <c r="A39" s="173">
        <f>Calc!A46</f>
        <v>3.7499E-3</v>
      </c>
      <c r="B39" s="173">
        <f>Calc!B46</f>
        <v>1.8444</v>
      </c>
      <c r="C39" s="173">
        <f>Calc!C46</f>
        <v>9.4951300000000002E-2</v>
      </c>
      <c r="D39" s="173">
        <f>Calc!I46</f>
        <v>1.4302153920531412E+16</v>
      </c>
      <c r="E39" s="173">
        <f>Calc!P46</f>
        <v>1.7233251213552973E-4</v>
      </c>
      <c r="F39" s="174">
        <f>Calc!S46</f>
        <v>5463.1799141623515</v>
      </c>
      <c r="G39" s="173">
        <f>Calc!O46</f>
        <v>1.4302153920531412E+16</v>
      </c>
      <c r="H39" s="177">
        <f>Calc!X46</f>
        <v>0.74429856870580091</v>
      </c>
      <c r="I39" s="178">
        <f>Calc!Y46</f>
        <v>9.9464517512451014</v>
      </c>
      <c r="J39" s="176">
        <f>Calc!AE46</f>
        <v>1242.0420222046146</v>
      </c>
    </row>
    <row r="40" spans="1:10" x14ac:dyDescent="0.2">
      <c r="A40" s="173">
        <f>Calc!A47</f>
        <v>3.8498999999999999E-3</v>
      </c>
      <c r="B40" s="173">
        <f>Calc!B47</f>
        <v>1.76189</v>
      </c>
      <c r="C40" s="173">
        <f>Calc!C47</f>
        <v>9.0119199999999997E-2</v>
      </c>
      <c r="D40" s="173">
        <f>Calc!I47</f>
        <v>1.354623314631166E+16</v>
      </c>
      <c r="E40" s="173">
        <f>Calc!P47</f>
        <v>1.7183671472355212E-4</v>
      </c>
      <c r="F40" s="174">
        <f>Calc!S47</f>
        <v>5514.8673931267713</v>
      </c>
      <c r="G40" s="173">
        <f>Calc!O47</f>
        <v>1.354623314631166E+16</v>
      </c>
      <c r="H40" s="177">
        <f>Calc!X47</f>
        <v>0.74190280281482579</v>
      </c>
      <c r="I40" s="178">
        <f>Calc!Y47</f>
        <v>9.4479271644057921</v>
      </c>
      <c r="J40" s="176">
        <f>Calc!AE47</f>
        <v>1251.194735822211</v>
      </c>
    </row>
    <row r="41" spans="1:10" x14ac:dyDescent="0.2">
      <c r="A41" s="173">
        <f>Calc!A48</f>
        <v>3.9499000000000001E-3</v>
      </c>
      <c r="B41" s="173">
        <f>Calc!B48</f>
        <v>1.6821699999999999</v>
      </c>
      <c r="C41" s="173">
        <f>Calc!C48</f>
        <v>8.5560600000000001E-2</v>
      </c>
      <c r="D41" s="173">
        <f>Calc!I48</f>
        <v>1.2826218181369952E+16</v>
      </c>
      <c r="E41" s="173">
        <f>Calc!P48</f>
        <v>1.71274322808756E-4</v>
      </c>
      <c r="F41" s="174">
        <f>Calc!S48</f>
        <v>5565.4970891645044</v>
      </c>
      <c r="G41" s="173">
        <f>Calc!O48</f>
        <v>1.2826218181369952E+16</v>
      </c>
      <c r="H41" s="177">
        <f>Calc!X48</f>
        <v>0.73950879036794437</v>
      </c>
      <c r="I41" s="178">
        <f>Calc!Y48</f>
        <v>8.9751210699225705</v>
      </c>
      <c r="J41" s="176">
        <f>Calc!AE48</f>
        <v>1260.1866983628477</v>
      </c>
    </row>
    <row r="42" spans="1:10" x14ac:dyDescent="0.2">
      <c r="A42" s="173">
        <f>Calc!A49</f>
        <v>4.0499000000000004E-3</v>
      </c>
      <c r="B42" s="173">
        <f>Calc!B49</f>
        <v>1.60459</v>
      </c>
      <c r="C42" s="173">
        <f>Calc!C49</f>
        <v>8.1259799999999993E-2</v>
      </c>
      <c r="D42" s="173">
        <f>Calc!I49</f>
        <v>1.2135253580488122E+16</v>
      </c>
      <c r="E42" s="173">
        <f>Calc!P49</f>
        <v>1.7053432758074009E-4</v>
      </c>
      <c r="F42" s="174">
        <f>Calc!S49</f>
        <v>5619.4631579108172</v>
      </c>
      <c r="G42" s="173">
        <f>Calc!O49</f>
        <v>1.2135253580488122E+16</v>
      </c>
      <c r="H42" s="177">
        <f>Calc!X49</f>
        <v>0.73709790174838297</v>
      </c>
      <c r="I42" s="178">
        <f>Calc!Y49</f>
        <v>8.5284674110946597</v>
      </c>
      <c r="J42" s="176">
        <f>Calc!AE49</f>
        <v>1269.0850193950855</v>
      </c>
    </row>
    <row r="43" spans="1:10" x14ac:dyDescent="0.2">
      <c r="A43" s="173">
        <f>Calc!A50</f>
        <v>4.1498999999999998E-3</v>
      </c>
      <c r="B43" s="173">
        <f>Calc!B50</f>
        <v>1.5302500000000001</v>
      </c>
      <c r="C43" s="173">
        <f>Calc!C50</f>
        <v>7.7222700000000005E-2</v>
      </c>
      <c r="D43" s="173">
        <f>Calc!I50</f>
        <v>1.148211116942456E+16</v>
      </c>
      <c r="E43" s="173">
        <f>Calc!P50</f>
        <v>1.6973346904038201E-4</v>
      </c>
      <c r="F43" s="174">
        <f>Calc!S50</f>
        <v>5672.7374121135008</v>
      </c>
      <c r="G43" s="173">
        <f>Calc!O50</f>
        <v>1.148211116942456E+16</v>
      </c>
      <c r="H43" s="177">
        <f>Calc!X50</f>
        <v>0.73470614683382407</v>
      </c>
      <c r="I43" s="178">
        <f>Calc!Y50</f>
        <v>8.1075234111823651</v>
      </c>
      <c r="J43" s="176">
        <f>Calc!AE50</f>
        <v>1277.7558122236217</v>
      </c>
    </row>
    <row r="44" spans="1:10" x14ac:dyDescent="0.2">
      <c r="A44" s="173">
        <f>Calc!A51</f>
        <v>4.2499E-3</v>
      </c>
      <c r="B44" s="173">
        <f>Calc!B51</f>
        <v>1.4574800000000001</v>
      </c>
      <c r="C44" s="173">
        <f>Calc!C51</f>
        <v>7.3377999999999999E-2</v>
      </c>
      <c r="D44" s="173">
        <f>Calc!I51</f>
        <v>1.0851233229987238E+16</v>
      </c>
      <c r="E44" s="173">
        <f>Calc!P51</f>
        <v>1.6874694183553483E-4</v>
      </c>
      <c r="F44" s="174">
        <f>Calc!S51</f>
        <v>5730.5695442693368</v>
      </c>
      <c r="G44" s="173">
        <f>Calc!O51</f>
        <v>1.0851233229987238E+16</v>
      </c>
      <c r="H44" s="177">
        <f>Calc!X51</f>
        <v>0.73228083155705115</v>
      </c>
      <c r="I44" s="178">
        <f>Calc!Y51</f>
        <v>7.7068541227165692</v>
      </c>
      <c r="J44" s="176">
        <f>Calc!AE51</f>
        <v>1286.3876509977533</v>
      </c>
    </row>
    <row r="45" spans="1:10" x14ac:dyDescent="0.2">
      <c r="A45" s="173">
        <f>Calc!A52</f>
        <v>4.3499000000000003E-3</v>
      </c>
      <c r="B45" s="173">
        <f>Calc!B52</f>
        <v>1.3880300000000001</v>
      </c>
      <c r="C45" s="173">
        <f>Calc!C52</f>
        <v>6.9776400000000002E-2</v>
      </c>
      <c r="D45" s="173">
        <f>Calc!I52</f>
        <v>1.0256931427627252E+16</v>
      </c>
      <c r="E45" s="173">
        <f>Calc!P52</f>
        <v>1.676757795523587E-4</v>
      </c>
      <c r="F45" s="174">
        <f>Calc!S52</f>
        <v>5789.250860843079</v>
      </c>
      <c r="G45" s="173">
        <f>Calc!O52</f>
        <v>1.0256931427627252E+16</v>
      </c>
      <c r="H45" s="177">
        <f>Calc!X52</f>
        <v>0.72988172402521867</v>
      </c>
      <c r="I45" s="178">
        <f>Calc!Y52</f>
        <v>7.3313013180266342</v>
      </c>
      <c r="J45" s="176">
        <f>Calc!AE52</f>
        <v>1294.766253715316</v>
      </c>
    </row>
    <row r="46" spans="1:10" x14ac:dyDescent="0.2">
      <c r="A46" s="173">
        <f>Calc!A53</f>
        <v>4.4498999999999997E-3</v>
      </c>
      <c r="B46" s="173">
        <f>Calc!B53</f>
        <v>1.3202199999999999</v>
      </c>
      <c r="C46" s="173">
        <f>Calc!C53</f>
        <v>6.6343799999999994E-2</v>
      </c>
      <c r="D46" s="173">
        <f>Calc!I53</f>
        <v>9683989797812950</v>
      </c>
      <c r="E46" s="173">
        <f>Calc!P53</f>
        <v>1.6645735295763416E-4</v>
      </c>
      <c r="F46" s="174">
        <f>Calc!S53</f>
        <v>5851.8705359156202</v>
      </c>
      <c r="G46" s="173">
        <f>Calc!O53</f>
        <v>9683989797812950</v>
      </c>
      <c r="H46" s="177">
        <f>Calc!X53</f>
        <v>0.72745250735436406</v>
      </c>
      <c r="I46" s="178">
        <f>Calc!Y53</f>
        <v>6.9724481066947561</v>
      </c>
      <c r="J46" s="176">
        <f>Calc!AE53</f>
        <v>1303.0872467497697</v>
      </c>
    </row>
    <row r="47" spans="1:10" x14ac:dyDescent="0.2">
      <c r="A47" s="173">
        <f>Calc!A54</f>
        <v>4.5499E-3</v>
      </c>
      <c r="B47" s="173">
        <f>Calc!B54</f>
        <v>1.2551399999999999</v>
      </c>
      <c r="C47" s="173">
        <f>Calc!C54</f>
        <v>6.3123100000000001E-2</v>
      </c>
      <c r="D47" s="173">
        <f>Calc!I54</f>
        <v>9140908309771554</v>
      </c>
      <c r="E47" s="173">
        <f>Calc!P54</f>
        <v>1.650663716840773E-4</v>
      </c>
      <c r="F47" s="174">
        <f>Calc!S54</f>
        <v>5919.4658462814714</v>
      </c>
      <c r="G47" s="173">
        <f>Calc!O54</f>
        <v>9140908309771554</v>
      </c>
      <c r="H47" s="177">
        <f>Calc!X54</f>
        <v>0.72503309028389107</v>
      </c>
      <c r="I47" s="178">
        <f>Calc!Y54</f>
        <v>6.6368912120257866</v>
      </c>
      <c r="J47" s="176">
        <f>Calc!AE54</f>
        <v>1311.2114064479372</v>
      </c>
    </row>
    <row r="48" spans="1:10" x14ac:dyDescent="0.2">
      <c r="A48" s="173">
        <f>Calc!A55</f>
        <v>4.6499000000000002E-3</v>
      </c>
      <c r="B48" s="173">
        <f>Calc!B55</f>
        <v>1.1920500000000001</v>
      </c>
      <c r="C48" s="173">
        <f>Calc!C55</f>
        <v>6.0042999999999999E-2</v>
      </c>
      <c r="D48" s="173">
        <f>Calc!I55</f>
        <v>8620774946768362</v>
      </c>
      <c r="E48" s="173">
        <f>Calc!P55</f>
        <v>1.6363756855896359E-4</v>
      </c>
      <c r="F48" s="174">
        <f>Calc!S55</f>
        <v>5987.698630056304</v>
      </c>
      <c r="G48" s="173">
        <f>Calc!O55</f>
        <v>8620774946768362</v>
      </c>
      <c r="H48" s="177">
        <f>Calc!X55</f>
        <v>0.72259768903420341</v>
      </c>
      <c r="I48" s="178">
        <f>Calc!Y55</f>
        <v>6.3138933424043575</v>
      </c>
      <c r="J48" s="176">
        <f>Calc!AE55</f>
        <v>1319.2243828552539</v>
      </c>
    </row>
    <row r="49" spans="1:10" x14ac:dyDescent="0.2">
      <c r="A49" s="173">
        <f>Calc!A56</f>
        <v>4.7498999999999996E-3</v>
      </c>
      <c r="B49" s="173">
        <f>Calc!B56</f>
        <v>1.1309800000000001</v>
      </c>
      <c r="C49" s="173">
        <f>Calc!C56</f>
        <v>5.7104599999999998E-2</v>
      </c>
      <c r="D49" s="173">
        <f>Calc!I56</f>
        <v>8123234825620185</v>
      </c>
      <c r="E49" s="173">
        <f>Calc!P56</f>
        <v>1.6209205188155216E-4</v>
      </c>
      <c r="F49" s="174">
        <f>Calc!S56</f>
        <v>6059.7956309389428</v>
      </c>
      <c r="G49" s="173">
        <f>Calc!O56</f>
        <v>8123234825620185</v>
      </c>
      <c r="H49" s="177">
        <f>Calc!X56</f>
        <v>0.72014787977355377</v>
      </c>
      <c r="I49" s="178">
        <f>Calc!Y56</f>
        <v>6.0062200521649682</v>
      </c>
      <c r="J49" s="176">
        <f>Calc!AE56</f>
        <v>1327.1177690265104</v>
      </c>
    </row>
    <row r="50" spans="1:10" x14ac:dyDescent="0.2">
      <c r="A50" s="173">
        <f>Calc!A57</f>
        <v>4.8498999999999999E-3</v>
      </c>
      <c r="B50" s="173">
        <f>Calc!B57</f>
        <v>1.0727199999999999</v>
      </c>
      <c r="C50" s="173">
        <f>Calc!C57</f>
        <v>5.4315500000000003E-2</v>
      </c>
      <c r="D50" s="173">
        <f>Calc!I57</f>
        <v>7654029768246220</v>
      </c>
      <c r="E50" s="173">
        <f>Calc!P57</f>
        <v>1.6057071796066487E-4</v>
      </c>
      <c r="F50" s="174">
        <f>Calc!S57</f>
        <v>6130.5358432457051</v>
      </c>
      <c r="G50" s="173">
        <f>Calc!O57</f>
        <v>7654029768246220</v>
      </c>
      <c r="H50" s="177">
        <f>Calc!X57</f>
        <v>0.71771789107094763</v>
      </c>
      <c r="I50" s="178">
        <f>Calc!Y57</f>
        <v>5.712914826628773</v>
      </c>
      <c r="J50" s="176">
        <f>Calc!AE57</f>
        <v>1334.7818819910253</v>
      </c>
    </row>
    <row r="51" spans="1:10" x14ac:dyDescent="0.2">
      <c r="A51" s="173">
        <f>Calc!A58</f>
        <v>4.9499000000000001E-3</v>
      </c>
      <c r="B51" s="173">
        <f>Calc!B58</f>
        <v>1.01624</v>
      </c>
      <c r="C51" s="173">
        <f>Calc!C58</f>
        <v>5.1716900000000003E-2</v>
      </c>
      <c r="D51" s="173">
        <f>Calc!I58</f>
        <v>7204231213323801</v>
      </c>
      <c r="E51" s="173">
        <f>Calc!P58</f>
        <v>1.5873101671421823E-4</v>
      </c>
      <c r="F51" s="174">
        <f>Calc!S58</f>
        <v>6213.8103741541981</v>
      </c>
      <c r="G51" s="173">
        <f>Calc!O58</f>
        <v>7204231213323801</v>
      </c>
      <c r="H51" s="177">
        <f>Calc!X58</f>
        <v>0.71526701003392024</v>
      </c>
      <c r="I51" s="178">
        <f>Calc!Y58</f>
        <v>5.4395102086353644</v>
      </c>
      <c r="J51" s="176">
        <f>Calc!AE58</f>
        <v>1342.3452426298318</v>
      </c>
    </row>
    <row r="52" spans="1:10" x14ac:dyDescent="0.2">
      <c r="A52" s="173">
        <f>Calc!A59</f>
        <v>5.0499000000000004E-3</v>
      </c>
      <c r="B52" s="173">
        <f>Calc!B59</f>
        <v>0.96215899999999999</v>
      </c>
      <c r="C52" s="173">
        <f>Calc!C59</f>
        <v>4.9213E-2</v>
      </c>
      <c r="D52" s="173">
        <f>Calc!I59</f>
        <v>6778217281180770</v>
      </c>
      <c r="E52" s="173">
        <f>Calc!P59</f>
        <v>1.5693861503800601E-4</v>
      </c>
      <c r="F52" s="174">
        <f>Calc!S59</f>
        <v>6295.6506678635851</v>
      </c>
      <c r="G52" s="173">
        <f>Calc!O59</f>
        <v>6778217281180770</v>
      </c>
      <c r="H52" s="177">
        <f>Calc!X59</f>
        <v>0.7128236660076902</v>
      </c>
      <c r="I52" s="178">
        <f>Calc!Y59</f>
        <v>5.1763021888961394</v>
      </c>
      <c r="J52" s="176">
        <f>Calc!AE59</f>
        <v>1349.719145619548</v>
      </c>
    </row>
    <row r="53" spans="1:10" x14ac:dyDescent="0.2">
      <c r="A53" s="173">
        <f>Calc!A60</f>
        <v>5.1498999999999998E-3</v>
      </c>
      <c r="B53" s="173">
        <f>Calc!B60</f>
        <v>0.90972699999999995</v>
      </c>
      <c r="C53" s="173">
        <f>Calc!C60</f>
        <v>4.6859499999999998E-2</v>
      </c>
      <c r="D53" s="173">
        <f>Calc!I60</f>
        <v>6369566126721776</v>
      </c>
      <c r="E53" s="173">
        <f>Calc!P60</f>
        <v>1.5487184194493635E-4</v>
      </c>
      <c r="F53" s="174">
        <f>Calc!S60</f>
        <v>6389.6032012126525</v>
      </c>
      <c r="G53" s="173">
        <f>Calc!O60</f>
        <v>6369566126721776</v>
      </c>
      <c r="H53" s="177">
        <f>Calc!X60</f>
        <v>0.71035539417425131</v>
      </c>
      <c r="I53" s="178">
        <f>Calc!Y60</f>
        <v>4.9291421021377531</v>
      </c>
      <c r="J53" s="176">
        <f>Calc!AE60</f>
        <v>1357.0003502380275</v>
      </c>
    </row>
    <row r="54" spans="1:10" x14ac:dyDescent="0.2">
      <c r="A54" s="173">
        <f>Calc!A61</f>
        <v>5.2499000000000001E-3</v>
      </c>
      <c r="B54" s="173">
        <f>Calc!B61</f>
        <v>0.85990800000000001</v>
      </c>
      <c r="C54" s="173">
        <f>Calc!C61</f>
        <v>4.4605499999999999E-2</v>
      </c>
      <c r="D54" s="173">
        <f>Calc!I61</f>
        <v>5985273503833316</v>
      </c>
      <c r="E54" s="173">
        <f>Calc!P61</f>
        <v>1.5287346527730812E-4</v>
      </c>
      <c r="F54" s="174">
        <f>Calc!S61</f>
        <v>6481.8905660920573</v>
      </c>
      <c r="G54" s="173">
        <f>Calc!O61</f>
        <v>5985273503833316</v>
      </c>
      <c r="H54" s="177">
        <f>Calc!X61</f>
        <v>0.70790999362008511</v>
      </c>
      <c r="I54" s="178">
        <f>Calc!Y61</f>
        <v>4.6923007719145167</v>
      </c>
      <c r="J54" s="176">
        <f>Calc!AE61</f>
        <v>1364.0483565422701</v>
      </c>
    </row>
    <row r="55" spans="1:10" x14ac:dyDescent="0.2">
      <c r="A55" s="173">
        <f>Calc!A62</f>
        <v>5.3499000000000003E-3</v>
      </c>
      <c r="B55" s="173">
        <f>Calc!B62</f>
        <v>0.81112799999999996</v>
      </c>
      <c r="C55" s="173">
        <f>Calc!C62</f>
        <v>4.2468800000000001E-2</v>
      </c>
      <c r="D55" s="173">
        <f>Calc!I62</f>
        <v>5612771342035677</v>
      </c>
      <c r="E55" s="173">
        <f>Calc!P62</f>
        <v>1.5063372913382125E-4</v>
      </c>
      <c r="F55" s="174">
        <f>Calc!S62</f>
        <v>6586.3241075392079</v>
      </c>
      <c r="G55" s="173">
        <f>Calc!O62</f>
        <v>5612771342035677</v>
      </c>
      <c r="H55" s="177">
        <f>Calc!X62</f>
        <v>0.70541094143176408</v>
      </c>
      <c r="I55" s="178">
        <f>Calc!Y62</f>
        <v>4.4656951601598349</v>
      </c>
      <c r="J55" s="176">
        <f>Calc!AE62</f>
        <v>1371.0814639146865</v>
      </c>
    </row>
    <row r="56" spans="1:10" x14ac:dyDescent="0.2">
      <c r="A56" s="173">
        <f>Calc!A63</f>
        <v>5.4498999999999997E-3</v>
      </c>
      <c r="B56" s="173">
        <f>Calc!B63</f>
        <v>0.764903</v>
      </c>
      <c r="C56" s="173">
        <f>Calc!C63</f>
        <v>4.0462999999999999E-2</v>
      </c>
      <c r="D56" s="173">
        <f>Calc!I63</f>
        <v>5263234749654164</v>
      </c>
      <c r="E56" s="173">
        <f>Calc!P63</f>
        <v>1.4831696459419725E-4</v>
      </c>
      <c r="F56" s="174">
        <f>Calc!S63</f>
        <v>6696.3323330270223</v>
      </c>
      <c r="G56" s="173">
        <f>Calc!O63</f>
        <v>5263234749654164</v>
      </c>
      <c r="H56" s="177">
        <f>Calc!X63</f>
        <v>0.70293681711170863</v>
      </c>
      <c r="I56" s="178">
        <f>Calc!Y63</f>
        <v>4.2530047084828881</v>
      </c>
      <c r="J56" s="176">
        <f>Calc!AE63</f>
        <v>1377.8766451471802</v>
      </c>
    </row>
    <row r="57" spans="1:10" x14ac:dyDescent="0.2">
      <c r="A57" s="173">
        <f>Calc!A64</f>
        <v>5.5499E-3</v>
      </c>
      <c r="B57" s="173">
        <f>Calc!B64</f>
        <v>0.72115799999999997</v>
      </c>
      <c r="C57" s="173">
        <f>Calc!C64</f>
        <v>3.8502000000000002E-2</v>
      </c>
      <c r="D57" s="173">
        <f>Calc!I64</f>
        <v>4935554914535466</v>
      </c>
      <c r="E57" s="173">
        <f>Calc!P64</f>
        <v>1.4623250806846544E-4</v>
      </c>
      <c r="F57" s="174">
        <f>Calc!S64</f>
        <v>6797.9876275409461</v>
      </c>
      <c r="G57" s="173">
        <f>Calc!O64</f>
        <v>4935554914535466</v>
      </c>
      <c r="H57" s="177">
        <f>Calc!X64</f>
        <v>0.70048991478213551</v>
      </c>
      <c r="I57" s="178">
        <f>Calc!Y64</f>
        <v>4.0450697174311676</v>
      </c>
      <c r="J57" s="176">
        <f>Calc!AE64</f>
        <v>1384.43403754311</v>
      </c>
    </row>
    <row r="58" spans="1:10" x14ac:dyDescent="0.2">
      <c r="A58" s="173">
        <f>Calc!A65</f>
        <v>5.6499000000000002E-3</v>
      </c>
      <c r="B58" s="173">
        <f>Calc!B65</f>
        <v>0.67878499999999997</v>
      </c>
      <c r="C58" s="173">
        <f>Calc!C65</f>
        <v>3.6680699999999997E-2</v>
      </c>
      <c r="D58" s="173">
        <f>Calc!I65</f>
        <v>4621038939032045</v>
      </c>
      <c r="E58" s="173">
        <f>Calc!P65</f>
        <v>1.437817063320368E-4</v>
      </c>
      <c r="F58" s="174">
        <f>Calc!S65</f>
        <v>6919.5400653315428</v>
      </c>
      <c r="G58" s="173">
        <f>Calc!O65</f>
        <v>4621038939032045</v>
      </c>
      <c r="H58" s="177">
        <f>Calc!X65</f>
        <v>0.69801087802413619</v>
      </c>
      <c r="I58" s="178">
        <f>Calc!Y65</f>
        <v>3.8518551439776449</v>
      </c>
      <c r="J58" s="176">
        <f>Calc!AE65</f>
        <v>1390.9135277530736</v>
      </c>
    </row>
    <row r="59" spans="1:10" x14ac:dyDescent="0.2">
      <c r="A59" s="173">
        <f>Calc!A66</f>
        <v>5.7498999999999996E-3</v>
      </c>
      <c r="B59" s="173">
        <f>Calc!B66</f>
        <v>0.63801799999999997</v>
      </c>
      <c r="C59" s="173">
        <f>Calc!C66</f>
        <v>3.4931700000000003E-2</v>
      </c>
      <c r="D59" s="173">
        <f>Calc!I66</f>
        <v>4321134505446425</v>
      </c>
      <c r="E59" s="173">
        <f>Calc!P66</f>
        <v>1.4122252533992874E-4</v>
      </c>
      <c r="F59" s="174">
        <f>Calc!S66</f>
        <v>7050.0274960287743</v>
      </c>
      <c r="G59" s="173">
        <f>Calc!O66</f>
        <v>4321134505446425</v>
      </c>
      <c r="H59" s="177">
        <f>Calc!X66</f>
        <v>0.69551298574468712</v>
      </c>
      <c r="I59" s="178">
        <f>Calc!Y66</f>
        <v>3.6671423044674953</v>
      </c>
      <c r="J59" s="176">
        <f>Calc!AE66</f>
        <v>1397.2767950303166</v>
      </c>
    </row>
    <row r="60" spans="1:10" x14ac:dyDescent="0.2">
      <c r="A60" s="173">
        <f>Calc!A67</f>
        <v>5.8498999999999999E-3</v>
      </c>
      <c r="B60" s="173">
        <f>Calc!B67</f>
        <v>0.59971699999999994</v>
      </c>
      <c r="C60" s="173">
        <f>Calc!C67</f>
        <v>3.3255E-2</v>
      </c>
      <c r="D60" s="173">
        <f>Calc!I67</f>
        <v>4041785753429148</v>
      </c>
      <c r="E60" s="173">
        <f>Calc!P67</f>
        <v>1.388368792197433E-4</v>
      </c>
      <c r="F60" s="174">
        <f>Calc!S67</f>
        <v>7175.5793780174954</v>
      </c>
      <c r="G60" s="173">
        <f>Calc!O67</f>
        <v>4041785753429148</v>
      </c>
      <c r="H60" s="177">
        <f>Calc!X67</f>
        <v>0.69305348694890179</v>
      </c>
      <c r="I60" s="178">
        <f>Calc!Y67</f>
        <v>3.4890114706252615</v>
      </c>
      <c r="J60" s="176">
        <f>Calc!AE67</f>
        <v>1403.3815019640838</v>
      </c>
    </row>
    <row r="61" spans="1:10" x14ac:dyDescent="0.2">
      <c r="A61" s="173">
        <f>Calc!A68</f>
        <v>5.9499000000000002E-3</v>
      </c>
      <c r="B61" s="173">
        <f>Calc!B68</f>
        <v>0.562666</v>
      </c>
      <c r="C61" s="173">
        <f>Calc!C68</f>
        <v>3.17022E-2</v>
      </c>
      <c r="D61" s="173">
        <f>Calc!I68</f>
        <v>3773790477286341.5</v>
      </c>
      <c r="E61" s="173">
        <f>Calc!P68</f>
        <v>1.3606194543135439E-4</v>
      </c>
      <c r="F61" s="174">
        <f>Calc!S68</f>
        <v>7325.9526944291802</v>
      </c>
      <c r="G61" s="173">
        <f>Calc!O68</f>
        <v>3773790477286341.5</v>
      </c>
      <c r="H61" s="177">
        <f>Calc!X68</f>
        <v>0.69055780157662661</v>
      </c>
      <c r="I61" s="178">
        <f>Calc!Y68</f>
        <v>3.3241074946725631</v>
      </c>
      <c r="J61" s="176">
        <f>Calc!AE68</f>
        <v>1409.4146918191736</v>
      </c>
    </row>
    <row r="62" spans="1:10" x14ac:dyDescent="0.2">
      <c r="A62" s="173">
        <f>Calc!A69</f>
        <v>6.0499000000000004E-3</v>
      </c>
      <c r="B62" s="173">
        <f>Calc!B69</f>
        <v>0.52754400000000001</v>
      </c>
      <c r="C62" s="173">
        <f>Calc!C69</f>
        <v>3.0189500000000001E-2</v>
      </c>
      <c r="D62" s="173">
        <f>Calc!I69</f>
        <v>3521789677648033</v>
      </c>
      <c r="E62" s="173">
        <f>Calc!P69</f>
        <v>1.3340244960910282E-4</v>
      </c>
      <c r="F62" s="174">
        <f>Calc!S69</f>
        <v>7475.5252395600728</v>
      </c>
      <c r="G62" s="173">
        <f>Calc!O69</f>
        <v>3521789677648033</v>
      </c>
      <c r="H62" s="177">
        <f>Calc!X69</f>
        <v>0.68807329955670005</v>
      </c>
      <c r="I62" s="178">
        <f>Calc!Y69</f>
        <v>3.1639787886928743</v>
      </c>
      <c r="J62" s="176">
        <f>Calc!AE69</f>
        <v>1415.2612441927304</v>
      </c>
    </row>
    <row r="63" spans="1:10" x14ac:dyDescent="0.2">
      <c r="A63" s="173">
        <f>Calc!A70</f>
        <v>6.1498999999999998E-3</v>
      </c>
      <c r="B63" s="173">
        <f>Calc!B70</f>
        <v>0.49366700000000002</v>
      </c>
      <c r="C63" s="173">
        <f>Calc!C70</f>
        <v>2.87052E-2</v>
      </c>
      <c r="D63" s="173">
        <f>Calc!I70</f>
        <v>3280616098459796</v>
      </c>
      <c r="E63" s="173">
        <f>Calc!P70</f>
        <v>1.3077973015828963E-4</v>
      </c>
      <c r="F63" s="174">
        <f>Calc!S70</f>
        <v>7628.5792410110162</v>
      </c>
      <c r="G63" s="173">
        <f>Calc!O70</f>
        <v>3280616098459796</v>
      </c>
      <c r="H63" s="177">
        <f>Calc!X70</f>
        <v>0.6855534827866363</v>
      </c>
      <c r="I63" s="178">
        <f>Calc!Y70</f>
        <v>3.0064149771646882</v>
      </c>
      <c r="J63" s="176">
        <f>Calc!AE70</f>
        <v>1421.030222225387</v>
      </c>
    </row>
    <row r="64" spans="1:10" x14ac:dyDescent="0.2">
      <c r="A64" s="173">
        <f>Calc!A71</f>
        <v>6.2499000000000001E-3</v>
      </c>
      <c r="B64" s="173">
        <f>Calc!B71</f>
        <v>0.46190999999999999</v>
      </c>
      <c r="C64" s="173">
        <f>Calc!C71</f>
        <v>2.7319400000000001E-2</v>
      </c>
      <c r="D64" s="173">
        <f>Calc!I71</f>
        <v>3056235735884297.5</v>
      </c>
      <c r="E64" s="173">
        <f>Calc!P71</f>
        <v>1.2814845454984191E-4</v>
      </c>
      <c r="F64" s="174">
        <f>Calc!S71</f>
        <v>7787.94419246712</v>
      </c>
      <c r="G64" s="173">
        <f>Calc!O71</f>
        <v>3056235735884297.5</v>
      </c>
      <c r="H64" s="177">
        <f>Calc!X71</f>
        <v>0.68306710694213013</v>
      </c>
      <c r="I64" s="178">
        <f>Calc!Y71</f>
        <v>2.8582974905940923</v>
      </c>
      <c r="J64" s="176">
        <f>Calc!AE71</f>
        <v>1426.5660838665003</v>
      </c>
    </row>
    <row r="65" spans="1:10" x14ac:dyDescent="0.2">
      <c r="A65" s="173">
        <f>Calc!A72</f>
        <v>6.3499000000000003E-3</v>
      </c>
      <c r="B65" s="173">
        <f>Calc!B72</f>
        <v>0.43156299999999997</v>
      </c>
      <c r="C65" s="173">
        <f>Calc!C72</f>
        <v>2.6011800000000002E-2</v>
      </c>
      <c r="D65" s="173">
        <f>Calc!I72</f>
        <v>2843367280130164</v>
      </c>
      <c r="E65" s="173">
        <f>Calc!P72</f>
        <v>1.2534087286258794E-4</v>
      </c>
      <c r="F65" s="174">
        <f>Calc!S72</f>
        <v>7964.822802256308</v>
      </c>
      <c r="G65" s="173">
        <f>Calc!O72</f>
        <v>2843367280130164</v>
      </c>
      <c r="H65" s="177">
        <f>Calc!X72</f>
        <v>0.68056390646607556</v>
      </c>
      <c r="I65" s="178">
        <f>Calc!Y72</f>
        <v>2.7187808249268399</v>
      </c>
      <c r="J65" s="176">
        <f>Calc!AE72</f>
        <v>1431.9844675625377</v>
      </c>
    </row>
    <row r="66" spans="1:10" x14ac:dyDescent="0.2">
      <c r="A66" s="173">
        <f>Calc!A73</f>
        <v>6.4498999999999997E-3</v>
      </c>
      <c r="B66" s="173">
        <f>Calc!B73</f>
        <v>0.40319899999999997</v>
      </c>
      <c r="C66" s="173">
        <f>Calc!C73</f>
        <v>2.47999E-2</v>
      </c>
      <c r="D66" s="173">
        <f>Calc!I73</f>
        <v>2645789041127380.5</v>
      </c>
      <c r="E66" s="173">
        <f>Calc!P73</f>
        <v>1.224612741488277E-4</v>
      </c>
      <c r="F66" s="174">
        <f>Calc!S73</f>
        <v>8154.226438921356</v>
      </c>
      <c r="G66" s="173">
        <f>Calc!O73</f>
        <v>2645789041127380.5</v>
      </c>
      <c r="H66" s="177">
        <f>Calc!X73</f>
        <v>0.67809678140596252</v>
      </c>
      <c r="I66" s="178">
        <f>Calc!Y73</f>
        <v>2.5893478147315956</v>
      </c>
      <c r="J66" s="176">
        <f>Calc!AE73</f>
        <v>1437.1748308038907</v>
      </c>
    </row>
    <row r="67" spans="1:10" x14ac:dyDescent="0.2">
      <c r="A67" s="173">
        <f>Calc!A74</f>
        <v>6.5499E-3</v>
      </c>
      <c r="B67" s="173">
        <f>Calc!B74</f>
        <v>0.37561099999999997</v>
      </c>
      <c r="C67" s="173">
        <f>Calc!C74</f>
        <v>2.3623100000000001E-2</v>
      </c>
      <c r="D67" s="173">
        <f>Calc!I74</f>
        <v>2454907649110743</v>
      </c>
      <c r="E67" s="173">
        <f>Calc!P74</f>
        <v>1.1938810099173661E-4</v>
      </c>
      <c r="F67" s="174">
        <f>Calc!S74</f>
        <v>8366.0400002300448</v>
      </c>
      <c r="G67" s="173">
        <f>Calc!O74</f>
        <v>2454907649110743</v>
      </c>
      <c r="H67" s="177">
        <f>Calc!X74</f>
        <v>0.67556267085886434</v>
      </c>
      <c r="I67" s="178">
        <f>Calc!Y74</f>
        <v>2.4643822173991143</v>
      </c>
      <c r="J67" s="176">
        <f>Calc!AE74</f>
        <v>1442.3535089650663</v>
      </c>
    </row>
    <row r="68" spans="1:10" x14ac:dyDescent="0.2">
      <c r="A68" s="173">
        <f>Calc!A75</f>
        <v>6.6499000000000003E-3</v>
      </c>
      <c r="B68" s="173">
        <f>Calc!B75</f>
        <v>0.35003499999999999</v>
      </c>
      <c r="C68" s="173">
        <f>Calc!C75</f>
        <v>2.2521599999999999E-2</v>
      </c>
      <c r="D68" s="173">
        <f>Calc!I75</f>
        <v>2279096217709575</v>
      </c>
      <c r="E68" s="173">
        <f>Calc!P75</f>
        <v>1.1634471165608758E-4</v>
      </c>
      <c r="F68" s="174">
        <f>Calc!S75</f>
        <v>8586.5253609586653</v>
      </c>
      <c r="G68" s="173">
        <f>Calc!O75</f>
        <v>2279096217709575</v>
      </c>
      <c r="H68" s="177">
        <f>Calc!X75</f>
        <v>0.67307826918114577</v>
      </c>
      <c r="I68" s="178">
        <f>Calc!Y75</f>
        <v>2.3477398103889873</v>
      </c>
      <c r="J68" s="176">
        <f>Calc!AE75</f>
        <v>1447.2828484314364</v>
      </c>
    </row>
    <row r="69" spans="1:10" x14ac:dyDescent="0.2">
      <c r="A69" s="173">
        <f>Calc!A76</f>
        <v>6.7498999999999997E-3</v>
      </c>
      <c r="B69" s="173">
        <f>Calc!B76</f>
        <v>0.32530799999999999</v>
      </c>
      <c r="C69" s="173">
        <f>Calc!C76</f>
        <v>2.1438599999999999E-2</v>
      </c>
      <c r="D69" s="173">
        <f>Calc!I76</f>
        <v>2110183482339978.5</v>
      </c>
      <c r="E69" s="173">
        <f>Calc!P76</f>
        <v>1.1329953097079958E-4</v>
      </c>
      <c r="F69" s="174">
        <f>Calc!S76</f>
        <v>8818.7700973483479</v>
      </c>
      <c r="G69" s="173">
        <f>Calc!O76</f>
        <v>2110183482339978.5</v>
      </c>
      <c r="H69" s="177">
        <f>Calc!X76</f>
        <v>0.67053482950291032</v>
      </c>
      <c r="I69" s="178">
        <f>Calc!Y76</f>
        <v>2.232163789958173</v>
      </c>
      <c r="J69" s="176">
        <f>Calc!AE76</f>
        <v>1452.1803121948551</v>
      </c>
    </row>
    <row r="70" spans="1:10" x14ac:dyDescent="0.2">
      <c r="A70" s="173">
        <f>Calc!A77</f>
        <v>6.8498999999999999E-3</v>
      </c>
      <c r="B70" s="173">
        <f>Calc!B77</f>
        <v>0.30194900000000002</v>
      </c>
      <c r="C70" s="173">
        <f>Calc!C77</f>
        <v>2.0406299999999999E-2</v>
      </c>
      <c r="D70" s="173">
        <f>Calc!I77</f>
        <v>1951586799628186</v>
      </c>
      <c r="E70" s="173">
        <f>Calc!P77</f>
        <v>1.1022568819933569E-4</v>
      </c>
      <c r="F70" s="174">
        <f>Calc!S77</f>
        <v>9065.972936475333</v>
      </c>
      <c r="G70" s="173">
        <f>Calc!O77</f>
        <v>1951586799628186</v>
      </c>
      <c r="H70" s="177">
        <f>Calc!X77</f>
        <v>0.66798536557746946</v>
      </c>
      <c r="I70" s="178">
        <f>Calc!Y77</f>
        <v>2.1219688506250018</v>
      </c>
      <c r="J70" s="176">
        <f>Calc!AE77</f>
        <v>1456.9407155929109</v>
      </c>
    </row>
    <row r="71" spans="1:10" x14ac:dyDescent="0.2">
      <c r="A71" s="173">
        <f>Calc!A78</f>
        <v>6.9499000000000002E-3</v>
      </c>
      <c r="B71" s="173">
        <f>Calc!B78</f>
        <v>0.280225</v>
      </c>
      <c r="C71" s="173">
        <f>Calc!C78</f>
        <v>1.94532E-2</v>
      </c>
      <c r="D71" s="173">
        <f>Calc!I78</f>
        <v>1804948813713532</v>
      </c>
      <c r="E71" s="173">
        <f>Calc!P78</f>
        <v>1.0712376604185369E-4</v>
      </c>
      <c r="F71" s="174">
        <f>Calc!S78</f>
        <v>9329.588661969201</v>
      </c>
      <c r="G71" s="173">
        <f>Calc!O78</f>
        <v>1804948813713532</v>
      </c>
      <c r="H71" s="177">
        <f>Calc!X78</f>
        <v>0.66546695087956909</v>
      </c>
      <c r="I71" s="178">
        <f>Calc!Y78</f>
        <v>2.0193565597991814</v>
      </c>
      <c r="J71" s="176">
        <f>Calc!AE78</f>
        <v>1461.4996765567116</v>
      </c>
    </row>
    <row r="72" spans="1:10" x14ac:dyDescent="0.2">
      <c r="A72" s="173">
        <f>Calc!A79</f>
        <v>7.0498999999999996E-3</v>
      </c>
      <c r="B72" s="173">
        <f>Calc!B79</f>
        <v>0.25989800000000002</v>
      </c>
      <c r="C72" s="173">
        <f>Calc!C79</f>
        <v>1.8539099999999999E-2</v>
      </c>
      <c r="D72" s="173">
        <f>Calc!I79</f>
        <v>1668499854874733.7</v>
      </c>
      <c r="E72" s="173">
        <f>Calc!P79</f>
        <v>1.0407155899405569E-4</v>
      </c>
      <c r="F72" s="174">
        <f>Calc!S79</f>
        <v>9604.1518729426934</v>
      </c>
      <c r="G72" s="173">
        <f>Calc!O79</f>
        <v>1668499854874733.7</v>
      </c>
      <c r="H72" s="177">
        <f>Calc!X79</f>
        <v>0.6629619995307271</v>
      </c>
      <c r="I72" s="178">
        <f>Calc!Y79</f>
        <v>1.9214454724504022</v>
      </c>
      <c r="J72" s="176">
        <f>Calc!AE79</f>
        <v>1465.8954775659654</v>
      </c>
    </row>
    <row r="73" spans="1:10" x14ac:dyDescent="0.2">
      <c r="A73" s="173">
        <f>Calc!A80</f>
        <v>7.1498999999999998E-3</v>
      </c>
      <c r="B73" s="173">
        <f>Calc!B80</f>
        <v>0.24046899999999999</v>
      </c>
      <c r="C73" s="173">
        <f>Calc!C80</f>
        <v>1.7670000000000002E-2</v>
      </c>
      <c r="D73" s="173">
        <f>Calc!I80</f>
        <v>1538775386370625.2</v>
      </c>
      <c r="E73" s="173">
        <f>Calc!P80</f>
        <v>1.0081859359492499E-4</v>
      </c>
      <c r="F73" s="174">
        <f>Calc!S80</f>
        <v>9914.8746978758318</v>
      </c>
      <c r="G73" s="173">
        <f>Calc!O80</f>
        <v>1538775386370625.2</v>
      </c>
      <c r="H73" s="177">
        <f>Calc!X80</f>
        <v>0.66041243175579911</v>
      </c>
      <c r="I73" s="178">
        <f>Calc!Y80</f>
        <v>1.8292309783305762</v>
      </c>
      <c r="J73" s="176">
        <f>Calc!AE80</f>
        <v>1470.2302028991116</v>
      </c>
    </row>
    <row r="74" spans="1:10" x14ac:dyDescent="0.2">
      <c r="A74" s="173">
        <f>Calc!A81</f>
        <v>7.2499000000000001E-3</v>
      </c>
      <c r="B74" s="173">
        <f>Calc!B81</f>
        <v>0.22226099999999999</v>
      </c>
      <c r="C74" s="173">
        <f>Calc!C81</f>
        <v>1.68624E-2</v>
      </c>
      <c r="D74" s="173">
        <f>Calc!I81</f>
        <v>1417831418274960.7</v>
      </c>
      <c r="E74" s="173">
        <f>Calc!P81</f>
        <v>9.7508667419684869E-5</v>
      </c>
      <c r="F74" s="174">
        <f>Calc!S81</f>
        <v>10252.161569085922</v>
      </c>
      <c r="G74" s="173">
        <f>Calc!O81</f>
        <v>1417831418274960.7</v>
      </c>
      <c r="H74" s="177">
        <f>Calc!X81</f>
        <v>0.65786315895257574</v>
      </c>
      <c r="I74" s="178">
        <f>Calc!Y81</f>
        <v>1.7426706868107529</v>
      </c>
      <c r="J74" s="176">
        <f>Calc!AE81</f>
        <v>1474.426687948642</v>
      </c>
    </row>
    <row r="75" spans="1:10" x14ac:dyDescent="0.2">
      <c r="A75" s="173">
        <f>Calc!A82</f>
        <v>7.3499000000000004E-3</v>
      </c>
      <c r="B75" s="173">
        <f>Calc!B82</f>
        <v>0.204981</v>
      </c>
      <c r="C75" s="173">
        <f>Calc!C82</f>
        <v>1.6049899999999999E-2</v>
      </c>
      <c r="D75" s="173">
        <f>Calc!I82</f>
        <v>1303623589639482.2</v>
      </c>
      <c r="E75" s="173">
        <f>Calc!P82</f>
        <v>9.435922606384288E-5</v>
      </c>
      <c r="F75" s="174">
        <f>Calc!S82</f>
        <v>10594.976755862675</v>
      </c>
      <c r="G75" s="173">
        <f>Calc!O82</f>
        <v>1303623589639482.2</v>
      </c>
      <c r="H75" s="177">
        <f>Calc!X82</f>
        <v>0.65527698061228234</v>
      </c>
      <c r="I75" s="178">
        <f>Calc!Y82</f>
        <v>1.6557767955876794</v>
      </c>
      <c r="J75" s="176">
        <f>Calc!AE82</f>
        <v>1478.5461513867838</v>
      </c>
    </row>
    <row r="76" spans="1:10" x14ac:dyDescent="0.2">
      <c r="A76" s="173">
        <f>Calc!A83</f>
        <v>7.4498999999999998E-3</v>
      </c>
      <c r="B76" s="173">
        <f>Calc!B83</f>
        <v>0.18928700000000001</v>
      </c>
      <c r="C76" s="173">
        <f>Calc!C83</f>
        <v>1.52979E-2</v>
      </c>
      <c r="D76" s="173">
        <f>Calc!I83</f>
        <v>1200389928685442</v>
      </c>
      <c r="E76" s="173">
        <f>Calc!P83</f>
        <v>9.136248223849108E-5</v>
      </c>
      <c r="F76" s="174">
        <f>Calc!S83</f>
        <v>10943.01994291456</v>
      </c>
      <c r="G76" s="173">
        <f>Calc!O83</f>
        <v>1200389928685442</v>
      </c>
      <c r="H76" s="177">
        <f>Calc!X83</f>
        <v>0.65276375015557242</v>
      </c>
      <c r="I76" s="178">
        <f>Calc!Y83</f>
        <v>1.5746658322414955</v>
      </c>
      <c r="J76" s="176">
        <f>Calc!AE83</f>
        <v>1482.4193401588379</v>
      </c>
    </row>
    <row r="77" spans="1:10" x14ac:dyDescent="0.2">
      <c r="A77" s="173">
        <f>Calc!A84</f>
        <v>7.5499E-3</v>
      </c>
      <c r="B77" s="173">
        <f>Calc!B84</f>
        <v>0.17429700000000001</v>
      </c>
      <c r="C77" s="173">
        <f>Calc!C84</f>
        <v>1.4539099999999999E-2</v>
      </c>
      <c r="D77" s="173">
        <f>Calc!I84</f>
        <v>1102233216331581.5</v>
      </c>
      <c r="E77" s="173">
        <f>Calc!P84</f>
        <v>8.8411789630937098E-5</v>
      </c>
      <c r="F77" s="174">
        <f>Calc!S84</f>
        <v>11308.691956813132</v>
      </c>
      <c r="G77" s="173">
        <f>Calc!O84</f>
        <v>1102233216331581.5</v>
      </c>
      <c r="H77" s="177">
        <f>Calc!X84</f>
        <v>0.65019209613873585</v>
      </c>
      <c r="I77" s="178">
        <f>Calc!Y84</f>
        <v>1.4941605458798026</v>
      </c>
      <c r="J77" s="176">
        <f>Calc!AE84</f>
        <v>1486.2528010746137</v>
      </c>
    </row>
    <row r="78" spans="1:10" x14ac:dyDescent="0.2">
      <c r="A78" s="173">
        <f>Calc!A85</f>
        <v>7.6499000000000003E-3</v>
      </c>
      <c r="B78" s="173">
        <f>Calc!B85</f>
        <v>0.160694</v>
      </c>
      <c r="C78" s="173">
        <f>Calc!C85</f>
        <v>1.3861399999999999E-2</v>
      </c>
      <c r="D78" s="173">
        <f>Calc!I85</f>
        <v>1013544112994347.6</v>
      </c>
      <c r="E78" s="173">
        <f>Calc!P85</f>
        <v>8.5382785132386327E-5</v>
      </c>
      <c r="F78" s="174">
        <f>Calc!S85</f>
        <v>11710.257491189283</v>
      </c>
      <c r="G78" s="173">
        <f>Calc!O85</f>
        <v>1013544112994347.6</v>
      </c>
      <c r="H78" s="177">
        <f>Calc!X85</f>
        <v>0.64768875653430125</v>
      </c>
      <c r="I78" s="178">
        <f>Calc!Y85</f>
        <v>1.4226769325826667</v>
      </c>
      <c r="J78" s="176">
        <f>Calc!AE85</f>
        <v>1489.8612110076417</v>
      </c>
    </row>
    <row r="79" spans="1:10" x14ac:dyDescent="0.2">
      <c r="A79" s="173">
        <f>Calc!A86</f>
        <v>7.7498999999999997E-3</v>
      </c>
      <c r="B79" s="173">
        <f>Calc!B86</f>
        <v>0.14738299999999999</v>
      </c>
      <c r="C79" s="173">
        <f>Calc!C86</f>
        <v>1.31778E-2</v>
      </c>
      <c r="D79" s="173">
        <f>Calc!I86</f>
        <v>927121933789796.75</v>
      </c>
      <c r="E79" s="173">
        <f>Calc!P86</f>
        <v>8.2300410873662928E-5</v>
      </c>
      <c r="F79" s="174">
        <f>Calc!S86</f>
        <v>12149.180764755805</v>
      </c>
      <c r="G79" s="173">
        <f>Calc!O86</f>
        <v>927121933789796.75</v>
      </c>
      <c r="H79" s="177">
        <f>Calc!X86</f>
        <v>0.64505514378222117</v>
      </c>
      <c r="I79" s="178">
        <f>Calc!Y86</f>
        <v>1.3501089114735385</v>
      </c>
      <c r="J79" s="176">
        <f>Calc!AE86</f>
        <v>1493.5292872908813</v>
      </c>
    </row>
    <row r="80" spans="1:10" x14ac:dyDescent="0.2">
      <c r="A80" s="173">
        <f>Calc!A87</f>
        <v>7.8498999999999999E-3</v>
      </c>
      <c r="B80" s="173">
        <f>Calc!B87</f>
        <v>0.13508300000000001</v>
      </c>
      <c r="C80" s="173">
        <f>Calc!C87</f>
        <v>1.25372E-2</v>
      </c>
      <c r="D80" s="173">
        <f>Calc!I87</f>
        <v>847590918195712.37</v>
      </c>
      <c r="E80" s="173">
        <f>Calc!P87</f>
        <v>7.9198310307788413E-5</v>
      </c>
      <c r="F80" s="174">
        <f>Calc!S87</f>
        <v>12625.339445774442</v>
      </c>
      <c r="G80" s="173">
        <f>Calc!O87</f>
        <v>847590918195712.37</v>
      </c>
      <c r="H80" s="177">
        <f>Calc!X87</f>
        <v>0.64243036206189863</v>
      </c>
      <c r="I80" s="178">
        <f>Calc!Y87</f>
        <v>1.2826386727364236</v>
      </c>
      <c r="J80" s="176">
        <f>Calc!AE87</f>
        <v>1497.057546547954</v>
      </c>
    </row>
    <row r="81" spans="1:10" x14ac:dyDescent="0.2">
      <c r="A81" s="173">
        <f>Calc!A88</f>
        <v>7.9498999999999993E-3</v>
      </c>
      <c r="B81" s="173">
        <f>Calc!B88</f>
        <v>0.12406300000000001</v>
      </c>
      <c r="C81" s="173">
        <f>Calc!C88</f>
        <v>1.19376E-2</v>
      </c>
      <c r="D81" s="173">
        <f>Calc!I88</f>
        <v>776610257422666.37</v>
      </c>
      <c r="E81" s="173">
        <f>Calc!P88</f>
        <v>7.6368504370029423E-5</v>
      </c>
      <c r="F81" s="174">
        <f>Calc!S88</f>
        <v>13093.402172108375</v>
      </c>
      <c r="G81" s="173">
        <f>Calc!O88</f>
        <v>776610257422666.37</v>
      </c>
      <c r="H81" s="177">
        <f>Calc!X88</f>
        <v>0.63989386439406604</v>
      </c>
      <c r="I81" s="178">
        <f>Calc!Y88</f>
        <v>1.2187728991639613</v>
      </c>
      <c r="J81" s="176">
        <f>Calc!AE88</f>
        <v>1500.3492146830995</v>
      </c>
    </row>
    <row r="82" spans="1:10" x14ac:dyDescent="0.2">
      <c r="A82" s="173">
        <f>Calc!A89</f>
        <v>8.0499000000000005E-3</v>
      </c>
      <c r="B82" s="173">
        <f>Calc!B89</f>
        <v>0.11333</v>
      </c>
      <c r="C82" s="173">
        <f>Calc!C89</f>
        <v>1.1379E-2</v>
      </c>
      <c r="D82" s="173">
        <f>Calc!I89</f>
        <v>707734020441370.12</v>
      </c>
      <c r="E82" s="173">
        <f>Calc!P89</f>
        <v>7.3183665170867016E-5</v>
      </c>
      <c r="F82" s="174">
        <f>Calc!S89</f>
        <v>13663.419936843644</v>
      </c>
      <c r="G82" s="173">
        <f>Calc!O89</f>
        <v>707734020441370.12</v>
      </c>
      <c r="H82" s="177">
        <f>Calc!X89</f>
        <v>0.63722379417667119</v>
      </c>
      <c r="I82" s="178">
        <f>Calc!Y89</f>
        <v>1.1590171653141006</v>
      </c>
      <c r="J82" s="176">
        <f>Calc!AE89</f>
        <v>1503.69223483518</v>
      </c>
    </row>
    <row r="83" spans="1:10" x14ac:dyDescent="0.2">
      <c r="A83" s="173">
        <f>Calc!A90</f>
        <v>8.1498999999999999E-3</v>
      </c>
      <c r="B83" s="173">
        <f>Calc!B90</f>
        <v>0.103477</v>
      </c>
      <c r="C83" s="173">
        <f>Calc!C90</f>
        <v>1.08331E-2</v>
      </c>
      <c r="D83" s="173">
        <f>Calc!I90</f>
        <v>644733768040229.75</v>
      </c>
      <c r="E83" s="173">
        <f>Calc!P90</f>
        <v>7.0168448687885955E-5</v>
      </c>
      <c r="F83" s="174">
        <f>Calc!S90</f>
        <v>14250.729498201576</v>
      </c>
      <c r="G83" s="173">
        <f>Calc!O90</f>
        <v>644733768040229.75</v>
      </c>
      <c r="H83" s="177">
        <f>Calc!X90</f>
        <v>0.63456592592418981</v>
      </c>
      <c r="I83" s="178">
        <f>Calc!Y90</f>
        <v>1.1012159510605555</v>
      </c>
      <c r="J83" s="176">
        <f>Calc!AE90</f>
        <v>1506.8990079864484</v>
      </c>
    </row>
    <row r="84" spans="1:10" x14ac:dyDescent="0.2">
      <c r="A84" s="173">
        <f>Calc!A91</f>
        <v>8.2498999999999992E-3</v>
      </c>
      <c r="B84" s="173">
        <f>Calc!B91</f>
        <v>9.4741599999999995E-2</v>
      </c>
      <c r="C84" s="173">
        <f>Calc!C91</f>
        <v>1.0295E-2</v>
      </c>
      <c r="D84" s="173">
        <f>Calc!I91</f>
        <v>589068337905270.12</v>
      </c>
      <c r="E84" s="173">
        <f>Calc!P91</f>
        <v>6.7650941149800947E-5</v>
      </c>
      <c r="F84" s="174">
        <f>Calc!S91</f>
        <v>14781.184334471232</v>
      </c>
      <c r="G84" s="173">
        <f>Calc!O91</f>
        <v>589068337905270.12</v>
      </c>
      <c r="H84" s="177">
        <f>Calc!X91</f>
        <v>0.63201180833957216</v>
      </c>
      <c r="I84" s="178">
        <f>Calc!Y91</f>
        <v>1.0435801000732603</v>
      </c>
      <c r="J84" s="176">
        <f>Calc!AE91</f>
        <v>1509.8699711423876</v>
      </c>
    </row>
    <row r="85" spans="1:10" x14ac:dyDescent="0.2">
      <c r="A85" s="173">
        <f>Calc!A92</f>
        <v>8.3499000000000004E-3</v>
      </c>
      <c r="B85" s="173">
        <f>Calc!B92</f>
        <v>8.6421300000000006E-2</v>
      </c>
      <c r="C85" s="173">
        <f>Calc!C92</f>
        <v>9.7940200000000005E-3</v>
      </c>
      <c r="D85" s="173">
        <f>Calc!I92</f>
        <v>536218500668563.62</v>
      </c>
      <c r="E85" s="173">
        <f>Calc!P92</f>
        <v>6.4868022072610317E-5</v>
      </c>
      <c r="F85" s="174">
        <f>Calc!S92</f>
        <v>15415.439017957389</v>
      </c>
      <c r="G85" s="173">
        <f>Calc!O92</f>
        <v>536218500668563.62</v>
      </c>
      <c r="H85" s="177">
        <f>Calc!X92</f>
        <v>0.62937236445527411</v>
      </c>
      <c r="I85" s="178">
        <f>Calc!Y92</f>
        <v>0.99070667632634624</v>
      </c>
      <c r="J85" s="176">
        <f>Calc!AE92</f>
        <v>1512.8294052675976</v>
      </c>
    </row>
    <row r="86" spans="1:10" x14ac:dyDescent="0.2">
      <c r="A86" s="173">
        <f>Calc!A93</f>
        <v>8.4498999999999998E-3</v>
      </c>
      <c r="B86" s="173">
        <f>Calc!B93</f>
        <v>7.9028699999999993E-2</v>
      </c>
      <c r="C86" s="173">
        <f>Calc!C93</f>
        <v>9.3291799999999994E-3</v>
      </c>
      <c r="D86" s="173">
        <f>Calc!I93</f>
        <v>489405479215103.75</v>
      </c>
      <c r="E86" s="173">
        <f>Calc!P93</f>
        <v>6.2252807522985383E-5</v>
      </c>
      <c r="F86" s="174">
        <f>Calc!S93</f>
        <v>16063.134950991536</v>
      </c>
      <c r="G86" s="173">
        <f>Calc!O93</f>
        <v>489405479215103.75</v>
      </c>
      <c r="H86" s="177">
        <f>Calc!X93</f>
        <v>0.62682500035862543</v>
      </c>
      <c r="I86" s="178">
        <f>Calc!Y93</f>
        <v>0.94220159791518698</v>
      </c>
      <c r="J86" s="176">
        <f>Calc!AE93</f>
        <v>1515.581782515522</v>
      </c>
    </row>
    <row r="87" spans="1:10" x14ac:dyDescent="0.2">
      <c r="A87" s="173">
        <f>Calc!A94</f>
        <v>8.5498999999999992E-3</v>
      </c>
      <c r="B87" s="173">
        <f>Calc!B94</f>
        <v>7.1831400000000004E-2</v>
      </c>
      <c r="C87" s="173">
        <f>Calc!C94</f>
        <v>8.8799599999999992E-3</v>
      </c>
      <c r="D87" s="173">
        <f>Calc!I94</f>
        <v>443964099186424.87</v>
      </c>
      <c r="E87" s="173">
        <f>Calc!P94</f>
        <v>5.9427358648644249E-5</v>
      </c>
      <c r="F87" s="174">
        <f>Calc!S94</f>
        <v>16826.939284074608</v>
      </c>
      <c r="G87" s="173">
        <f>Calc!O94</f>
        <v>443964099186424.87</v>
      </c>
      <c r="H87" s="177">
        <f>Calc!X94</f>
        <v>0.62412536506524741</v>
      </c>
      <c r="I87" s="178">
        <f>Calc!Y94</f>
        <v>0.89535523344880896</v>
      </c>
      <c r="J87" s="176">
        <f>Calc!AE94</f>
        <v>1518.3905961706698</v>
      </c>
    </row>
    <row r="88" spans="1:10" x14ac:dyDescent="0.2">
      <c r="A88" s="173">
        <f>Calc!A95</f>
        <v>8.6499000000000003E-3</v>
      </c>
      <c r="B88" s="173">
        <f>Calc!B95</f>
        <v>6.5273800000000007E-2</v>
      </c>
      <c r="C88" s="173">
        <f>Calc!C95</f>
        <v>8.4561299999999992E-3</v>
      </c>
      <c r="D88" s="173">
        <f>Calc!I95</f>
        <v>402681757323470.44</v>
      </c>
      <c r="E88" s="173">
        <f>Calc!P95</f>
        <v>5.6718494304574738E-5</v>
      </c>
      <c r="F88" s="174">
        <f>Calc!S95</f>
        <v>17630.664303695597</v>
      </c>
      <c r="G88" s="173">
        <f>Calc!O95</f>
        <v>402681757323470.44</v>
      </c>
      <c r="H88" s="177">
        <f>Calc!X95</f>
        <v>0.62143853868278143</v>
      </c>
      <c r="I88" s="178">
        <f>Calc!Y95</f>
        <v>0.85088567767158585</v>
      </c>
      <c r="J88" s="176">
        <f>Calc!AE95</f>
        <v>1521.0789072694699</v>
      </c>
    </row>
    <row r="89" spans="1:10" x14ac:dyDescent="0.2">
      <c r="A89" s="173">
        <f>Calc!A96</f>
        <v>8.7498999999999997E-3</v>
      </c>
      <c r="B89" s="173">
        <f>Calc!B96</f>
        <v>5.9180000000000003E-2</v>
      </c>
      <c r="C89" s="173">
        <f>Calc!C96</f>
        <v>8.0117999999999995E-3</v>
      </c>
      <c r="D89" s="173">
        <f>Calc!I96</f>
        <v>364425959597825.56</v>
      </c>
      <c r="E89" s="173">
        <f>Calc!P96</f>
        <v>5.4270338277293005E-5</v>
      </c>
      <c r="F89" s="174">
        <f>Calc!S96</f>
        <v>18426.051272009627</v>
      </c>
      <c r="G89" s="173">
        <f>Calc!O96</f>
        <v>364425959597825.56</v>
      </c>
      <c r="H89" s="177">
        <f>Calc!X96</f>
        <v>0.61870656163233217</v>
      </c>
      <c r="I89" s="178">
        <f>Calc!Y96</f>
        <v>0.80478658577575757</v>
      </c>
      <c r="J89" s="176">
        <f>Calc!AE96</f>
        <v>1523.7061345400869</v>
      </c>
    </row>
    <row r="90" spans="1:10" x14ac:dyDescent="0.2">
      <c r="A90" s="173">
        <f>Calc!A97</f>
        <v>8.8499000000000008E-3</v>
      </c>
      <c r="B90" s="173">
        <f>Calc!B97</f>
        <v>5.3926099999999998E-2</v>
      </c>
      <c r="C90" s="173">
        <f>Calc!C97</f>
        <v>7.6270299999999999E-3</v>
      </c>
      <c r="D90" s="173">
        <f>Calc!I97</f>
        <v>331528780997945.56</v>
      </c>
      <c r="E90" s="173">
        <f>Calc!P97</f>
        <v>5.1962634266157338E-5</v>
      </c>
      <c r="F90" s="174">
        <f>Calc!S97</f>
        <v>19244.415403368665</v>
      </c>
      <c r="G90" s="173">
        <f>Calc!O97</f>
        <v>331528780997945.56</v>
      </c>
      <c r="H90" s="177">
        <f>Calc!X97</f>
        <v>0.61613112853498508</v>
      </c>
      <c r="I90" s="178">
        <f>Calc!Y97</f>
        <v>0.76465235181199109</v>
      </c>
      <c r="J90" s="176">
        <f>Calc!AE97</f>
        <v>1526.0877330158482</v>
      </c>
    </row>
    <row r="91" spans="1:10" x14ac:dyDescent="0.2">
      <c r="A91" s="173">
        <f>Calc!A98</f>
        <v>8.9499000000000002E-3</v>
      </c>
      <c r="B91" s="173">
        <f>Calc!B98</f>
        <v>4.85697E-2</v>
      </c>
      <c r="C91" s="173">
        <f>Calc!C98</f>
        <v>7.2500799999999999E-3</v>
      </c>
      <c r="D91" s="173">
        <f>Calc!I98</f>
        <v>298075132108584.37</v>
      </c>
      <c r="E91" s="173">
        <f>Calc!P98</f>
        <v>4.9244478119696203E-5</v>
      </c>
      <c r="F91" s="174">
        <f>Calc!S98</f>
        <v>20306.697830189503</v>
      </c>
      <c r="G91" s="173">
        <f>Calc!O98</f>
        <v>298075132108584.37</v>
      </c>
      <c r="H91" s="177">
        <f>Calc!X98</f>
        <v>0.61325027902379803</v>
      </c>
      <c r="I91" s="178">
        <f>Calc!Y98</f>
        <v>0.72544110065336198</v>
      </c>
      <c r="J91" s="176">
        <f>Calc!AE98</f>
        <v>1528.6459242880501</v>
      </c>
    </row>
    <row r="92" spans="1:10" x14ac:dyDescent="0.2">
      <c r="A92" s="173">
        <f>Calc!A99</f>
        <v>9.0498999999999996E-3</v>
      </c>
      <c r="B92" s="173">
        <f>Calc!B99</f>
        <v>4.3950500000000003E-2</v>
      </c>
      <c r="C92" s="173">
        <f>Calc!C99</f>
        <v>6.88582E-3</v>
      </c>
      <c r="D92" s="173">
        <f>Calc!I99</f>
        <v>269297908886361.12</v>
      </c>
      <c r="E92" s="173">
        <f>Calc!P99</f>
        <v>4.6966412917348694E-5</v>
      </c>
      <c r="F92" s="174">
        <f>Calc!S99</f>
        <v>21291.690887408931</v>
      </c>
      <c r="G92" s="173">
        <f>Calc!O99</f>
        <v>269297908886361.12</v>
      </c>
      <c r="H92" s="177">
        <f>Calc!X99</f>
        <v>0.61051384575055823</v>
      </c>
      <c r="I92" s="178">
        <f>Calc!Y99</f>
        <v>0.6871942874875665</v>
      </c>
      <c r="J92" s="176">
        <f>Calc!AE99</f>
        <v>1530.9757549806313</v>
      </c>
    </row>
    <row r="93" spans="1:10" x14ac:dyDescent="0.2">
      <c r="A93" s="173">
        <f>Calc!A100</f>
        <v>9.1499000000000007E-3</v>
      </c>
      <c r="B93" s="173">
        <f>Calc!B100</f>
        <v>3.9741600000000002E-2</v>
      </c>
      <c r="C93" s="173">
        <f>Calc!C100</f>
        <v>6.53719E-3</v>
      </c>
      <c r="D93" s="173">
        <f>Calc!I100</f>
        <v>243137722392296.69</v>
      </c>
      <c r="E93" s="173">
        <f>Calc!P100</f>
        <v>4.4806868081671803E-5</v>
      </c>
      <c r="F93" s="174">
        <f>Calc!S100</f>
        <v>22317.908968066062</v>
      </c>
      <c r="G93" s="173">
        <f>Calc!O100</f>
        <v>243137722392296.69</v>
      </c>
      <c r="H93" s="177">
        <f>Calc!X100</f>
        <v>0.60777148439382367</v>
      </c>
      <c r="I93" s="178">
        <f>Calc!Y100</f>
        <v>0.65034185741627337</v>
      </c>
      <c r="J93" s="176">
        <f>Calc!AE100</f>
        <v>1533.2160823872998</v>
      </c>
    </row>
    <row r="94" spans="1:10" x14ac:dyDescent="0.2">
      <c r="A94" s="173">
        <f>Calc!A101</f>
        <v>9.2499000000000001E-3</v>
      </c>
      <c r="B94" s="173">
        <f>Calc!B101</f>
        <v>3.6294300000000002E-2</v>
      </c>
      <c r="C94" s="173">
        <f>Calc!C101</f>
        <v>6.19734E-3</v>
      </c>
      <c r="D94" s="173">
        <f>Calc!I101</f>
        <v>221756416639188.34</v>
      </c>
      <c r="E94" s="173">
        <f>Calc!P101</f>
        <v>4.3173837954366961E-5</v>
      </c>
      <c r="F94" s="174">
        <f>Calc!S101</f>
        <v>23162.093596818508</v>
      </c>
      <c r="G94" s="173">
        <f>Calc!O101</f>
        <v>221756416639188.34</v>
      </c>
      <c r="H94" s="177">
        <f>Calc!X101</f>
        <v>0.60531065625196989</v>
      </c>
      <c r="I94" s="178">
        <f>Calc!Y101</f>
        <v>0.61558707060224904</v>
      </c>
      <c r="J94" s="176">
        <f>Calc!AE101</f>
        <v>1535.148471753929</v>
      </c>
    </row>
    <row r="95" spans="1:10" x14ac:dyDescent="0.2">
      <c r="A95" s="173">
        <f>Calc!A102</f>
        <v>9.3498999999999995E-3</v>
      </c>
      <c r="B95" s="173">
        <f>Calc!B102</f>
        <v>3.2803100000000002E-2</v>
      </c>
      <c r="C95" s="173">
        <f>Calc!C102</f>
        <v>5.8848399999999997E-3</v>
      </c>
      <c r="D95" s="173">
        <f>Calc!I102</f>
        <v>200146207059703.28</v>
      </c>
      <c r="E95" s="173">
        <f>Calc!P102</f>
        <v>4.1093775819611686E-5</v>
      </c>
      <c r="F95" s="174">
        <f>Calc!S102</f>
        <v>24334.518973677314</v>
      </c>
      <c r="G95" s="173">
        <f>Calc!O102</f>
        <v>200146207059703.28</v>
      </c>
      <c r="H95" s="177">
        <f>Calc!X102</f>
        <v>0.6025791258997889</v>
      </c>
      <c r="I95" s="178">
        <f>Calc!Y102</f>
        <v>0.58372093361770705</v>
      </c>
      <c r="J95" s="176">
        <f>Calc!AE102</f>
        <v>1537.2099527215637</v>
      </c>
    </row>
    <row r="96" spans="1:10" x14ac:dyDescent="0.2">
      <c r="A96" s="173">
        <f>Calc!A103</f>
        <v>9.4499000000000007E-3</v>
      </c>
      <c r="B96" s="173">
        <f>Calc!B103</f>
        <v>2.9438800000000001E-2</v>
      </c>
      <c r="C96" s="173">
        <f>Calc!C103</f>
        <v>5.6172699999999997E-3</v>
      </c>
      <c r="D96" s="173">
        <f>Calc!I103</f>
        <v>179364762459111</v>
      </c>
      <c r="E96" s="173">
        <f>Calc!P103</f>
        <v>3.8636961458443548E-5</v>
      </c>
      <c r="F96" s="174">
        <f>Calc!S103</f>
        <v>25881.899063585217</v>
      </c>
      <c r="G96" s="173">
        <f>Calc!O103</f>
        <v>179364762459111</v>
      </c>
      <c r="H96" s="177">
        <f>Calc!X103</f>
        <v>0.59966870864454336</v>
      </c>
      <c r="I96" s="178">
        <f>Calc!Y103</f>
        <v>0.55637564855507537</v>
      </c>
      <c r="J96" s="176">
        <f>Calc!AE103</f>
        <v>1539.3131012267479</v>
      </c>
    </row>
    <row r="97" spans="1:10" x14ac:dyDescent="0.2">
      <c r="A97" s="173">
        <f>Calc!A104</f>
        <v>9.5499000000000001E-3</v>
      </c>
      <c r="B97" s="173">
        <f>Calc!B104</f>
        <v>2.6616600000000001E-2</v>
      </c>
      <c r="C97" s="173">
        <f>Calc!C104</f>
        <v>5.3125799999999999E-3</v>
      </c>
      <c r="D97" s="173">
        <f>Calc!I104</f>
        <v>161966290330959.31</v>
      </c>
      <c r="E97" s="173">
        <f>Calc!P104</f>
        <v>3.6967056294440355E-5</v>
      </c>
      <c r="F97" s="174">
        <f>Calc!S104</f>
        <v>27051.068990561369</v>
      </c>
      <c r="G97" s="173">
        <f>Calc!O104</f>
        <v>161966290330959.31</v>
      </c>
      <c r="H97" s="177">
        <f>Calc!X104</f>
        <v>0.59696841819389279</v>
      </c>
      <c r="I97" s="178">
        <f>Calc!Y104</f>
        <v>0.52510205499744811</v>
      </c>
      <c r="J97" s="176">
        <f>Calc!AE104</f>
        <v>1541.1813646163157</v>
      </c>
    </row>
    <row r="98" spans="1:10" x14ac:dyDescent="0.2">
      <c r="A98" s="173">
        <f>Calc!A105</f>
        <v>9.6498999999999995E-3</v>
      </c>
      <c r="B98" s="173">
        <f>Calc!B105</f>
        <v>2.4101899999999999E-2</v>
      </c>
      <c r="C98" s="173">
        <f>Calc!C105</f>
        <v>5.02938E-3</v>
      </c>
      <c r="D98" s="173">
        <f>Calc!I105</f>
        <v>146491290288118.47</v>
      </c>
      <c r="E98" s="173">
        <f>Calc!P105</f>
        <v>3.5409432632617366E-5</v>
      </c>
      <c r="F98" s="174">
        <f>Calc!S105</f>
        <v>28241.026875000862</v>
      </c>
      <c r="G98" s="173">
        <f>Calc!O105</f>
        <v>146491290288118.47</v>
      </c>
      <c r="H98" s="177">
        <f>Calc!X105</f>
        <v>0.5943180499435019</v>
      </c>
      <c r="I98" s="178">
        <f>Calc!Y105</f>
        <v>0.49582313581375004</v>
      </c>
      <c r="J98" s="176">
        <f>Calc!AE105</f>
        <v>1542.9401481605905</v>
      </c>
    </row>
    <row r="99" spans="1:10" x14ac:dyDescent="0.2">
      <c r="A99" s="173">
        <f>Calc!A106</f>
        <v>9.7499000000000006E-3</v>
      </c>
      <c r="B99" s="173">
        <f>Calc!B106</f>
        <v>2.1728899999999999E-2</v>
      </c>
      <c r="C99" s="173">
        <f>Calc!C106</f>
        <v>4.7901200000000001E-3</v>
      </c>
      <c r="D99" s="173">
        <f>Calc!I106</f>
        <v>131913501937820.28</v>
      </c>
      <c r="E99" s="173">
        <f>Calc!P106</f>
        <v>3.3552127545897157E-5</v>
      </c>
      <c r="F99" s="174">
        <f>Calc!S106</f>
        <v>29804.340408730786</v>
      </c>
      <c r="G99" s="173">
        <f>Calc!O106</f>
        <v>131913501937820.28</v>
      </c>
      <c r="H99" s="177">
        <f>Calc!X106</f>
        <v>0.59155862614274057</v>
      </c>
      <c r="I99" s="178">
        <f>Calc!Y106</f>
        <v>0.47119767326214657</v>
      </c>
      <c r="J99" s="176">
        <f>Calc!AE106</f>
        <v>1544.6952290986696</v>
      </c>
    </row>
    <row r="100" spans="1:10" x14ac:dyDescent="0.2">
      <c r="A100" s="173">
        <f>Calc!A107</f>
        <v>9.8499E-3</v>
      </c>
      <c r="B100" s="173">
        <f>Calc!B107</f>
        <v>1.9722E-2</v>
      </c>
      <c r="C100" s="173">
        <f>Calc!C107</f>
        <v>4.5450000000000004E-3</v>
      </c>
      <c r="D100" s="173">
        <f>Calc!I107</f>
        <v>119604808446187.81</v>
      </c>
      <c r="E100" s="173">
        <f>Calc!P107</f>
        <v>3.2084195480027124E-5</v>
      </c>
      <c r="F100" s="174">
        <f>Calc!S107</f>
        <v>31167.969872427111</v>
      </c>
      <c r="G100" s="173">
        <f>Calc!O107</f>
        <v>119604808446187.81</v>
      </c>
      <c r="H100" s="177">
        <f>Calc!X107</f>
        <v>0.58898582778381325</v>
      </c>
      <c r="I100" s="178">
        <f>Calc!Y107</f>
        <v>0.44677764815882454</v>
      </c>
      <c r="J100" s="176">
        <f>Calc!AE107</f>
        <v>1546.264185268737</v>
      </c>
    </row>
    <row r="101" spans="1:10" x14ac:dyDescent="0.2">
      <c r="A101" s="173">
        <f>Calc!A108</f>
        <v>9.9498999999999994E-3</v>
      </c>
      <c r="B101" s="173">
        <f>Calc!B108</f>
        <v>1.7910499999999999E-2</v>
      </c>
      <c r="C101" s="173">
        <f>Calc!C108</f>
        <v>4.2813299999999999E-3</v>
      </c>
      <c r="D101" s="173">
        <f>Calc!I108</f>
        <v>108511133058881.77</v>
      </c>
      <c r="E101" s="173">
        <f>Calc!P108</f>
        <v>3.0950162101501506E-5</v>
      </c>
      <c r="F101" s="174">
        <f>Calc!S108</f>
        <v>32309.988935447382</v>
      </c>
      <c r="G101" s="173">
        <f>Calc!O108</f>
        <v>108511133058881.77</v>
      </c>
      <c r="H101" s="177">
        <f>Calc!X108</f>
        <v>0.58643423890944402</v>
      </c>
      <c r="I101" s="178">
        <f>Calc!Y108</f>
        <v>0.42018962206013549</v>
      </c>
      <c r="J101" s="176">
        <f>Calc!AE108</f>
        <v>1547.7582267264856</v>
      </c>
    </row>
    <row r="102" spans="1:10" x14ac:dyDescent="0.2">
      <c r="A102" s="173">
        <f>Calc!A109</f>
        <v>1.00499E-2</v>
      </c>
      <c r="B102" s="173">
        <f>Calc!B109</f>
        <v>1.58646E-2</v>
      </c>
      <c r="C102" s="173">
        <f>Calc!C109</f>
        <v>4.0781999999999997E-3</v>
      </c>
      <c r="D102" s="173">
        <f>Calc!I109</f>
        <v>96001934641095.437</v>
      </c>
      <c r="E102" s="173">
        <f>Calc!P109</f>
        <v>2.8776441133891697E-5</v>
      </c>
      <c r="F102" s="174">
        <f>Calc!S109</f>
        <v>34750.633516192065</v>
      </c>
      <c r="G102" s="173">
        <f>Calc!O109</f>
        <v>96001934641095.437</v>
      </c>
      <c r="H102" s="177">
        <f>Calc!X109</f>
        <v>0.58323007822096051</v>
      </c>
      <c r="I102" s="178">
        <f>Calc!Y109</f>
        <v>0.39983135997750979</v>
      </c>
      <c r="J102" s="176">
        <f>Calc!AE109</f>
        <v>1549.5502600316895</v>
      </c>
    </row>
    <row r="103" spans="1:10" x14ac:dyDescent="0.2">
      <c r="A103" s="173">
        <f>Calc!A110</f>
        <v>1.01499E-2</v>
      </c>
      <c r="B103" s="173">
        <f>Calc!B110</f>
        <v>1.4541399999999999E-2</v>
      </c>
      <c r="C103" s="173">
        <f>Calc!C110</f>
        <v>3.8350400000000001E-3</v>
      </c>
      <c r="D103" s="173">
        <f>Calc!I110</f>
        <v>87923388082664.016</v>
      </c>
      <c r="E103" s="173">
        <f>Calc!P110</f>
        <v>2.8007004882798113E-5</v>
      </c>
      <c r="F103" s="174">
        <f>Calc!S110</f>
        <v>35705.340316830428</v>
      </c>
      <c r="G103" s="173">
        <f>Calc!O110</f>
        <v>87923388082664.016</v>
      </c>
      <c r="H103" s="177">
        <f>Calc!X110</f>
        <v>0.58093463745283302</v>
      </c>
      <c r="I103" s="178">
        <f>Calc!Y110</f>
        <v>0.37624583364369452</v>
      </c>
      <c r="J103" s="176">
        <f>Calc!AE110</f>
        <v>1550.7786201096183</v>
      </c>
    </row>
    <row r="104" spans="1:10" x14ac:dyDescent="0.2">
      <c r="A104" s="173">
        <f>Calc!A111</f>
        <v>1.0249899999999999E-2</v>
      </c>
      <c r="B104" s="173">
        <f>Calc!B111</f>
        <v>1.29984E-2</v>
      </c>
      <c r="C104" s="173">
        <f>Calc!C111</f>
        <v>3.6475399999999999E-3</v>
      </c>
      <c r="D104" s="173">
        <f>Calc!I111</f>
        <v>78515324523758.891</v>
      </c>
      <c r="E104" s="173">
        <f>Calc!P111</f>
        <v>2.6389677273490557E-5</v>
      </c>
      <c r="F104" s="174">
        <f>Calc!S111</f>
        <v>37893.594513574491</v>
      </c>
      <c r="G104" s="173">
        <f>Calc!O111</f>
        <v>78515324523758.891</v>
      </c>
      <c r="H104" s="177">
        <f>Calc!X111</f>
        <v>0.57798382815404181</v>
      </c>
      <c r="I104" s="178">
        <f>Calc!Y111</f>
        <v>0.35657780106721121</v>
      </c>
      <c r="J104" s="176">
        <f>Calc!AE111</f>
        <v>1552.2923702079345</v>
      </c>
    </row>
    <row r="105" spans="1:10" x14ac:dyDescent="0.2">
      <c r="A105" s="173">
        <f>Calc!A112</f>
        <v>1.03499E-2</v>
      </c>
      <c r="B105" s="173">
        <f>Calc!B112</f>
        <v>1.1250400000000001E-2</v>
      </c>
      <c r="C105" s="173">
        <f>Calc!C112</f>
        <v>3.4121899999999998E-3</v>
      </c>
      <c r="D105" s="173">
        <f>Calc!I112</f>
        <v>67874460910863.133</v>
      </c>
      <c r="E105" s="173">
        <f>Calc!P112</f>
        <v>2.4386860049978057E-5</v>
      </c>
      <c r="F105" s="174">
        <f>Calc!S112</f>
        <v>41005.681397748915</v>
      </c>
      <c r="G105" s="173">
        <f>Calc!O112</f>
        <v>67874460910863.133</v>
      </c>
      <c r="H105" s="177">
        <f>Calc!X112</f>
        <v>0.57419329278442177</v>
      </c>
      <c r="I105" s="178">
        <f>Calc!Y112</f>
        <v>0.3335680597400395</v>
      </c>
      <c r="J105" s="176">
        <f>Calc!AE112</f>
        <v>1554.1336407745082</v>
      </c>
    </row>
    <row r="106" spans="1:10" x14ac:dyDescent="0.2">
      <c r="A106" s="173">
        <f>Calc!A113</f>
        <v>1.04499E-2</v>
      </c>
      <c r="B106" s="173">
        <f>Calc!B113</f>
        <v>1.06742E-2</v>
      </c>
      <c r="C106" s="173">
        <f>Calc!C113</f>
        <v>3.2452000000000002E-3</v>
      </c>
      <c r="D106" s="173">
        <f>Calc!I113</f>
        <v>64371082353262.195</v>
      </c>
      <c r="E106" s="173">
        <f>Calc!P113</f>
        <v>2.4386570048238881E-5</v>
      </c>
      <c r="F106" s="174">
        <f>Calc!S113</f>
        <v>41006.169800855263</v>
      </c>
      <c r="G106" s="173">
        <f>Calc!O113</f>
        <v>64371082353262.195</v>
      </c>
      <c r="H106" s="177">
        <f>Calc!X113</f>
        <v>0.57281562403841368</v>
      </c>
      <c r="I106" s="178">
        <f>Calc!Y113</f>
        <v>0.31635451831942035</v>
      </c>
      <c r="J106" s="176">
        <f>Calc!AE113</f>
        <v>1554.775189627687</v>
      </c>
    </row>
    <row r="107" spans="1:10" x14ac:dyDescent="0.2">
      <c r="A107" s="173">
        <f>Calc!A114</f>
        <v>1.0549899999999999E-2</v>
      </c>
      <c r="B107" s="173">
        <f>Calc!B114</f>
        <v>9.3021100000000006E-3</v>
      </c>
      <c r="C107" s="173">
        <f>Calc!C114</f>
        <v>3.0791799999999999E-3</v>
      </c>
      <c r="D107" s="173">
        <f>Calc!I114</f>
        <v>56037485865647.883</v>
      </c>
      <c r="E107" s="173">
        <f>Calc!P114</f>
        <v>2.2418881838856699E-5</v>
      </c>
      <c r="F107" s="174">
        <f>Calc!S114</f>
        <v>44605.252408403838</v>
      </c>
      <c r="G107" s="173">
        <f>Calc!O114</f>
        <v>56037485865647.883</v>
      </c>
      <c r="H107" s="177">
        <f>Calc!X114</f>
        <v>0.56921524800088286</v>
      </c>
      <c r="I107" s="178">
        <f>Calc!Y114</f>
        <v>0.29957022518337911</v>
      </c>
      <c r="J107" s="176">
        <f>Calc!AE114</f>
        <v>1556.3850964284984</v>
      </c>
    </row>
    <row r="108" spans="1:10" x14ac:dyDescent="0.2">
      <c r="A108" s="173">
        <f>Calc!A115</f>
        <v>1.06499E-2</v>
      </c>
      <c r="B108" s="173">
        <f>Calc!B115</f>
        <v>8.4866799999999999E-3</v>
      </c>
      <c r="C108" s="173">
        <f>Calc!C115</f>
        <v>2.90047E-3</v>
      </c>
      <c r="D108" s="173">
        <f>Calc!I115</f>
        <v>51091088454249.281</v>
      </c>
      <c r="E108" s="173">
        <f>Calc!P115</f>
        <v>2.1663324109250735E-5</v>
      </c>
      <c r="F108" s="174">
        <f>Calc!S115</f>
        <v>46160.963160021012</v>
      </c>
      <c r="G108" s="173">
        <f>Calc!O115</f>
        <v>51091088454249.281</v>
      </c>
      <c r="H108" s="177">
        <f>Calc!X115</f>
        <v>0.5668182644837666</v>
      </c>
      <c r="I108" s="178">
        <f>Calc!Y115</f>
        <v>0.28265326682245845</v>
      </c>
      <c r="J108" s="176">
        <f>Calc!AE115</f>
        <v>1557.4053117297383</v>
      </c>
    </row>
    <row r="109" spans="1:10" x14ac:dyDescent="0.2">
      <c r="A109" s="173">
        <f>Calc!A116</f>
        <v>1.07499E-2</v>
      </c>
      <c r="B109" s="173">
        <f>Calc!B116</f>
        <v>7.5443000000000003E-3</v>
      </c>
      <c r="C109" s="173">
        <f>Calc!C116</f>
        <v>2.7237099999999998E-3</v>
      </c>
      <c r="D109" s="173">
        <f>Calc!I116</f>
        <v>45380771864236.062</v>
      </c>
      <c r="E109" s="173">
        <f>Calc!P116</f>
        <v>2.0532025684480641E-5</v>
      </c>
      <c r="F109" s="174">
        <f>Calc!S116</f>
        <v>48704.396983318758</v>
      </c>
      <c r="G109" s="173">
        <f>Calc!O116</f>
        <v>45380771864236.062</v>
      </c>
      <c r="H109" s="177">
        <f>Calc!X116</f>
        <v>0.5637469236989181</v>
      </c>
      <c r="I109" s="178">
        <f>Calc!Y116</f>
        <v>0.2648951647629218</v>
      </c>
      <c r="J109" s="176">
        <f>Calc!AE116</f>
        <v>1558.6549309221748</v>
      </c>
    </row>
    <row r="110" spans="1:10" x14ac:dyDescent="0.2">
      <c r="A110" s="173">
        <f>Calc!A117</f>
        <v>1.0849900000000001E-2</v>
      </c>
      <c r="B110" s="173">
        <f>Calc!B117</f>
        <v>6.7044599999999998E-3</v>
      </c>
      <c r="C110" s="173">
        <f>Calc!C117</f>
        <v>2.55281E-3</v>
      </c>
      <c r="D110" s="173">
        <f>Calc!I117</f>
        <v>40297685737087.211</v>
      </c>
      <c r="E110" s="173">
        <f>Calc!P117</f>
        <v>1.9489676634762881E-5</v>
      </c>
      <c r="F110" s="174">
        <f>Calc!S117</f>
        <v>51309.21185620992</v>
      </c>
      <c r="G110" s="173">
        <f>Calc!O117</f>
        <v>40297685737087.211</v>
      </c>
      <c r="H110" s="177">
        <f>Calc!X117</f>
        <v>0.56067146351627017</v>
      </c>
      <c r="I110" s="178">
        <f>Calc!Y117</f>
        <v>0.24780463409319739</v>
      </c>
      <c r="J110" s="176">
        <f>Calc!AE117</f>
        <v>1559.8440908675564</v>
      </c>
    </row>
    <row r="111" spans="1:10" x14ac:dyDescent="0.2">
      <c r="A111" s="173">
        <f>Calc!A118</f>
        <v>1.09499E-2</v>
      </c>
      <c r="B111" s="173">
        <f>Calc!B118</f>
        <v>6.00133E-3</v>
      </c>
      <c r="C111" s="173">
        <f>Calc!C118</f>
        <v>2.4180500000000001E-3</v>
      </c>
      <c r="D111" s="173">
        <f>Calc!I118</f>
        <v>36046570508861.305</v>
      </c>
      <c r="E111" s="173">
        <f>Calc!P118</f>
        <v>1.8456253325316921E-5</v>
      </c>
      <c r="F111" s="174">
        <f>Calc!S118</f>
        <v>54182.175686732313</v>
      </c>
      <c r="G111" s="173">
        <f>Calc!O118</f>
        <v>36046570508861.305</v>
      </c>
      <c r="H111" s="177">
        <f>Calc!X118</f>
        <v>0.55778770308819592</v>
      </c>
      <c r="I111" s="178">
        <f>Calc!Y118</f>
        <v>0.23407463829801731</v>
      </c>
      <c r="J111" s="176">
        <f>Calc!AE118</f>
        <v>1560.9051674906748</v>
      </c>
    </row>
    <row r="112" spans="1:10" x14ac:dyDescent="0.2">
      <c r="A112" s="173">
        <f>Calc!A119</f>
        <v>1.10499E-2</v>
      </c>
      <c r="B112" s="173">
        <f>Calc!B119</f>
        <v>5.6497700000000001E-3</v>
      </c>
      <c r="C112" s="173">
        <f>Calc!C119</f>
        <v>2.2774200000000001E-3</v>
      </c>
      <c r="D112" s="173">
        <f>Calc!I119</f>
        <v>33922677517466.73</v>
      </c>
      <c r="E112" s="173">
        <f>Calc!P119</f>
        <v>1.8455921748488665E-5</v>
      </c>
      <c r="F112" s="174">
        <f>Calc!S119</f>
        <v>54183.149363787066</v>
      </c>
      <c r="G112" s="173">
        <f>Calc!O119</f>
        <v>33922677517466.73</v>
      </c>
      <c r="H112" s="177">
        <f>Calc!X119</f>
        <v>0.55621771333177727</v>
      </c>
      <c r="I112" s="178">
        <f>Calc!Y119</f>
        <v>0.22028672949604705</v>
      </c>
      <c r="J112" s="176">
        <f>Calc!AE119</f>
        <v>1561.4617160847154</v>
      </c>
    </row>
    <row r="113" spans="1:10" x14ac:dyDescent="0.2">
      <c r="A113" s="173">
        <f>Calc!A120</f>
        <v>1.1149900000000001E-2</v>
      </c>
      <c r="B113" s="173">
        <f>Calc!B120</f>
        <v>5.09801E-3</v>
      </c>
      <c r="C113" s="173">
        <f>Calc!C120</f>
        <v>2.1660899999999999E-3</v>
      </c>
      <c r="D113" s="173">
        <f>Calc!I120</f>
        <v>30591615026106.937</v>
      </c>
      <c r="E113" s="173">
        <f>Calc!P120</f>
        <v>1.7477650973230187E-5</v>
      </c>
      <c r="F113" s="174">
        <f>Calc!S120</f>
        <v>57215.925319714086</v>
      </c>
      <c r="G113" s="173">
        <f>Calc!O120</f>
        <v>30591615026106.937</v>
      </c>
      <c r="H113" s="177">
        <f>Calc!X120</f>
        <v>0.55354693612558059</v>
      </c>
      <c r="I113" s="178">
        <f>Calc!Y120</f>
        <v>0.20977478979715813</v>
      </c>
      <c r="J113" s="176">
        <f>Calc!AE120</f>
        <v>1562.3754920304366</v>
      </c>
    </row>
    <row r="114" spans="1:10" x14ac:dyDescent="0.2">
      <c r="A114" s="173">
        <f>Calc!A121</f>
        <v>1.12499E-2</v>
      </c>
      <c r="B114" s="173">
        <f>Calc!B121</f>
        <v>4.4730100000000004E-3</v>
      </c>
      <c r="C114" s="173">
        <f>Calc!C121</f>
        <v>2.0049600000000001E-3</v>
      </c>
      <c r="D114" s="173">
        <f>Calc!I121</f>
        <v>26821974319084.117</v>
      </c>
      <c r="E114" s="173">
        <f>Calc!P121</f>
        <v>1.6537584222513131E-5</v>
      </c>
      <c r="F114" s="174">
        <f>Calc!S121</f>
        <v>60468.322748670682</v>
      </c>
      <c r="G114" s="173">
        <f>Calc!O121</f>
        <v>26821974319084.117</v>
      </c>
      <c r="H114" s="177">
        <f>Calc!X121</f>
        <v>0.55015101676920042</v>
      </c>
      <c r="I114" s="178">
        <f>Calc!Y121</f>
        <v>0.19438046866719158</v>
      </c>
      <c r="J114" s="176">
        <f>Calc!AE121</f>
        <v>1563.4796709248715</v>
      </c>
    </row>
    <row r="115" spans="1:10" x14ac:dyDescent="0.2">
      <c r="A115" s="173">
        <f>Calc!A122</f>
        <v>1.13499E-2</v>
      </c>
      <c r="B115" s="173">
        <f>Calc!B122</f>
        <v>3.8577799999999999E-3</v>
      </c>
      <c r="C115" s="173">
        <f>Calc!C122</f>
        <v>1.88777E-3</v>
      </c>
      <c r="D115" s="173">
        <f>Calc!I122</f>
        <v>23115236924667.164</v>
      </c>
      <c r="E115" s="173">
        <f>Calc!P122</f>
        <v>1.5192072785948273E-5</v>
      </c>
      <c r="F115" s="174">
        <f>Calc!S122</f>
        <v>65823.801703356352</v>
      </c>
      <c r="G115" s="173">
        <f>Calc!O122</f>
        <v>23115236924667.164</v>
      </c>
      <c r="H115" s="177">
        <f>Calc!X122</f>
        <v>0.54631286816274549</v>
      </c>
      <c r="I115" s="178">
        <f>Calc!Y122</f>
        <v>0.18235398912567533</v>
      </c>
      <c r="J115" s="176">
        <f>Calc!AE122</f>
        <v>1564.6537840506774</v>
      </c>
    </row>
    <row r="116" spans="1:10" x14ac:dyDescent="0.2">
      <c r="A116" s="173">
        <f>Calc!A123</f>
        <v>1.1449900000000001E-2</v>
      </c>
      <c r="B116" s="173">
        <f>Calc!B123</f>
        <v>3.5940999999999998E-3</v>
      </c>
      <c r="C116" s="173">
        <f>Calc!C123</f>
        <v>1.7793799999999999E-3</v>
      </c>
      <c r="D116" s="173">
        <f>Calc!I123</f>
        <v>21527861316623.66</v>
      </c>
      <c r="E116" s="173">
        <f>Calc!P123</f>
        <v>1.5026797359486575E-5</v>
      </c>
      <c r="F116" s="174">
        <f>Calc!S123</f>
        <v>66547.778912330803</v>
      </c>
      <c r="G116" s="173">
        <f>Calc!O123</f>
        <v>21527861316623.66</v>
      </c>
      <c r="H116" s="177">
        <f>Calc!X123</f>
        <v>0.54447777080343995</v>
      </c>
      <c r="I116" s="178">
        <f>Calc!Y123</f>
        <v>0.1716992541744545</v>
      </c>
      <c r="J116" s="176">
        <f>Calc!AE123</f>
        <v>1565.1887465570792</v>
      </c>
    </row>
    <row r="117" spans="1:10" x14ac:dyDescent="0.2">
      <c r="A117" s="173">
        <f>Calc!A124</f>
        <v>1.15499E-2</v>
      </c>
      <c r="B117" s="173">
        <f>Calc!B124</f>
        <v>3.4769200000000001E-3</v>
      </c>
      <c r="C117" s="173">
        <f>Calc!C124</f>
        <v>1.6875799999999999E-3</v>
      </c>
      <c r="D117" s="173">
        <f>Calc!I124</f>
        <v>20822687338503.367</v>
      </c>
      <c r="E117" s="173">
        <f>Calc!P124</f>
        <v>1.5294623920554733E-5</v>
      </c>
      <c r="F117" s="174">
        <f>Calc!S124</f>
        <v>65382.450342422366</v>
      </c>
      <c r="G117" s="173">
        <f>Calc!O124</f>
        <v>20822687338503.367</v>
      </c>
      <c r="H117" s="177">
        <f>Calc!X124</f>
        <v>0.54361887822244792</v>
      </c>
      <c r="I117" s="178">
        <f>Calc!Y124</f>
        <v>0.16316684909995971</v>
      </c>
      <c r="J117" s="176">
        <f>Calc!AE124</f>
        <v>1565.433459409174</v>
      </c>
    </row>
    <row r="118" spans="1:10" x14ac:dyDescent="0.2">
      <c r="A118" s="173">
        <f>Calc!A125</f>
        <v>1.1649899999999999E-2</v>
      </c>
      <c r="B118" s="173">
        <f>Calc!B125</f>
        <v>2.84703E-3</v>
      </c>
      <c r="C118" s="173">
        <f>Calc!C125</f>
        <v>1.5908999999999999E-3</v>
      </c>
      <c r="D118" s="173">
        <f>Calc!I125</f>
        <v>17034975158253.322</v>
      </c>
      <c r="E118" s="173">
        <f>Calc!P125</f>
        <v>1.3274837698731347E-5</v>
      </c>
      <c r="F118" s="174">
        <f>Calc!S125</f>
        <v>75330.487370166957</v>
      </c>
      <c r="G118" s="173">
        <f>Calc!O125</f>
        <v>17034975158253.322</v>
      </c>
      <c r="H118" s="177">
        <f>Calc!X125</f>
        <v>0.53844329508776145</v>
      </c>
      <c r="I118" s="178">
        <f>Calc!Y125</f>
        <v>0.15379642347972186</v>
      </c>
      <c r="J118" s="176">
        <f>Calc!AE125</f>
        <v>1566.8346639593885</v>
      </c>
    </row>
    <row r="119" spans="1:10" x14ac:dyDescent="0.2">
      <c r="A119" s="173">
        <f>Calc!A126</f>
        <v>1.1749900000000001E-2</v>
      </c>
      <c r="B119" s="173">
        <f>Calc!B126</f>
        <v>2.2806300000000001E-3</v>
      </c>
      <c r="C119" s="173">
        <f>Calc!C126</f>
        <v>1.4746900000000001E-3</v>
      </c>
      <c r="D119" s="173">
        <f>Calc!I126</f>
        <v>13633537498870.896</v>
      </c>
      <c r="E119" s="173">
        <f>Calc!P126</f>
        <v>1.1495611467334397E-5</v>
      </c>
      <c r="F119" s="174">
        <f>Calc!S126</f>
        <v>86989.717710502257</v>
      </c>
      <c r="G119" s="173">
        <f>Calc!O126</f>
        <v>13633537498870.896</v>
      </c>
      <c r="H119" s="177">
        <f>Calc!X126</f>
        <v>0.53270531917598551</v>
      </c>
      <c r="I119" s="178">
        <f>Calc!Y126</f>
        <v>0.14213807570937759</v>
      </c>
      <c r="J119" s="176">
        <f>Calc!AE126</f>
        <v>1568.2498601346126</v>
      </c>
    </row>
    <row r="120" spans="1:10" x14ac:dyDescent="0.2">
      <c r="A120" s="173">
        <f>Calc!A127</f>
        <v>1.18499E-2</v>
      </c>
      <c r="B120" s="173">
        <f>Calc!B127</f>
        <v>2.3685199999999998E-3</v>
      </c>
      <c r="C120" s="173">
        <f>Calc!C127</f>
        <v>1.3975400000000001E-3</v>
      </c>
      <c r="D120" s="173">
        <f>Calc!I127</f>
        <v>14161049282395.039</v>
      </c>
      <c r="E120" s="173">
        <f>Calc!P127</f>
        <v>1.2669810908589058E-5</v>
      </c>
      <c r="F120" s="174">
        <f>Calc!S127</f>
        <v>78927.775875837964</v>
      </c>
      <c r="G120" s="173">
        <f>Calc!O127</f>
        <v>14161049282395.039</v>
      </c>
      <c r="H120" s="177">
        <f>Calc!X127</f>
        <v>0.53368303946926521</v>
      </c>
      <c r="I120" s="178">
        <f>Calc!Y127</f>
        <v>0.13395509985364379</v>
      </c>
      <c r="J120" s="176">
        <f>Calc!AE127</f>
        <v>1568.0184562816155</v>
      </c>
    </row>
    <row r="121" spans="1:10" x14ac:dyDescent="0.2">
      <c r="A121" s="173">
        <f>Calc!A128</f>
        <v>1.1949899999999999E-2</v>
      </c>
      <c r="B121" s="173">
        <f>Calc!B128</f>
        <v>2.3196900000000001E-3</v>
      </c>
      <c r="C121" s="173">
        <f>Calc!C128</f>
        <v>1.28035E-3</v>
      </c>
      <c r="D121" s="173">
        <f>Calc!I128</f>
        <v>13867959726404.762</v>
      </c>
      <c r="E121" s="173">
        <f>Calc!P128</f>
        <v>1.3518386291801784E-5</v>
      </c>
      <c r="F121" s="174">
        <f>Calc!S128</f>
        <v>73973.325964999342</v>
      </c>
      <c r="G121" s="173">
        <f>Calc!O128</f>
        <v>13867959726404.762</v>
      </c>
      <c r="H121" s="177">
        <f>Calc!X128</f>
        <v>0.53314438748095994</v>
      </c>
      <c r="I121" s="178">
        <f>Calc!Y128</f>
        <v>0.12294805731816402</v>
      </c>
      <c r="J121" s="176">
        <f>Calc!AE128</f>
        <v>1568.146423575414</v>
      </c>
    </row>
    <row r="122" spans="1:10" x14ac:dyDescent="0.2">
      <c r="A122" s="173">
        <f>Calc!A129</f>
        <v>1.2049900000000001E-2</v>
      </c>
      <c r="B122" s="173">
        <f>Calc!B129</f>
        <v>2.02184E-3</v>
      </c>
      <c r="C122" s="173">
        <f>Calc!C129</f>
        <v>1.2285900000000001E-3</v>
      </c>
      <c r="D122" s="173">
        <f>Calc!I129</f>
        <v>12080971802786.779</v>
      </c>
      <c r="E122" s="173">
        <f>Calc!P129</f>
        <v>1.221092018960375E-5</v>
      </c>
      <c r="F122" s="174">
        <f>Calc!S129</f>
        <v>81893.909837603147</v>
      </c>
      <c r="G122" s="173">
        <f>Calc!O129</f>
        <v>12080971802786.779</v>
      </c>
      <c r="H122" s="177">
        <f>Calc!X129</f>
        <v>0.52959211245413973</v>
      </c>
      <c r="I122" s="178">
        <f>Calc!Y129</f>
        <v>0.11857344269930994</v>
      </c>
      <c r="J122" s="176">
        <f>Calc!AE129</f>
        <v>1568.9612852410905</v>
      </c>
    </row>
    <row r="123" spans="1:10" x14ac:dyDescent="0.2">
      <c r="A123" s="173">
        <f>Calc!A130</f>
        <v>1.21499E-2</v>
      </c>
      <c r="B123" s="173">
        <f>Calc!B130</f>
        <v>1.5579700000000001E-3</v>
      </c>
      <c r="C123" s="173">
        <f>Calc!C130</f>
        <v>1.1328899999999999E-3</v>
      </c>
      <c r="D123" s="173">
        <f>Calc!I130</f>
        <v>9300794632949.9102</v>
      </c>
      <c r="E123" s="173">
        <f>Calc!P130</f>
        <v>1.0162240535509595E-5</v>
      </c>
      <c r="F123" s="174">
        <f>Calc!S130</f>
        <v>98403.496261130116</v>
      </c>
      <c r="G123" s="173">
        <f>Calc!O130</f>
        <v>9300794632949.9102</v>
      </c>
      <c r="H123" s="177">
        <f>Calc!X130</f>
        <v>0.52286036017993143</v>
      </c>
      <c r="I123" s="178">
        <f>Calc!Y130</f>
        <v>0.10968936852518051</v>
      </c>
      <c r="J123" s="176">
        <f>Calc!AE130</f>
        <v>1570.3749521619609</v>
      </c>
    </row>
    <row r="124" spans="1:10" x14ac:dyDescent="0.2">
      <c r="A124" s="173">
        <f>Calc!A131</f>
        <v>1.2249899999999999E-2</v>
      </c>
      <c r="B124" s="173">
        <f>Calc!B131</f>
        <v>1.47496E-3</v>
      </c>
      <c r="C124" s="173">
        <f>Calc!C131</f>
        <v>1.0557400000000001E-3</v>
      </c>
      <c r="D124" s="173">
        <f>Calc!I131</f>
        <v>8803679412687.748</v>
      </c>
      <c r="E124" s="173">
        <f>Calc!P131</f>
        <v>1.0372387115133804E-5</v>
      </c>
      <c r="F124" s="174">
        <f>Calc!S131</f>
        <v>96409.822306618589</v>
      </c>
      <c r="G124" s="173">
        <f>Calc!O131</f>
        <v>8803679412687.748</v>
      </c>
      <c r="H124" s="177">
        <f>Calc!X131</f>
        <v>0.52144688085878788</v>
      </c>
      <c r="I124" s="178">
        <f>Calc!Y131</f>
        <v>0.10172306884973722</v>
      </c>
      <c r="J124" s="176">
        <f>Calc!AE131</f>
        <v>1570.6514233432633</v>
      </c>
    </row>
    <row r="125" spans="1:10" x14ac:dyDescent="0.2">
      <c r="A125" s="173">
        <f>Calc!A132</f>
        <v>1.23499E-2</v>
      </c>
      <c r="B125" s="173">
        <f>Calc!B132</f>
        <v>1.17223E-3</v>
      </c>
      <c r="C125" s="173">
        <f>Calc!C132</f>
        <v>1.0020300000000001E-3</v>
      </c>
      <c r="D125" s="173">
        <f>Calc!I132</f>
        <v>6991881279076.6855</v>
      </c>
      <c r="E125" s="173">
        <f>Calc!P132</f>
        <v>0</v>
      </c>
      <c r="F125" s="174">
        <f>Calc!S132</f>
        <v>0</v>
      </c>
      <c r="G125" s="173">
        <f>Calc!O132</f>
        <v>6991881279076.6855</v>
      </c>
      <c r="H125" s="177">
        <f>Calc!X132</f>
        <v>0.51551891223694457</v>
      </c>
      <c r="I125" s="178" t="str">
        <f>Calc!Y132</f>
        <v/>
      </c>
      <c r="J125" s="176">
        <f>Calc!AE132</f>
        <v>1571.739703287054</v>
      </c>
    </row>
    <row r="126" spans="1:10" x14ac:dyDescent="0.2">
      <c r="A126" s="173">
        <f>Calc!A133</f>
        <v>1.24499E-2</v>
      </c>
      <c r="B126" s="173">
        <f>Calc!B133</f>
        <v>1.2357100000000001E-3</v>
      </c>
      <c r="C126" s="173">
        <f>Calc!C133</f>
        <v>8.9461E-4</v>
      </c>
      <c r="D126" s="173">
        <f>Calc!I133</f>
        <v>7371646287148.1045</v>
      </c>
      <c r="E126" s="173">
        <f>Calc!P133</f>
        <v>0</v>
      </c>
      <c r="F126" s="174">
        <f>Calc!S133</f>
        <v>0</v>
      </c>
      <c r="G126" s="173">
        <f>Calc!O133</f>
        <v>7371646287148.1045</v>
      </c>
      <c r="H126" s="177">
        <f>Calc!X133</f>
        <v>0.51687946924970862</v>
      </c>
      <c r="I126" s="178" t="str">
        <f>Calc!Y133</f>
        <v/>
      </c>
      <c r="J126" s="176">
        <f>Calc!AE133</f>
        <v>1571.4997621410498</v>
      </c>
    </row>
    <row r="127" spans="1:10" x14ac:dyDescent="0.2">
      <c r="A127" s="175"/>
      <c r="B127" s="175"/>
      <c r="C127" s="175"/>
      <c r="D127" s="175"/>
      <c r="E127" s="175"/>
      <c r="F127" s="175"/>
      <c r="G127" s="175"/>
      <c r="H127" s="175"/>
      <c r="I127" s="175"/>
      <c r="J127" s="175"/>
    </row>
    <row r="128" spans="1:10" x14ac:dyDescent="0.2">
      <c r="A128" s="175"/>
      <c r="B128" s="175"/>
      <c r="C128" s="175"/>
      <c r="D128" s="175"/>
      <c r="E128" s="175"/>
      <c r="F128" s="175"/>
      <c r="G128" s="175"/>
      <c r="H128" s="175"/>
      <c r="I128" s="175"/>
      <c r="J128" s="175"/>
    </row>
    <row r="129" spans="1:10" x14ac:dyDescent="0.2">
      <c r="A129" s="175"/>
      <c r="B129" s="175"/>
      <c r="C129" s="175"/>
      <c r="D129" s="175"/>
      <c r="E129" s="175"/>
      <c r="F129" s="175"/>
      <c r="G129" s="175"/>
      <c r="H129" s="175"/>
      <c r="I129" s="175"/>
      <c r="J129" s="175"/>
    </row>
    <row r="130" spans="1:10" x14ac:dyDescent="0.2">
      <c r="A130" s="175"/>
      <c r="B130" s="175"/>
      <c r="C130" s="175"/>
      <c r="D130" s="175"/>
      <c r="E130" s="175"/>
      <c r="F130" s="175"/>
      <c r="G130" s="175"/>
      <c r="H130" s="175"/>
      <c r="I130" s="175"/>
      <c r="J130" s="175"/>
    </row>
    <row r="131" spans="1:10" x14ac:dyDescent="0.2">
      <c r="A131" s="175"/>
      <c r="B131" s="175"/>
      <c r="C131" s="175"/>
      <c r="D131" s="175"/>
      <c r="E131" s="175"/>
      <c r="F131" s="175"/>
      <c r="G131" s="175"/>
      <c r="H131" s="175"/>
      <c r="I131" s="175"/>
      <c r="J131" s="175"/>
    </row>
    <row r="132" spans="1:10" x14ac:dyDescent="0.2">
      <c r="A132" s="175"/>
      <c r="B132" s="175"/>
      <c r="C132" s="175"/>
      <c r="D132" s="175"/>
      <c r="E132" s="175"/>
      <c r="F132" s="175"/>
      <c r="G132" s="175"/>
      <c r="H132" s="175"/>
      <c r="I132" s="175"/>
      <c r="J132" s="175"/>
    </row>
    <row r="133" spans="1:10" x14ac:dyDescent="0.2">
      <c r="A133" s="175"/>
      <c r="B133" s="175"/>
      <c r="C133" s="175"/>
      <c r="D133" s="175"/>
      <c r="E133" s="175"/>
      <c r="F133" s="175"/>
      <c r="G133" s="175"/>
      <c r="H133" s="175"/>
      <c r="I133" s="175"/>
      <c r="J133" s="175"/>
    </row>
    <row r="134" spans="1:10" x14ac:dyDescent="0.2">
      <c r="A134" s="175"/>
      <c r="B134" s="175"/>
      <c r="C134" s="175"/>
      <c r="D134" s="175"/>
      <c r="E134" s="175"/>
      <c r="F134" s="175"/>
      <c r="G134" s="175"/>
      <c r="H134" s="175"/>
      <c r="I134" s="175"/>
      <c r="J134" s="175"/>
    </row>
    <row r="135" spans="1:10" x14ac:dyDescent="0.2">
      <c r="A135" s="175"/>
      <c r="B135" s="175"/>
      <c r="C135" s="175"/>
      <c r="D135" s="175"/>
      <c r="E135" s="175"/>
      <c r="F135" s="175"/>
      <c r="G135" s="175"/>
      <c r="H135" s="175"/>
      <c r="I135" s="175"/>
      <c r="J135" s="175"/>
    </row>
    <row r="136" spans="1:10" x14ac:dyDescent="0.2">
      <c r="A136" s="175"/>
      <c r="B136" s="175"/>
      <c r="C136" s="175"/>
      <c r="D136" s="175"/>
      <c r="E136" s="175"/>
      <c r="F136" s="175"/>
      <c r="G136" s="175"/>
      <c r="H136" s="175"/>
      <c r="I136" s="175"/>
      <c r="J136" s="175"/>
    </row>
    <row r="137" spans="1:10" x14ac:dyDescent="0.2">
      <c r="A137" s="175"/>
      <c r="B137" s="175"/>
      <c r="C137" s="175"/>
      <c r="D137" s="175"/>
      <c r="E137" s="175"/>
      <c r="F137" s="175"/>
      <c r="G137" s="175"/>
      <c r="H137" s="175"/>
      <c r="I137" s="175"/>
      <c r="J137" s="175"/>
    </row>
    <row r="138" spans="1:10" x14ac:dyDescent="0.2">
      <c r="A138" s="175"/>
      <c r="B138" s="175"/>
      <c r="C138" s="175"/>
      <c r="D138" s="175"/>
      <c r="E138" s="175"/>
      <c r="F138" s="175"/>
      <c r="G138" s="175"/>
      <c r="H138" s="175"/>
      <c r="I138" s="175"/>
      <c r="J138" s="175"/>
    </row>
    <row r="139" spans="1:10" x14ac:dyDescent="0.2">
      <c r="A139" s="175"/>
      <c r="B139" s="175"/>
      <c r="C139" s="175"/>
      <c r="D139" s="175"/>
      <c r="E139" s="175"/>
      <c r="F139" s="175"/>
      <c r="G139" s="175"/>
      <c r="H139" s="175"/>
      <c r="I139" s="175"/>
      <c r="J139" s="175"/>
    </row>
    <row r="140" spans="1:10" x14ac:dyDescent="0.2">
      <c r="A140" s="175"/>
      <c r="B140" s="175"/>
      <c r="C140" s="175"/>
      <c r="D140" s="175"/>
      <c r="E140" s="175"/>
      <c r="F140" s="175"/>
      <c r="G140" s="175"/>
      <c r="H140" s="175"/>
      <c r="I140" s="175"/>
      <c r="J140" s="175"/>
    </row>
    <row r="141" spans="1:10" x14ac:dyDescent="0.2">
      <c r="A141" s="175"/>
      <c r="B141" s="175"/>
      <c r="C141" s="175"/>
      <c r="D141" s="175"/>
      <c r="E141" s="175"/>
      <c r="F141" s="175"/>
      <c r="G141" s="175"/>
      <c r="H141" s="175"/>
      <c r="I141" s="175"/>
      <c r="J141" s="175"/>
    </row>
    <row r="142" spans="1:10" x14ac:dyDescent="0.2">
      <c r="A142" s="175"/>
      <c r="B142" s="175"/>
      <c r="C142" s="175"/>
      <c r="D142" s="175"/>
      <c r="E142" s="175"/>
      <c r="F142" s="175"/>
      <c r="G142" s="175"/>
      <c r="H142" s="175"/>
      <c r="I142" s="175"/>
      <c r="J142" s="175"/>
    </row>
    <row r="143" spans="1:10" x14ac:dyDescent="0.2">
      <c r="A143" s="175"/>
      <c r="B143" s="175"/>
      <c r="C143" s="175"/>
      <c r="D143" s="175"/>
      <c r="E143" s="175"/>
      <c r="F143" s="175"/>
      <c r="G143" s="175"/>
      <c r="H143" s="175"/>
      <c r="I143" s="175"/>
      <c r="J143" s="175"/>
    </row>
    <row r="144" spans="1:10" x14ac:dyDescent="0.2">
      <c r="A144" s="175"/>
      <c r="B144" s="175"/>
      <c r="C144" s="175"/>
      <c r="D144" s="175"/>
      <c r="E144" s="175"/>
      <c r="F144" s="175"/>
      <c r="G144" s="175"/>
      <c r="H144" s="175"/>
      <c r="I144" s="175"/>
      <c r="J144" s="175"/>
    </row>
    <row r="145" spans="1:10" x14ac:dyDescent="0.2">
      <c r="A145" s="175"/>
      <c r="B145" s="175"/>
      <c r="C145" s="175"/>
      <c r="D145" s="175"/>
      <c r="E145" s="175"/>
      <c r="F145" s="175"/>
      <c r="G145" s="175"/>
      <c r="H145" s="175"/>
      <c r="I145" s="175"/>
      <c r="J145" s="175"/>
    </row>
    <row r="146" spans="1:10" x14ac:dyDescent="0.2">
      <c r="A146" s="175"/>
      <c r="B146" s="175"/>
      <c r="C146" s="175"/>
      <c r="D146" s="175"/>
      <c r="E146" s="175"/>
      <c r="F146" s="175"/>
      <c r="G146" s="175"/>
      <c r="H146" s="175"/>
      <c r="I146" s="175"/>
      <c r="J146" s="175"/>
    </row>
    <row r="147" spans="1:10" x14ac:dyDescent="0.2">
      <c r="A147" s="175"/>
      <c r="B147" s="175"/>
      <c r="C147" s="175"/>
      <c r="D147" s="175"/>
      <c r="E147" s="175"/>
      <c r="F147" s="175"/>
      <c r="G147" s="175"/>
      <c r="H147" s="175"/>
      <c r="I147" s="175"/>
      <c r="J147" s="175"/>
    </row>
    <row r="148" spans="1:10" x14ac:dyDescent="0.2">
      <c r="A148" s="175"/>
      <c r="B148" s="175"/>
      <c r="C148" s="175"/>
      <c r="D148" s="175"/>
      <c r="E148" s="175"/>
      <c r="F148" s="175"/>
      <c r="G148" s="175"/>
      <c r="H148" s="175"/>
      <c r="I148" s="175"/>
      <c r="J148" s="175"/>
    </row>
    <row r="149" spans="1:10" x14ac:dyDescent="0.2">
      <c r="A149" s="175"/>
      <c r="B149" s="175"/>
      <c r="C149" s="175"/>
      <c r="D149" s="175"/>
      <c r="E149" s="175"/>
      <c r="F149" s="175"/>
      <c r="G149" s="175"/>
      <c r="H149" s="175"/>
      <c r="I149" s="175"/>
      <c r="J149" s="175"/>
    </row>
    <row r="150" spans="1:10" x14ac:dyDescent="0.2">
      <c r="A150" s="175"/>
      <c r="B150" s="175"/>
      <c r="C150" s="175"/>
      <c r="D150" s="175"/>
      <c r="E150" s="175"/>
      <c r="F150" s="175"/>
      <c r="G150" s="175"/>
      <c r="H150" s="175"/>
      <c r="I150" s="175"/>
      <c r="J150" s="175"/>
    </row>
    <row r="151" spans="1:10" x14ac:dyDescent="0.2">
      <c r="A151" s="175"/>
      <c r="B151" s="175"/>
      <c r="C151" s="175"/>
      <c r="D151" s="175"/>
      <c r="E151" s="175"/>
      <c r="F151" s="175"/>
      <c r="G151" s="175"/>
      <c r="H151" s="175"/>
      <c r="I151" s="175"/>
      <c r="J151" s="175"/>
    </row>
    <row r="152" spans="1:10" x14ac:dyDescent="0.2">
      <c r="A152" s="175"/>
      <c r="B152" s="175"/>
      <c r="C152" s="175"/>
      <c r="D152" s="175"/>
      <c r="E152" s="175"/>
      <c r="F152" s="175"/>
      <c r="G152" s="175"/>
      <c r="H152" s="175"/>
      <c r="I152" s="175"/>
      <c r="J152" s="175"/>
    </row>
    <row r="153" spans="1:10" x14ac:dyDescent="0.2">
      <c r="A153" s="175"/>
      <c r="B153" s="175"/>
      <c r="C153" s="175"/>
      <c r="D153" s="175"/>
      <c r="E153" s="175"/>
      <c r="F153" s="175"/>
      <c r="G153" s="175"/>
      <c r="H153" s="175"/>
      <c r="I153" s="175"/>
      <c r="J153" s="175"/>
    </row>
    <row r="154" spans="1:10" x14ac:dyDescent="0.2">
      <c r="A154" s="175"/>
      <c r="B154" s="175"/>
      <c r="C154" s="175"/>
      <c r="D154" s="175"/>
      <c r="E154" s="175"/>
      <c r="F154" s="175"/>
      <c r="G154" s="175"/>
      <c r="H154" s="175"/>
      <c r="I154" s="175"/>
      <c r="J154" s="175"/>
    </row>
    <row r="155" spans="1:10" x14ac:dyDescent="0.2">
      <c r="A155" s="175"/>
      <c r="B155" s="175"/>
      <c r="C155" s="175"/>
      <c r="D155" s="175"/>
      <c r="E155" s="175"/>
      <c r="F155" s="175"/>
      <c r="G155" s="175"/>
      <c r="H155" s="175"/>
      <c r="I155" s="175"/>
      <c r="J155" s="175"/>
    </row>
    <row r="156" spans="1:10" x14ac:dyDescent="0.2">
      <c r="A156" s="175"/>
      <c r="B156" s="175"/>
      <c r="C156" s="175"/>
      <c r="D156" s="175"/>
      <c r="E156" s="175"/>
      <c r="F156" s="175"/>
      <c r="G156" s="175"/>
      <c r="H156" s="175"/>
      <c r="I156" s="175"/>
      <c r="J156" s="175"/>
    </row>
    <row r="157" spans="1:10" x14ac:dyDescent="0.2">
      <c r="A157" s="175"/>
      <c r="B157" s="175"/>
      <c r="C157" s="175"/>
      <c r="D157" s="175"/>
      <c r="E157" s="175"/>
      <c r="F157" s="175"/>
      <c r="G157" s="175"/>
      <c r="H157" s="175"/>
      <c r="I157" s="175"/>
      <c r="J157" s="175"/>
    </row>
    <row r="158" spans="1:10" x14ac:dyDescent="0.2">
      <c r="A158" s="175"/>
      <c r="B158" s="175"/>
      <c r="C158" s="175"/>
      <c r="D158" s="175"/>
      <c r="E158" s="175"/>
      <c r="F158" s="175"/>
      <c r="G158" s="175"/>
      <c r="H158" s="175"/>
      <c r="I158" s="175"/>
      <c r="J158" s="175"/>
    </row>
    <row r="159" spans="1:10" x14ac:dyDescent="0.2">
      <c r="A159" s="175"/>
      <c r="B159" s="175"/>
      <c r="C159" s="175"/>
      <c r="D159" s="175"/>
      <c r="E159" s="175"/>
      <c r="F159" s="175"/>
      <c r="G159" s="175"/>
      <c r="H159" s="175"/>
      <c r="I159" s="175"/>
      <c r="J159" s="175"/>
    </row>
    <row r="160" spans="1:10" x14ac:dyDescent="0.2">
      <c r="A160" s="175"/>
      <c r="B160" s="175"/>
      <c r="C160" s="175"/>
      <c r="D160" s="175"/>
      <c r="E160" s="175"/>
      <c r="F160" s="175"/>
      <c r="G160" s="175"/>
      <c r="H160" s="175"/>
      <c r="I160" s="175"/>
      <c r="J160" s="175"/>
    </row>
    <row r="161" spans="1:10" x14ac:dyDescent="0.2">
      <c r="A161" s="175"/>
      <c r="B161" s="175"/>
      <c r="C161" s="175"/>
      <c r="D161" s="175"/>
      <c r="E161" s="175"/>
      <c r="F161" s="175"/>
      <c r="G161" s="175"/>
      <c r="H161" s="175"/>
      <c r="I161" s="175"/>
      <c r="J161" s="175"/>
    </row>
    <row r="162" spans="1:10" x14ac:dyDescent="0.2">
      <c r="A162" s="175"/>
      <c r="B162" s="175"/>
      <c r="C162" s="175"/>
      <c r="D162" s="175"/>
      <c r="E162" s="175"/>
      <c r="F162" s="175"/>
      <c r="G162" s="175"/>
      <c r="H162" s="175"/>
      <c r="I162" s="175"/>
      <c r="J162" s="175"/>
    </row>
    <row r="163" spans="1:10" x14ac:dyDescent="0.2">
      <c r="A163" s="175"/>
      <c r="B163" s="175"/>
      <c r="C163" s="175"/>
      <c r="D163" s="175"/>
      <c r="E163" s="175"/>
      <c r="F163" s="175"/>
      <c r="G163" s="175"/>
      <c r="H163" s="175"/>
      <c r="I163" s="175"/>
      <c r="J163" s="175"/>
    </row>
    <row r="164" spans="1:10" x14ac:dyDescent="0.2">
      <c r="A164" s="175"/>
      <c r="B164" s="175"/>
      <c r="C164" s="175"/>
      <c r="D164" s="175"/>
      <c r="E164" s="175"/>
      <c r="F164" s="175"/>
      <c r="G164" s="175"/>
      <c r="H164" s="175"/>
      <c r="I164" s="175"/>
      <c r="J164" s="175"/>
    </row>
    <row r="165" spans="1:10" x14ac:dyDescent="0.2">
      <c r="A165" s="175"/>
      <c r="B165" s="175"/>
      <c r="C165" s="175"/>
      <c r="D165" s="175"/>
      <c r="E165" s="175"/>
      <c r="F165" s="175"/>
      <c r="G165" s="175"/>
      <c r="H165" s="175"/>
      <c r="I165" s="175"/>
      <c r="J165" s="175"/>
    </row>
    <row r="166" spans="1:10" x14ac:dyDescent="0.2">
      <c r="A166" s="175"/>
      <c r="B166" s="175"/>
      <c r="C166" s="175"/>
      <c r="D166" s="175"/>
      <c r="E166" s="175"/>
      <c r="F166" s="175"/>
      <c r="G166" s="175"/>
      <c r="H166" s="175"/>
      <c r="I166" s="175"/>
      <c r="J166" s="175"/>
    </row>
    <row r="167" spans="1:10" x14ac:dyDescent="0.2">
      <c r="A167" s="175"/>
      <c r="B167" s="175"/>
      <c r="C167" s="175"/>
      <c r="D167" s="175"/>
      <c r="E167" s="175"/>
      <c r="F167" s="175"/>
      <c r="G167" s="175"/>
      <c r="H167" s="175"/>
      <c r="I167" s="175"/>
      <c r="J167" s="175"/>
    </row>
    <row r="168" spans="1:10" x14ac:dyDescent="0.2">
      <c r="A168" s="175"/>
      <c r="B168" s="175"/>
      <c r="C168" s="175"/>
      <c r="D168" s="175"/>
      <c r="E168" s="175"/>
      <c r="F168" s="175"/>
      <c r="G168" s="175"/>
      <c r="H168" s="175"/>
      <c r="I168" s="175"/>
      <c r="J168" s="175"/>
    </row>
    <row r="169" spans="1:10" x14ac:dyDescent="0.2">
      <c r="A169" s="175"/>
      <c r="B169" s="175"/>
      <c r="C169" s="175"/>
      <c r="D169" s="175"/>
      <c r="E169" s="175"/>
      <c r="F169" s="175"/>
      <c r="G169" s="175"/>
      <c r="H169" s="175"/>
      <c r="I169" s="175"/>
      <c r="J169" s="175"/>
    </row>
    <row r="170" spans="1:10" x14ac:dyDescent="0.2">
      <c r="A170" s="175"/>
      <c r="B170" s="175"/>
      <c r="C170" s="175"/>
      <c r="D170" s="175"/>
      <c r="E170" s="175"/>
      <c r="F170" s="175"/>
      <c r="G170" s="175"/>
      <c r="H170" s="175"/>
      <c r="I170" s="175"/>
      <c r="J170" s="175"/>
    </row>
    <row r="171" spans="1:10" x14ac:dyDescent="0.2">
      <c r="A171" s="175"/>
      <c r="B171" s="175"/>
      <c r="C171" s="175"/>
      <c r="D171" s="175"/>
      <c r="E171" s="175"/>
      <c r="F171" s="175"/>
      <c r="G171" s="175"/>
      <c r="H171" s="175"/>
      <c r="I171" s="175"/>
      <c r="J171" s="175"/>
    </row>
    <row r="172" spans="1:10" x14ac:dyDescent="0.2">
      <c r="A172" s="175"/>
      <c r="B172" s="175"/>
      <c r="C172" s="175"/>
      <c r="D172" s="175"/>
      <c r="E172" s="175"/>
      <c r="F172" s="175"/>
      <c r="G172" s="175"/>
      <c r="H172" s="175"/>
      <c r="I172" s="175"/>
      <c r="J172" s="175"/>
    </row>
    <row r="173" spans="1:10" x14ac:dyDescent="0.2">
      <c r="A173" s="175"/>
      <c r="B173" s="175"/>
      <c r="C173" s="175"/>
      <c r="D173" s="175"/>
      <c r="E173" s="175"/>
      <c r="F173" s="175"/>
      <c r="G173" s="175"/>
      <c r="H173" s="175"/>
      <c r="I173" s="175"/>
      <c r="J173" s="175"/>
    </row>
    <row r="174" spans="1:10" x14ac:dyDescent="0.2">
      <c r="A174" s="175"/>
      <c r="B174" s="175"/>
      <c r="C174" s="175"/>
      <c r="D174" s="175"/>
      <c r="E174" s="175"/>
      <c r="F174" s="175"/>
      <c r="G174" s="175"/>
      <c r="H174" s="175"/>
      <c r="I174" s="175"/>
      <c r="J174" s="175"/>
    </row>
    <row r="175" spans="1:10" x14ac:dyDescent="0.2">
      <c r="A175" s="175"/>
      <c r="B175" s="175"/>
      <c r="C175" s="175"/>
      <c r="D175" s="175"/>
      <c r="E175" s="175"/>
      <c r="F175" s="175"/>
      <c r="G175" s="175"/>
      <c r="H175" s="175"/>
      <c r="I175" s="175"/>
      <c r="J175" s="175"/>
    </row>
    <row r="176" spans="1:10" x14ac:dyDescent="0.2">
      <c r="A176" s="175"/>
      <c r="B176" s="175"/>
      <c r="C176" s="175"/>
      <c r="D176" s="175"/>
      <c r="E176" s="175"/>
      <c r="F176" s="175"/>
      <c r="G176" s="175"/>
      <c r="H176" s="175"/>
      <c r="I176" s="175"/>
      <c r="J176" s="175"/>
    </row>
    <row r="177" spans="1:10" x14ac:dyDescent="0.2">
      <c r="A177" s="175"/>
      <c r="B177" s="175"/>
      <c r="C177" s="175"/>
      <c r="D177" s="175"/>
      <c r="E177" s="175"/>
      <c r="F177" s="175"/>
      <c r="G177" s="175"/>
      <c r="H177" s="175"/>
      <c r="I177" s="175"/>
      <c r="J177" s="175"/>
    </row>
    <row r="178" spans="1:10" x14ac:dyDescent="0.2">
      <c r="A178" s="175"/>
      <c r="B178" s="175"/>
      <c r="C178" s="175"/>
      <c r="D178" s="175"/>
      <c r="E178" s="175"/>
      <c r="F178" s="175"/>
      <c r="G178" s="175"/>
      <c r="H178" s="175"/>
      <c r="I178" s="175"/>
      <c r="J178" s="175"/>
    </row>
    <row r="179" spans="1:10" x14ac:dyDescent="0.2">
      <c r="A179" s="175"/>
      <c r="B179" s="175"/>
      <c r="C179" s="175"/>
      <c r="D179" s="175"/>
      <c r="E179" s="175"/>
      <c r="F179" s="175"/>
      <c r="G179" s="175"/>
      <c r="H179" s="175"/>
      <c r="I179" s="175"/>
      <c r="J179" s="175"/>
    </row>
    <row r="180" spans="1:10" x14ac:dyDescent="0.2">
      <c r="A180" s="175"/>
      <c r="B180" s="175"/>
      <c r="C180" s="175"/>
      <c r="D180" s="175"/>
      <c r="E180" s="175"/>
      <c r="F180" s="175"/>
      <c r="G180" s="175"/>
      <c r="H180" s="175"/>
      <c r="I180" s="175"/>
      <c r="J180" s="175"/>
    </row>
    <row r="181" spans="1:10" x14ac:dyDescent="0.2">
      <c r="A181" s="175"/>
      <c r="B181" s="175"/>
      <c r="C181" s="175"/>
      <c r="D181" s="175"/>
      <c r="E181" s="175"/>
      <c r="F181" s="175"/>
      <c r="G181" s="175"/>
      <c r="H181" s="175"/>
      <c r="I181" s="175"/>
      <c r="J181" s="175"/>
    </row>
    <row r="182" spans="1:10" x14ac:dyDescent="0.2">
      <c r="A182" s="175"/>
      <c r="B182" s="175"/>
      <c r="C182" s="175"/>
      <c r="D182" s="175"/>
      <c r="E182" s="175"/>
      <c r="F182" s="175"/>
      <c r="G182" s="175"/>
      <c r="H182" s="175"/>
      <c r="I182" s="175"/>
      <c r="J182" s="175"/>
    </row>
    <row r="183" spans="1:10" x14ac:dyDescent="0.2">
      <c r="A183" s="175"/>
      <c r="B183" s="175"/>
      <c r="C183" s="175"/>
      <c r="D183" s="175"/>
      <c r="E183" s="175"/>
      <c r="F183" s="175"/>
      <c r="G183" s="175"/>
      <c r="H183" s="175"/>
      <c r="I183" s="175"/>
      <c r="J183" s="175"/>
    </row>
    <row r="184" spans="1:10" x14ac:dyDescent="0.2">
      <c r="A184" s="175"/>
      <c r="B184" s="175"/>
      <c r="C184" s="175"/>
      <c r="D184" s="175"/>
      <c r="E184" s="175"/>
      <c r="F184" s="175"/>
      <c r="G184" s="175"/>
      <c r="H184" s="175"/>
      <c r="I184" s="175"/>
      <c r="J184" s="175"/>
    </row>
    <row r="185" spans="1:10" x14ac:dyDescent="0.2">
      <c r="A185" s="175"/>
      <c r="B185" s="175"/>
      <c r="C185" s="175"/>
      <c r="D185" s="175"/>
      <c r="E185" s="175"/>
      <c r="F185" s="175"/>
      <c r="G185" s="175"/>
      <c r="H185" s="175"/>
      <c r="I185" s="175"/>
      <c r="J185" s="175"/>
    </row>
    <row r="186" spans="1:10" x14ac:dyDescent="0.2">
      <c r="A186" s="175"/>
      <c r="B186" s="175"/>
      <c r="C186" s="175"/>
      <c r="D186" s="175"/>
      <c r="E186" s="175"/>
      <c r="F186" s="175"/>
      <c r="G186" s="175"/>
      <c r="H186" s="175"/>
      <c r="I186" s="175"/>
      <c r="J186" s="175"/>
    </row>
    <row r="187" spans="1:10" x14ac:dyDescent="0.2">
      <c r="A187" s="175"/>
      <c r="B187" s="175"/>
      <c r="C187" s="175"/>
      <c r="D187" s="175"/>
      <c r="E187" s="175"/>
      <c r="F187" s="175"/>
      <c r="G187" s="175"/>
      <c r="H187" s="175"/>
      <c r="I187" s="175"/>
      <c r="J187" s="175"/>
    </row>
    <row r="188" spans="1:10" x14ac:dyDescent="0.2">
      <c r="A188" s="175"/>
      <c r="B188" s="175"/>
      <c r="C188" s="175"/>
      <c r="D188" s="175"/>
      <c r="E188" s="175"/>
      <c r="F188" s="175"/>
      <c r="G188" s="175"/>
      <c r="H188" s="175"/>
      <c r="I188" s="175"/>
      <c r="J188" s="175"/>
    </row>
    <row r="189" spans="1:10" x14ac:dyDescent="0.2">
      <c r="A189" s="175"/>
      <c r="B189" s="175"/>
      <c r="C189" s="175"/>
      <c r="D189" s="175"/>
      <c r="E189" s="175"/>
      <c r="F189" s="175"/>
      <c r="G189" s="175"/>
      <c r="H189" s="175"/>
      <c r="I189" s="175"/>
      <c r="J189" s="175"/>
    </row>
    <row r="190" spans="1:10" x14ac:dyDescent="0.2">
      <c r="A190" s="175"/>
      <c r="B190" s="175"/>
      <c r="C190" s="175"/>
      <c r="D190" s="175"/>
      <c r="E190" s="175"/>
      <c r="F190" s="175"/>
      <c r="G190" s="175"/>
      <c r="H190" s="175"/>
      <c r="I190" s="175"/>
      <c r="J190" s="175"/>
    </row>
    <row r="191" spans="1:10" x14ac:dyDescent="0.2">
      <c r="A191" s="175"/>
      <c r="B191" s="175"/>
      <c r="C191" s="175"/>
      <c r="D191" s="175"/>
      <c r="E191" s="175"/>
      <c r="F191" s="175"/>
      <c r="G191" s="175"/>
      <c r="H191" s="175"/>
      <c r="I191" s="175"/>
      <c r="J191" s="175"/>
    </row>
    <row r="192" spans="1:10" x14ac:dyDescent="0.2">
      <c r="A192" s="175"/>
      <c r="B192" s="175"/>
      <c r="C192" s="175"/>
      <c r="D192" s="175"/>
      <c r="E192" s="175"/>
      <c r="F192" s="175"/>
      <c r="G192" s="175"/>
      <c r="H192" s="175"/>
      <c r="I192" s="175"/>
      <c r="J192" s="175"/>
    </row>
    <row r="193" spans="1:10" x14ac:dyDescent="0.2">
      <c r="A193" s="175"/>
      <c r="B193" s="175"/>
      <c r="C193" s="175"/>
      <c r="D193" s="175"/>
      <c r="E193" s="175"/>
      <c r="F193" s="175"/>
      <c r="G193" s="175"/>
      <c r="H193" s="175"/>
      <c r="I193" s="175"/>
      <c r="J193" s="175"/>
    </row>
    <row r="194" spans="1:10" x14ac:dyDescent="0.2">
      <c r="A194" s="175"/>
      <c r="B194" s="175"/>
      <c r="C194" s="175"/>
      <c r="D194" s="175"/>
      <c r="E194" s="175"/>
      <c r="F194" s="175"/>
      <c r="G194" s="175"/>
      <c r="H194" s="175"/>
      <c r="I194" s="175"/>
      <c r="J194" s="175"/>
    </row>
    <row r="195" spans="1:10" x14ac:dyDescent="0.2">
      <c r="A195" s="175"/>
      <c r="B195" s="175"/>
      <c r="C195" s="175"/>
      <c r="D195" s="175"/>
      <c r="E195" s="175"/>
      <c r="F195" s="175"/>
      <c r="G195" s="175"/>
      <c r="H195" s="175"/>
      <c r="I195" s="175"/>
      <c r="J195" s="175"/>
    </row>
    <row r="196" spans="1:10" x14ac:dyDescent="0.2">
      <c r="A196" s="175"/>
      <c r="B196" s="175"/>
      <c r="C196" s="175"/>
      <c r="D196" s="175"/>
      <c r="E196" s="175"/>
      <c r="F196" s="175"/>
      <c r="G196" s="175"/>
      <c r="H196" s="175"/>
      <c r="I196" s="175"/>
      <c r="J196" s="175"/>
    </row>
    <row r="197" spans="1:10" x14ac:dyDescent="0.2">
      <c r="A197" s="175"/>
      <c r="B197" s="175"/>
      <c r="C197" s="175"/>
      <c r="D197" s="175"/>
      <c r="E197" s="175"/>
      <c r="F197" s="175"/>
      <c r="G197" s="175"/>
      <c r="H197" s="175"/>
      <c r="I197" s="175"/>
      <c r="J197" s="175"/>
    </row>
    <row r="198" spans="1:10" x14ac:dyDescent="0.2">
      <c r="A198" s="175"/>
      <c r="B198" s="175"/>
      <c r="C198" s="175"/>
      <c r="D198" s="175"/>
      <c r="E198" s="175"/>
      <c r="F198" s="175"/>
      <c r="G198" s="175"/>
      <c r="H198" s="175"/>
      <c r="I198" s="175"/>
      <c r="J198" s="175"/>
    </row>
    <row r="199" spans="1:10" x14ac:dyDescent="0.2">
      <c r="A199" s="175"/>
      <c r="B199" s="175"/>
      <c r="C199" s="175"/>
      <c r="D199" s="175"/>
      <c r="E199" s="175"/>
      <c r="F199" s="175"/>
      <c r="G199" s="175"/>
      <c r="H199" s="175"/>
      <c r="I199" s="175"/>
      <c r="J199" s="175"/>
    </row>
    <row r="200" spans="1:10" x14ac:dyDescent="0.2">
      <c r="A200" s="175"/>
      <c r="B200" s="175"/>
      <c r="C200" s="175"/>
      <c r="D200" s="175"/>
      <c r="E200" s="175"/>
      <c r="F200" s="175"/>
      <c r="G200" s="175"/>
      <c r="H200" s="175"/>
      <c r="I200" s="175"/>
      <c r="J200" s="175"/>
    </row>
    <row r="201" spans="1:10" x14ac:dyDescent="0.2">
      <c r="A201" s="175"/>
      <c r="B201" s="175"/>
      <c r="C201" s="175"/>
      <c r="D201" s="175"/>
      <c r="E201" s="175"/>
      <c r="F201" s="175"/>
      <c r="G201" s="175"/>
      <c r="H201" s="175"/>
      <c r="I201" s="175"/>
      <c r="J201" s="175"/>
    </row>
    <row r="202" spans="1:10" x14ac:dyDescent="0.2">
      <c r="A202" s="175"/>
      <c r="B202" s="175"/>
      <c r="C202" s="175"/>
      <c r="D202" s="175"/>
      <c r="E202" s="175"/>
      <c r="F202" s="175"/>
      <c r="G202" s="175"/>
      <c r="H202" s="175"/>
      <c r="I202" s="175"/>
      <c r="J202" s="175"/>
    </row>
    <row r="203" spans="1:10" x14ac:dyDescent="0.2">
      <c r="A203" s="175"/>
      <c r="B203" s="175"/>
      <c r="C203" s="175"/>
      <c r="D203" s="175"/>
      <c r="E203" s="175"/>
      <c r="F203" s="175"/>
      <c r="G203" s="175"/>
      <c r="H203" s="175"/>
      <c r="I203" s="175"/>
      <c r="J203" s="175"/>
    </row>
    <row r="204" spans="1:10" x14ac:dyDescent="0.2">
      <c r="A204" s="175"/>
      <c r="B204" s="175"/>
      <c r="C204" s="175"/>
      <c r="D204" s="175"/>
      <c r="E204" s="175"/>
      <c r="F204" s="175"/>
      <c r="G204" s="175"/>
      <c r="H204" s="175"/>
      <c r="I204" s="175"/>
      <c r="J204" s="175"/>
    </row>
    <row r="205" spans="1:10" x14ac:dyDescent="0.2">
      <c r="A205" s="175"/>
      <c r="B205" s="175"/>
      <c r="C205" s="175"/>
      <c r="D205" s="175"/>
      <c r="E205" s="175"/>
      <c r="F205" s="175"/>
      <c r="G205" s="175"/>
      <c r="H205" s="175"/>
      <c r="I205" s="175"/>
      <c r="J205" s="175"/>
    </row>
    <row r="206" spans="1:10" x14ac:dyDescent="0.2">
      <c r="A206" s="175"/>
      <c r="B206" s="175"/>
      <c r="C206" s="175"/>
      <c r="D206" s="175"/>
      <c r="E206" s="175"/>
      <c r="F206" s="175"/>
      <c r="G206" s="175"/>
      <c r="H206" s="175"/>
      <c r="I206" s="175"/>
      <c r="J206" s="175"/>
    </row>
    <row r="207" spans="1:10" x14ac:dyDescent="0.2">
      <c r="A207" s="175"/>
      <c r="B207" s="175"/>
      <c r="C207" s="175"/>
      <c r="D207" s="175"/>
      <c r="E207" s="175"/>
      <c r="F207" s="175"/>
      <c r="G207" s="175"/>
      <c r="H207" s="175"/>
      <c r="I207" s="175"/>
      <c r="J207" s="175"/>
    </row>
    <row r="208" spans="1:10" x14ac:dyDescent="0.2">
      <c r="A208" s="175"/>
      <c r="B208" s="175"/>
      <c r="C208" s="175"/>
      <c r="D208" s="175"/>
      <c r="E208" s="175"/>
      <c r="F208" s="175"/>
      <c r="G208" s="175"/>
      <c r="H208" s="175"/>
      <c r="I208" s="175"/>
      <c r="J208" s="175"/>
    </row>
    <row r="209" spans="1:10" x14ac:dyDescent="0.2">
      <c r="A209" s="175"/>
      <c r="B209" s="175"/>
      <c r="C209" s="175"/>
      <c r="D209" s="175"/>
      <c r="E209" s="175"/>
      <c r="F209" s="175"/>
      <c r="G209" s="175"/>
      <c r="H209" s="175"/>
      <c r="I209" s="175"/>
      <c r="J209" s="175"/>
    </row>
    <row r="210" spans="1:10" x14ac:dyDescent="0.2">
      <c r="A210" s="175"/>
      <c r="B210" s="175"/>
      <c r="C210" s="175"/>
      <c r="D210" s="175"/>
      <c r="E210" s="175"/>
      <c r="F210" s="175"/>
      <c r="G210" s="175"/>
      <c r="H210" s="175"/>
      <c r="I210" s="175"/>
      <c r="J210" s="175"/>
    </row>
    <row r="211" spans="1:10" x14ac:dyDescent="0.2">
      <c r="A211" s="175"/>
      <c r="B211" s="175"/>
      <c r="C211" s="175"/>
      <c r="D211" s="175"/>
      <c r="E211" s="175"/>
      <c r="F211" s="175"/>
      <c r="G211" s="175"/>
      <c r="H211" s="175"/>
      <c r="I211" s="175"/>
      <c r="J211" s="175"/>
    </row>
    <row r="212" spans="1:10" x14ac:dyDescent="0.2">
      <c r="A212" s="175"/>
      <c r="B212" s="175"/>
      <c r="C212" s="175"/>
      <c r="D212" s="175"/>
      <c r="E212" s="175"/>
      <c r="F212" s="175"/>
      <c r="G212" s="175"/>
      <c r="H212" s="175"/>
      <c r="I212" s="175"/>
      <c r="J212" s="175"/>
    </row>
    <row r="213" spans="1:10" x14ac:dyDescent="0.2">
      <c r="A213" s="175"/>
      <c r="B213" s="175"/>
      <c r="C213" s="175"/>
      <c r="D213" s="175"/>
      <c r="E213" s="175"/>
      <c r="F213" s="175"/>
      <c r="G213" s="175"/>
      <c r="H213" s="175"/>
      <c r="I213" s="175"/>
      <c r="J213" s="175"/>
    </row>
    <row r="214" spans="1:10" x14ac:dyDescent="0.2">
      <c r="A214" s="175"/>
      <c r="B214" s="175"/>
      <c r="C214" s="175"/>
      <c r="D214" s="175"/>
      <c r="E214" s="175"/>
      <c r="F214" s="175"/>
      <c r="G214" s="175"/>
      <c r="H214" s="175"/>
      <c r="I214" s="175"/>
      <c r="J214" s="175"/>
    </row>
    <row r="215" spans="1:10" x14ac:dyDescent="0.2">
      <c r="A215" s="175"/>
      <c r="B215" s="175"/>
      <c r="C215" s="175"/>
      <c r="D215" s="175"/>
      <c r="E215" s="175"/>
      <c r="F215" s="175"/>
      <c r="G215" s="175"/>
      <c r="H215" s="175"/>
      <c r="I215" s="175"/>
      <c r="J215" s="175"/>
    </row>
    <row r="216" spans="1:10" x14ac:dyDescent="0.2">
      <c r="A216" s="175"/>
      <c r="B216" s="175"/>
      <c r="C216" s="175"/>
      <c r="D216" s="175"/>
      <c r="E216" s="175"/>
      <c r="F216" s="175"/>
      <c r="G216" s="175"/>
      <c r="H216" s="175"/>
      <c r="I216" s="175"/>
      <c r="J216" s="175"/>
    </row>
    <row r="217" spans="1:10" x14ac:dyDescent="0.2">
      <c r="A217" s="175"/>
      <c r="B217" s="175"/>
      <c r="C217" s="175"/>
      <c r="D217" s="175"/>
      <c r="E217" s="175"/>
      <c r="F217" s="175"/>
      <c r="G217" s="175"/>
      <c r="H217" s="175"/>
      <c r="I217" s="175"/>
      <c r="J217" s="175"/>
    </row>
    <row r="218" spans="1:10" x14ac:dyDescent="0.2">
      <c r="A218" s="175"/>
      <c r="B218" s="175"/>
      <c r="C218" s="175"/>
      <c r="D218" s="175"/>
      <c r="E218" s="175"/>
      <c r="F218" s="175"/>
      <c r="G218" s="175"/>
      <c r="H218" s="175"/>
      <c r="I218" s="175"/>
      <c r="J218" s="175"/>
    </row>
    <row r="219" spans="1:10" x14ac:dyDescent="0.2">
      <c r="A219" s="175"/>
      <c r="B219" s="175"/>
      <c r="C219" s="175"/>
      <c r="D219" s="175"/>
      <c r="E219" s="175"/>
      <c r="F219" s="175"/>
      <c r="G219" s="175"/>
      <c r="H219" s="175"/>
      <c r="I219" s="175"/>
      <c r="J219" s="175"/>
    </row>
    <row r="220" spans="1:10" x14ac:dyDescent="0.2">
      <c r="A220" s="175"/>
      <c r="B220" s="175"/>
      <c r="C220" s="175"/>
      <c r="D220" s="175"/>
      <c r="E220" s="175"/>
      <c r="F220" s="175"/>
      <c r="G220" s="175"/>
      <c r="H220" s="175"/>
      <c r="I220" s="175"/>
      <c r="J220" s="175"/>
    </row>
    <row r="221" spans="1:10" x14ac:dyDescent="0.2">
      <c r="A221" s="175"/>
      <c r="B221" s="175"/>
      <c r="C221" s="175"/>
      <c r="D221" s="175"/>
      <c r="E221" s="175"/>
      <c r="F221" s="175"/>
      <c r="G221" s="175"/>
      <c r="H221" s="175"/>
      <c r="I221" s="175"/>
      <c r="J221" s="175"/>
    </row>
    <row r="222" spans="1:10" x14ac:dyDescent="0.2">
      <c r="A222" s="175"/>
      <c r="B222" s="175"/>
      <c r="C222" s="175"/>
      <c r="D222" s="175"/>
      <c r="E222" s="175"/>
      <c r="F222" s="175"/>
      <c r="G222" s="175"/>
      <c r="H222" s="175"/>
      <c r="I222" s="175"/>
      <c r="J222" s="175"/>
    </row>
    <row r="223" spans="1:10" x14ac:dyDescent="0.2">
      <c r="A223" s="175"/>
      <c r="B223" s="175"/>
      <c r="C223" s="175"/>
      <c r="D223" s="175"/>
      <c r="E223" s="175"/>
      <c r="F223" s="175"/>
      <c r="G223" s="175"/>
      <c r="H223" s="175"/>
      <c r="I223" s="175"/>
      <c r="J223" s="175"/>
    </row>
    <row r="224" spans="1:10" x14ac:dyDescent="0.2">
      <c r="A224" s="175"/>
      <c r="B224" s="175"/>
      <c r="C224" s="175"/>
      <c r="D224" s="175"/>
      <c r="E224" s="175"/>
      <c r="F224" s="175"/>
      <c r="G224" s="175"/>
      <c r="H224" s="175"/>
      <c r="I224" s="175"/>
      <c r="J224" s="175"/>
    </row>
    <row r="225" spans="1:10" x14ac:dyDescent="0.2">
      <c r="A225" s="175"/>
      <c r="B225" s="175"/>
      <c r="C225" s="175"/>
      <c r="D225" s="175"/>
      <c r="E225" s="175"/>
      <c r="F225" s="175"/>
      <c r="G225" s="175"/>
      <c r="H225" s="175"/>
      <c r="I225" s="175"/>
      <c r="J225" s="175"/>
    </row>
    <row r="226" spans="1:10" x14ac:dyDescent="0.2">
      <c r="A226" s="175"/>
      <c r="B226" s="175"/>
      <c r="C226" s="175"/>
      <c r="D226" s="175"/>
      <c r="E226" s="175"/>
      <c r="F226" s="175"/>
      <c r="G226" s="175"/>
      <c r="H226" s="175"/>
      <c r="I226" s="175"/>
      <c r="J226" s="1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7"/>
  <sheetViews>
    <sheetView workbookViewId="0">
      <selection activeCell="H5" sqref="H5"/>
    </sheetView>
  </sheetViews>
  <sheetFormatPr defaultRowHeight="12.75" x14ac:dyDescent="0.2"/>
  <cols>
    <col min="1" max="1" width="9.140625" style="4"/>
    <col min="2" max="2" width="22.42578125" style="4" customWidth="1"/>
    <col min="3" max="3" width="12.28515625" style="4" customWidth="1"/>
    <col min="4" max="4" width="17.7109375" style="4" customWidth="1"/>
    <col min="5" max="5" width="13.140625" style="4" customWidth="1"/>
    <col min="6" max="6" width="11.85546875" style="4" customWidth="1"/>
    <col min="7" max="7" width="19.7109375" style="4" customWidth="1"/>
    <col min="8" max="8" width="13.28515625" style="4" customWidth="1"/>
    <col min="9" max="9" width="12.7109375" style="4" customWidth="1"/>
    <col min="10" max="11" width="9.140625" style="4"/>
    <col min="12" max="12" width="12.42578125" style="4" bestFit="1" customWidth="1"/>
    <col min="13" max="16384" width="9.140625" style="4"/>
  </cols>
  <sheetData>
    <row r="1" spans="1:13" ht="14.25" customHeight="1" x14ac:dyDescent="0.2"/>
    <row r="2" spans="1:13" x14ac:dyDescent="0.2">
      <c r="B2" s="12" t="s">
        <v>225</v>
      </c>
      <c r="C2" s="13" t="s">
        <v>226</v>
      </c>
      <c r="D2" s="13" t="s">
        <v>202</v>
      </c>
      <c r="E2" s="12" t="s">
        <v>227</v>
      </c>
    </row>
    <row r="3" spans="1:13" ht="15.75" customHeight="1" x14ac:dyDescent="0.2">
      <c r="B3" s="4" t="s">
        <v>51</v>
      </c>
      <c r="C3" s="15">
        <v>5</v>
      </c>
      <c r="D3" s="7">
        <f>VLOOKUP(C3,$D$30:$E$37,2,FALSE)</f>
        <v>2</v>
      </c>
      <c r="E3" s="4" t="str">
        <f>" /pcgain="&amp;D3</f>
        <v xml:space="preserve"> /pcgain=2</v>
      </c>
      <c r="F3" s="5"/>
      <c r="G3" s="4" t="s">
        <v>50</v>
      </c>
      <c r="H3" s="8" t="s">
        <v>285</v>
      </c>
    </row>
    <row r="4" spans="1:13" x14ac:dyDescent="0.2">
      <c r="B4" s="4" t="s">
        <v>52</v>
      </c>
      <c r="C4" s="15">
        <v>1</v>
      </c>
      <c r="D4" s="7">
        <f>VLOOKUP(C4,$D$30:$E$37,2,FALSE)</f>
        <v>10</v>
      </c>
      <c r="E4" s="4" t="str">
        <f>" /refgain="&amp;D4</f>
        <v xml:space="preserve"> /refgain=10</v>
      </c>
      <c r="F4" s="5"/>
      <c r="G4" s="9" t="s">
        <v>231</v>
      </c>
      <c r="H4" s="9" t="str">
        <f>PathName&amp;PCGainFlag&amp;RefGainFlag&amp;BaseGainFlag&amp;xferFlag&amp;flashWaitFlag&amp;numFlashesFlag&amp;TimeScaleFlags&amp;cutoffflag</f>
        <v>C:\lifetime\lifetime.exe /subbase=2 /basetime_us=20000 /pcgain=2 /refgain=10 /basegain=1 /xfer=125 /flashwait_s=6 /numflashes=1 /pulselength=12500 /cutoff=12500</v>
      </c>
      <c r="L4" s="8"/>
    </row>
    <row r="5" spans="1:13" x14ac:dyDescent="0.2">
      <c r="B5" s="4" t="s">
        <v>53</v>
      </c>
      <c r="C5" s="15">
        <v>10</v>
      </c>
      <c r="D5" s="7">
        <f>VLOOKUP(C5,$D$30:$E$37,2,FALSE)</f>
        <v>1</v>
      </c>
      <c r="E5" s="4" t="str">
        <f>" /basegain="&amp;D5</f>
        <v xml:space="preserve"> /basegain=1</v>
      </c>
      <c r="G5" s="18" t="s">
        <v>230</v>
      </c>
      <c r="H5" s="18" t="str">
        <f>"C:\lifetime\lifetime.exe /baseonly=true /autoexit=true"&amp;E12</f>
        <v>C:\lifetime\lifetime.exe /baseonly=true /autoexit=true /basegain=10</v>
      </c>
    </row>
    <row r="6" spans="1:13" x14ac:dyDescent="0.2">
      <c r="B6" s="8" t="s">
        <v>259</v>
      </c>
      <c r="C6" s="16">
        <f>PulseLength</f>
        <v>12500</v>
      </c>
      <c r="D6" s="7"/>
      <c r="E6" s="4" t="str">
        <f>" /pulselength="&amp;PulseLength</f>
        <v xml:space="preserve"> /pulselength=12500</v>
      </c>
      <c r="G6" s="37" t="s">
        <v>309</v>
      </c>
      <c r="H6" s="38" t="s">
        <v>310</v>
      </c>
    </row>
    <row r="7" spans="1:13" x14ac:dyDescent="0.2">
      <c r="B7" s="8" t="s">
        <v>245</v>
      </c>
      <c r="C7" s="16">
        <f>TSampleTime</f>
        <v>100000</v>
      </c>
      <c r="D7" s="7"/>
      <c r="E7" s="4" t="str">
        <f>" /ltransient="&amp;C7</f>
        <v xml:space="preserve"> /ltransient=100000</v>
      </c>
      <c r="G7" s="8" t="s">
        <v>260</v>
      </c>
      <c r="H7" s="4" t="str">
        <f>IF(OR(AnalysisMode = "Transient",AnalysisMode = "Generalized (1/64)"),ltransientFlag&amp;ntransientFlag,PulseLengthFlag)</f>
        <v xml:space="preserve"> /pulselength=12500</v>
      </c>
    </row>
    <row r="8" spans="1:13" x14ac:dyDescent="0.2">
      <c r="B8" s="8" t="s">
        <v>250</v>
      </c>
      <c r="C8" s="16">
        <f>TNumTaus</f>
        <v>3</v>
      </c>
      <c r="D8" s="7"/>
      <c r="E8" s="4" t="str">
        <f>" /ntransient="&amp;C8</f>
        <v xml:space="preserve"> /ntransient=3</v>
      </c>
    </row>
    <row r="9" spans="1:13" x14ac:dyDescent="0.2">
      <c r="A9" s="7"/>
      <c r="B9" s="5" t="s">
        <v>54</v>
      </c>
      <c r="C9" s="15">
        <v>125</v>
      </c>
      <c r="D9" s="7"/>
      <c r="E9" s="8" t="str">
        <f>" /xfer="&amp;C9</f>
        <v xml:space="preserve"> /xfer=125</v>
      </c>
      <c r="J9" s="5"/>
      <c r="L9" s="5"/>
      <c r="M9" s="5"/>
    </row>
    <row r="10" spans="1:13" x14ac:dyDescent="0.2">
      <c r="A10" s="7"/>
      <c r="B10" s="6" t="s">
        <v>82</v>
      </c>
      <c r="C10" s="15">
        <f>IF(OR(AnalysisMode="Transient",AnalysisMode="Generalized (1/64)"),TransFlashDelay,QSSFlashDelay)</f>
        <v>6</v>
      </c>
      <c r="D10" s="7"/>
      <c r="E10" s="4" t="str">
        <f>" /flashwait_s="&amp;C10</f>
        <v xml:space="preserve"> /flashwait_s=6</v>
      </c>
      <c r="J10" s="5"/>
    </row>
    <row r="11" spans="1:13" x14ac:dyDescent="0.2">
      <c r="A11" s="7"/>
      <c r="B11" s="36" t="s">
        <v>240</v>
      </c>
      <c r="C11" s="15">
        <v>1</v>
      </c>
      <c r="D11" s="7"/>
      <c r="E11" s="4" t="str">
        <f>" /numflashes="&amp;C11</f>
        <v xml:space="preserve"> /numflashes=1</v>
      </c>
      <c r="J11" s="5"/>
    </row>
    <row r="12" spans="1:13" x14ac:dyDescent="0.2">
      <c r="A12" s="7"/>
      <c r="B12" s="8" t="s">
        <v>228</v>
      </c>
      <c r="C12" s="14">
        <f>AirVoltageRange</f>
        <v>1</v>
      </c>
      <c r="D12" s="7">
        <f>VLOOKUP(C12,$D$30:$E$37,2,FALSE)</f>
        <v>10</v>
      </c>
      <c r="E12" s="4" t="str">
        <f>" /basegain="&amp;D12</f>
        <v xml:space="preserve"> /basegain=10</v>
      </c>
      <c r="J12" s="5"/>
      <c r="L12" s="5"/>
    </row>
    <row r="13" spans="1:13" x14ac:dyDescent="0.2">
      <c r="A13" s="7"/>
      <c r="B13" s="8" t="s">
        <v>334</v>
      </c>
      <c r="C13" s="7">
        <f>IF(OR(AnalysisMode = "Transient",AnalysisMode = "Generalized (1/64)"),200,PulseLength)</f>
        <v>12500</v>
      </c>
      <c r="E13" s="4" t="str">
        <f>" /cutoff="&amp;C13</f>
        <v xml:space="preserve"> /cutoff=12500</v>
      </c>
    </row>
    <row r="14" spans="1:13" x14ac:dyDescent="0.2">
      <c r="A14" s="7"/>
      <c r="D14" s="9"/>
      <c r="E14" s="9"/>
      <c r="F14" s="9"/>
      <c r="G14" s="9"/>
      <c r="H14" s="9"/>
      <c r="I14" s="9"/>
      <c r="J14" s="9"/>
      <c r="K14" s="9"/>
    </row>
    <row r="15" spans="1:13" x14ac:dyDescent="0.2">
      <c r="A15" s="7"/>
      <c r="B15" s="12" t="s">
        <v>232</v>
      </c>
      <c r="C15" s="31" t="s">
        <v>233</v>
      </c>
      <c r="D15" s="32"/>
      <c r="E15" s="33" t="s">
        <v>234</v>
      </c>
      <c r="F15" s="20"/>
    </row>
    <row r="16" spans="1:13" x14ac:dyDescent="0.2">
      <c r="A16" s="7"/>
      <c r="B16" s="16" t="s">
        <v>19</v>
      </c>
      <c r="C16" s="34" t="s">
        <v>235</v>
      </c>
      <c r="D16" s="35" t="s">
        <v>236</v>
      </c>
      <c r="E16" s="34" t="s">
        <v>235</v>
      </c>
      <c r="F16" s="35" t="s">
        <v>236</v>
      </c>
      <c r="G16" s="17" t="s">
        <v>239</v>
      </c>
    </row>
    <row r="17" spans="1:7" x14ac:dyDescent="0.2">
      <c r="A17" s="7"/>
      <c r="B17" s="7">
        <v>0</v>
      </c>
      <c r="C17" s="21">
        <f>C3</f>
        <v>5</v>
      </c>
      <c r="D17" s="22">
        <f>C17*G17</f>
        <v>2</v>
      </c>
      <c r="E17" s="21">
        <f>C4</f>
        <v>1</v>
      </c>
      <c r="F17" s="22">
        <f>E17*G17</f>
        <v>0.4</v>
      </c>
      <c r="G17" s="29">
        <v>0.4</v>
      </c>
    </row>
    <row r="18" spans="1:7" x14ac:dyDescent="0.2">
      <c r="A18" s="7"/>
      <c r="B18" s="19">
        <f>Calc!A133</f>
        <v>1.24499E-2</v>
      </c>
      <c r="C18" s="21">
        <f>C3</f>
        <v>5</v>
      </c>
      <c r="D18" s="22">
        <f>C18*G17</f>
        <v>2</v>
      </c>
      <c r="E18" s="21">
        <f>C4</f>
        <v>1</v>
      </c>
      <c r="F18" s="22">
        <f>E18*G17</f>
        <v>0.4</v>
      </c>
    </row>
    <row r="19" spans="1:7" x14ac:dyDescent="0.2">
      <c r="A19" s="7"/>
      <c r="C19" s="23"/>
      <c r="D19" s="24"/>
      <c r="E19" s="23"/>
      <c r="F19" s="24"/>
    </row>
    <row r="20" spans="1:7" x14ac:dyDescent="0.2">
      <c r="A20" s="7"/>
      <c r="B20" s="17" t="s">
        <v>237</v>
      </c>
      <c r="C20" s="23"/>
      <c r="D20" s="24"/>
      <c r="E20" s="23"/>
      <c r="F20" s="24"/>
    </row>
    <row r="21" spans="1:7" x14ac:dyDescent="0.2">
      <c r="A21" s="7"/>
      <c r="B21" s="8" t="s">
        <v>238</v>
      </c>
      <c r="C21" s="25">
        <f>Calc!B150</f>
        <v>4.9987599999999999</v>
      </c>
      <c r="D21" s="24"/>
      <c r="E21" s="28">
        <f>Calc!B152</f>
        <v>0.63222699999999998</v>
      </c>
      <c r="F21" s="24"/>
    </row>
    <row r="22" spans="1:7" x14ac:dyDescent="0.2">
      <c r="A22" s="7"/>
      <c r="B22" s="8" t="s">
        <v>252</v>
      </c>
      <c r="C22" s="23" t="b">
        <f>AND(C21&gt;0.95*Command!C17,D3&lt;&gt;-1)</f>
        <v>1</v>
      </c>
      <c r="D22" s="24"/>
      <c r="E22" s="23" t="b">
        <f>IF(AnalysisMode = "Transient", FALSE, AND(E21&gt;0.95*E17,D4&lt;&gt;10))</f>
        <v>0</v>
      </c>
      <c r="F22" s="24"/>
    </row>
    <row r="23" spans="1:7" x14ac:dyDescent="0.2">
      <c r="A23" s="7"/>
      <c r="B23" s="8" t="s">
        <v>253</v>
      </c>
      <c r="C23" s="23" t="b">
        <f>AND(C21&lt;Command!D17,D3&lt;&gt;50)</f>
        <v>0</v>
      </c>
      <c r="D23" s="24"/>
      <c r="E23" s="23" t="b">
        <f>IF(AnalysisMode = "Transient", IF(D4&lt;&gt;50,TRUE,FALSE),AND(E21&lt;F17,D4&lt;&gt;50))</f>
        <v>0</v>
      </c>
      <c r="F23" s="24"/>
    </row>
    <row r="24" spans="1:7" x14ac:dyDescent="0.2">
      <c r="A24" s="7"/>
      <c r="B24" s="30"/>
      <c r="C24" s="23"/>
      <c r="D24" s="24"/>
      <c r="E24" s="23"/>
      <c r="F24" s="24"/>
      <c r="G24" s="5"/>
    </row>
    <row r="25" spans="1:7" x14ac:dyDescent="0.2">
      <c r="A25" s="7"/>
      <c r="B25" s="8"/>
      <c r="C25" s="26"/>
      <c r="D25" s="27"/>
      <c r="E25" s="26"/>
      <c r="F25" s="27"/>
      <c r="G25" s="5"/>
    </row>
    <row r="26" spans="1:7" x14ac:dyDescent="0.2">
      <c r="A26" s="7"/>
    </row>
    <row r="28" spans="1:7" x14ac:dyDescent="0.2">
      <c r="B28" s="1" t="s">
        <v>222</v>
      </c>
    </row>
    <row r="29" spans="1:7" x14ac:dyDescent="0.2">
      <c r="B29" s="3" t="b">
        <v>1</v>
      </c>
      <c r="D29" s="11" t="s">
        <v>203</v>
      </c>
      <c r="E29" s="11" t="s">
        <v>202</v>
      </c>
    </row>
    <row r="30" spans="1:7" x14ac:dyDescent="0.2">
      <c r="B30" s="3" t="b">
        <v>0</v>
      </c>
      <c r="D30" s="10">
        <v>0.2</v>
      </c>
      <c r="E30" s="10">
        <v>50</v>
      </c>
    </row>
    <row r="31" spans="1:7" x14ac:dyDescent="0.2">
      <c r="B31" s="1"/>
      <c r="D31" s="10">
        <v>0.5</v>
      </c>
      <c r="E31" s="10">
        <v>20</v>
      </c>
    </row>
    <row r="32" spans="1:7" x14ac:dyDescent="0.2">
      <c r="B32" s="2" t="s">
        <v>287</v>
      </c>
      <c r="D32" s="10">
        <v>1</v>
      </c>
      <c r="E32" s="10">
        <v>10</v>
      </c>
    </row>
    <row r="33" spans="2:5" x14ac:dyDescent="0.2">
      <c r="B33" s="2" t="s">
        <v>286</v>
      </c>
      <c r="D33" s="10">
        <v>2</v>
      </c>
      <c r="E33" s="10">
        <v>5</v>
      </c>
    </row>
    <row r="34" spans="2:5" x14ac:dyDescent="0.2">
      <c r="B34" s="2" t="s">
        <v>223</v>
      </c>
      <c r="D34" s="10">
        <v>5</v>
      </c>
      <c r="E34" s="10">
        <v>2</v>
      </c>
    </row>
    <row r="35" spans="2:5" x14ac:dyDescent="0.2">
      <c r="B35" s="2" t="s">
        <v>65</v>
      </c>
      <c r="D35" s="10">
        <v>10</v>
      </c>
      <c r="E35" s="10">
        <v>1</v>
      </c>
    </row>
    <row r="36" spans="2:5" x14ac:dyDescent="0.2">
      <c r="B36" s="1"/>
      <c r="D36" s="10">
        <v>20</v>
      </c>
      <c r="E36" s="10">
        <v>-1</v>
      </c>
    </row>
    <row r="37" spans="2:5" x14ac:dyDescent="0.2">
      <c r="B37" s="2" t="s">
        <v>26</v>
      </c>
      <c r="D37" s="10">
        <v>40</v>
      </c>
      <c r="E37" s="10">
        <v>-2</v>
      </c>
    </row>
    <row r="38" spans="2:5" x14ac:dyDescent="0.2">
      <c r="B38" s="2" t="s">
        <v>224</v>
      </c>
    </row>
    <row r="40" spans="2:5" x14ac:dyDescent="0.2">
      <c r="B40" s="11" t="s">
        <v>289</v>
      </c>
    </row>
    <row r="41" spans="2:5" x14ac:dyDescent="0.2">
      <c r="B41" s="11" t="s">
        <v>290</v>
      </c>
    </row>
    <row r="43" spans="2:5" x14ac:dyDescent="0.2">
      <c r="B43" s="11" t="s">
        <v>291</v>
      </c>
    </row>
    <row r="44" spans="2:5" x14ac:dyDescent="0.2">
      <c r="B44" s="11" t="s">
        <v>292</v>
      </c>
    </row>
    <row r="46" spans="2:5" x14ac:dyDescent="0.2">
      <c r="B46" s="11" t="s">
        <v>318</v>
      </c>
    </row>
    <row r="47" spans="2:5" x14ac:dyDescent="0.2">
      <c r="B47" s="11" t="s">
        <v>319</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G127"/>
  <sheetViews>
    <sheetView workbookViewId="0">
      <selection sqref="A1:XFD1048576"/>
    </sheetView>
  </sheetViews>
  <sheetFormatPr defaultRowHeight="12.75" x14ac:dyDescent="0.2"/>
  <cols>
    <col min="1" max="16384" width="9.140625" style="83"/>
  </cols>
  <sheetData>
    <row r="1" spans="2:33" x14ac:dyDescent="0.2">
      <c r="B1" s="83">
        <v>190</v>
      </c>
      <c r="C1" s="179"/>
      <c r="D1" s="83">
        <v>180</v>
      </c>
      <c r="E1" s="180"/>
      <c r="F1" s="83">
        <v>170</v>
      </c>
      <c r="G1" s="181"/>
      <c r="H1" s="83">
        <v>160</v>
      </c>
      <c r="I1" s="182"/>
      <c r="J1" s="83">
        <v>145</v>
      </c>
      <c r="K1" s="183"/>
      <c r="L1" s="83">
        <v>135</v>
      </c>
      <c r="M1" s="184"/>
      <c r="N1" s="83">
        <v>125</v>
      </c>
      <c r="O1" s="185"/>
      <c r="P1" s="83">
        <v>115</v>
      </c>
      <c r="Q1" s="186"/>
      <c r="R1" s="83">
        <v>105</v>
      </c>
      <c r="S1" s="187"/>
      <c r="T1" s="83">
        <v>95</v>
      </c>
      <c r="U1" s="188"/>
      <c r="V1" s="83">
        <v>80</v>
      </c>
      <c r="W1" s="189"/>
      <c r="X1" s="83">
        <v>70</v>
      </c>
      <c r="Y1" s="190"/>
      <c r="Z1" s="83">
        <v>60</v>
      </c>
      <c r="AA1" s="191"/>
      <c r="AB1" s="83">
        <v>50</v>
      </c>
      <c r="AC1" s="192"/>
      <c r="AD1" s="83">
        <v>35</v>
      </c>
      <c r="AE1" s="193"/>
      <c r="AG1" s="194"/>
    </row>
    <row r="2" spans="2:33" x14ac:dyDescent="0.2">
      <c r="B2" s="83" t="s">
        <v>11</v>
      </c>
      <c r="C2" s="83" t="s">
        <v>181</v>
      </c>
      <c r="D2" s="83" t="s">
        <v>11</v>
      </c>
      <c r="E2" s="83" t="s">
        <v>181</v>
      </c>
      <c r="F2" s="83" t="s">
        <v>11</v>
      </c>
      <c r="G2" s="83" t="s">
        <v>181</v>
      </c>
      <c r="H2" s="83" t="s">
        <v>11</v>
      </c>
      <c r="I2" s="83" t="s">
        <v>181</v>
      </c>
      <c r="J2" s="83" t="s">
        <v>11</v>
      </c>
      <c r="K2" s="83" t="s">
        <v>181</v>
      </c>
      <c r="L2" s="83" t="s">
        <v>11</v>
      </c>
      <c r="M2" s="83" t="s">
        <v>181</v>
      </c>
      <c r="N2" s="83" t="s">
        <v>11</v>
      </c>
      <c r="O2" s="83" t="s">
        <v>181</v>
      </c>
      <c r="P2" s="83" t="s">
        <v>11</v>
      </c>
      <c r="Q2" s="83" t="s">
        <v>181</v>
      </c>
      <c r="R2" s="83" t="s">
        <v>11</v>
      </c>
      <c r="S2" s="83" t="s">
        <v>181</v>
      </c>
      <c r="T2" s="83" t="s">
        <v>11</v>
      </c>
      <c r="U2" s="83" t="s">
        <v>181</v>
      </c>
      <c r="V2" s="83" t="s">
        <v>11</v>
      </c>
      <c r="W2" s="83" t="s">
        <v>181</v>
      </c>
      <c r="X2" s="83" t="s">
        <v>11</v>
      </c>
      <c r="Y2" s="83" t="s">
        <v>181</v>
      </c>
      <c r="Z2" s="83" t="s">
        <v>11</v>
      </c>
      <c r="AA2" s="83" t="s">
        <v>181</v>
      </c>
      <c r="AB2" s="83" t="s">
        <v>11</v>
      </c>
      <c r="AC2" s="83" t="s">
        <v>181</v>
      </c>
      <c r="AD2" s="83" t="s">
        <v>11</v>
      </c>
      <c r="AE2" s="83" t="s">
        <v>181</v>
      </c>
    </row>
    <row r="3" spans="2:33" x14ac:dyDescent="0.2">
      <c r="B3" s="83">
        <v>1.0666839770994374E+16</v>
      </c>
      <c r="C3" s="83">
        <v>0</v>
      </c>
      <c r="D3" s="83">
        <v>1.0571495570496724E+16</v>
      </c>
      <c r="E3" s="83">
        <v>0</v>
      </c>
      <c r="F3" s="83">
        <v>1.0687556334625758E+16</v>
      </c>
      <c r="G3" s="83">
        <v>0</v>
      </c>
      <c r="H3" s="83">
        <v>1.0355266372650018E+16</v>
      </c>
      <c r="I3" s="83">
        <v>0</v>
      </c>
      <c r="J3" s="83">
        <v>1.0081916295242518E+16</v>
      </c>
      <c r="K3" s="83">
        <v>0</v>
      </c>
      <c r="L3" s="83">
        <v>1.0111417906929314E+16</v>
      </c>
      <c r="M3" s="83">
        <v>0</v>
      </c>
      <c r="N3" s="83">
        <v>9839902754440024</v>
      </c>
      <c r="O3" s="83">
        <v>0</v>
      </c>
      <c r="P3" s="83">
        <v>9577283543652926</v>
      </c>
      <c r="Q3" s="83">
        <v>0</v>
      </c>
      <c r="R3" s="83">
        <v>9915280756384524</v>
      </c>
      <c r="S3" s="83">
        <v>0</v>
      </c>
      <c r="T3" s="83">
        <v>9386474872734338</v>
      </c>
      <c r="U3" s="83">
        <v>0</v>
      </c>
      <c r="V3" s="83">
        <v>9575761656130390</v>
      </c>
      <c r="W3" s="83">
        <v>0</v>
      </c>
      <c r="X3" s="83">
        <v>9537078821640902</v>
      </c>
      <c r="Y3" s="83">
        <v>0</v>
      </c>
      <c r="Z3" s="83">
        <v>9041688825896214</v>
      </c>
      <c r="AA3" s="83">
        <v>0</v>
      </c>
      <c r="AB3" s="83">
        <v>9143708357670370</v>
      </c>
      <c r="AC3" s="83">
        <v>0</v>
      </c>
      <c r="AD3" s="83">
        <v>8984270978808332</v>
      </c>
      <c r="AE3" s="83">
        <v>0</v>
      </c>
    </row>
    <row r="4" spans="2:33" x14ac:dyDescent="0.2">
      <c r="B4" s="83">
        <v>4.2622285853559824E+16</v>
      </c>
      <c r="C4" s="83">
        <v>0</v>
      </c>
      <c r="D4" s="83">
        <v>4.2543528932330448E+16</v>
      </c>
      <c r="E4" s="83">
        <v>0</v>
      </c>
      <c r="F4" s="83">
        <v>4.2965749162565616E+16</v>
      </c>
      <c r="G4" s="83">
        <v>0</v>
      </c>
      <c r="H4" s="83">
        <v>4.2496309360700968E+16</v>
      </c>
      <c r="I4" s="83">
        <v>0</v>
      </c>
      <c r="J4" s="83">
        <v>4.1494973198551456E+16</v>
      </c>
      <c r="K4" s="83">
        <v>0</v>
      </c>
      <c r="L4" s="83">
        <v>4.1424013775129024E+16</v>
      </c>
      <c r="M4" s="83">
        <v>0</v>
      </c>
      <c r="N4" s="83">
        <v>4.0262920718919768E+16</v>
      </c>
      <c r="O4" s="83">
        <v>0</v>
      </c>
      <c r="P4" s="83">
        <v>3.905048299004908E+16</v>
      </c>
      <c r="Q4" s="83">
        <v>0</v>
      </c>
      <c r="R4" s="83">
        <v>4.1096902215062584E+16</v>
      </c>
      <c r="S4" s="83">
        <v>0</v>
      </c>
      <c r="T4" s="83">
        <v>3.8865031629792224E+16</v>
      </c>
      <c r="U4" s="83">
        <v>0</v>
      </c>
      <c r="V4" s="83">
        <v>3.961954798506532E+16</v>
      </c>
      <c r="W4" s="83">
        <v>0</v>
      </c>
      <c r="X4" s="83">
        <v>3.9948053603391448E+16</v>
      </c>
      <c r="Y4" s="83">
        <v>0</v>
      </c>
      <c r="Z4" s="83">
        <v>3.8112590007369576E+16</v>
      </c>
      <c r="AA4" s="83">
        <v>0</v>
      </c>
      <c r="AB4" s="83">
        <v>3.897007029351944E+16</v>
      </c>
      <c r="AC4" s="83">
        <v>0</v>
      </c>
      <c r="AD4" s="83">
        <v>3.8619909260557984E+16</v>
      </c>
      <c r="AE4" s="83">
        <v>0</v>
      </c>
    </row>
    <row r="5" spans="2:33" x14ac:dyDescent="0.2">
      <c r="B5" s="83">
        <v>6.1369428955842888E+16</v>
      </c>
      <c r="C5" s="83">
        <v>1.8061694921196492E-4</v>
      </c>
      <c r="D5" s="83">
        <v>6.1946469610246528E+16</v>
      </c>
      <c r="E5" s="83">
        <v>1.8513867987666593E-4</v>
      </c>
      <c r="F5" s="83">
        <v>6.2482208882916696E+16</v>
      </c>
      <c r="G5" s="83">
        <v>1.8206755911861653E-4</v>
      </c>
      <c r="H5" s="83">
        <v>6.099682969201572E+16</v>
      </c>
      <c r="I5" s="83">
        <v>1.8212270156841694E-4</v>
      </c>
      <c r="J5" s="83">
        <v>6.0646231912507096E+16</v>
      </c>
      <c r="K5" s="83">
        <v>1.7838938038114318E-4</v>
      </c>
      <c r="L5" s="83">
        <v>5.9939987258230808E+16</v>
      </c>
      <c r="M5" s="83">
        <v>1.7687384958035702E-4</v>
      </c>
      <c r="N5" s="83">
        <v>5.8526210866575216E+16</v>
      </c>
      <c r="O5" s="83">
        <v>1.746111478515189E-4</v>
      </c>
      <c r="P5" s="83">
        <v>5.7922508761938496E+16</v>
      </c>
      <c r="Q5" s="83">
        <v>1.7198376299751479E-4</v>
      </c>
      <c r="R5" s="83">
        <v>5.9521970707668824E+16</v>
      </c>
      <c r="S5" s="83">
        <v>1.7103678478685167E-4</v>
      </c>
      <c r="T5" s="83">
        <v>5.7764566371829296E+16</v>
      </c>
      <c r="U5" s="83">
        <v>1.6978534314989729E-4</v>
      </c>
      <c r="V5" s="83">
        <v>5.911175016413232E+16</v>
      </c>
      <c r="W5" s="83">
        <v>1.6749723040913558E-4</v>
      </c>
      <c r="X5" s="83">
        <v>5.8474650123065848E+16</v>
      </c>
      <c r="Y5" s="83">
        <v>1.6226870359727276E-4</v>
      </c>
      <c r="Z5" s="83">
        <v>5.6131364702214064E+16</v>
      </c>
      <c r="AA5" s="83">
        <v>1.5812278136155227E-4</v>
      </c>
      <c r="AB5" s="83">
        <v>5.5255609129628608E+16</v>
      </c>
      <c r="AC5" s="83">
        <v>1.4788823303101789E-4</v>
      </c>
      <c r="AD5" s="83">
        <v>5.1970380339175648E+16</v>
      </c>
      <c r="AE5" s="83">
        <v>1.3417804507876878E-4</v>
      </c>
    </row>
    <row r="6" spans="2:33" x14ac:dyDescent="0.2">
      <c r="B6" s="83">
        <v>6.7125517760234528E+16</v>
      </c>
      <c r="C6" s="83">
        <v>1.5204166232711888E-4</v>
      </c>
      <c r="D6" s="83">
        <v>6.8037107237976176E+16</v>
      </c>
      <c r="E6" s="83">
        <v>1.5573018083504952E-4</v>
      </c>
      <c r="F6" s="83">
        <v>6.8189451745882104E+16</v>
      </c>
      <c r="G6" s="83">
        <v>1.5346806234026191E-4</v>
      </c>
      <c r="H6" s="83">
        <v>6.658657768778304E+16</v>
      </c>
      <c r="I6" s="83">
        <v>1.526586558024801E-4</v>
      </c>
      <c r="J6" s="83">
        <v>6.6587772134537936E+16</v>
      </c>
      <c r="K6" s="83">
        <v>1.5113170536195869E-4</v>
      </c>
      <c r="L6" s="83">
        <v>6.5909252896820936E+16</v>
      </c>
      <c r="M6" s="83">
        <v>1.495285600229754E-4</v>
      </c>
      <c r="N6" s="83">
        <v>6.4627191825150528E+16</v>
      </c>
      <c r="O6" s="83">
        <v>1.4888047291240422E-4</v>
      </c>
      <c r="P6" s="83">
        <v>6.4414806567320304E+16</v>
      </c>
      <c r="Q6" s="83">
        <v>1.4776851174012412E-4</v>
      </c>
      <c r="R6" s="83">
        <v>6.5006065577776264E+16</v>
      </c>
      <c r="S6" s="83">
        <v>1.4584847218519084E-4</v>
      </c>
      <c r="T6" s="83">
        <v>6.4114799076877064E+16</v>
      </c>
      <c r="U6" s="83">
        <v>1.4626761968226698E-4</v>
      </c>
      <c r="V6" s="83">
        <v>6.4202794338803928E+16</v>
      </c>
      <c r="W6" s="83">
        <v>1.4257369730250887E-4</v>
      </c>
      <c r="X6" s="83">
        <v>6.1351149125686696E+16</v>
      </c>
      <c r="Y6" s="83">
        <v>1.3445832179237769E-4</v>
      </c>
      <c r="Z6" s="83">
        <v>5.8581397009252104E+16</v>
      </c>
      <c r="AA6" s="83">
        <v>1.3086118633489681E-4</v>
      </c>
      <c r="AB6" s="83">
        <v>5.5914616366951992E+16</v>
      </c>
      <c r="AC6" s="83">
        <v>1.2047526913645844E-4</v>
      </c>
      <c r="AD6" s="83">
        <v>5.2026036746357208E+16</v>
      </c>
      <c r="AE6" s="83">
        <v>1.1021388823813468E-4</v>
      </c>
    </row>
    <row r="7" spans="2:33" x14ac:dyDescent="0.2">
      <c r="B7" s="83">
        <v>6.7049822345624784E+16</v>
      </c>
      <c r="C7" s="83">
        <v>1.3916738778307165E-4</v>
      </c>
      <c r="D7" s="83">
        <v>6.7806994072330848E+16</v>
      </c>
      <c r="E7" s="83">
        <v>1.42240370210915E-4</v>
      </c>
      <c r="F7" s="83">
        <v>6.7842328529613144E+16</v>
      </c>
      <c r="G7" s="83">
        <v>1.3988115357554839E-4</v>
      </c>
      <c r="H7" s="83">
        <v>6.6633002194823488E+16</v>
      </c>
      <c r="I7" s="83">
        <v>1.3998474010977512E-4</v>
      </c>
      <c r="J7" s="83">
        <v>6.6376204761463944E+16</v>
      </c>
      <c r="K7" s="83">
        <v>1.3808598383365588E-4</v>
      </c>
      <c r="L7" s="83">
        <v>6.5780728411322624E+16</v>
      </c>
      <c r="M7" s="83">
        <v>1.3692042934449324E-4</v>
      </c>
      <c r="N7" s="83">
        <v>6.4560171970736312E+16</v>
      </c>
      <c r="O7" s="83">
        <v>1.369573132040798E-4</v>
      </c>
      <c r="P7" s="83">
        <v>6.4274796318021552E+16</v>
      </c>
      <c r="Q7" s="83">
        <v>1.3554090553640123E-4</v>
      </c>
      <c r="R7" s="83">
        <v>6.4832581137344464E+16</v>
      </c>
      <c r="S7" s="83">
        <v>1.3350656574523777E-4</v>
      </c>
      <c r="T7" s="83">
        <v>6.3983107504193968E+16</v>
      </c>
      <c r="U7" s="83">
        <v>1.3373720844674056E-4</v>
      </c>
      <c r="V7" s="83">
        <v>6.4190281202809128E+16</v>
      </c>
      <c r="W7" s="83">
        <v>1.3076334837243156E-4</v>
      </c>
      <c r="X7" s="83">
        <v>6.1351149125686696E+16</v>
      </c>
      <c r="Y7" s="83">
        <v>1.255271133118026E-4</v>
      </c>
      <c r="Z7" s="83">
        <v>5.8581397009252104E+16</v>
      </c>
      <c r="AA7" s="83">
        <v>1.2346730656128798E-4</v>
      </c>
      <c r="AB7" s="83">
        <v>5.5914616366951992E+16</v>
      </c>
      <c r="AC7" s="83">
        <v>1.1487937869445322E-4</v>
      </c>
      <c r="AD7" s="83">
        <v>5.2026036746357208E+16</v>
      </c>
      <c r="AE7" s="83">
        <v>1.0692231886130217E-4</v>
      </c>
    </row>
    <row r="8" spans="2:33" x14ac:dyDescent="0.2">
      <c r="B8" s="83">
        <v>6.5487905764457336E+16</v>
      </c>
      <c r="C8" s="83">
        <v>1.370968207551763E-4</v>
      </c>
      <c r="D8" s="83">
        <v>6.627091387520532E+16</v>
      </c>
      <c r="E8" s="83">
        <v>1.4007751744340302E-4</v>
      </c>
      <c r="F8" s="83">
        <v>6.6266466483513448E+16</v>
      </c>
      <c r="G8" s="83">
        <v>1.3757859550552208E-4</v>
      </c>
      <c r="H8" s="83">
        <v>6.5217304948535776E+16</v>
      </c>
      <c r="I8" s="83">
        <v>1.3783180100949191E-4</v>
      </c>
      <c r="J8" s="83">
        <v>6.4882881150802744E+16</v>
      </c>
      <c r="K8" s="83">
        <v>1.3577077427625179E-4</v>
      </c>
      <c r="L8" s="83">
        <v>6.4229043525421832E+16</v>
      </c>
      <c r="M8" s="83">
        <v>1.3451357556819462E-4</v>
      </c>
      <c r="N8" s="83">
        <v>6.30943452456366E+16</v>
      </c>
      <c r="O8" s="83">
        <v>1.3492595831258466E-4</v>
      </c>
      <c r="P8" s="83">
        <v>6.2726404276710392E+16</v>
      </c>
      <c r="Q8" s="83">
        <v>1.3324487519983134E-4</v>
      </c>
      <c r="R8" s="83">
        <v>6.3301929910552272E+16</v>
      </c>
      <c r="S8" s="83">
        <v>1.3095605643917115E-4</v>
      </c>
      <c r="T8" s="83">
        <v>6.2362517339129728E+16</v>
      </c>
      <c r="U8" s="83">
        <v>1.312023552555443E-4</v>
      </c>
      <c r="V8" s="83">
        <v>6.2983104550207576E+16</v>
      </c>
      <c r="W8" s="83">
        <v>1.2929136462483726E-4</v>
      </c>
      <c r="X8" s="83">
        <v>6.1351149125686696E+16</v>
      </c>
      <c r="Y8" s="83">
        <v>1.2796962308687544E-4</v>
      </c>
      <c r="Z8" s="83">
        <v>5.8581397009252104E+16</v>
      </c>
      <c r="AA8" s="83">
        <v>1.2760243446823297E-4</v>
      </c>
      <c r="AB8" s="83">
        <v>5.5914616366951992E+16</v>
      </c>
      <c r="AC8" s="83">
        <v>1.197244490088633E-4</v>
      </c>
      <c r="AD8" s="83">
        <v>5.2026036746357208E+16</v>
      </c>
      <c r="AE8" s="83">
        <v>1.1202638020035421E-4</v>
      </c>
    </row>
    <row r="9" spans="2:33" x14ac:dyDescent="0.2">
      <c r="B9" s="83">
        <v>6.364467768253408E+16</v>
      </c>
      <c r="C9" s="83">
        <v>1.4001555734837211E-4</v>
      </c>
      <c r="D9" s="83">
        <v>6.443875900367668E+16</v>
      </c>
      <c r="E9" s="83">
        <v>1.4309831926932282E-4</v>
      </c>
      <c r="F9" s="83">
        <v>6.4417648657488944E+16</v>
      </c>
      <c r="G9" s="83">
        <v>1.4040244730492029E-4</v>
      </c>
      <c r="H9" s="83">
        <v>6.3411352020155576E+16</v>
      </c>
      <c r="I9" s="83">
        <v>1.405573365553256E-4</v>
      </c>
      <c r="J9" s="83">
        <v>6.301851027621136E+16</v>
      </c>
      <c r="K9" s="83">
        <v>1.3856451651600253E-4</v>
      </c>
      <c r="L9" s="83">
        <v>6.239559620387624E+16</v>
      </c>
      <c r="M9" s="83">
        <v>1.3718627361465648E-4</v>
      </c>
      <c r="N9" s="83">
        <v>6.1334575317394376E+16</v>
      </c>
      <c r="O9" s="83">
        <v>1.3750987971580011E-4</v>
      </c>
      <c r="P9" s="83">
        <v>6.0926167300331552E+16</v>
      </c>
      <c r="Q9" s="83">
        <v>1.3581748541866855E-4</v>
      </c>
      <c r="R9" s="83">
        <v>6.1453437865669808E+16</v>
      </c>
      <c r="S9" s="83">
        <v>1.3310772579544492E-4</v>
      </c>
      <c r="T9" s="83">
        <v>6.0479558020719288E+16</v>
      </c>
      <c r="U9" s="83">
        <v>1.3357911878071103E-4</v>
      </c>
      <c r="V9" s="83">
        <v>6.0969895694009296E+16</v>
      </c>
      <c r="W9" s="83">
        <v>1.311340004350596E-4</v>
      </c>
      <c r="X9" s="83">
        <v>6.0795308026139536E+16</v>
      </c>
      <c r="Y9" s="83">
        <v>1.3251402345632678E-4</v>
      </c>
      <c r="Z9" s="83">
        <v>5.856075586940628E+16</v>
      </c>
      <c r="AA9" s="83">
        <v>1.337425839318689E-4</v>
      </c>
      <c r="AB9" s="83">
        <v>5.5914616366951992E+16</v>
      </c>
      <c r="AC9" s="83">
        <v>1.2694479973546029E-4</v>
      </c>
      <c r="AD9" s="83">
        <v>5.2026036746357208E+16</v>
      </c>
      <c r="AE9" s="83">
        <v>1.18821107333955E-4</v>
      </c>
    </row>
    <row r="10" spans="2:33" x14ac:dyDescent="0.2">
      <c r="B10" s="83">
        <v>6.1856179383834456E+16</v>
      </c>
      <c r="C10" s="83">
        <v>1.4397151063781188E-4</v>
      </c>
      <c r="D10" s="83">
        <v>6.2608544963287368E+16</v>
      </c>
      <c r="E10" s="83">
        <v>1.4716848451163755E-4</v>
      </c>
      <c r="F10" s="83">
        <v>6.258187982339644E+16</v>
      </c>
      <c r="G10" s="83">
        <v>1.4453821935934998E-4</v>
      </c>
      <c r="H10" s="83">
        <v>6.1600891983612872E+16</v>
      </c>
      <c r="I10" s="83">
        <v>1.4438814280481736E-4</v>
      </c>
      <c r="J10" s="83">
        <v>6.1182998323367072E+16</v>
      </c>
      <c r="K10" s="83">
        <v>1.4247143252559683E-4</v>
      </c>
      <c r="L10" s="83">
        <v>6.054885853988692E+16</v>
      </c>
      <c r="M10" s="83">
        <v>1.4102738588333253E-4</v>
      </c>
      <c r="N10" s="83">
        <v>5.9554060266134528E+16</v>
      </c>
      <c r="O10" s="83">
        <v>1.4105625327316354E-4</v>
      </c>
      <c r="P10" s="83">
        <v>5.9108898693962088E+16</v>
      </c>
      <c r="Q10" s="83">
        <v>1.3935705580078977E-4</v>
      </c>
      <c r="R10" s="83">
        <v>5.9561693383346144E+16</v>
      </c>
      <c r="S10" s="83">
        <v>1.3663251913512646E-4</v>
      </c>
      <c r="T10" s="83">
        <v>5.8567077406220888E+16</v>
      </c>
      <c r="U10" s="83">
        <v>1.3702469575013943E-4</v>
      </c>
      <c r="V10" s="83">
        <v>5.8964966649508608E+16</v>
      </c>
      <c r="W10" s="83">
        <v>1.342556112639799E-4</v>
      </c>
      <c r="X10" s="83">
        <v>5.8858499287548384E+16</v>
      </c>
      <c r="Y10" s="83">
        <v>1.3455928701912748E-4</v>
      </c>
      <c r="Z10" s="83">
        <v>5.7302410374423592E+16</v>
      </c>
      <c r="AA10" s="83">
        <v>1.3689526795637459E-4</v>
      </c>
      <c r="AB10" s="83">
        <v>5.5914616366951992E+16</v>
      </c>
      <c r="AC10" s="83">
        <v>1.338068358942254E-4</v>
      </c>
      <c r="AD10" s="83">
        <v>5.2026036746357208E+16</v>
      </c>
      <c r="AE10" s="83">
        <v>1.2625150741205977E-4</v>
      </c>
    </row>
    <row r="11" spans="2:33" x14ac:dyDescent="0.2">
      <c r="B11" s="83">
        <v>6.0078759025410696E+16</v>
      </c>
      <c r="C11" s="83">
        <v>1.481672933576331E-4</v>
      </c>
      <c r="D11" s="83">
        <v>6.0791770638209048E+16</v>
      </c>
      <c r="E11" s="83">
        <v>1.5135282392967324E-4</v>
      </c>
      <c r="F11" s="83">
        <v>6.0752190151364576E+16</v>
      </c>
      <c r="G11" s="83">
        <v>1.4875792294766427E-4</v>
      </c>
      <c r="H11" s="83">
        <v>5.979169000135208E+16</v>
      </c>
      <c r="I11" s="83">
        <v>1.4847005909109066E-4</v>
      </c>
      <c r="J11" s="83">
        <v>5.933650287736344E+16</v>
      </c>
      <c r="K11" s="83">
        <v>1.4656300009276672E-4</v>
      </c>
      <c r="L11" s="83">
        <v>5.8700693668285064E+16</v>
      </c>
      <c r="M11" s="83">
        <v>1.4501656462274557E-4</v>
      </c>
      <c r="N11" s="83">
        <v>5.7775316111643512E+16</v>
      </c>
      <c r="O11" s="83">
        <v>1.4470170108092501E-4</v>
      </c>
      <c r="P11" s="83">
        <v>5.7263155351492456E+16</v>
      </c>
      <c r="Q11" s="83">
        <v>1.4312180450143505E-4</v>
      </c>
      <c r="R11" s="83">
        <v>5.7666816082030712E+16</v>
      </c>
      <c r="S11" s="83">
        <v>1.4028752306194435E-4</v>
      </c>
      <c r="T11" s="83">
        <v>5.6681051536748192E+16</v>
      </c>
      <c r="U11" s="83">
        <v>1.4050829072768107E-4</v>
      </c>
      <c r="V11" s="83">
        <v>5.6984416823506328E+16</v>
      </c>
      <c r="W11" s="83">
        <v>1.3772798915731398E-4</v>
      </c>
      <c r="X11" s="83">
        <v>5.6869018794557048E+16</v>
      </c>
      <c r="Y11" s="83">
        <v>1.3691951544193167E-4</v>
      </c>
      <c r="Z11" s="83">
        <v>5.534727545735716E+16</v>
      </c>
      <c r="AA11" s="83">
        <v>1.384860524582395E-4</v>
      </c>
      <c r="AB11" s="83">
        <v>5.5624140804672432E+16</v>
      </c>
      <c r="AC11" s="83">
        <v>1.3935436215413855E-4</v>
      </c>
      <c r="AD11" s="83">
        <v>5.2026036746357208E+16</v>
      </c>
      <c r="AE11" s="83">
        <v>1.3327145945317591E-4</v>
      </c>
    </row>
    <row r="12" spans="2:33" x14ac:dyDescent="0.2">
      <c r="B12" s="83">
        <v>5.832729581033928E+16</v>
      </c>
      <c r="C12" s="83">
        <v>1.523193666303592E-4</v>
      </c>
      <c r="D12" s="83">
        <v>5.89949693023732E+16</v>
      </c>
      <c r="E12" s="83">
        <v>1.5558783752776481E-4</v>
      </c>
      <c r="F12" s="83">
        <v>5.8951867618303416E+16</v>
      </c>
      <c r="G12" s="83">
        <v>1.5295350090525886E-4</v>
      </c>
      <c r="H12" s="83">
        <v>5.8019225551425704E+16</v>
      </c>
      <c r="I12" s="83">
        <v>1.5266249082757831E-4</v>
      </c>
      <c r="J12" s="83">
        <v>5.753490920522716E+16</v>
      </c>
      <c r="K12" s="83">
        <v>1.5063409986328571E-4</v>
      </c>
      <c r="L12" s="83">
        <v>5.6892386774326248E+16</v>
      </c>
      <c r="M12" s="83">
        <v>1.4899545226288962E-4</v>
      </c>
      <c r="N12" s="83">
        <v>5.6019706330580376E+16</v>
      </c>
      <c r="O12" s="83">
        <v>1.4852034468123982E-4</v>
      </c>
      <c r="P12" s="83">
        <v>5.5432495101590352E+16</v>
      </c>
      <c r="Q12" s="83">
        <v>1.4683068317264533E-4</v>
      </c>
      <c r="R12" s="83">
        <v>5.5807515125763416E+16</v>
      </c>
      <c r="S12" s="83">
        <v>1.4386511044093888E-4</v>
      </c>
      <c r="T12" s="83">
        <v>5.4815737817655744E+16</v>
      </c>
      <c r="U12" s="83">
        <v>1.439903594450279E-4</v>
      </c>
      <c r="V12" s="83">
        <v>5.5039751004254048E+16</v>
      </c>
      <c r="W12" s="83">
        <v>1.4112547402922869E-4</v>
      </c>
      <c r="X12" s="83">
        <v>5.4917162951690064E+16</v>
      </c>
      <c r="Y12" s="83">
        <v>1.4010512795262903E-4</v>
      </c>
      <c r="Z12" s="83">
        <v>5.3410149895469216E+16</v>
      </c>
      <c r="AA12" s="83">
        <v>1.4102034554813649E-4</v>
      </c>
      <c r="AB12" s="83">
        <v>5.380330976537004E+16</v>
      </c>
      <c r="AC12" s="83">
        <v>1.4094099821138729E-4</v>
      </c>
      <c r="AD12" s="83">
        <v>5.2013948081466216E+16</v>
      </c>
      <c r="AE12" s="83">
        <v>1.3956275029491119E-4</v>
      </c>
    </row>
    <row r="13" spans="2:33" x14ac:dyDescent="0.2">
      <c r="B13" s="83">
        <v>5.6595559757453944E+16</v>
      </c>
      <c r="C13" s="83">
        <v>1.565352456115359E-4</v>
      </c>
      <c r="D13" s="83">
        <v>5.7239000602784536E+16</v>
      </c>
      <c r="E13" s="83">
        <v>1.5985595038725398E-4</v>
      </c>
      <c r="F13" s="83">
        <v>5.7184686460012504E+16</v>
      </c>
      <c r="G13" s="83">
        <v>1.571556285003637E-4</v>
      </c>
      <c r="H13" s="83">
        <v>5.6247355824941416E+16</v>
      </c>
      <c r="I13" s="83">
        <v>1.5686265777867177E-4</v>
      </c>
      <c r="J13" s="83">
        <v>5.575450060982672E+16</v>
      </c>
      <c r="K13" s="83">
        <v>1.5470693361577202E-4</v>
      </c>
      <c r="L13" s="83">
        <v>5.5115411986804536E+16</v>
      </c>
      <c r="M13" s="83">
        <v>1.5297855802592664E-4</v>
      </c>
      <c r="N13" s="83">
        <v>5.425738286812428E+16</v>
      </c>
      <c r="O13" s="83">
        <v>1.5229781892740828E-4</v>
      </c>
      <c r="P13" s="83">
        <v>5.364623065681576E+16</v>
      </c>
      <c r="Q13" s="83">
        <v>1.506111454798536E-4</v>
      </c>
      <c r="R13" s="83">
        <v>5.3989330495256624E+16</v>
      </c>
      <c r="S13" s="83">
        <v>1.4750586860565339E-4</v>
      </c>
      <c r="T13" s="83">
        <v>5.2991212672183464E+16</v>
      </c>
      <c r="U13" s="83">
        <v>1.47533163483321E-4</v>
      </c>
      <c r="V13" s="83">
        <v>5.3135863459374344E+16</v>
      </c>
      <c r="W13" s="83">
        <v>1.4444316544100593E-4</v>
      </c>
      <c r="X13" s="83">
        <v>5.3002489035482664E+16</v>
      </c>
      <c r="Y13" s="83">
        <v>1.4333031115381243E-4</v>
      </c>
      <c r="Z13" s="83">
        <v>5.1510680613676952E+16</v>
      </c>
      <c r="AA13" s="83">
        <v>1.4396128977423899E-4</v>
      </c>
      <c r="AB13" s="83">
        <v>5.1792004334997168E+16</v>
      </c>
      <c r="AC13" s="83">
        <v>1.424528498895949E-4</v>
      </c>
      <c r="AD13" s="83">
        <v>5.0773485096633512E+16</v>
      </c>
      <c r="AE13" s="83">
        <v>1.4212803995937404E-4</v>
      </c>
    </row>
    <row r="14" spans="2:33" x14ac:dyDescent="0.2">
      <c r="B14" s="83">
        <v>5.4887299557169816E+16</v>
      </c>
      <c r="C14" s="83">
        <v>1.6083911616167161E-4</v>
      </c>
      <c r="D14" s="83">
        <v>5.5497867781525824E+16</v>
      </c>
      <c r="E14" s="83">
        <v>1.6417674895849256E-4</v>
      </c>
      <c r="F14" s="83">
        <v>5.5447846043002584E+16</v>
      </c>
      <c r="G14" s="83">
        <v>1.6141199321024842E-4</v>
      </c>
      <c r="H14" s="83">
        <v>5.451067378539572E+16</v>
      </c>
      <c r="I14" s="83">
        <v>1.6105842700343215E-4</v>
      </c>
      <c r="J14" s="83">
        <v>5.4011907517024288E+16</v>
      </c>
      <c r="K14" s="83">
        <v>1.5886097227089233E-4</v>
      </c>
      <c r="L14" s="83">
        <v>5.3370230584869856E+16</v>
      </c>
      <c r="M14" s="83">
        <v>1.569826088601575E-4</v>
      </c>
      <c r="N14" s="83">
        <v>5.2526280571823784E+16</v>
      </c>
      <c r="O14" s="83">
        <v>1.5617778915913221E-4</v>
      </c>
      <c r="P14" s="83">
        <v>5.1896171294121904E+16</v>
      </c>
      <c r="Q14" s="83">
        <v>1.5443016031152E-4</v>
      </c>
      <c r="R14" s="83">
        <v>5.2196730009345008E+16</v>
      </c>
      <c r="S14" s="83">
        <v>1.5112187245876392E-4</v>
      </c>
      <c r="T14" s="83">
        <v>5.118652364599208E+16</v>
      </c>
      <c r="U14" s="83">
        <v>1.5105365395116525E-4</v>
      </c>
      <c r="V14" s="83">
        <v>5.1286591641959264E+16</v>
      </c>
      <c r="W14" s="83">
        <v>1.4773411365336553E-4</v>
      </c>
      <c r="X14" s="83">
        <v>5.1128521147296152E+16</v>
      </c>
      <c r="Y14" s="83">
        <v>1.4642297280839759E-4</v>
      </c>
      <c r="Z14" s="83">
        <v>4.965193372948092E+16</v>
      </c>
      <c r="AA14" s="83">
        <v>1.4690360236163129E-4</v>
      </c>
      <c r="AB14" s="83">
        <v>4.9817724330299312E+16</v>
      </c>
      <c r="AC14" s="83">
        <v>1.450945995167296E-4</v>
      </c>
      <c r="AD14" s="83">
        <v>4.8757879264362536E+16</v>
      </c>
      <c r="AE14" s="83">
        <v>1.4271955978045636E-4</v>
      </c>
    </row>
    <row r="15" spans="2:33" x14ac:dyDescent="0.2">
      <c r="B15" s="83">
        <v>5.3222031418893424E+16</v>
      </c>
      <c r="C15" s="83">
        <v>1.6520947746185278E-4</v>
      </c>
      <c r="D15" s="83">
        <v>5.3795955978696688E+16</v>
      </c>
      <c r="E15" s="83">
        <v>1.6857392608591749E-4</v>
      </c>
      <c r="F15" s="83">
        <v>5.373085279959668E+16</v>
      </c>
      <c r="G15" s="83">
        <v>1.657229144074487E-4</v>
      </c>
      <c r="H15" s="83">
        <v>5.2795860933390544E+16</v>
      </c>
      <c r="I15" s="83">
        <v>1.6528265174156512E-4</v>
      </c>
      <c r="J15" s="83">
        <v>5.2284116030154064E+16</v>
      </c>
      <c r="K15" s="83">
        <v>1.6302553892383966E-4</v>
      </c>
      <c r="L15" s="83">
        <v>5.1666354049694256E+16</v>
      </c>
      <c r="M15" s="83">
        <v>1.6102519542428721E-4</v>
      </c>
      <c r="N15" s="83">
        <v>5.0820878884238848E+16</v>
      </c>
      <c r="O15" s="83">
        <v>1.6009576402556752E-4</v>
      </c>
      <c r="P15" s="83">
        <v>5.0177119854007048E+16</v>
      </c>
      <c r="Q15" s="83">
        <v>1.5818315560372972E-4</v>
      </c>
      <c r="R15" s="83">
        <v>5.045646940347452E+16</v>
      </c>
      <c r="S15" s="83">
        <v>1.5482602808383308E-4</v>
      </c>
      <c r="T15" s="83">
        <v>4.9430167597858384E+16</v>
      </c>
      <c r="U15" s="83">
        <v>1.5458424549532007E-4</v>
      </c>
      <c r="V15" s="83">
        <v>4.9469423274709184E+16</v>
      </c>
      <c r="W15" s="83">
        <v>1.5106980046502945E-4</v>
      </c>
      <c r="X15" s="83">
        <v>4.9301666626936488E+16</v>
      </c>
      <c r="Y15" s="83">
        <v>1.4960771578893605E-4</v>
      </c>
      <c r="Z15" s="83">
        <v>4.782633762552724E+16</v>
      </c>
      <c r="AA15" s="83">
        <v>1.498280058169723E-4</v>
      </c>
      <c r="AB15" s="83">
        <v>4.7907798657486768E+16</v>
      </c>
      <c r="AC15" s="83">
        <v>1.4792511540831634E-4</v>
      </c>
      <c r="AD15" s="83">
        <v>4.6784758491489496E+16</v>
      </c>
      <c r="AE15" s="83">
        <v>1.4446947875747663E-4</v>
      </c>
    </row>
    <row r="16" spans="2:33" x14ac:dyDescent="0.2">
      <c r="B16" s="83">
        <v>5.1589807134247856E+16</v>
      </c>
      <c r="C16" s="83">
        <v>1.6952639700816582E-4</v>
      </c>
      <c r="D16" s="83">
        <v>5.2135484423681592E+16</v>
      </c>
      <c r="E16" s="83">
        <v>1.7297768948302115E-4</v>
      </c>
      <c r="F16" s="83">
        <v>5.2056906797535384E+16</v>
      </c>
      <c r="G16" s="83">
        <v>1.7003506115487207E-4</v>
      </c>
      <c r="H16" s="83">
        <v>5.1131051405305144E+16</v>
      </c>
      <c r="I16" s="83">
        <v>1.6954704798990191E-4</v>
      </c>
      <c r="J16" s="83">
        <v>5.0614578224056768E+16</v>
      </c>
      <c r="K16" s="83">
        <v>1.6717633216512039E-4</v>
      </c>
      <c r="L16" s="83">
        <v>5.0000023644679856E+16</v>
      </c>
      <c r="M16" s="83">
        <v>1.6506590596221431E-4</v>
      </c>
      <c r="N16" s="83">
        <v>4.9161492359661616E+16</v>
      </c>
      <c r="O16" s="83">
        <v>1.6398150792525746E-4</v>
      </c>
      <c r="P16" s="83">
        <v>4.8516378432693544E+16</v>
      </c>
      <c r="Q16" s="83">
        <v>1.6191399397582544E-4</v>
      </c>
      <c r="R16" s="83">
        <v>4.8749902360718408E+16</v>
      </c>
      <c r="S16" s="83">
        <v>1.5845710006647207E-4</v>
      </c>
      <c r="T16" s="83">
        <v>4.7720844486303E+16</v>
      </c>
      <c r="U16" s="83">
        <v>1.5807053956302478E-4</v>
      </c>
      <c r="V16" s="83">
        <v>4.7697476777422168E+16</v>
      </c>
      <c r="W16" s="83">
        <v>1.5431626458273695E-4</v>
      </c>
      <c r="X16" s="83">
        <v>4.7506372195546504E+16</v>
      </c>
      <c r="Y16" s="83">
        <v>1.5266491114658651E-4</v>
      </c>
      <c r="Z16" s="83">
        <v>4.6040136945080504E+16</v>
      </c>
      <c r="AA16" s="83">
        <v>1.5267666567566883E-4</v>
      </c>
      <c r="AB16" s="83">
        <v>4.6056244899695464E+16</v>
      </c>
      <c r="AC16" s="83">
        <v>1.5065991959738455E-4</v>
      </c>
      <c r="AD16" s="83">
        <v>4.487878794563816E+16</v>
      </c>
      <c r="AE16" s="83">
        <v>1.4681178556465188E-4</v>
      </c>
    </row>
    <row r="17" spans="2:31" x14ac:dyDescent="0.2">
      <c r="B17" s="83">
        <v>5.0000658236012944E+16</v>
      </c>
      <c r="C17" s="83">
        <v>1.7387527060859763E-4</v>
      </c>
      <c r="D17" s="83">
        <v>5.0511767369147776E+16</v>
      </c>
      <c r="E17" s="83">
        <v>1.7733996168798997E-4</v>
      </c>
      <c r="F17" s="83">
        <v>5.0436040470127744E+16</v>
      </c>
      <c r="G17" s="83">
        <v>1.7439089486097177E-4</v>
      </c>
      <c r="H17" s="83">
        <v>4.9517918912901576E+16</v>
      </c>
      <c r="I17" s="83">
        <v>1.7385969205503137E-4</v>
      </c>
      <c r="J17" s="83">
        <v>4.8983637874298032E+16</v>
      </c>
      <c r="K17" s="83">
        <v>1.7129326789327699E-4</v>
      </c>
      <c r="L17" s="83">
        <v>4.8374518362928368E+16</v>
      </c>
      <c r="M17" s="83">
        <v>1.690768184498582E-4</v>
      </c>
      <c r="N17" s="83">
        <v>4.7552029277352704E+16</v>
      </c>
      <c r="O17" s="83">
        <v>1.678884377234342E-4</v>
      </c>
      <c r="P17" s="83">
        <v>4.6911111970010616E+16</v>
      </c>
      <c r="Q17" s="83">
        <v>1.6568384711159809E-4</v>
      </c>
      <c r="R17" s="83">
        <v>4.70911067192174E+16</v>
      </c>
      <c r="S17" s="83">
        <v>1.6204912987560874E-4</v>
      </c>
      <c r="T17" s="83">
        <v>4.6056002275381552E+16</v>
      </c>
      <c r="U17" s="83">
        <v>1.6150504160727036E-4</v>
      </c>
      <c r="V17" s="83">
        <v>4.5986351883549816E+16</v>
      </c>
      <c r="W17" s="83">
        <v>1.5754392816484775E-4</v>
      </c>
      <c r="X17" s="83">
        <v>4.5764806489710904E+16</v>
      </c>
      <c r="Y17" s="83">
        <v>1.5569689271785375E-4</v>
      </c>
      <c r="Z17" s="83">
        <v>4.4304999531609728E+16</v>
      </c>
      <c r="AA17" s="83">
        <v>1.5551677878943541E-4</v>
      </c>
      <c r="AB17" s="83">
        <v>4.4261276153444872E+16</v>
      </c>
      <c r="AC17" s="83">
        <v>1.5331072866865017E-4</v>
      </c>
      <c r="AD17" s="83">
        <v>4.3031153215258848E+16</v>
      </c>
      <c r="AE17" s="83">
        <v>1.4907994120486138E-4</v>
      </c>
    </row>
    <row r="18" spans="2:31" x14ac:dyDescent="0.2">
      <c r="B18" s="83">
        <v>4.8450440624866512E+16</v>
      </c>
      <c r="C18" s="83">
        <v>1.782747846691034E-4</v>
      </c>
      <c r="D18" s="83">
        <v>4.8941550108156424E+16</v>
      </c>
      <c r="E18" s="83">
        <v>1.8179113731695725E-4</v>
      </c>
      <c r="F18" s="83">
        <v>4.8857577919764256E+16</v>
      </c>
      <c r="G18" s="83">
        <v>1.7877762301532938E-4</v>
      </c>
      <c r="H18" s="83">
        <v>4.7952850148822584E+16</v>
      </c>
      <c r="I18" s="83">
        <v>1.7821420988421664E-4</v>
      </c>
      <c r="J18" s="83">
        <v>4.741642657819696E+16</v>
      </c>
      <c r="K18" s="83">
        <v>1.754829768246539E-4</v>
      </c>
      <c r="L18" s="83">
        <v>4.6794033427210136E+16</v>
      </c>
      <c r="M18" s="83">
        <v>1.7313124118259181E-4</v>
      </c>
      <c r="N18" s="83">
        <v>4.5975527283196752E+16</v>
      </c>
      <c r="O18" s="83">
        <v>1.7176634887524779E-4</v>
      </c>
      <c r="P18" s="83">
        <v>4.5341575467463496E+16</v>
      </c>
      <c r="Q18" s="83">
        <v>1.6944545234838545E-4</v>
      </c>
      <c r="R18" s="83">
        <v>4.5477808775839984E+16</v>
      </c>
      <c r="S18" s="83">
        <v>1.6567396329424095E-4</v>
      </c>
      <c r="T18" s="83">
        <v>4.4443533535654512E+16</v>
      </c>
      <c r="U18" s="83">
        <v>1.6500245474460425E-4</v>
      </c>
      <c r="V18" s="83">
        <v>4.4326216728318536E+16</v>
      </c>
      <c r="W18" s="83">
        <v>1.6077896567698408E-4</v>
      </c>
      <c r="X18" s="83">
        <v>4.407449597139836E+16</v>
      </c>
      <c r="Y18" s="83">
        <v>1.5874328664339951E-4</v>
      </c>
      <c r="Z18" s="83">
        <v>4.2615134782105736E+16</v>
      </c>
      <c r="AA18" s="83">
        <v>1.583415148437747E-4</v>
      </c>
      <c r="AB18" s="83">
        <v>4.2518776034703656E+16</v>
      </c>
      <c r="AC18" s="83">
        <v>1.5591507158951206E-4</v>
      </c>
      <c r="AD18" s="83">
        <v>4.1238707250754864E+16</v>
      </c>
      <c r="AE18" s="83">
        <v>1.5128158826291488E-4</v>
      </c>
    </row>
    <row r="19" spans="2:31" x14ac:dyDescent="0.2">
      <c r="B19" s="83">
        <v>4.6940332733806136E+16</v>
      </c>
      <c r="C19" s="83">
        <v>1.8272190337832324E-4</v>
      </c>
      <c r="D19" s="83">
        <v>4.7400020293273936E+16</v>
      </c>
      <c r="E19" s="83">
        <v>1.8628029779662711E-4</v>
      </c>
      <c r="F19" s="83">
        <v>4.730728562751916E+16</v>
      </c>
      <c r="G19" s="83">
        <v>1.8313660391951515E-4</v>
      </c>
      <c r="H19" s="83">
        <v>4.6417267785801464E+16</v>
      </c>
      <c r="I19" s="83">
        <v>1.8253492922274111E-4</v>
      </c>
      <c r="J19" s="83">
        <v>4.588252008431168E+16</v>
      </c>
      <c r="K19" s="83">
        <v>1.7966473386997643E-4</v>
      </c>
      <c r="L19" s="83">
        <v>4.525706601781504E+16</v>
      </c>
      <c r="M19" s="83">
        <v>1.7719856401803073E-4</v>
      </c>
      <c r="N19" s="83">
        <v>4.444427999141096E+16</v>
      </c>
      <c r="O19" s="83">
        <v>1.7564247111624787E-4</v>
      </c>
      <c r="P19" s="83">
        <v>4.3810239373459544E+16</v>
      </c>
      <c r="Q19" s="83">
        <v>1.7318017916178767E-4</v>
      </c>
      <c r="R19" s="83">
        <v>4.3901973997238768E+16</v>
      </c>
      <c r="S19" s="83">
        <v>1.6927712080178929E-4</v>
      </c>
      <c r="T19" s="83">
        <v>4.287707457427656E+16</v>
      </c>
      <c r="U19" s="83">
        <v>1.6844767773794222E-4</v>
      </c>
      <c r="V19" s="83">
        <v>4.2705336804901576E+16</v>
      </c>
      <c r="W19" s="83">
        <v>1.6397111941265195E-4</v>
      </c>
      <c r="X19" s="83">
        <v>4.2436745670653032E+16</v>
      </c>
      <c r="Y19" s="83">
        <v>1.6175402085618363E-4</v>
      </c>
      <c r="Z19" s="83">
        <v>4.0974270881513184E+16</v>
      </c>
      <c r="AA19" s="83">
        <v>1.6109482908826129E-4</v>
      </c>
      <c r="AB19" s="83">
        <v>4.082940241314964E+16</v>
      </c>
      <c r="AC19" s="83">
        <v>1.5845182315307008E-4</v>
      </c>
      <c r="AD19" s="83">
        <v>3.950017372885296E+16</v>
      </c>
      <c r="AE19" s="83">
        <v>1.5339003601929477E-4</v>
      </c>
    </row>
    <row r="20" spans="2:31" x14ac:dyDescent="0.2">
      <c r="B20" s="83">
        <v>4.5475374028135608E+16</v>
      </c>
      <c r="C20" s="83">
        <v>1.8723994293801038E-4</v>
      </c>
      <c r="D20" s="83">
        <v>4.589297303889324E+16</v>
      </c>
      <c r="E20" s="83">
        <v>1.9079516737110128E-4</v>
      </c>
      <c r="F20" s="83">
        <v>4.580018377148624E+16</v>
      </c>
      <c r="G20" s="83">
        <v>1.875617594209578E-4</v>
      </c>
      <c r="H20" s="83">
        <v>4.4921866189765768E+16</v>
      </c>
      <c r="I20" s="83">
        <v>1.8686478676540152E-4</v>
      </c>
      <c r="J20" s="83">
        <v>4.4380419908065264E+16</v>
      </c>
      <c r="K20" s="83">
        <v>1.8381583285304913E-4</v>
      </c>
      <c r="L20" s="83">
        <v>4.375812377719948E+16</v>
      </c>
      <c r="M20" s="83">
        <v>1.8127631661387744E-4</v>
      </c>
      <c r="N20" s="83">
        <v>4.2950992390620832E+16</v>
      </c>
      <c r="O20" s="83">
        <v>1.7952967878731148E-4</v>
      </c>
      <c r="P20" s="83">
        <v>4.2303146385733232E+16</v>
      </c>
      <c r="Q20" s="83">
        <v>1.7684773009771641E-4</v>
      </c>
      <c r="R20" s="83">
        <v>4.2367009077324056E+16</v>
      </c>
      <c r="S20" s="83">
        <v>1.7282337541164728E-4</v>
      </c>
      <c r="T20" s="83">
        <v>4.135148984505644E+16</v>
      </c>
      <c r="U20" s="83">
        <v>1.7182446396883907E-4</v>
      </c>
      <c r="V20" s="83">
        <v>4.1135378519620976E+16</v>
      </c>
      <c r="W20" s="83">
        <v>1.670903385599569E-4</v>
      </c>
      <c r="X20" s="83">
        <v>4.0833334991472336E+16</v>
      </c>
      <c r="Y20" s="83">
        <v>1.6466880424592252E-4</v>
      </c>
      <c r="Z20" s="83">
        <v>3.9374435697214176E+16</v>
      </c>
      <c r="AA20" s="83">
        <v>1.6377535372344174E-4</v>
      </c>
      <c r="AB20" s="83">
        <v>3.9190455397370912E+16</v>
      </c>
      <c r="AC20" s="83">
        <v>1.6092077479415431E-4</v>
      </c>
      <c r="AD20" s="83">
        <v>3.78126213718818E+16</v>
      </c>
      <c r="AE20" s="83">
        <v>1.5542210405339074E-4</v>
      </c>
    </row>
    <row r="21" spans="2:31" x14ac:dyDescent="0.2">
      <c r="B21" s="83">
        <v>4.4035738230512616E+16</v>
      </c>
      <c r="C21" s="83">
        <v>1.917244172566762E-4</v>
      </c>
      <c r="D21" s="83">
        <v>4.4435743199171888E+16</v>
      </c>
      <c r="E21" s="83">
        <v>1.9540740002871958E-4</v>
      </c>
      <c r="F21" s="83">
        <v>4.4325356912580584E+16</v>
      </c>
      <c r="G21" s="83">
        <v>1.9202169024474549E-4</v>
      </c>
      <c r="H21" s="83">
        <v>4.3457432042821864E+16</v>
      </c>
      <c r="I21" s="83">
        <v>1.9123364431038927E-4</v>
      </c>
      <c r="J21" s="83">
        <v>4.2917814177793392E+16</v>
      </c>
      <c r="K21" s="83">
        <v>1.8802236974510325E-4</v>
      </c>
      <c r="L21" s="83">
        <v>4.2290021090573608E+16</v>
      </c>
      <c r="M21" s="83">
        <v>1.8531362245150949E-4</v>
      </c>
      <c r="N21" s="83">
        <v>4.149421708334868E+16</v>
      </c>
      <c r="O21" s="83">
        <v>1.8341725160424648E-4</v>
      </c>
      <c r="P21" s="83">
        <v>4.0847963605267368E+16</v>
      </c>
      <c r="Q21" s="83">
        <v>1.8059736517926739E-4</v>
      </c>
      <c r="R21" s="83">
        <v>4.087724132957308E+16</v>
      </c>
      <c r="S21" s="83">
        <v>1.7640235504730168E-4</v>
      </c>
      <c r="T21" s="83">
        <v>3.9857901947779616E+16</v>
      </c>
      <c r="U21" s="83">
        <v>1.7518720459936543E-4</v>
      </c>
      <c r="V21" s="83">
        <v>3.9620428864903656E+16</v>
      </c>
      <c r="W21" s="83">
        <v>1.7020246040634705E-4</v>
      </c>
      <c r="X21" s="83">
        <v>3.9287598677772168E+16</v>
      </c>
      <c r="Y21" s="83">
        <v>1.6759572185388812E-4</v>
      </c>
      <c r="Z21" s="83">
        <v>3.7830877370605096E+16</v>
      </c>
      <c r="AA21" s="83">
        <v>1.6645473583445212E-4</v>
      </c>
      <c r="AB21" s="83">
        <v>3.7597490622319632E+16</v>
      </c>
      <c r="AC21" s="83">
        <v>1.6333186107331149E-4</v>
      </c>
      <c r="AD21" s="83">
        <v>3.6187091115367704E+16</v>
      </c>
      <c r="AE21" s="83">
        <v>1.5742875610768047E-4</v>
      </c>
    </row>
    <row r="22" spans="2:31" x14ac:dyDescent="0.2">
      <c r="B22" s="83">
        <v>4.2628962200665784E+16</v>
      </c>
      <c r="C22" s="83">
        <v>1.9620762103562993E-4</v>
      </c>
      <c r="D22" s="83">
        <v>4.3008978464950832E+16</v>
      </c>
      <c r="E22" s="83">
        <v>1.9991044145188362E-4</v>
      </c>
      <c r="F22" s="83">
        <v>4.29004876392518E+16</v>
      </c>
      <c r="G22" s="83">
        <v>1.9649540757501403E-4</v>
      </c>
      <c r="H22" s="83">
        <v>4.2035320435849336E+16</v>
      </c>
      <c r="I22" s="83">
        <v>1.9558627148869576E-4</v>
      </c>
      <c r="J22" s="83">
        <v>4.14969243588698E+16</v>
      </c>
      <c r="K22" s="83">
        <v>1.921528673062223E-4</v>
      </c>
      <c r="L22" s="83">
        <v>4.087043161849876E+16</v>
      </c>
      <c r="M22" s="83">
        <v>1.8933942758619763E-4</v>
      </c>
      <c r="N22" s="83">
        <v>4.0075710543566448E+16</v>
      </c>
      <c r="O22" s="83">
        <v>1.8723586496881408E-4</v>
      </c>
      <c r="P22" s="83">
        <v>3.9424596822811976E+16</v>
      </c>
      <c r="Q22" s="83">
        <v>1.842571015082004E-4</v>
      </c>
      <c r="R22" s="83">
        <v>3.9427687025279888E+16</v>
      </c>
      <c r="S22" s="83">
        <v>1.7991706477108526E-4</v>
      </c>
      <c r="T22" s="83">
        <v>3.8401305888053648E+16</v>
      </c>
      <c r="U22" s="83">
        <v>1.7844652321428041E-4</v>
      </c>
      <c r="V22" s="83">
        <v>3.8132173187500912E+16</v>
      </c>
      <c r="W22" s="83">
        <v>1.731928094625553E-4</v>
      </c>
      <c r="X22" s="83">
        <v>3.7780281497941608E+16</v>
      </c>
      <c r="Y22" s="83">
        <v>1.7043020708274053E-4</v>
      </c>
      <c r="Z22" s="83">
        <v>3.6335177644158576E+16</v>
      </c>
      <c r="AA22" s="83">
        <v>1.690204319712702E-4</v>
      </c>
      <c r="AB22" s="83">
        <v>3.605470986120632E+16</v>
      </c>
      <c r="AC22" s="83">
        <v>1.6566477869230225E-4</v>
      </c>
      <c r="AD22" s="83">
        <v>3.4602750369678396E+16</v>
      </c>
      <c r="AE22" s="83">
        <v>1.5925865054472268E-4</v>
      </c>
    </row>
    <row r="23" spans="2:31" x14ac:dyDescent="0.2">
      <c r="B23" s="83">
        <v>4.125309555864108E+16</v>
      </c>
      <c r="C23" s="83">
        <v>2.0065605969091582E-4</v>
      </c>
      <c r="D23" s="83">
        <v>4.1615901398139016E+16</v>
      </c>
      <c r="E23" s="83">
        <v>2.0437388657312824E-4</v>
      </c>
      <c r="F23" s="83">
        <v>4.1512753807972968E+16</v>
      </c>
      <c r="G23" s="83">
        <v>2.009381278513341E-4</v>
      </c>
      <c r="H23" s="83">
        <v>4.066755311657828E+16</v>
      </c>
      <c r="I23" s="83">
        <v>1.9998994293935152E-4</v>
      </c>
      <c r="J23" s="83">
        <v>4.0109685303138784E+16</v>
      </c>
      <c r="K23" s="83">
        <v>1.9629509603191867E-4</v>
      </c>
      <c r="L23" s="83">
        <v>3.949094314103948E+16</v>
      </c>
      <c r="M23" s="83">
        <v>1.9333535612813996E-4</v>
      </c>
      <c r="N23" s="83">
        <v>3.8689578076974992E+16</v>
      </c>
      <c r="O23" s="83">
        <v>1.9101333825688731E-4</v>
      </c>
      <c r="P23" s="83">
        <v>3.803817072249744E+16</v>
      </c>
      <c r="Q23" s="83">
        <v>1.8787287895254078E-4</v>
      </c>
      <c r="R23" s="83">
        <v>3.8021312354234488E+16</v>
      </c>
      <c r="S23" s="83">
        <v>1.8338429970170622E-4</v>
      </c>
      <c r="T23" s="83">
        <v>3.7000887623728464E+16</v>
      </c>
      <c r="U23" s="83">
        <v>1.8175535740111833E-4</v>
      </c>
      <c r="V23" s="83">
        <v>3.6687366524911704E+16</v>
      </c>
      <c r="W23" s="83">
        <v>1.7609354735917025E-4</v>
      </c>
      <c r="X23" s="83">
        <v>3.6322438487427784E+16</v>
      </c>
      <c r="Y23" s="83">
        <v>1.7315830942202443E-4</v>
      </c>
      <c r="Z23" s="83">
        <v>3.487938656666518E+16</v>
      </c>
      <c r="AA23" s="83">
        <v>1.7144338122601464E-4</v>
      </c>
      <c r="AB23" s="83">
        <v>3.4567670887632128E+16</v>
      </c>
      <c r="AC23" s="83">
        <v>1.6789017258789788E-4</v>
      </c>
      <c r="AD23" s="83">
        <v>3.3087633836506652E+16</v>
      </c>
      <c r="AE23" s="83">
        <v>1.6103664020258746E-4</v>
      </c>
    </row>
    <row r="24" spans="2:31" x14ac:dyDescent="0.2">
      <c r="B24" s="83">
        <v>3.9925745490803048E+16</v>
      </c>
      <c r="C24" s="83">
        <v>2.0517077106504798E-4</v>
      </c>
      <c r="D24" s="83">
        <v>4.025496077866408E+16</v>
      </c>
      <c r="E24" s="83">
        <v>2.0881613231647656E-4</v>
      </c>
      <c r="F24" s="83">
        <v>4.0157887120819552E+16</v>
      </c>
      <c r="G24" s="83">
        <v>2.0531009537774151E-4</v>
      </c>
      <c r="H24" s="83">
        <v>3.9323799881133296E+16</v>
      </c>
      <c r="I24" s="83">
        <v>2.0427129212012679E-4</v>
      </c>
      <c r="J24" s="83">
        <v>3.8757553812758432E+16</v>
      </c>
      <c r="K24" s="83">
        <v>2.0036619792024153E-4</v>
      </c>
      <c r="L24" s="83">
        <v>3.8139436748450464E+16</v>
      </c>
      <c r="M24" s="83">
        <v>1.9726498187449583E-4</v>
      </c>
      <c r="N24" s="83">
        <v>3.7348858063468944E+16</v>
      </c>
      <c r="O24" s="83">
        <v>1.9479098113166945E-4</v>
      </c>
      <c r="P24" s="83">
        <v>3.6693562302528952E+16</v>
      </c>
      <c r="Q24" s="83">
        <v>1.9144603516100655E-4</v>
      </c>
      <c r="R24" s="83">
        <v>3.6648238873261216E+16</v>
      </c>
      <c r="S24" s="83">
        <v>1.8676627838250606E-4</v>
      </c>
      <c r="T24" s="83">
        <v>3.5635972770287112E+16</v>
      </c>
      <c r="U24" s="83">
        <v>1.8494649415169096E-4</v>
      </c>
      <c r="V24" s="83">
        <v>3.5291547106463732E+16</v>
      </c>
      <c r="W24" s="83">
        <v>1.7899060473811865E-4</v>
      </c>
      <c r="X24" s="83">
        <v>3.4896462886003168E+16</v>
      </c>
      <c r="Y24" s="83">
        <v>1.7577399475388527E-4</v>
      </c>
      <c r="Z24" s="83">
        <v>3.3469091678082772E+16</v>
      </c>
      <c r="AA24" s="83">
        <v>1.7378844784575194E-4</v>
      </c>
      <c r="AB24" s="83">
        <v>3.3120557372392E+16</v>
      </c>
      <c r="AC24" s="83">
        <v>1.6998501037162212E-4</v>
      </c>
      <c r="AD24" s="83">
        <v>3.1618728278715068E+16</v>
      </c>
      <c r="AE24" s="83">
        <v>1.6268975679088524E-4</v>
      </c>
    </row>
    <row r="25" spans="2:31" x14ac:dyDescent="0.2">
      <c r="B25" s="83">
        <v>3.8631768953679208E+16</v>
      </c>
      <c r="C25" s="83">
        <v>2.0961575219135292E-4</v>
      </c>
      <c r="D25" s="83">
        <v>3.8931957366793728E+16</v>
      </c>
      <c r="E25" s="83">
        <v>2.1330271198240379E-4</v>
      </c>
      <c r="F25" s="83">
        <v>3.883568482570192E+16</v>
      </c>
      <c r="G25" s="83">
        <v>2.0965176091174598E-4</v>
      </c>
      <c r="H25" s="83">
        <v>3.8017250042841608E+16</v>
      </c>
      <c r="I25" s="83">
        <v>2.0851680910521838E-4</v>
      </c>
      <c r="J25" s="83">
        <v>3.7465335154296464E+16</v>
      </c>
      <c r="K25" s="83">
        <v>2.044996618095075E-4</v>
      </c>
      <c r="L25" s="83">
        <v>3.6834592553189104E+16</v>
      </c>
      <c r="M25" s="83">
        <v>2.0112683735966559E-4</v>
      </c>
      <c r="N25" s="83">
        <v>3.6047684522345104E+16</v>
      </c>
      <c r="O25" s="83">
        <v>1.9858332085972928E-4</v>
      </c>
      <c r="P25" s="83">
        <v>3.5390751425019824E+16</v>
      </c>
      <c r="Q25" s="83">
        <v>1.9503286093468632E-4</v>
      </c>
      <c r="R25" s="83">
        <v>3.5323496664751252E+16</v>
      </c>
      <c r="S25" s="83">
        <v>1.900966337278434E-4</v>
      </c>
      <c r="T25" s="83">
        <v>3.4312774317236664E+16</v>
      </c>
      <c r="U25" s="83">
        <v>1.8806358202104025E-4</v>
      </c>
      <c r="V25" s="83">
        <v>3.3940894885027288E+16</v>
      </c>
      <c r="W25" s="83">
        <v>1.8180543684068567E-4</v>
      </c>
      <c r="X25" s="83">
        <v>3.3518965303229608E+16</v>
      </c>
      <c r="Y25" s="83">
        <v>1.7831677824706074E-4</v>
      </c>
      <c r="Z25" s="83">
        <v>3.2105252397252952E+16</v>
      </c>
      <c r="AA25" s="83">
        <v>1.7606288475116051E-4</v>
      </c>
      <c r="AB25" s="83">
        <v>3.1718021281642208E+16</v>
      </c>
      <c r="AC25" s="83">
        <v>1.7196157138132392E-4</v>
      </c>
      <c r="AD25" s="83">
        <v>3.0192975810282412E+16</v>
      </c>
      <c r="AE25" s="83">
        <v>1.6411961821743783E-4</v>
      </c>
    </row>
    <row r="26" spans="2:31" x14ac:dyDescent="0.2">
      <c r="B26" s="83">
        <v>3.7360811593059096E+16</v>
      </c>
      <c r="C26" s="83">
        <v>2.1401884011636017E-4</v>
      </c>
      <c r="D26" s="83">
        <v>3.7651726264387904E+16</v>
      </c>
      <c r="E26" s="83">
        <v>2.1784849224164827E-4</v>
      </c>
      <c r="F26" s="83">
        <v>3.755057287665332E+16</v>
      </c>
      <c r="G26" s="83">
        <v>2.1404573536291946E-4</v>
      </c>
      <c r="H26" s="83">
        <v>3.6736458429614744E+16</v>
      </c>
      <c r="I26" s="83">
        <v>2.1278202183987408E-4</v>
      </c>
      <c r="J26" s="83">
        <v>3.6187633747827288E+16</v>
      </c>
      <c r="K26" s="83">
        <v>2.0856968439070909E-4</v>
      </c>
      <c r="L26" s="83">
        <v>3.5565797182910384E+16</v>
      </c>
      <c r="M26" s="83">
        <v>2.051094960995193E-4</v>
      </c>
      <c r="N26" s="83">
        <v>3.478519908811246E+16</v>
      </c>
      <c r="O26" s="83">
        <v>2.0232401559067256E-4</v>
      </c>
      <c r="P26" s="83">
        <v>3.4116176275937216E+16</v>
      </c>
      <c r="Q26" s="83">
        <v>1.9851773448377629E-4</v>
      </c>
      <c r="R26" s="83">
        <v>3.4026623247707668E+16</v>
      </c>
      <c r="S26" s="83">
        <v>1.9342016157420757E-4</v>
      </c>
      <c r="T26" s="83">
        <v>3.3025974739998204E+16</v>
      </c>
      <c r="U26" s="83">
        <v>1.9115880654471998E-4</v>
      </c>
      <c r="V26" s="83">
        <v>3.2622031105266724E+16</v>
      </c>
      <c r="W26" s="83">
        <v>1.8455246605905936E-4</v>
      </c>
      <c r="X26" s="83">
        <v>3.2186082015626896E+16</v>
      </c>
      <c r="Y26" s="83">
        <v>1.8087523150577521E-4</v>
      </c>
      <c r="Z26" s="83">
        <v>3.0782762763190136E+16</v>
      </c>
      <c r="AA26" s="83">
        <v>1.7825669131750306E-4</v>
      </c>
      <c r="AB26" s="83">
        <v>3.036843507926642E+16</v>
      </c>
      <c r="AC26" s="83">
        <v>1.7393916236027915E-4</v>
      </c>
      <c r="AD26" s="83">
        <v>2.8822536267712164E+16</v>
      </c>
      <c r="AE26" s="83">
        <v>1.6555967990242301E-4</v>
      </c>
    </row>
    <row r="27" spans="2:31" x14ac:dyDescent="0.2">
      <c r="B27" s="83">
        <v>3.6127511414757392E+16</v>
      </c>
      <c r="C27" s="83">
        <v>2.1842721207606208E-4</v>
      </c>
      <c r="D27" s="83">
        <v>3.6408347331630816E+16</v>
      </c>
      <c r="E27" s="83">
        <v>2.2229195540921133E-4</v>
      </c>
      <c r="F27" s="83">
        <v>3.6305348094537256E+16</v>
      </c>
      <c r="G27" s="83">
        <v>2.1838241695674453E-4</v>
      </c>
      <c r="H27" s="83">
        <v>3.549927618213778E+16</v>
      </c>
      <c r="I27" s="83">
        <v>2.1697983741176491E-4</v>
      </c>
      <c r="J27" s="83">
        <v>3.4948844805297944E+16</v>
      </c>
      <c r="K27" s="83">
        <v>2.1252610742092412E-4</v>
      </c>
      <c r="L27" s="83">
        <v>3.4328563145050392E+16</v>
      </c>
      <c r="M27" s="83">
        <v>2.088927874779133E-4</v>
      </c>
      <c r="N27" s="83">
        <v>3.3561196403134784E+16</v>
      </c>
      <c r="O27" s="83">
        <v>2.0595333054676003E-4</v>
      </c>
      <c r="P27" s="83">
        <v>3.2891060076018728E+16</v>
      </c>
      <c r="Q27" s="83">
        <v>2.0197505790086682E-4</v>
      </c>
      <c r="R27" s="83">
        <v>3.277068403984012E+16</v>
      </c>
      <c r="S27" s="83">
        <v>1.9665545955141009E-4</v>
      </c>
      <c r="T27" s="83">
        <v>3.1779718745042136E+16</v>
      </c>
      <c r="U27" s="83">
        <v>1.9415839151624447E-4</v>
      </c>
      <c r="V27" s="83">
        <v>3.134511928779218E+16</v>
      </c>
      <c r="W27" s="83">
        <v>1.8718562805895161E-4</v>
      </c>
      <c r="X27" s="83">
        <v>3.08958341705151E+16</v>
      </c>
      <c r="Y27" s="83">
        <v>1.8328642982012281E-4</v>
      </c>
      <c r="Z27" s="83">
        <v>2.9500412339926184E+16</v>
      </c>
      <c r="AA27" s="83">
        <v>1.802952918837408E-4</v>
      </c>
      <c r="AB27" s="83">
        <v>2.906253182698012E+16</v>
      </c>
      <c r="AC27" s="83">
        <v>1.7574065452554793E-4</v>
      </c>
      <c r="AD27" s="83">
        <v>2.7495567520674884E+16</v>
      </c>
      <c r="AE27" s="83">
        <v>1.6682865909768951E-4</v>
      </c>
    </row>
    <row r="28" spans="2:31" x14ac:dyDescent="0.2">
      <c r="B28" s="83">
        <v>3.4925033677674616E+16</v>
      </c>
      <c r="C28" s="83">
        <v>2.2275201899621137E-4</v>
      </c>
      <c r="D28" s="83">
        <v>3.5189525501531864E+16</v>
      </c>
      <c r="E28" s="83">
        <v>2.2661905382461437E-4</v>
      </c>
      <c r="F28" s="83">
        <v>3.5090327218597268E+16</v>
      </c>
      <c r="G28" s="83">
        <v>2.2265140347193959E-4</v>
      </c>
      <c r="H28" s="83">
        <v>3.4298667364813152E+16</v>
      </c>
      <c r="I28" s="83">
        <v>2.2117977937387214E-4</v>
      </c>
      <c r="J28" s="83">
        <v>3.374198135906654E+16</v>
      </c>
      <c r="K28" s="83">
        <v>2.1645963855019781E-4</v>
      </c>
      <c r="L28" s="83">
        <v>3.3132148692053076E+16</v>
      </c>
      <c r="M28" s="83">
        <v>2.1271396086433103E-4</v>
      </c>
      <c r="N28" s="83">
        <v>3.23600353718311E+16</v>
      </c>
      <c r="O28" s="83">
        <v>2.0945811785951865E-4</v>
      </c>
      <c r="P28" s="83">
        <v>3.1685915666873012E+16</v>
      </c>
      <c r="Q28" s="83">
        <v>2.0526189256792038E-4</v>
      </c>
      <c r="R28" s="83">
        <v>3.1563026413371248E+16</v>
      </c>
      <c r="S28" s="83">
        <v>1.9987729697392971E-4</v>
      </c>
      <c r="T28" s="83">
        <v>3.056923985623788E+16</v>
      </c>
      <c r="U28" s="83">
        <v>1.9704932706987891E-4</v>
      </c>
      <c r="V28" s="83">
        <v>3.0108420262516408E+16</v>
      </c>
      <c r="W28" s="83">
        <v>1.897660386690981E-4</v>
      </c>
      <c r="X28" s="83">
        <v>2.9647483779970636E+16</v>
      </c>
      <c r="Y28" s="83">
        <v>1.8559586338774437E-4</v>
      </c>
      <c r="Z28" s="83">
        <v>2.8266647392139656E+16</v>
      </c>
      <c r="AA28" s="83">
        <v>1.8230964001580968E-4</v>
      </c>
      <c r="AB28" s="83">
        <v>2.7796346440703808E+16</v>
      </c>
      <c r="AC28" s="83">
        <v>1.7740525794493066E-4</v>
      </c>
      <c r="AD28" s="83">
        <v>2.6223350176377768E+16</v>
      </c>
      <c r="AE28" s="83">
        <v>1.6797412818170797E-4</v>
      </c>
    </row>
    <row r="29" spans="2:31" x14ac:dyDescent="0.2">
      <c r="B29" s="83">
        <v>3.3761858564342128E+16</v>
      </c>
      <c r="C29" s="83">
        <v>2.270614272096342E-4</v>
      </c>
      <c r="D29" s="83">
        <v>3.4005682433137448E+16</v>
      </c>
      <c r="E29" s="83">
        <v>2.308574852662891E-4</v>
      </c>
      <c r="F29" s="83">
        <v>3.390788017257826E+16</v>
      </c>
      <c r="G29" s="83">
        <v>2.2682838597228995E-4</v>
      </c>
      <c r="H29" s="83">
        <v>3.3126268791200696E+16</v>
      </c>
      <c r="I29" s="83">
        <v>2.252390786151253E-4</v>
      </c>
      <c r="J29" s="83">
        <v>3.2573237519771756E+16</v>
      </c>
      <c r="K29" s="83">
        <v>2.2031791014696708E-4</v>
      </c>
      <c r="L29" s="83">
        <v>3.196014694753684E+16</v>
      </c>
      <c r="M29" s="83">
        <v>2.1636853455149924E-4</v>
      </c>
      <c r="N29" s="83">
        <v>3.11904615523344E+16</v>
      </c>
      <c r="O29" s="83">
        <v>2.1284804060617179E-4</v>
      </c>
      <c r="P29" s="83">
        <v>3.0520411446108292E+16</v>
      </c>
      <c r="Q29" s="83">
        <v>2.0850783287882542E-4</v>
      </c>
      <c r="R29" s="83">
        <v>3.0391330893345396E+16</v>
      </c>
      <c r="S29" s="83">
        <v>2.0295891695601997E-4</v>
      </c>
      <c r="T29" s="83">
        <v>2.9401895016633728E+16</v>
      </c>
      <c r="U29" s="83">
        <v>1.9984315962140212E-4</v>
      </c>
      <c r="V29" s="83">
        <v>2.8913028159778032E+16</v>
      </c>
      <c r="W29" s="83">
        <v>1.9224678618074605E-4</v>
      </c>
      <c r="X29" s="83">
        <v>2.8434834088629556E+16</v>
      </c>
      <c r="Y29" s="83">
        <v>1.8781223932337794E-4</v>
      </c>
      <c r="Z29" s="83">
        <v>2.7070798933771392E+16</v>
      </c>
      <c r="AA29" s="83">
        <v>1.841929503259703E-4</v>
      </c>
      <c r="AB29" s="83">
        <v>2.6573627915258668E+16</v>
      </c>
      <c r="AC29" s="83">
        <v>1.7894319312810534E-4</v>
      </c>
      <c r="AD29" s="83">
        <v>2.4998869847838296E+16</v>
      </c>
      <c r="AE29" s="83">
        <v>1.6900943283540152E-4</v>
      </c>
    </row>
    <row r="30" spans="2:31" x14ac:dyDescent="0.2">
      <c r="B30" s="83">
        <v>3.2624758625701288E+16</v>
      </c>
      <c r="C30" s="83">
        <v>2.3130229024189789E-4</v>
      </c>
      <c r="D30" s="83">
        <v>3.2852689853190724E+16</v>
      </c>
      <c r="E30" s="83">
        <v>2.3517670370873625E-4</v>
      </c>
      <c r="F30" s="83">
        <v>3.2759575677565176E+16</v>
      </c>
      <c r="G30" s="83">
        <v>2.309974170158487E-4</v>
      </c>
      <c r="H30" s="83">
        <v>3.1981942431210132E+16</v>
      </c>
      <c r="I30" s="83">
        <v>2.2927885810809177E-4</v>
      </c>
      <c r="J30" s="83">
        <v>3.143707470262374E+16</v>
      </c>
      <c r="K30" s="83">
        <v>2.2413720030475866E-4</v>
      </c>
      <c r="L30" s="83">
        <v>3.0834984894721092E+16</v>
      </c>
      <c r="M30" s="83">
        <v>2.2004839226471637E-4</v>
      </c>
      <c r="N30" s="83">
        <v>3.0068492270840868E+16</v>
      </c>
      <c r="O30" s="83">
        <v>2.1638439146857597E-4</v>
      </c>
      <c r="P30" s="83">
        <v>2.9387020783801376E+16</v>
      </c>
      <c r="Q30" s="83">
        <v>2.1178038727172726E-4</v>
      </c>
      <c r="R30" s="83">
        <v>2.9241672794995744E+16</v>
      </c>
      <c r="S30" s="83">
        <v>2.0591311324113105E-4</v>
      </c>
      <c r="T30" s="83">
        <v>2.8257567412432408E+16</v>
      </c>
      <c r="U30" s="83">
        <v>2.0254862247151551E-4</v>
      </c>
      <c r="V30" s="83">
        <v>2.7759048258279972E+16</v>
      </c>
      <c r="W30" s="83">
        <v>1.9464728751964538E-4</v>
      </c>
      <c r="X30" s="83">
        <v>2.7268188666000736E+16</v>
      </c>
      <c r="Y30" s="83">
        <v>1.8993977134588948E-4</v>
      </c>
      <c r="Z30" s="83">
        <v>2.5916313322839516E+16</v>
      </c>
      <c r="AA30" s="83">
        <v>1.8598625131565049E-4</v>
      </c>
      <c r="AB30" s="83">
        <v>2.5400976669063488E+16</v>
      </c>
      <c r="AC30" s="83">
        <v>1.8046808237076153E-4</v>
      </c>
      <c r="AD30" s="83">
        <v>2.3816397735887984E+16</v>
      </c>
      <c r="AE30" s="83">
        <v>1.6995375636822112E-4</v>
      </c>
    </row>
    <row r="31" spans="2:31" x14ac:dyDescent="0.2">
      <c r="B31" s="83">
        <v>3.1524257216488976E+16</v>
      </c>
      <c r="C31" s="83">
        <v>2.359200531887856E-4</v>
      </c>
      <c r="D31" s="83">
        <v>3.1726912085437468E+16</v>
      </c>
      <c r="E31" s="83">
        <v>2.3980207710752567E-4</v>
      </c>
      <c r="F31" s="83">
        <v>3.1645327703175148E+16</v>
      </c>
      <c r="G31" s="83">
        <v>2.3547264832828195E-4</v>
      </c>
      <c r="H31" s="83">
        <v>3.0880783295615676E+16</v>
      </c>
      <c r="I31" s="83">
        <v>2.3368265747071771E-4</v>
      </c>
      <c r="J31" s="83">
        <v>3.0328636920696808E+16</v>
      </c>
      <c r="K31" s="83">
        <v>2.2827706970641811E-4</v>
      </c>
      <c r="L31" s="83">
        <v>2.9731897681797476E+16</v>
      </c>
      <c r="M31" s="83">
        <v>2.2400525807353386E-4</v>
      </c>
      <c r="N31" s="83">
        <v>2.8978953421522032E+16</v>
      </c>
      <c r="O31" s="83">
        <v>2.2013916165184165E-4</v>
      </c>
      <c r="P31" s="83">
        <v>2.8295416713280664E+16</v>
      </c>
      <c r="Q31" s="83">
        <v>2.1528511584799543E-4</v>
      </c>
      <c r="R31" s="83">
        <v>2.8132596140593496E+16</v>
      </c>
      <c r="S31" s="83">
        <v>2.0912314118734919E-4</v>
      </c>
      <c r="T31" s="83">
        <v>2.714832111206172E+16</v>
      </c>
      <c r="U31" s="83">
        <v>2.0546397629405932E-4</v>
      </c>
      <c r="V31" s="83">
        <v>2.663422918511978E+16</v>
      </c>
      <c r="W31" s="83">
        <v>1.9714963589517336E-4</v>
      </c>
      <c r="X31" s="83">
        <v>2.6145387271526652E+16</v>
      </c>
      <c r="Y31" s="83">
        <v>1.9221364498305825E-4</v>
      </c>
      <c r="Z31" s="83">
        <v>2.480889420374668E+16</v>
      </c>
      <c r="AA31" s="83">
        <v>1.8802021614207251E-4</v>
      </c>
      <c r="AB31" s="83">
        <v>2.427341212314858E+16</v>
      </c>
      <c r="AC31" s="83">
        <v>1.8219195830134882E-4</v>
      </c>
      <c r="AD31" s="83">
        <v>2.2688066943653968E+16</v>
      </c>
      <c r="AE31" s="83">
        <v>1.7107406053861824E-4</v>
      </c>
    </row>
    <row r="32" spans="2:31" x14ac:dyDescent="0.2">
      <c r="B32" s="83">
        <v>3.0455791657546208E+16</v>
      </c>
      <c r="C32" s="83">
        <v>2.4023967380359842E-4</v>
      </c>
      <c r="D32" s="83">
        <v>3.0645892775797116E+16</v>
      </c>
      <c r="E32" s="83">
        <v>2.4408872736367897E-4</v>
      </c>
      <c r="F32" s="83">
        <v>3.0551135874243848E+16</v>
      </c>
      <c r="G32" s="83">
        <v>2.3960763313059846E-4</v>
      </c>
      <c r="H32" s="83">
        <v>2.98029133122278E+16</v>
      </c>
      <c r="I32" s="83">
        <v>2.3764489579111413E-4</v>
      </c>
      <c r="J32" s="83">
        <v>2.9253396097806296E+16</v>
      </c>
      <c r="K32" s="83">
        <v>2.3200082929811182E-4</v>
      </c>
      <c r="L32" s="83">
        <v>2.8660337409909076E+16</v>
      </c>
      <c r="M32" s="83">
        <v>2.2749737838289198E-4</v>
      </c>
      <c r="N32" s="83">
        <v>2.7911600035684596E+16</v>
      </c>
      <c r="O32" s="83">
        <v>2.2335875653052266E-4</v>
      </c>
      <c r="P32" s="83">
        <v>2.7232085396008456E+16</v>
      </c>
      <c r="Q32" s="83">
        <v>2.1836977439164694E-4</v>
      </c>
      <c r="R32" s="83">
        <v>2.7058809935843564E+16</v>
      </c>
      <c r="S32" s="83">
        <v>2.1210541545911321E-4</v>
      </c>
      <c r="T32" s="83">
        <v>2.6085382016555296E+16</v>
      </c>
      <c r="U32" s="83">
        <v>2.0811974532917117E-4</v>
      </c>
      <c r="V32" s="83">
        <v>2.55525323469304E+16</v>
      </c>
      <c r="W32" s="83">
        <v>1.9948397424976097E-4</v>
      </c>
      <c r="X32" s="83">
        <v>2.5045175225287508E+16</v>
      </c>
      <c r="Y32" s="83">
        <v>1.9426748369267297E-4</v>
      </c>
      <c r="Z32" s="83">
        <v>2.3723039332795312E+16</v>
      </c>
      <c r="AA32" s="83">
        <v>1.8950969353137123E-4</v>
      </c>
      <c r="AB32" s="83">
        <v>2.3189690062854612E+16</v>
      </c>
      <c r="AC32" s="83">
        <v>1.8351636815854892E-4</v>
      </c>
      <c r="AD32" s="83">
        <v>2.1600930686647804E+16</v>
      </c>
      <c r="AE32" s="83">
        <v>1.7180539741691508E-4</v>
      </c>
    </row>
    <row r="33" spans="2:31" x14ac:dyDescent="0.2">
      <c r="B33" s="83">
        <v>2.9414374488301624E+16</v>
      </c>
      <c r="C33" s="83">
        <v>2.4436221259152753E-4</v>
      </c>
      <c r="D33" s="83">
        <v>2.9587697316376532E+16</v>
      </c>
      <c r="E33" s="83">
        <v>2.4815237561863577E-4</v>
      </c>
      <c r="F33" s="83">
        <v>2.9491046085279136E+16</v>
      </c>
      <c r="G33" s="83">
        <v>2.4359953553153928E-4</v>
      </c>
      <c r="H33" s="83">
        <v>2.8752679405196632E+16</v>
      </c>
      <c r="I33" s="83">
        <v>2.4143818950980202E-4</v>
      </c>
      <c r="J33" s="83">
        <v>2.821102790051928E+16</v>
      </c>
      <c r="K33" s="83">
        <v>2.3562184684719245E-4</v>
      </c>
      <c r="L33" s="83">
        <v>2.7620919032663252E+16</v>
      </c>
      <c r="M33" s="83">
        <v>2.3087611008941282E-4</v>
      </c>
      <c r="N33" s="83">
        <v>2.6883564046267444E+16</v>
      </c>
      <c r="O33" s="83">
        <v>2.2654997725590862E-4</v>
      </c>
      <c r="P33" s="83">
        <v>2.6203031929583292E+16</v>
      </c>
      <c r="Q33" s="83">
        <v>2.2128478032764015E-4</v>
      </c>
      <c r="R33" s="83">
        <v>2.6015515317381092E+16</v>
      </c>
      <c r="S33" s="83">
        <v>2.1483224764161539E-4</v>
      </c>
      <c r="T33" s="83">
        <v>2.5052605051195512E+16</v>
      </c>
      <c r="U33" s="83">
        <v>2.1057210846788462E-4</v>
      </c>
      <c r="V33" s="83">
        <v>2.4497899088850956E+16</v>
      </c>
      <c r="W33" s="83">
        <v>2.0156030090504422E-4</v>
      </c>
      <c r="X33" s="83">
        <v>2.3986339667363876E+16</v>
      </c>
      <c r="Y33" s="83">
        <v>1.9606642745667005E-4</v>
      </c>
      <c r="Z33" s="83">
        <v>2.2683207285638412E+16</v>
      </c>
      <c r="AA33" s="83">
        <v>1.9097112995335221E-4</v>
      </c>
      <c r="AB33" s="83">
        <v>2.2132488782319776E+16</v>
      </c>
      <c r="AC33" s="83">
        <v>1.845944544834721E-4</v>
      </c>
      <c r="AD33" s="83">
        <v>2.0555686508262216E+16</v>
      </c>
      <c r="AE33" s="83">
        <v>1.7240009393270419E-4</v>
      </c>
    </row>
    <row r="34" spans="2:31" x14ac:dyDescent="0.2">
      <c r="B34" s="83">
        <v>2.8397555188672392E+16</v>
      </c>
      <c r="C34" s="83">
        <v>2.4830628117182178E-4</v>
      </c>
      <c r="D34" s="83">
        <v>2.8553774852525664E+16</v>
      </c>
      <c r="E34" s="83">
        <v>2.5210746237516924E-4</v>
      </c>
      <c r="F34" s="83">
        <v>2.8461148559256296E+16</v>
      </c>
      <c r="G34" s="83">
        <v>2.4748624715604113E-4</v>
      </c>
      <c r="H34" s="83">
        <v>2.7737785094272816E+16</v>
      </c>
      <c r="I34" s="83">
        <v>2.4512277699459314E-4</v>
      </c>
      <c r="J34" s="83">
        <v>2.7192974408827588E+16</v>
      </c>
      <c r="K34" s="83">
        <v>2.3905254719563829E-4</v>
      </c>
      <c r="L34" s="83">
        <v>2.6610867861029396E+16</v>
      </c>
      <c r="M34" s="83">
        <v>2.3419037784302071E-4</v>
      </c>
      <c r="N34" s="83">
        <v>2.588091019929958E+16</v>
      </c>
      <c r="O34" s="83">
        <v>2.2954819412498561E-4</v>
      </c>
      <c r="P34" s="83">
        <v>2.5203839478240696E+16</v>
      </c>
      <c r="Q34" s="83">
        <v>2.2402001213978428E-4</v>
      </c>
      <c r="R34" s="83">
        <v>2.5007388289057368E+16</v>
      </c>
      <c r="S34" s="83">
        <v>2.1744602425330771E-4</v>
      </c>
      <c r="T34" s="83">
        <v>2.4053779789595888E+16</v>
      </c>
      <c r="U34" s="83">
        <v>2.1284085053297836E-4</v>
      </c>
      <c r="V34" s="83">
        <v>2.3481764077649252E+16</v>
      </c>
      <c r="W34" s="83">
        <v>2.0345580853771159E-4</v>
      </c>
      <c r="X34" s="83">
        <v>2.2970844497027876E+16</v>
      </c>
      <c r="Y34" s="83">
        <v>1.9780541042718779E-4</v>
      </c>
      <c r="Z34" s="83">
        <v>2.1678064416816884E+16</v>
      </c>
      <c r="AA34" s="83">
        <v>1.9222378748379911E-4</v>
      </c>
      <c r="AB34" s="83">
        <v>2.1114948857363984E+16</v>
      </c>
      <c r="AC34" s="83">
        <v>1.8555512412651851E-4</v>
      </c>
      <c r="AD34" s="83">
        <v>1.9546577929605804E+16</v>
      </c>
      <c r="AE34" s="83">
        <v>1.7277898949044634E-4</v>
      </c>
    </row>
    <row r="35" spans="2:31" x14ac:dyDescent="0.2">
      <c r="B35" s="83">
        <v>2.7421425691058844E+16</v>
      </c>
      <c r="C35" s="83">
        <v>2.5232613278691561E-4</v>
      </c>
      <c r="D35" s="83">
        <v>2.7559729003377204E+16</v>
      </c>
      <c r="E35" s="83">
        <v>2.5599104986713869E-4</v>
      </c>
      <c r="F35" s="83">
        <v>2.7463499225049708E+16</v>
      </c>
      <c r="G35" s="83">
        <v>2.5120018449443067E-4</v>
      </c>
      <c r="H35" s="83">
        <v>2.675325942612566E+16</v>
      </c>
      <c r="I35" s="83">
        <v>2.4876139716380961E-4</v>
      </c>
      <c r="J35" s="83">
        <v>2.6204163027068428E+16</v>
      </c>
      <c r="K35" s="83">
        <v>2.4236115458784165E-4</v>
      </c>
      <c r="L35" s="83">
        <v>2.5625989808731288E+16</v>
      </c>
      <c r="M35" s="83">
        <v>2.3730524937000985E-4</v>
      </c>
      <c r="N35" s="83">
        <v>2.4907536010543592E+16</v>
      </c>
      <c r="O35" s="83">
        <v>2.3247502403307102E-4</v>
      </c>
      <c r="P35" s="83">
        <v>2.4231377053659372E+16</v>
      </c>
      <c r="Q35" s="83">
        <v>2.2663756191643034E-4</v>
      </c>
      <c r="R35" s="83">
        <v>2.4022689419901468E+16</v>
      </c>
      <c r="S35" s="83">
        <v>2.1981257524972936E-4</v>
      </c>
      <c r="T35" s="83">
        <v>2.3084625989745764E+16</v>
      </c>
      <c r="U35" s="83">
        <v>2.1499589653340678E-4</v>
      </c>
      <c r="V35" s="83">
        <v>2.250484816131668E+16</v>
      </c>
      <c r="W35" s="83">
        <v>2.0527916302231505E-4</v>
      </c>
      <c r="X35" s="83">
        <v>2.1981850008924748E+16</v>
      </c>
      <c r="Y35" s="83">
        <v>1.9927418256340023E-4</v>
      </c>
      <c r="Z35" s="83">
        <v>2.0712621089528064E+16</v>
      </c>
      <c r="AA35" s="83">
        <v>1.9333610219736768E-4</v>
      </c>
      <c r="AB35" s="83">
        <v>2.0141172806994636E+16</v>
      </c>
      <c r="AC35" s="83">
        <v>1.8641447647682708E-4</v>
      </c>
      <c r="AD35" s="83">
        <v>1.8586990390344212E+16</v>
      </c>
      <c r="AE35" s="83">
        <v>1.730886020268032E-4</v>
      </c>
    </row>
    <row r="36" spans="2:31" x14ac:dyDescent="0.2">
      <c r="B36" s="83">
        <v>2.6466020087281184E+16</v>
      </c>
      <c r="C36" s="83">
        <v>2.5625689603447791E-4</v>
      </c>
      <c r="D36" s="83">
        <v>2.6586157402075984E+16</v>
      </c>
      <c r="E36" s="83">
        <v>2.5988129471916606E-4</v>
      </c>
      <c r="F36" s="83">
        <v>2.6488654864309032E+16</v>
      </c>
      <c r="G36" s="83">
        <v>2.5497478433082624E-4</v>
      </c>
      <c r="H36" s="83">
        <v>2.5791987702340068E+16</v>
      </c>
      <c r="I36" s="83">
        <v>2.5227307797789087E-4</v>
      </c>
      <c r="J36" s="83">
        <v>2.5245920029286772E+16</v>
      </c>
      <c r="K36" s="83">
        <v>2.4564887972485574E-4</v>
      </c>
      <c r="L36" s="83">
        <v>2.467753356784072E+16</v>
      </c>
      <c r="M36" s="83">
        <v>2.4041464842914099E-4</v>
      </c>
      <c r="N36" s="83">
        <v>2.3959979537058224E+16</v>
      </c>
      <c r="O36" s="83">
        <v>2.352549395364165E-4</v>
      </c>
      <c r="P36" s="83">
        <v>2.3284151716728552E+16</v>
      </c>
      <c r="Q36" s="83">
        <v>2.2920417460538272E-4</v>
      </c>
      <c r="R36" s="83">
        <v>2.3070073154682416E+16</v>
      </c>
      <c r="S36" s="83">
        <v>2.2216729288765066E-4</v>
      </c>
      <c r="T36" s="83">
        <v>2.2142317964217068E+16</v>
      </c>
      <c r="U36" s="83">
        <v>2.1696085394729163E-4</v>
      </c>
      <c r="V36" s="83">
        <v>2.1547046756628124E+16</v>
      </c>
      <c r="W36" s="83">
        <v>2.0691397256288006E-4</v>
      </c>
      <c r="X36" s="83">
        <v>2.1023420559644064E+16</v>
      </c>
      <c r="Y36" s="83">
        <v>2.0061304994652311E-4</v>
      </c>
      <c r="Z36" s="83">
        <v>1.9777707659078016E+16</v>
      </c>
      <c r="AA36" s="83">
        <v>1.9437823058578106E-4</v>
      </c>
      <c r="AB36" s="83">
        <v>1.9201475262717648E+16</v>
      </c>
      <c r="AC36" s="83">
        <v>1.8714665869897843E-4</v>
      </c>
      <c r="AD36" s="83">
        <v>1.7654557046110988E+16</v>
      </c>
      <c r="AE36" s="83">
        <v>1.7319482657732893E-4</v>
      </c>
    </row>
    <row r="37" spans="2:31" x14ac:dyDescent="0.2">
      <c r="B37" s="83">
        <v>2.5533573508773328E+16</v>
      </c>
      <c r="C37" s="83">
        <v>2.5988939923646595E-4</v>
      </c>
      <c r="D37" s="83">
        <v>2.563889076018034E+16</v>
      </c>
      <c r="E37" s="83">
        <v>2.6359663915369086E-4</v>
      </c>
      <c r="F37" s="83">
        <v>2.55440519372117E+16</v>
      </c>
      <c r="G37" s="83">
        <v>2.5856660131612325E-4</v>
      </c>
      <c r="H37" s="83">
        <v>2.4857833236421256E+16</v>
      </c>
      <c r="I37" s="83">
        <v>2.5568930337678872E-4</v>
      </c>
      <c r="J37" s="83">
        <v>2.4307478242515884E+16</v>
      </c>
      <c r="K37" s="83">
        <v>2.4877199260476754E-4</v>
      </c>
      <c r="L37" s="83">
        <v>2.3747205291444324E+16</v>
      </c>
      <c r="M37" s="83">
        <v>2.4324613654428342E-4</v>
      </c>
      <c r="N37" s="83">
        <v>2.3042896129323836E+16</v>
      </c>
      <c r="O37" s="83">
        <v>2.3798682102626798E-4</v>
      </c>
      <c r="P37" s="83">
        <v>2.2374158075167172E+16</v>
      </c>
      <c r="Q37" s="83">
        <v>2.3167067405021854E-4</v>
      </c>
      <c r="R37" s="83">
        <v>2.2148038828400632E+16</v>
      </c>
      <c r="S37" s="83">
        <v>2.2441876560501734E-4</v>
      </c>
      <c r="T37" s="83">
        <v>2.1226925386451248E+16</v>
      </c>
      <c r="U37" s="83">
        <v>2.1885576497099598E-4</v>
      </c>
      <c r="V37" s="83">
        <v>2.0624759234461812E+16</v>
      </c>
      <c r="W37" s="83">
        <v>2.0840070168202785E-4</v>
      </c>
      <c r="X37" s="83">
        <v>2.0103869767261688E+16</v>
      </c>
      <c r="Y37" s="83">
        <v>2.0188650149409253E-4</v>
      </c>
      <c r="Z37" s="83">
        <v>1.8874300708956804E+16</v>
      </c>
      <c r="AA37" s="83">
        <v>1.9520988973920726E-4</v>
      </c>
      <c r="AB37" s="83">
        <v>1.829930047601354E+16</v>
      </c>
      <c r="AC37" s="83">
        <v>1.8768016399421352E-4</v>
      </c>
      <c r="AD37" s="83">
        <v>1.6765499005896626E+16</v>
      </c>
      <c r="AE37" s="83">
        <v>1.7320981165905921E-4</v>
      </c>
    </row>
    <row r="38" spans="2:31" x14ac:dyDescent="0.2">
      <c r="B38" s="83">
        <v>2.4629302338857896E+16</v>
      </c>
      <c r="C38" s="83">
        <v>2.6357935831271555E-4</v>
      </c>
      <c r="D38" s="83">
        <v>2.472219794884308E+16</v>
      </c>
      <c r="E38" s="83">
        <v>2.6721050927736771E-4</v>
      </c>
      <c r="F38" s="83">
        <v>2.46222777384307E+16</v>
      </c>
      <c r="G38" s="83">
        <v>2.6208582372995573E-4</v>
      </c>
      <c r="H38" s="83">
        <v>2.3959385911060596E+16</v>
      </c>
      <c r="I38" s="83">
        <v>2.5912639377703999E-4</v>
      </c>
      <c r="J38" s="83">
        <v>2.3400321663505692E+16</v>
      </c>
      <c r="K38" s="83">
        <v>2.5182007887674881E-4</v>
      </c>
      <c r="L38" s="83">
        <v>2.2845640757885744E+16</v>
      </c>
      <c r="M38" s="83">
        <v>2.4606189106896281E-4</v>
      </c>
      <c r="N38" s="83">
        <v>2.2154822311618924E+16</v>
      </c>
      <c r="O38" s="83">
        <v>2.4058977112020806E-4</v>
      </c>
      <c r="P38" s="83">
        <v>2.148983556141888E+16</v>
      </c>
      <c r="Q38" s="83">
        <v>2.3401487392692166E-4</v>
      </c>
      <c r="R38" s="83">
        <v>2.1249769435465E+16</v>
      </c>
      <c r="S38" s="83">
        <v>2.2646075649623791E-4</v>
      </c>
      <c r="T38" s="83">
        <v>2.0341384190125328E+16</v>
      </c>
      <c r="U38" s="83">
        <v>2.2063172193456375E-4</v>
      </c>
      <c r="V38" s="83">
        <v>1.973154626162946E+16</v>
      </c>
      <c r="W38" s="83">
        <v>2.0980511125485236E-4</v>
      </c>
      <c r="X38" s="83">
        <v>1.9205622660936996E+16</v>
      </c>
      <c r="Y38" s="83">
        <v>2.0292770304851309E-4</v>
      </c>
      <c r="Z38" s="83">
        <v>1.8007390306177006E+16</v>
      </c>
      <c r="AA38" s="83">
        <v>1.9597809799538617E-4</v>
      </c>
      <c r="AB38" s="83">
        <v>1.7426058893147542E+16</v>
      </c>
      <c r="AC38" s="83">
        <v>1.8809499519350582E-4</v>
      </c>
      <c r="AD38" s="83">
        <v>1.591041447702518E+16</v>
      </c>
      <c r="AE38" s="83">
        <v>1.7310220480599314E-4</v>
      </c>
    </row>
    <row r="39" spans="2:31" x14ac:dyDescent="0.2">
      <c r="B39" s="83">
        <v>2.3748136401355176E+16</v>
      </c>
      <c r="C39" s="83">
        <v>2.6716640818643387E-4</v>
      </c>
      <c r="D39" s="83">
        <v>2.3827463113326296E+16</v>
      </c>
      <c r="E39" s="83">
        <v>2.7075157241625416E-4</v>
      </c>
      <c r="F39" s="83">
        <v>2.3727314119569028E+16</v>
      </c>
      <c r="G39" s="83">
        <v>2.6550485909131302E-4</v>
      </c>
      <c r="H39" s="83">
        <v>2.3082983891646288E+16</v>
      </c>
      <c r="I39" s="83">
        <v>2.6235621704031714E-4</v>
      </c>
      <c r="J39" s="83">
        <v>2.2525223452406196E+16</v>
      </c>
      <c r="K39" s="83">
        <v>2.5488898802891703E-4</v>
      </c>
      <c r="L39" s="83">
        <v>2.1966154856509212E+16</v>
      </c>
      <c r="M39" s="83">
        <v>2.4873745459886074E-4</v>
      </c>
      <c r="N39" s="83">
        <v>2.1290836730820316E+16</v>
      </c>
      <c r="O39" s="83">
        <v>2.4301502494390105E-4</v>
      </c>
      <c r="P39" s="83">
        <v>2.0629203445610332E+16</v>
      </c>
      <c r="Q39" s="83">
        <v>2.3611662824143384E-4</v>
      </c>
      <c r="R39" s="83">
        <v>2.0381417126647448E+16</v>
      </c>
      <c r="S39" s="83">
        <v>2.2845950900522195E-4</v>
      </c>
      <c r="T39" s="83">
        <v>1.948775349332654E+16</v>
      </c>
      <c r="U39" s="83">
        <v>2.2231790173335401E-4</v>
      </c>
      <c r="V39" s="83">
        <v>1.8867782965537908E+16</v>
      </c>
      <c r="W39" s="83">
        <v>2.1106012631113763E-4</v>
      </c>
      <c r="X39" s="83">
        <v>1.8341793441192324E+16</v>
      </c>
      <c r="Y39" s="83">
        <v>2.0394238327573388E-4</v>
      </c>
      <c r="Z39" s="83">
        <v>1.7172787778329024E+16</v>
      </c>
      <c r="AA39" s="83">
        <v>1.9658804096667673E-4</v>
      </c>
      <c r="AB39" s="83">
        <v>1.6586283719738034E+16</v>
      </c>
      <c r="AC39" s="83">
        <v>1.8840263702970704E-4</v>
      </c>
      <c r="AD39" s="83">
        <v>1.5088206084509412E+16</v>
      </c>
      <c r="AE39" s="83">
        <v>1.7280732474522217E-4</v>
      </c>
    </row>
    <row r="40" spans="2:31" x14ac:dyDescent="0.2">
      <c r="B40" s="83">
        <v>2.28895588572782E+16</v>
      </c>
      <c r="C40" s="83">
        <v>2.7054292441410692E-4</v>
      </c>
      <c r="D40" s="83">
        <v>2.2955729177525708E+16</v>
      </c>
      <c r="E40" s="83">
        <v>2.7404257297251064E-4</v>
      </c>
      <c r="F40" s="83">
        <v>2.2867659988159448E+16</v>
      </c>
      <c r="G40" s="83">
        <v>2.6885620285771304E-4</v>
      </c>
      <c r="H40" s="83">
        <v>2.2224296648732084E+16</v>
      </c>
      <c r="I40" s="83">
        <v>2.6526535446405749E-4</v>
      </c>
      <c r="J40" s="83">
        <v>2.1667867188618392E+16</v>
      </c>
      <c r="K40" s="83">
        <v>2.5753270000860321E-4</v>
      </c>
      <c r="L40" s="83">
        <v>2.112285451249574E+16</v>
      </c>
      <c r="M40" s="83">
        <v>2.5131375861625084E-4</v>
      </c>
      <c r="N40" s="83">
        <v>2.0446743964080296E+16</v>
      </c>
      <c r="O40" s="83">
        <v>2.4516250190408318E-4</v>
      </c>
      <c r="P40" s="83">
        <v>1.980101040595794E+16</v>
      </c>
      <c r="Q40" s="83">
        <v>2.3803835669246643E-4</v>
      </c>
      <c r="R40" s="83">
        <v>1.9543234860677624E+16</v>
      </c>
      <c r="S40" s="83">
        <v>2.3027536079792469E-4</v>
      </c>
      <c r="T40" s="83">
        <v>1.8659293735957212E+16</v>
      </c>
      <c r="U40" s="83">
        <v>2.2373882231699333E-4</v>
      </c>
      <c r="V40" s="83">
        <v>1.8036237028044948E+16</v>
      </c>
      <c r="W40" s="83">
        <v>2.1212694685235323E-4</v>
      </c>
      <c r="X40" s="83">
        <v>1.7514249058247152E+16</v>
      </c>
      <c r="Y40" s="83">
        <v>2.0484247606100195E-4</v>
      </c>
      <c r="Z40" s="83">
        <v>1.6365347514467898E+16</v>
      </c>
      <c r="AA40" s="83">
        <v>1.9693055608134184E-4</v>
      </c>
      <c r="AB40" s="83">
        <v>1.5778243617595608E+16</v>
      </c>
      <c r="AC40" s="83">
        <v>1.8844383692249897E-4</v>
      </c>
      <c r="AD40" s="83">
        <v>1.4302153920531412E+16</v>
      </c>
      <c r="AE40" s="83">
        <v>1.7233251213552973E-4</v>
      </c>
    </row>
    <row r="41" spans="2:31" x14ac:dyDescent="0.2">
      <c r="B41" s="83">
        <v>2.2066410553279244E+16</v>
      </c>
      <c r="C41" s="83">
        <v>2.7412293182284633E-4</v>
      </c>
      <c r="D41" s="83">
        <v>2.2115489414071988E+16</v>
      </c>
      <c r="E41" s="83">
        <v>2.7763766284351208E-4</v>
      </c>
      <c r="F41" s="83">
        <v>2.2021809022895212E+16</v>
      </c>
      <c r="G41" s="83">
        <v>2.7202355248868916E-4</v>
      </c>
      <c r="H41" s="83">
        <v>2.139951180720736E+16</v>
      </c>
      <c r="I41" s="83">
        <v>2.684529120419105E-4</v>
      </c>
      <c r="J41" s="83">
        <v>2.0840689872855712E+16</v>
      </c>
      <c r="K41" s="83">
        <v>2.602774904156688E-4</v>
      </c>
      <c r="L41" s="83">
        <v>2.0301071852693324E+16</v>
      </c>
      <c r="M41" s="83">
        <v>2.5396428027460379E-4</v>
      </c>
      <c r="N41" s="83">
        <v>1.9632402852387704E+16</v>
      </c>
      <c r="O41" s="83">
        <v>2.4741479269364158E-4</v>
      </c>
      <c r="P41" s="83">
        <v>1.8988587315345664E+16</v>
      </c>
      <c r="Q41" s="83">
        <v>2.4001832891453457E-4</v>
      </c>
      <c r="R41" s="83">
        <v>1.8730883689682984E+16</v>
      </c>
      <c r="S41" s="83">
        <v>2.3198033399897709E-4</v>
      </c>
      <c r="T41" s="83">
        <v>1.786458141679546E+16</v>
      </c>
      <c r="U41" s="83">
        <v>2.2516976674126179E-4</v>
      </c>
      <c r="V41" s="83">
        <v>1.7230648902609008E+16</v>
      </c>
      <c r="W41" s="83">
        <v>2.131048790140769E-4</v>
      </c>
      <c r="X41" s="83">
        <v>1.6710894197938016E+16</v>
      </c>
      <c r="Y41" s="83">
        <v>2.0546097906140934E-4</v>
      </c>
      <c r="Z41" s="83">
        <v>1.5579750744501078E+16</v>
      </c>
      <c r="AA41" s="83">
        <v>1.9719909511999549E-4</v>
      </c>
      <c r="AB41" s="83">
        <v>1.50031453820748E+16</v>
      </c>
      <c r="AC41" s="83">
        <v>1.8855413334604304E-4</v>
      </c>
      <c r="AD41" s="83">
        <v>1.354623314631166E+16</v>
      </c>
      <c r="AE41" s="83">
        <v>1.7183671472355212E-4</v>
      </c>
    </row>
    <row r="42" spans="2:31" x14ac:dyDescent="0.2">
      <c r="B42" s="83">
        <v>2.1270960986128944E+16</v>
      </c>
      <c r="C42" s="83">
        <v>2.776044191385749E-4</v>
      </c>
      <c r="D42" s="83">
        <v>2.1303350214432872E+16</v>
      </c>
      <c r="E42" s="83">
        <v>2.8100455460822594E-4</v>
      </c>
      <c r="F42" s="83">
        <v>2.1202984858331248E+16</v>
      </c>
      <c r="G42" s="83">
        <v>2.7514580731870518E-4</v>
      </c>
      <c r="H42" s="83">
        <v>2.0592168234849172E+16</v>
      </c>
      <c r="I42" s="83">
        <v>2.71407897509311E-4</v>
      </c>
      <c r="J42" s="83">
        <v>2.0033495387673408E+16</v>
      </c>
      <c r="K42" s="83">
        <v>2.628162996155918E-4</v>
      </c>
      <c r="L42" s="83">
        <v>1.9502577337846656E+16</v>
      </c>
      <c r="M42" s="83">
        <v>2.5626836946012063E-4</v>
      </c>
      <c r="N42" s="83">
        <v>1.8845308118233276E+16</v>
      </c>
      <c r="O42" s="83">
        <v>2.4954325104667587E-4</v>
      </c>
      <c r="P42" s="83">
        <v>1.820779408976798E+16</v>
      </c>
      <c r="Q42" s="83">
        <v>2.4181168900555411E-4</v>
      </c>
      <c r="R42" s="83">
        <v>1.794585036495103E+16</v>
      </c>
      <c r="S42" s="83">
        <v>2.3363310071348255E-4</v>
      </c>
      <c r="T42" s="83">
        <v>1.7089494905244828E+16</v>
      </c>
      <c r="U42" s="83">
        <v>2.2641370430763556E-4</v>
      </c>
      <c r="V42" s="83">
        <v>1.6459007935996988E+16</v>
      </c>
      <c r="W42" s="83">
        <v>2.1410921719198722E-4</v>
      </c>
      <c r="X42" s="83">
        <v>1.5938094570988296E+16</v>
      </c>
      <c r="Y42" s="83">
        <v>2.0615778377873554E-4</v>
      </c>
      <c r="Z42" s="83">
        <v>1.4833811460920074E+16</v>
      </c>
      <c r="AA42" s="83">
        <v>1.974866836513987E-4</v>
      </c>
      <c r="AB42" s="83">
        <v>1.4255392196508926E+16</v>
      </c>
      <c r="AC42" s="83">
        <v>1.884590119697895E-4</v>
      </c>
      <c r="AD42" s="83">
        <v>1.2826218181369952E+16</v>
      </c>
      <c r="AE42" s="83">
        <v>1.71274322808756E-4</v>
      </c>
    </row>
    <row r="43" spans="2:31" x14ac:dyDescent="0.2">
      <c r="B43" s="83">
        <v>2.0487701781427148E+16</v>
      </c>
      <c r="C43" s="83">
        <v>2.8073387458250648E-4</v>
      </c>
      <c r="D43" s="83">
        <v>2.0511479885086424E+16</v>
      </c>
      <c r="E43" s="83">
        <v>2.8419652984647725E-4</v>
      </c>
      <c r="F43" s="83">
        <v>2.0411553985832432E+16</v>
      </c>
      <c r="G43" s="83">
        <v>2.78265549259247E-4</v>
      </c>
      <c r="H43" s="83">
        <v>1.981011725295622E+16</v>
      </c>
      <c r="I43" s="83">
        <v>2.7425126097210519E-4</v>
      </c>
      <c r="J43" s="83">
        <v>1.925008207541808E+16</v>
      </c>
      <c r="K43" s="83">
        <v>2.6529383039827244E-4</v>
      </c>
      <c r="L43" s="83">
        <v>1.873162272606922E+16</v>
      </c>
      <c r="M43" s="83">
        <v>2.5869350726941029E-4</v>
      </c>
      <c r="N43" s="83">
        <v>1.807464324828394E+16</v>
      </c>
      <c r="O43" s="83">
        <v>2.5149145394924219E-4</v>
      </c>
      <c r="P43" s="83">
        <v>1.7449665493880186E+16</v>
      </c>
      <c r="Q43" s="83">
        <v>2.4359406616863649E-4</v>
      </c>
      <c r="R43" s="83">
        <v>1.7186192707512108E+16</v>
      </c>
      <c r="S43" s="83">
        <v>2.3514366920901505E-4</v>
      </c>
      <c r="T43" s="83">
        <v>1.6339617958888302E+16</v>
      </c>
      <c r="U43" s="83">
        <v>2.2752604373625843E-4</v>
      </c>
      <c r="V43" s="83">
        <v>1.5711770326379698E+16</v>
      </c>
      <c r="W43" s="83">
        <v>2.148916565493422E-4</v>
      </c>
      <c r="X43" s="83">
        <v>1.519455398604144E+16</v>
      </c>
      <c r="Y43" s="83">
        <v>2.0658727433035985E-4</v>
      </c>
      <c r="Z43" s="83">
        <v>1.4118432013446044E+16</v>
      </c>
      <c r="AA43" s="83">
        <v>1.9771245227096187E-4</v>
      </c>
      <c r="AB43" s="83">
        <v>1.3539763726866414E+16</v>
      </c>
      <c r="AC43" s="83">
        <v>1.8830525289749653E-4</v>
      </c>
      <c r="AD43" s="83">
        <v>1.2135253580488122E+16</v>
      </c>
      <c r="AE43" s="83">
        <v>1.7053432758074009E-4</v>
      </c>
    </row>
    <row r="44" spans="2:31" x14ac:dyDescent="0.2">
      <c r="B44" s="83">
        <v>1.9724429139051E+16</v>
      </c>
      <c r="C44" s="83">
        <v>2.8359895303272655E-4</v>
      </c>
      <c r="D44" s="83">
        <v>1.974775358850582E+16</v>
      </c>
      <c r="E44" s="83">
        <v>2.8709509292399479E-4</v>
      </c>
      <c r="F44" s="83">
        <v>1.9645135571441724E+16</v>
      </c>
      <c r="G44" s="83">
        <v>2.8123215662025308E-4</v>
      </c>
      <c r="H44" s="83">
        <v>1.90561873011782E+16</v>
      </c>
      <c r="I44" s="83">
        <v>2.7695630242550106E-4</v>
      </c>
      <c r="J44" s="83">
        <v>1.848303661183666E+16</v>
      </c>
      <c r="K44" s="83">
        <v>2.6756669098603283E-4</v>
      </c>
      <c r="L44" s="83">
        <v>1.797381867734319E+16</v>
      </c>
      <c r="M44" s="83">
        <v>2.605094475054831E-4</v>
      </c>
      <c r="N44" s="83">
        <v>1.7337204831472858E+16</v>
      </c>
      <c r="O44" s="83">
        <v>2.534115695653461E-4</v>
      </c>
      <c r="P44" s="83">
        <v>1.6718660671079364E+16</v>
      </c>
      <c r="Q44" s="83">
        <v>2.4515604308393422E-4</v>
      </c>
      <c r="R44" s="83">
        <v>1.6447688782920934E+16</v>
      </c>
      <c r="S44" s="83">
        <v>2.3641793688212984E-4</v>
      </c>
      <c r="T44" s="83">
        <v>1.562089720004593E+16</v>
      </c>
      <c r="U44" s="83">
        <v>2.2850878440548706E-4</v>
      </c>
      <c r="V44" s="83">
        <v>1.4986744755722476E+16</v>
      </c>
      <c r="W44" s="83">
        <v>2.154175115432921E-4</v>
      </c>
      <c r="X44" s="83">
        <v>1.4479764088375522E+16</v>
      </c>
      <c r="Y44" s="83">
        <v>2.0693987060474284E-4</v>
      </c>
      <c r="Z44" s="83">
        <v>1.342533343371153E+16</v>
      </c>
      <c r="AA44" s="83">
        <v>1.9756235920969476E-4</v>
      </c>
      <c r="AB44" s="83">
        <v>1.2852424153633758E+16</v>
      </c>
      <c r="AC44" s="83">
        <v>1.879819399809433E-4</v>
      </c>
      <c r="AD44" s="83">
        <v>1.148211116942456E+16</v>
      </c>
      <c r="AE44" s="83">
        <v>1.6973346904038201E-4</v>
      </c>
    </row>
    <row r="45" spans="2:31" x14ac:dyDescent="0.2">
      <c r="B45" s="83">
        <v>1.8989599433153224E+16</v>
      </c>
      <c r="C45" s="83">
        <v>2.867053845280581E-4</v>
      </c>
      <c r="D45" s="83">
        <v>1.8988377989367992E+16</v>
      </c>
      <c r="E45" s="83">
        <v>2.8979297709985305E-4</v>
      </c>
      <c r="F45" s="83">
        <v>1.889549656515244E+16</v>
      </c>
      <c r="G45" s="83">
        <v>2.8390853234374469E-4</v>
      </c>
      <c r="H45" s="83">
        <v>1.8321607759214816E+16</v>
      </c>
      <c r="I45" s="83">
        <v>2.7952682124464775E-4</v>
      </c>
      <c r="J45" s="83">
        <v>1.7753263408932944E+16</v>
      </c>
      <c r="K45" s="83">
        <v>2.6990663501088213E-4</v>
      </c>
      <c r="L45" s="83">
        <v>1.7255415011385332E+16</v>
      </c>
      <c r="M45" s="83">
        <v>2.6264795903999512E-4</v>
      </c>
      <c r="N45" s="83">
        <v>1.6626727853719736E+16</v>
      </c>
      <c r="O45" s="83">
        <v>2.5519553466654042E-4</v>
      </c>
      <c r="P45" s="83">
        <v>1.6015002373685814E+16</v>
      </c>
      <c r="Q45" s="83">
        <v>2.4663260026715623E-4</v>
      </c>
      <c r="R45" s="83">
        <v>1.5739364284249478E+16</v>
      </c>
      <c r="S45" s="83">
        <v>2.3759480518250548E-4</v>
      </c>
      <c r="T45" s="83">
        <v>1.492353023537725E+16</v>
      </c>
      <c r="U45" s="83">
        <v>2.2945226151182925E-4</v>
      </c>
      <c r="V45" s="83">
        <v>1.429591272179159E+16</v>
      </c>
      <c r="W45" s="83">
        <v>2.159899918708487E-4</v>
      </c>
      <c r="X45" s="83">
        <v>1.3789163068160594E+16</v>
      </c>
      <c r="Y45" s="83">
        <v>2.0707450782723891E-4</v>
      </c>
      <c r="Z45" s="83">
        <v>1.2760418742630872E+16</v>
      </c>
      <c r="AA45" s="83">
        <v>1.9736746939101886E-4</v>
      </c>
      <c r="AB45" s="83">
        <v>1.2198729350835882E+16</v>
      </c>
      <c r="AC45" s="83">
        <v>1.8759656975108271E-4</v>
      </c>
      <c r="AD45" s="83">
        <v>1.0851233229987238E+16</v>
      </c>
      <c r="AE45" s="83">
        <v>1.6874694183553483E-4</v>
      </c>
    </row>
    <row r="46" spans="2:31" x14ac:dyDescent="0.2">
      <c r="B46" s="83">
        <v>1.8276144745206004E+16</v>
      </c>
      <c r="C46" s="83">
        <v>2.8955110510687669E-4</v>
      </c>
      <c r="D46" s="83">
        <v>1.8262161053103936E+16</v>
      </c>
      <c r="E46" s="83">
        <v>2.9244929382310351E-4</v>
      </c>
      <c r="F46" s="83">
        <v>1.8172731177725888E+16</v>
      </c>
      <c r="G46" s="83">
        <v>2.8647647674302383E-4</v>
      </c>
      <c r="H46" s="83">
        <v>1.7605934811031468E+16</v>
      </c>
      <c r="I46" s="83">
        <v>2.8175190164076791E-4</v>
      </c>
      <c r="J46" s="83">
        <v>1.7048409618469764E+16</v>
      </c>
      <c r="K46" s="83">
        <v>2.7215132611501367E-4</v>
      </c>
      <c r="L46" s="83">
        <v>1.6544029562105354E+16</v>
      </c>
      <c r="M46" s="83">
        <v>2.6441014384429745E-4</v>
      </c>
      <c r="N46" s="83">
        <v>1.5933717625818428E+16</v>
      </c>
      <c r="O46" s="83">
        <v>2.5668810874373904E-4</v>
      </c>
      <c r="P46" s="83">
        <v>1.5337261514770526E+16</v>
      </c>
      <c r="Q46" s="83">
        <v>2.4781497750355792E-4</v>
      </c>
      <c r="R46" s="83">
        <v>1.5053052811582864E+16</v>
      </c>
      <c r="S46" s="83">
        <v>2.3866327483820107E-4</v>
      </c>
      <c r="T46" s="83">
        <v>1.4257380630372498E+16</v>
      </c>
      <c r="U46" s="83">
        <v>2.3014326503948177E-4</v>
      </c>
      <c r="V46" s="83">
        <v>1.3630217694308998E+16</v>
      </c>
      <c r="W46" s="83">
        <v>2.163651588661562E-4</v>
      </c>
      <c r="X46" s="83">
        <v>1.3123435758072004E+16</v>
      </c>
      <c r="Y46" s="83">
        <v>2.0711623329295088E-4</v>
      </c>
      <c r="Z46" s="83">
        <v>1.2126681356629566E+16</v>
      </c>
      <c r="AA46" s="83">
        <v>1.9707756858035899E-4</v>
      </c>
      <c r="AB46" s="83">
        <v>1.1567440989144788E+16</v>
      </c>
      <c r="AC46" s="83">
        <v>1.8689473243139665E-4</v>
      </c>
      <c r="AD46" s="83">
        <v>1.0256931427627252E+16</v>
      </c>
      <c r="AE46" s="83">
        <v>1.676757795523587E-4</v>
      </c>
    </row>
    <row r="47" spans="2:31" x14ac:dyDescent="0.2">
      <c r="B47" s="83">
        <v>1.7577336898355134E+16</v>
      </c>
      <c r="C47" s="83">
        <v>2.9222673687733782E-4</v>
      </c>
      <c r="D47" s="83">
        <v>1.756398888213277E+16</v>
      </c>
      <c r="E47" s="83">
        <v>2.952600538602356E-4</v>
      </c>
      <c r="F47" s="83">
        <v>1.746662523392575E+16</v>
      </c>
      <c r="G47" s="83">
        <v>2.8894698370950843E-4</v>
      </c>
      <c r="H47" s="83">
        <v>1.691676314999448E+16</v>
      </c>
      <c r="I47" s="83">
        <v>2.8401031234451404E-4</v>
      </c>
      <c r="J47" s="83">
        <v>1.6353348147599156E+16</v>
      </c>
      <c r="K47" s="83">
        <v>2.7386303027262295E-4</v>
      </c>
      <c r="L47" s="83">
        <v>1.5866874401008726E+16</v>
      </c>
      <c r="M47" s="83">
        <v>2.6606153589023269E-4</v>
      </c>
      <c r="N47" s="83">
        <v>1.5260641874179846E+16</v>
      </c>
      <c r="O47" s="83">
        <v>2.5793815673806256E-4</v>
      </c>
      <c r="P47" s="83">
        <v>1.4669520845009688E+16</v>
      </c>
      <c r="Q47" s="83">
        <v>2.4875361435427068E-4</v>
      </c>
      <c r="R47" s="83">
        <v>1.439253858936533E+16</v>
      </c>
      <c r="S47" s="83">
        <v>2.3960902806043102E-4</v>
      </c>
      <c r="T47" s="83">
        <v>1.361030189435712E+16</v>
      </c>
      <c r="U47" s="83">
        <v>2.3069558483124886E-4</v>
      </c>
      <c r="V47" s="83">
        <v>1.2991560645032672E+16</v>
      </c>
      <c r="W47" s="83">
        <v>2.1656382840909319E-4</v>
      </c>
      <c r="X47" s="83">
        <v>1.2493643562564412E+16</v>
      </c>
      <c r="Y47" s="83">
        <v>2.0706034864488657E-4</v>
      </c>
      <c r="Z47" s="83">
        <v>1.1517331266489294E+16</v>
      </c>
      <c r="AA47" s="83">
        <v>1.9661043556534896E-4</v>
      </c>
      <c r="AB47" s="83">
        <v>1.0965906003081386E+16</v>
      </c>
      <c r="AC47" s="83">
        <v>1.8622099537634893E-4</v>
      </c>
      <c r="AD47" s="83">
        <v>9683989797812950</v>
      </c>
      <c r="AE47" s="83">
        <v>1.6645735295763416E-4</v>
      </c>
    </row>
    <row r="48" spans="2:31" x14ac:dyDescent="0.2">
      <c r="B48" s="83">
        <v>1.691032129680268E+16</v>
      </c>
      <c r="C48" s="83">
        <v>2.9493931690147623E-4</v>
      </c>
      <c r="D48" s="83">
        <v>1.687376829051493E+16</v>
      </c>
      <c r="E48" s="83">
        <v>2.9752831791863253E-4</v>
      </c>
      <c r="F48" s="83">
        <v>1.6782594074775028E+16</v>
      </c>
      <c r="G48" s="83">
        <v>2.9122328037569815E-4</v>
      </c>
      <c r="H48" s="83">
        <v>1.624357639917115E+16</v>
      </c>
      <c r="I48" s="83">
        <v>2.8606009837349114E-4</v>
      </c>
      <c r="J48" s="83">
        <v>1.5693904964348694E+16</v>
      </c>
      <c r="K48" s="83">
        <v>2.7571693031284799E-4</v>
      </c>
      <c r="L48" s="83">
        <v>1.5211336384032834E+16</v>
      </c>
      <c r="M48" s="83">
        <v>2.6755821831344159E-4</v>
      </c>
      <c r="N48" s="83">
        <v>1.4616125671801656E+16</v>
      </c>
      <c r="O48" s="83">
        <v>2.5903150605780304E-4</v>
      </c>
      <c r="P48" s="83">
        <v>1.403180102365796E+16</v>
      </c>
      <c r="Q48" s="83">
        <v>2.496776269201187E-4</v>
      </c>
      <c r="R48" s="83">
        <v>1.3754438219549856E+16</v>
      </c>
      <c r="S48" s="83">
        <v>2.4030722639182297E-4</v>
      </c>
      <c r="T48" s="83">
        <v>1.2983976582921304E+16</v>
      </c>
      <c r="U48" s="83">
        <v>2.3089654243664724E-4</v>
      </c>
      <c r="V48" s="83">
        <v>1.237169528831893E+16</v>
      </c>
      <c r="W48" s="83">
        <v>2.1647863700863631E-4</v>
      </c>
      <c r="X48" s="83">
        <v>1.188229575284161E+16</v>
      </c>
      <c r="Y48" s="83">
        <v>2.068760592817002E-4</v>
      </c>
      <c r="Z48" s="83">
        <v>1.0929780887056608E+16</v>
      </c>
      <c r="AA48" s="83">
        <v>1.9598404802538926E-4</v>
      </c>
      <c r="AB48" s="83">
        <v>1.0386893106529308E+16</v>
      </c>
      <c r="AC48" s="83">
        <v>1.8526632141601437E-4</v>
      </c>
      <c r="AD48" s="83">
        <v>9140908309771554</v>
      </c>
      <c r="AE48" s="83">
        <v>1.650663716840773E-4</v>
      </c>
    </row>
    <row r="49" spans="2:31" x14ac:dyDescent="0.2">
      <c r="B49" s="83">
        <v>1.6262581082218134E+16</v>
      </c>
      <c r="C49" s="83">
        <v>2.9741342266434624E-4</v>
      </c>
      <c r="D49" s="83">
        <v>1.6217113614847544E+16</v>
      </c>
      <c r="E49" s="83">
        <v>3.0011029917170691E-4</v>
      </c>
      <c r="F49" s="83">
        <v>1.612419923693438E+16</v>
      </c>
      <c r="G49" s="83">
        <v>2.9345012440520305E-4</v>
      </c>
      <c r="H49" s="83">
        <v>1.55906359272395E+16</v>
      </c>
      <c r="I49" s="83">
        <v>2.8799161155744225E-4</v>
      </c>
      <c r="J49" s="83">
        <v>1.5042700081851674E+16</v>
      </c>
      <c r="K49" s="83">
        <v>2.7722530292128151E-4</v>
      </c>
      <c r="L49" s="83">
        <v>1.4574080866488538E+16</v>
      </c>
      <c r="M49" s="83">
        <v>2.6883157059532059E-4</v>
      </c>
      <c r="N49" s="83">
        <v>1.3987759713961266E+16</v>
      </c>
      <c r="O49" s="83">
        <v>2.6012921029512035E-4</v>
      </c>
      <c r="P49" s="83">
        <v>1.3412899707012986E+16</v>
      </c>
      <c r="Q49" s="83">
        <v>2.5058058860011253E-4</v>
      </c>
      <c r="R49" s="83">
        <v>1.313808227866057E+16</v>
      </c>
      <c r="S49" s="83">
        <v>2.4085191119765142E-4</v>
      </c>
      <c r="T49" s="83">
        <v>1.2382158930479756E+16</v>
      </c>
      <c r="U49" s="83">
        <v>2.3115607357858251E-4</v>
      </c>
      <c r="V49" s="83">
        <v>1.1777385119490692E+16</v>
      </c>
      <c r="W49" s="83">
        <v>2.1631297290298869E-4</v>
      </c>
      <c r="X49" s="83">
        <v>1.1291615865818762E+16</v>
      </c>
      <c r="Y49" s="83">
        <v>2.0632032333832981E-4</v>
      </c>
      <c r="Z49" s="83">
        <v>1.0367589358974468E+16</v>
      </c>
      <c r="AA49" s="83">
        <v>1.9526946475219986E-4</v>
      </c>
      <c r="AB49" s="83">
        <v>9829318171489254</v>
      </c>
      <c r="AC49" s="83">
        <v>1.8417144849429106E-4</v>
      </c>
      <c r="AD49" s="83">
        <v>8620774946768362</v>
      </c>
      <c r="AE49" s="83">
        <v>1.6363756855896359E-4</v>
      </c>
    </row>
    <row r="50" spans="2:31" x14ac:dyDescent="0.2">
      <c r="B50" s="83">
        <v>1.56290369823845E+16</v>
      </c>
      <c r="C50" s="83">
        <v>2.9976095255977806E-4</v>
      </c>
      <c r="D50" s="83">
        <v>1.5580817741206344E+16</v>
      </c>
      <c r="E50" s="83">
        <v>3.0242689934417135E-4</v>
      </c>
      <c r="F50" s="83">
        <v>1.5485160718711734E+16</v>
      </c>
      <c r="G50" s="83">
        <v>2.9570018710454424E-4</v>
      </c>
      <c r="H50" s="83">
        <v>1.4964762671483368E+16</v>
      </c>
      <c r="I50" s="83">
        <v>2.9008701213339603E-4</v>
      </c>
      <c r="J50" s="83">
        <v>1.441684299006426E+16</v>
      </c>
      <c r="K50" s="83">
        <v>2.7868850369328296E-4</v>
      </c>
      <c r="L50" s="83">
        <v>1.3952003269759734E+16</v>
      </c>
      <c r="M50" s="83">
        <v>2.7003293594826986E-4</v>
      </c>
      <c r="N50" s="83">
        <v>1.3375417275216092E+16</v>
      </c>
      <c r="O50" s="83">
        <v>2.6108783624808024E-4</v>
      </c>
      <c r="P50" s="83">
        <v>1.2817501602353432E+16</v>
      </c>
      <c r="Q50" s="83">
        <v>2.5128808657033517E-4</v>
      </c>
      <c r="R50" s="83">
        <v>1.2542704407053758E+16</v>
      </c>
      <c r="S50" s="83">
        <v>2.4127965433032571E-4</v>
      </c>
      <c r="T50" s="83">
        <v>1.1803229391535698E+16</v>
      </c>
      <c r="U50" s="83">
        <v>2.3128387089251185E-4</v>
      </c>
      <c r="V50" s="83">
        <v>1.120515118550953E+16</v>
      </c>
      <c r="W50" s="83">
        <v>2.1611613319553365E-4</v>
      </c>
      <c r="X50" s="83">
        <v>1.072878142486425E+16</v>
      </c>
      <c r="Y50" s="83">
        <v>2.0590425135084622E-4</v>
      </c>
      <c r="Z50" s="83">
        <v>9829210748557032</v>
      </c>
      <c r="AA50" s="83">
        <v>1.9452612313205781E-4</v>
      </c>
      <c r="AB50" s="83">
        <v>9299762914841018</v>
      </c>
      <c r="AC50" s="83">
        <v>1.8318671619218941E-4</v>
      </c>
      <c r="AD50" s="83">
        <v>8123234825620185</v>
      </c>
      <c r="AE50" s="83">
        <v>1.6209205188155216E-4</v>
      </c>
    </row>
    <row r="51" spans="2:31" x14ac:dyDescent="0.2">
      <c r="B51" s="83">
        <v>1.5012974895432618E+16</v>
      </c>
      <c r="C51" s="83">
        <v>3.0172033213294783E-4</v>
      </c>
      <c r="D51" s="83">
        <v>1.4960286978824584E+16</v>
      </c>
      <c r="E51" s="83">
        <v>3.0437627359177215E-4</v>
      </c>
      <c r="F51" s="83">
        <v>1.4866739770093266E+16</v>
      </c>
      <c r="G51" s="83">
        <v>2.9771866695339517E-4</v>
      </c>
      <c r="H51" s="83">
        <v>1.4358438569064064E+16</v>
      </c>
      <c r="I51" s="83">
        <v>2.9174173224173414E-4</v>
      </c>
      <c r="J51" s="83">
        <v>1.3806749166841992E+16</v>
      </c>
      <c r="K51" s="83">
        <v>2.8004315140757376E-4</v>
      </c>
      <c r="L51" s="83">
        <v>1.3357772509033196E+16</v>
      </c>
      <c r="M51" s="83">
        <v>2.7114253605987383E-4</v>
      </c>
      <c r="N51" s="83">
        <v>1.2788245463681084E+16</v>
      </c>
      <c r="O51" s="83">
        <v>2.6187447158181721E-4</v>
      </c>
      <c r="P51" s="83">
        <v>1.2242984791007028E+16</v>
      </c>
      <c r="Q51" s="83">
        <v>2.5181916634788888E-4</v>
      </c>
      <c r="R51" s="83">
        <v>1.1968607683629484E+16</v>
      </c>
      <c r="S51" s="83">
        <v>2.4154818423964368E-4</v>
      </c>
      <c r="T51" s="83">
        <v>1.1241313544572748E+16</v>
      </c>
      <c r="U51" s="83">
        <v>2.3116102970368105E-4</v>
      </c>
      <c r="V51" s="83">
        <v>1.0653805422247168E+16</v>
      </c>
      <c r="W51" s="83">
        <v>2.1569453197959921E-4</v>
      </c>
      <c r="X51" s="83">
        <v>1.0185389372086168E+16</v>
      </c>
      <c r="Y51" s="83">
        <v>2.0532422747102829E-4</v>
      </c>
      <c r="Z51" s="83">
        <v>9312142358025166</v>
      </c>
      <c r="AA51" s="83">
        <v>1.9349248173333253E-4</v>
      </c>
      <c r="AB51" s="83">
        <v>8792241676320552</v>
      </c>
      <c r="AC51" s="83">
        <v>1.8197221479091826E-4</v>
      </c>
      <c r="AD51" s="83">
        <v>7654029768246220</v>
      </c>
      <c r="AE51" s="83">
        <v>1.6057071796066487E-4</v>
      </c>
    </row>
    <row r="52" spans="2:31" x14ac:dyDescent="0.2">
      <c r="B52" s="83">
        <v>1.4419843755783918E+16</v>
      </c>
      <c r="C52" s="83">
        <v>3.0373347119118225E-4</v>
      </c>
      <c r="D52" s="83">
        <v>1.4361965967009426E+16</v>
      </c>
      <c r="E52" s="83">
        <v>3.0622480929911255E-4</v>
      </c>
      <c r="F52" s="83">
        <v>1.4269249482115626E+16</v>
      </c>
      <c r="G52" s="83">
        <v>2.9944388891735085E-4</v>
      </c>
      <c r="H52" s="83">
        <v>1.3770201723024524E+16</v>
      </c>
      <c r="I52" s="83">
        <v>2.9316763191995668E-4</v>
      </c>
      <c r="J52" s="83">
        <v>1.3228721876425138E+16</v>
      </c>
      <c r="K52" s="83">
        <v>2.8129795879903557E-4</v>
      </c>
      <c r="L52" s="83">
        <v>1.2791422718835256E+16</v>
      </c>
      <c r="M52" s="83">
        <v>2.7222087516262503E-4</v>
      </c>
      <c r="N52" s="83">
        <v>1.2230832376005364E+16</v>
      </c>
      <c r="O52" s="83">
        <v>2.6274406067453411E-4</v>
      </c>
      <c r="P52" s="83">
        <v>1.1692586903652098E+16</v>
      </c>
      <c r="Q52" s="83">
        <v>2.5226676057964745E-4</v>
      </c>
      <c r="R52" s="83">
        <v>1.1411933456826736E+16</v>
      </c>
      <c r="S52" s="83">
        <v>2.4161435742635329E-4</v>
      </c>
      <c r="T52" s="83">
        <v>1.070618424106536E+16</v>
      </c>
      <c r="U52" s="83">
        <v>2.3109424902990596E-4</v>
      </c>
      <c r="V52" s="83">
        <v>1.0129243135865958E+16</v>
      </c>
      <c r="W52" s="83">
        <v>2.1527885982185522E-4</v>
      </c>
      <c r="X52" s="83">
        <v>9663263862478264</v>
      </c>
      <c r="Y52" s="83">
        <v>2.0440487813082306E-4</v>
      </c>
      <c r="Z52" s="83">
        <v>8823411590078802</v>
      </c>
      <c r="AA52" s="83">
        <v>1.9251597420960639E-4</v>
      </c>
      <c r="AB52" s="83">
        <v>8313258518505281</v>
      </c>
      <c r="AC52" s="83">
        <v>1.806942021734953E-4</v>
      </c>
      <c r="AD52" s="83">
        <v>7204231213323801</v>
      </c>
      <c r="AE52" s="83">
        <v>1.5873101671421823E-4</v>
      </c>
    </row>
    <row r="53" spans="2:31" x14ac:dyDescent="0.2">
      <c r="B53" s="83">
        <v>1.3842674516407368E+16</v>
      </c>
      <c r="C53" s="83">
        <v>3.0572003136677392E-4</v>
      </c>
      <c r="D53" s="83">
        <v>1.3778947349373978E+16</v>
      </c>
      <c r="E53" s="83">
        <v>3.0797297359571988E-4</v>
      </c>
      <c r="F53" s="83">
        <v>1.368778151603199E+16</v>
      </c>
      <c r="G53" s="83">
        <v>3.0094112367392266E-4</v>
      </c>
      <c r="H53" s="83">
        <v>1.3196425807650812E+16</v>
      </c>
      <c r="I53" s="83">
        <v>2.9445703245386341E-4</v>
      </c>
      <c r="J53" s="83">
        <v>1.2667424495338004E+16</v>
      </c>
      <c r="K53" s="83">
        <v>2.8236526742396397E-4</v>
      </c>
      <c r="L53" s="83">
        <v>1.2228342246053134E+16</v>
      </c>
      <c r="M53" s="83">
        <v>2.7273746138302987E-4</v>
      </c>
      <c r="N53" s="83">
        <v>1.1686728463031722E+16</v>
      </c>
      <c r="O53" s="83">
        <v>2.6330829914733057E-4</v>
      </c>
      <c r="P53" s="83">
        <v>1.1155945273145258E+16</v>
      </c>
      <c r="Q53" s="83">
        <v>2.5240078238112718E-4</v>
      </c>
      <c r="R53" s="83">
        <v>1.0877408281068394E+16</v>
      </c>
      <c r="S53" s="83">
        <v>2.4162079209759922E-4</v>
      </c>
      <c r="T53" s="83">
        <v>1.0193378663653312E+16</v>
      </c>
      <c r="U53" s="83">
        <v>2.309042196793719E-4</v>
      </c>
      <c r="V53" s="83">
        <v>9625110348545504</v>
      </c>
      <c r="W53" s="83">
        <v>2.1472066566473956E-4</v>
      </c>
      <c r="X53" s="83">
        <v>9168004936533196</v>
      </c>
      <c r="Y53" s="83">
        <v>2.0368763653282276E-4</v>
      </c>
      <c r="Z53" s="83">
        <v>8349365073641192</v>
      </c>
      <c r="AA53" s="83">
        <v>1.9113391437174815E-4</v>
      </c>
      <c r="AB53" s="83">
        <v>7855303491549923</v>
      </c>
      <c r="AC53" s="83">
        <v>1.7924967363504621E-4</v>
      </c>
      <c r="AD53" s="83">
        <v>6778217281180770</v>
      </c>
      <c r="AE53" s="83">
        <v>1.5693861503800601E-4</v>
      </c>
    </row>
    <row r="54" spans="2:31" x14ac:dyDescent="0.2">
      <c r="B54" s="83">
        <v>1.3283401517428782E+16</v>
      </c>
      <c r="C54" s="83">
        <v>3.0730260411186228E-4</v>
      </c>
      <c r="D54" s="83">
        <v>1.3220544589561404E+16</v>
      </c>
      <c r="E54" s="83">
        <v>3.0956595705958131E-4</v>
      </c>
      <c r="F54" s="83">
        <v>1.3123845661199016E+16</v>
      </c>
      <c r="G54" s="83">
        <v>3.0217632002818367E-4</v>
      </c>
      <c r="H54" s="83">
        <v>1.2647825221768076E+16</v>
      </c>
      <c r="I54" s="83">
        <v>2.9548381748457475E-4</v>
      </c>
      <c r="J54" s="83">
        <v>1.2114314560288802E+16</v>
      </c>
      <c r="K54" s="83">
        <v>2.829976101958511E-4</v>
      </c>
      <c r="L54" s="83">
        <v>1.1691389482144314E+16</v>
      </c>
      <c r="M54" s="83">
        <v>2.7319236905678308E-4</v>
      </c>
      <c r="N54" s="83">
        <v>1.1161185814304262E+16</v>
      </c>
      <c r="O54" s="83">
        <v>2.6336647758294445E-4</v>
      </c>
      <c r="P54" s="83">
        <v>1.064316866161955E+16</v>
      </c>
      <c r="Q54" s="83">
        <v>2.5239175689755199E-4</v>
      </c>
      <c r="R54" s="83">
        <v>1.036995019670217E+16</v>
      </c>
      <c r="S54" s="83">
        <v>2.4160150764486766E-4</v>
      </c>
      <c r="T54" s="83">
        <v>9694689021084988</v>
      </c>
      <c r="U54" s="83">
        <v>2.3023494083593331E-4</v>
      </c>
      <c r="V54" s="83">
        <v>9136479458713380</v>
      </c>
      <c r="W54" s="83">
        <v>2.1376140334216441E-4</v>
      </c>
      <c r="X54" s="83">
        <v>8690231683410684</v>
      </c>
      <c r="Y54" s="83">
        <v>2.0267342050767282E-4</v>
      </c>
      <c r="Z54" s="83">
        <v>7894990304183270</v>
      </c>
      <c r="AA54" s="83">
        <v>1.8964313274126519E-4</v>
      </c>
      <c r="AB54" s="83">
        <v>7412554090057232</v>
      </c>
      <c r="AC54" s="83">
        <v>1.7750150283498228E-4</v>
      </c>
      <c r="AD54" s="83">
        <v>6369566126721776</v>
      </c>
      <c r="AE54" s="83">
        <v>1.5487184194493635E-4</v>
      </c>
    </row>
    <row r="55" spans="2:31" x14ac:dyDescent="0.2">
      <c r="B55" s="83">
        <v>1.2747091320424528E+16</v>
      </c>
      <c r="C55" s="83">
        <v>3.0916508660689513E-4</v>
      </c>
      <c r="D55" s="83">
        <v>1.267832913754975E+16</v>
      </c>
      <c r="E55" s="83">
        <v>3.1091681204905105E-4</v>
      </c>
      <c r="F55" s="83">
        <v>1.2579126944408868E+16</v>
      </c>
      <c r="G55" s="83">
        <v>3.0359006988512553E-4</v>
      </c>
      <c r="H55" s="83">
        <v>1.2108162942826538E+16</v>
      </c>
      <c r="I55" s="83">
        <v>2.9652784645209092E-4</v>
      </c>
      <c r="J55" s="83">
        <v>1.1590091709799198E+16</v>
      </c>
      <c r="K55" s="83">
        <v>2.8360158678913911E-4</v>
      </c>
      <c r="L55" s="83">
        <v>1.1175915766044828E+16</v>
      </c>
      <c r="M55" s="83">
        <v>2.7384102360430556E-4</v>
      </c>
      <c r="N55" s="83">
        <v>1.0656691406336982E+16</v>
      </c>
      <c r="O55" s="83">
        <v>2.6356980529860049E-4</v>
      </c>
      <c r="P55" s="83">
        <v>1.0141107827530352E+16</v>
      </c>
      <c r="Q55" s="83">
        <v>2.5220988565651919E-4</v>
      </c>
      <c r="R55" s="83">
        <v>9872636847928156</v>
      </c>
      <c r="S55" s="83">
        <v>2.4113174658649104E-4</v>
      </c>
      <c r="T55" s="83">
        <v>9216414176931254</v>
      </c>
      <c r="U55" s="83">
        <v>2.2957039304362874E-4</v>
      </c>
      <c r="V55" s="83">
        <v>8670293550187666</v>
      </c>
      <c r="W55" s="83">
        <v>2.1279779734166722E-4</v>
      </c>
      <c r="X55" s="83">
        <v>8235942016949335</v>
      </c>
      <c r="Y55" s="83">
        <v>2.0158279173149269E-4</v>
      </c>
      <c r="Z55" s="83">
        <v>7463029561355147</v>
      </c>
      <c r="AA55" s="83">
        <v>1.8829757294441907E-4</v>
      </c>
      <c r="AB55" s="83">
        <v>6990998594171791</v>
      </c>
      <c r="AC55" s="83">
        <v>1.7577625856322733E-4</v>
      </c>
      <c r="AD55" s="83">
        <v>5985273503833316</v>
      </c>
      <c r="AE55" s="83">
        <v>1.5287346527730812E-4</v>
      </c>
    </row>
    <row r="56" spans="2:31" x14ac:dyDescent="0.2">
      <c r="B56" s="83">
        <v>1.222787034532017E+16</v>
      </c>
      <c r="C56" s="83">
        <v>3.1071056041667591E-4</v>
      </c>
      <c r="D56" s="83">
        <v>1.2144847857438304E+16</v>
      </c>
      <c r="E56" s="83">
        <v>3.1208900912114523E-4</v>
      </c>
      <c r="F56" s="83">
        <v>1.2048204568731414E+16</v>
      </c>
      <c r="G56" s="83">
        <v>3.047641682362233E-4</v>
      </c>
      <c r="H56" s="83">
        <v>1.1591173081761246E+16</v>
      </c>
      <c r="I56" s="83">
        <v>2.9745937920415075E-4</v>
      </c>
      <c r="J56" s="83">
        <v>1.1079027038307836E+16</v>
      </c>
      <c r="K56" s="83">
        <v>2.8425993825018027E-4</v>
      </c>
      <c r="L56" s="83">
        <v>1.067170430883618E+16</v>
      </c>
      <c r="M56" s="83">
        <v>2.7407529726239984E-4</v>
      </c>
      <c r="N56" s="83">
        <v>1.016190555702632E+16</v>
      </c>
      <c r="O56" s="83">
        <v>2.6334674610050378E-4</v>
      </c>
      <c r="P56" s="83">
        <v>9662069290347256</v>
      </c>
      <c r="Q56" s="83">
        <v>2.5187456968225229E-4</v>
      </c>
      <c r="R56" s="83">
        <v>9397281182710260</v>
      </c>
      <c r="S56" s="83">
        <v>2.4074416840079961E-4</v>
      </c>
      <c r="T56" s="83">
        <v>8759911232528005</v>
      </c>
      <c r="U56" s="83">
        <v>2.2888333758313247E-4</v>
      </c>
      <c r="V56" s="83">
        <v>8224919518929072</v>
      </c>
      <c r="W56" s="83">
        <v>2.1190994590003661E-4</v>
      </c>
      <c r="X56" s="83">
        <v>7800845575778128</v>
      </c>
      <c r="Y56" s="83">
        <v>2.0039312435009103E-4</v>
      </c>
      <c r="Z56" s="83">
        <v>7051194977239873</v>
      </c>
      <c r="AA56" s="83">
        <v>1.8678737899588201E-4</v>
      </c>
      <c r="AB56" s="83">
        <v>6589116714085686</v>
      </c>
      <c r="AC56" s="83">
        <v>1.7397268458011159E-4</v>
      </c>
      <c r="AD56" s="83">
        <v>5612771342035677</v>
      </c>
      <c r="AE56" s="83">
        <v>1.5063372913382125E-4</v>
      </c>
    </row>
    <row r="57" spans="2:31" x14ac:dyDescent="0.2">
      <c r="B57" s="83">
        <v>1.172121898241389E+16</v>
      </c>
      <c r="C57" s="83">
        <v>3.119916842524845E-4</v>
      </c>
      <c r="D57" s="83">
        <v>1.1629493726123906E+16</v>
      </c>
      <c r="E57" s="83">
        <v>3.1298913383114518E-4</v>
      </c>
      <c r="F57" s="83">
        <v>1.1537191821441008E+16</v>
      </c>
      <c r="G57" s="83">
        <v>3.0580729089091797E-4</v>
      </c>
      <c r="H57" s="83">
        <v>1.1089933258565852E+16</v>
      </c>
      <c r="I57" s="83">
        <v>2.9829822824445769E-4</v>
      </c>
      <c r="J57" s="83">
        <v>1.0589631799245904E+16</v>
      </c>
      <c r="K57" s="83">
        <v>2.8445585836131695E-4</v>
      </c>
      <c r="L57" s="83">
        <v>1.0188695845780912E+16</v>
      </c>
      <c r="M57" s="83">
        <v>2.7404739229121554E-4</v>
      </c>
      <c r="N57" s="83">
        <v>9687353699876552</v>
      </c>
      <c r="O57" s="83">
        <v>2.6320304410722449E-4</v>
      </c>
      <c r="P57" s="83">
        <v>9204858609697124</v>
      </c>
      <c r="Q57" s="83">
        <v>2.5167132844507124E-4</v>
      </c>
      <c r="R57" s="83">
        <v>8939122229217227</v>
      </c>
      <c r="S57" s="83">
        <v>2.4014843875523384E-4</v>
      </c>
      <c r="T57" s="83">
        <v>8314437707812356</v>
      </c>
      <c r="U57" s="83">
        <v>2.2775970725157584E-4</v>
      </c>
      <c r="V57" s="83">
        <v>7792255442757351</v>
      </c>
      <c r="W57" s="83">
        <v>2.1053753947535456E-4</v>
      </c>
      <c r="X57" s="83">
        <v>7380679762788361</v>
      </c>
      <c r="Y57" s="83">
        <v>1.9882728142834536E-4</v>
      </c>
      <c r="Z57" s="83">
        <v>6656415974641290</v>
      </c>
      <c r="AA57" s="83">
        <v>1.8509009322229125E-4</v>
      </c>
      <c r="AB57" s="83">
        <v>6205197817122229</v>
      </c>
      <c r="AC57" s="83">
        <v>1.7200864952861557E-4</v>
      </c>
      <c r="AD57" s="83">
        <v>5263234749654164</v>
      </c>
      <c r="AE57" s="83">
        <v>1.4831696459419725E-4</v>
      </c>
    </row>
    <row r="58" spans="2:31" x14ac:dyDescent="0.2">
      <c r="B58" s="83">
        <v>1.1227698471349178E+16</v>
      </c>
      <c r="C58" s="83">
        <v>3.1295250581432084E-4</v>
      </c>
      <c r="D58" s="83">
        <v>1.1135717991032864E+16</v>
      </c>
      <c r="E58" s="83">
        <v>3.1418808235307891E-4</v>
      </c>
      <c r="F58" s="83">
        <v>1.1048211151755842E+16</v>
      </c>
      <c r="G58" s="83">
        <v>3.0673384617294856E-4</v>
      </c>
      <c r="H58" s="83">
        <v>1.0608789640758498E+16</v>
      </c>
      <c r="I58" s="83">
        <v>2.9885594652600617E-4</v>
      </c>
      <c r="J58" s="83">
        <v>1.0112156516775704E+16</v>
      </c>
      <c r="K58" s="83">
        <v>2.8484018918369309E-4</v>
      </c>
      <c r="L58" s="83">
        <v>9723027428273776</v>
      </c>
      <c r="M58" s="83">
        <v>2.7401846202297219E-4</v>
      </c>
      <c r="N58" s="83">
        <v>9232173123151332</v>
      </c>
      <c r="O58" s="83">
        <v>2.6287454963318458E-4</v>
      </c>
      <c r="P58" s="83">
        <v>8756876532286551</v>
      </c>
      <c r="Q58" s="83">
        <v>2.5093124445551022E-4</v>
      </c>
      <c r="R58" s="83">
        <v>8499223210097041</v>
      </c>
      <c r="S58" s="83">
        <v>2.3926882889219707E-4</v>
      </c>
      <c r="T58" s="83">
        <v>7890449966890655</v>
      </c>
      <c r="U58" s="83">
        <v>2.2676141265111314E-4</v>
      </c>
      <c r="V58" s="83">
        <v>7376316834291295</v>
      </c>
      <c r="W58" s="83">
        <v>2.0897588468673795E-4</v>
      </c>
      <c r="X58" s="83">
        <v>6974087498483031</v>
      </c>
      <c r="Y58" s="83">
        <v>1.9708660235526963E-4</v>
      </c>
      <c r="Z58" s="83">
        <v>6281703247445749</v>
      </c>
      <c r="AA58" s="83">
        <v>1.8319306984417041E-4</v>
      </c>
      <c r="AB58" s="83">
        <v>5844701090557190</v>
      </c>
      <c r="AC58" s="83">
        <v>1.7017262569936882E-4</v>
      </c>
      <c r="AD58" s="83">
        <v>4935554914535466</v>
      </c>
      <c r="AE58" s="83">
        <v>1.4623250806846544E-4</v>
      </c>
    </row>
    <row r="59" spans="2:31" x14ac:dyDescent="0.2">
      <c r="B59" s="83">
        <v>1.0755983559458802E+16</v>
      </c>
      <c r="C59" s="83">
        <v>3.1411431881242058E-4</v>
      </c>
      <c r="D59" s="83">
        <v>1.0657705549055414E+16</v>
      </c>
      <c r="E59" s="83">
        <v>3.1520744217702716E-4</v>
      </c>
      <c r="F59" s="83">
        <v>1.0572124541308818E+16</v>
      </c>
      <c r="G59" s="83">
        <v>3.0745440256126278E-4</v>
      </c>
      <c r="H59" s="83">
        <v>1.014558918101566E+16</v>
      </c>
      <c r="I59" s="83">
        <v>2.9954747847421608E-4</v>
      </c>
      <c r="J59" s="83">
        <v>9650008485159506</v>
      </c>
      <c r="K59" s="83">
        <v>2.8470788305078303E-4</v>
      </c>
      <c r="L59" s="83">
        <v>9268524855921810</v>
      </c>
      <c r="M59" s="83">
        <v>2.7367830740972714E-4</v>
      </c>
      <c r="N59" s="83">
        <v>8800564418456446</v>
      </c>
      <c r="O59" s="83">
        <v>2.6266289672476225E-4</v>
      </c>
      <c r="P59" s="83">
        <v>8335064493802140</v>
      </c>
      <c r="Q59" s="83">
        <v>2.5014992028597109E-4</v>
      </c>
      <c r="R59" s="83">
        <v>8076298467571861</v>
      </c>
      <c r="S59" s="83">
        <v>2.3833151856371692E-4</v>
      </c>
      <c r="T59" s="83">
        <v>7485466991395662</v>
      </c>
      <c r="U59" s="83">
        <v>2.2567165952770585E-4</v>
      </c>
      <c r="V59" s="83">
        <v>6986941510543921</v>
      </c>
      <c r="W59" s="83">
        <v>2.078248881036109E-4</v>
      </c>
      <c r="X59" s="83">
        <v>6590103747126765</v>
      </c>
      <c r="Y59" s="83">
        <v>1.9547414376747834E-4</v>
      </c>
      <c r="Z59" s="83">
        <v>5922391929068829</v>
      </c>
      <c r="AA59" s="83">
        <v>1.8134194031902453E-4</v>
      </c>
      <c r="AB59" s="83">
        <v>5496962008568964</v>
      </c>
      <c r="AC59" s="83">
        <v>1.6797462917685852E-4</v>
      </c>
      <c r="AD59" s="83">
        <v>4621038939032045</v>
      </c>
      <c r="AE59" s="83">
        <v>1.437817063320368E-4</v>
      </c>
    </row>
    <row r="60" spans="2:31" x14ac:dyDescent="0.2">
      <c r="B60" s="83">
        <v>1.0295490089367962E+16</v>
      </c>
      <c r="C60" s="83">
        <v>3.1510112888318394E-4</v>
      </c>
      <c r="D60" s="83">
        <v>1.0200007292851808E+16</v>
      </c>
      <c r="E60" s="83">
        <v>3.160225461806323E-4</v>
      </c>
      <c r="F60" s="83">
        <v>1.011127846581464E+16</v>
      </c>
      <c r="G60" s="83">
        <v>3.0812617499145528E-4</v>
      </c>
      <c r="H60" s="83">
        <v>9692795928936662</v>
      </c>
      <c r="I60" s="83">
        <v>2.9971417246649879E-4</v>
      </c>
      <c r="J60" s="83">
        <v>9210448044588934</v>
      </c>
      <c r="K60" s="83">
        <v>2.8482447167993966E-4</v>
      </c>
      <c r="L60" s="83">
        <v>8830132494911343</v>
      </c>
      <c r="M60" s="83">
        <v>2.73300550214642E-4</v>
      </c>
      <c r="N60" s="83">
        <v>8374481668879724</v>
      </c>
      <c r="O60" s="83">
        <v>2.6194795144866227E-4</v>
      </c>
      <c r="P60" s="83">
        <v>7924425613428076</v>
      </c>
      <c r="Q60" s="83">
        <v>2.4939845889793518E-4</v>
      </c>
      <c r="R60" s="83">
        <v>7668436083459785</v>
      </c>
      <c r="S60" s="83">
        <v>2.3734296370130068E-4</v>
      </c>
      <c r="T60" s="83">
        <v>7099813304041680</v>
      </c>
      <c r="U60" s="83">
        <v>2.244722552417266E-4</v>
      </c>
      <c r="V60" s="83">
        <v>6609504625467210</v>
      </c>
      <c r="W60" s="83">
        <v>2.0626677223456355E-4</v>
      </c>
      <c r="X60" s="83">
        <v>6226718618539893</v>
      </c>
      <c r="Y60" s="83">
        <v>1.938585723139357E-4</v>
      </c>
      <c r="Z60" s="83">
        <v>5578723041184434</v>
      </c>
      <c r="AA60" s="83">
        <v>1.7915767657327567E-4</v>
      </c>
      <c r="AB60" s="83">
        <v>5168887162409875</v>
      </c>
      <c r="AC60" s="83">
        <v>1.6577431693272289E-4</v>
      </c>
      <c r="AD60" s="83">
        <v>4321134505446425</v>
      </c>
      <c r="AE60" s="83">
        <v>1.4122252533992874E-4</v>
      </c>
    </row>
    <row r="61" spans="2:31" x14ac:dyDescent="0.2">
      <c r="B61" s="83">
        <v>9849699418098022</v>
      </c>
      <c r="C61" s="83">
        <v>3.1622307524764988E-4</v>
      </c>
      <c r="D61" s="83">
        <v>9752047906935344</v>
      </c>
      <c r="E61" s="83">
        <v>3.1709514149137459E-4</v>
      </c>
      <c r="F61" s="83">
        <v>9666690746417662</v>
      </c>
      <c r="G61" s="83">
        <v>3.0886976921549498E-4</v>
      </c>
      <c r="H61" s="83">
        <v>9257907617165538</v>
      </c>
      <c r="I61" s="83">
        <v>3.0000106967867075E-4</v>
      </c>
      <c r="J61" s="83">
        <v>8782710897001310</v>
      </c>
      <c r="K61" s="83">
        <v>2.8492347542984569E-4</v>
      </c>
      <c r="L61" s="83">
        <v>8415155712276733</v>
      </c>
      <c r="M61" s="83">
        <v>2.7329802073950912E-4</v>
      </c>
      <c r="N61" s="83">
        <v>7967740613258659</v>
      </c>
      <c r="O61" s="83">
        <v>2.6150741649099693E-4</v>
      </c>
      <c r="P61" s="83">
        <v>7524081054879491</v>
      </c>
      <c r="Q61" s="83">
        <v>2.4856364813594339E-4</v>
      </c>
      <c r="R61" s="83">
        <v>7280393905642569</v>
      </c>
      <c r="S61" s="83">
        <v>2.365397659020738E-4</v>
      </c>
      <c r="T61" s="83">
        <v>6727194839062510</v>
      </c>
      <c r="U61" s="83">
        <v>2.2328129872030794E-4</v>
      </c>
      <c r="V61" s="83">
        <v>6250252578004607</v>
      </c>
      <c r="W61" s="83">
        <v>2.0483407267621339E-4</v>
      </c>
      <c r="X61" s="83">
        <v>5877898175340924</v>
      </c>
      <c r="Y61" s="83">
        <v>1.9210113353469553E-4</v>
      </c>
      <c r="Z61" s="83">
        <v>5250888500189571</v>
      </c>
      <c r="AA61" s="83">
        <v>1.7725455017255246E-4</v>
      </c>
      <c r="AB61" s="83">
        <v>4852104673928478</v>
      </c>
      <c r="AC61" s="83">
        <v>1.6355616430392816E-4</v>
      </c>
      <c r="AD61" s="83">
        <v>4041785753429148</v>
      </c>
      <c r="AE61" s="83">
        <v>1.388368792197433E-4</v>
      </c>
    </row>
    <row r="62" spans="2:31" x14ac:dyDescent="0.2">
      <c r="B62" s="83">
        <v>9431904480357166</v>
      </c>
      <c r="C62" s="83">
        <v>3.1729791300699105E-4</v>
      </c>
      <c r="D62" s="83">
        <v>9321510783892906</v>
      </c>
      <c r="E62" s="83">
        <v>3.172942479298614E-4</v>
      </c>
      <c r="F62" s="83">
        <v>9240011441829942</v>
      </c>
      <c r="G62" s="83">
        <v>3.0929328025359771E-4</v>
      </c>
      <c r="H62" s="83">
        <v>8836005104710610</v>
      </c>
      <c r="I62" s="83">
        <v>3.0017084333954804E-4</v>
      </c>
      <c r="J62" s="83">
        <v>8372469164331572</v>
      </c>
      <c r="K62" s="83">
        <v>2.8467873867853036E-4</v>
      </c>
      <c r="L62" s="83">
        <v>8015370249119123</v>
      </c>
      <c r="M62" s="83">
        <v>2.7300533897700488E-4</v>
      </c>
      <c r="N62" s="83">
        <v>7579394661019916</v>
      </c>
      <c r="O62" s="83">
        <v>2.6066564689167557E-4</v>
      </c>
      <c r="P62" s="83">
        <v>7148931420452661</v>
      </c>
      <c r="Q62" s="83">
        <v>2.4763601141192764E-4</v>
      </c>
      <c r="R62" s="83">
        <v>6909846338120536</v>
      </c>
      <c r="S62" s="83">
        <v>2.3548953242717363E-4</v>
      </c>
      <c r="T62" s="83">
        <v>6366034656825018</v>
      </c>
      <c r="U62" s="83">
        <v>2.2161208492576574E-4</v>
      </c>
      <c r="V62" s="83">
        <v>5903393326102652</v>
      </c>
      <c r="W62" s="83">
        <v>2.0314824875256404E-4</v>
      </c>
      <c r="X62" s="83">
        <v>5545176198363897</v>
      </c>
      <c r="Y62" s="83">
        <v>1.9030219206279118E-4</v>
      </c>
      <c r="Z62" s="83">
        <v>4940655244594947</v>
      </c>
      <c r="AA62" s="83">
        <v>1.7506171938880486E-4</v>
      </c>
      <c r="AB62" s="83">
        <v>4553192424310319</v>
      </c>
      <c r="AC62" s="83">
        <v>1.6118610234756248E-4</v>
      </c>
      <c r="AD62" s="83">
        <v>3773790477286341.5</v>
      </c>
      <c r="AE62" s="83">
        <v>1.3606194543135439E-4</v>
      </c>
    </row>
    <row r="63" spans="2:31" x14ac:dyDescent="0.2">
      <c r="B63" s="83">
        <v>9023394808421590</v>
      </c>
      <c r="C63" s="83">
        <v>3.1793733448229518E-4</v>
      </c>
      <c r="D63" s="83">
        <v>8909130471210459</v>
      </c>
      <c r="E63" s="83">
        <v>3.1758281230873157E-4</v>
      </c>
      <c r="F63" s="83">
        <v>8823883265235440</v>
      </c>
      <c r="G63" s="83">
        <v>3.0922746636730548E-4</v>
      </c>
      <c r="H63" s="83">
        <v>8429824618636902</v>
      </c>
      <c r="I63" s="83">
        <v>2.9979928947853918E-4</v>
      </c>
      <c r="J63" s="83">
        <v>7980242599181275</v>
      </c>
      <c r="K63" s="83">
        <v>2.8428640606435984E-4</v>
      </c>
      <c r="L63" s="83">
        <v>7629358114878411</v>
      </c>
      <c r="M63" s="83">
        <v>2.7219140005694018E-4</v>
      </c>
      <c r="N63" s="83">
        <v>7203381654263685</v>
      </c>
      <c r="O63" s="83">
        <v>2.5969373554661675E-4</v>
      </c>
      <c r="P63" s="83">
        <v>6783494242165700</v>
      </c>
      <c r="Q63" s="83">
        <v>2.4631211382521607E-4</v>
      </c>
      <c r="R63" s="83">
        <v>6551535630259916</v>
      </c>
      <c r="S63" s="83">
        <v>2.34144252136854E-4</v>
      </c>
      <c r="T63" s="83">
        <v>6025666301185776</v>
      </c>
      <c r="U63" s="83">
        <v>2.1998969775002206E-4</v>
      </c>
      <c r="V63" s="83">
        <v>5579537473444980</v>
      </c>
      <c r="W63" s="83">
        <v>2.0128557515413186E-4</v>
      </c>
      <c r="X63" s="83">
        <v>5228173004469852</v>
      </c>
      <c r="Y63" s="83">
        <v>1.8812535476468126E-4</v>
      </c>
      <c r="Z63" s="83">
        <v>4645530154324203</v>
      </c>
      <c r="AA63" s="83">
        <v>1.7284754464032918E-4</v>
      </c>
      <c r="AB63" s="83">
        <v>4266531787766704</v>
      </c>
      <c r="AC63" s="83">
        <v>1.5863024950931844E-4</v>
      </c>
      <c r="AD63" s="83">
        <v>3521789677648033</v>
      </c>
      <c r="AE63" s="83">
        <v>1.3340244960910282E-4</v>
      </c>
    </row>
    <row r="64" spans="2:31" x14ac:dyDescent="0.2">
      <c r="B64" s="83">
        <v>8619721060044559</v>
      </c>
      <c r="C64" s="83">
        <v>3.1843713534453205E-4</v>
      </c>
      <c r="D64" s="83">
        <v>8504635404094252</v>
      </c>
      <c r="E64" s="83">
        <v>3.185135003478752E-4</v>
      </c>
      <c r="F64" s="83">
        <v>8420097890878894</v>
      </c>
      <c r="G64" s="83">
        <v>3.0937836010188258E-4</v>
      </c>
      <c r="H64" s="83">
        <v>8040457488530717</v>
      </c>
      <c r="I64" s="83">
        <v>3.0002326582827504E-4</v>
      </c>
      <c r="J64" s="83">
        <v>7598396730451825</v>
      </c>
      <c r="K64" s="83">
        <v>2.8404518642938524E-4</v>
      </c>
      <c r="L64" s="83">
        <v>7258454196785485</v>
      </c>
      <c r="M64" s="83">
        <v>2.7151519946634595E-4</v>
      </c>
      <c r="N64" s="83">
        <v>6835905166254409</v>
      </c>
      <c r="O64" s="83">
        <v>2.5883113380206996E-4</v>
      </c>
      <c r="P64" s="83">
        <v>6434818552210963</v>
      </c>
      <c r="Q64" s="83">
        <v>2.4557089164239828E-4</v>
      </c>
      <c r="R64" s="83">
        <v>6205050560843942</v>
      </c>
      <c r="S64" s="83">
        <v>2.3262384071685545E-4</v>
      </c>
      <c r="T64" s="83">
        <v>5698884301006076</v>
      </c>
      <c r="U64" s="83">
        <v>2.1876337701579518E-4</v>
      </c>
      <c r="V64" s="83">
        <v>5263078452348416</v>
      </c>
      <c r="W64" s="83">
        <v>1.9939366830709304E-4</v>
      </c>
      <c r="X64" s="83">
        <v>4924594974360704</v>
      </c>
      <c r="Y64" s="83">
        <v>1.8591899006055782E-4</v>
      </c>
      <c r="Z64" s="83">
        <v>4364296902043052.5</v>
      </c>
      <c r="AA64" s="83">
        <v>1.7071039370837213E-4</v>
      </c>
      <c r="AB64" s="83">
        <v>4001853158365227.5</v>
      </c>
      <c r="AC64" s="83">
        <v>1.564486995271964E-4</v>
      </c>
      <c r="AD64" s="83">
        <v>3280616098459796</v>
      </c>
      <c r="AE64" s="83">
        <v>1.3077973015828963E-4</v>
      </c>
    </row>
    <row r="65" spans="2:31" x14ac:dyDescent="0.2">
      <c r="B65" s="83">
        <v>8239930092541766</v>
      </c>
      <c r="C65" s="83">
        <v>3.1893374455774221E-4</v>
      </c>
      <c r="D65" s="83">
        <v>8116654385926647</v>
      </c>
      <c r="E65" s="83">
        <v>3.1858403848537083E-4</v>
      </c>
      <c r="F65" s="83">
        <v>8039104806725405</v>
      </c>
      <c r="G65" s="83">
        <v>3.1007574527693775E-4</v>
      </c>
      <c r="H65" s="83">
        <v>7666218995863965</v>
      </c>
      <c r="I65" s="83">
        <v>3.0011109927058236E-4</v>
      </c>
      <c r="J65" s="83">
        <v>7228289149653678</v>
      </c>
      <c r="K65" s="83">
        <v>2.8342650948061008E-4</v>
      </c>
      <c r="L65" s="83">
        <v>6898797957919162</v>
      </c>
      <c r="M65" s="83">
        <v>2.7089810481510548E-4</v>
      </c>
      <c r="N65" s="83">
        <v>6496338349434552</v>
      </c>
      <c r="O65" s="83">
        <v>2.5798846769144927E-4</v>
      </c>
      <c r="P65" s="83">
        <v>6102059635056763</v>
      </c>
      <c r="Q65" s="83">
        <v>2.4420556777982619E-4</v>
      </c>
      <c r="R65" s="83">
        <v>5877644660223942</v>
      </c>
      <c r="S65" s="83">
        <v>2.3159895703455004E-4</v>
      </c>
      <c r="T65" s="83">
        <v>5384064558703370</v>
      </c>
      <c r="U65" s="83">
        <v>2.1692649643386894E-4</v>
      </c>
      <c r="V65" s="83">
        <v>4964007604764520</v>
      </c>
      <c r="W65" s="83">
        <v>1.9761897924311096E-4</v>
      </c>
      <c r="X65" s="83">
        <v>4633184605360370</v>
      </c>
      <c r="Y65" s="83">
        <v>1.838320343718858E-4</v>
      </c>
      <c r="Z65" s="83">
        <v>4095644720732873</v>
      </c>
      <c r="AA65" s="83">
        <v>1.6824878736536946E-4</v>
      </c>
      <c r="AB65" s="83">
        <v>3745064928345583</v>
      </c>
      <c r="AC65" s="83">
        <v>1.539767307207079E-4</v>
      </c>
      <c r="AD65" s="83">
        <v>3056235735884297.5</v>
      </c>
      <c r="AE65" s="83">
        <v>1.2814845454984191E-4</v>
      </c>
    </row>
    <row r="66" spans="2:31" x14ac:dyDescent="0.2">
      <c r="B66" s="83">
        <v>7871949458786095</v>
      </c>
      <c r="C66" s="83">
        <v>3.1957565697020583E-4</v>
      </c>
      <c r="D66" s="83">
        <v>7747911500596056</v>
      </c>
      <c r="E66" s="83">
        <v>3.1876356176305498E-4</v>
      </c>
      <c r="F66" s="83">
        <v>7667095346128436</v>
      </c>
      <c r="G66" s="83">
        <v>3.0979093688341259E-4</v>
      </c>
      <c r="H66" s="83">
        <v>7305513386281426</v>
      </c>
      <c r="I66" s="83">
        <v>2.9961485889852801E-4</v>
      </c>
      <c r="J66" s="83">
        <v>6878779068182275</v>
      </c>
      <c r="K66" s="83">
        <v>2.825663785842083E-4</v>
      </c>
      <c r="L66" s="83">
        <v>6555183748190976</v>
      </c>
      <c r="M66" s="83">
        <v>2.6960762032906296E-4</v>
      </c>
      <c r="N66" s="83">
        <v>6163472527067155</v>
      </c>
      <c r="O66" s="83">
        <v>2.5659524831868254E-4</v>
      </c>
      <c r="P66" s="83">
        <v>5782363474276812</v>
      </c>
      <c r="Q66" s="83">
        <v>2.4261160038649253E-4</v>
      </c>
      <c r="R66" s="83">
        <v>5560375705256027</v>
      </c>
      <c r="S66" s="83">
        <v>2.2968854888238667E-4</v>
      </c>
      <c r="T66" s="83">
        <v>5084423039372229</v>
      </c>
      <c r="U66" s="83">
        <v>2.1491602140387458E-4</v>
      </c>
      <c r="V66" s="83">
        <v>4677604139167664</v>
      </c>
      <c r="W66" s="83">
        <v>1.9542936437485587E-4</v>
      </c>
      <c r="X66" s="83">
        <v>4358077112359256</v>
      </c>
      <c r="Y66" s="83">
        <v>1.8159327366843424E-4</v>
      </c>
      <c r="Z66" s="83">
        <v>3841943097631979.5</v>
      </c>
      <c r="AA66" s="83">
        <v>1.6572667874755368E-4</v>
      </c>
      <c r="AB66" s="83">
        <v>3505782173305825.5</v>
      </c>
      <c r="AC66" s="83">
        <v>1.5123723592697783E-4</v>
      </c>
      <c r="AD66" s="83">
        <v>2843367280130164</v>
      </c>
      <c r="AE66" s="83">
        <v>1.2534087286258794E-4</v>
      </c>
    </row>
    <row r="67" spans="2:31" x14ac:dyDescent="0.2">
      <c r="B67" s="83">
        <v>7508473878789773</v>
      </c>
      <c r="C67" s="83">
        <v>3.1903189134348747E-4</v>
      </c>
      <c r="D67" s="83">
        <v>7390235546487130</v>
      </c>
      <c r="E67" s="83">
        <v>3.1841086436845608E-4</v>
      </c>
      <c r="F67" s="83">
        <v>7306736676975406</v>
      </c>
      <c r="G67" s="83">
        <v>3.0940565025932572E-4</v>
      </c>
      <c r="H67" s="83">
        <v>6953788220360705</v>
      </c>
      <c r="I67" s="83">
        <v>2.9856679071654899E-4</v>
      </c>
      <c r="J67" s="83">
        <v>6538600793281317</v>
      </c>
      <c r="K67" s="83">
        <v>2.8152908324293846E-4</v>
      </c>
      <c r="L67" s="83">
        <v>6229907946035368</v>
      </c>
      <c r="M67" s="83">
        <v>2.6839311391008489E-4</v>
      </c>
      <c r="N67" s="83">
        <v>5842347598356892</v>
      </c>
      <c r="O67" s="83">
        <v>2.5467787588732759E-4</v>
      </c>
      <c r="P67" s="83">
        <v>5475486357770645</v>
      </c>
      <c r="Q67" s="83">
        <v>2.4081716462140976E-4</v>
      </c>
      <c r="R67" s="83">
        <v>5260029440205608</v>
      </c>
      <c r="S67" s="83">
        <v>2.2785598066569495E-4</v>
      </c>
      <c r="T67" s="83">
        <v>4801938228643731</v>
      </c>
      <c r="U67" s="83">
        <v>2.1293777377175477E-4</v>
      </c>
      <c r="V67" s="83">
        <v>4404692812594047.5</v>
      </c>
      <c r="W67" s="83">
        <v>1.9313052032771062E-4</v>
      </c>
      <c r="X67" s="83">
        <v>4097686054568385.5</v>
      </c>
      <c r="Y67" s="83">
        <v>1.7929596938103437E-4</v>
      </c>
      <c r="Z67" s="83">
        <v>3603968852948931</v>
      </c>
      <c r="AA67" s="83">
        <v>1.6308384175623512E-4</v>
      </c>
      <c r="AB67" s="83">
        <v>3279842736652691.5</v>
      </c>
      <c r="AC67" s="83">
        <v>1.4847311532069802E-4</v>
      </c>
      <c r="AD67" s="83">
        <v>2645789041127380.5</v>
      </c>
      <c r="AE67" s="83">
        <v>1.224612741488277E-4</v>
      </c>
    </row>
    <row r="68" spans="2:31" x14ac:dyDescent="0.2">
      <c r="B68" s="83">
        <v>7169894814199708</v>
      </c>
      <c r="C68" s="83">
        <v>3.1887955451674577E-4</v>
      </c>
      <c r="D68" s="83">
        <v>7043982708129449</v>
      </c>
      <c r="E68" s="83">
        <v>3.180061352820614E-4</v>
      </c>
      <c r="F68" s="83">
        <v>6962380886261425</v>
      </c>
      <c r="G68" s="83">
        <v>3.0896938495886635E-4</v>
      </c>
      <c r="H68" s="83">
        <v>6620991052407575</v>
      </c>
      <c r="I68" s="83">
        <v>2.9787978199145458E-4</v>
      </c>
      <c r="J68" s="83">
        <v>6213497644042768</v>
      </c>
      <c r="K68" s="83">
        <v>2.8033729858133454E-4</v>
      </c>
      <c r="L68" s="83">
        <v>5909031707762267</v>
      </c>
      <c r="M68" s="83">
        <v>2.6702992571246947E-4</v>
      </c>
      <c r="N68" s="83">
        <v>5536469659420755</v>
      </c>
      <c r="O68" s="83">
        <v>2.5318268936565252E-4</v>
      </c>
      <c r="P68" s="83">
        <v>5182756117246805</v>
      </c>
      <c r="Q68" s="83">
        <v>2.3903200733034024E-4</v>
      </c>
      <c r="R68" s="83">
        <v>4972155425664243</v>
      </c>
      <c r="S68" s="83">
        <v>2.2600323114191917E-4</v>
      </c>
      <c r="T68" s="83">
        <v>4529382032754981</v>
      </c>
      <c r="U68" s="83">
        <v>2.1076211306776538E-4</v>
      </c>
      <c r="V68" s="83">
        <v>4146134912452983.5</v>
      </c>
      <c r="W68" s="83">
        <v>1.9070116045277551E-4</v>
      </c>
      <c r="X68" s="83">
        <v>3848052005446180</v>
      </c>
      <c r="Y68" s="83">
        <v>1.7666119479055038E-4</v>
      </c>
      <c r="Z68" s="83">
        <v>3375413196955873</v>
      </c>
      <c r="AA68" s="83">
        <v>1.6033721396741736E-4</v>
      </c>
      <c r="AB68" s="83">
        <v>3063397760885286.5</v>
      </c>
      <c r="AC68" s="83">
        <v>1.4547465819713648E-4</v>
      </c>
      <c r="AD68" s="83">
        <v>2454907649110743</v>
      </c>
      <c r="AE68" s="83">
        <v>1.1938810099173661E-4</v>
      </c>
    </row>
    <row r="69" spans="2:31" x14ac:dyDescent="0.2">
      <c r="B69" s="83">
        <v>6839401435356519</v>
      </c>
      <c r="C69" s="83">
        <v>3.1872140459464983E-4</v>
      </c>
      <c r="D69" s="83">
        <v>6717565588112114</v>
      </c>
      <c r="E69" s="83">
        <v>3.1736109095915113E-4</v>
      </c>
      <c r="F69" s="83">
        <v>6638966231472660</v>
      </c>
      <c r="G69" s="83">
        <v>3.0859024893508514E-4</v>
      </c>
      <c r="H69" s="83">
        <v>6295907242272027</v>
      </c>
      <c r="I69" s="83">
        <v>2.9695448234497547E-4</v>
      </c>
      <c r="J69" s="83">
        <v>5900406323608598</v>
      </c>
      <c r="K69" s="83">
        <v>2.7900712889829276E-4</v>
      </c>
      <c r="L69" s="83">
        <v>5607392836450895</v>
      </c>
      <c r="M69" s="83">
        <v>2.6551487628704391E-4</v>
      </c>
      <c r="N69" s="83">
        <v>5242227886505359</v>
      </c>
      <c r="O69" s="83">
        <v>2.5149025154993062E-4</v>
      </c>
      <c r="P69" s="83">
        <v>4903659265569532</v>
      </c>
      <c r="Q69" s="83">
        <v>2.3696244822353366E-4</v>
      </c>
      <c r="R69" s="83">
        <v>4698189822116298</v>
      </c>
      <c r="S69" s="83">
        <v>2.2380283252298558E-4</v>
      </c>
      <c r="T69" s="83">
        <v>4272462247156899</v>
      </c>
      <c r="U69" s="83">
        <v>2.0847172984767338E-4</v>
      </c>
      <c r="V69" s="83">
        <v>3900523017209902</v>
      </c>
      <c r="W69" s="83">
        <v>1.8816288629291267E-4</v>
      </c>
      <c r="X69" s="83">
        <v>3617290362741461</v>
      </c>
      <c r="Y69" s="83">
        <v>1.7428196397586187E-4</v>
      </c>
      <c r="Z69" s="83">
        <v>3158229005471878</v>
      </c>
      <c r="AA69" s="83">
        <v>1.574569792967871E-4</v>
      </c>
      <c r="AB69" s="83">
        <v>2857133025429140.5</v>
      </c>
      <c r="AC69" s="83">
        <v>1.4257280412840789E-4</v>
      </c>
      <c r="AD69" s="83">
        <v>2279096217709575</v>
      </c>
      <c r="AE69" s="83">
        <v>1.1634471165608758E-4</v>
      </c>
    </row>
    <row r="70" spans="2:31" x14ac:dyDescent="0.2">
      <c r="B70" s="83">
        <v>6517574134242813</v>
      </c>
      <c r="C70" s="83">
        <v>3.179404774721025E-4</v>
      </c>
      <c r="D70" s="83">
        <v>6396368058154573</v>
      </c>
      <c r="E70" s="83">
        <v>3.1673308320916756E-4</v>
      </c>
      <c r="F70" s="83">
        <v>6317931938807784</v>
      </c>
      <c r="G70" s="83">
        <v>3.0774109767210044E-4</v>
      </c>
      <c r="H70" s="83">
        <v>5987521942915794</v>
      </c>
      <c r="I70" s="83">
        <v>2.9556414737624316E-4</v>
      </c>
      <c r="J70" s="83">
        <v>5603262280406886</v>
      </c>
      <c r="K70" s="83">
        <v>2.7760787055651975E-4</v>
      </c>
      <c r="L70" s="83">
        <v>5320844712509435</v>
      </c>
      <c r="M70" s="83">
        <v>2.6424154621738401E-4</v>
      </c>
      <c r="N70" s="83">
        <v>4969626375051176</v>
      </c>
      <c r="O70" s="83">
        <v>2.4993677045356897E-4</v>
      </c>
      <c r="P70" s="83">
        <v>4636813740706478</v>
      </c>
      <c r="Q70" s="83">
        <v>2.3522184929601075E-4</v>
      </c>
      <c r="R70" s="83">
        <v>4438445183016970.5</v>
      </c>
      <c r="S70" s="83">
        <v>2.2201075694279547E-4</v>
      </c>
      <c r="T70" s="83">
        <v>4024129433008175</v>
      </c>
      <c r="U70" s="83">
        <v>2.0603719762870545E-4</v>
      </c>
      <c r="V70" s="83">
        <v>3662365402365997.5</v>
      </c>
      <c r="W70" s="83">
        <v>1.8545861916683632E-4</v>
      </c>
      <c r="X70" s="83">
        <v>3393517390946978.5</v>
      </c>
      <c r="Y70" s="83">
        <v>1.7150890113682649E-4</v>
      </c>
      <c r="Z70" s="83">
        <v>2953814113459821.5</v>
      </c>
      <c r="AA70" s="83">
        <v>1.5482757198597474E-4</v>
      </c>
      <c r="AB70" s="83">
        <v>2662807287977520.5</v>
      </c>
      <c r="AC70" s="83">
        <v>1.3968473097017396E-4</v>
      </c>
      <c r="AD70" s="83">
        <v>2110183482339978.5</v>
      </c>
      <c r="AE70" s="83">
        <v>1.1329953097079958E-4</v>
      </c>
    </row>
    <row r="71" spans="2:31" x14ac:dyDescent="0.2">
      <c r="B71" s="83">
        <v>6211489223575011</v>
      </c>
      <c r="C71" s="83">
        <v>3.1803177911791242E-4</v>
      </c>
      <c r="D71" s="83">
        <v>6083524071802783</v>
      </c>
      <c r="E71" s="83">
        <v>3.1600237014279599E-4</v>
      </c>
      <c r="F71" s="83">
        <v>6008966750530160</v>
      </c>
      <c r="G71" s="83">
        <v>3.0679827501112515E-4</v>
      </c>
      <c r="H71" s="83">
        <v>5686863136775714</v>
      </c>
      <c r="I71" s="83">
        <v>2.9476599779233888E-4</v>
      </c>
      <c r="J71" s="83">
        <v>5314074028803199</v>
      </c>
      <c r="K71" s="83">
        <v>2.7641264738531351E-4</v>
      </c>
      <c r="L71" s="83">
        <v>5040019798596362</v>
      </c>
      <c r="M71" s="83">
        <v>2.6240748906921995E-4</v>
      </c>
      <c r="N71" s="83">
        <v>4700795116888668</v>
      </c>
      <c r="O71" s="83">
        <v>2.4808680039423235E-4</v>
      </c>
      <c r="P71" s="83">
        <v>4379197399512719.5</v>
      </c>
      <c r="Q71" s="83">
        <v>2.3308019161131846E-4</v>
      </c>
      <c r="R71" s="83">
        <v>4185863071364651.5</v>
      </c>
      <c r="S71" s="83">
        <v>2.1942775028518471E-4</v>
      </c>
      <c r="T71" s="83">
        <v>3785193598637365</v>
      </c>
      <c r="U71" s="83">
        <v>2.0313047769424119E-4</v>
      </c>
      <c r="V71" s="83">
        <v>3440840627928051.5</v>
      </c>
      <c r="W71" s="83">
        <v>1.829444237848426E-4</v>
      </c>
      <c r="X71" s="83">
        <v>3178658351501039.5</v>
      </c>
      <c r="Y71" s="83">
        <v>1.6873192669465567E-4</v>
      </c>
      <c r="Z71" s="83">
        <v>2758800162421949</v>
      </c>
      <c r="AA71" s="83">
        <v>1.5187906620049742E-4</v>
      </c>
      <c r="AB71" s="83">
        <v>2480020524068258</v>
      </c>
      <c r="AC71" s="83">
        <v>1.3694332909990273E-4</v>
      </c>
      <c r="AD71" s="83">
        <v>1951586799628186</v>
      </c>
      <c r="AE71" s="83">
        <v>1.1022568819933569E-4</v>
      </c>
    </row>
    <row r="72" spans="2:31" x14ac:dyDescent="0.2">
      <c r="B72" s="83">
        <v>5916136405276706</v>
      </c>
      <c r="C72" s="83">
        <v>3.1762292601103135E-4</v>
      </c>
      <c r="D72" s="83">
        <v>5786867758621714</v>
      </c>
      <c r="E72" s="83">
        <v>3.1521281337155911E-4</v>
      </c>
      <c r="F72" s="83">
        <v>5716490888755728</v>
      </c>
      <c r="G72" s="83">
        <v>3.0659627508189099E-4</v>
      </c>
      <c r="H72" s="83">
        <v>5401003004616812</v>
      </c>
      <c r="I72" s="83">
        <v>2.9365447528070646E-4</v>
      </c>
      <c r="J72" s="83">
        <v>5038108796210120</v>
      </c>
      <c r="K72" s="83">
        <v>2.7477476481944289E-4</v>
      </c>
      <c r="L72" s="83">
        <v>4771887576523291</v>
      </c>
      <c r="M72" s="83">
        <v>2.6034456749069774E-4</v>
      </c>
      <c r="N72" s="83">
        <v>4443518782581567.5</v>
      </c>
      <c r="O72" s="83">
        <v>2.4572827329546651E-4</v>
      </c>
      <c r="P72" s="83">
        <v>4133174451731079</v>
      </c>
      <c r="Q72" s="83">
        <v>2.3053669087766984E-4</v>
      </c>
      <c r="R72" s="83">
        <v>3944672503856241</v>
      </c>
      <c r="S72" s="83">
        <v>2.1703024194576103E-4</v>
      </c>
      <c r="T72" s="83">
        <v>3560125038416537</v>
      </c>
      <c r="U72" s="83">
        <v>2.0072279779251691E-4</v>
      </c>
      <c r="V72" s="83">
        <v>3227618006897743</v>
      </c>
      <c r="W72" s="83">
        <v>1.802954028576315E-4</v>
      </c>
      <c r="X72" s="83">
        <v>2976322202690862</v>
      </c>
      <c r="Y72" s="83">
        <v>1.6607069666308449E-4</v>
      </c>
      <c r="Z72" s="83">
        <v>2576523402053155</v>
      </c>
      <c r="AA72" s="83">
        <v>1.4900666765503253E-4</v>
      </c>
      <c r="AB72" s="83">
        <v>2307443571658370.5</v>
      </c>
      <c r="AC72" s="83">
        <v>1.3369721422780716E-4</v>
      </c>
      <c r="AD72" s="83">
        <v>1804948813713532</v>
      </c>
      <c r="AE72" s="83">
        <v>1.0712376604185369E-4</v>
      </c>
    </row>
    <row r="73" spans="2:31" x14ac:dyDescent="0.2">
      <c r="B73" s="83">
        <v>5631523908769365</v>
      </c>
      <c r="C73" s="83">
        <v>3.1655513516682423E-4</v>
      </c>
      <c r="D73" s="83">
        <v>5502482391499253</v>
      </c>
      <c r="E73" s="83">
        <v>3.1437526200353826E-4</v>
      </c>
      <c r="F73" s="83">
        <v>5442747628052952</v>
      </c>
      <c r="G73" s="83">
        <v>3.056786706974361E-4</v>
      </c>
      <c r="H73" s="83">
        <v>5130270825138542</v>
      </c>
      <c r="I73" s="83">
        <v>2.9233116701401471E-4</v>
      </c>
      <c r="J73" s="83">
        <v>4776191078686284</v>
      </c>
      <c r="K73" s="83">
        <v>2.7310651177837327E-4</v>
      </c>
      <c r="L73" s="83">
        <v>4512337396981311</v>
      </c>
      <c r="M73" s="83">
        <v>2.5840844123095142E-4</v>
      </c>
      <c r="N73" s="83">
        <v>4196971274592455</v>
      </c>
      <c r="O73" s="83">
        <v>2.4342643739018718E-4</v>
      </c>
      <c r="P73" s="83">
        <v>3901586121380674</v>
      </c>
      <c r="Q73" s="83">
        <v>2.2836705677738552E-4</v>
      </c>
      <c r="R73" s="83">
        <v>3717496881200939.5</v>
      </c>
      <c r="S73" s="83">
        <v>2.1455280434807704E-4</v>
      </c>
      <c r="T73" s="83">
        <v>3342752656815598</v>
      </c>
      <c r="U73" s="83">
        <v>1.9801896056198401E-4</v>
      </c>
      <c r="V73" s="83">
        <v>3025819818674484.5</v>
      </c>
      <c r="W73" s="83">
        <v>1.7764868892942702E-4</v>
      </c>
      <c r="X73" s="83">
        <v>2783231664050590</v>
      </c>
      <c r="Y73" s="83">
        <v>1.6308160138149384E-4</v>
      </c>
      <c r="Z73" s="83">
        <v>2403276213253540.5</v>
      </c>
      <c r="AA73" s="83">
        <v>1.4581895289427632E-4</v>
      </c>
      <c r="AB73" s="83">
        <v>2145286199338391</v>
      </c>
      <c r="AC73" s="83">
        <v>1.3058741777075789E-4</v>
      </c>
      <c r="AD73" s="83">
        <v>1668499854874733.7</v>
      </c>
      <c r="AE73" s="83">
        <v>1.0407155899405569E-4</v>
      </c>
    </row>
    <row r="74" spans="2:31" x14ac:dyDescent="0.2">
      <c r="B74" s="83">
        <v>5356854618802720</v>
      </c>
      <c r="C74" s="83">
        <v>3.1583589453313722E-4</v>
      </c>
      <c r="D74" s="83">
        <v>5234135463258736</v>
      </c>
      <c r="E74" s="83">
        <v>3.1375970706178335E-4</v>
      </c>
      <c r="F74" s="83">
        <v>5169282780298643</v>
      </c>
      <c r="G74" s="83">
        <v>3.0402282709192862E-4</v>
      </c>
      <c r="H74" s="83">
        <v>4869637094843592</v>
      </c>
      <c r="I74" s="83">
        <v>2.9085557219946849E-4</v>
      </c>
      <c r="J74" s="83">
        <v>4521589082216941</v>
      </c>
      <c r="K74" s="83">
        <v>2.7100049269386826E-4</v>
      </c>
      <c r="L74" s="83">
        <v>4275391565368183</v>
      </c>
      <c r="M74" s="83">
        <v>2.5700664649089375E-4</v>
      </c>
      <c r="N74" s="83">
        <v>3962176159533566</v>
      </c>
      <c r="O74" s="83">
        <v>2.4118796917020006E-4</v>
      </c>
      <c r="P74" s="83">
        <v>3674196927408863</v>
      </c>
      <c r="Q74" s="83">
        <v>2.2586719203297891E-4</v>
      </c>
      <c r="R74" s="83">
        <v>3500825986566889.5</v>
      </c>
      <c r="S74" s="83">
        <v>2.1189051139531046E-4</v>
      </c>
      <c r="T74" s="83">
        <v>3143873200536049</v>
      </c>
      <c r="U74" s="83">
        <v>1.9540586861802744E-4</v>
      </c>
      <c r="V74" s="83">
        <v>2836068501112710</v>
      </c>
      <c r="W74" s="83">
        <v>1.7467205222061998E-4</v>
      </c>
      <c r="X74" s="83">
        <v>2606158625645000</v>
      </c>
      <c r="Y74" s="83">
        <v>1.602353811462705E-4</v>
      </c>
      <c r="Z74" s="83">
        <v>2236999134917229.2</v>
      </c>
      <c r="AA74" s="83">
        <v>1.4260034514937839E-4</v>
      </c>
      <c r="AB74" s="83">
        <v>1993008141068232.7</v>
      </c>
      <c r="AC74" s="83">
        <v>1.275026147819194E-4</v>
      </c>
      <c r="AD74" s="83">
        <v>1538775386370625.2</v>
      </c>
      <c r="AE74" s="83">
        <v>1.0081859359492499E-4</v>
      </c>
    </row>
    <row r="75" spans="2:31" x14ac:dyDescent="0.2">
      <c r="B75" s="83">
        <v>5093099805469775</v>
      </c>
      <c r="C75" s="83">
        <v>3.1471314739760469E-4</v>
      </c>
      <c r="D75" s="83">
        <v>4967977945726283</v>
      </c>
      <c r="E75" s="83">
        <v>3.1190506434726272E-4</v>
      </c>
      <c r="F75" s="83">
        <v>4908222512057390</v>
      </c>
      <c r="G75" s="83">
        <v>3.0182068783555041E-4</v>
      </c>
      <c r="H75" s="83">
        <v>4620103569562295</v>
      </c>
      <c r="I75" s="83">
        <v>2.8891775892049613E-4</v>
      </c>
      <c r="J75" s="83">
        <v>4276722237856835.5</v>
      </c>
      <c r="K75" s="83">
        <v>2.6891718709850404E-4</v>
      </c>
      <c r="L75" s="83">
        <v>4041626253870791.5</v>
      </c>
      <c r="M75" s="83">
        <v>2.5476579681210323E-4</v>
      </c>
      <c r="N75" s="83">
        <v>3740650636584304</v>
      </c>
      <c r="O75" s="83">
        <v>2.388354065852543E-4</v>
      </c>
      <c r="P75" s="83">
        <v>3465236591868631</v>
      </c>
      <c r="Q75" s="83">
        <v>2.2346555047268957E-4</v>
      </c>
      <c r="R75" s="83">
        <v>3293497171695404.5</v>
      </c>
      <c r="S75" s="83">
        <v>2.0925957659371629E-4</v>
      </c>
      <c r="T75" s="83">
        <v>2952613338710662.5</v>
      </c>
      <c r="U75" s="83">
        <v>1.9259541027771357E-4</v>
      </c>
      <c r="V75" s="83">
        <v>2657651242962364.5</v>
      </c>
      <c r="W75" s="83">
        <v>1.71646696443613E-4</v>
      </c>
      <c r="X75" s="83">
        <v>2433635405228443</v>
      </c>
      <c r="Y75" s="83">
        <v>1.5720430331742319E-4</v>
      </c>
      <c r="Z75" s="83">
        <v>2084435395374959.5</v>
      </c>
      <c r="AA75" s="83">
        <v>1.3953349665257045E-4</v>
      </c>
      <c r="AB75" s="83">
        <v>1844955360118915</v>
      </c>
      <c r="AC75" s="83">
        <v>1.2398706570121521E-4</v>
      </c>
      <c r="AD75" s="83">
        <v>1417831418274960.7</v>
      </c>
      <c r="AE75" s="83">
        <v>9.7508667419684869E-5</v>
      </c>
    </row>
    <row r="76" spans="2:31" x14ac:dyDescent="0.2">
      <c r="B76" s="83">
        <v>4844557718463771</v>
      </c>
      <c r="C76" s="83">
        <v>3.1384312698362778E-4</v>
      </c>
      <c r="D76" s="83">
        <v>4720014260541385</v>
      </c>
      <c r="E76" s="83">
        <v>3.1093648966488844E-4</v>
      </c>
      <c r="F76" s="83">
        <v>4656062891516035</v>
      </c>
      <c r="G76" s="83">
        <v>3.001976581273974E-4</v>
      </c>
      <c r="H76" s="83">
        <v>4372139812092529</v>
      </c>
      <c r="I76" s="83">
        <v>2.8637639586212295E-4</v>
      </c>
      <c r="J76" s="83">
        <v>4045965538012931.5</v>
      </c>
      <c r="K76" s="83">
        <v>2.6713190151012067E-4</v>
      </c>
      <c r="L76" s="83">
        <v>3819354091129476</v>
      </c>
      <c r="M76" s="83">
        <v>2.5206199887032368E-4</v>
      </c>
      <c r="N76" s="83">
        <v>3527642568617999.5</v>
      </c>
      <c r="O76" s="83">
        <v>2.3619854499243201E-4</v>
      </c>
      <c r="P76" s="83">
        <v>3262125346738048</v>
      </c>
      <c r="Q76" s="83">
        <v>2.2060423781687834E-4</v>
      </c>
      <c r="R76" s="83">
        <v>3097945141607148.5</v>
      </c>
      <c r="S76" s="83">
        <v>2.0652801193531684E-4</v>
      </c>
      <c r="T76" s="83">
        <v>2772160331771692</v>
      </c>
      <c r="U76" s="83">
        <v>1.8978558429055169E-4</v>
      </c>
      <c r="V76" s="83">
        <v>2485848574666250</v>
      </c>
      <c r="W76" s="83">
        <v>1.6853636375491977E-4</v>
      </c>
      <c r="X76" s="83">
        <v>2273568233411664.5</v>
      </c>
      <c r="Y76" s="83">
        <v>1.5396016910898322E-4</v>
      </c>
      <c r="Z76" s="83">
        <v>1938084460826298</v>
      </c>
      <c r="AA76" s="83">
        <v>1.3639166336913391E-4</v>
      </c>
      <c r="AB76" s="83">
        <v>1710701313684866.5</v>
      </c>
      <c r="AC76" s="83">
        <v>1.2085970778868509E-4</v>
      </c>
      <c r="AD76" s="83">
        <v>1303623589639482.2</v>
      </c>
      <c r="AE76" s="83">
        <v>9.435922606384288E-5</v>
      </c>
    </row>
    <row r="77" spans="2:31" x14ac:dyDescent="0.2">
      <c r="B77" s="83">
        <v>4605845748993385</v>
      </c>
      <c r="C77" s="83">
        <v>3.1301276775178288E-4</v>
      </c>
      <c r="D77" s="83">
        <v>4480769814131024</v>
      </c>
      <c r="E77" s="83">
        <v>3.0967244462376314E-4</v>
      </c>
      <c r="F77" s="83">
        <v>4414235229384051</v>
      </c>
      <c r="G77" s="83">
        <v>2.9879995454269861E-4</v>
      </c>
      <c r="H77" s="83">
        <v>4142095294954930.5</v>
      </c>
      <c r="I77" s="83">
        <v>2.8467439986802731E-4</v>
      </c>
      <c r="J77" s="83">
        <v>3826377169696951</v>
      </c>
      <c r="K77" s="83">
        <v>2.6496297133540148E-4</v>
      </c>
      <c r="L77" s="83">
        <v>3603988836967995.5</v>
      </c>
      <c r="M77" s="83">
        <v>2.4965803105920532E-4</v>
      </c>
      <c r="N77" s="83">
        <v>3326325954311367.5</v>
      </c>
      <c r="O77" s="83">
        <v>2.338186887536229E-4</v>
      </c>
      <c r="P77" s="83">
        <v>3068311582831771.5</v>
      </c>
      <c r="Q77" s="83">
        <v>2.177126294409558E-4</v>
      </c>
      <c r="R77" s="83">
        <v>2910655412703400</v>
      </c>
      <c r="S77" s="83">
        <v>2.0345966551850371E-4</v>
      </c>
      <c r="T77" s="83">
        <v>2594500014735998</v>
      </c>
      <c r="U77" s="83">
        <v>1.8611931355052305E-4</v>
      </c>
      <c r="V77" s="83">
        <v>2318399863881456.5</v>
      </c>
      <c r="W77" s="83">
        <v>1.6522125625346773E-4</v>
      </c>
      <c r="X77" s="83">
        <v>2120518775953084.2</v>
      </c>
      <c r="Y77" s="83">
        <v>1.5095397814119389E-4</v>
      </c>
      <c r="Z77" s="83">
        <v>1802043553632294.7</v>
      </c>
      <c r="AA77" s="83">
        <v>1.3319339071761149E-4</v>
      </c>
      <c r="AB77" s="83">
        <v>1583213477752986.2</v>
      </c>
      <c r="AC77" s="83">
        <v>1.1749095534498594E-4</v>
      </c>
      <c r="AD77" s="83">
        <v>1200389928685442</v>
      </c>
      <c r="AE77" s="83">
        <v>9.136248223849108E-5</v>
      </c>
    </row>
    <row r="78" spans="2:31" x14ac:dyDescent="0.2">
      <c r="B78" s="83">
        <v>4368155250472558.5</v>
      </c>
      <c r="C78" s="83">
        <v>3.1071903733477562E-4</v>
      </c>
      <c r="D78" s="83">
        <v>4253142756345621.5</v>
      </c>
      <c r="E78" s="83">
        <v>3.0694920497024877E-4</v>
      </c>
      <c r="F78" s="83">
        <v>4184694776561617</v>
      </c>
      <c r="G78" s="83">
        <v>2.9747022370116375E-4</v>
      </c>
      <c r="H78" s="83">
        <v>3918185405416105.5</v>
      </c>
      <c r="I78" s="83">
        <v>2.8224847628446914E-4</v>
      </c>
      <c r="J78" s="83">
        <v>3616570092891697</v>
      </c>
      <c r="K78" s="83">
        <v>2.6229065524187366E-4</v>
      </c>
      <c r="L78" s="83">
        <v>3401643471428075.5</v>
      </c>
      <c r="M78" s="83">
        <v>2.4698969761118982E-4</v>
      </c>
      <c r="N78" s="83">
        <v>3129757579138753.5</v>
      </c>
      <c r="O78" s="83">
        <v>2.3075962924151789E-4</v>
      </c>
      <c r="P78" s="83">
        <v>2886545423279900.5</v>
      </c>
      <c r="Q78" s="83">
        <v>2.1521943558488126E-4</v>
      </c>
      <c r="R78" s="83">
        <v>2733161567517276.5</v>
      </c>
      <c r="S78" s="83">
        <v>2.0057521085142899E-4</v>
      </c>
      <c r="T78" s="83">
        <v>2431350570626990</v>
      </c>
      <c r="U78" s="83">
        <v>1.833789488145255E-4</v>
      </c>
      <c r="V78" s="83">
        <v>2164799326465957</v>
      </c>
      <c r="W78" s="83">
        <v>1.6207129625803797E-4</v>
      </c>
      <c r="X78" s="83">
        <v>1975288667868800.3</v>
      </c>
      <c r="Y78" s="83">
        <v>1.4755628164114156E-4</v>
      </c>
      <c r="Z78" s="83">
        <v>1672600501864045.5</v>
      </c>
      <c r="AA78" s="83">
        <v>1.2981669494521709E-4</v>
      </c>
      <c r="AB78" s="83">
        <v>1460304704264606.2</v>
      </c>
      <c r="AC78" s="83">
        <v>1.1400807755044417E-4</v>
      </c>
      <c r="AD78" s="83">
        <v>1102233216331581.5</v>
      </c>
      <c r="AE78" s="83">
        <v>8.8411789630937098E-5</v>
      </c>
    </row>
    <row r="79" spans="2:31" x14ac:dyDescent="0.2">
      <c r="B79" s="83">
        <v>4149733526173941.5</v>
      </c>
      <c r="C79" s="83">
        <v>3.0952881569221835E-4</v>
      </c>
      <c r="D79" s="83">
        <v>4027829537943476.5</v>
      </c>
      <c r="E79" s="83">
        <v>3.0495079894833329E-4</v>
      </c>
      <c r="F79" s="83">
        <v>3971387238404865</v>
      </c>
      <c r="G79" s="83">
        <v>2.9606735014579643E-4</v>
      </c>
      <c r="H79" s="83">
        <v>3711931352788885.5</v>
      </c>
      <c r="I79" s="83">
        <v>2.8050685450314313E-4</v>
      </c>
      <c r="J79" s="83">
        <v>3417090866109398.5</v>
      </c>
      <c r="K79" s="83">
        <v>2.6023273959920409E-4</v>
      </c>
      <c r="L79" s="83">
        <v>3208899195657342.5</v>
      </c>
      <c r="M79" s="83">
        <v>2.4455053264947065E-4</v>
      </c>
      <c r="N79" s="83">
        <v>2945969361950936.5</v>
      </c>
      <c r="O79" s="83">
        <v>2.2824671272891314E-4</v>
      </c>
      <c r="P79" s="83">
        <v>2710286969848841</v>
      </c>
      <c r="Q79" s="83">
        <v>2.1208325699882609E-4</v>
      </c>
      <c r="R79" s="83">
        <v>2560816231697153</v>
      </c>
      <c r="S79" s="83">
        <v>1.9729970254794859E-4</v>
      </c>
      <c r="T79" s="83">
        <v>2271417919759552.5</v>
      </c>
      <c r="U79" s="83">
        <v>1.7998165250157858E-4</v>
      </c>
      <c r="V79" s="83">
        <v>2021290988903837.7</v>
      </c>
      <c r="W79" s="83">
        <v>1.5912313994479496E-4</v>
      </c>
      <c r="X79" s="83">
        <v>1838188647706040.3</v>
      </c>
      <c r="Y79" s="83">
        <v>1.4443478676285406E-4</v>
      </c>
      <c r="Z79" s="83">
        <v>1548526196302439</v>
      </c>
      <c r="AA79" s="83">
        <v>1.2626997303312007E-4</v>
      </c>
      <c r="AB79" s="83">
        <v>1349242857239406.5</v>
      </c>
      <c r="AC79" s="83">
        <v>1.1073422407390784E-4</v>
      </c>
      <c r="AD79" s="83">
        <v>1013544112994347.6</v>
      </c>
      <c r="AE79" s="83">
        <v>8.5382785132386327E-5</v>
      </c>
    </row>
    <row r="80" spans="2:31" x14ac:dyDescent="0.2">
      <c r="B80" s="83">
        <v>3929237944458306.5</v>
      </c>
      <c r="C80" s="83">
        <v>3.0702555766074874E-4</v>
      </c>
      <c r="D80" s="83">
        <v>3810849766694940</v>
      </c>
      <c r="E80" s="83">
        <v>3.0302513629308522E-4</v>
      </c>
      <c r="F80" s="83">
        <v>3757758440806415.5</v>
      </c>
      <c r="G80" s="83">
        <v>2.9406115093598016E-4</v>
      </c>
      <c r="H80" s="83">
        <v>3503588336443414</v>
      </c>
      <c r="I80" s="83">
        <v>2.777172432757907E-4</v>
      </c>
      <c r="J80" s="83">
        <v>3220056952015256</v>
      </c>
      <c r="K80" s="83">
        <v>2.5742970386898582E-4</v>
      </c>
      <c r="L80" s="83">
        <v>3018962786453610</v>
      </c>
      <c r="M80" s="83">
        <v>2.4172421850996619E-4</v>
      </c>
      <c r="N80" s="83">
        <v>2771664949872070</v>
      </c>
      <c r="O80" s="83">
        <v>2.2556826780678767E-4</v>
      </c>
      <c r="P80" s="83">
        <v>2544467132925370.5</v>
      </c>
      <c r="Q80" s="83">
        <v>2.0925288547223177E-4</v>
      </c>
      <c r="R80" s="83">
        <v>2402412395170722</v>
      </c>
      <c r="S80" s="83">
        <v>1.9448835650360115E-4</v>
      </c>
      <c r="T80" s="83">
        <v>2126620156413497</v>
      </c>
      <c r="U80" s="83">
        <v>1.77168345542847E-4</v>
      </c>
      <c r="V80" s="83">
        <v>1887381352896081</v>
      </c>
      <c r="W80" s="83">
        <v>1.5590735016163916E-4</v>
      </c>
      <c r="X80" s="83">
        <v>1710987583085653.5</v>
      </c>
      <c r="Y80" s="83">
        <v>1.4125738901254946E-4</v>
      </c>
      <c r="Z80" s="83">
        <v>1432339491626313.2</v>
      </c>
      <c r="AA80" s="83">
        <v>1.2296142980015173E-4</v>
      </c>
      <c r="AB80" s="83">
        <v>1245005300740346.5</v>
      </c>
      <c r="AC80" s="83">
        <v>1.0770774044106746E-4</v>
      </c>
      <c r="AD80" s="83">
        <v>927121933789796.75</v>
      </c>
      <c r="AE80" s="83">
        <v>8.2300410873662928E-5</v>
      </c>
    </row>
    <row r="81" spans="2:31" x14ac:dyDescent="0.2">
      <c r="B81" s="83">
        <v>3720086497121193.5</v>
      </c>
      <c r="C81" s="83">
        <v>3.0530216617921402E-4</v>
      </c>
      <c r="D81" s="83">
        <v>3611582858872284.5</v>
      </c>
      <c r="E81" s="83">
        <v>3.0128319344421297E-4</v>
      </c>
      <c r="F81" s="83">
        <v>3558060759682797.5</v>
      </c>
      <c r="G81" s="83">
        <v>2.9170992040152954E-4</v>
      </c>
      <c r="H81" s="83">
        <v>3305402706910536.5</v>
      </c>
      <c r="I81" s="83">
        <v>2.7561431296594004E-4</v>
      </c>
      <c r="J81" s="83">
        <v>3040621949995174.5</v>
      </c>
      <c r="K81" s="83">
        <v>2.552761444633538E-4</v>
      </c>
      <c r="L81" s="83">
        <v>2845611067394367.5</v>
      </c>
      <c r="M81" s="83">
        <v>2.3907470072674869E-4</v>
      </c>
      <c r="N81" s="83">
        <v>2602256641771103</v>
      </c>
      <c r="O81" s="83">
        <v>2.2228222224400182E-4</v>
      </c>
      <c r="P81" s="83">
        <v>2384177395150361</v>
      </c>
      <c r="Q81" s="83">
        <v>2.057568211574489E-4</v>
      </c>
      <c r="R81" s="83">
        <v>2248559890346140.7</v>
      </c>
      <c r="S81" s="83">
        <v>1.9154604537024848E-4</v>
      </c>
      <c r="T81" s="83">
        <v>1986017835012935.2</v>
      </c>
      <c r="U81" s="83">
        <v>1.7383392516613571E-4</v>
      </c>
      <c r="V81" s="83">
        <v>1757412532248602</v>
      </c>
      <c r="W81" s="83">
        <v>1.5276288981323232E-4</v>
      </c>
      <c r="X81" s="83">
        <v>1588142575290642.5</v>
      </c>
      <c r="Y81" s="83">
        <v>1.3803592970268498E-4</v>
      </c>
      <c r="Z81" s="83">
        <v>1327487035563067.7</v>
      </c>
      <c r="AA81" s="83">
        <v>1.2009418401670585E-4</v>
      </c>
      <c r="AB81" s="83">
        <v>1149719049380960.2</v>
      </c>
      <c r="AC81" s="83">
        <v>1.0467388021474334E-4</v>
      </c>
      <c r="AD81" s="83">
        <v>847590918195712.37</v>
      </c>
      <c r="AE81" s="83">
        <v>7.9198310307788413E-5</v>
      </c>
    </row>
    <row r="82" spans="2:31" x14ac:dyDescent="0.2">
      <c r="B82" s="83">
        <v>3525151566302291</v>
      </c>
      <c r="C82" s="83">
        <v>3.0435881156845948E-4</v>
      </c>
      <c r="D82" s="83">
        <v>3417937415472039</v>
      </c>
      <c r="E82" s="83">
        <v>2.9967642561324671E-4</v>
      </c>
      <c r="F82" s="83">
        <v>3365508448341793.5</v>
      </c>
      <c r="G82" s="83">
        <v>2.8943904072092777E-4</v>
      </c>
      <c r="H82" s="83">
        <v>3120891510342993</v>
      </c>
      <c r="I82" s="83">
        <v>2.7369834108568862E-4</v>
      </c>
      <c r="J82" s="83">
        <v>2864494683193615.5</v>
      </c>
      <c r="K82" s="83">
        <v>2.5209744903330707E-4</v>
      </c>
      <c r="L82" s="83">
        <v>2674066027359355</v>
      </c>
      <c r="M82" s="83">
        <v>2.3629391548746659E-4</v>
      </c>
      <c r="N82" s="83">
        <v>2443030497109340.5</v>
      </c>
      <c r="O82" s="83">
        <v>2.1900976496872342E-4</v>
      </c>
      <c r="P82" s="83">
        <v>2235564287908314</v>
      </c>
      <c r="Q82" s="83">
        <v>2.0277179308988584E-4</v>
      </c>
      <c r="R82" s="83">
        <v>2102704228216705</v>
      </c>
      <c r="S82" s="83">
        <v>1.88483364220074E-4</v>
      </c>
      <c r="T82" s="83">
        <v>1852200410509732</v>
      </c>
      <c r="U82" s="83">
        <v>1.7062251423756683E-4</v>
      </c>
      <c r="V82" s="83">
        <v>1632623914870869.5</v>
      </c>
      <c r="W82" s="83">
        <v>1.4906269759328982E-4</v>
      </c>
      <c r="X82" s="83">
        <v>1472258563887601.5</v>
      </c>
      <c r="Y82" s="83">
        <v>1.345078175426079E-4</v>
      </c>
      <c r="Z82" s="83">
        <v>1225655617535742.7</v>
      </c>
      <c r="AA82" s="83">
        <v>1.1689162656315068E-4</v>
      </c>
      <c r="AB82" s="83">
        <v>1062972592835206.5</v>
      </c>
      <c r="AC82" s="83">
        <v>1.0166246926504881E-4</v>
      </c>
      <c r="AD82" s="83">
        <v>776610257422666.37</v>
      </c>
      <c r="AE82" s="83">
        <v>7.6368504370029423E-5</v>
      </c>
    </row>
    <row r="83" spans="2:31" x14ac:dyDescent="0.2">
      <c r="B83" s="83">
        <v>3336344608993356.5</v>
      </c>
      <c r="C83" s="83">
        <v>3.0261108630261435E-4</v>
      </c>
      <c r="D83" s="83">
        <v>3230627750807664.5</v>
      </c>
      <c r="E83" s="83">
        <v>2.9684355870255002E-4</v>
      </c>
      <c r="F83" s="83">
        <v>3177711319868714.5</v>
      </c>
      <c r="G83" s="83">
        <v>2.864049720615907E-4</v>
      </c>
      <c r="H83" s="83">
        <v>2952807008503357</v>
      </c>
      <c r="I83" s="83">
        <v>2.7138907360745815E-4</v>
      </c>
      <c r="J83" s="83">
        <v>2695024636774610.5</v>
      </c>
      <c r="K83" s="83">
        <v>2.4835027748371276E-4</v>
      </c>
      <c r="L83" s="83">
        <v>2516555391124980</v>
      </c>
      <c r="M83" s="83">
        <v>2.3345248369742582E-4</v>
      </c>
      <c r="N83" s="83">
        <v>2290693544753859</v>
      </c>
      <c r="O83" s="83">
        <v>2.1585117308315228E-4</v>
      </c>
      <c r="P83" s="83">
        <v>2093785637320644.2</v>
      </c>
      <c r="Q83" s="83">
        <v>1.9932371342769109E-4</v>
      </c>
      <c r="R83" s="83">
        <v>1968349720488781.5</v>
      </c>
      <c r="S83" s="83">
        <v>1.8489109442107192E-4</v>
      </c>
      <c r="T83" s="83">
        <v>1728308195336418</v>
      </c>
      <c r="U83" s="83">
        <v>1.6731878130238958E-4</v>
      </c>
      <c r="V83" s="83">
        <v>1519001867425281</v>
      </c>
      <c r="W83" s="83">
        <v>1.4625437827717709E-4</v>
      </c>
      <c r="X83" s="83">
        <v>1367968850688522</v>
      </c>
      <c r="Y83" s="83">
        <v>1.3166526237095278E-4</v>
      </c>
      <c r="Z83" s="83">
        <v>1133305201461116.5</v>
      </c>
      <c r="AA83" s="83">
        <v>1.1345787305088084E-4</v>
      </c>
      <c r="AB83" s="83">
        <v>975276214829085.87</v>
      </c>
      <c r="AC83" s="83">
        <v>9.8074245899787494E-5</v>
      </c>
      <c r="AD83" s="83">
        <v>707734020441370.12</v>
      </c>
      <c r="AE83" s="83">
        <v>7.3183665170867016E-5</v>
      </c>
    </row>
    <row r="84" spans="2:31" x14ac:dyDescent="0.2">
      <c r="B84" s="83">
        <v>3163907386904686</v>
      </c>
      <c r="C84" s="83">
        <v>3.0058945624600168E-4</v>
      </c>
      <c r="D84" s="83">
        <v>3053557089215504</v>
      </c>
      <c r="E84" s="83">
        <v>2.9459102806374488E-4</v>
      </c>
      <c r="F84" s="83">
        <v>2997886408571772.5</v>
      </c>
      <c r="G84" s="83">
        <v>2.8389628819011398E-4</v>
      </c>
      <c r="H84" s="83">
        <v>2780232754409437</v>
      </c>
      <c r="I84" s="83">
        <v>2.6840405532047886E-4</v>
      </c>
      <c r="J84" s="83">
        <v>2534182954390549.5</v>
      </c>
      <c r="K84" s="83">
        <v>2.4557358122990884E-4</v>
      </c>
      <c r="L84" s="83">
        <v>2365832115869962</v>
      </c>
      <c r="M84" s="83">
        <v>2.3029038901174314E-4</v>
      </c>
      <c r="N84" s="83">
        <v>2144664276417350.7</v>
      </c>
      <c r="O84" s="83">
        <v>2.1191841183168723E-4</v>
      </c>
      <c r="P84" s="83">
        <v>1956750331244574.7</v>
      </c>
      <c r="Q84" s="83">
        <v>1.9573672038544995E-4</v>
      </c>
      <c r="R84" s="83">
        <v>1840490862648614.5</v>
      </c>
      <c r="S84" s="83">
        <v>1.8169691645368821E-4</v>
      </c>
      <c r="T84" s="83">
        <v>1610474065443703.5</v>
      </c>
      <c r="U84" s="83">
        <v>1.6423120064666381E-4</v>
      </c>
      <c r="V84" s="83">
        <v>1411133376954010</v>
      </c>
      <c r="W84" s="83">
        <v>1.427414853060792E-4</v>
      </c>
      <c r="X84" s="83">
        <v>1270187945107089.5</v>
      </c>
      <c r="Y84" s="83">
        <v>1.2829760570111725E-4</v>
      </c>
      <c r="Z84" s="83">
        <v>1051107511093650.1</v>
      </c>
      <c r="AA84" s="83">
        <v>1.1077962703491647E-4</v>
      </c>
      <c r="AB84" s="83">
        <v>893510140343994.5</v>
      </c>
      <c r="AC84" s="83">
        <v>9.4684128312090001E-5</v>
      </c>
      <c r="AD84" s="83">
        <v>644733768040229.75</v>
      </c>
      <c r="AE84" s="83">
        <v>7.0168448687885955E-5</v>
      </c>
    </row>
    <row r="85" spans="2:31" x14ac:dyDescent="0.2">
      <c r="B85" s="83">
        <v>2982784001278308</v>
      </c>
      <c r="C85" s="83">
        <v>2.9722701226940983E-4</v>
      </c>
      <c r="D85" s="83">
        <v>2879457859716212</v>
      </c>
      <c r="E85" s="83">
        <v>2.9163826540231079E-4</v>
      </c>
      <c r="F85" s="83">
        <v>2833158805695075</v>
      </c>
      <c r="G85" s="83">
        <v>2.8109872707782392E-4</v>
      </c>
      <c r="H85" s="83">
        <v>2618138515369572</v>
      </c>
      <c r="I85" s="83">
        <v>2.6470815803485777E-4</v>
      </c>
      <c r="J85" s="83">
        <v>2379589050493127</v>
      </c>
      <c r="K85" s="83">
        <v>2.4167907968085335E-4</v>
      </c>
      <c r="L85" s="83">
        <v>2222529342929221</v>
      </c>
      <c r="M85" s="83">
        <v>2.275294398983538E-4</v>
      </c>
      <c r="N85" s="83">
        <v>2012292093309934.5</v>
      </c>
      <c r="O85" s="83">
        <v>2.0921923787887962E-4</v>
      </c>
      <c r="P85" s="83">
        <v>1830312991651898.5</v>
      </c>
      <c r="Q85" s="83">
        <v>1.9242893407524605E-4</v>
      </c>
      <c r="R85" s="83">
        <v>1713101442437849.7</v>
      </c>
      <c r="S85" s="83">
        <v>1.7775283275960134E-4</v>
      </c>
      <c r="T85" s="83">
        <v>1498857504350116.2</v>
      </c>
      <c r="U85" s="83">
        <v>1.6040884399473672E-4</v>
      </c>
      <c r="V85" s="83">
        <v>1312905603551029</v>
      </c>
      <c r="W85" s="83">
        <v>1.3959018493543812E-4</v>
      </c>
      <c r="X85" s="83">
        <v>1176543536528701.5</v>
      </c>
      <c r="Y85" s="83">
        <v>1.2501064472505107E-4</v>
      </c>
      <c r="Z85" s="83">
        <v>962161186344912.75</v>
      </c>
      <c r="AA85" s="83">
        <v>1.0669075594323166E-4</v>
      </c>
      <c r="AB85" s="83">
        <v>820438435526973.37</v>
      </c>
      <c r="AC85" s="83">
        <v>9.1664536061102444E-5</v>
      </c>
      <c r="AD85" s="83">
        <v>589068337905270.12</v>
      </c>
      <c r="AE85" s="83">
        <v>6.7650941149800947E-5</v>
      </c>
    </row>
    <row r="86" spans="2:31" x14ac:dyDescent="0.2">
      <c r="B86" s="83">
        <v>2821242887893047.5</v>
      </c>
      <c r="C86" s="83">
        <v>2.9386246815037837E-4</v>
      </c>
      <c r="D86" s="83">
        <v>2718240903638105.5</v>
      </c>
      <c r="E86" s="83">
        <v>2.8882413476576281E-4</v>
      </c>
      <c r="F86" s="83">
        <v>2667588050000004</v>
      </c>
      <c r="G86" s="83">
        <v>2.7863063683283319E-4</v>
      </c>
      <c r="H86" s="83">
        <v>2469022248224600.5</v>
      </c>
      <c r="I86" s="83">
        <v>2.6233902763294768E-4</v>
      </c>
      <c r="J86" s="83">
        <v>2232984729938571.2</v>
      </c>
      <c r="K86" s="83">
        <v>2.3916971464986485E-4</v>
      </c>
      <c r="L86" s="83">
        <v>2086500648841559.5</v>
      </c>
      <c r="M86" s="83">
        <v>2.2372581692711914E-4</v>
      </c>
      <c r="N86" s="83">
        <v>1881666701285589.2</v>
      </c>
      <c r="O86" s="83">
        <v>2.0584360183712846E-4</v>
      </c>
      <c r="P86" s="83">
        <v>1711423277053630.7</v>
      </c>
      <c r="Q86" s="83">
        <v>1.8966117489415153E-4</v>
      </c>
      <c r="R86" s="83">
        <v>1600196222910043.5</v>
      </c>
      <c r="S86" s="83">
        <v>1.74302542232448E-4</v>
      </c>
      <c r="T86" s="83">
        <v>1399505182204438.5</v>
      </c>
      <c r="U86" s="83">
        <v>1.57773104889154E-4</v>
      </c>
      <c r="V86" s="83">
        <v>1220995998946978</v>
      </c>
      <c r="W86" s="83">
        <v>1.3652105146706725E-4</v>
      </c>
      <c r="X86" s="83">
        <v>1086734605405313.6</v>
      </c>
      <c r="Y86" s="83">
        <v>1.2138802012434103E-4</v>
      </c>
      <c r="Z86" s="83">
        <v>888626988951859.12</v>
      </c>
      <c r="AA86" s="83">
        <v>1.0363890492052239E-4</v>
      </c>
      <c r="AB86" s="83">
        <v>752117402897568.62</v>
      </c>
      <c r="AC86" s="83">
        <v>8.8419972020757675E-5</v>
      </c>
      <c r="AD86" s="83">
        <v>536218500668563.62</v>
      </c>
      <c r="AE86" s="83">
        <v>6.4868022072610317E-5</v>
      </c>
    </row>
    <row r="87" spans="2:31" x14ac:dyDescent="0.2">
      <c r="B87" s="83">
        <v>2661124988044838</v>
      </c>
      <c r="C87" s="83">
        <v>2.9160257486254615E-4</v>
      </c>
      <c r="D87" s="83">
        <v>2561886084997531</v>
      </c>
      <c r="E87" s="83">
        <v>2.8647632268312097E-4</v>
      </c>
      <c r="F87" s="83">
        <v>2512971098697488.5</v>
      </c>
      <c r="G87" s="83">
        <v>2.753274098713109E-4</v>
      </c>
      <c r="H87" s="83">
        <v>2318637449424134</v>
      </c>
      <c r="I87" s="83">
        <v>2.5917304581319256E-4</v>
      </c>
      <c r="J87" s="83">
        <v>2094873288079588.2</v>
      </c>
      <c r="K87" s="83">
        <v>2.3603410118479474E-4</v>
      </c>
      <c r="L87" s="83">
        <v>1955121344862912.5</v>
      </c>
      <c r="M87" s="83">
        <v>2.205495273889309E-4</v>
      </c>
      <c r="N87" s="83">
        <v>1759777004786697.7</v>
      </c>
      <c r="O87" s="83">
        <v>2.0245168955515614E-4</v>
      </c>
      <c r="P87" s="83">
        <v>1598389875193661.5</v>
      </c>
      <c r="Q87" s="83">
        <v>1.8624247408093104E-4</v>
      </c>
      <c r="R87" s="83">
        <v>1494097077501849</v>
      </c>
      <c r="S87" s="83">
        <v>1.7159465467212907E-4</v>
      </c>
      <c r="T87" s="83">
        <v>1298090554528713.7</v>
      </c>
      <c r="U87" s="83">
        <v>1.5392990412992622E-4</v>
      </c>
      <c r="V87" s="83">
        <v>1129823279625913.2</v>
      </c>
      <c r="W87" s="83">
        <v>1.3270476610511143E-4</v>
      </c>
      <c r="X87" s="83">
        <v>1004142707216890.1</v>
      </c>
      <c r="Y87" s="83">
        <v>1.1803754857076036E-4</v>
      </c>
      <c r="Z87" s="83">
        <v>818294179895186.12</v>
      </c>
      <c r="AA87" s="83">
        <v>1.0069372119316653E-4</v>
      </c>
      <c r="AB87" s="83">
        <v>689874222227115.62</v>
      </c>
      <c r="AC87" s="83">
        <v>8.5235084992506881E-5</v>
      </c>
      <c r="AD87" s="83">
        <v>489405479215103.75</v>
      </c>
      <c r="AE87" s="83">
        <v>6.2252807522985383E-5</v>
      </c>
    </row>
    <row r="88" spans="2:31" x14ac:dyDescent="0.2">
      <c r="B88" s="83">
        <v>2502814758566265</v>
      </c>
      <c r="C88" s="83">
        <v>2.8829482300842002E-4</v>
      </c>
      <c r="D88" s="83">
        <v>2411836643475190.5</v>
      </c>
      <c r="E88" s="83">
        <v>2.8411108413920491E-4</v>
      </c>
      <c r="F88" s="83">
        <v>2367649655866886.5</v>
      </c>
      <c r="G88" s="83">
        <v>2.7361438907280001E-4</v>
      </c>
      <c r="H88" s="83">
        <v>2180009158201663.7</v>
      </c>
      <c r="I88" s="83">
        <v>2.5651547159758707E-4</v>
      </c>
      <c r="J88" s="83">
        <v>1969252609052918</v>
      </c>
      <c r="K88" s="83">
        <v>2.3437414924402057E-4</v>
      </c>
      <c r="L88" s="83">
        <v>1828572164507689</v>
      </c>
      <c r="M88" s="83">
        <v>2.1731069824523346E-4</v>
      </c>
      <c r="N88" s="83">
        <v>1649871005710614.7</v>
      </c>
      <c r="O88" s="83">
        <v>1.9964634373028365E-4</v>
      </c>
      <c r="P88" s="83">
        <v>1496197128678269</v>
      </c>
      <c r="Q88" s="83">
        <v>1.8290547698642616E-4</v>
      </c>
      <c r="R88" s="83">
        <v>1388212092682497.5</v>
      </c>
      <c r="S88" s="83">
        <v>1.6775254725880548E-4</v>
      </c>
      <c r="T88" s="83">
        <v>1204838286282852</v>
      </c>
      <c r="U88" s="83">
        <v>1.5037552290527053E-4</v>
      </c>
      <c r="V88" s="83">
        <v>1045717228967288.4</v>
      </c>
      <c r="W88" s="83">
        <v>1.292447441331684E-4</v>
      </c>
      <c r="X88" s="83">
        <v>929022298750414.75</v>
      </c>
      <c r="Y88" s="83">
        <v>1.1488448294925549E-4</v>
      </c>
      <c r="Z88" s="83">
        <v>750557490179943</v>
      </c>
      <c r="AA88" s="83">
        <v>9.7172898504446705E-5</v>
      </c>
      <c r="AB88" s="83">
        <v>630474758422430.62</v>
      </c>
      <c r="AC88" s="83">
        <v>8.2254420289199563E-5</v>
      </c>
      <c r="AD88" s="83">
        <v>443964099186424.87</v>
      </c>
      <c r="AE88" s="83">
        <v>5.9427358648644249E-5</v>
      </c>
    </row>
    <row r="89" spans="2:31" x14ac:dyDescent="0.2">
      <c r="B89" s="83">
        <v>2365019767884582.5</v>
      </c>
      <c r="C89" s="83">
        <v>2.8755910247113596E-4</v>
      </c>
      <c r="D89" s="83">
        <v>2272528627129127.5</v>
      </c>
      <c r="E89" s="83">
        <v>2.8195030355861157E-4</v>
      </c>
      <c r="F89" s="83">
        <v>2231088628799910.5</v>
      </c>
      <c r="G89" s="83">
        <v>2.7052044316246897E-4</v>
      </c>
      <c r="H89" s="83">
        <v>2050196620421671.5</v>
      </c>
      <c r="I89" s="83">
        <v>2.5318213772941556E-4</v>
      </c>
      <c r="J89" s="83">
        <v>1850057992429456.5</v>
      </c>
      <c r="K89" s="83">
        <v>2.3130623027989099E-4</v>
      </c>
      <c r="L89" s="83">
        <v>1714158199948714</v>
      </c>
      <c r="M89" s="83">
        <v>2.1427458822845195E-4</v>
      </c>
      <c r="N89" s="83">
        <v>1539578043062461.5</v>
      </c>
      <c r="O89" s="83">
        <v>1.9594288949488942E-4</v>
      </c>
      <c r="P89" s="83">
        <v>1391970091988405</v>
      </c>
      <c r="Q89" s="83">
        <v>1.790241349698467E-4</v>
      </c>
      <c r="R89" s="83">
        <v>1293886190883441.7</v>
      </c>
      <c r="S89" s="83">
        <v>1.6437784528519208E-4</v>
      </c>
      <c r="T89" s="83">
        <v>1117226161587069.7</v>
      </c>
      <c r="U89" s="83">
        <v>1.4700886450824246E-4</v>
      </c>
      <c r="V89" s="83">
        <v>968025433426501.75</v>
      </c>
      <c r="W89" s="83">
        <v>1.2574406268057059E-4</v>
      </c>
      <c r="X89" s="83">
        <v>855699579093942.75</v>
      </c>
      <c r="Y89" s="83">
        <v>1.1133835661747771E-4</v>
      </c>
      <c r="Z89" s="83">
        <v>690541634458271.62</v>
      </c>
      <c r="AA89" s="83">
        <v>9.3915429735368328E-5</v>
      </c>
      <c r="AB89" s="83">
        <v>578356478034527.62</v>
      </c>
      <c r="AC89" s="83">
        <v>7.9433812462782933E-5</v>
      </c>
      <c r="AD89" s="83">
        <v>402681757323470.44</v>
      </c>
      <c r="AE89" s="83">
        <v>5.6718494304574738E-5</v>
      </c>
    </row>
    <row r="90" spans="2:31" x14ac:dyDescent="0.2">
      <c r="B90" s="83">
        <v>2234512996943550.2</v>
      </c>
      <c r="C90" s="83">
        <v>2.860458582517312E-4</v>
      </c>
      <c r="D90" s="83">
        <v>2148456136265778.5</v>
      </c>
      <c r="E90" s="83">
        <v>2.8003516589786824E-4</v>
      </c>
      <c r="F90" s="83">
        <v>2099140202000228</v>
      </c>
      <c r="G90" s="83">
        <v>2.6793641616223182E-4</v>
      </c>
      <c r="H90" s="83">
        <v>1930393407747191.5</v>
      </c>
      <c r="I90" s="83">
        <v>2.5055757334907746E-4</v>
      </c>
      <c r="J90" s="83">
        <v>1740089339286058.7</v>
      </c>
      <c r="K90" s="83">
        <v>2.284010601828106E-4</v>
      </c>
      <c r="L90" s="83">
        <v>1610096488908053</v>
      </c>
      <c r="M90" s="83">
        <v>2.117291540041165E-4</v>
      </c>
      <c r="N90" s="83">
        <v>1438482569901734.5</v>
      </c>
      <c r="O90" s="83">
        <v>1.9257078676554221E-4</v>
      </c>
      <c r="P90" s="83">
        <v>1293601806782926</v>
      </c>
      <c r="Q90" s="83">
        <v>1.7491317877277044E-4</v>
      </c>
      <c r="R90" s="83">
        <v>1202836489824732</v>
      </c>
      <c r="S90" s="83">
        <v>1.6126617977282171E-4</v>
      </c>
      <c r="T90" s="83">
        <v>1037101088705926.2</v>
      </c>
      <c r="U90" s="83">
        <v>1.437673381377999E-4</v>
      </c>
      <c r="V90" s="83">
        <v>891481955174565</v>
      </c>
      <c r="W90" s="83">
        <v>1.2214706492211046E-4</v>
      </c>
      <c r="X90" s="83">
        <v>791052724570734.37</v>
      </c>
      <c r="Y90" s="83">
        <v>1.0845090520707624E-4</v>
      </c>
      <c r="Z90" s="83">
        <v>631986778430438.75</v>
      </c>
      <c r="AA90" s="83">
        <v>9.0695119735441409E-5</v>
      </c>
      <c r="AB90" s="83">
        <v>528544201469059.19</v>
      </c>
      <c r="AC90" s="83">
        <v>7.6362718483865392E-5</v>
      </c>
      <c r="AD90" s="83">
        <v>364425959597825.56</v>
      </c>
      <c r="AE90" s="83">
        <v>5.4270338277293005E-5</v>
      </c>
    </row>
    <row r="91" spans="2:31" x14ac:dyDescent="0.2">
      <c r="B91" s="83">
        <v>2106644336033104.2</v>
      </c>
      <c r="C91" s="83">
        <v>2.8269636458816546E-4</v>
      </c>
      <c r="D91" s="83">
        <v>2022905243637271.2</v>
      </c>
      <c r="E91" s="83">
        <v>2.7757190410133563E-4</v>
      </c>
      <c r="F91" s="83">
        <v>1972354102762567.5</v>
      </c>
      <c r="G91" s="83">
        <v>2.6457665084623247E-4</v>
      </c>
      <c r="H91" s="83">
        <v>1806482832905936.5</v>
      </c>
      <c r="I91" s="83">
        <v>2.4664181066633986E-4</v>
      </c>
      <c r="J91" s="83">
        <v>1627298554140462.2</v>
      </c>
      <c r="K91" s="83">
        <v>2.2386099254416119E-4</v>
      </c>
      <c r="L91" s="83">
        <v>1500628408598580</v>
      </c>
      <c r="M91" s="83">
        <v>2.0696567135609166E-4</v>
      </c>
      <c r="N91" s="83">
        <v>1339386488910274.5</v>
      </c>
      <c r="O91" s="83">
        <v>1.8855475820470663E-4</v>
      </c>
      <c r="P91" s="83">
        <v>1203775686894232</v>
      </c>
      <c r="Q91" s="83">
        <v>1.7165210291375134E-4</v>
      </c>
      <c r="R91" s="83">
        <v>1117856579063816.2</v>
      </c>
      <c r="S91" s="83">
        <v>1.5757058665399204E-4</v>
      </c>
      <c r="T91" s="83">
        <v>960377530820970.87</v>
      </c>
      <c r="U91" s="83">
        <v>1.4009066540937121E-4</v>
      </c>
      <c r="V91" s="83">
        <v>823654459230004.5</v>
      </c>
      <c r="W91" s="83">
        <v>1.1888836765266092E-4</v>
      </c>
      <c r="X91" s="83">
        <v>727194167137089.75</v>
      </c>
      <c r="Y91" s="83">
        <v>1.0510296140034825E-4</v>
      </c>
      <c r="Z91" s="83">
        <v>580035131249478.75</v>
      </c>
      <c r="AA91" s="83">
        <v>8.7878331770205751E-5</v>
      </c>
      <c r="AB91" s="83">
        <v>480047860231841.37</v>
      </c>
      <c r="AC91" s="83">
        <v>7.2961255675001957E-5</v>
      </c>
      <c r="AD91" s="83">
        <v>331528780997945.56</v>
      </c>
      <c r="AE91" s="83">
        <v>5.1962634266157338E-5</v>
      </c>
    </row>
    <row r="92" spans="2:31" x14ac:dyDescent="0.2">
      <c r="B92" s="83">
        <v>1980562117077103.7</v>
      </c>
      <c r="C92" s="83">
        <v>2.7891458705260873E-4</v>
      </c>
      <c r="D92" s="83">
        <v>1901223747360118</v>
      </c>
      <c r="E92" s="83">
        <v>2.7318150157862894E-4</v>
      </c>
      <c r="F92" s="83">
        <v>1854787954911152.2</v>
      </c>
      <c r="G92" s="83">
        <v>2.6165692601057603E-4</v>
      </c>
      <c r="H92" s="83">
        <v>1693939089027671.7</v>
      </c>
      <c r="I92" s="83">
        <v>2.4295183767432743E-4</v>
      </c>
      <c r="J92" s="83">
        <v>1514910302224078</v>
      </c>
      <c r="K92" s="83">
        <v>2.1866105209811717E-4</v>
      </c>
      <c r="L92" s="83">
        <v>1402796560988036.2</v>
      </c>
      <c r="M92" s="83">
        <v>2.0375891622541079E-4</v>
      </c>
      <c r="N92" s="83">
        <v>1241819929045025</v>
      </c>
      <c r="O92" s="83">
        <v>1.8450867462516942E-4</v>
      </c>
      <c r="P92" s="83">
        <v>1122384395339948</v>
      </c>
      <c r="Q92" s="83">
        <v>1.6832728596816133E-4</v>
      </c>
      <c r="R92" s="83">
        <v>1039832222792221.5</v>
      </c>
      <c r="S92" s="83">
        <v>1.5417612233909486E-4</v>
      </c>
      <c r="T92" s="83">
        <v>890137428713961</v>
      </c>
      <c r="U92" s="83">
        <v>1.3659829200253029E-4</v>
      </c>
      <c r="V92" s="83">
        <v>760383148789632</v>
      </c>
      <c r="W92" s="83">
        <v>1.1574749264735759E-4</v>
      </c>
      <c r="X92" s="83">
        <v>670415095219724</v>
      </c>
      <c r="Y92" s="83">
        <v>1.0173370189545254E-4</v>
      </c>
      <c r="Z92" s="83">
        <v>531752073050433</v>
      </c>
      <c r="AA92" s="83">
        <v>8.4971354034627715E-5</v>
      </c>
      <c r="AB92" s="83">
        <v>439471528954728.12</v>
      </c>
      <c r="AC92" s="83">
        <v>7.0538291724527017E-5</v>
      </c>
      <c r="AD92" s="83">
        <v>298075132108584.37</v>
      </c>
      <c r="AE92" s="83">
        <v>4.9244478119696203E-5</v>
      </c>
    </row>
    <row r="93" spans="2:31" x14ac:dyDescent="0.2">
      <c r="B93" s="83">
        <v>1864035979812603.7</v>
      </c>
      <c r="C93" s="83">
        <v>2.7549557507735602E-4</v>
      </c>
      <c r="D93" s="83">
        <v>1788306854802098.7</v>
      </c>
      <c r="E93" s="83">
        <v>2.6951597047400548E-4</v>
      </c>
      <c r="F93" s="83">
        <v>1738686755128836</v>
      </c>
      <c r="G93" s="83">
        <v>2.581615005181048E-4</v>
      </c>
      <c r="H93" s="83">
        <v>1584068727450104.7</v>
      </c>
      <c r="I93" s="83">
        <v>2.3989142508752965E-4</v>
      </c>
      <c r="J93" s="83">
        <v>1414419100463673</v>
      </c>
      <c r="K93" s="83">
        <v>2.151107258243809E-4</v>
      </c>
      <c r="L93" s="83">
        <v>1306976991724753.3</v>
      </c>
      <c r="M93" s="83">
        <v>2.0006918615681223E-4</v>
      </c>
      <c r="N93" s="83">
        <v>1155428667539370.5</v>
      </c>
      <c r="O93" s="83">
        <v>1.815563151458453E-4</v>
      </c>
      <c r="P93" s="83">
        <v>1041957117466401.5</v>
      </c>
      <c r="Q93" s="83">
        <v>1.6525738631059824E-4</v>
      </c>
      <c r="R93" s="83">
        <v>961299431774741.37</v>
      </c>
      <c r="S93" s="83">
        <v>1.499333227915044E-4</v>
      </c>
      <c r="T93" s="83">
        <v>818421731878469.25</v>
      </c>
      <c r="U93" s="83">
        <v>1.3249610710413195E-4</v>
      </c>
      <c r="V93" s="83">
        <v>702565616198189.12</v>
      </c>
      <c r="W93" s="83">
        <v>1.1296019754976992E-4</v>
      </c>
      <c r="X93" s="83">
        <v>614311065930982.62</v>
      </c>
      <c r="Y93" s="83">
        <v>9.8506008011968295E-5</v>
      </c>
      <c r="Z93" s="83">
        <v>486757807262195.56</v>
      </c>
      <c r="AA93" s="83">
        <v>8.190266504454396E-5</v>
      </c>
      <c r="AB93" s="83">
        <v>400434227783315.44</v>
      </c>
      <c r="AC93" s="83">
        <v>6.7785042326963497E-5</v>
      </c>
      <c r="AD93" s="83">
        <v>269297908886361.12</v>
      </c>
      <c r="AE93" s="83">
        <v>4.6966412917348694E-5</v>
      </c>
    </row>
    <row r="94" spans="2:31" x14ac:dyDescent="0.2">
      <c r="B94" s="83">
        <v>1750445479659858</v>
      </c>
      <c r="C94" s="83">
        <v>2.7203144488627425E-4</v>
      </c>
      <c r="D94" s="83">
        <v>1675343115967553</v>
      </c>
      <c r="E94" s="83">
        <v>2.6609969084351477E-4</v>
      </c>
      <c r="F94" s="83">
        <v>1630768456221159.2</v>
      </c>
      <c r="G94" s="83">
        <v>2.547957785153366E-4</v>
      </c>
      <c r="H94" s="83">
        <v>1483034002730924.2</v>
      </c>
      <c r="I94" s="83">
        <v>2.3680089442452607E-4</v>
      </c>
      <c r="J94" s="83">
        <v>1320973753794165.2</v>
      </c>
      <c r="K94" s="83">
        <v>2.1247427670288336E-4</v>
      </c>
      <c r="L94" s="83">
        <v>1218830890892429.2</v>
      </c>
      <c r="M94" s="83">
        <v>1.9694699831458793E-4</v>
      </c>
      <c r="N94" s="83">
        <v>1078868168121917.2</v>
      </c>
      <c r="O94" s="83">
        <v>1.7863048354944483E-4</v>
      </c>
      <c r="P94" s="83">
        <v>964283273248500.12</v>
      </c>
      <c r="Q94" s="83">
        <v>1.6145297404207868E-4</v>
      </c>
      <c r="R94" s="83">
        <v>890596348499578.75</v>
      </c>
      <c r="S94" s="83">
        <v>1.4655433230606425E-4</v>
      </c>
      <c r="T94" s="83">
        <v>759700636835538.5</v>
      </c>
      <c r="U94" s="83">
        <v>1.3014372630146419E-4</v>
      </c>
      <c r="V94" s="83">
        <v>645486397537567.25</v>
      </c>
      <c r="W94" s="83">
        <v>1.0926960538275506E-4</v>
      </c>
      <c r="X94" s="83">
        <v>563938590900432.12</v>
      </c>
      <c r="Y94" s="83">
        <v>9.5353282656238333E-5</v>
      </c>
      <c r="Z94" s="83">
        <v>443791232370860.94</v>
      </c>
      <c r="AA94" s="83">
        <v>7.8604560920191867E-5</v>
      </c>
      <c r="AB94" s="83">
        <v>364498876546941.44</v>
      </c>
      <c r="AC94" s="83">
        <v>6.4833117663959584E-5</v>
      </c>
      <c r="AD94" s="83">
        <v>243137722392296.69</v>
      </c>
      <c r="AE94" s="83">
        <v>4.4806868081671803E-5</v>
      </c>
    </row>
    <row r="95" spans="2:31" x14ac:dyDescent="0.2">
      <c r="B95" s="83">
        <v>1643998608405060.5</v>
      </c>
      <c r="C95" s="83">
        <v>2.692178094133292E-4</v>
      </c>
      <c r="D95" s="83">
        <v>1569768249068060.2</v>
      </c>
      <c r="E95" s="83">
        <v>2.6193507312530928E-4</v>
      </c>
      <c r="F95" s="83">
        <v>1530858031309152.2</v>
      </c>
      <c r="G95" s="83">
        <v>2.5182817199808429E-4</v>
      </c>
      <c r="H95" s="83">
        <v>1391948310850374</v>
      </c>
      <c r="I95" s="83">
        <v>2.3304793860293879E-4</v>
      </c>
      <c r="J95" s="83">
        <v>1234591553333374.2</v>
      </c>
      <c r="K95" s="83">
        <v>2.095128637468902E-4</v>
      </c>
      <c r="L95" s="83">
        <v>1140363735546956.5</v>
      </c>
      <c r="M95" s="83">
        <v>1.9409494325783774E-4</v>
      </c>
      <c r="N95" s="83">
        <v>1006130113492819.1</v>
      </c>
      <c r="O95" s="83">
        <v>1.7547296325589299E-4</v>
      </c>
      <c r="P95" s="83">
        <v>896059355342764.25</v>
      </c>
      <c r="Q95" s="83">
        <v>1.5791356947889671E-4</v>
      </c>
      <c r="R95" s="83">
        <v>821702225137511</v>
      </c>
      <c r="S95" s="83">
        <v>1.4295534518724625E-4</v>
      </c>
      <c r="T95" s="83">
        <v>701800300496340.87</v>
      </c>
      <c r="U95" s="83">
        <v>1.2722143666601574E-4</v>
      </c>
      <c r="V95" s="83">
        <v>594968468273167.87</v>
      </c>
      <c r="W95" s="83">
        <v>1.0593983001073414E-4</v>
      </c>
      <c r="X95" s="83">
        <v>520768349524520.37</v>
      </c>
      <c r="Y95" s="83">
        <v>9.2996878235138667E-5</v>
      </c>
      <c r="Z95" s="83">
        <v>406099492122641.87</v>
      </c>
      <c r="AA95" s="83">
        <v>7.6163923842375547E-5</v>
      </c>
      <c r="AB95" s="83">
        <v>330314463166626.94</v>
      </c>
      <c r="AC95" s="83">
        <v>6.2002172927437757E-5</v>
      </c>
      <c r="AD95" s="83">
        <v>221756416639188.34</v>
      </c>
      <c r="AE95" s="83">
        <v>4.3173837954366961E-5</v>
      </c>
    </row>
    <row r="96" spans="2:31" x14ac:dyDescent="0.2">
      <c r="B96" s="83">
        <v>1537662250942070</v>
      </c>
      <c r="C96" s="83">
        <v>2.6572042068507748E-4</v>
      </c>
      <c r="D96" s="83">
        <v>1475104166571098</v>
      </c>
      <c r="E96" s="83">
        <v>2.5919346097162335E-4</v>
      </c>
      <c r="F96" s="83">
        <v>1436218955508699</v>
      </c>
      <c r="G96" s="83">
        <v>2.4846269158135931E-4</v>
      </c>
      <c r="H96" s="83">
        <v>1296627580947776.2</v>
      </c>
      <c r="I96" s="83">
        <v>2.2889598305569925E-4</v>
      </c>
      <c r="J96" s="83">
        <v>1154498536841996.7</v>
      </c>
      <c r="K96" s="83">
        <v>2.0592012979607361E-4</v>
      </c>
      <c r="L96" s="83">
        <v>1061456246912314.4</v>
      </c>
      <c r="M96" s="83">
        <v>1.8957435625446514E-4</v>
      </c>
      <c r="N96" s="83">
        <v>929581584854577.12</v>
      </c>
      <c r="O96" s="83">
        <v>1.7094887432477911E-4</v>
      </c>
      <c r="P96" s="83">
        <v>831977765906501.25</v>
      </c>
      <c r="Q96" s="83">
        <v>1.5434262090503146E-4</v>
      </c>
      <c r="R96" s="83">
        <v>765632858252292.12</v>
      </c>
      <c r="S96" s="83">
        <v>1.4055838895801179E-4</v>
      </c>
      <c r="T96" s="83">
        <v>647705407656588.5</v>
      </c>
      <c r="U96" s="83">
        <v>1.2363680124390382E-4</v>
      </c>
      <c r="V96" s="83">
        <v>544445011618846.19</v>
      </c>
      <c r="W96" s="83">
        <v>1.0255822230525526E-4</v>
      </c>
      <c r="X96" s="83">
        <v>476488309932254.69</v>
      </c>
      <c r="Y96" s="83">
        <v>8.9635481754712232E-5</v>
      </c>
      <c r="Z96" s="83">
        <v>368457266458185.87</v>
      </c>
      <c r="AA96" s="83">
        <v>7.3079819030753371E-5</v>
      </c>
      <c r="AB96" s="83">
        <v>299501493043207.81</v>
      </c>
      <c r="AC96" s="83">
        <v>5.9507211796371522E-5</v>
      </c>
      <c r="AD96" s="83">
        <v>200146207059703.28</v>
      </c>
      <c r="AE96" s="83">
        <v>4.1093775819611686E-5</v>
      </c>
    </row>
    <row r="97" spans="2:31" x14ac:dyDescent="0.2">
      <c r="B97" s="83">
        <v>1447245551433266.5</v>
      </c>
      <c r="C97" s="83">
        <v>2.6267302259383956E-4</v>
      </c>
      <c r="D97" s="83">
        <v>1379472490812346</v>
      </c>
      <c r="E97" s="83">
        <v>2.5545080436070993E-4</v>
      </c>
      <c r="F97" s="83">
        <v>1339029046359701.2</v>
      </c>
      <c r="G97" s="83">
        <v>2.4315976816410688E-4</v>
      </c>
      <c r="H97" s="83">
        <v>1207337213470261</v>
      </c>
      <c r="I97" s="83">
        <v>2.2413530835975123E-4</v>
      </c>
      <c r="J97" s="83">
        <v>1072884710527592.6</v>
      </c>
      <c r="K97" s="83">
        <v>2.0108463563594527E-4</v>
      </c>
      <c r="L97" s="83">
        <v>986450230376133.37</v>
      </c>
      <c r="M97" s="83">
        <v>1.8621790336676225E-4</v>
      </c>
      <c r="N97" s="83">
        <v>860999325535406.12</v>
      </c>
      <c r="O97" s="83">
        <v>1.6737099510019023E-4</v>
      </c>
      <c r="P97" s="83">
        <v>769179810290415.5</v>
      </c>
      <c r="Q97" s="83">
        <v>1.5063390465232943E-4</v>
      </c>
      <c r="R97" s="83">
        <v>708759651636398.5</v>
      </c>
      <c r="S97" s="83">
        <v>1.3690364136360333E-4</v>
      </c>
      <c r="T97" s="83">
        <v>599856151944430.37</v>
      </c>
      <c r="U97" s="83">
        <v>1.2070259959152668E-4</v>
      </c>
      <c r="V97" s="83">
        <v>501187325583757.75</v>
      </c>
      <c r="W97" s="83">
        <v>9.9405333824474114E-5</v>
      </c>
      <c r="X97" s="83">
        <v>435534319605590.94</v>
      </c>
      <c r="Y97" s="83">
        <v>8.6322565360695669E-5</v>
      </c>
      <c r="Z97" s="83">
        <v>338025436114536.12</v>
      </c>
      <c r="AA97" s="83">
        <v>7.0668524042680718E-5</v>
      </c>
      <c r="AB97" s="83">
        <v>271278247031749.69</v>
      </c>
      <c r="AC97" s="83">
        <v>5.6959035924224412E-5</v>
      </c>
      <c r="AD97" s="83">
        <v>179364762459111</v>
      </c>
      <c r="AE97" s="83">
        <v>3.8636961458443548E-5</v>
      </c>
    </row>
    <row r="98" spans="2:31" x14ac:dyDescent="0.2">
      <c r="B98" s="83">
        <v>1351597078295656</v>
      </c>
      <c r="C98" s="83">
        <v>2.5834941666668662E-4</v>
      </c>
      <c r="D98" s="83">
        <v>1285477323311491.5</v>
      </c>
      <c r="E98" s="83">
        <v>2.5087894491290482E-4</v>
      </c>
      <c r="F98" s="83">
        <v>1249340313210698.5</v>
      </c>
      <c r="G98" s="83">
        <v>2.3906956892722248E-4</v>
      </c>
      <c r="H98" s="83">
        <v>1130540899447934.2</v>
      </c>
      <c r="I98" s="83">
        <v>2.2245337630849319E-4</v>
      </c>
      <c r="J98" s="83">
        <v>997021319431243.75</v>
      </c>
      <c r="K98" s="83">
        <v>1.9719093309930621E-4</v>
      </c>
      <c r="L98" s="83">
        <v>914627771996622.5</v>
      </c>
      <c r="M98" s="83">
        <v>1.8123850079296169E-4</v>
      </c>
      <c r="N98" s="83">
        <v>799532023899708</v>
      </c>
      <c r="O98" s="83">
        <v>1.6356816871243958E-4</v>
      </c>
      <c r="P98" s="83">
        <v>710348922339843.12</v>
      </c>
      <c r="Q98" s="83">
        <v>1.4658664217027156E-4</v>
      </c>
      <c r="R98" s="83">
        <v>651637607069833.37</v>
      </c>
      <c r="S98" s="83">
        <v>1.3223051691777085E-4</v>
      </c>
      <c r="T98" s="83">
        <v>552186226927811.87</v>
      </c>
      <c r="U98" s="83">
        <v>1.1708396764377966E-4</v>
      </c>
      <c r="V98" s="83">
        <v>459485892682973.44</v>
      </c>
      <c r="W98" s="83">
        <v>9.5990296610102942E-5</v>
      </c>
      <c r="X98" s="83">
        <v>398300758615910.62</v>
      </c>
      <c r="Y98" s="83">
        <v>8.3587554642156474E-5</v>
      </c>
      <c r="Z98" s="83">
        <v>305611983895301.81</v>
      </c>
      <c r="AA98" s="83">
        <v>6.7649240409267691E-5</v>
      </c>
      <c r="AB98" s="83">
        <v>248346069349766.56</v>
      </c>
      <c r="AC98" s="83">
        <v>5.4946961616196616E-5</v>
      </c>
      <c r="AD98" s="83">
        <v>161966290330959.31</v>
      </c>
      <c r="AE98" s="83">
        <v>3.6967056294440355E-5</v>
      </c>
    </row>
    <row r="99" spans="2:31" x14ac:dyDescent="0.2">
      <c r="B99" s="83">
        <v>1261823756464733.2</v>
      </c>
      <c r="C99" s="83">
        <v>2.5421429607686322E-4</v>
      </c>
      <c r="D99" s="83">
        <v>1207758491498621.2</v>
      </c>
      <c r="E99" s="83">
        <v>2.4893880460644585E-4</v>
      </c>
      <c r="F99" s="83">
        <v>1164536407926116.5</v>
      </c>
      <c r="G99" s="83">
        <v>2.3573013334360197E-4</v>
      </c>
      <c r="H99" s="83">
        <v>1050759594281430.1</v>
      </c>
      <c r="I99" s="83">
        <v>2.1856716442565324E-4</v>
      </c>
      <c r="J99" s="83">
        <v>923647194238283.75</v>
      </c>
      <c r="K99" s="83">
        <v>1.9302549063947936E-4</v>
      </c>
      <c r="L99" s="83">
        <v>851927288391929.25</v>
      </c>
      <c r="M99" s="83">
        <v>1.7880089446380013E-4</v>
      </c>
      <c r="N99" s="83">
        <v>741358447867605</v>
      </c>
      <c r="O99" s="83">
        <v>1.6092468959185411E-4</v>
      </c>
      <c r="P99" s="83">
        <v>658866906768938.62</v>
      </c>
      <c r="Q99" s="83">
        <v>1.4402011831028141E-4</v>
      </c>
      <c r="R99" s="83">
        <v>601363086130106.75</v>
      </c>
      <c r="S99" s="83">
        <v>1.2885743904428348E-4</v>
      </c>
      <c r="T99" s="83">
        <v>505600843166797.37</v>
      </c>
      <c r="U99" s="83">
        <v>1.1284302192546642E-4</v>
      </c>
      <c r="V99" s="83">
        <v>417554010374023.44</v>
      </c>
      <c r="W99" s="83">
        <v>9.2305724604535517E-5</v>
      </c>
      <c r="X99" s="83">
        <v>364095656118622.56</v>
      </c>
      <c r="Y99" s="83">
        <v>8.0550375109823404E-5</v>
      </c>
      <c r="Z99" s="83">
        <v>279240530782150.72</v>
      </c>
      <c r="AA99" s="83">
        <v>6.5354459330174493E-5</v>
      </c>
      <c r="AB99" s="83">
        <v>224993548980574.66</v>
      </c>
      <c r="AC99" s="83">
        <v>5.2783685849699434E-5</v>
      </c>
      <c r="AD99" s="83">
        <v>146491290288118.47</v>
      </c>
      <c r="AE99" s="83">
        <v>3.5409432632617366E-5</v>
      </c>
    </row>
    <row r="100" spans="2:31" x14ac:dyDescent="0.2">
      <c r="B100" s="83">
        <v>1180360363671656.2</v>
      </c>
      <c r="C100" s="83">
        <v>2.5185902215673543E-4</v>
      </c>
      <c r="D100" s="83">
        <v>1120706918626511.5</v>
      </c>
      <c r="E100" s="83">
        <v>2.4471780235997944E-4</v>
      </c>
      <c r="F100" s="83">
        <v>1088424963749442.9</v>
      </c>
      <c r="G100" s="83">
        <v>2.3271464757362124E-4</v>
      </c>
      <c r="H100" s="83">
        <v>983697431887210.5</v>
      </c>
      <c r="I100" s="83">
        <v>2.1538011892827536E-4</v>
      </c>
      <c r="J100" s="83">
        <v>860659370331086.87</v>
      </c>
      <c r="K100" s="83">
        <v>1.903080435678604E-4</v>
      </c>
      <c r="L100" s="83">
        <v>788489703768144.62</v>
      </c>
      <c r="M100" s="83">
        <v>1.7463190340321011E-4</v>
      </c>
      <c r="N100" s="83">
        <v>682788114441495.87</v>
      </c>
      <c r="O100" s="83">
        <v>1.5614208569769998E-4</v>
      </c>
      <c r="P100" s="83">
        <v>607811091994379.12</v>
      </c>
      <c r="Q100" s="83">
        <v>1.4080401701137174E-4</v>
      </c>
      <c r="R100" s="83">
        <v>550368558860287.37</v>
      </c>
      <c r="S100" s="83">
        <v>1.2468880486389962E-4</v>
      </c>
      <c r="T100" s="83">
        <v>464604752601754.06</v>
      </c>
      <c r="U100" s="83">
        <v>1.1019688809715516E-4</v>
      </c>
      <c r="V100" s="83">
        <v>379304550215704.62</v>
      </c>
      <c r="W100" s="83">
        <v>8.8504398455104189E-5</v>
      </c>
      <c r="X100" s="83">
        <v>333126237933651.37</v>
      </c>
      <c r="Y100" s="83">
        <v>7.7921108403151081E-5</v>
      </c>
      <c r="Z100" s="83">
        <v>254707053791584.5</v>
      </c>
      <c r="AA100" s="83">
        <v>6.2864487607235215E-5</v>
      </c>
      <c r="AB100" s="83">
        <v>200564817890213.16</v>
      </c>
      <c r="AC100" s="83">
        <v>4.9756620353758999E-5</v>
      </c>
      <c r="AD100" s="83">
        <v>131913501937820.28</v>
      </c>
      <c r="AE100" s="83">
        <v>3.3552127545897157E-5</v>
      </c>
    </row>
    <row r="101" spans="2:31" x14ac:dyDescent="0.2">
      <c r="B101" s="83">
        <v>1099570671250351.9</v>
      </c>
      <c r="C101" s="83">
        <v>2.4695690680761744E-4</v>
      </c>
      <c r="D101" s="83">
        <v>1053208702528357.6</v>
      </c>
      <c r="E101" s="83">
        <v>2.4229564288917322E-4</v>
      </c>
      <c r="F101" s="83">
        <v>1016201092913839.4</v>
      </c>
      <c r="G101" s="83">
        <v>2.2944561690748326E-4</v>
      </c>
      <c r="H101" s="83">
        <v>916921311482578.62</v>
      </c>
      <c r="I101" s="83">
        <v>2.1203472878313063E-4</v>
      </c>
      <c r="J101" s="83">
        <v>798945942039440.25</v>
      </c>
      <c r="K101" s="83">
        <v>1.8733473200131611E-4</v>
      </c>
      <c r="L101" s="83">
        <v>736022612492943.5</v>
      </c>
      <c r="M101" s="83">
        <v>1.7193557617558734E-4</v>
      </c>
      <c r="N101" s="83">
        <v>632572223173929.25</v>
      </c>
      <c r="O101" s="83">
        <v>1.5319813419626375E-4</v>
      </c>
      <c r="P101" s="83">
        <v>562862694360708.56</v>
      </c>
      <c r="Q101" s="83">
        <v>1.3678733746576345E-4</v>
      </c>
      <c r="R101" s="83">
        <v>507581674846663.94</v>
      </c>
      <c r="S101" s="83">
        <v>1.2221535549131575E-4</v>
      </c>
      <c r="T101" s="83">
        <v>425526747817919.37</v>
      </c>
      <c r="U101" s="83">
        <v>1.0656863223093181E-4</v>
      </c>
      <c r="V101" s="83">
        <v>350945593295938.69</v>
      </c>
      <c r="W101" s="83">
        <v>8.7050924619238557E-5</v>
      </c>
      <c r="X101" s="83">
        <v>303518332237020.06</v>
      </c>
      <c r="Y101" s="83">
        <v>7.4802797161645335E-5</v>
      </c>
      <c r="Z101" s="83">
        <v>233997799218255.06</v>
      </c>
      <c r="AA101" s="83">
        <v>6.0976292595496653E-5</v>
      </c>
      <c r="AB101" s="83">
        <v>182442135110014.25</v>
      </c>
      <c r="AC101" s="83">
        <v>4.7877818652429147E-5</v>
      </c>
      <c r="AD101" s="83">
        <v>119604808446187.81</v>
      </c>
      <c r="AE101" s="83">
        <v>3.2084195480027124E-5</v>
      </c>
    </row>
    <row r="102" spans="2:31" x14ac:dyDescent="0.2">
      <c r="B102" s="83">
        <v>1028002560682215.6</v>
      </c>
      <c r="C102" s="83">
        <v>2.4487543357960302E-4</v>
      </c>
      <c r="D102" s="83">
        <v>980568113607657.37</v>
      </c>
      <c r="E102" s="83">
        <v>2.4047240506269423E-4</v>
      </c>
      <c r="F102" s="83">
        <v>945282503035347.37</v>
      </c>
      <c r="G102" s="83">
        <v>2.2575343730833704E-4</v>
      </c>
      <c r="H102" s="83">
        <v>851924086297050.12</v>
      </c>
      <c r="I102" s="83">
        <v>2.0780746029609877E-4</v>
      </c>
      <c r="J102" s="83">
        <v>743664948503353.25</v>
      </c>
      <c r="K102" s="83">
        <v>1.8401774771614255E-4</v>
      </c>
      <c r="L102" s="83">
        <v>680095046389086.5</v>
      </c>
      <c r="M102" s="83">
        <v>1.6782057149681689E-4</v>
      </c>
      <c r="N102" s="83">
        <v>584248844353868.62</v>
      </c>
      <c r="O102" s="83">
        <v>1.4942314181121206E-4</v>
      </c>
      <c r="P102" s="83">
        <v>517941497473928.62</v>
      </c>
      <c r="Q102" s="83">
        <v>1.3362653250123798E-4</v>
      </c>
      <c r="R102" s="83">
        <v>465954947437248.44</v>
      </c>
      <c r="S102" s="83">
        <v>1.188133744573385E-4</v>
      </c>
      <c r="T102" s="83">
        <v>393665874376872.75</v>
      </c>
      <c r="U102" s="83">
        <v>1.0449658237341444E-4</v>
      </c>
      <c r="V102" s="83">
        <v>318421631204201.37</v>
      </c>
      <c r="W102" s="83">
        <v>8.3748521187960247E-5</v>
      </c>
      <c r="X102" s="83">
        <v>278051788012994.66</v>
      </c>
      <c r="Y102" s="83">
        <v>7.2875556283115948E-5</v>
      </c>
      <c r="Z102" s="83">
        <v>212867667783213.87</v>
      </c>
      <c r="AA102" s="83">
        <v>5.8567900954294842E-5</v>
      </c>
      <c r="AB102" s="83">
        <v>166256999149026.84</v>
      </c>
      <c r="AC102" s="83">
        <v>4.6359608191399831E-5</v>
      </c>
      <c r="AD102" s="83">
        <v>108511133058881.77</v>
      </c>
      <c r="AE102" s="83">
        <v>3.0950162101501506E-5</v>
      </c>
    </row>
    <row r="103" spans="2:31" x14ac:dyDescent="0.2">
      <c r="B103" s="83">
        <v>956262895601270.62</v>
      </c>
      <c r="C103" s="83">
        <v>2.412522996348572E-4</v>
      </c>
      <c r="D103" s="83">
        <v>917583299979562.75</v>
      </c>
      <c r="E103" s="83">
        <v>2.3809281833324979E-4</v>
      </c>
      <c r="F103" s="83">
        <v>878977411164575</v>
      </c>
      <c r="G103" s="83">
        <v>2.2199574212129365E-4</v>
      </c>
      <c r="H103" s="83">
        <v>793051672645642.12</v>
      </c>
      <c r="I103" s="83">
        <v>2.0390876783272743E-4</v>
      </c>
      <c r="J103" s="83">
        <v>687638171450794</v>
      </c>
      <c r="K103" s="83">
        <v>1.7932238723663261E-4</v>
      </c>
      <c r="L103" s="83">
        <v>624739411908928.25</v>
      </c>
      <c r="M103" s="83">
        <v>1.627140090110182E-4</v>
      </c>
      <c r="N103" s="83">
        <v>535203765227918.87</v>
      </c>
      <c r="O103" s="83">
        <v>1.4464675832395212E-4</v>
      </c>
      <c r="P103" s="83">
        <v>476046583655845.5</v>
      </c>
      <c r="Q103" s="83">
        <v>1.2969833795025055E-4</v>
      </c>
      <c r="R103" s="83">
        <v>430269298750255.37</v>
      </c>
      <c r="S103" s="83">
        <v>1.1631073457527592E-4</v>
      </c>
      <c r="T103" s="83">
        <v>360401886722173.81</v>
      </c>
      <c r="U103" s="83">
        <v>1.0114566571421433E-4</v>
      </c>
      <c r="V103" s="83">
        <v>293499598230372.87</v>
      </c>
      <c r="W103" s="83">
        <v>8.1120972241426347E-5</v>
      </c>
      <c r="X103" s="83">
        <v>253109821215845.87</v>
      </c>
      <c r="Y103" s="83">
        <v>7.0089210627386395E-5</v>
      </c>
      <c r="Z103" s="83">
        <v>190063562339771.5</v>
      </c>
      <c r="AA103" s="83">
        <v>5.544522073717458E-5</v>
      </c>
      <c r="AB103" s="83">
        <v>152559009503161.97</v>
      </c>
      <c r="AC103" s="83">
        <v>4.492488901208238E-5</v>
      </c>
      <c r="AD103" s="83">
        <v>96001934641095.437</v>
      </c>
      <c r="AE103" s="83">
        <v>2.8776441133891697E-5</v>
      </c>
    </row>
    <row r="104" spans="2:31" x14ac:dyDescent="0.2">
      <c r="B104" s="83">
        <v>897993214037735.25</v>
      </c>
      <c r="C104" s="83">
        <v>2.3982767206908373E-4</v>
      </c>
      <c r="D104" s="83">
        <v>855598155903463.25</v>
      </c>
      <c r="E104" s="83">
        <v>2.3411116266820278E-4</v>
      </c>
      <c r="F104" s="83">
        <v>815458852145589.37</v>
      </c>
      <c r="G104" s="83">
        <v>2.1662324189709943E-4</v>
      </c>
      <c r="H104" s="83">
        <v>734563744298761.75</v>
      </c>
      <c r="I104" s="83">
        <v>1.9888660161249903E-4</v>
      </c>
      <c r="J104" s="83">
        <v>634470248296868.12</v>
      </c>
      <c r="K104" s="83">
        <v>1.7556270100945899E-4</v>
      </c>
      <c r="L104" s="83">
        <v>580494390949184.5</v>
      </c>
      <c r="M104" s="83">
        <v>1.6030894521682366E-4</v>
      </c>
      <c r="N104" s="83">
        <v>496549364193662.31</v>
      </c>
      <c r="O104" s="83">
        <v>1.4210578591816839E-4</v>
      </c>
      <c r="P104" s="83">
        <v>440681108135810.87</v>
      </c>
      <c r="Q104" s="83">
        <v>1.2755783744786768E-4</v>
      </c>
      <c r="R104" s="83">
        <v>396983180185626.5</v>
      </c>
      <c r="S104" s="83">
        <v>1.1353841990896387E-4</v>
      </c>
      <c r="T104" s="83">
        <v>331416387256287</v>
      </c>
      <c r="U104" s="83">
        <v>9.8678609526902874E-5</v>
      </c>
      <c r="V104" s="83">
        <v>268732631176972.09</v>
      </c>
      <c r="W104" s="83">
        <v>7.8931638087504432E-5</v>
      </c>
      <c r="X104" s="83">
        <v>232099318465887.87</v>
      </c>
      <c r="Y104" s="83">
        <v>6.820842448030813E-5</v>
      </c>
      <c r="Z104" s="83">
        <v>173991000162696.12</v>
      </c>
      <c r="AA104" s="83">
        <v>5.3831896548700446E-5</v>
      </c>
      <c r="AB104" s="83">
        <v>138978134854767.36</v>
      </c>
      <c r="AC104" s="83">
        <v>4.3175686078002304E-5</v>
      </c>
      <c r="AD104" s="83">
        <v>87923388082664.016</v>
      </c>
      <c r="AE104" s="83">
        <v>2.8007004882798113E-5</v>
      </c>
    </row>
    <row r="105" spans="2:31" x14ac:dyDescent="0.2">
      <c r="B105" s="83">
        <v>835572838442479.87</v>
      </c>
      <c r="C105" s="83">
        <v>2.3499229738891897E-4</v>
      </c>
      <c r="D105" s="83">
        <v>799044238065953</v>
      </c>
      <c r="E105" s="83">
        <v>2.2987144325536409E-4</v>
      </c>
      <c r="F105" s="83">
        <v>760137693208092.62</v>
      </c>
      <c r="G105" s="83">
        <v>2.1449361115484937E-4</v>
      </c>
      <c r="H105" s="83">
        <v>677949594395589.75</v>
      </c>
      <c r="I105" s="83">
        <v>1.9480390163956424E-4</v>
      </c>
      <c r="J105" s="83">
        <v>588681766347957.5</v>
      </c>
      <c r="K105" s="83">
        <v>1.7222286469571703E-4</v>
      </c>
      <c r="L105" s="83">
        <v>535786641707273.44</v>
      </c>
      <c r="M105" s="83">
        <v>1.5767233196272267E-4</v>
      </c>
      <c r="N105" s="83">
        <v>457051882257697.19</v>
      </c>
      <c r="O105" s="83">
        <v>1.3849747432555901E-4</v>
      </c>
      <c r="P105" s="83">
        <v>403565336506224.31</v>
      </c>
      <c r="Q105" s="83">
        <v>1.2357058448802789E-4</v>
      </c>
      <c r="R105" s="83">
        <v>361362689436902</v>
      </c>
      <c r="S105" s="83">
        <v>1.0901314584326616E-4</v>
      </c>
      <c r="T105" s="83">
        <v>302346792402768.87</v>
      </c>
      <c r="U105" s="83">
        <v>9.5221930515972152E-5</v>
      </c>
      <c r="V105" s="83">
        <v>241812295150613.72</v>
      </c>
      <c r="W105" s="83">
        <v>7.492017125706019E-5</v>
      </c>
      <c r="X105" s="83">
        <v>210602171028425.97</v>
      </c>
      <c r="Y105" s="83">
        <v>6.5567691450034318E-5</v>
      </c>
      <c r="Z105" s="83">
        <v>158428816757530.06</v>
      </c>
      <c r="AA105" s="83">
        <v>5.2036874592223656E-5</v>
      </c>
      <c r="AB105" s="83">
        <v>124925611202022.95</v>
      </c>
      <c r="AC105" s="83">
        <v>4.1063077625926103E-5</v>
      </c>
      <c r="AD105" s="83">
        <v>78515324523758.891</v>
      </c>
      <c r="AE105" s="83">
        <v>2.6389677273490557E-5</v>
      </c>
    </row>
    <row r="106" spans="2:31" x14ac:dyDescent="0.2">
      <c r="B106" s="83">
        <v>774595695117658.37</v>
      </c>
      <c r="C106" s="83">
        <v>2.3024194096667378E-4</v>
      </c>
      <c r="D106" s="83">
        <v>739178704041885.87</v>
      </c>
      <c r="E106" s="83">
        <v>2.2357019956633446E-4</v>
      </c>
      <c r="F106" s="83">
        <v>702652238558500.37</v>
      </c>
      <c r="G106" s="83">
        <v>2.1111596138760589E-4</v>
      </c>
      <c r="H106" s="83">
        <v>626524723348340.37</v>
      </c>
      <c r="I106" s="83">
        <v>1.9125194052439518E-4</v>
      </c>
      <c r="J106" s="83">
        <v>538376886820594.12</v>
      </c>
      <c r="K106" s="83">
        <v>1.6599891200880018E-4</v>
      </c>
      <c r="L106" s="83">
        <v>496243044749776.87</v>
      </c>
      <c r="M106" s="83">
        <v>1.538312664526698E-4</v>
      </c>
      <c r="N106" s="83">
        <v>426743820424064.87</v>
      </c>
      <c r="O106" s="83">
        <v>1.3818551930724985E-4</v>
      </c>
      <c r="P106" s="83">
        <v>372332414061496.44</v>
      </c>
      <c r="Q106" s="83">
        <v>1.2081500383446802E-4</v>
      </c>
      <c r="R106" s="83">
        <v>330923389116734.56</v>
      </c>
      <c r="S106" s="83">
        <v>1.0572874561524199E-4</v>
      </c>
      <c r="T106" s="83">
        <v>276640814210907.72</v>
      </c>
      <c r="U106" s="83">
        <v>9.2479327564215708E-5</v>
      </c>
      <c r="V106" s="83">
        <v>220217071949391.87</v>
      </c>
      <c r="W106" s="83">
        <v>7.2299155748984842E-5</v>
      </c>
      <c r="X106" s="83">
        <v>193571069191811.31</v>
      </c>
      <c r="Y106" s="83">
        <v>6.3317305765686158E-5</v>
      </c>
      <c r="Z106" s="83">
        <v>144105206981979.09</v>
      </c>
      <c r="AA106" s="83">
        <v>5.0262604055628191E-5</v>
      </c>
      <c r="AB106" s="83">
        <v>112235920339602.55</v>
      </c>
      <c r="AC106" s="83">
        <v>3.902368237848779E-5</v>
      </c>
      <c r="AD106" s="83">
        <v>67874460910863.133</v>
      </c>
      <c r="AE106" s="83">
        <v>2.4386860049978057E-5</v>
      </c>
    </row>
    <row r="107" spans="2:31" x14ac:dyDescent="0.2">
      <c r="B107" s="83">
        <v>717979510707156.37</v>
      </c>
      <c r="C107" s="83">
        <v>2.2572580224260158E-4</v>
      </c>
      <c r="D107" s="83">
        <v>680437611532486.5</v>
      </c>
      <c r="E107" s="83">
        <v>2.1799206525187565E-4</v>
      </c>
      <c r="F107" s="83">
        <v>651464424905588.62</v>
      </c>
      <c r="G107" s="83">
        <v>2.0673106830565623E-4</v>
      </c>
      <c r="H107" s="83">
        <v>582461521356382</v>
      </c>
      <c r="I107" s="83">
        <v>1.8915242325445459E-4</v>
      </c>
      <c r="J107" s="83">
        <v>499062959821239.5</v>
      </c>
      <c r="K107" s="83">
        <v>1.6378618253623842E-4</v>
      </c>
      <c r="L107" s="83">
        <v>457121748477130.69</v>
      </c>
      <c r="M107" s="83">
        <v>1.5024967820102112E-4</v>
      </c>
      <c r="N107" s="83">
        <v>387752507433427.25</v>
      </c>
      <c r="O107" s="83">
        <v>1.3240431182347782E-4</v>
      </c>
      <c r="P107" s="83">
        <v>345778002539161.69</v>
      </c>
      <c r="Q107" s="83">
        <v>1.189772194238534E-4</v>
      </c>
      <c r="R107" s="83">
        <v>305645152330600.06</v>
      </c>
      <c r="S107" s="83">
        <v>1.0417241886458403E-4</v>
      </c>
      <c r="T107" s="83">
        <v>251736207371869.56</v>
      </c>
      <c r="U107" s="83">
        <v>8.8698616375088254E-5</v>
      </c>
      <c r="V107" s="83">
        <v>201308661980361.47</v>
      </c>
      <c r="W107" s="83">
        <v>7.0072577182866947E-5</v>
      </c>
      <c r="X107" s="83">
        <v>175714283383207.19</v>
      </c>
      <c r="Y107" s="83">
        <v>6.1098126497086857E-5</v>
      </c>
      <c r="Z107" s="83">
        <v>131362831475459.94</v>
      </c>
      <c r="AA107" s="83">
        <v>4.8208733305579057E-5</v>
      </c>
      <c r="AB107" s="83">
        <v>103939188962514.36</v>
      </c>
      <c r="AC107" s="83">
        <v>3.8562848812295978E-5</v>
      </c>
      <c r="AD107" s="83">
        <v>64371082353262.195</v>
      </c>
      <c r="AE107" s="83">
        <v>2.4386570048238881E-5</v>
      </c>
    </row>
    <row r="108" spans="2:31" x14ac:dyDescent="0.2">
      <c r="B108" s="83">
        <v>668152413168570.5</v>
      </c>
      <c r="C108" s="83">
        <v>2.2180060813925049E-4</v>
      </c>
      <c r="D108" s="83">
        <v>633986051575569.87</v>
      </c>
      <c r="E108" s="83">
        <v>2.1657843229833443E-4</v>
      </c>
      <c r="F108" s="83">
        <v>607732655689719.62</v>
      </c>
      <c r="G108" s="83">
        <v>2.0358079736729226E-4</v>
      </c>
      <c r="H108" s="83">
        <v>541237415613296.81</v>
      </c>
      <c r="I108" s="83">
        <v>1.8706932516586474E-4</v>
      </c>
      <c r="J108" s="83">
        <v>458093932707163.75</v>
      </c>
      <c r="K108" s="83">
        <v>1.6000775573109632E-4</v>
      </c>
      <c r="L108" s="83">
        <v>420309629123548.56</v>
      </c>
      <c r="M108" s="83">
        <v>1.4668593133321543E-4</v>
      </c>
      <c r="N108" s="83">
        <v>360713895926452.12</v>
      </c>
      <c r="O108" s="83">
        <v>1.3034333795482149E-4</v>
      </c>
      <c r="P108" s="83">
        <v>316233376766892</v>
      </c>
      <c r="Q108" s="83">
        <v>1.1508998769617667E-4</v>
      </c>
      <c r="R108" s="83">
        <v>278741508629408.91</v>
      </c>
      <c r="S108" s="83">
        <v>1.0115274839637068E-4</v>
      </c>
      <c r="T108" s="83">
        <v>232043454833846</v>
      </c>
      <c r="U108" s="83">
        <v>8.7606841302260511E-5</v>
      </c>
      <c r="V108" s="83">
        <v>183245571096645.28</v>
      </c>
      <c r="W108" s="83">
        <v>6.7782255023719992E-5</v>
      </c>
      <c r="X108" s="83">
        <v>156742724983323.41</v>
      </c>
      <c r="Y108" s="83">
        <v>5.7726375801009536E-5</v>
      </c>
      <c r="Z108" s="83">
        <v>119399383638682.42</v>
      </c>
      <c r="AA108" s="83">
        <v>4.6352955259251705E-5</v>
      </c>
      <c r="AB108" s="83">
        <v>93922586052599.172</v>
      </c>
      <c r="AC108" s="83">
        <v>3.6611479224083158E-5</v>
      </c>
      <c r="AD108" s="83">
        <v>56037485865647.883</v>
      </c>
      <c r="AE108" s="83">
        <v>2.2418881838856699E-5</v>
      </c>
    </row>
    <row r="109" spans="2:31" x14ac:dyDescent="0.2">
      <c r="B109" s="83">
        <v>619128664459792.5</v>
      </c>
      <c r="C109" s="83">
        <v>2.1986396938585126E-4</v>
      </c>
      <c r="D109" s="83">
        <v>589988716170516.87</v>
      </c>
      <c r="E109" s="83">
        <v>2.1366004179494322E-4</v>
      </c>
      <c r="F109" s="83">
        <v>558161350331968.56</v>
      </c>
      <c r="G109" s="83">
        <v>1.9884332528913149E-4</v>
      </c>
      <c r="H109" s="83">
        <v>500004248123853.12</v>
      </c>
      <c r="I109" s="83">
        <v>1.8416133685086856E-4</v>
      </c>
      <c r="J109" s="83">
        <v>422897670745452.56</v>
      </c>
      <c r="K109" s="83">
        <v>1.5636006793684338E-4</v>
      </c>
      <c r="L109" s="83">
        <v>388938674924901.06</v>
      </c>
      <c r="M109" s="83">
        <v>1.4299296784644705E-4</v>
      </c>
      <c r="N109" s="83">
        <v>329333425386568.31</v>
      </c>
      <c r="O109" s="83">
        <v>1.2638439107164171E-4</v>
      </c>
      <c r="P109" s="83">
        <v>289418255305483.12</v>
      </c>
      <c r="Q109" s="83">
        <v>1.119981127856366E-4</v>
      </c>
      <c r="R109" s="83">
        <v>255680695097644.72</v>
      </c>
      <c r="S109" s="83">
        <v>9.8021759061025449E-5</v>
      </c>
      <c r="T109" s="83">
        <v>214662843741293.34</v>
      </c>
      <c r="U109" s="83">
        <v>8.5403777480262918E-5</v>
      </c>
      <c r="V109" s="83">
        <v>165596569045794.62</v>
      </c>
      <c r="W109" s="83">
        <v>6.4811233986965613E-5</v>
      </c>
      <c r="X109" s="83">
        <v>143206533589496.03</v>
      </c>
      <c r="Y109" s="83">
        <v>5.6349747821270571E-5</v>
      </c>
      <c r="Z109" s="83">
        <v>108316882659271.81</v>
      </c>
      <c r="AA109" s="83">
        <v>4.4364821041467226E-5</v>
      </c>
      <c r="AB109" s="83">
        <v>83755760386848.328</v>
      </c>
      <c r="AC109" s="83">
        <v>3.4826579470573544E-5</v>
      </c>
      <c r="AD109" s="83">
        <v>51091088454249.281</v>
      </c>
      <c r="AE109" s="83">
        <v>2.1663324109250735E-5</v>
      </c>
    </row>
    <row r="110" spans="2:31" x14ac:dyDescent="0.2">
      <c r="B110" s="83">
        <v>573886282688467</v>
      </c>
      <c r="C110" s="83">
        <v>2.1688155095585471E-4</v>
      </c>
      <c r="D110" s="83">
        <v>550121286222170.94</v>
      </c>
      <c r="E110" s="83">
        <v>2.1229814022933398E-4</v>
      </c>
      <c r="F110" s="83">
        <v>515532502110908.75</v>
      </c>
      <c r="G110" s="83">
        <v>1.9386469965668231E-4</v>
      </c>
      <c r="H110" s="83">
        <v>466263271179794.69</v>
      </c>
      <c r="I110" s="83">
        <v>1.8133765432627451E-4</v>
      </c>
      <c r="J110" s="83">
        <v>394058278566017.19</v>
      </c>
      <c r="K110" s="83">
        <v>1.547731100914586E-4</v>
      </c>
      <c r="L110" s="83">
        <v>354678083819167.62</v>
      </c>
      <c r="M110" s="83">
        <v>1.3942927062524985E-4</v>
      </c>
      <c r="N110" s="83">
        <v>303008920727814.75</v>
      </c>
      <c r="O110" s="83">
        <v>1.2429493190856369E-4</v>
      </c>
      <c r="P110" s="83">
        <v>264807158911234.44</v>
      </c>
      <c r="Q110" s="83">
        <v>1.0825501731996901E-4</v>
      </c>
      <c r="R110" s="83">
        <v>236671877425114.03</v>
      </c>
      <c r="S110" s="83">
        <v>9.6111558777086506E-5</v>
      </c>
      <c r="T110" s="83">
        <v>198993706450696.09</v>
      </c>
      <c r="U110" s="83">
        <v>8.4237957882903164E-5</v>
      </c>
      <c r="V110" s="83">
        <v>149488712088031.5</v>
      </c>
      <c r="W110" s="83">
        <v>6.240240716333296E-5</v>
      </c>
      <c r="X110" s="83">
        <v>129245906611478.67</v>
      </c>
      <c r="Y110" s="83">
        <v>5.3956901831952116E-5</v>
      </c>
      <c r="Z110" s="83">
        <v>95658538906070.141</v>
      </c>
      <c r="AA110" s="83">
        <v>4.1716770229809903E-5</v>
      </c>
      <c r="AB110" s="83">
        <v>77734484426165.266</v>
      </c>
      <c r="AC110" s="83">
        <v>3.3982694697535575E-5</v>
      </c>
      <c r="AD110" s="83">
        <v>45380771864236.062</v>
      </c>
      <c r="AE110" s="83">
        <v>2.0532025684480641E-5</v>
      </c>
    </row>
    <row r="111" spans="2:31" x14ac:dyDescent="0.2">
      <c r="B111" s="83">
        <v>533833793239707.37</v>
      </c>
      <c r="C111" s="83">
        <v>2.1381513310120027E-4</v>
      </c>
      <c r="D111" s="83">
        <v>502920553243709.44</v>
      </c>
      <c r="E111" s="83">
        <v>2.0599625244257212E-4</v>
      </c>
      <c r="F111" s="83">
        <v>479324981398970.06</v>
      </c>
      <c r="G111" s="83">
        <v>1.9167880841499248E-4</v>
      </c>
      <c r="H111" s="83">
        <v>430139335359297.06</v>
      </c>
      <c r="I111" s="83">
        <v>1.7766647225693532E-4</v>
      </c>
      <c r="J111" s="83">
        <v>360862509285713.87</v>
      </c>
      <c r="K111" s="83">
        <v>1.5104219997756323E-4</v>
      </c>
      <c r="L111" s="83">
        <v>327356606310905.94</v>
      </c>
      <c r="M111" s="83">
        <v>1.3628130981135675E-4</v>
      </c>
      <c r="N111" s="83">
        <v>278649661168574.47</v>
      </c>
      <c r="O111" s="83">
        <v>1.2096811256367362E-4</v>
      </c>
      <c r="P111" s="83">
        <v>244792302665386.44</v>
      </c>
      <c r="Q111" s="83">
        <v>1.0718857544874203E-4</v>
      </c>
      <c r="R111" s="83">
        <v>218353453709372.37</v>
      </c>
      <c r="S111" s="83">
        <v>9.5052970577447538E-5</v>
      </c>
      <c r="T111" s="83">
        <v>179664032869304.25</v>
      </c>
      <c r="U111" s="83">
        <v>8.0382782958747333E-5</v>
      </c>
      <c r="V111" s="83">
        <v>137208433499425.23</v>
      </c>
      <c r="W111" s="83">
        <v>6.0648670969953005E-5</v>
      </c>
      <c r="X111" s="83">
        <v>119557943582485.25</v>
      </c>
      <c r="Y111" s="83">
        <v>5.2949540907340637E-5</v>
      </c>
      <c r="Z111" s="83">
        <v>88508117462542.234</v>
      </c>
      <c r="AA111" s="83">
        <v>4.1036951963735093E-5</v>
      </c>
      <c r="AB111" s="83">
        <v>67916402510952.523</v>
      </c>
      <c r="AC111" s="83">
        <v>3.1666698057355665E-5</v>
      </c>
      <c r="AD111" s="83">
        <v>40297685737087.211</v>
      </c>
      <c r="AE111" s="83">
        <v>1.9489676634762881E-5</v>
      </c>
    </row>
    <row r="112" spans="2:31" x14ac:dyDescent="0.2">
      <c r="B112" s="83">
        <v>497874725037352.37</v>
      </c>
      <c r="C112" s="83">
        <v>2.1143663958212425E-4</v>
      </c>
      <c r="D112" s="83">
        <v>473425769904057</v>
      </c>
      <c r="E112" s="83">
        <v>2.0528648536848011E-4</v>
      </c>
      <c r="F112" s="83">
        <v>439325737700827.94</v>
      </c>
      <c r="G112" s="83">
        <v>1.8758006466946964E-4</v>
      </c>
      <c r="H112" s="83">
        <v>394765049691959.44</v>
      </c>
      <c r="I112" s="83">
        <v>1.730706041260646E-4</v>
      </c>
      <c r="J112" s="83">
        <v>330830263569401.44</v>
      </c>
      <c r="K112" s="83">
        <v>1.4633137336029551E-4</v>
      </c>
      <c r="L112" s="83">
        <v>300744724577894.81</v>
      </c>
      <c r="M112" s="83">
        <v>1.3467184663040527E-4</v>
      </c>
      <c r="N112" s="83">
        <v>258926011991882.97</v>
      </c>
      <c r="O112" s="83">
        <v>1.198201542871012E-4</v>
      </c>
      <c r="P112" s="83">
        <v>226256952353621.22</v>
      </c>
      <c r="Q112" s="83">
        <v>1.0580174019232665E-4</v>
      </c>
      <c r="R112" s="83">
        <v>196621925734113.37</v>
      </c>
      <c r="S112" s="83">
        <v>9.0096096390598058E-5</v>
      </c>
      <c r="T112" s="83">
        <v>163779255864767.03</v>
      </c>
      <c r="U112" s="83">
        <v>7.7148535243226152E-5</v>
      </c>
      <c r="V112" s="83">
        <v>124205005610614.83</v>
      </c>
      <c r="W112" s="83">
        <v>5.8300485129631211E-5</v>
      </c>
      <c r="X112" s="83">
        <v>106253469549483.56</v>
      </c>
      <c r="Y112" s="83">
        <v>4.9546240022257491E-5</v>
      </c>
      <c r="Z112" s="83">
        <v>75639479833559.594</v>
      </c>
      <c r="AA112" s="83">
        <v>3.7382273757588242E-5</v>
      </c>
      <c r="AB112" s="83">
        <v>61097949860062.617</v>
      </c>
      <c r="AC112" s="83">
        <v>3.0397644695742172E-5</v>
      </c>
      <c r="AD112" s="83">
        <v>36046570508861.305</v>
      </c>
      <c r="AE112" s="83">
        <v>1.8456253325316921E-5</v>
      </c>
    </row>
    <row r="113" spans="2:31" x14ac:dyDescent="0.2">
      <c r="B113" s="83">
        <v>456955819955661.87</v>
      </c>
      <c r="C113" s="83">
        <v>2.0603200744856432E-4</v>
      </c>
      <c r="D113" s="83">
        <v>430651480755783.06</v>
      </c>
      <c r="E113" s="83">
        <v>1.9915637936799256E-4</v>
      </c>
      <c r="F113" s="83">
        <v>408880532144330.5</v>
      </c>
      <c r="G113" s="83">
        <v>1.8739003195530196E-4</v>
      </c>
      <c r="H113" s="83">
        <v>366731824495304</v>
      </c>
      <c r="I113" s="83">
        <v>1.7049245474908776E-4</v>
      </c>
      <c r="J113" s="83">
        <v>304991729341255.25</v>
      </c>
      <c r="K113" s="83">
        <v>1.4348245121052351E-4</v>
      </c>
      <c r="L113" s="83">
        <v>276403104279416.84</v>
      </c>
      <c r="M113" s="83">
        <v>1.3058248682418954E-4</v>
      </c>
      <c r="N113" s="83">
        <v>240309133720496.25</v>
      </c>
      <c r="O113" s="83">
        <v>1.1777540523963669E-4</v>
      </c>
      <c r="P113" s="83">
        <v>206753910881972.12</v>
      </c>
      <c r="Q113" s="83">
        <v>1.0290427684960826E-4</v>
      </c>
      <c r="R113" s="83">
        <v>186725167523168.53</v>
      </c>
      <c r="S113" s="83">
        <v>9.1032083735522793E-5</v>
      </c>
      <c r="T113" s="83">
        <v>148926230386919.28</v>
      </c>
      <c r="U113" s="83">
        <v>7.5031277285254904E-5</v>
      </c>
      <c r="V113" s="83">
        <v>111991867313989.03</v>
      </c>
      <c r="W113" s="83">
        <v>5.6066084328673068E-5</v>
      </c>
      <c r="X113" s="83">
        <v>94503700360181.578</v>
      </c>
      <c r="Y113" s="83">
        <v>4.6934775721160228E-5</v>
      </c>
      <c r="Z113" s="83">
        <v>72399877363537.547</v>
      </c>
      <c r="AA113" s="83">
        <v>3.7980135283609943E-5</v>
      </c>
      <c r="AB113" s="83">
        <v>59216130126171.109</v>
      </c>
      <c r="AC113" s="83">
        <v>3.1014312205000376E-5</v>
      </c>
      <c r="AD113" s="83">
        <v>33922677517466.73</v>
      </c>
      <c r="AE113" s="83">
        <v>1.8455921748488665E-5</v>
      </c>
    </row>
    <row r="114" spans="2:31" x14ac:dyDescent="0.2">
      <c r="B114" s="83">
        <v>427005636469890.75</v>
      </c>
      <c r="C114" s="83">
        <v>2.0482654625841659E-4</v>
      </c>
      <c r="D114" s="83">
        <v>400443788550430.56</v>
      </c>
      <c r="E114" s="83">
        <v>1.9664506402744517E-4</v>
      </c>
      <c r="F114" s="83">
        <v>381116874813472.25</v>
      </c>
      <c r="G114" s="83">
        <v>1.8507962365971515E-4</v>
      </c>
      <c r="H114" s="83">
        <v>341313148151856.06</v>
      </c>
      <c r="I114" s="83">
        <v>1.711980118543918E-4</v>
      </c>
      <c r="J114" s="83">
        <v>279728029529636.78</v>
      </c>
      <c r="K114" s="83">
        <v>1.4211402837590903E-4</v>
      </c>
      <c r="L114" s="83">
        <v>255418968852181.31</v>
      </c>
      <c r="M114" s="83">
        <v>1.2927107012408086E-4</v>
      </c>
      <c r="N114" s="83">
        <v>218893451263379.59</v>
      </c>
      <c r="O114" s="83">
        <v>1.1417994634801379E-4</v>
      </c>
      <c r="P114" s="83">
        <v>191027352566161.12</v>
      </c>
      <c r="Q114" s="83">
        <v>1.0032381808454727E-4</v>
      </c>
      <c r="R114" s="83">
        <v>170200793026633.41</v>
      </c>
      <c r="S114" s="83">
        <v>8.8173939685334262E-5</v>
      </c>
      <c r="T114" s="83">
        <v>134469051634413.97</v>
      </c>
      <c r="U114" s="83">
        <v>7.2367491820786984E-5</v>
      </c>
      <c r="V114" s="83">
        <v>102192898120332.27</v>
      </c>
      <c r="W114" s="83">
        <v>5.4448401416191517E-5</v>
      </c>
      <c r="X114" s="83">
        <v>87958713064902.844</v>
      </c>
      <c r="Y114" s="83">
        <v>4.6695003568883158E-5</v>
      </c>
      <c r="Z114" s="83">
        <v>66407370397759.266</v>
      </c>
      <c r="AA114" s="83">
        <v>3.7517863254212823E-5</v>
      </c>
      <c r="AB114" s="83">
        <v>53509367693264.906</v>
      </c>
      <c r="AC114" s="83">
        <v>3.0142658649403312E-5</v>
      </c>
      <c r="AD114" s="83">
        <v>30591615026106.937</v>
      </c>
      <c r="AE114" s="83">
        <v>1.7477650973230187E-5</v>
      </c>
    </row>
    <row r="115" spans="2:31" x14ac:dyDescent="0.2">
      <c r="B115" s="83">
        <v>390814270933005.5</v>
      </c>
      <c r="C115" s="83">
        <v>1.9991624251112871E-4</v>
      </c>
      <c r="D115" s="83">
        <v>372843266285362.56</v>
      </c>
      <c r="E115" s="83">
        <v>1.9971397090860941E-4</v>
      </c>
      <c r="F115" s="83">
        <v>355348189283785.87</v>
      </c>
      <c r="G115" s="83">
        <v>1.8206997901849188E-4</v>
      </c>
      <c r="H115" s="83">
        <v>315625378923547.12</v>
      </c>
      <c r="I115" s="83">
        <v>1.6700923985663984E-4</v>
      </c>
      <c r="J115" s="83">
        <v>253672121388882.06</v>
      </c>
      <c r="K115" s="83">
        <v>1.3625577713424777E-4</v>
      </c>
      <c r="L115" s="83">
        <v>234352345196798.16</v>
      </c>
      <c r="M115" s="83">
        <v>1.2602706335765329E-4</v>
      </c>
      <c r="N115" s="83">
        <v>201846987236450.81</v>
      </c>
      <c r="O115" s="83">
        <v>1.1293770970532475E-4</v>
      </c>
      <c r="P115" s="83">
        <v>176581269970095.37</v>
      </c>
      <c r="Q115" s="83">
        <v>9.913181612770224E-5</v>
      </c>
      <c r="R115" s="83">
        <v>154850721433659.75</v>
      </c>
      <c r="S115" s="83">
        <v>8.4501731941507264E-5</v>
      </c>
      <c r="T115" s="83">
        <v>126930390125651.44</v>
      </c>
      <c r="U115" s="83">
        <v>7.3165482689893109E-5</v>
      </c>
      <c r="V115" s="83">
        <v>89350561228118.937</v>
      </c>
      <c r="W115" s="83">
        <v>5.1457245050009668E-5</v>
      </c>
      <c r="X115" s="83">
        <v>78460410307386.375</v>
      </c>
      <c r="Y115" s="83">
        <v>4.4254943168459301E-5</v>
      </c>
      <c r="Z115" s="83">
        <v>57875520933297.43</v>
      </c>
      <c r="AA115" s="83">
        <v>3.4861753148787948E-5</v>
      </c>
      <c r="AB115" s="83">
        <v>46610681277457.82</v>
      </c>
      <c r="AC115" s="83">
        <v>2.7866756521465638E-5</v>
      </c>
      <c r="AD115" s="83">
        <v>26821974319084.117</v>
      </c>
      <c r="AE115" s="83">
        <v>1.6537584222513131E-5</v>
      </c>
    </row>
    <row r="116" spans="2:31" x14ac:dyDescent="0.2">
      <c r="B116" s="83">
        <v>359842952805074.62</v>
      </c>
      <c r="C116" s="83">
        <v>1.959694230342862E-4</v>
      </c>
      <c r="D116" s="83">
        <v>340693948474574.12</v>
      </c>
      <c r="E116" s="83">
        <v>1.9313484946181957E-4</v>
      </c>
      <c r="F116" s="83">
        <v>325232113331978.75</v>
      </c>
      <c r="G116" s="83">
        <v>1.7625491355655675E-4</v>
      </c>
      <c r="H116" s="83">
        <v>297357823363180.69</v>
      </c>
      <c r="I116" s="83">
        <v>1.6592788513198828E-4</v>
      </c>
      <c r="J116" s="83">
        <v>236590201537845.81</v>
      </c>
      <c r="K116" s="83">
        <v>1.3597331084241738E-4</v>
      </c>
      <c r="L116" s="83">
        <v>216527477522434.69</v>
      </c>
      <c r="M116" s="83">
        <v>1.2441946762140003E-4</v>
      </c>
      <c r="N116" s="83">
        <v>185309889797978.72</v>
      </c>
      <c r="O116" s="83">
        <v>1.0974885275118245E-4</v>
      </c>
      <c r="P116" s="83">
        <v>165473509137408.28</v>
      </c>
      <c r="Q116" s="83">
        <v>9.8942108491946454E-5</v>
      </c>
      <c r="R116" s="83">
        <v>142494346107124.72</v>
      </c>
      <c r="S116" s="83">
        <v>8.3368008388439498E-5</v>
      </c>
      <c r="T116" s="83">
        <v>114223651661084.95</v>
      </c>
      <c r="U116" s="83">
        <v>6.9916554585589338E-5</v>
      </c>
      <c r="V116" s="83">
        <v>84712423687350.906</v>
      </c>
      <c r="W116" s="83">
        <v>5.1517899360498551E-5</v>
      </c>
      <c r="X116" s="83">
        <v>73971358084874.953</v>
      </c>
      <c r="Y116" s="83">
        <v>4.4705006720597663E-5</v>
      </c>
      <c r="Z116" s="83">
        <v>53442028641593.125</v>
      </c>
      <c r="AA116" s="83">
        <v>3.405546779879853E-5</v>
      </c>
      <c r="AB116" s="83">
        <v>46643096379192.133</v>
      </c>
      <c r="AC116" s="83">
        <v>2.9588954317023163E-5</v>
      </c>
      <c r="AD116" s="83">
        <v>23115236924667.164</v>
      </c>
      <c r="AE116" s="83">
        <v>1.5192072785948273E-5</v>
      </c>
    </row>
    <row r="117" spans="2:31" x14ac:dyDescent="0.2">
      <c r="B117" s="83">
        <v>337507688126136.94</v>
      </c>
      <c r="C117" s="83">
        <v>1.9805680630955268E-4</v>
      </c>
      <c r="D117" s="83">
        <v>324791983178329.62</v>
      </c>
      <c r="E117" s="83">
        <v>1.9736529252497681E-4</v>
      </c>
      <c r="F117" s="83">
        <v>294349413705842.06</v>
      </c>
      <c r="G117" s="83">
        <v>1.7040578865595583E-4</v>
      </c>
      <c r="H117" s="83">
        <v>264615438175125.81</v>
      </c>
      <c r="I117" s="83">
        <v>1.569462022598391E-4</v>
      </c>
      <c r="J117" s="83">
        <v>218923494126517.59</v>
      </c>
      <c r="K117" s="83">
        <v>1.3481553926411133E-4</v>
      </c>
      <c r="L117" s="83">
        <v>202299872969673.41</v>
      </c>
      <c r="M117" s="83">
        <v>1.222998608739264E-4</v>
      </c>
      <c r="N117" s="83">
        <v>173818710748954.59</v>
      </c>
      <c r="O117" s="83">
        <v>1.098626821508131E-4</v>
      </c>
      <c r="P117" s="83">
        <v>146231543346344.22</v>
      </c>
      <c r="Q117" s="83">
        <v>9.2701974816799106E-5</v>
      </c>
      <c r="R117" s="83">
        <v>128684129257915.19</v>
      </c>
      <c r="S117" s="83">
        <v>8.0648332654998021E-5</v>
      </c>
      <c r="T117" s="83">
        <v>107497761780116.28</v>
      </c>
      <c r="U117" s="83">
        <v>7.0182882748574338E-5</v>
      </c>
      <c r="V117" s="83">
        <v>82471797011296.187</v>
      </c>
      <c r="W117" s="83">
        <v>5.3128527717133755E-5</v>
      </c>
      <c r="X117" s="83">
        <v>65474671703230.391</v>
      </c>
      <c r="Y117" s="83">
        <v>4.1891392547280545E-5</v>
      </c>
      <c r="Z117" s="83">
        <v>46677958537091.633</v>
      </c>
      <c r="AA117" s="83">
        <v>3.1715902517065636E-5</v>
      </c>
      <c r="AB117" s="83">
        <v>41693251573261.805</v>
      </c>
      <c r="AC117" s="83">
        <v>2.8118407832870506E-5</v>
      </c>
      <c r="AD117" s="83">
        <v>21527861316623.66</v>
      </c>
      <c r="AE117" s="83">
        <v>1.5026797359486575E-5</v>
      </c>
    </row>
    <row r="118" spans="2:31" x14ac:dyDescent="0.2">
      <c r="B118" s="83">
        <v>311961989116584.44</v>
      </c>
      <c r="C118" s="83">
        <v>1.9304300309571918E-4</v>
      </c>
      <c r="D118" s="83">
        <v>296422606811372.69</v>
      </c>
      <c r="E118" s="83">
        <v>1.9022543896380579E-4</v>
      </c>
      <c r="F118" s="83">
        <v>274373761517204.37</v>
      </c>
      <c r="G118" s="83">
        <v>1.7176522671284348E-4</v>
      </c>
      <c r="H118" s="83">
        <v>243221561764924.72</v>
      </c>
      <c r="I118" s="83">
        <v>1.5515114325943371E-4</v>
      </c>
      <c r="J118" s="83">
        <v>200019383366978.44</v>
      </c>
      <c r="K118" s="83">
        <v>1.3043591328054267E-4</v>
      </c>
      <c r="L118" s="83">
        <v>184089462311263.56</v>
      </c>
      <c r="M118" s="83">
        <v>1.1965023949277648E-4</v>
      </c>
      <c r="N118" s="83">
        <v>156029059634864.5</v>
      </c>
      <c r="O118" s="83">
        <v>1.0488451316464528E-4</v>
      </c>
      <c r="P118" s="83">
        <v>134679293633762.62</v>
      </c>
      <c r="Q118" s="83">
        <v>9.0966421432151556E-5</v>
      </c>
      <c r="R118" s="83">
        <v>120388448563497.14</v>
      </c>
      <c r="S118" s="83">
        <v>7.9155987445568736E-5</v>
      </c>
      <c r="T118" s="83">
        <v>93260036605511.656</v>
      </c>
      <c r="U118" s="83">
        <v>6.542704019568651E-5</v>
      </c>
      <c r="V118" s="83">
        <v>67729446649408.234</v>
      </c>
      <c r="W118" s="83">
        <v>4.6371273777557123E-5</v>
      </c>
      <c r="X118" s="83">
        <v>57170038675822.086</v>
      </c>
      <c r="Y118" s="83">
        <v>3.9440836495357927E-5</v>
      </c>
      <c r="Z118" s="83">
        <v>44207826153395.617</v>
      </c>
      <c r="AA118" s="83">
        <v>3.2286200037258766E-5</v>
      </c>
      <c r="AB118" s="83">
        <v>36296168273918.523</v>
      </c>
      <c r="AC118" s="83">
        <v>2.5997929233873759E-5</v>
      </c>
      <c r="AD118" s="83">
        <v>20822687338503.367</v>
      </c>
      <c r="AE118" s="83">
        <v>1.5294623920554733E-5</v>
      </c>
    </row>
    <row r="119" spans="2:31" x14ac:dyDescent="0.2">
      <c r="B119" s="83">
        <v>287244506489014.5</v>
      </c>
      <c r="C119" s="83">
        <v>1.8881824272128181E-4</v>
      </c>
      <c r="D119" s="83">
        <v>274247696088823.47</v>
      </c>
      <c r="E119" s="83">
        <v>1.8443692376155462E-4</v>
      </c>
      <c r="F119" s="83">
        <v>255640418130270.59</v>
      </c>
      <c r="G119" s="83">
        <v>1.7349625861256711E-4</v>
      </c>
      <c r="H119" s="83">
        <v>226061113817484.41</v>
      </c>
      <c r="I119" s="83">
        <v>1.5640756312571637E-4</v>
      </c>
      <c r="J119" s="83">
        <v>186084023909088.5</v>
      </c>
      <c r="K119" s="83">
        <v>1.2875391279782892E-4</v>
      </c>
      <c r="L119" s="83">
        <v>162945218836781.72</v>
      </c>
      <c r="M119" s="83">
        <v>1.1112609818016915E-4</v>
      </c>
      <c r="N119" s="83">
        <v>149036534206730.69</v>
      </c>
      <c r="O119" s="83">
        <v>1.066240353199905E-4</v>
      </c>
      <c r="P119" s="83">
        <v>128463207683718.28</v>
      </c>
      <c r="Q119" s="83">
        <v>9.3081134451284279E-5</v>
      </c>
      <c r="R119" s="83">
        <v>109482713475173.41</v>
      </c>
      <c r="S119" s="83">
        <v>7.8394612766233E-5</v>
      </c>
      <c r="T119" s="83">
        <v>90658547586044.375</v>
      </c>
      <c r="U119" s="83">
        <v>6.7012386115573164E-5</v>
      </c>
      <c r="V119" s="83">
        <v>65686157811885.828</v>
      </c>
      <c r="W119" s="83">
        <v>4.71571844057683E-5</v>
      </c>
      <c r="X119" s="83">
        <v>54003808730634.242</v>
      </c>
      <c r="Y119" s="83">
        <v>3.9714947500346058E-5</v>
      </c>
      <c r="Z119" s="83">
        <v>38928216049186.297</v>
      </c>
      <c r="AA119" s="83">
        <v>3.024364060243715E-5</v>
      </c>
      <c r="AB119" s="83">
        <v>30518331640417.738</v>
      </c>
      <c r="AC119" s="83">
        <v>2.3441902930888811E-5</v>
      </c>
      <c r="AD119" s="83">
        <v>17034975158253.322</v>
      </c>
      <c r="AE119" s="83">
        <v>1.3274837698731347E-5</v>
      </c>
    </row>
    <row r="120" spans="2:31" x14ac:dyDescent="0.2">
      <c r="B120" s="83">
        <v>265497446109545.81</v>
      </c>
      <c r="C120" s="83">
        <v>1.8580953917511625E-4</v>
      </c>
      <c r="D120" s="83">
        <v>254466328282625.94</v>
      </c>
      <c r="E120" s="83">
        <v>1.8517801820458292E-4</v>
      </c>
      <c r="F120" s="83">
        <v>236430795118342.06</v>
      </c>
      <c r="G120" s="83">
        <v>1.6902434146436914E-4</v>
      </c>
      <c r="H120" s="83">
        <v>213126410746238.75</v>
      </c>
      <c r="I120" s="83">
        <v>1.5737830686043752E-4</v>
      </c>
      <c r="J120" s="83">
        <v>167428814753010.16</v>
      </c>
      <c r="K120" s="83">
        <v>1.2459913617936656E-4</v>
      </c>
      <c r="L120" s="83">
        <v>156421024782421.25</v>
      </c>
      <c r="M120" s="83">
        <v>1.1540240233660037E-4</v>
      </c>
      <c r="N120" s="83">
        <v>132602570477704.83</v>
      </c>
      <c r="O120" s="83">
        <v>1.0184864708290963E-4</v>
      </c>
      <c r="P120" s="83">
        <v>116319866816096.08</v>
      </c>
      <c r="Q120" s="83">
        <v>9.0651927272076475E-5</v>
      </c>
      <c r="R120" s="83">
        <v>101288307074124.75</v>
      </c>
      <c r="S120" s="83">
        <v>7.6914977272323859E-5</v>
      </c>
      <c r="T120" s="83">
        <v>82186346411491.281</v>
      </c>
      <c r="U120" s="83">
        <v>6.5683802482042081E-5</v>
      </c>
      <c r="V120" s="83">
        <v>55709078361543.367</v>
      </c>
      <c r="W120" s="83">
        <v>4.3546153660891478E-5</v>
      </c>
      <c r="X120" s="83">
        <v>50148239233763.812</v>
      </c>
      <c r="Y120" s="83">
        <v>3.9253820489617144E-5</v>
      </c>
      <c r="Z120" s="83">
        <v>37386553536830.164</v>
      </c>
      <c r="AA120" s="83">
        <v>3.096584483664333E-5</v>
      </c>
      <c r="AB120" s="83">
        <v>30163532037802.422</v>
      </c>
      <c r="AC120" s="83">
        <v>2.4811356299709466E-5</v>
      </c>
      <c r="AD120" s="83">
        <v>13633537498870.896</v>
      </c>
      <c r="AE120" s="83">
        <v>1.1495611467334397E-5</v>
      </c>
    </row>
    <row r="121" spans="2:31" x14ac:dyDescent="0.2">
      <c r="B121" s="83">
        <v>249534015034279.5</v>
      </c>
      <c r="C121" s="83">
        <v>1.8814617640345387E-4</v>
      </c>
      <c r="D121" s="83">
        <v>233929631123079.66</v>
      </c>
      <c r="E121" s="83">
        <v>1.8339798580601941E-4</v>
      </c>
      <c r="F121" s="83">
        <v>219503603427661.44</v>
      </c>
      <c r="G121" s="83">
        <v>1.6578484084157335E-4</v>
      </c>
      <c r="H121" s="83">
        <v>192013992497379.75</v>
      </c>
      <c r="I121" s="83">
        <v>1.5120272280067667E-4</v>
      </c>
      <c r="J121" s="83">
        <v>158896154437242.25</v>
      </c>
      <c r="K121" s="83">
        <v>1.282583789350446E-4</v>
      </c>
      <c r="L121" s="83">
        <v>136862944068848.77</v>
      </c>
      <c r="M121" s="83">
        <v>1.0896483183988476E-4</v>
      </c>
      <c r="N121" s="83">
        <v>123164113392830</v>
      </c>
      <c r="O121" s="83">
        <v>1.0052680456125843E-4</v>
      </c>
      <c r="P121" s="83">
        <v>108479430742459.11</v>
      </c>
      <c r="Q121" s="83">
        <v>8.7848825030682461E-5</v>
      </c>
      <c r="R121" s="83">
        <v>95399969544309.797</v>
      </c>
      <c r="S121" s="83">
        <v>7.6835358074873252E-5</v>
      </c>
      <c r="T121" s="83">
        <v>74392112733592.375</v>
      </c>
      <c r="U121" s="83">
        <v>6.371623940811353E-5</v>
      </c>
      <c r="V121" s="83">
        <v>52014556517458.812</v>
      </c>
      <c r="W121" s="83">
        <v>4.3094377737348112E-5</v>
      </c>
      <c r="X121" s="83">
        <v>42480755322476.312</v>
      </c>
      <c r="Y121" s="83">
        <v>3.5213128683595304E-5</v>
      </c>
      <c r="Z121" s="83">
        <v>34818116035065.426</v>
      </c>
      <c r="AA121" s="83">
        <v>3.0501874583670582E-5</v>
      </c>
      <c r="AB121" s="83">
        <v>28389995442606.91</v>
      </c>
      <c r="AC121" s="83">
        <v>2.480310522095035E-5</v>
      </c>
      <c r="AD121" s="83">
        <v>14161049282395.039</v>
      </c>
      <c r="AE121" s="83">
        <v>1.2669810908589058E-5</v>
      </c>
    </row>
    <row r="122" spans="2:31" x14ac:dyDescent="0.2">
      <c r="B122" s="83">
        <v>222458008513856.28</v>
      </c>
      <c r="C122" s="83">
        <v>1.7724187970013003E-4</v>
      </c>
      <c r="D122" s="83">
        <v>217383351078386.06</v>
      </c>
      <c r="E122" s="83">
        <v>1.7909815104741927E-4</v>
      </c>
      <c r="F122" s="83">
        <v>199955112352945.84</v>
      </c>
      <c r="G122" s="83">
        <v>1.6178687126792467E-4</v>
      </c>
      <c r="H122" s="83">
        <v>183306585968723.06</v>
      </c>
      <c r="I122" s="83">
        <v>1.5419999603236056E-4</v>
      </c>
      <c r="J122" s="83">
        <v>145860270414014.19</v>
      </c>
      <c r="K122" s="83">
        <v>1.2513171799583231E-4</v>
      </c>
      <c r="L122" s="83">
        <v>129160602821975.36</v>
      </c>
      <c r="M122" s="83">
        <v>1.083001282999514E-4</v>
      </c>
      <c r="N122" s="83">
        <v>112308005275797.98</v>
      </c>
      <c r="O122" s="83">
        <v>9.9372741816099931E-5</v>
      </c>
      <c r="P122" s="83">
        <v>99384566031275.953</v>
      </c>
      <c r="Q122" s="83">
        <v>8.7762942015488188E-5</v>
      </c>
      <c r="R122" s="83">
        <v>81071380103869.687</v>
      </c>
      <c r="S122" s="83">
        <v>7.0045787425558931E-5</v>
      </c>
      <c r="T122" s="83">
        <v>70204436485068.297</v>
      </c>
      <c r="U122" s="83">
        <v>6.4067790903191865E-5</v>
      </c>
      <c r="V122" s="83">
        <v>47283963660530.305</v>
      </c>
      <c r="W122" s="83">
        <v>4.1717813929721799E-5</v>
      </c>
      <c r="X122" s="83">
        <v>37290140512937.984</v>
      </c>
      <c r="Y122" s="83">
        <v>3.3267228834560111E-5</v>
      </c>
      <c r="Z122" s="83">
        <v>31019317867179.402</v>
      </c>
      <c r="AA122" s="83">
        <v>2.8750428435234285E-5</v>
      </c>
      <c r="AB122" s="83">
        <v>28454438024804.344</v>
      </c>
      <c r="AC122" s="83">
        <v>2.6524704687423027E-5</v>
      </c>
      <c r="AD122" s="83">
        <v>13867959726404.762</v>
      </c>
      <c r="AE122" s="83">
        <v>1.3518386291801784E-5</v>
      </c>
    </row>
    <row r="123" spans="2:31" x14ac:dyDescent="0.2">
      <c r="B123" s="83">
        <v>208728733208734.16</v>
      </c>
      <c r="C123" s="83">
        <v>1.8352763015811737E-4</v>
      </c>
      <c r="D123" s="83">
        <v>201874146021702.87</v>
      </c>
      <c r="E123" s="83">
        <v>1.7990747215847981E-4</v>
      </c>
      <c r="F123" s="83">
        <v>184708003550486.94</v>
      </c>
      <c r="G123" s="83">
        <v>1.6045578096103694E-4</v>
      </c>
      <c r="H123" s="83">
        <v>167477564175047.81</v>
      </c>
      <c r="I123" s="83">
        <v>1.5054717911200348E-4</v>
      </c>
      <c r="J123" s="83">
        <v>136252431472595.37</v>
      </c>
      <c r="K123" s="83">
        <v>1.2389821257161864E-4</v>
      </c>
      <c r="L123" s="83">
        <v>117277637166394.08</v>
      </c>
      <c r="M123" s="83">
        <v>1.0877938867782529E-4</v>
      </c>
      <c r="N123" s="83">
        <v>102197301618413.5</v>
      </c>
      <c r="O123" s="83">
        <v>9.5613337018804446E-5</v>
      </c>
      <c r="P123" s="83">
        <v>89086524445992.734</v>
      </c>
      <c r="Q123" s="83">
        <v>8.3551318989680482E-5</v>
      </c>
      <c r="R123" s="83">
        <v>79126950498972.469</v>
      </c>
      <c r="S123" s="83">
        <v>7.3358457325897405E-5</v>
      </c>
      <c r="T123" s="83">
        <v>64721613509821.937</v>
      </c>
      <c r="U123" s="83">
        <v>6.2188348266554763E-5</v>
      </c>
      <c r="V123" s="83">
        <v>44324244366629.562</v>
      </c>
      <c r="W123" s="83">
        <v>4.1326630187591486E-5</v>
      </c>
      <c r="X123" s="83">
        <v>34751083557629.707</v>
      </c>
      <c r="Y123" s="83">
        <v>3.3194494949803271E-5</v>
      </c>
      <c r="Z123" s="83">
        <v>25720247923250.832</v>
      </c>
      <c r="AA123" s="83">
        <v>2.5394968549882204E-5</v>
      </c>
      <c r="AB123" s="83">
        <v>21625691622369</v>
      </c>
      <c r="AC123" s="83">
        <v>2.1512186872327993E-5</v>
      </c>
      <c r="AD123" s="83">
        <v>12080971802786.779</v>
      </c>
      <c r="AE123" s="83">
        <v>1.221092018960375E-5</v>
      </c>
    </row>
    <row r="124" spans="2:31" x14ac:dyDescent="0.2">
      <c r="B124" s="83">
        <v>192799112790831.59</v>
      </c>
      <c r="C124" s="83">
        <v>1.8104967679467737E-4</v>
      </c>
      <c r="D124" s="83">
        <v>183749933238098.16</v>
      </c>
      <c r="E124" s="83">
        <v>1.7770676006194434E-4</v>
      </c>
      <c r="F124" s="83">
        <v>169226003174684.81</v>
      </c>
      <c r="G124" s="83">
        <v>1.5736360219774823E-4</v>
      </c>
      <c r="H124" s="83">
        <v>153762878099983.69</v>
      </c>
      <c r="I124" s="83">
        <v>1.4804580198171541E-4</v>
      </c>
      <c r="J124" s="83">
        <v>123777239250978.53</v>
      </c>
      <c r="K124" s="83">
        <v>1.1876764039329629E-4</v>
      </c>
      <c r="L124" s="83">
        <v>108810738879945.11</v>
      </c>
      <c r="M124" s="83">
        <v>1.0527768883043544E-4</v>
      </c>
      <c r="N124" s="83">
        <v>99155401485251.469</v>
      </c>
      <c r="O124" s="83">
        <v>1.0093111959788897E-4</v>
      </c>
      <c r="P124" s="83">
        <v>84476244322381.141</v>
      </c>
      <c r="Q124" s="83">
        <v>8.5308886732089534E-5</v>
      </c>
      <c r="R124" s="83">
        <v>75062679085485.406</v>
      </c>
      <c r="S124" s="83">
        <v>7.3907129179396572E-5</v>
      </c>
      <c r="T124" s="83">
        <v>58071746224320.047</v>
      </c>
      <c r="U124" s="83">
        <v>5.8865596978320862E-5</v>
      </c>
      <c r="V124" s="83">
        <v>39791390566856.687</v>
      </c>
      <c r="W124" s="83">
        <v>4.0869127169226522E-5</v>
      </c>
      <c r="X124" s="83">
        <v>31959660270921.402</v>
      </c>
      <c r="Y124" s="83">
        <v>3.3268903714725484E-5</v>
      </c>
      <c r="Z124" s="83">
        <v>21997867873541.367</v>
      </c>
      <c r="AA124" s="83">
        <v>2.3803207437880003E-5</v>
      </c>
      <c r="AB124" s="83">
        <v>20242197825264.293</v>
      </c>
      <c r="AC124" s="83">
        <v>2.1282822265142616E-5</v>
      </c>
      <c r="AD124" s="83">
        <v>9300794632949.9102</v>
      </c>
      <c r="AE124" s="83">
        <v>1.0162240535509595E-5</v>
      </c>
    </row>
    <row r="125" spans="2:31" x14ac:dyDescent="0.2">
      <c r="B125" s="83">
        <v>180222768658822.31</v>
      </c>
      <c r="C125" s="83">
        <v>1.8177920658019658E-4</v>
      </c>
      <c r="D125" s="83">
        <v>173444187283148.44</v>
      </c>
      <c r="E125" s="83">
        <v>1.7878907480175051E-4</v>
      </c>
      <c r="F125" s="83">
        <v>152779093221665.62</v>
      </c>
      <c r="G125" s="83">
        <v>1.5289224620106679E-4</v>
      </c>
      <c r="H125" s="83">
        <v>143497102527285.19</v>
      </c>
      <c r="I125" s="83">
        <v>1.5095382005444322E-4</v>
      </c>
      <c r="J125" s="83">
        <v>113477984816466.5</v>
      </c>
      <c r="K125" s="83">
        <v>1.1833648721764072E-4</v>
      </c>
      <c r="L125" s="83">
        <v>104682774049520.69</v>
      </c>
      <c r="M125" s="83">
        <v>1.0978814472760205E-4</v>
      </c>
      <c r="N125" s="83">
        <v>86653438941655.359</v>
      </c>
      <c r="O125" s="83">
        <v>9.4640363814540982E-5</v>
      </c>
      <c r="P125" s="83">
        <v>80379952147557.469</v>
      </c>
      <c r="Q125" s="83">
        <v>8.7520430480697911E-5</v>
      </c>
      <c r="R125" s="83">
        <v>67424876158588.937</v>
      </c>
      <c r="S125" s="83">
        <v>7.1755733371155992E-5</v>
      </c>
      <c r="T125" s="83">
        <v>50383441698169.844</v>
      </c>
      <c r="U125" s="83">
        <v>5.5091719833432117E-5</v>
      </c>
      <c r="V125" s="83">
        <v>33535709551589.816</v>
      </c>
      <c r="W125" s="83">
        <v>3.6158928613971561E-5</v>
      </c>
      <c r="X125" s="83">
        <v>30691323022814.898</v>
      </c>
      <c r="Y125" s="83">
        <v>3.3562103871978403E-5</v>
      </c>
      <c r="Z125" s="83">
        <v>21861345346908.344</v>
      </c>
      <c r="AA125" s="83">
        <v>2.5442029210290621E-5</v>
      </c>
      <c r="AB125" s="83">
        <v>17316227962444.148</v>
      </c>
      <c r="AC125" s="83">
        <v>1.9621219259511654E-5</v>
      </c>
      <c r="AD125" s="83">
        <v>8803679412687.748</v>
      </c>
      <c r="AE125" s="83">
        <v>1.0372387115133804E-5</v>
      </c>
    </row>
    <row r="126" spans="2:31" x14ac:dyDescent="0.2">
      <c r="B126" s="83">
        <v>162841932026863.91</v>
      </c>
      <c r="C126" s="83">
        <v>0</v>
      </c>
      <c r="D126" s="83">
        <v>159243944166729.19</v>
      </c>
      <c r="E126" s="83">
        <v>0</v>
      </c>
      <c r="F126" s="83">
        <v>143063064575462.09</v>
      </c>
      <c r="G126" s="83">
        <v>0</v>
      </c>
      <c r="H126" s="83">
        <v>132537714920235.47</v>
      </c>
      <c r="I126" s="83">
        <v>0</v>
      </c>
      <c r="J126" s="83">
        <v>106327950506471.09</v>
      </c>
      <c r="K126" s="83">
        <v>0</v>
      </c>
      <c r="L126" s="83">
        <v>87512798119379.937</v>
      </c>
      <c r="M126" s="83">
        <v>0</v>
      </c>
      <c r="N126" s="83">
        <v>81509355674994.437</v>
      </c>
      <c r="O126" s="83">
        <v>0</v>
      </c>
      <c r="P126" s="83">
        <v>76378150427163.703</v>
      </c>
      <c r="Q126" s="83">
        <v>0</v>
      </c>
      <c r="R126" s="83">
        <v>61116283497289.102</v>
      </c>
      <c r="S126" s="83">
        <v>0</v>
      </c>
      <c r="T126" s="83">
        <v>48086789275618.477</v>
      </c>
      <c r="U126" s="83">
        <v>0</v>
      </c>
      <c r="V126" s="83">
        <v>30353116138519.707</v>
      </c>
      <c r="W126" s="83">
        <v>0</v>
      </c>
      <c r="X126" s="83">
        <v>26562595353404.449</v>
      </c>
      <c r="Y126" s="83">
        <v>0</v>
      </c>
      <c r="Z126" s="83">
        <v>21485916935583.32</v>
      </c>
      <c r="AA126" s="83">
        <v>0</v>
      </c>
      <c r="AB126" s="83">
        <v>16577169712256.27</v>
      </c>
      <c r="AC126" s="83">
        <v>0</v>
      </c>
      <c r="AD126" s="83">
        <v>6991881279076.6855</v>
      </c>
      <c r="AE126" s="83">
        <v>0</v>
      </c>
    </row>
    <row r="127" spans="2:31" x14ac:dyDescent="0.2">
      <c r="B127" s="83">
        <v>152887615236831.5</v>
      </c>
      <c r="C127" s="83">
        <v>0</v>
      </c>
      <c r="D127" s="83">
        <v>142751117374131.91</v>
      </c>
      <c r="E127" s="83">
        <v>0</v>
      </c>
      <c r="F127" s="83">
        <v>136283266390073.52</v>
      </c>
      <c r="G127" s="83">
        <v>0</v>
      </c>
      <c r="H127" s="83">
        <v>129915868852006.53</v>
      </c>
      <c r="I127" s="83">
        <v>0</v>
      </c>
      <c r="J127" s="83">
        <v>101995912277226.09</v>
      </c>
      <c r="K127" s="83">
        <v>0</v>
      </c>
      <c r="L127" s="83">
        <v>84782178504908.344</v>
      </c>
      <c r="M127" s="83">
        <v>0</v>
      </c>
      <c r="N127" s="83">
        <v>77199949641044.969</v>
      </c>
      <c r="O127" s="83">
        <v>0</v>
      </c>
      <c r="P127" s="83">
        <v>70332067576571.797</v>
      </c>
      <c r="Q127" s="83">
        <v>0</v>
      </c>
      <c r="R127" s="83">
        <v>56090429062932.695</v>
      </c>
      <c r="S127" s="83">
        <v>0</v>
      </c>
      <c r="T127" s="83">
        <v>43120374294361.445</v>
      </c>
      <c r="U127" s="83">
        <v>0</v>
      </c>
      <c r="V127" s="83">
        <v>28130248295923.687</v>
      </c>
      <c r="W127" s="83">
        <v>0</v>
      </c>
      <c r="X127" s="83">
        <v>21461385671421.18</v>
      </c>
      <c r="Y127" s="83">
        <v>0</v>
      </c>
      <c r="Z127" s="83">
        <v>19472857091087.43</v>
      </c>
      <c r="AA127" s="83">
        <v>0</v>
      </c>
      <c r="AB127" s="83">
        <v>14682069090794.621</v>
      </c>
      <c r="AC127" s="83">
        <v>0</v>
      </c>
      <c r="AD127" s="83">
        <v>7371646287148.1045</v>
      </c>
      <c r="AE127" s="83">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123</vt:i4>
      </vt:variant>
    </vt:vector>
  </HeadingPairs>
  <TitlesOfParts>
    <vt:vector size="129" baseType="lpstr">
      <vt:lpstr>User</vt:lpstr>
      <vt:lpstr>Settings</vt:lpstr>
      <vt:lpstr>Summary</vt:lpstr>
      <vt:lpstr>Multi</vt:lpstr>
      <vt:lpstr>RawData</vt:lpstr>
      <vt:lpstr>Plots</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BaseGainFlag</vt:lpstr>
      <vt:lpstr>BiasLight</vt:lpstr>
      <vt:lpstr>BiasPtCD</vt:lpstr>
      <vt:lpstr>C_cal</vt:lpstr>
      <vt:lpstr>C_wafer</vt:lpstr>
      <vt:lpstr>CorrectedResistivity</vt:lpstr>
      <vt:lpstr>CorrectedSheetRho</vt:lpstr>
      <vt:lpstr>CouplingMode</vt:lpstr>
      <vt:lpstr>cutoffflag</vt:lpstr>
      <vt:lpstr>Dark_Voltage</vt:lpstr>
      <vt:lpstr>DK</vt:lpstr>
      <vt:lpstr>DL</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HighTemp</vt:lpstr>
      <vt:lpstr>ImpliedVoc1sun</vt:lpstr>
      <vt:lpstr>InputResistivity</vt:lpstr>
      <vt:lpstr>InstrumentSN</vt:lpstr>
      <vt:lpstr>InstrumentType</vt:lpstr>
      <vt:lpstr>IsLogged</vt:lpstr>
      <vt:lpstr>Jo</vt:lpstr>
      <vt:lpstr>LifetimeTextLabel</vt:lpstr>
      <vt:lpstr>LightBiasErrorMsg</vt:lpstr>
      <vt:lpstr>LowTemp</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MeasureTempCmd</vt:lpstr>
      <vt:lpstr>MinApparentCD</vt:lpstr>
      <vt:lpstr>MinTauLimit</vt:lpstr>
      <vt:lpstr>MobilityModel</vt:lpstr>
      <vt:lpstr>mobilitymodelerror</vt:lpstr>
      <vt:lpstr>MobilityModelList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SampleNameUserSheet</vt:lpstr>
      <vt:lpstr>SampleType</vt:lpstr>
      <vt:lpstr>SheetResistance</vt:lpstr>
      <vt:lpstr>ShowUserForm</vt:lpstr>
      <vt:lpstr>SpecMCD</vt:lpstr>
      <vt:lpstr>SpecMCDminusTraps</vt:lpstr>
      <vt:lpstr>StepSize</vt:lpstr>
      <vt:lpstr>TauFitIntercept</vt:lpstr>
      <vt:lpstr>TauInvspecMCD</vt:lpstr>
      <vt:lpstr>Temperature</vt:lpstr>
      <vt:lpstr>TempScanAverage</vt:lpstr>
      <vt:lpstr>TextSummary</vt:lpstr>
      <vt:lpstr>TextSummaryFN</vt:lpstr>
      <vt:lpstr>TF_List</vt:lpstr>
      <vt:lpstr>TF_PassFail</vt:lpstr>
      <vt:lpstr>Thickness</vt:lpstr>
      <vt:lpstr>TimeofMaxCD</vt:lpstr>
      <vt:lpstr>TimeScaleFlags</vt:lpstr>
      <vt:lpstr>TNumTaus</vt:lpstr>
      <vt:lpstr>Tolerance</vt:lpstr>
      <vt:lpstr>TransFlashDelay</vt:lpstr>
      <vt:lpstr>Traps</vt:lpstr>
      <vt:lpstr>TSampleTime</vt:lpstr>
      <vt:lpstr>type_list</vt:lpstr>
      <vt:lpstr>ViewPoint</vt:lpstr>
      <vt:lpstr>VRangeList</vt:lpstr>
      <vt:lpstr>xferFlag</vt:lpstr>
      <vt:lpstr>ZeroInstrCmd</vt:lpstr>
      <vt:lpstr>ZeroInstTime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Operator</cp:lastModifiedBy>
  <cp:lastPrinted>2012-01-16T22:35:25Z</cp:lastPrinted>
  <dcterms:created xsi:type="dcterms:W3CDTF">1998-06-23T16:13:05Z</dcterms:created>
  <dcterms:modified xsi:type="dcterms:W3CDTF">2015-02-21T02:31:02Z</dcterms:modified>
</cp:coreProperties>
</file>