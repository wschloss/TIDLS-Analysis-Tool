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xml"/>
  <Override PartName="/xl/charts/chart6.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charts/chart7.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14505" yWindow="405" windowWidth="9495" windowHeight="9720"/>
  </bookViews>
  <sheets>
    <sheet name="User" sheetId="8" r:id="rId1"/>
    <sheet name="Calc" sheetId="3" state="veryHidden" r:id="rId2"/>
    <sheet name="Settings" sheetId="14" r:id="rId3"/>
    <sheet name="Summary" sheetId="9" r:id="rId4"/>
    <sheet name="Multi" sheetId="21" r:id="rId5"/>
    <sheet name="RawData" sheetId="15" r:id="rId6"/>
    <sheet name="Command" sheetId="13" state="veryHidden" r:id="rId7"/>
    <sheet name="Module1" sheetId="4" state="veryHidden" r:id=""/>
    <sheet name="Plots" sheetId="20" r:id="rId8"/>
  </sheets>
  <functionGroups builtInGroupCount="17"/>
  <definedNames>
    <definedName name="A_cal">Settings!$C$6</definedName>
    <definedName name="AccessSummary">Settings!$E$6</definedName>
    <definedName name="AccessSummaryFN">Settings!$F$6</definedName>
    <definedName name="Air_Voltage">Settings!$C$10</definedName>
    <definedName name="AirVoltageError">Calc!$R$4</definedName>
    <definedName name="AirVoltageRange">Settings!$E$26</definedName>
    <definedName name="AirVStdev">Settings!$O$15</definedName>
    <definedName name="AnalysisMode">User!$H$6</definedName>
    <definedName name="AnalysisModeErrorMsg">Calc!$T$1</definedName>
    <definedName name="AreaFrac">Settings!$C$15</definedName>
    <definedName name="Auger_Coefficient">Settings!$C$13</definedName>
    <definedName name="AugerModel">Settings!$C$17</definedName>
    <definedName name="AugerModelList">Command!$B$40:$B$41</definedName>
    <definedName name="AutoRescale">Settings!$E$14</definedName>
    <definedName name="AutoSummary">Settings!$E$7</definedName>
    <definedName name="AveInvTau">Calc!#REF!</definedName>
    <definedName name="B_cal">Settings!$C$7</definedName>
    <definedName name="BandGapOption">Settings!#REF!</definedName>
    <definedName name="BaseGainFlag">Command!$E$5</definedName>
    <definedName name="BiasLight">User!$G$6</definedName>
    <definedName name="BiasPtCD">Calc!$M$6</definedName>
    <definedName name="C_cal">Settings!$C$9</definedName>
    <definedName name="C_wafer">Settings!$H$6</definedName>
    <definedName name="CorrectedResistivity">Calc!$AE$6</definedName>
    <definedName name="CorrectedSheetRho">Calc!$AD$6</definedName>
    <definedName name="CouplingMode">Settings!$C$14</definedName>
    <definedName name="cutoffflag">Command!$E$13</definedName>
    <definedName name="Dark_Voltage">Calc!$A$6</definedName>
    <definedName name="DK">Command!$B$46</definedName>
    <definedName name="DL">Command!$B$47</definedName>
    <definedName name="ExcelAutosave">Settings!$E$11</definedName>
    <definedName name="ExcelSummary">Settings!$E$4</definedName>
    <definedName name="ExcelSummaryFN">Settings!$F$4</definedName>
    <definedName name="FirstPoint">Calc!$L$6</definedName>
    <definedName name="Fit_Range">Settings!$C$16</definedName>
    <definedName name="FitIntercept">Calc!$Q$6</definedName>
    <definedName name="FitInterceptAuger">Calc!$U$6</definedName>
    <definedName name="FitRangeMax">Calc!$H$6</definedName>
    <definedName name="FitRangeMin">Calc!$G$6</definedName>
    <definedName name="FitSlope">Calc!$P$6</definedName>
    <definedName name="FitSlopeAuger">Calc!$T$6</definedName>
    <definedName name="flashWaitFlag">Command!$E$10</definedName>
    <definedName name="HighTemp">User!$M$6</definedName>
    <definedName name="ImpliedVoc1sun">Calc!$AB$6</definedName>
    <definedName name="InputRangeAvg">#REF!</definedName>
    <definedName name="InputRangeFit">#REF!</definedName>
    <definedName name="InputRangeMCD">#REF!</definedName>
    <definedName name="InputRangeMode">#REF!</definedName>
    <definedName name="InputRangeOptConst">#REF!</definedName>
    <definedName name="InputRangePC">#REF!</definedName>
    <definedName name="InputRangeRef">#REF!</definedName>
    <definedName name="InputRangeType">#REF!</definedName>
    <definedName name="InputResCoverSheet">#REF!</definedName>
    <definedName name="InputResistivity">User!$C$6</definedName>
    <definedName name="InstrumentSN">Settings!$C$4</definedName>
    <definedName name="InstrumentType">Settings!$C$3</definedName>
    <definedName name="IsLogged">User!$K$6</definedName>
    <definedName name="Jo">Calc!$AA$6</definedName>
    <definedName name="LifetimeTextLabel">Calc!$M$1</definedName>
    <definedName name="LightBiasErrorMsg">Calc!$R$3</definedName>
    <definedName name="LowTemp">User!$L$6</definedName>
    <definedName name="ltransientFlag">Command!$E$7</definedName>
    <definedName name="MaxApparentCD">Calc!$J$6</definedName>
    <definedName name="MaxSuns">Calc!$F$6</definedName>
    <definedName name="MaxTauLimit">Settings!$C$25</definedName>
    <definedName name="MCDErrorMsg">Calc!$R$2</definedName>
    <definedName name="MeasDate">Calc!$F$1</definedName>
    <definedName name="MeasTime">Calc!$F$2</definedName>
    <definedName name="MeasureCmd">Command!$H$4</definedName>
    <definedName name="MeasuredLifetime">Calc!$R$6</definedName>
    <definedName name="MeasuredLifetimeAuger">Calc!$V$6</definedName>
    <definedName name="MeasuredResistivity">Calc!$C$6</definedName>
    <definedName name="MeasureTempCmd">Command!$H$6</definedName>
    <definedName name="MinApparentCD">Calc!$I$6</definedName>
    <definedName name="MinTauLimit">Settings!$C$24</definedName>
    <definedName name="MobilityModel">Settings!$C$18</definedName>
    <definedName name="mobilitymodelerror">Calc!$T$2</definedName>
    <definedName name="MobilityModelList">Command!$B$46:$B$47</definedName>
    <definedName name="Mode_List">Command!$B$32:$B$35</definedName>
    <definedName name="ntransientFlag">Command!$E$8</definedName>
    <definedName name="numflashes">Command!$C$11</definedName>
    <definedName name="numFlashesFlag">Command!$E$11</definedName>
    <definedName name="NumFlashesInitial">Settings!$E$20</definedName>
    <definedName name="ONOFFList">Command!$B$43:$B$44</definedName>
    <definedName name="OptConst">User!$E$6</definedName>
    <definedName name="PassFailMsg">Settings!$C$26</definedName>
    <definedName name="PathName">Command!$H$3</definedName>
    <definedName name="PC_ZoomIn">Command!$C$23</definedName>
    <definedName name="PC_ZoomOut">Command!$C$22</definedName>
    <definedName name="PCGainFlag">Command!$E$3</definedName>
    <definedName name="PCRange">Command!$C$3</definedName>
    <definedName name="PCRefRatio">Calc!$E$6</definedName>
    <definedName name="PCVoltageUpperBound">Command!$C$17</definedName>
    <definedName name="PCVoltUpperBound">Command!$C$17</definedName>
    <definedName name="PlotList">Command!#REF!</definedName>
    <definedName name="PulseLength">Settings!$E$29</definedName>
    <definedName name="PulseLengthFlag">Command!$E$6</definedName>
    <definedName name="QSSFlashDelay">Settings!$E$21</definedName>
    <definedName name="Ref_ZoomIn">Command!$E$23</definedName>
    <definedName name="Ref_ZoomOut">Command!$E$22</definedName>
    <definedName name="RefCellCal">Settings!$C$5</definedName>
    <definedName name="RefCellErrorMsg">Calc!$R$1</definedName>
    <definedName name="RefGainFlag">Command!$E$4</definedName>
    <definedName name="RefRange">Command!$C$4</definedName>
    <definedName name="RefVoltageUpperBound">Command!$E$17</definedName>
    <definedName name="SampleDoping">Calc!$D$6</definedName>
    <definedName name="SampleInputType">#REF!</definedName>
    <definedName name="SampleNameCoverSheet">#REF!</definedName>
    <definedName name="SampleNameUserSheet">User!$A$6</definedName>
    <definedName name="SampleType">User!$D$6</definedName>
    <definedName name="SheetResistance">Calc!$B$6</definedName>
    <definedName name="ShowUserForm">Settings!$E$17</definedName>
    <definedName name="solver_adj" localSheetId="1" hidden="1">Calc!#REF!,Calc!#REF!</definedName>
    <definedName name="solver_drv" localSheetId="1" hidden="1">1</definedName>
    <definedName name="solver_est" localSheetId="1" hidden="1">1</definedName>
    <definedName name="solver_itr" localSheetId="1" hidden="1">10</definedName>
    <definedName name="solver_lin" localSheetId="1" hidden="1">1</definedName>
    <definedName name="solver_num" localSheetId="1" hidden="1">0</definedName>
    <definedName name="solver_nwt" localSheetId="1" hidden="1">1</definedName>
    <definedName name="solver_opt" localSheetId="1" hidden="1">Calc!#REF!</definedName>
    <definedName name="solver_pre" localSheetId="1" hidden="1">0.001</definedName>
    <definedName name="solver_scl" localSheetId="1" hidden="1">2</definedName>
    <definedName name="solver_sho" localSheetId="1" hidden="1">2</definedName>
    <definedName name="solver_tim" localSheetId="1" hidden="1">30</definedName>
    <definedName name="solver_tol" localSheetId="1" hidden="1">0.05</definedName>
    <definedName name="solver_typ" localSheetId="1" hidden="1">2</definedName>
    <definedName name="solver_val" localSheetId="1" hidden="1">0</definedName>
    <definedName name="SpecMCD">User!$F$6</definedName>
    <definedName name="SpecMCDminusTraps">Calc!$O$6</definedName>
    <definedName name="StepSize">User!$N$6</definedName>
    <definedName name="TauFitIntercept">Calc!$Y$6</definedName>
    <definedName name="TauInvspecMCD">Calc!$X$6</definedName>
    <definedName name="Temperature">Calc!$F$3</definedName>
    <definedName name="TempScanAverage">Settings!$E$23</definedName>
    <definedName name="TextSummary">Settings!$E$5</definedName>
    <definedName name="TextSummaryFN">Settings!$F$5</definedName>
    <definedName name="TF_List">Command!$B$29:$B$30</definedName>
    <definedName name="TF_PassFail">Settings!$C$23</definedName>
    <definedName name="Thickness">User!$B$6</definedName>
    <definedName name="ThicknessCoverSheet">#REF!</definedName>
    <definedName name="TimeofMaxCD">Calc!$K$6</definedName>
    <definedName name="TimeScaleFlags">Command!$H$7</definedName>
    <definedName name="TNumTaus">Settings!$E$31</definedName>
    <definedName name="Tolerance">User!$O$6</definedName>
    <definedName name="TransFlashDelay">Settings!$E$22</definedName>
    <definedName name="Traps">Calc!$N$6</definedName>
    <definedName name="TSampleTime">Settings!$E$30</definedName>
    <definedName name="type_list">Command!$B$37:$B$38</definedName>
    <definedName name="ViewPoint">User!$I$2</definedName>
    <definedName name="VRangeList">Command!$D$30:$D$37</definedName>
    <definedName name="xferFlag">Command!$E$9</definedName>
    <definedName name="ZeroInstrCmd">Command!$H$5</definedName>
    <definedName name="ZeroInstTime">Settings!$O$17</definedName>
  </definedNames>
  <calcPr calcId="145621"/>
</workbook>
</file>

<file path=xl/calcChain.xml><?xml version="1.0" encoding="utf-8"?>
<calcChain xmlns="http://schemas.openxmlformats.org/spreadsheetml/2006/main">
  <c r="AD12" i="3" l="1"/>
  <c r="AD11" i="3"/>
  <c r="AD10" i="3"/>
  <c r="AD9" i="3"/>
  <c r="AC44" i="3"/>
  <c r="E13" i="13" l="1"/>
  <c r="C13" i="13"/>
  <c r="T2" i="3" l="1"/>
  <c r="W134" i="3"/>
  <c r="D2" i="9" l="1"/>
  <c r="L9" i="8" l="1"/>
  <c r="AC43" i="3" l="1"/>
  <c r="AC42" i="3"/>
  <c r="AC41" i="3"/>
  <c r="AC40" i="3"/>
  <c r="AC39" i="3"/>
  <c r="AC38" i="3"/>
  <c r="AC37" i="3"/>
  <c r="AC36" i="3"/>
  <c r="AC35" i="3"/>
  <c r="AC34" i="3"/>
  <c r="AC33" i="3"/>
  <c r="AC32" i="3"/>
  <c r="AC31" i="3"/>
  <c r="AC30" i="3"/>
  <c r="AC29" i="3"/>
  <c r="AC28" i="3"/>
  <c r="AC27" i="3"/>
  <c r="AC26" i="3"/>
  <c r="AC25" i="3"/>
  <c r="AC24" i="3"/>
  <c r="AC23" i="3"/>
  <c r="AC22" i="3"/>
  <c r="AC21" i="3"/>
  <c r="AC20" i="3"/>
  <c r="AC19" i="3"/>
  <c r="AC18" i="3"/>
  <c r="AC17" i="3"/>
  <c r="AC16" i="3"/>
  <c r="AC15" i="3"/>
  <c r="AC14" i="3"/>
  <c r="AC13" i="3"/>
  <c r="AC12" i="3"/>
  <c r="AC11" i="3"/>
  <c r="AC10" i="3"/>
  <c r="AC9" i="3"/>
  <c r="E6" i="3" l="1"/>
  <c r="T1" i="3" s="1"/>
  <c r="E9" i="3"/>
  <c r="G6" i="3" l="1"/>
  <c r="D9" i="3"/>
  <c r="D17" i="3" l="1"/>
  <c r="N134" i="3" l="1"/>
  <c r="A2" i="15" l="1"/>
  <c r="B2" i="15"/>
  <c r="C2" i="15"/>
  <c r="E2" i="15"/>
  <c r="F2" i="15"/>
  <c r="A3" i="15"/>
  <c r="B3" i="15"/>
  <c r="C3" i="15"/>
  <c r="E3" i="15"/>
  <c r="F3" i="15"/>
  <c r="A4" i="15"/>
  <c r="B4" i="15"/>
  <c r="C4" i="15"/>
  <c r="A5" i="15"/>
  <c r="B5" i="15"/>
  <c r="C5" i="15"/>
  <c r="A6" i="15"/>
  <c r="B6" i="15"/>
  <c r="C6" i="15"/>
  <c r="A7" i="15"/>
  <c r="B7" i="15"/>
  <c r="C7" i="15"/>
  <c r="A8" i="15"/>
  <c r="B8" i="15"/>
  <c r="C8" i="15"/>
  <c r="A9" i="15"/>
  <c r="B9" i="15"/>
  <c r="C9" i="15"/>
  <c r="A10" i="15"/>
  <c r="B10" i="15"/>
  <c r="C10" i="15"/>
  <c r="A11" i="15"/>
  <c r="B11" i="15"/>
  <c r="C11" i="15"/>
  <c r="A12" i="15"/>
  <c r="B12" i="15"/>
  <c r="C12" i="15"/>
  <c r="A13" i="15"/>
  <c r="B13" i="15"/>
  <c r="C13" i="15"/>
  <c r="A14" i="15"/>
  <c r="B14" i="15"/>
  <c r="C14" i="15"/>
  <c r="A15" i="15"/>
  <c r="B15" i="15"/>
  <c r="C15" i="15"/>
  <c r="A16" i="15"/>
  <c r="B16" i="15"/>
  <c r="C16" i="15"/>
  <c r="A17" i="15"/>
  <c r="B17" i="15"/>
  <c r="C17" i="15"/>
  <c r="A18" i="15"/>
  <c r="B18" i="15"/>
  <c r="C18" i="15"/>
  <c r="A19" i="15"/>
  <c r="B19" i="15"/>
  <c r="C19" i="15"/>
  <c r="A20" i="15"/>
  <c r="B20" i="15"/>
  <c r="C20" i="15"/>
  <c r="A21" i="15"/>
  <c r="B21" i="15"/>
  <c r="C21" i="15"/>
  <c r="A22" i="15"/>
  <c r="B22" i="15"/>
  <c r="C22" i="15"/>
  <c r="A23" i="15"/>
  <c r="B23" i="15"/>
  <c r="C23" i="15"/>
  <c r="A24" i="15"/>
  <c r="B24" i="15"/>
  <c r="C24" i="15"/>
  <c r="A25" i="15"/>
  <c r="B25" i="15"/>
  <c r="C25" i="15"/>
  <c r="A26" i="15"/>
  <c r="B26" i="15"/>
  <c r="C26" i="15"/>
  <c r="A27" i="15"/>
  <c r="B27" i="15"/>
  <c r="C27" i="15"/>
  <c r="A28" i="15"/>
  <c r="B28" i="15"/>
  <c r="C28" i="15"/>
  <c r="A29" i="15"/>
  <c r="B29" i="15"/>
  <c r="C29" i="15"/>
  <c r="A30" i="15"/>
  <c r="B30" i="15"/>
  <c r="C30" i="15"/>
  <c r="A31" i="15"/>
  <c r="B31" i="15"/>
  <c r="C31" i="15"/>
  <c r="A32" i="15"/>
  <c r="B32" i="15"/>
  <c r="C32" i="15"/>
  <c r="A33" i="15"/>
  <c r="B33" i="15"/>
  <c r="C33" i="15"/>
  <c r="A34" i="15"/>
  <c r="B34" i="15"/>
  <c r="C34" i="15"/>
  <c r="A35" i="15"/>
  <c r="B35" i="15"/>
  <c r="C35" i="15"/>
  <c r="A36" i="15"/>
  <c r="B36" i="15"/>
  <c r="C36" i="15"/>
  <c r="A37" i="15"/>
  <c r="B37" i="15"/>
  <c r="C37" i="15"/>
  <c r="A38" i="15"/>
  <c r="B38" i="15"/>
  <c r="C38" i="15"/>
  <c r="A39" i="15"/>
  <c r="B39" i="15"/>
  <c r="C39" i="15"/>
  <c r="A40" i="15"/>
  <c r="B40" i="15"/>
  <c r="C40" i="15"/>
  <c r="A41" i="15"/>
  <c r="B41" i="15"/>
  <c r="C41" i="15"/>
  <c r="A42" i="15"/>
  <c r="B42" i="15"/>
  <c r="C42" i="15"/>
  <c r="A43" i="15"/>
  <c r="B43" i="15"/>
  <c r="C43" i="15"/>
  <c r="A44" i="15"/>
  <c r="B44" i="15"/>
  <c r="C44" i="15"/>
  <c r="A45" i="15"/>
  <c r="B45" i="15"/>
  <c r="C45" i="15"/>
  <c r="A46" i="15"/>
  <c r="B46" i="15"/>
  <c r="C46" i="15"/>
  <c r="A47" i="15"/>
  <c r="B47" i="15"/>
  <c r="C47" i="15"/>
  <c r="A48" i="15"/>
  <c r="B48" i="15"/>
  <c r="C48" i="15"/>
  <c r="A49" i="15"/>
  <c r="B49" i="15"/>
  <c r="C49" i="15"/>
  <c r="A50" i="15"/>
  <c r="B50" i="15"/>
  <c r="C50" i="15"/>
  <c r="A51" i="15"/>
  <c r="B51" i="15"/>
  <c r="C51" i="15"/>
  <c r="A52" i="15"/>
  <c r="B52" i="15"/>
  <c r="C52" i="15"/>
  <c r="A53" i="15"/>
  <c r="B53" i="15"/>
  <c r="C53" i="15"/>
  <c r="A54" i="15"/>
  <c r="B54" i="15"/>
  <c r="C54" i="15"/>
  <c r="A55" i="15"/>
  <c r="B55" i="15"/>
  <c r="C55" i="15"/>
  <c r="A56" i="15"/>
  <c r="B56" i="15"/>
  <c r="C56" i="15"/>
  <c r="A57" i="15"/>
  <c r="B57" i="15"/>
  <c r="C57" i="15"/>
  <c r="A58" i="15"/>
  <c r="B58" i="15"/>
  <c r="C58" i="15"/>
  <c r="A59" i="15"/>
  <c r="B59" i="15"/>
  <c r="C59" i="15"/>
  <c r="A60" i="15"/>
  <c r="B60" i="15"/>
  <c r="C60" i="15"/>
  <c r="A61" i="15"/>
  <c r="B61" i="15"/>
  <c r="C61" i="15"/>
  <c r="A62" i="15"/>
  <c r="B62" i="15"/>
  <c r="C62" i="15"/>
  <c r="A63" i="15"/>
  <c r="B63" i="15"/>
  <c r="C63" i="15"/>
  <c r="A64" i="15"/>
  <c r="B64" i="15"/>
  <c r="C64" i="15"/>
  <c r="A65" i="15"/>
  <c r="B65" i="15"/>
  <c r="C65" i="15"/>
  <c r="A66" i="15"/>
  <c r="B66" i="15"/>
  <c r="C66" i="15"/>
  <c r="A67" i="15"/>
  <c r="B67" i="15"/>
  <c r="C67" i="15"/>
  <c r="A68" i="15"/>
  <c r="B68" i="15"/>
  <c r="C68" i="15"/>
  <c r="A69" i="15"/>
  <c r="B69" i="15"/>
  <c r="C69" i="15"/>
  <c r="A70" i="15"/>
  <c r="B70" i="15"/>
  <c r="C70" i="15"/>
  <c r="A71" i="15"/>
  <c r="B71" i="15"/>
  <c r="C71" i="15"/>
  <c r="A72" i="15"/>
  <c r="B72" i="15"/>
  <c r="C72" i="15"/>
  <c r="A73" i="15"/>
  <c r="B73" i="15"/>
  <c r="C73" i="15"/>
  <c r="A74" i="15"/>
  <c r="B74" i="15"/>
  <c r="C74" i="15"/>
  <c r="A75" i="15"/>
  <c r="B75" i="15"/>
  <c r="C75" i="15"/>
  <c r="A76" i="15"/>
  <c r="B76" i="15"/>
  <c r="C76" i="15"/>
  <c r="A77" i="15"/>
  <c r="B77" i="15"/>
  <c r="C77" i="15"/>
  <c r="A78" i="15"/>
  <c r="B78" i="15"/>
  <c r="C78" i="15"/>
  <c r="A79" i="15"/>
  <c r="B79" i="15"/>
  <c r="C79" i="15"/>
  <c r="A80" i="15"/>
  <c r="B80" i="15"/>
  <c r="C80" i="15"/>
  <c r="A81" i="15"/>
  <c r="B81" i="15"/>
  <c r="C81" i="15"/>
  <c r="A82" i="15"/>
  <c r="B82" i="15"/>
  <c r="C82" i="15"/>
  <c r="A83" i="15"/>
  <c r="B83" i="15"/>
  <c r="C83" i="15"/>
  <c r="A84" i="15"/>
  <c r="B84" i="15"/>
  <c r="C84" i="15"/>
  <c r="A85" i="15"/>
  <c r="B85" i="15"/>
  <c r="C85" i="15"/>
  <c r="A86" i="15"/>
  <c r="B86" i="15"/>
  <c r="C86" i="15"/>
  <c r="A87" i="15"/>
  <c r="B87" i="15"/>
  <c r="C87" i="15"/>
  <c r="A88" i="15"/>
  <c r="B88" i="15"/>
  <c r="C88" i="15"/>
  <c r="A89" i="15"/>
  <c r="B89" i="15"/>
  <c r="C89" i="15"/>
  <c r="A90" i="15"/>
  <c r="B90" i="15"/>
  <c r="C90" i="15"/>
  <c r="A91" i="15"/>
  <c r="B91" i="15"/>
  <c r="C91" i="15"/>
  <c r="A92" i="15"/>
  <c r="B92" i="15"/>
  <c r="C92" i="15"/>
  <c r="A93" i="15"/>
  <c r="B93" i="15"/>
  <c r="C93" i="15"/>
  <c r="A94" i="15"/>
  <c r="B94" i="15"/>
  <c r="C94" i="15"/>
  <c r="A95" i="15"/>
  <c r="B95" i="15"/>
  <c r="C95" i="15"/>
  <c r="A96" i="15"/>
  <c r="B96" i="15"/>
  <c r="C96" i="15"/>
  <c r="A97" i="15"/>
  <c r="B97" i="15"/>
  <c r="C97" i="15"/>
  <c r="A98" i="15"/>
  <c r="B98" i="15"/>
  <c r="C98" i="15"/>
  <c r="A99" i="15"/>
  <c r="B99" i="15"/>
  <c r="C99" i="15"/>
  <c r="A100" i="15"/>
  <c r="B100" i="15"/>
  <c r="C100" i="15"/>
  <c r="A101" i="15"/>
  <c r="B101" i="15"/>
  <c r="C101" i="15"/>
  <c r="A102" i="15"/>
  <c r="B102" i="15"/>
  <c r="C102" i="15"/>
  <c r="A103" i="15"/>
  <c r="B103" i="15"/>
  <c r="C103" i="15"/>
  <c r="A104" i="15"/>
  <c r="B104" i="15"/>
  <c r="C104" i="15"/>
  <c r="A105" i="15"/>
  <c r="B105" i="15"/>
  <c r="C105" i="15"/>
  <c r="A106" i="15"/>
  <c r="B106" i="15"/>
  <c r="C106" i="15"/>
  <c r="A107" i="15"/>
  <c r="B107" i="15"/>
  <c r="C107" i="15"/>
  <c r="A108" i="15"/>
  <c r="B108" i="15"/>
  <c r="C108" i="15"/>
  <c r="A109" i="15"/>
  <c r="B109" i="15"/>
  <c r="C109" i="15"/>
  <c r="A110" i="15"/>
  <c r="B110" i="15"/>
  <c r="C110" i="15"/>
  <c r="A111" i="15"/>
  <c r="B111" i="15"/>
  <c r="C111" i="15"/>
  <c r="A112" i="15"/>
  <c r="B112" i="15"/>
  <c r="C112" i="15"/>
  <c r="A113" i="15"/>
  <c r="B113" i="15"/>
  <c r="C113" i="15"/>
  <c r="A114" i="15"/>
  <c r="B114" i="15"/>
  <c r="C114" i="15"/>
  <c r="A115" i="15"/>
  <c r="B115" i="15"/>
  <c r="C115" i="15"/>
  <c r="A116" i="15"/>
  <c r="B116" i="15"/>
  <c r="C116" i="15"/>
  <c r="A117" i="15"/>
  <c r="B117" i="15"/>
  <c r="C117" i="15"/>
  <c r="A118" i="15"/>
  <c r="B118" i="15"/>
  <c r="C118" i="15"/>
  <c r="A119" i="15"/>
  <c r="B119" i="15"/>
  <c r="C119" i="15"/>
  <c r="A120" i="15"/>
  <c r="B120" i="15"/>
  <c r="C120" i="15"/>
  <c r="A121" i="15"/>
  <c r="B121" i="15"/>
  <c r="C121" i="15"/>
  <c r="A122" i="15"/>
  <c r="B122" i="15"/>
  <c r="C122" i="15"/>
  <c r="A123" i="15"/>
  <c r="B123" i="15"/>
  <c r="C123" i="15"/>
  <c r="A124" i="15"/>
  <c r="B124" i="15"/>
  <c r="C124" i="15"/>
  <c r="A125" i="15"/>
  <c r="B125" i="15"/>
  <c r="C125" i="15"/>
  <c r="E125" i="15"/>
  <c r="F125" i="15"/>
  <c r="A126" i="15"/>
  <c r="B126" i="15"/>
  <c r="C126" i="15"/>
  <c r="E126" i="15"/>
  <c r="F126" i="15"/>
  <c r="O15" i="14" l="1"/>
  <c r="Z10" i="3"/>
  <c r="Z16" i="3"/>
  <c r="Z17" i="3"/>
  <c r="Z18" i="3"/>
  <c r="Z19" i="3"/>
  <c r="Z20" i="3"/>
  <c r="Z21" i="3"/>
  <c r="Z22" i="3"/>
  <c r="Z23" i="3"/>
  <c r="Z24" i="3"/>
  <c r="Z25" i="3"/>
  <c r="Z26" i="3"/>
  <c r="Z27" i="3"/>
  <c r="Z28" i="3"/>
  <c r="Z29" i="3"/>
  <c r="Z30" i="3"/>
  <c r="Z31" i="3"/>
  <c r="Z32" i="3"/>
  <c r="Z33" i="3"/>
  <c r="Z34" i="3"/>
  <c r="Z35" i="3"/>
  <c r="Z36" i="3"/>
  <c r="Z37" i="3"/>
  <c r="Z38" i="3"/>
  <c r="Z39" i="3"/>
  <c r="Z40" i="3"/>
  <c r="Z41" i="3"/>
  <c r="Z42" i="3"/>
  <c r="Z43" i="3"/>
  <c r="Z44" i="3"/>
  <c r="Z45" i="3"/>
  <c r="Z46" i="3"/>
  <c r="Z47" i="3"/>
  <c r="Z48" i="3"/>
  <c r="Z49" i="3"/>
  <c r="Z50" i="3"/>
  <c r="Z51" i="3"/>
  <c r="Z52" i="3"/>
  <c r="Z53" i="3"/>
  <c r="Z54" i="3"/>
  <c r="Z55" i="3"/>
  <c r="Z56" i="3"/>
  <c r="Z57" i="3"/>
  <c r="Z58" i="3"/>
  <c r="Z59" i="3"/>
  <c r="Z60" i="3"/>
  <c r="Z61" i="3"/>
  <c r="Z62" i="3"/>
  <c r="Z63" i="3"/>
  <c r="Z64" i="3"/>
  <c r="Z65" i="3"/>
  <c r="Z66" i="3"/>
  <c r="Z67" i="3"/>
  <c r="Z68" i="3"/>
  <c r="Z69" i="3"/>
  <c r="Z70" i="3"/>
  <c r="Z71" i="3"/>
  <c r="Z72" i="3"/>
  <c r="Z73" i="3"/>
  <c r="Z74" i="3"/>
  <c r="Z75" i="3"/>
  <c r="Z76" i="3"/>
  <c r="Z77" i="3"/>
  <c r="Z78" i="3"/>
  <c r="Z79" i="3"/>
  <c r="Z80" i="3"/>
  <c r="Z81" i="3"/>
  <c r="Z82" i="3"/>
  <c r="Z83" i="3"/>
  <c r="Z84" i="3"/>
  <c r="Z85" i="3"/>
  <c r="Z86" i="3"/>
  <c r="Z87" i="3"/>
  <c r="Z88" i="3"/>
  <c r="Z89" i="3"/>
  <c r="Z90" i="3"/>
  <c r="Z91" i="3"/>
  <c r="Z92" i="3"/>
  <c r="Z93" i="3"/>
  <c r="Z94" i="3"/>
  <c r="Z95" i="3"/>
  <c r="Z96" i="3"/>
  <c r="Z97" i="3"/>
  <c r="Z98" i="3"/>
  <c r="Z99" i="3"/>
  <c r="Z100" i="3"/>
  <c r="Z101" i="3"/>
  <c r="Z102" i="3"/>
  <c r="Z103" i="3"/>
  <c r="Z104" i="3"/>
  <c r="Z105" i="3"/>
  <c r="Z106" i="3"/>
  <c r="Z107" i="3"/>
  <c r="Z108" i="3"/>
  <c r="Z109" i="3"/>
  <c r="Z110" i="3"/>
  <c r="Z111" i="3"/>
  <c r="Z112" i="3"/>
  <c r="Z113" i="3"/>
  <c r="Z114" i="3"/>
  <c r="Z115" i="3"/>
  <c r="Z116" i="3"/>
  <c r="Z117" i="3"/>
  <c r="Z118" i="3"/>
  <c r="Z119" i="3"/>
  <c r="Z120" i="3"/>
  <c r="Z121" i="3"/>
  <c r="Z122" i="3"/>
  <c r="Z123" i="3"/>
  <c r="Z124" i="3"/>
  <c r="Z125" i="3"/>
  <c r="Z126" i="3"/>
  <c r="Z127" i="3"/>
  <c r="Z128" i="3"/>
  <c r="Z129" i="3"/>
  <c r="Z130" i="3"/>
  <c r="Z131" i="3"/>
  <c r="Z132" i="3"/>
  <c r="Z133" i="3"/>
  <c r="Z9" i="3"/>
  <c r="C6" i="13" l="1"/>
  <c r="C7" i="13"/>
  <c r="C8" i="13"/>
  <c r="E6" i="13"/>
  <c r="H7" i="13" s="1"/>
  <c r="E21" i="14"/>
  <c r="C10" i="13" s="1"/>
  <c r="E21" i="13" l="1"/>
  <c r="C21" i="13"/>
  <c r="E18" i="13"/>
  <c r="C18" i="13"/>
  <c r="B18" i="13"/>
  <c r="E17" i="13"/>
  <c r="F17" i="13" s="1"/>
  <c r="C17" i="13"/>
  <c r="D17" i="13" s="1"/>
  <c r="D18" i="13" l="1"/>
  <c r="F18" i="13"/>
  <c r="C12" i="13" l="1"/>
  <c r="D12" i="13" s="1"/>
  <c r="E12" i="13" s="1"/>
  <c r="H5" i="13" s="1"/>
  <c r="E11" i="13"/>
  <c r="E9" i="13"/>
  <c r="E8" i="13"/>
  <c r="E7" i="13"/>
  <c r="D5" i="13" l="1"/>
  <c r="E5" i="13" s="1"/>
  <c r="D4" i="13"/>
  <c r="D3" i="13"/>
  <c r="E22" i="13" l="1"/>
  <c r="E23" i="13"/>
  <c r="C22" i="13"/>
  <c r="C23" i="13"/>
  <c r="E3" i="13"/>
  <c r="Z2" i="9"/>
  <c r="X2" i="9"/>
  <c r="W2" i="9"/>
  <c r="V2" i="9"/>
  <c r="J2" i="9" l="1"/>
  <c r="I2" i="9"/>
  <c r="H2" i="9"/>
  <c r="G2" i="9"/>
  <c r="E2" i="9"/>
  <c r="C2" i="9"/>
  <c r="B2" i="9"/>
  <c r="A2" i="9"/>
  <c r="E12" i="14"/>
  <c r="C10" i="14" l="1"/>
  <c r="C9" i="14" s="1"/>
  <c r="V139" i="3"/>
  <c r="D133" i="3"/>
  <c r="E133" i="3"/>
  <c r="D132" i="3"/>
  <c r="E132" i="3"/>
  <c r="D131" i="3"/>
  <c r="E131" i="3"/>
  <c r="D130" i="3"/>
  <c r="E130" i="3"/>
  <c r="D129" i="3"/>
  <c r="E129" i="3"/>
  <c r="D128" i="3"/>
  <c r="E128" i="3"/>
  <c r="D127" i="3"/>
  <c r="E127" i="3"/>
  <c r="D126" i="3"/>
  <c r="E126" i="3"/>
  <c r="D125" i="3"/>
  <c r="E125" i="3"/>
  <c r="D124" i="3"/>
  <c r="E124" i="3"/>
  <c r="D123" i="3"/>
  <c r="E123" i="3"/>
  <c r="D122" i="3"/>
  <c r="E122" i="3"/>
  <c r="D121" i="3"/>
  <c r="E121" i="3"/>
  <c r="D120" i="3"/>
  <c r="E120" i="3"/>
  <c r="D119" i="3"/>
  <c r="E119" i="3"/>
  <c r="D118" i="3"/>
  <c r="E118" i="3"/>
  <c r="D117" i="3"/>
  <c r="E117" i="3"/>
  <c r="D116" i="3"/>
  <c r="E116" i="3"/>
  <c r="D115" i="3"/>
  <c r="E115" i="3"/>
  <c r="D114" i="3"/>
  <c r="E114" i="3"/>
  <c r="D113" i="3"/>
  <c r="E113" i="3"/>
  <c r="D112" i="3"/>
  <c r="E112" i="3"/>
  <c r="D111" i="3"/>
  <c r="E111" i="3"/>
  <c r="D110" i="3"/>
  <c r="E110" i="3"/>
  <c r="D109" i="3"/>
  <c r="E109" i="3"/>
  <c r="D108" i="3"/>
  <c r="E108" i="3"/>
  <c r="D107" i="3"/>
  <c r="E107" i="3"/>
  <c r="D106" i="3"/>
  <c r="R4" i="3" l="1"/>
  <c r="Y2" i="9"/>
  <c r="N107" i="3"/>
  <c r="N108" i="3"/>
  <c r="N109" i="3"/>
  <c r="N110" i="3"/>
  <c r="N111" i="3"/>
  <c r="N112" i="3"/>
  <c r="N113" i="3"/>
  <c r="N114" i="3"/>
  <c r="N115" i="3"/>
  <c r="N116" i="3"/>
  <c r="N117" i="3"/>
  <c r="N118" i="3"/>
  <c r="N119" i="3"/>
  <c r="N120" i="3"/>
  <c r="N121" i="3"/>
  <c r="N122" i="3"/>
  <c r="N123" i="3"/>
  <c r="N124" i="3"/>
  <c r="N125" i="3"/>
  <c r="N126" i="3"/>
  <c r="N127" i="3"/>
  <c r="N128" i="3"/>
  <c r="N129" i="3"/>
  <c r="N130" i="3"/>
  <c r="N131" i="3"/>
  <c r="F122" i="3"/>
  <c r="G122" i="3" s="1"/>
  <c r="F114" i="3"/>
  <c r="G114" i="3" s="1"/>
  <c r="F110" i="3"/>
  <c r="G110" i="3" s="1"/>
  <c r="F118" i="3"/>
  <c r="G118" i="3" s="1"/>
  <c r="F108" i="3"/>
  <c r="G108" i="3" s="1"/>
  <c r="F112" i="3"/>
  <c r="G112" i="3" s="1"/>
  <c r="F116" i="3"/>
  <c r="G116" i="3" s="1"/>
  <c r="F120" i="3"/>
  <c r="G120" i="3" s="1"/>
  <c r="F107" i="3"/>
  <c r="G107" i="3" s="1"/>
  <c r="F109" i="3"/>
  <c r="G109" i="3" s="1"/>
  <c r="F111" i="3"/>
  <c r="G111" i="3" s="1"/>
  <c r="F113" i="3"/>
  <c r="G113" i="3" s="1"/>
  <c r="F115" i="3"/>
  <c r="G115" i="3" s="1"/>
  <c r="F117" i="3"/>
  <c r="G117" i="3" s="1"/>
  <c r="F119" i="3"/>
  <c r="G119" i="3" s="1"/>
  <c r="F121" i="3"/>
  <c r="G121" i="3" s="1"/>
  <c r="F123" i="3"/>
  <c r="G123" i="3" s="1"/>
  <c r="F124" i="3"/>
  <c r="G124" i="3" s="1"/>
  <c r="F125" i="3"/>
  <c r="G125" i="3" s="1"/>
  <c r="F126" i="3"/>
  <c r="G126" i="3" s="1"/>
  <c r="F127" i="3"/>
  <c r="G127" i="3" s="1"/>
  <c r="F128" i="3"/>
  <c r="G128" i="3" s="1"/>
  <c r="F129" i="3"/>
  <c r="G129" i="3" s="1"/>
  <c r="F130" i="3"/>
  <c r="G130" i="3" s="1"/>
  <c r="F131" i="3"/>
  <c r="G131" i="3" s="1"/>
  <c r="F132" i="3"/>
  <c r="G132" i="3" s="1"/>
  <c r="M132" i="3"/>
  <c r="N133"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N132" i="3"/>
  <c r="F133" i="3"/>
  <c r="G133" i="3" s="1"/>
  <c r="M133" i="3"/>
  <c r="E106" i="3"/>
  <c r="D105" i="3"/>
  <c r="E105" i="3"/>
  <c r="D104" i="3"/>
  <c r="E104" i="3"/>
  <c r="D103" i="3"/>
  <c r="E103" i="3"/>
  <c r="D102" i="3"/>
  <c r="E102" i="3"/>
  <c r="D101" i="3"/>
  <c r="E101" i="3"/>
  <c r="D100" i="3"/>
  <c r="E100" i="3"/>
  <c r="D99" i="3"/>
  <c r="N101" i="3" l="1"/>
  <c r="N103" i="3"/>
  <c r="N106" i="3"/>
  <c r="N100" i="3"/>
  <c r="N102" i="3"/>
  <c r="N104" i="3"/>
  <c r="N105" i="3"/>
  <c r="F105" i="3"/>
  <c r="G105" i="3" s="1"/>
  <c r="F101" i="3"/>
  <c r="G101" i="3" s="1"/>
  <c r="F103" i="3"/>
  <c r="G103" i="3" s="1"/>
  <c r="F100" i="3"/>
  <c r="G100" i="3" s="1"/>
  <c r="F102" i="3"/>
  <c r="G102" i="3" s="1"/>
  <c r="F104" i="3"/>
  <c r="G104" i="3" s="1"/>
  <c r="F106" i="3"/>
  <c r="G106" i="3" s="1"/>
  <c r="M100" i="3"/>
  <c r="M101" i="3"/>
  <c r="M102" i="3"/>
  <c r="M103" i="3"/>
  <c r="M104" i="3"/>
  <c r="M105" i="3"/>
  <c r="M106" i="3"/>
  <c r="E99" i="3"/>
  <c r="D98" i="3"/>
  <c r="E98" i="3"/>
  <c r="D97" i="3"/>
  <c r="M98" i="3" l="1"/>
  <c r="M99" i="3"/>
  <c r="F98" i="3"/>
  <c r="G98" i="3" s="1"/>
  <c r="F99" i="3"/>
  <c r="G99" i="3" s="1"/>
  <c r="E97" i="3"/>
  <c r="D96" i="3"/>
  <c r="E96" i="3"/>
  <c r="D95" i="3"/>
  <c r="E95" i="3"/>
  <c r="D94" i="3"/>
  <c r="E94" i="3"/>
  <c r="D93" i="3"/>
  <c r="E93" i="3"/>
  <c r="D92" i="3"/>
  <c r="E92" i="3"/>
  <c r="D91" i="3"/>
  <c r="E91" i="3"/>
  <c r="D90" i="3"/>
  <c r="E90" i="3"/>
  <c r="D89" i="3"/>
  <c r="E89" i="3"/>
  <c r="D88" i="3"/>
  <c r="E88" i="3"/>
  <c r="D87" i="3"/>
  <c r="E87" i="3"/>
  <c r="D86" i="3"/>
  <c r="E86" i="3"/>
  <c r="D85" i="3"/>
  <c r="E85" i="3"/>
  <c r="D84" i="3"/>
  <c r="E84" i="3"/>
  <c r="D83" i="3"/>
  <c r="E83" i="3"/>
  <c r="D82" i="3"/>
  <c r="E82" i="3"/>
  <c r="D81" i="3"/>
  <c r="E81" i="3"/>
  <c r="D80" i="3"/>
  <c r="E80" i="3"/>
  <c r="D79" i="3"/>
  <c r="E79" i="3"/>
  <c r="D78" i="3"/>
  <c r="E78" i="3"/>
  <c r="D77" i="3"/>
  <c r="E77" i="3"/>
  <c r="D76" i="3"/>
  <c r="E76" i="3"/>
  <c r="D75" i="3"/>
  <c r="E75" i="3"/>
  <c r="D74" i="3"/>
  <c r="E74" i="3"/>
  <c r="D73" i="3"/>
  <c r="E73" i="3"/>
  <c r="D72" i="3"/>
  <c r="E72" i="3"/>
  <c r="D71" i="3"/>
  <c r="E71" i="3"/>
  <c r="D70" i="3"/>
  <c r="E70" i="3"/>
  <c r="D69" i="3"/>
  <c r="E69" i="3"/>
  <c r="D68" i="3"/>
  <c r="E68" i="3"/>
  <c r="D67" i="3"/>
  <c r="E67" i="3"/>
  <c r="D66" i="3"/>
  <c r="E66" i="3"/>
  <c r="D65" i="3"/>
  <c r="E65" i="3"/>
  <c r="D64" i="3"/>
  <c r="E64" i="3"/>
  <c r="D63" i="3"/>
  <c r="E63" i="3"/>
  <c r="D62" i="3"/>
  <c r="E62" i="3"/>
  <c r="D61" i="3"/>
  <c r="E61" i="3"/>
  <c r="D60" i="3"/>
  <c r="E60" i="3"/>
  <c r="D59" i="3"/>
  <c r="E59" i="3"/>
  <c r="D58" i="3"/>
  <c r="E58" i="3"/>
  <c r="D57" i="3"/>
  <c r="E57" i="3"/>
  <c r="D56" i="3"/>
  <c r="E56" i="3"/>
  <c r="D55" i="3"/>
  <c r="E55" i="3"/>
  <c r="D54" i="3"/>
  <c r="E54" i="3"/>
  <c r="D53" i="3"/>
  <c r="E53" i="3"/>
  <c r="D52" i="3"/>
  <c r="E52" i="3"/>
  <c r="D51" i="3"/>
  <c r="E51" i="3"/>
  <c r="D50" i="3"/>
  <c r="E50" i="3"/>
  <c r="D49" i="3"/>
  <c r="E49" i="3"/>
  <c r="D48" i="3"/>
  <c r="E48" i="3"/>
  <c r="D47" i="3"/>
  <c r="E47" i="3"/>
  <c r="D46" i="3"/>
  <c r="E46" i="3"/>
  <c r="D45" i="3"/>
  <c r="F89" i="3" l="1"/>
  <c r="G89" i="3" s="1"/>
  <c r="N90" i="3"/>
  <c r="N91" i="3"/>
  <c r="N92" i="3"/>
  <c r="N93" i="3"/>
  <c r="F97" i="3"/>
  <c r="G97" i="3" s="1"/>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F73" i="3"/>
  <c r="G73" i="3" s="1"/>
  <c r="F57" i="3"/>
  <c r="G57" i="3" s="1"/>
  <c r="F81" i="3"/>
  <c r="G81" i="3" s="1"/>
  <c r="F49" i="3"/>
  <c r="G49" i="3" s="1"/>
  <c r="F65" i="3"/>
  <c r="G65" i="3" s="1"/>
  <c r="F53" i="3"/>
  <c r="G53" i="3" s="1"/>
  <c r="F61" i="3"/>
  <c r="G61" i="3" s="1"/>
  <c r="F69" i="3"/>
  <c r="G69" i="3" s="1"/>
  <c r="F77" i="3"/>
  <c r="G77" i="3" s="1"/>
  <c r="F85" i="3"/>
  <c r="G85" i="3" s="1"/>
  <c r="F93" i="3"/>
  <c r="G93" i="3" s="1"/>
  <c r="F47" i="3"/>
  <c r="G47" i="3" s="1"/>
  <c r="F51" i="3"/>
  <c r="G51" i="3" s="1"/>
  <c r="F55" i="3"/>
  <c r="G55" i="3" s="1"/>
  <c r="F59" i="3"/>
  <c r="G59" i="3" s="1"/>
  <c r="F63" i="3"/>
  <c r="G63" i="3" s="1"/>
  <c r="F67" i="3"/>
  <c r="G67" i="3" s="1"/>
  <c r="F71" i="3"/>
  <c r="G71" i="3" s="1"/>
  <c r="F75" i="3"/>
  <c r="G75" i="3" s="1"/>
  <c r="F79" i="3"/>
  <c r="G79" i="3" s="1"/>
  <c r="F83" i="3"/>
  <c r="G83" i="3" s="1"/>
  <c r="F87" i="3"/>
  <c r="G87" i="3" s="1"/>
  <c r="F91" i="3"/>
  <c r="G91" i="3" s="1"/>
  <c r="F95" i="3"/>
  <c r="G95" i="3" s="1"/>
  <c r="F46" i="3"/>
  <c r="G46" i="3" s="1"/>
  <c r="F48" i="3"/>
  <c r="G48" i="3" s="1"/>
  <c r="F50" i="3"/>
  <c r="G50" i="3" s="1"/>
  <c r="F52" i="3"/>
  <c r="G52" i="3" s="1"/>
  <c r="F54" i="3"/>
  <c r="G54" i="3" s="1"/>
  <c r="F56" i="3"/>
  <c r="G56" i="3" s="1"/>
  <c r="F58" i="3"/>
  <c r="G58" i="3" s="1"/>
  <c r="F60" i="3"/>
  <c r="G60" i="3" s="1"/>
  <c r="F62" i="3"/>
  <c r="G62" i="3" s="1"/>
  <c r="F64" i="3"/>
  <c r="G64" i="3" s="1"/>
  <c r="F66" i="3"/>
  <c r="G66" i="3" s="1"/>
  <c r="F68" i="3"/>
  <c r="G68" i="3" s="1"/>
  <c r="F70" i="3"/>
  <c r="G70" i="3" s="1"/>
  <c r="F72" i="3"/>
  <c r="G72" i="3" s="1"/>
  <c r="F74" i="3"/>
  <c r="G74" i="3" s="1"/>
  <c r="F76" i="3"/>
  <c r="G76" i="3" s="1"/>
  <c r="F78" i="3"/>
  <c r="G78" i="3" s="1"/>
  <c r="F80" i="3"/>
  <c r="G80" i="3" s="1"/>
  <c r="F82" i="3"/>
  <c r="G82" i="3" s="1"/>
  <c r="F84" i="3"/>
  <c r="G84" i="3" s="1"/>
  <c r="F86" i="3"/>
  <c r="G86" i="3" s="1"/>
  <c r="F88" i="3"/>
  <c r="G88" i="3" s="1"/>
  <c r="F90" i="3"/>
  <c r="G90" i="3" s="1"/>
  <c r="F92" i="3"/>
  <c r="G92" i="3" s="1"/>
  <c r="F94" i="3"/>
  <c r="G94" i="3" s="1"/>
  <c r="F96" i="3"/>
  <c r="G96" i="3" s="1"/>
  <c r="M97"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E45" i="3"/>
  <c r="D44" i="3"/>
  <c r="E44" i="3"/>
  <c r="D43" i="3"/>
  <c r="E43" i="3"/>
  <c r="D42" i="3"/>
  <c r="E42" i="3"/>
  <c r="D41" i="3"/>
  <c r="E41" i="3"/>
  <c r="D40" i="3"/>
  <c r="E40" i="3"/>
  <c r="D39" i="3"/>
  <c r="E39" i="3"/>
  <c r="D38" i="3"/>
  <c r="E38" i="3"/>
  <c r="D37" i="3"/>
  <c r="E37" i="3"/>
  <c r="D36" i="3"/>
  <c r="E36" i="3"/>
  <c r="D35" i="3"/>
  <c r="E35" i="3"/>
  <c r="D34" i="3"/>
  <c r="F36" i="3" l="1"/>
  <c r="G36" i="3" s="1"/>
  <c r="F38" i="3"/>
  <c r="G38" i="3" s="1"/>
  <c r="F40" i="3"/>
  <c r="G40" i="3" s="1"/>
  <c r="F42" i="3"/>
  <c r="G42" i="3" s="1"/>
  <c r="F35" i="3"/>
  <c r="G35" i="3" s="1"/>
  <c r="F37" i="3"/>
  <c r="G37" i="3" s="1"/>
  <c r="F39" i="3"/>
  <c r="G39" i="3" s="1"/>
  <c r="F41" i="3"/>
  <c r="G41" i="3" s="1"/>
  <c r="F43" i="3"/>
  <c r="G43" i="3" s="1"/>
  <c r="F44" i="3"/>
  <c r="G44" i="3" s="1"/>
  <c r="F45" i="3"/>
  <c r="G45" i="3" s="1"/>
  <c r="N35" i="3"/>
  <c r="N36" i="3"/>
  <c r="N37" i="3"/>
  <c r="N38" i="3"/>
  <c r="N39" i="3"/>
  <c r="N40" i="3"/>
  <c r="N41" i="3"/>
  <c r="N42" i="3"/>
  <c r="N43" i="3"/>
  <c r="N44" i="3"/>
  <c r="M45" i="3"/>
  <c r="N45" i="3"/>
  <c r="M35" i="3"/>
  <c r="M36" i="3"/>
  <c r="M37" i="3"/>
  <c r="M38" i="3"/>
  <c r="M39" i="3"/>
  <c r="M40" i="3"/>
  <c r="M41" i="3"/>
  <c r="M42" i="3"/>
  <c r="M43" i="3"/>
  <c r="M44" i="3"/>
  <c r="E34" i="3"/>
  <c r="D33" i="3"/>
  <c r="E33" i="3"/>
  <c r="D32" i="3"/>
  <c r="E32" i="3"/>
  <c r="D31" i="3"/>
  <c r="E31" i="3"/>
  <c r="D30" i="3"/>
  <c r="E30" i="3"/>
  <c r="D29" i="3"/>
  <c r="E29" i="3"/>
  <c r="D28" i="3"/>
  <c r="E28" i="3"/>
  <c r="D27" i="3"/>
  <c r="E27" i="3"/>
  <c r="D26" i="3"/>
  <c r="E26" i="3"/>
  <c r="D25" i="3"/>
  <c r="E25" i="3"/>
  <c r="D24" i="3"/>
  <c r="E24" i="3"/>
  <c r="D23" i="3"/>
  <c r="E23" i="3"/>
  <c r="D22" i="3"/>
  <c r="E22" i="3"/>
  <c r="D21" i="3"/>
  <c r="E21" i="3"/>
  <c r="D20" i="3"/>
  <c r="E20" i="3"/>
  <c r="D19" i="3"/>
  <c r="E19" i="3"/>
  <c r="D18" i="3"/>
  <c r="E18" i="3"/>
  <c r="E17" i="3"/>
  <c r="D16" i="3"/>
  <c r="E16" i="3"/>
  <c r="D15" i="3"/>
  <c r="E15" i="3"/>
  <c r="D14" i="3"/>
  <c r="E14" i="3"/>
  <c r="D13" i="3"/>
  <c r="E13" i="3"/>
  <c r="D12" i="3"/>
  <c r="E12" i="3"/>
  <c r="D11" i="3"/>
  <c r="E11" i="3"/>
  <c r="D10" i="3"/>
  <c r="E10" i="3"/>
  <c r="M12" i="3" l="1"/>
  <c r="N17" i="3"/>
  <c r="N9" i="3"/>
  <c r="F6" i="3"/>
  <c r="N12" i="3"/>
  <c r="N15" i="3"/>
  <c r="N11" i="3"/>
  <c r="N13" i="3"/>
  <c r="N14" i="3"/>
  <c r="N16" i="3"/>
  <c r="N18" i="3"/>
  <c r="N19" i="3"/>
  <c r="N20" i="3"/>
  <c r="N21" i="3"/>
  <c r="N22" i="3"/>
  <c r="N23" i="3"/>
  <c r="N24" i="3"/>
  <c r="N25" i="3"/>
  <c r="N26" i="3"/>
  <c r="N27" i="3"/>
  <c r="N28" i="3"/>
  <c r="N29" i="3"/>
  <c r="N30" i="3"/>
  <c r="N31" i="3"/>
  <c r="N32" i="3"/>
  <c r="N33" i="3"/>
  <c r="F34" i="3"/>
  <c r="G34" i="3" s="1"/>
  <c r="F9" i="3"/>
  <c r="G9" i="3" s="1"/>
  <c r="F11" i="3"/>
  <c r="G11" i="3" s="1"/>
  <c r="F12" i="3"/>
  <c r="G12" i="3" s="1"/>
  <c r="F13" i="3"/>
  <c r="G13" i="3" s="1"/>
  <c r="F14" i="3"/>
  <c r="G14" i="3" s="1"/>
  <c r="F15" i="3"/>
  <c r="G15" i="3" s="1"/>
  <c r="F16" i="3"/>
  <c r="G16" i="3" s="1"/>
  <c r="F17" i="3"/>
  <c r="G17" i="3" s="1"/>
  <c r="F18" i="3"/>
  <c r="G18" i="3" s="1"/>
  <c r="F19" i="3"/>
  <c r="G19" i="3" s="1"/>
  <c r="F20" i="3"/>
  <c r="G20" i="3" s="1"/>
  <c r="F21" i="3"/>
  <c r="G21" i="3" s="1"/>
  <c r="F22" i="3"/>
  <c r="G22" i="3" s="1"/>
  <c r="F23" i="3"/>
  <c r="G23" i="3" s="1"/>
  <c r="F24" i="3"/>
  <c r="G24" i="3" s="1"/>
  <c r="F25" i="3"/>
  <c r="G25" i="3" s="1"/>
  <c r="F26" i="3"/>
  <c r="G26" i="3" s="1"/>
  <c r="F27" i="3"/>
  <c r="G27" i="3" s="1"/>
  <c r="F28" i="3"/>
  <c r="G28" i="3" s="1"/>
  <c r="F29" i="3"/>
  <c r="G29" i="3" s="1"/>
  <c r="F30" i="3"/>
  <c r="G30" i="3" s="1"/>
  <c r="F31" i="3"/>
  <c r="G31" i="3" s="1"/>
  <c r="F32" i="3"/>
  <c r="G32" i="3" s="1"/>
  <c r="F33" i="3"/>
  <c r="G33" i="3" s="1"/>
  <c r="M9" i="3"/>
  <c r="M34" i="3"/>
  <c r="N34" i="3"/>
  <c r="N10" i="3"/>
  <c r="F10" i="3"/>
  <c r="G10" i="3" s="1"/>
  <c r="M10" i="3"/>
  <c r="M11" i="3"/>
  <c r="M13" i="3"/>
  <c r="M14" i="3"/>
  <c r="M15" i="3"/>
  <c r="M16" i="3"/>
  <c r="M17" i="3"/>
  <c r="M18" i="3"/>
  <c r="M19" i="3"/>
  <c r="M20" i="3"/>
  <c r="M21" i="3"/>
  <c r="M22" i="3"/>
  <c r="M23" i="3"/>
  <c r="M24" i="3"/>
  <c r="M25" i="3"/>
  <c r="M26" i="3"/>
  <c r="M27" i="3"/>
  <c r="M28" i="3"/>
  <c r="M29" i="3"/>
  <c r="M30" i="3"/>
  <c r="M31" i="3"/>
  <c r="M32" i="3"/>
  <c r="M33" i="3"/>
  <c r="R3" i="3" l="1"/>
  <c r="H6" i="3"/>
  <c r="R2" i="9" l="1"/>
  <c r="D6" i="3"/>
  <c r="F2" i="9" l="1"/>
  <c r="A6" i="3"/>
  <c r="J2" i="3"/>
  <c r="J9" i="8"/>
  <c r="H9" i="3"/>
  <c r="H120" i="3"/>
  <c r="H47" i="3"/>
  <c r="H57" i="3"/>
  <c r="H104" i="3"/>
  <c r="H71" i="3"/>
  <c r="H30" i="3"/>
  <c r="H90" i="3"/>
  <c r="H78" i="3"/>
  <c r="H70" i="3"/>
  <c r="H14" i="3"/>
  <c r="H127" i="3"/>
  <c r="H54" i="3"/>
  <c r="H46" i="3"/>
  <c r="H110" i="3"/>
  <c r="H21" i="3"/>
  <c r="H22" i="3"/>
  <c r="H33" i="3"/>
  <c r="H53" i="3"/>
  <c r="H29" i="3"/>
  <c r="H12" i="3"/>
  <c r="H65" i="3"/>
  <c r="H86" i="3"/>
  <c r="H82" i="3"/>
  <c r="B6" i="3"/>
  <c r="H109" i="3"/>
  <c r="H55" i="3"/>
  <c r="H44" i="3"/>
  <c r="H88" i="3"/>
  <c r="H45" i="3"/>
  <c r="H128" i="3"/>
  <c r="H38" i="3"/>
  <c r="H99" i="3"/>
  <c r="H89" i="3"/>
  <c r="H48" i="3"/>
  <c r="H31" i="3"/>
  <c r="H26" i="3"/>
  <c r="H85" i="3"/>
  <c r="H96" i="3"/>
  <c r="H100" i="3"/>
  <c r="H37" i="3"/>
  <c r="H51" i="3"/>
  <c r="H74" i="3"/>
  <c r="H66" i="3"/>
  <c r="H113" i="3"/>
  <c r="AD6" i="3" l="1"/>
  <c r="P2" i="9" s="1"/>
  <c r="N2" i="9"/>
  <c r="C6" i="3"/>
  <c r="I70" i="3"/>
  <c r="I113" i="3"/>
  <c r="I53" i="3"/>
  <c r="I89" i="3"/>
  <c r="I48" i="3"/>
  <c r="I90" i="3"/>
  <c r="I38" i="3"/>
  <c r="I37" i="3"/>
  <c r="I12" i="3"/>
  <c r="I88" i="3"/>
  <c r="I21" i="3"/>
  <c r="I85" i="3"/>
  <c r="I9" i="3"/>
  <c r="I120" i="3"/>
  <c r="I31" i="3"/>
  <c r="I100" i="3"/>
  <c r="I99" i="3"/>
  <c r="I55" i="3"/>
  <c r="I46" i="3"/>
  <c r="I127" i="3"/>
  <c r="I57" i="3"/>
  <c r="I86" i="3"/>
  <c r="I109" i="3"/>
  <c r="I51" i="3"/>
  <c r="I110" i="3"/>
  <c r="I33" i="3"/>
  <c r="I22" i="3"/>
  <c r="I96" i="3"/>
  <c r="I44" i="3"/>
  <c r="I30" i="3"/>
  <c r="I82" i="3"/>
  <c r="I26" i="3"/>
  <c r="I128" i="3"/>
  <c r="I78" i="3"/>
  <c r="I65" i="3"/>
  <c r="I66" i="3"/>
  <c r="I71" i="3"/>
  <c r="I54" i="3"/>
  <c r="I45" i="3"/>
  <c r="I29" i="3"/>
  <c r="I14" i="3"/>
  <c r="I74" i="3"/>
  <c r="I47" i="3"/>
  <c r="I104" i="3"/>
  <c r="AE6" i="3" l="1"/>
  <c r="B9" i="8"/>
  <c r="O2" i="9"/>
  <c r="N94" i="3"/>
  <c r="N96" i="3"/>
  <c r="N99" i="3"/>
  <c r="N98" i="3"/>
  <c r="N95" i="3"/>
  <c r="C9" i="8" l="1"/>
  <c r="Q2" i="9"/>
  <c r="N97" i="3"/>
  <c r="M6" i="3" s="1"/>
  <c r="H19" i="3"/>
  <c r="H60" i="3"/>
  <c r="H130" i="3"/>
  <c r="H107" i="3"/>
  <c r="H115" i="3"/>
  <c r="H17" i="3"/>
  <c r="H132" i="3"/>
  <c r="H52" i="3"/>
  <c r="H56" i="3"/>
  <c r="H76" i="3"/>
  <c r="H79" i="3"/>
  <c r="H63" i="3"/>
  <c r="H18" i="3"/>
  <c r="H112" i="3"/>
  <c r="H28" i="3"/>
  <c r="H97" i="3"/>
  <c r="H117" i="3"/>
  <c r="H11" i="3"/>
  <c r="H72" i="3"/>
  <c r="H25" i="3"/>
  <c r="H84" i="3"/>
  <c r="H95" i="3"/>
  <c r="H36" i="3"/>
  <c r="H111" i="3"/>
  <c r="H13" i="3"/>
  <c r="H43" i="3"/>
  <c r="H81" i="3"/>
  <c r="H77" i="3"/>
  <c r="H23" i="3"/>
  <c r="H64" i="3"/>
  <c r="H61" i="3"/>
  <c r="H91" i="3"/>
  <c r="H41" i="3"/>
  <c r="H42" i="3"/>
  <c r="H24" i="3"/>
  <c r="H73" i="3"/>
  <c r="H69" i="3"/>
  <c r="H67" i="3"/>
  <c r="H108" i="3"/>
  <c r="H131" i="3"/>
  <c r="H87" i="3"/>
  <c r="H20" i="3"/>
  <c r="H92" i="3"/>
  <c r="H116" i="3"/>
  <c r="H124" i="3"/>
  <c r="H58" i="3"/>
  <c r="H102" i="3"/>
  <c r="H94" i="3"/>
  <c r="H59" i="3"/>
  <c r="H10" i="3"/>
  <c r="H123" i="3"/>
  <c r="H125" i="3"/>
  <c r="H122" i="3"/>
  <c r="H27" i="3"/>
  <c r="H93" i="3"/>
  <c r="H80" i="3"/>
  <c r="H50" i="3"/>
  <c r="H32" i="3"/>
  <c r="H133" i="3"/>
  <c r="H106" i="3"/>
  <c r="H75" i="3"/>
  <c r="H121" i="3"/>
  <c r="H126" i="3"/>
  <c r="H15" i="3"/>
  <c r="H49" i="3"/>
  <c r="H114" i="3"/>
  <c r="H16" i="3"/>
  <c r="H39" i="3"/>
  <c r="H62" i="3"/>
  <c r="H119" i="3"/>
  <c r="H68" i="3"/>
  <c r="H129" i="3"/>
  <c r="H98" i="3"/>
  <c r="H35" i="3"/>
  <c r="H83" i="3"/>
  <c r="H101" i="3"/>
  <c r="H34" i="3"/>
  <c r="H118" i="3"/>
  <c r="H40" i="3"/>
  <c r="H103" i="3"/>
  <c r="H105" i="3"/>
  <c r="D81" i="15" l="1"/>
  <c r="D41" i="15"/>
  <c r="D48" i="15"/>
  <c r="D82" i="15"/>
  <c r="D58" i="15"/>
  <c r="D79" i="15"/>
  <c r="D24" i="15"/>
  <c r="D83" i="15"/>
  <c r="D89" i="15"/>
  <c r="D92" i="15"/>
  <c r="D102" i="15"/>
  <c r="D2" i="15"/>
  <c r="D44" i="15"/>
  <c r="D97" i="15"/>
  <c r="D120" i="15"/>
  <c r="D93" i="15"/>
  <c r="D64" i="15"/>
  <c r="D37" i="15"/>
  <c r="D15" i="15"/>
  <c r="D46" i="15"/>
  <c r="D75" i="15"/>
  <c r="D40" i="15"/>
  <c r="D22" i="15"/>
  <c r="D5" i="15"/>
  <c r="D14" i="15"/>
  <c r="D121" i="15"/>
  <c r="D50" i="15"/>
  <c r="D39" i="15"/>
  <c r="D113" i="15"/>
  <c r="D106" i="15"/>
  <c r="D103" i="15"/>
  <c r="D63" i="15"/>
  <c r="D38" i="15"/>
  <c r="D23" i="15"/>
  <c r="D31" i="15"/>
  <c r="D78" i="15"/>
  <c r="D26" i="15"/>
  <c r="D47" i="15"/>
  <c r="D30" i="15"/>
  <c r="D59" i="15"/>
  <c r="D7" i="15"/>
  <c r="D67" i="15"/>
  <c r="D19" i="15"/>
  <c r="D71" i="15"/>
  <c r="K9" i="3"/>
  <c r="K53" i="3"/>
  <c r="H9" i="8"/>
  <c r="K33" i="3"/>
  <c r="K71" i="3"/>
  <c r="K55" i="3"/>
  <c r="K29" i="3"/>
  <c r="K38" i="3"/>
  <c r="K54" i="3"/>
  <c r="K120" i="3"/>
  <c r="K127" i="3"/>
  <c r="K44" i="3"/>
  <c r="K66" i="3"/>
  <c r="K89" i="3"/>
  <c r="K100" i="3"/>
  <c r="K26" i="3"/>
  <c r="K128" i="3"/>
  <c r="K22" i="3"/>
  <c r="K74" i="3"/>
  <c r="K85" i="3"/>
  <c r="K78" i="3"/>
  <c r="K37" i="3"/>
  <c r="K109" i="3"/>
  <c r="K21" i="3"/>
  <c r="K14" i="3"/>
  <c r="K31" i="3"/>
  <c r="K86" i="3"/>
  <c r="K51" i="3"/>
  <c r="K46" i="3"/>
  <c r="K90" i="3"/>
  <c r="K12" i="3"/>
  <c r="K104" i="3"/>
  <c r="K65" i="3"/>
  <c r="K113" i="3"/>
  <c r="K30" i="3"/>
  <c r="K70" i="3"/>
  <c r="K110" i="3"/>
  <c r="K45" i="3"/>
  <c r="K96" i="3"/>
  <c r="K57" i="3"/>
  <c r="K99" i="3"/>
  <c r="K47" i="3"/>
  <c r="K88" i="3"/>
  <c r="K82" i="3"/>
  <c r="K48" i="3"/>
  <c r="V9" i="3"/>
  <c r="V71" i="3"/>
  <c r="V54" i="3"/>
  <c r="V66" i="3"/>
  <c r="V128" i="3"/>
  <c r="V78" i="3"/>
  <c r="V14" i="3"/>
  <c r="V46" i="3"/>
  <c r="V65" i="3"/>
  <c r="V110" i="3"/>
  <c r="V99" i="3"/>
  <c r="V48" i="3"/>
  <c r="V53" i="3"/>
  <c r="V55" i="3"/>
  <c r="V120" i="3"/>
  <c r="V89" i="3"/>
  <c r="V22" i="3"/>
  <c r="V37" i="3"/>
  <c r="V31" i="3"/>
  <c r="V90" i="3"/>
  <c r="V113" i="3"/>
  <c r="V45" i="3"/>
  <c r="V47" i="3"/>
  <c r="V29" i="3"/>
  <c r="V127" i="3"/>
  <c r="V100" i="3"/>
  <c r="V74" i="3"/>
  <c r="V109" i="3"/>
  <c r="V86" i="3"/>
  <c r="V12" i="3"/>
  <c r="V30" i="3"/>
  <c r="V96" i="3"/>
  <c r="V88" i="3"/>
  <c r="V33" i="3"/>
  <c r="V38" i="3"/>
  <c r="V44" i="3"/>
  <c r="V26" i="3"/>
  <c r="V85" i="3"/>
  <c r="V21" i="3"/>
  <c r="V51" i="3"/>
  <c r="V104" i="3"/>
  <c r="V70" i="3"/>
  <c r="V57" i="3"/>
  <c r="V82" i="3"/>
  <c r="I39" i="3"/>
  <c r="I69" i="3"/>
  <c r="I108" i="3"/>
  <c r="I34" i="3"/>
  <c r="I87" i="3"/>
  <c r="I117" i="3"/>
  <c r="I64" i="3"/>
  <c r="I16" i="3"/>
  <c r="I28" i="3"/>
  <c r="I60" i="3"/>
  <c r="I27" i="3"/>
  <c r="I121" i="3"/>
  <c r="I62" i="3"/>
  <c r="I105" i="3"/>
  <c r="I95" i="3"/>
  <c r="I75" i="3"/>
  <c r="I101" i="3"/>
  <c r="I115" i="3"/>
  <c r="I49" i="3"/>
  <c r="I80" i="3"/>
  <c r="I76" i="3"/>
  <c r="I59" i="3"/>
  <c r="I91" i="3"/>
  <c r="I94" i="3"/>
  <c r="I102" i="3"/>
  <c r="I129" i="3"/>
  <c r="I73" i="3"/>
  <c r="I133" i="3"/>
  <c r="I112" i="3"/>
  <c r="I35" i="3"/>
  <c r="I67" i="3"/>
  <c r="I119" i="3"/>
  <c r="I92" i="3"/>
  <c r="I40" i="3"/>
  <c r="I125" i="3"/>
  <c r="I77" i="3"/>
  <c r="I58" i="3"/>
  <c r="I25" i="3"/>
  <c r="I130" i="3"/>
  <c r="I106" i="3"/>
  <c r="I98" i="3"/>
  <c r="I63" i="3"/>
  <c r="I19" i="3"/>
  <c r="I84" i="3"/>
  <c r="I132" i="3"/>
  <c r="I52" i="3"/>
  <c r="I41" i="3"/>
  <c r="I123" i="3"/>
  <c r="I56" i="3"/>
  <c r="I18" i="3"/>
  <c r="I10" i="3"/>
  <c r="I50" i="3"/>
  <c r="I116" i="3"/>
  <c r="I43" i="3"/>
  <c r="I24" i="3"/>
  <c r="I126" i="3"/>
  <c r="I103" i="3"/>
  <c r="I42" i="3"/>
  <c r="I131" i="3"/>
  <c r="I83" i="3"/>
  <c r="I114" i="3"/>
  <c r="I36" i="3"/>
  <c r="I72" i="3"/>
  <c r="I97" i="3"/>
  <c r="I93" i="3"/>
  <c r="I122" i="3"/>
  <c r="I15" i="3"/>
  <c r="I81" i="3"/>
  <c r="I11" i="3"/>
  <c r="I68" i="3"/>
  <c r="I13" i="3"/>
  <c r="I118" i="3"/>
  <c r="I79" i="3"/>
  <c r="I23" i="3"/>
  <c r="I107" i="3"/>
  <c r="I17" i="3"/>
  <c r="I124" i="3"/>
  <c r="I32" i="3"/>
  <c r="I111" i="3"/>
  <c r="I61" i="3"/>
  <c r="I20" i="3"/>
  <c r="W9" i="3" l="1"/>
  <c r="AE82" i="3"/>
  <c r="J75" i="15" s="1"/>
  <c r="AE57" i="3"/>
  <c r="J50" i="15" s="1"/>
  <c r="AE70" i="3"/>
  <c r="J63" i="15" s="1"/>
  <c r="AE104" i="3"/>
  <c r="J97" i="15" s="1"/>
  <c r="AE51" i="3"/>
  <c r="J44" i="15" s="1"/>
  <c r="AE21" i="3"/>
  <c r="J14" i="15" s="1"/>
  <c r="AE85" i="3"/>
  <c r="J78" i="15" s="1"/>
  <c r="AE26" i="3"/>
  <c r="J19" i="15" s="1"/>
  <c r="AE44" i="3"/>
  <c r="J37" i="15" s="1"/>
  <c r="AE38" i="3"/>
  <c r="J31" i="15" s="1"/>
  <c r="AE33" i="3"/>
  <c r="J26" i="15" s="1"/>
  <c r="AE88" i="3"/>
  <c r="J81" i="15" s="1"/>
  <c r="AE96" i="3"/>
  <c r="J89" i="15" s="1"/>
  <c r="AE30" i="3"/>
  <c r="J23" i="15" s="1"/>
  <c r="AE12" i="3"/>
  <c r="J5" i="15" s="1"/>
  <c r="AE86" i="3"/>
  <c r="J79" i="15" s="1"/>
  <c r="AE109" i="3"/>
  <c r="J102" i="15" s="1"/>
  <c r="AE74" i="3"/>
  <c r="J67" i="15" s="1"/>
  <c r="AE100" i="3"/>
  <c r="J93" i="15" s="1"/>
  <c r="AE127" i="3"/>
  <c r="J120" i="15" s="1"/>
  <c r="AE29" i="3"/>
  <c r="J22" i="15" s="1"/>
  <c r="AE47" i="3"/>
  <c r="J40" i="15" s="1"/>
  <c r="AE45" i="3"/>
  <c r="J38" i="15" s="1"/>
  <c r="AE113" i="3"/>
  <c r="J106" i="15" s="1"/>
  <c r="AE90" i="3"/>
  <c r="J83" i="15" s="1"/>
  <c r="AE31" i="3"/>
  <c r="J24" i="15" s="1"/>
  <c r="AE37" i="3"/>
  <c r="J30" i="15" s="1"/>
  <c r="AE22" i="3"/>
  <c r="J15" i="15" s="1"/>
  <c r="AE89" i="3"/>
  <c r="J82" i="15" s="1"/>
  <c r="AE120" i="3"/>
  <c r="J113" i="15" s="1"/>
  <c r="AE55" i="3"/>
  <c r="J48" i="15" s="1"/>
  <c r="AE53" i="3"/>
  <c r="J46" i="15" s="1"/>
  <c r="AE48" i="3"/>
  <c r="J41" i="15" s="1"/>
  <c r="AE99" i="3"/>
  <c r="J92" i="15" s="1"/>
  <c r="AE110" i="3"/>
  <c r="J103" i="15" s="1"/>
  <c r="AE65" i="3"/>
  <c r="J58" i="15" s="1"/>
  <c r="AE46" i="3"/>
  <c r="J39" i="15" s="1"/>
  <c r="AE14" i="3"/>
  <c r="J7" i="15" s="1"/>
  <c r="AE78" i="3"/>
  <c r="J71" i="15" s="1"/>
  <c r="AE128" i="3"/>
  <c r="J121" i="15" s="1"/>
  <c r="AE66" i="3"/>
  <c r="J59" i="15" s="1"/>
  <c r="AE54" i="3"/>
  <c r="J47" i="15" s="1"/>
  <c r="AE71" i="3"/>
  <c r="J64" i="15" s="1"/>
  <c r="AE9" i="3"/>
  <c r="J2" i="15" s="1"/>
  <c r="K118" i="3"/>
  <c r="D111" i="15"/>
  <c r="D118" i="15"/>
  <c r="K125" i="3"/>
  <c r="K124" i="3"/>
  <c r="D117" i="15"/>
  <c r="D42" i="15"/>
  <c r="K49" i="3"/>
  <c r="D73" i="15"/>
  <c r="K80" i="3"/>
  <c r="K40" i="3"/>
  <c r="D33" i="15"/>
  <c r="D8" i="15"/>
  <c r="K15" i="3"/>
  <c r="D99" i="15"/>
  <c r="K106" i="3"/>
  <c r="D25" i="15"/>
  <c r="K32" i="3"/>
  <c r="D68" i="15"/>
  <c r="K75" i="3"/>
  <c r="K102" i="3"/>
  <c r="D95" i="15"/>
  <c r="K27" i="3"/>
  <c r="D20" i="15"/>
  <c r="D10" i="15"/>
  <c r="K17" i="3"/>
  <c r="K52" i="3"/>
  <c r="D45" i="15"/>
  <c r="K114" i="3"/>
  <c r="D107" i="15"/>
  <c r="D21" i="15"/>
  <c r="K28" i="3"/>
  <c r="K121" i="3"/>
  <c r="D114" i="15"/>
  <c r="K132" i="3"/>
  <c r="D125" i="15"/>
  <c r="K19" i="3"/>
  <c r="D12" i="15"/>
  <c r="K84" i="3"/>
  <c r="D77" i="15"/>
  <c r="D72" i="15"/>
  <c r="K79" i="3"/>
  <c r="D55" i="15"/>
  <c r="K62" i="3"/>
  <c r="K119" i="3"/>
  <c r="D112" i="15"/>
  <c r="D32" i="15"/>
  <c r="K39" i="3"/>
  <c r="K18" i="3"/>
  <c r="D11" i="15"/>
  <c r="D110" i="15"/>
  <c r="K117" i="3"/>
  <c r="D96" i="15"/>
  <c r="K103" i="3"/>
  <c r="D104" i="15"/>
  <c r="K111" i="3"/>
  <c r="D76" i="15"/>
  <c r="K83" i="3"/>
  <c r="K64" i="3"/>
  <c r="D57" i="15"/>
  <c r="D98" i="15"/>
  <c r="K105" i="3"/>
  <c r="K101" i="3"/>
  <c r="D94" i="15"/>
  <c r="D9" i="15"/>
  <c r="K16" i="3"/>
  <c r="D36" i="15"/>
  <c r="K43" i="3"/>
  <c r="K108" i="3"/>
  <c r="D101" i="15"/>
  <c r="D69" i="15"/>
  <c r="K76" i="3"/>
  <c r="K72" i="3"/>
  <c r="D65" i="15"/>
  <c r="K50" i="3"/>
  <c r="L52" i="3" s="1"/>
  <c r="D43" i="15"/>
  <c r="D29" i="15"/>
  <c r="K36" i="3"/>
  <c r="K24" i="3"/>
  <c r="D17" i="15"/>
  <c r="K131" i="3"/>
  <c r="D124" i="15"/>
  <c r="D6" i="15"/>
  <c r="K13" i="3"/>
  <c r="K122" i="3"/>
  <c r="D115" i="15"/>
  <c r="K73" i="3"/>
  <c r="D66" i="15"/>
  <c r="D34" i="15"/>
  <c r="K41" i="3"/>
  <c r="D116" i="15"/>
  <c r="K123" i="3"/>
  <c r="D119" i="15"/>
  <c r="K126" i="3"/>
  <c r="D52" i="15"/>
  <c r="K59" i="3"/>
  <c r="K93" i="3"/>
  <c r="D86" i="15"/>
  <c r="D53" i="15"/>
  <c r="K60" i="3"/>
  <c r="K23" i="3"/>
  <c r="D16" i="15"/>
  <c r="K95" i="3"/>
  <c r="D88" i="15"/>
  <c r="D126" i="15"/>
  <c r="K133" i="3"/>
  <c r="D84" i="15"/>
  <c r="K91" i="3"/>
  <c r="D56" i="15"/>
  <c r="K63" i="3"/>
  <c r="K129" i="3"/>
  <c r="D122" i="15"/>
  <c r="D90" i="15"/>
  <c r="K97" i="3"/>
  <c r="K77" i="3"/>
  <c r="D70" i="15"/>
  <c r="D28" i="15"/>
  <c r="K35" i="3"/>
  <c r="K98" i="3"/>
  <c r="D91" i="15"/>
  <c r="K25" i="3"/>
  <c r="D18" i="15"/>
  <c r="D80" i="15"/>
  <c r="K87" i="3"/>
  <c r="K61" i="3"/>
  <c r="D54" i="15"/>
  <c r="K116" i="3"/>
  <c r="D109" i="15"/>
  <c r="I6" i="3"/>
  <c r="F9" i="8" s="1"/>
  <c r="D61" i="15"/>
  <c r="K68" i="3"/>
  <c r="D62" i="15"/>
  <c r="K69" i="3"/>
  <c r="D35" i="15"/>
  <c r="K42" i="3"/>
  <c r="D3" i="15"/>
  <c r="J6" i="3"/>
  <c r="K6" i="3" s="1"/>
  <c r="K10" i="3"/>
  <c r="D105" i="15"/>
  <c r="K112" i="3"/>
  <c r="D4" i="15"/>
  <c r="K11" i="3"/>
  <c r="D13" i="15"/>
  <c r="K20" i="3"/>
  <c r="D87" i="15"/>
  <c r="K94" i="3"/>
  <c r="D27" i="15"/>
  <c r="K34" i="3"/>
  <c r="D123" i="15"/>
  <c r="K130" i="3"/>
  <c r="D51" i="15"/>
  <c r="K58" i="3"/>
  <c r="D85" i="15"/>
  <c r="K92" i="3"/>
  <c r="D100" i="15"/>
  <c r="K107" i="3"/>
  <c r="D108" i="15"/>
  <c r="K115" i="3"/>
  <c r="D74" i="15"/>
  <c r="K81" i="3"/>
  <c r="D49" i="15"/>
  <c r="K56" i="3"/>
  <c r="D60" i="15"/>
  <c r="K67" i="3"/>
  <c r="L46" i="3"/>
  <c r="J6" i="8"/>
  <c r="I6" i="8"/>
  <c r="V118" i="3"/>
  <c r="V124" i="3"/>
  <c r="V102" i="3"/>
  <c r="V114" i="3"/>
  <c r="V121" i="3"/>
  <c r="V19" i="3"/>
  <c r="V119" i="3"/>
  <c r="V18" i="3"/>
  <c r="V108" i="3"/>
  <c r="V72" i="3"/>
  <c r="V131" i="3"/>
  <c r="V122" i="3"/>
  <c r="V93" i="3"/>
  <c r="V23" i="3"/>
  <c r="V25" i="3"/>
  <c r="V61" i="3"/>
  <c r="V69" i="3"/>
  <c r="V34" i="3"/>
  <c r="V58" i="3"/>
  <c r="V107" i="3"/>
  <c r="V81" i="3"/>
  <c r="V67" i="3"/>
  <c r="V15" i="3"/>
  <c r="V79" i="3"/>
  <c r="V83" i="3"/>
  <c r="V16" i="3"/>
  <c r="V36" i="3"/>
  <c r="V126" i="3"/>
  <c r="V133" i="3"/>
  <c r="V97" i="3"/>
  <c r="V10" i="3"/>
  <c r="V40" i="3"/>
  <c r="V27" i="3"/>
  <c r="V52" i="3"/>
  <c r="V132" i="3"/>
  <c r="V84" i="3"/>
  <c r="V64" i="3"/>
  <c r="V101" i="3"/>
  <c r="V50" i="3"/>
  <c r="V24" i="3"/>
  <c r="V73" i="3"/>
  <c r="V95" i="3"/>
  <c r="V129" i="3"/>
  <c r="V77" i="3"/>
  <c r="V98" i="3"/>
  <c r="V116" i="3"/>
  <c r="V68" i="3"/>
  <c r="V42" i="3"/>
  <c r="V94" i="3"/>
  <c r="V130" i="3"/>
  <c r="V92" i="3"/>
  <c r="V115" i="3"/>
  <c r="V56" i="3"/>
  <c r="V125" i="3"/>
  <c r="V49" i="3"/>
  <c r="V106" i="3"/>
  <c r="V75" i="3"/>
  <c r="V28" i="3"/>
  <c r="V62" i="3"/>
  <c r="V39" i="3"/>
  <c r="V117" i="3"/>
  <c r="V111" i="3"/>
  <c r="V43" i="3"/>
  <c r="V76" i="3"/>
  <c r="V13" i="3"/>
  <c r="V123" i="3"/>
  <c r="V59" i="3"/>
  <c r="V60" i="3"/>
  <c r="V91" i="3"/>
  <c r="V87" i="3"/>
  <c r="V112" i="3"/>
  <c r="V20" i="3"/>
  <c r="V80" i="3"/>
  <c r="V32" i="3"/>
  <c r="V17" i="3"/>
  <c r="V103" i="3"/>
  <c r="V105" i="3"/>
  <c r="V41" i="3"/>
  <c r="V63" i="3"/>
  <c r="V35" i="3"/>
  <c r="V11" i="3"/>
  <c r="Y133" i="3" l="1"/>
  <c r="I126" i="15" s="1"/>
  <c r="W11" i="3"/>
  <c r="W10" i="3"/>
  <c r="L120" i="3"/>
  <c r="L25" i="3"/>
  <c r="AE35" i="3"/>
  <c r="J28" i="15" s="1"/>
  <c r="AE63" i="3"/>
  <c r="J56" i="15" s="1"/>
  <c r="AE41" i="3"/>
  <c r="J34" i="15" s="1"/>
  <c r="AE105" i="3"/>
  <c r="J98" i="15" s="1"/>
  <c r="AE103" i="3"/>
  <c r="J96" i="15" s="1"/>
  <c r="AE17" i="3"/>
  <c r="J10" i="15" s="1"/>
  <c r="AE32" i="3"/>
  <c r="J25" i="15" s="1"/>
  <c r="AE80" i="3"/>
  <c r="J73" i="15" s="1"/>
  <c r="AE87" i="3"/>
  <c r="J80" i="15" s="1"/>
  <c r="AE91" i="3"/>
  <c r="J84" i="15" s="1"/>
  <c r="AE60" i="3"/>
  <c r="J53" i="15" s="1"/>
  <c r="AE59" i="3"/>
  <c r="J52" i="15" s="1"/>
  <c r="AE123" i="3"/>
  <c r="J116" i="15" s="1"/>
  <c r="AE13" i="3"/>
  <c r="J6" i="15" s="1"/>
  <c r="AE76" i="3"/>
  <c r="J69" i="15" s="1"/>
  <c r="AE43" i="3"/>
  <c r="J36" i="15" s="1"/>
  <c r="AE111" i="3"/>
  <c r="J104" i="15" s="1"/>
  <c r="AE117" i="3"/>
  <c r="J110" i="15" s="1"/>
  <c r="AE39" i="3"/>
  <c r="J32" i="15" s="1"/>
  <c r="AE62" i="3"/>
  <c r="J55" i="15" s="1"/>
  <c r="AE28" i="3"/>
  <c r="J21" i="15" s="1"/>
  <c r="AE75" i="3"/>
  <c r="J68" i="15" s="1"/>
  <c r="AE106" i="3"/>
  <c r="J99" i="15" s="1"/>
  <c r="AE49" i="3"/>
  <c r="J42" i="15" s="1"/>
  <c r="AE125" i="3"/>
  <c r="J118" i="15" s="1"/>
  <c r="L29" i="3"/>
  <c r="L47" i="3"/>
  <c r="AE68" i="3"/>
  <c r="J61" i="15" s="1"/>
  <c r="AE116" i="3"/>
  <c r="J109" i="15" s="1"/>
  <c r="AE98" i="3"/>
  <c r="J91" i="15" s="1"/>
  <c r="AE77" i="3"/>
  <c r="J70" i="15" s="1"/>
  <c r="AE129" i="3"/>
  <c r="J122" i="15" s="1"/>
  <c r="AE95" i="3"/>
  <c r="J88" i="15" s="1"/>
  <c r="AE73" i="3"/>
  <c r="J66" i="15" s="1"/>
  <c r="AE24" i="3"/>
  <c r="J17" i="15" s="1"/>
  <c r="AE50" i="3"/>
  <c r="J43" i="15" s="1"/>
  <c r="AE101" i="3"/>
  <c r="J94" i="15" s="1"/>
  <c r="AE64" i="3"/>
  <c r="J57" i="15" s="1"/>
  <c r="AE84" i="3"/>
  <c r="J77" i="15" s="1"/>
  <c r="AE132" i="3"/>
  <c r="J125" i="15" s="1"/>
  <c r="AE52" i="3"/>
  <c r="J45" i="15" s="1"/>
  <c r="AE27" i="3"/>
  <c r="J20" i="15" s="1"/>
  <c r="AE40" i="3"/>
  <c r="J33" i="15" s="1"/>
  <c r="AE10" i="3"/>
  <c r="J3" i="15" s="1"/>
  <c r="AE97" i="3"/>
  <c r="J90" i="15" s="1"/>
  <c r="AE133" i="3"/>
  <c r="J126" i="15" s="1"/>
  <c r="AE126" i="3"/>
  <c r="J119" i="15" s="1"/>
  <c r="AE36" i="3"/>
  <c r="J29" i="15" s="1"/>
  <c r="AE16" i="3"/>
  <c r="J9" i="15" s="1"/>
  <c r="AE83" i="3"/>
  <c r="J76" i="15" s="1"/>
  <c r="AE79" i="3"/>
  <c r="J72" i="15" s="1"/>
  <c r="AE15" i="3"/>
  <c r="J8" i="15" s="1"/>
  <c r="AE58" i="3"/>
  <c r="J51" i="15" s="1"/>
  <c r="AE61" i="3"/>
  <c r="J54" i="15" s="1"/>
  <c r="AE25" i="3"/>
  <c r="J18" i="15" s="1"/>
  <c r="AE23" i="3"/>
  <c r="J16" i="15" s="1"/>
  <c r="AE93" i="3"/>
  <c r="J86" i="15" s="1"/>
  <c r="AE122" i="3"/>
  <c r="J115" i="15" s="1"/>
  <c r="AE131" i="3"/>
  <c r="J124" i="15" s="1"/>
  <c r="AE72" i="3"/>
  <c r="J65" i="15" s="1"/>
  <c r="AE108" i="3"/>
  <c r="J101" i="15" s="1"/>
  <c r="AE18" i="3"/>
  <c r="J11" i="15" s="1"/>
  <c r="AE119" i="3"/>
  <c r="J112" i="15" s="1"/>
  <c r="AE19" i="3"/>
  <c r="J12" i="15" s="1"/>
  <c r="AE121" i="3"/>
  <c r="J114" i="15" s="1"/>
  <c r="AE114" i="3"/>
  <c r="J107" i="15" s="1"/>
  <c r="AE102" i="3"/>
  <c r="J95" i="15" s="1"/>
  <c r="AE124" i="3"/>
  <c r="J117" i="15" s="1"/>
  <c r="AE118" i="3"/>
  <c r="J111" i="15" s="1"/>
  <c r="L23" i="3"/>
  <c r="L72" i="3"/>
  <c r="L73" i="3"/>
  <c r="L100" i="3"/>
  <c r="L118" i="3"/>
  <c r="L24" i="3"/>
  <c r="L28" i="3"/>
  <c r="L51" i="3"/>
  <c r="L22" i="3"/>
  <c r="L45" i="3"/>
  <c r="L87" i="3"/>
  <c r="L26" i="3"/>
  <c r="L39" i="3"/>
  <c r="L121" i="3"/>
  <c r="L50" i="3"/>
  <c r="L74" i="3"/>
  <c r="L119" i="3"/>
  <c r="L75" i="3"/>
  <c r="L53" i="3"/>
  <c r="L86" i="3"/>
  <c r="L123" i="3"/>
  <c r="L122" i="3"/>
  <c r="L49" i="3"/>
  <c r="L101" i="3"/>
  <c r="L88" i="3"/>
  <c r="L77" i="3"/>
  <c r="L27" i="3"/>
  <c r="L76" i="3"/>
  <c r="L89" i="3"/>
  <c r="L48" i="3"/>
  <c r="L61" i="3"/>
  <c r="L63" i="3"/>
  <c r="L30" i="3"/>
  <c r="L102" i="3"/>
  <c r="L126" i="3"/>
  <c r="L124" i="3"/>
  <c r="L103" i="3"/>
  <c r="L98" i="3"/>
  <c r="L97" i="3"/>
  <c r="L31" i="3"/>
  <c r="L38" i="3"/>
  <c r="L125" i="3"/>
  <c r="L64" i="3"/>
  <c r="L14" i="3"/>
  <c r="L99" i="3"/>
  <c r="L104" i="3"/>
  <c r="L16" i="3"/>
  <c r="L127" i="3"/>
  <c r="L62" i="3"/>
  <c r="L37" i="3"/>
  <c r="L78" i="3"/>
  <c r="L15" i="3"/>
  <c r="L17" i="3"/>
  <c r="L84" i="3"/>
  <c r="L85" i="3"/>
  <c r="L111" i="3"/>
  <c r="AE112" i="3"/>
  <c r="J105" i="15" s="1"/>
  <c r="L54" i="3"/>
  <c r="AE56" i="3"/>
  <c r="J49" i="15" s="1"/>
  <c r="L115" i="3"/>
  <c r="AE115" i="3"/>
  <c r="J108" i="15" s="1"/>
  <c r="L94" i="3"/>
  <c r="AE92" i="3"/>
  <c r="J85" i="15" s="1"/>
  <c r="L131" i="3"/>
  <c r="AE130" i="3"/>
  <c r="J123" i="15" s="1"/>
  <c r="L96" i="3"/>
  <c r="AE94" i="3"/>
  <c r="J87" i="15" s="1"/>
  <c r="L42" i="3"/>
  <c r="AE42" i="3"/>
  <c r="J35" i="15" s="1"/>
  <c r="L21" i="3"/>
  <c r="AE20" i="3"/>
  <c r="J13" i="15" s="1"/>
  <c r="L13" i="3"/>
  <c r="AE11" i="3"/>
  <c r="J4" i="15" s="1"/>
  <c r="L66" i="3"/>
  <c r="AE67" i="3"/>
  <c r="J60" i="15" s="1"/>
  <c r="L81" i="3"/>
  <c r="AE81" i="3"/>
  <c r="J74" i="15" s="1"/>
  <c r="L105" i="3"/>
  <c r="AE107" i="3"/>
  <c r="J100" i="15" s="1"/>
  <c r="L33" i="3"/>
  <c r="AE34" i="3"/>
  <c r="J27" i="15" s="1"/>
  <c r="L71" i="3"/>
  <c r="AE69" i="3"/>
  <c r="J62" i="15" s="1"/>
  <c r="L56" i="3"/>
  <c r="L91" i="3"/>
  <c r="L130" i="3"/>
  <c r="L18" i="3"/>
  <c r="L110" i="3"/>
  <c r="L19" i="3"/>
  <c r="L129" i="3"/>
  <c r="L116" i="3"/>
  <c r="J95" i="3"/>
  <c r="L108" i="3"/>
  <c r="J92" i="3"/>
  <c r="J28" i="3"/>
  <c r="L128" i="3"/>
  <c r="L40" i="3"/>
  <c r="L93" i="3"/>
  <c r="J31" i="3"/>
  <c r="L92" i="3"/>
  <c r="L43" i="3"/>
  <c r="L80" i="3"/>
  <c r="J37" i="3"/>
  <c r="J51" i="3"/>
  <c r="J115" i="3"/>
  <c r="L83" i="3"/>
  <c r="L6" i="3"/>
  <c r="J60" i="3"/>
  <c r="J129" i="3"/>
  <c r="J63" i="3"/>
  <c r="J132" i="3"/>
  <c r="L20" i="3"/>
  <c r="L59" i="3"/>
  <c r="L82" i="3"/>
  <c r="L112" i="3"/>
  <c r="L57" i="3"/>
  <c r="L114" i="3"/>
  <c r="J110" i="3"/>
  <c r="J17" i="3"/>
  <c r="J76" i="3"/>
  <c r="J11" i="3"/>
  <c r="J79" i="3"/>
  <c r="L70" i="3"/>
  <c r="L55" i="3"/>
  <c r="J14" i="3"/>
  <c r="J30" i="3"/>
  <c r="J50" i="3"/>
  <c r="J62" i="3"/>
  <c r="J78" i="3"/>
  <c r="J94" i="3"/>
  <c r="J112" i="3"/>
  <c r="J131" i="3"/>
  <c r="J16" i="3"/>
  <c r="J33" i="3"/>
  <c r="J53" i="3"/>
  <c r="J65" i="3"/>
  <c r="J81" i="3"/>
  <c r="J97" i="3"/>
  <c r="J118" i="3"/>
  <c r="J109" i="3"/>
  <c r="L60" i="3"/>
  <c r="L90" i="3"/>
  <c r="L113" i="3"/>
  <c r="L117" i="3"/>
  <c r="L95" i="3"/>
  <c r="L36" i="3"/>
  <c r="L41" i="3"/>
  <c r="L44" i="3"/>
  <c r="Y132" i="3"/>
  <c r="I125" i="15" s="1"/>
  <c r="J20" i="3"/>
  <c r="J40" i="3"/>
  <c r="J57" i="3"/>
  <c r="J68" i="3"/>
  <c r="J84" i="3"/>
  <c r="J101" i="3"/>
  <c r="J121" i="3"/>
  <c r="J116" i="3"/>
  <c r="J23" i="3"/>
  <c r="J43" i="3"/>
  <c r="J48" i="3"/>
  <c r="J71" i="3"/>
  <c r="J87" i="3"/>
  <c r="J106" i="3"/>
  <c r="J124" i="3"/>
  <c r="J9" i="3"/>
  <c r="L65" i="3"/>
  <c r="L34" i="3"/>
  <c r="L68" i="3"/>
  <c r="L79" i="3"/>
  <c r="J22" i="3"/>
  <c r="J42" i="3"/>
  <c r="J47" i="3"/>
  <c r="J70" i="3"/>
  <c r="J86" i="3"/>
  <c r="J105" i="3"/>
  <c r="J123" i="3"/>
  <c r="J15" i="3"/>
  <c r="J25" i="3"/>
  <c r="J45" i="3"/>
  <c r="J56" i="3"/>
  <c r="J73" i="3"/>
  <c r="J89" i="3"/>
  <c r="J103" i="3"/>
  <c r="J126" i="3"/>
  <c r="L107" i="3"/>
  <c r="L106" i="3"/>
  <c r="L35" i="3"/>
  <c r="G9" i="8"/>
  <c r="L11" i="3"/>
  <c r="J24" i="3"/>
  <c r="J52" i="3"/>
  <c r="J72" i="3"/>
  <c r="J96" i="3"/>
  <c r="J125" i="3"/>
  <c r="J19" i="3"/>
  <c r="J36" i="3"/>
  <c r="J83" i="3"/>
  <c r="L109" i="3"/>
  <c r="L58" i="3"/>
  <c r="L69" i="3"/>
  <c r="L12" i="3"/>
  <c r="T2" i="9"/>
  <c r="Y9" i="3"/>
  <c r="I2" i="15" s="1"/>
  <c r="Y10" i="3"/>
  <c r="I3" i="15" s="1"/>
  <c r="J12" i="3"/>
  <c r="J32" i="3"/>
  <c r="J44" i="3"/>
  <c r="J49" i="3"/>
  <c r="J64" i="3"/>
  <c r="J80" i="3"/>
  <c r="J88" i="3"/>
  <c r="J100" i="3"/>
  <c r="J117" i="3"/>
  <c r="J107" i="3"/>
  <c r="J10" i="3"/>
  <c r="J27" i="3"/>
  <c r="J39" i="3"/>
  <c r="J55" i="3"/>
  <c r="J59" i="3"/>
  <c r="J67" i="3"/>
  <c r="J75" i="3"/>
  <c r="J91" i="3"/>
  <c r="J99" i="3"/>
  <c r="J108" i="3"/>
  <c r="J120" i="3"/>
  <c r="J128" i="3"/>
  <c r="J114" i="3"/>
  <c r="J18" i="3"/>
  <c r="J26" i="3"/>
  <c r="J34" i="3"/>
  <c r="J35" i="3"/>
  <c r="J54" i="3"/>
  <c r="J58" i="3"/>
  <c r="J66" i="3"/>
  <c r="J74" i="3"/>
  <c r="J82" i="3"/>
  <c r="J90" i="3"/>
  <c r="J98" i="3"/>
  <c r="J104" i="3"/>
  <c r="J119" i="3"/>
  <c r="J127" i="3"/>
  <c r="J113" i="3"/>
  <c r="J13" i="3"/>
  <c r="J21" i="3"/>
  <c r="J29" i="3"/>
  <c r="J41" i="3"/>
  <c r="J38" i="3"/>
  <c r="J46" i="3"/>
  <c r="J61" i="3"/>
  <c r="J69" i="3"/>
  <c r="J77" i="3"/>
  <c r="J85" i="3"/>
  <c r="J93" i="3"/>
  <c r="J102" i="3"/>
  <c r="J111" i="3"/>
  <c r="J122" i="3"/>
  <c r="J130" i="3"/>
  <c r="J133" i="3"/>
  <c r="L32" i="3"/>
  <c r="L67" i="3"/>
  <c r="R2" i="3"/>
  <c r="P42" i="3"/>
  <c r="P123" i="3"/>
  <c r="P54" i="3"/>
  <c r="P114" i="3"/>
  <c r="P99" i="3"/>
  <c r="P67" i="3"/>
  <c r="P16" i="3"/>
  <c r="P22" i="3"/>
  <c r="P128" i="3"/>
  <c r="P116" i="3"/>
  <c r="P35" i="3"/>
  <c r="P45" i="3"/>
  <c r="P93" i="3"/>
  <c r="P12" i="3"/>
  <c r="P58" i="3"/>
  <c r="P100" i="3"/>
  <c r="P26" i="3"/>
  <c r="P38" i="3"/>
  <c r="P48" i="3"/>
  <c r="P51" i="3"/>
  <c r="P107" i="3"/>
  <c r="P121" i="3"/>
  <c r="P101" i="3"/>
  <c r="P130" i="3"/>
  <c r="P59" i="3"/>
  <c r="P87" i="3"/>
  <c r="P71" i="3"/>
  <c r="P115" i="3"/>
  <c r="P104" i="3"/>
  <c r="P72" i="3"/>
  <c r="S114" i="3"/>
  <c r="P95" i="3"/>
  <c r="P105" i="3"/>
  <c r="P117" i="3"/>
  <c r="P120" i="3"/>
  <c r="P84" i="3"/>
  <c r="P91" i="3"/>
  <c r="P83" i="3"/>
  <c r="P56" i="3"/>
  <c r="P28" i="3"/>
  <c r="P112" i="3"/>
  <c r="P29" i="3"/>
  <c r="P20" i="3"/>
  <c r="S54" i="3"/>
  <c r="P31" i="3"/>
  <c r="P11" i="3"/>
  <c r="P79" i="3"/>
  <c r="P32" i="3"/>
  <c r="P69" i="3"/>
  <c r="P76" i="3"/>
  <c r="P13" i="3"/>
  <c r="P50" i="3"/>
  <c r="P63" i="3"/>
  <c r="P126" i="3"/>
  <c r="P47" i="3"/>
  <c r="S47" i="3" s="1"/>
  <c r="P74" i="3"/>
  <c r="E113" i="15" l="1"/>
  <c r="E40" i="15"/>
  <c r="E22" i="15"/>
  <c r="E44" i="15"/>
  <c r="E93" i="15"/>
  <c r="E21" i="15"/>
  <c r="E65" i="15"/>
  <c r="E15" i="15"/>
  <c r="E116" i="15"/>
  <c r="E67" i="15"/>
  <c r="E19" i="15"/>
  <c r="E43" i="15"/>
  <c r="E80" i="15"/>
  <c r="E114" i="15"/>
  <c r="E38" i="15"/>
  <c r="E119" i="15"/>
  <c r="E41" i="15"/>
  <c r="E56" i="15"/>
  <c r="E69" i="15"/>
  <c r="E94" i="15"/>
  <c r="E92" i="15"/>
  <c r="E31" i="15"/>
  <c r="E24" i="15"/>
  <c r="E9" i="15"/>
  <c r="E97" i="15"/>
  <c r="E64" i="15"/>
  <c r="E98" i="15"/>
  <c r="E47" i="15"/>
  <c r="E35" i="15"/>
  <c r="E108" i="15"/>
  <c r="E49" i="15"/>
  <c r="E123" i="15"/>
  <c r="E84" i="15"/>
  <c r="E109" i="15"/>
  <c r="E121" i="15"/>
  <c r="E86" i="15"/>
  <c r="E76" i="15"/>
  <c r="E107" i="15"/>
  <c r="E52" i="15"/>
  <c r="E13" i="15"/>
  <c r="E105" i="15"/>
  <c r="Y11" i="3"/>
  <c r="E4" i="15"/>
  <c r="E72" i="15"/>
  <c r="E28" i="15"/>
  <c r="E100" i="15"/>
  <c r="E88" i="15"/>
  <c r="E110" i="15"/>
  <c r="E62" i="15"/>
  <c r="E5" i="15"/>
  <c r="E60" i="15"/>
  <c r="E25" i="15"/>
  <c r="E51" i="15"/>
  <c r="E6" i="15"/>
  <c r="E77" i="15"/>
  <c r="F107" i="15"/>
  <c r="F40" i="15"/>
  <c r="F47" i="15"/>
  <c r="Q26" i="3"/>
  <c r="R26" i="3" s="1"/>
  <c r="Q12" i="3"/>
  <c r="R12" i="3" s="1"/>
  <c r="T12" i="3"/>
  <c r="W12" i="3" s="1"/>
  <c r="Q20" i="3"/>
  <c r="R20" i="3" s="1"/>
  <c r="Q28" i="3"/>
  <c r="R28" i="3" s="1"/>
  <c r="T28" i="3"/>
  <c r="W28" i="3" s="1"/>
  <c r="Q32" i="3"/>
  <c r="R32" i="3" s="1"/>
  <c r="Q72" i="3"/>
  <c r="R72" i="3" s="1"/>
  <c r="Q76" i="3"/>
  <c r="R76" i="3" s="1"/>
  <c r="Q84" i="3"/>
  <c r="R84" i="3" s="1"/>
  <c r="Q101" i="3"/>
  <c r="R101" i="3" s="1"/>
  <c r="T101" i="3"/>
  <c r="W101" i="3" s="1"/>
  <c r="T100" i="3"/>
  <c r="W100" i="3" s="1"/>
  <c r="Q100" i="3"/>
  <c r="R100" i="3" s="1"/>
  <c r="Q110" i="3"/>
  <c r="R110" i="3" s="1"/>
  <c r="Q117" i="3"/>
  <c r="R117" i="3" s="1"/>
  <c r="T117" i="3"/>
  <c r="W117" i="3" s="1"/>
  <c r="T121" i="3"/>
  <c r="W121" i="3" s="1"/>
  <c r="Q121" i="3"/>
  <c r="R121" i="3" s="1"/>
  <c r="T125" i="3"/>
  <c r="W125" i="3" s="1"/>
  <c r="Q125" i="3"/>
  <c r="R125" i="3" s="1"/>
  <c r="Q129" i="3"/>
  <c r="R129" i="3" s="1"/>
  <c r="Q107" i="3"/>
  <c r="R107" i="3" s="1"/>
  <c r="T107" i="3"/>
  <c r="W107" i="3" s="1"/>
  <c r="T116" i="3"/>
  <c r="W116" i="3" s="1"/>
  <c r="Q116" i="3"/>
  <c r="R116" i="3" s="1"/>
  <c r="Q31" i="3"/>
  <c r="R31" i="3" s="1"/>
  <c r="Q51" i="3"/>
  <c r="R51" i="3" s="1"/>
  <c r="T51" i="3"/>
  <c r="W51" i="3" s="1"/>
  <c r="Q48" i="3"/>
  <c r="R48" i="3" s="1"/>
  <c r="Q59" i="3"/>
  <c r="R59" i="3" s="1"/>
  <c r="Q63" i="3"/>
  <c r="R63" i="3" s="1"/>
  <c r="Q67" i="3"/>
  <c r="R67" i="3" s="1"/>
  <c r="Q71" i="3"/>
  <c r="R71" i="3" s="1"/>
  <c r="Q79" i="3"/>
  <c r="R79" i="3" s="1"/>
  <c r="Q83" i="3"/>
  <c r="R83" i="3" s="1"/>
  <c r="Q87" i="3"/>
  <c r="R87" i="3" s="1"/>
  <c r="Q91" i="3"/>
  <c r="R91" i="3" s="1"/>
  <c r="Q95" i="3"/>
  <c r="R95" i="3" s="1"/>
  <c r="Q99" i="3"/>
  <c r="R99" i="3" s="1"/>
  <c r="T99" i="3"/>
  <c r="W99" i="3" s="1"/>
  <c r="Q106" i="3"/>
  <c r="R106" i="3" s="1"/>
  <c r="Q108" i="3"/>
  <c r="R108" i="3" s="1"/>
  <c r="T115" i="3"/>
  <c r="W115" i="3" s="1"/>
  <c r="Q115" i="3"/>
  <c r="R115" i="3" s="1"/>
  <c r="T120" i="3"/>
  <c r="W120" i="3" s="1"/>
  <c r="Q120" i="3"/>
  <c r="R120" i="3" s="1"/>
  <c r="Q124" i="3"/>
  <c r="R124" i="3" s="1"/>
  <c r="Q128" i="3"/>
  <c r="R128" i="3" s="1"/>
  <c r="T128" i="3"/>
  <c r="W128" i="3" s="1"/>
  <c r="T132" i="3"/>
  <c r="W132" i="3" s="1"/>
  <c r="Q132" i="3"/>
  <c r="R132" i="3" s="1"/>
  <c r="T114" i="3"/>
  <c r="W114" i="3" s="1"/>
  <c r="Q114" i="3"/>
  <c r="R114" i="3" s="1"/>
  <c r="Q22" i="3"/>
  <c r="R22" i="3" s="1"/>
  <c r="Q42" i="3"/>
  <c r="R42" i="3" s="1"/>
  <c r="T42" i="3"/>
  <c r="W42" i="3" s="1"/>
  <c r="Q35" i="3"/>
  <c r="R35" i="3" s="1"/>
  <c r="Q50" i="3"/>
  <c r="R50" i="3" s="1"/>
  <c r="T50" i="3"/>
  <c r="W50" i="3" s="1"/>
  <c r="Q54" i="3"/>
  <c r="R54" i="3" s="1"/>
  <c r="T54" i="3"/>
  <c r="W54" i="3" s="1"/>
  <c r="Q47" i="3"/>
  <c r="R47" i="3" s="1"/>
  <c r="T47" i="3"/>
  <c r="W47" i="3" s="1"/>
  <c r="Q58" i="3"/>
  <c r="R58" i="3" s="1"/>
  <c r="Q74" i="3"/>
  <c r="R74" i="3" s="1"/>
  <c r="Q98" i="3"/>
  <c r="R98" i="3" s="1"/>
  <c r="Q105" i="3"/>
  <c r="R105" i="3" s="1"/>
  <c r="T105" i="3"/>
  <c r="W105" i="3" s="1"/>
  <c r="T104" i="3"/>
  <c r="W104" i="3" s="1"/>
  <c r="Q104" i="3"/>
  <c r="R104" i="3" s="1"/>
  <c r="Q112" i="3"/>
  <c r="R112" i="3" s="1"/>
  <c r="T112" i="3"/>
  <c r="W112" i="3" s="1"/>
  <c r="Q119" i="3"/>
  <c r="R119" i="3" s="1"/>
  <c r="Q123" i="3"/>
  <c r="R123" i="3" s="1"/>
  <c r="T123" i="3"/>
  <c r="W123" i="3" s="1"/>
  <c r="Q127" i="3"/>
  <c r="R127" i="3" s="1"/>
  <c r="Q131" i="3"/>
  <c r="R131" i="3" s="1"/>
  <c r="Q113" i="3"/>
  <c r="R113" i="3" s="1"/>
  <c r="T13" i="3"/>
  <c r="W13" i="3" s="1"/>
  <c r="Q13" i="3"/>
  <c r="R13" i="3" s="1"/>
  <c r="Q16" i="3"/>
  <c r="R16" i="3" s="1"/>
  <c r="T29" i="3"/>
  <c r="W29" i="3" s="1"/>
  <c r="Q29" i="3"/>
  <c r="R29" i="3" s="1"/>
  <c r="Q45" i="3"/>
  <c r="R45" i="3" s="1"/>
  <c r="Q38" i="3"/>
  <c r="R38" i="3" s="1"/>
  <c r="Q56" i="3"/>
  <c r="R56" i="3" s="1"/>
  <c r="Q69" i="3"/>
  <c r="R69" i="3" s="1"/>
  <c r="Q93" i="3"/>
  <c r="R93" i="3" s="1"/>
  <c r="Q102" i="3"/>
  <c r="R102" i="3" s="1"/>
  <c r="Q103" i="3"/>
  <c r="R103" i="3" s="1"/>
  <c r="Q111" i="3"/>
  <c r="R111" i="3" s="1"/>
  <c r="Q118" i="3"/>
  <c r="R118" i="3" s="1"/>
  <c r="T118" i="3"/>
  <c r="W118" i="3" s="1"/>
  <c r="Q122" i="3"/>
  <c r="R122" i="3" s="1"/>
  <c r="T126" i="3"/>
  <c r="W126" i="3" s="1"/>
  <c r="Q126" i="3"/>
  <c r="R126" i="3" s="1"/>
  <c r="T130" i="3"/>
  <c r="W130" i="3" s="1"/>
  <c r="Q130" i="3"/>
  <c r="R130" i="3" s="1"/>
  <c r="Q109" i="3"/>
  <c r="R109" i="3" s="1"/>
  <c r="Q133" i="3"/>
  <c r="R133" i="3" s="1"/>
  <c r="T133" i="3"/>
  <c r="W133" i="3" s="1"/>
  <c r="S29" i="3"/>
  <c r="P65" i="3"/>
  <c r="P62" i="3"/>
  <c r="S51" i="3"/>
  <c r="S93" i="3"/>
  <c r="P27" i="3"/>
  <c r="P66" i="3"/>
  <c r="P41" i="3"/>
  <c r="S35" i="3"/>
  <c r="S28" i="3"/>
  <c r="S31" i="3"/>
  <c r="S45" i="3"/>
  <c r="P108" i="3"/>
  <c r="S12" i="3"/>
  <c r="P80" i="3"/>
  <c r="P21" i="3"/>
  <c r="S107" i="3"/>
  <c r="P40" i="3"/>
  <c r="P30" i="3"/>
  <c r="S130" i="3"/>
  <c r="P25" i="3"/>
  <c r="S22" i="3"/>
  <c r="P85" i="3"/>
  <c r="P64" i="3"/>
  <c r="P124" i="3"/>
  <c r="P23" i="3"/>
  <c r="S123" i="3"/>
  <c r="S11" i="3"/>
  <c r="P49" i="3"/>
  <c r="S79" i="3"/>
  <c r="P111" i="3"/>
  <c r="S117" i="3"/>
  <c r="S104" i="3"/>
  <c r="P70" i="3"/>
  <c r="P96" i="3"/>
  <c r="P131" i="3"/>
  <c r="P46" i="3"/>
  <c r="P89" i="3"/>
  <c r="S71" i="3"/>
  <c r="P98" i="3"/>
  <c r="P73" i="3"/>
  <c r="P110" i="3"/>
  <c r="P103" i="3"/>
  <c r="P55" i="3"/>
  <c r="S84" i="3"/>
  <c r="S100" i="3"/>
  <c r="P34" i="3"/>
  <c r="P125" i="3"/>
  <c r="P86" i="3"/>
  <c r="P44" i="3"/>
  <c r="S87" i="3"/>
  <c r="P102" i="3"/>
  <c r="P97" i="3"/>
  <c r="P109" i="3"/>
  <c r="S56" i="3"/>
  <c r="S128" i="3"/>
  <c r="P17" i="3"/>
  <c r="P82" i="3"/>
  <c r="S65" i="3"/>
  <c r="P24" i="3"/>
  <c r="P52" i="3"/>
  <c r="S121" i="3"/>
  <c r="P92" i="3"/>
  <c r="S99" i="3"/>
  <c r="P37" i="3"/>
  <c r="S74" i="3"/>
  <c r="P75" i="3"/>
  <c r="P53" i="3"/>
  <c r="S58" i="3"/>
  <c r="P81" i="3"/>
  <c r="S91" i="3"/>
  <c r="S26" i="3"/>
  <c r="P88" i="3"/>
  <c r="P57" i="3"/>
  <c r="S116" i="3"/>
  <c r="S120" i="3"/>
  <c r="P61" i="3"/>
  <c r="S59" i="3"/>
  <c r="S48" i="3"/>
  <c r="S16" i="3"/>
  <c r="S38" i="3"/>
  <c r="P122" i="3"/>
  <c r="S72" i="3"/>
  <c r="S95" i="3"/>
  <c r="P90" i="3"/>
  <c r="S20" i="3"/>
  <c r="S32" i="3"/>
  <c r="S13" i="3"/>
  <c r="P119" i="3"/>
  <c r="S112" i="3"/>
  <c r="P129" i="3"/>
  <c r="P14" i="3"/>
  <c r="P113" i="3"/>
  <c r="S105" i="3"/>
  <c r="P127" i="3"/>
  <c r="S101" i="3"/>
  <c r="S115" i="3"/>
  <c r="P68" i="3"/>
  <c r="S69" i="3"/>
  <c r="P118" i="3"/>
  <c r="S76" i="3"/>
  <c r="P33" i="3"/>
  <c r="P43" i="3"/>
  <c r="P18" i="3"/>
  <c r="S24" i="3"/>
  <c r="P39" i="3"/>
  <c r="P15" i="3"/>
  <c r="P36" i="3"/>
  <c r="S67" i="3"/>
  <c r="S126" i="3"/>
  <c r="S83" i="3"/>
  <c r="S42" i="3"/>
  <c r="P94" i="3"/>
  <c r="P78" i="3"/>
  <c r="P60" i="3"/>
  <c r="S50" i="3"/>
  <c r="P19" i="3"/>
  <c r="P106" i="3"/>
  <c r="P77" i="3"/>
  <c r="S63" i="3"/>
  <c r="Q85" i="3" l="1"/>
  <c r="R85" i="3" s="1"/>
  <c r="Q97" i="3"/>
  <c r="R97" i="3" s="1"/>
  <c r="Q96" i="3"/>
  <c r="R96" i="3" s="1"/>
  <c r="Q94" i="3"/>
  <c r="R94" i="3" s="1"/>
  <c r="Q90" i="3"/>
  <c r="R90" i="3" s="1"/>
  <c r="T95" i="3"/>
  <c r="W95" i="3" s="1"/>
  <c r="Q88" i="3"/>
  <c r="R88" i="3" s="1"/>
  <c r="T91" i="3"/>
  <c r="W91" i="3" s="1"/>
  <c r="Q92" i="3"/>
  <c r="R92" i="3" s="1"/>
  <c r="T87" i="3"/>
  <c r="W87" i="3" s="1"/>
  <c r="Q86" i="3"/>
  <c r="R86" i="3" s="1"/>
  <c r="Q89" i="3"/>
  <c r="R89" i="3" s="1"/>
  <c r="T93" i="3"/>
  <c r="W93" i="3" s="1"/>
  <c r="F22" i="15"/>
  <c r="F43" i="15"/>
  <c r="T71" i="3"/>
  <c r="W71" i="3" s="1"/>
  <c r="F64" i="15"/>
  <c r="F110" i="15"/>
  <c r="F21" i="15"/>
  <c r="F113" i="15"/>
  <c r="F93" i="15"/>
  <c r="F108" i="15"/>
  <c r="F35" i="15"/>
  <c r="F44" i="15"/>
  <c r="F77" i="15"/>
  <c r="F114" i="15"/>
  <c r="Q17" i="3"/>
  <c r="R17" i="3" s="1"/>
  <c r="T16" i="3"/>
  <c r="W16" i="3" s="1"/>
  <c r="T18" i="3"/>
  <c r="W18" i="3" s="1"/>
  <c r="Q18" i="3"/>
  <c r="R18" i="3" s="1"/>
  <c r="Q19" i="3"/>
  <c r="R19" i="3" s="1"/>
  <c r="T20" i="3"/>
  <c r="W20" i="3" s="1"/>
  <c r="Q21" i="3"/>
  <c r="R21" i="3" s="1"/>
  <c r="T22" i="3"/>
  <c r="W22" i="3" s="1"/>
  <c r="Q23" i="3"/>
  <c r="R23" i="3" s="1"/>
  <c r="T26" i="3"/>
  <c r="W26" i="3" s="1"/>
  <c r="Q25" i="3"/>
  <c r="R25" i="3" s="1"/>
  <c r="Q24" i="3"/>
  <c r="R24" i="3" s="1"/>
  <c r="F116" i="15"/>
  <c r="F19" i="15"/>
  <c r="F97" i="15"/>
  <c r="F15" i="15"/>
  <c r="F94" i="15"/>
  <c r="F9" i="15"/>
  <c r="T48" i="3"/>
  <c r="W48" i="3" s="1"/>
  <c r="F41" i="15"/>
  <c r="Q27" i="3"/>
  <c r="R27" i="3" s="1"/>
  <c r="Q30" i="3"/>
  <c r="R30" i="3" s="1"/>
  <c r="F123" i="15"/>
  <c r="F121" i="15"/>
  <c r="F4" i="15"/>
  <c r="T56" i="3"/>
  <c r="W56" i="3" s="1"/>
  <c r="F72" i="15"/>
  <c r="T79" i="3"/>
  <c r="W79" i="3" s="1"/>
  <c r="F100" i="15"/>
  <c r="F5" i="15"/>
  <c r="F84" i="15"/>
  <c r="F76" i="15"/>
  <c r="T83" i="3"/>
  <c r="W83" i="3" s="1"/>
  <c r="T35" i="3"/>
  <c r="W35" i="3" s="1"/>
  <c r="T32" i="3"/>
  <c r="W32" i="3" s="1"/>
  <c r="T44" i="3"/>
  <c r="W44" i="3" s="1"/>
  <c r="T31" i="3"/>
  <c r="W31" i="3" s="1"/>
  <c r="T45" i="3"/>
  <c r="W45" i="3" s="1"/>
  <c r="T38" i="3"/>
  <c r="W38" i="3" s="1"/>
  <c r="Q53" i="3"/>
  <c r="R53" i="3" s="1"/>
  <c r="Q37" i="3"/>
  <c r="R37" i="3" s="1"/>
  <c r="Q49" i="3"/>
  <c r="R49" i="3" s="1"/>
  <c r="Q41" i="3"/>
  <c r="R41" i="3" s="1"/>
  <c r="Q55" i="3"/>
  <c r="R55" i="3" s="1"/>
  <c r="Q46" i="3"/>
  <c r="R46" i="3" s="1"/>
  <c r="Q39" i="3"/>
  <c r="R39" i="3" s="1"/>
  <c r="Q33" i="3"/>
  <c r="R33" i="3" s="1"/>
  <c r="Q52" i="3"/>
  <c r="R52" i="3" s="1"/>
  <c r="Q44" i="3"/>
  <c r="R44" i="3" s="1"/>
  <c r="Q34" i="3"/>
  <c r="R34" i="3" s="1"/>
  <c r="Q36" i="3"/>
  <c r="R36" i="3" s="1"/>
  <c r="Q40" i="3"/>
  <c r="R40" i="3" s="1"/>
  <c r="Q43" i="3"/>
  <c r="R43" i="3" s="1"/>
  <c r="F17" i="15"/>
  <c r="E91" i="15"/>
  <c r="Q57" i="3"/>
  <c r="R57" i="3" s="1"/>
  <c r="E50" i="15"/>
  <c r="E45" i="15"/>
  <c r="E42" i="15"/>
  <c r="E95" i="15"/>
  <c r="E90" i="15"/>
  <c r="E27" i="15"/>
  <c r="E32" i="15"/>
  <c r="E46" i="15"/>
  <c r="E103" i="15"/>
  <c r="E26" i="15"/>
  <c r="E81" i="15"/>
  <c r="F58" i="15"/>
  <c r="E101" i="15"/>
  <c r="E34" i="15"/>
  <c r="E85" i="15"/>
  <c r="E120" i="15"/>
  <c r="E79" i="15"/>
  <c r="F105" i="15"/>
  <c r="F92" i="15"/>
  <c r="F25" i="15"/>
  <c r="F31" i="15"/>
  <c r="F49" i="15"/>
  <c r="E83" i="15"/>
  <c r="E118" i="15"/>
  <c r="E122" i="15"/>
  <c r="E33" i="15"/>
  <c r="E61" i="15"/>
  <c r="Q68" i="3"/>
  <c r="R68" i="3" s="1"/>
  <c r="E63" i="15"/>
  <c r="Q70" i="3"/>
  <c r="R70" i="3" s="1"/>
  <c r="E89" i="15"/>
  <c r="E99" i="15"/>
  <c r="Q66" i="3"/>
  <c r="R66" i="3" s="1"/>
  <c r="E59" i="15"/>
  <c r="E112" i="15"/>
  <c r="E74" i="15"/>
  <c r="Q81" i="3"/>
  <c r="R81" i="3" s="1"/>
  <c r="E12" i="15"/>
  <c r="E58" i="15"/>
  <c r="Q65" i="3"/>
  <c r="R65" i="3" s="1"/>
  <c r="E37" i="15"/>
  <c r="E39" i="15"/>
  <c r="E54" i="15"/>
  <c r="Q61" i="3"/>
  <c r="R61" i="3" s="1"/>
  <c r="F67" i="15"/>
  <c r="T74" i="3"/>
  <c r="W74" i="3" s="1"/>
  <c r="F65" i="15"/>
  <c r="T72" i="3"/>
  <c r="W72" i="3" s="1"/>
  <c r="F38" i="15"/>
  <c r="T76" i="3"/>
  <c r="W76" i="3" s="1"/>
  <c r="F69" i="15"/>
  <c r="F119" i="15"/>
  <c r="T63" i="3"/>
  <c r="W63" i="3" s="1"/>
  <c r="F56" i="15"/>
  <c r="E106" i="15"/>
  <c r="E36" i="15"/>
  <c r="E124" i="15"/>
  <c r="E78" i="15"/>
  <c r="E18" i="15"/>
  <c r="E20" i="15"/>
  <c r="E96" i="15"/>
  <c r="E23" i="15"/>
  <c r="E48" i="15"/>
  <c r="E68" i="15"/>
  <c r="Q75" i="3"/>
  <c r="R75" i="3" s="1"/>
  <c r="E102" i="15"/>
  <c r="Q60" i="3"/>
  <c r="R60" i="3" s="1"/>
  <c r="E53" i="15"/>
  <c r="E17" i="15"/>
  <c r="E14" i="15"/>
  <c r="Q77" i="3"/>
  <c r="R77" i="3" s="1"/>
  <c r="E70" i="15"/>
  <c r="E11" i="15"/>
  <c r="T59" i="3"/>
  <c r="W59" i="3" s="1"/>
  <c r="F52" i="15"/>
  <c r="F24" i="15"/>
  <c r="T69" i="3"/>
  <c r="W69" i="3" s="1"/>
  <c r="F62" i="15"/>
  <c r="F28" i="15"/>
  <c r="F98" i="15"/>
  <c r="F51" i="15"/>
  <c r="T58" i="3"/>
  <c r="W58" i="3" s="1"/>
  <c r="E30" i="15"/>
  <c r="E73" i="15"/>
  <c r="Q80" i="3"/>
  <c r="R80" i="3" s="1"/>
  <c r="Q78" i="3"/>
  <c r="R78" i="3" s="1"/>
  <c r="E71" i="15"/>
  <c r="E66" i="15"/>
  <c r="Q73" i="3"/>
  <c r="R73" i="3" s="1"/>
  <c r="E111" i="15"/>
  <c r="E16" i="15"/>
  <c r="E29" i="15"/>
  <c r="E75" i="15"/>
  <c r="Q82" i="3"/>
  <c r="R82" i="3" s="1"/>
  <c r="E117" i="15"/>
  <c r="Q64" i="3"/>
  <c r="R64" i="3" s="1"/>
  <c r="E57" i="15"/>
  <c r="E10" i="15"/>
  <c r="E82" i="15"/>
  <c r="E87" i="15"/>
  <c r="E104" i="15"/>
  <c r="E115" i="15"/>
  <c r="Q62" i="3"/>
  <c r="R62" i="3" s="1"/>
  <c r="E55" i="15"/>
  <c r="F80" i="15"/>
  <c r="F86" i="15"/>
  <c r="F109" i="15"/>
  <c r="T67" i="3"/>
  <c r="W67" i="3" s="1"/>
  <c r="F60" i="15"/>
  <c r="F13" i="15"/>
  <c r="F88" i="15"/>
  <c r="F6" i="15"/>
  <c r="T127" i="3"/>
  <c r="W127" i="3" s="1"/>
  <c r="T55" i="3"/>
  <c r="W55" i="3" s="1"/>
  <c r="T106" i="3"/>
  <c r="W106" i="3" s="1"/>
  <c r="T108" i="3"/>
  <c r="W108" i="3" s="1"/>
  <c r="T119" i="3"/>
  <c r="W119" i="3" s="1"/>
  <c r="Q15" i="3"/>
  <c r="R15" i="3" s="1"/>
  <c r="Q14" i="3"/>
  <c r="R14" i="3" s="1"/>
  <c r="T24" i="3"/>
  <c r="W24" i="3" s="1"/>
  <c r="T129" i="3"/>
  <c r="W129" i="3" s="1"/>
  <c r="T131" i="3"/>
  <c r="W131" i="3" s="1"/>
  <c r="T109" i="3"/>
  <c r="W109" i="3" s="1"/>
  <c r="T110" i="3"/>
  <c r="W110" i="3" s="1"/>
  <c r="T111" i="3"/>
  <c r="W111" i="3" s="1"/>
  <c r="T113" i="3"/>
  <c r="W113" i="3" s="1"/>
  <c r="T103" i="3"/>
  <c r="W103" i="3" s="1"/>
  <c r="T102" i="3"/>
  <c r="W102" i="3" s="1"/>
  <c r="T98" i="3"/>
  <c r="W98" i="3" s="1"/>
  <c r="T84" i="3"/>
  <c r="W84" i="3" s="1"/>
  <c r="T122" i="3"/>
  <c r="W122" i="3" s="1"/>
  <c r="T124" i="3"/>
  <c r="W124" i="3" s="1"/>
  <c r="T65" i="3"/>
  <c r="W65" i="3" s="1"/>
  <c r="E8" i="15"/>
  <c r="E7" i="15"/>
  <c r="T49" i="3"/>
  <c r="W49" i="3" s="1"/>
  <c r="S44" i="3"/>
  <c r="S108" i="3"/>
  <c r="S14" i="3"/>
  <c r="S46" i="3"/>
  <c r="S86" i="3"/>
  <c r="S57" i="3"/>
  <c r="S33" i="3"/>
  <c r="S53" i="3"/>
  <c r="S66" i="3"/>
  <c r="S17" i="3"/>
  <c r="S19" i="3"/>
  <c r="S118" i="3"/>
  <c r="S82" i="3"/>
  <c r="S15" i="3"/>
  <c r="S92" i="3"/>
  <c r="S96" i="3"/>
  <c r="S85" i="3"/>
  <c r="S113" i="3"/>
  <c r="C26" i="14"/>
  <c r="S68" i="3"/>
  <c r="S81" i="3"/>
  <c r="S124" i="3"/>
  <c r="S60" i="3"/>
  <c r="S25" i="3"/>
  <c r="S109" i="3"/>
  <c r="S37" i="3"/>
  <c r="S75" i="3"/>
  <c r="S80" i="3"/>
  <c r="S55" i="3"/>
  <c r="S98" i="3"/>
  <c r="S36" i="3"/>
  <c r="S30" i="3"/>
  <c r="S127" i="3"/>
  <c r="S94" i="3"/>
  <c r="S106" i="3"/>
  <c r="S122" i="3"/>
  <c r="S73" i="3"/>
  <c r="S103" i="3"/>
  <c r="S27" i="3"/>
  <c r="S34" i="3"/>
  <c r="S61" i="3"/>
  <c r="S23" i="3"/>
  <c r="S39" i="3"/>
  <c r="S64" i="3"/>
  <c r="S21" i="3"/>
  <c r="S49" i="3"/>
  <c r="S77" i="3"/>
  <c r="S43" i="3"/>
  <c r="S131" i="3"/>
  <c r="S90" i="3"/>
  <c r="S52" i="3"/>
  <c r="S70" i="3"/>
  <c r="S102" i="3"/>
  <c r="S41" i="3"/>
  <c r="S18" i="3"/>
  <c r="S119" i="3"/>
  <c r="S78" i="3"/>
  <c r="S111" i="3"/>
  <c r="S129" i="3"/>
  <c r="S40" i="3"/>
  <c r="S125" i="3"/>
  <c r="S89" i="3"/>
  <c r="S97" i="3"/>
  <c r="S62" i="3"/>
  <c r="S88" i="3"/>
  <c r="S110" i="3"/>
  <c r="T85" i="3" l="1"/>
  <c r="W85" i="3" s="1"/>
  <c r="T97" i="3"/>
  <c r="W97" i="3" s="1"/>
  <c r="T96" i="3"/>
  <c r="W96" i="3" s="1"/>
  <c r="T88" i="3"/>
  <c r="W88" i="3" s="1"/>
  <c r="T89" i="3"/>
  <c r="W89" i="3" s="1"/>
  <c r="T90" i="3"/>
  <c r="W90" i="3" s="1"/>
  <c r="T94" i="3"/>
  <c r="W94" i="3" s="1"/>
  <c r="T92" i="3"/>
  <c r="W92" i="3" s="1"/>
  <c r="T86" i="3"/>
  <c r="W86" i="3" s="1"/>
  <c r="F42" i="15"/>
  <c r="F68" i="15"/>
  <c r="T75" i="3"/>
  <c r="W75" i="3" s="1"/>
  <c r="F37" i="15"/>
  <c r="F11" i="15"/>
  <c r="F120" i="15"/>
  <c r="F96" i="15"/>
  <c r="F54" i="15"/>
  <c r="T61" i="3"/>
  <c r="W61" i="3" s="1"/>
  <c r="F112" i="15"/>
  <c r="F75" i="15"/>
  <c r="T82" i="3"/>
  <c r="W82" i="3" s="1"/>
  <c r="F90" i="15"/>
  <c r="T77" i="3"/>
  <c r="W77" i="3" s="1"/>
  <c r="T62" i="3"/>
  <c r="W62" i="3" s="1"/>
  <c r="T17" i="3"/>
  <c r="W17" i="3" s="1"/>
  <c r="T19" i="3"/>
  <c r="W19" i="3" s="1"/>
  <c r="T21" i="3"/>
  <c r="W21" i="3" s="1"/>
  <c r="T23" i="3"/>
  <c r="W23" i="3" s="1"/>
  <c r="T25" i="3"/>
  <c r="W25" i="3" s="1"/>
  <c r="F101" i="15"/>
  <c r="T40" i="3"/>
  <c r="W40" i="3" s="1"/>
  <c r="F33" i="15"/>
  <c r="F70" i="15"/>
  <c r="T39" i="3"/>
  <c r="W39" i="3" s="1"/>
  <c r="F32" i="15"/>
  <c r="F55" i="15"/>
  <c r="F117" i="15"/>
  <c r="T53" i="3"/>
  <c r="W53" i="3" s="1"/>
  <c r="T27" i="3"/>
  <c r="W27" i="3" s="1"/>
  <c r="T46" i="3"/>
  <c r="W46" i="3" s="1"/>
  <c r="T33" i="3"/>
  <c r="W33" i="3" s="1"/>
  <c r="T34" i="3"/>
  <c r="W34" i="3" s="1"/>
  <c r="T30" i="3"/>
  <c r="W30" i="3" s="1"/>
  <c r="T41" i="3"/>
  <c r="W41" i="3" s="1"/>
  <c r="F79" i="15"/>
  <c r="F74" i="15"/>
  <c r="T81" i="3"/>
  <c r="W81" i="3" s="1"/>
  <c r="F85" i="15"/>
  <c r="F14" i="15"/>
  <c r="F103" i="15"/>
  <c r="F16" i="15"/>
  <c r="F12" i="15"/>
  <c r="F34" i="15"/>
  <c r="F48" i="15"/>
  <c r="F87" i="15"/>
  <c r="F39" i="15"/>
  <c r="F18" i="15"/>
  <c r="F26" i="15"/>
  <c r="F82" i="15"/>
  <c r="F46" i="15"/>
  <c r="F104" i="15"/>
  <c r="T66" i="3"/>
  <c r="W66" i="3" s="1"/>
  <c r="F59" i="15"/>
  <c r="F27" i="15"/>
  <c r="F95" i="15"/>
  <c r="F10" i="15"/>
  <c r="F115" i="15"/>
  <c r="F57" i="15"/>
  <c r="T64" i="3"/>
  <c r="W64" i="3" s="1"/>
  <c r="T36" i="3"/>
  <c r="W36" i="3" s="1"/>
  <c r="T37" i="3"/>
  <c r="W37" i="3" s="1"/>
  <c r="T43" i="3"/>
  <c r="W43" i="3" s="1"/>
  <c r="T52" i="3"/>
  <c r="W52" i="3" s="1"/>
  <c r="F30" i="15"/>
  <c r="F83" i="15"/>
  <c r="F53" i="15"/>
  <c r="T60" i="3"/>
  <c r="W60" i="3" s="1"/>
  <c r="F20" i="15"/>
  <c r="F71" i="15"/>
  <c r="T78" i="3"/>
  <c r="W78" i="3" s="1"/>
  <c r="F66" i="15"/>
  <c r="T73" i="3"/>
  <c r="W73" i="3" s="1"/>
  <c r="F102" i="15"/>
  <c r="F106" i="15"/>
  <c r="F99" i="15"/>
  <c r="F61" i="15"/>
  <c r="T68" i="3"/>
  <c r="W68" i="3" s="1"/>
  <c r="F122" i="15"/>
  <c r="F111" i="15"/>
  <c r="F78" i="15"/>
  <c r="F63" i="15"/>
  <c r="T70" i="3"/>
  <c r="W70" i="3" s="1"/>
  <c r="F91" i="15"/>
  <c r="F29" i="15"/>
  <c r="F36" i="15"/>
  <c r="F89" i="15"/>
  <c r="F45" i="15"/>
  <c r="F73" i="15"/>
  <c r="T80" i="3"/>
  <c r="W80" i="3" s="1"/>
  <c r="F23" i="15"/>
  <c r="F124" i="15"/>
  <c r="F118" i="15"/>
  <c r="F81" i="15"/>
  <c r="F50" i="15"/>
  <c r="T57" i="3"/>
  <c r="W57" i="3" s="1"/>
  <c r="Q6" i="3"/>
  <c r="P6" i="3"/>
  <c r="F8" i="15"/>
  <c r="T15" i="3"/>
  <c r="W15" i="3" s="1"/>
  <c r="F7" i="15"/>
  <c r="T14" i="3"/>
  <c r="W14" i="3" s="1"/>
  <c r="J10" i="8"/>
  <c r="E10" i="13"/>
  <c r="E4" i="13"/>
  <c r="H4" i="13" s="1"/>
  <c r="Z6" i="3" l="1"/>
  <c r="T6" i="3"/>
  <c r="R6" i="3"/>
  <c r="U6" i="3"/>
  <c r="AA6" i="3"/>
  <c r="S6" i="3" l="1"/>
  <c r="K2" i="9"/>
  <c r="A9" i="8"/>
  <c r="K2" i="3"/>
  <c r="M1" i="3" s="1"/>
  <c r="A10" i="8" s="1"/>
  <c r="V6" i="3"/>
  <c r="N6" i="3" s="1"/>
  <c r="U10" i="3" l="1"/>
  <c r="U9" i="3"/>
  <c r="U80" i="3"/>
  <c r="U36" i="3"/>
  <c r="U116" i="3"/>
  <c r="U99" i="3"/>
  <c r="U13" i="3"/>
  <c r="U49" i="3"/>
  <c r="U102" i="3"/>
  <c r="U38" i="3"/>
  <c r="U121" i="3"/>
  <c r="U75" i="3"/>
  <c r="U31" i="3"/>
  <c r="U56" i="3"/>
  <c r="U92" i="3"/>
  <c r="U70" i="3"/>
  <c r="U123" i="3"/>
  <c r="U79" i="3"/>
  <c r="U32" i="3"/>
  <c r="U120" i="3"/>
  <c r="U35" i="3"/>
  <c r="U71" i="3"/>
  <c r="U118" i="3"/>
  <c r="U54" i="3"/>
  <c r="U37" i="3"/>
  <c r="U117" i="3"/>
  <c r="U73" i="3"/>
  <c r="U77" i="3"/>
  <c r="U113" i="3"/>
  <c r="U28" i="3"/>
  <c r="U86" i="3"/>
  <c r="U22" i="3"/>
  <c r="U112" i="3"/>
  <c r="U101" i="3"/>
  <c r="U59" i="3"/>
  <c r="U16" i="3"/>
  <c r="U100" i="3"/>
  <c r="U57" i="3"/>
  <c r="U15" i="3"/>
  <c r="U96" i="3"/>
  <c r="U53" i="3"/>
  <c r="U11" i="3"/>
  <c r="U95" i="3"/>
  <c r="U52" i="3"/>
  <c r="U131" i="3"/>
  <c r="U109" i="3"/>
  <c r="U88" i="3"/>
  <c r="U67" i="3"/>
  <c r="U45" i="3"/>
  <c r="U24" i="3"/>
  <c r="U124" i="3"/>
  <c r="U103" i="3"/>
  <c r="U81" i="3"/>
  <c r="U60" i="3"/>
  <c r="U39" i="3"/>
  <c r="U17" i="3"/>
  <c r="U126" i="3"/>
  <c r="U110" i="3"/>
  <c r="U94" i="3"/>
  <c r="U78" i="3"/>
  <c r="U62" i="3"/>
  <c r="U46" i="3"/>
  <c r="U30" i="3"/>
  <c r="U14" i="3"/>
  <c r="U69" i="3"/>
  <c r="U27" i="3"/>
  <c r="U111" i="3"/>
  <c r="U68" i="3"/>
  <c r="U25" i="3"/>
  <c r="U107" i="3"/>
  <c r="U64" i="3"/>
  <c r="U21" i="3"/>
  <c r="U105" i="3"/>
  <c r="U63" i="3"/>
  <c r="U20" i="3"/>
  <c r="U115" i="3"/>
  <c r="U93" i="3"/>
  <c r="U72" i="3"/>
  <c r="U51" i="3"/>
  <c r="U29" i="3"/>
  <c r="U129" i="3"/>
  <c r="U108" i="3"/>
  <c r="U87" i="3"/>
  <c r="U65" i="3"/>
  <c r="U44" i="3"/>
  <c r="U23" i="3"/>
  <c r="U130" i="3"/>
  <c r="U114" i="3"/>
  <c r="U98" i="3"/>
  <c r="U82" i="3"/>
  <c r="U66" i="3"/>
  <c r="U50" i="3"/>
  <c r="U34" i="3"/>
  <c r="U18" i="3"/>
  <c r="U133" i="3"/>
  <c r="U91" i="3"/>
  <c r="U48" i="3"/>
  <c r="U132" i="3"/>
  <c r="U89" i="3"/>
  <c r="U47" i="3"/>
  <c r="U128" i="3"/>
  <c r="U85" i="3"/>
  <c r="U43" i="3"/>
  <c r="U127" i="3"/>
  <c r="U84" i="3"/>
  <c r="U41" i="3"/>
  <c r="U125" i="3"/>
  <c r="U104" i="3"/>
  <c r="U83" i="3"/>
  <c r="U61" i="3"/>
  <c r="U40" i="3"/>
  <c r="U19" i="3"/>
  <c r="U119" i="3"/>
  <c r="U97" i="3"/>
  <c r="U76" i="3"/>
  <c r="U55" i="3"/>
  <c r="U33" i="3"/>
  <c r="U12" i="3"/>
  <c r="U122" i="3"/>
  <c r="U106" i="3"/>
  <c r="U90" i="3"/>
  <c r="U74" i="3"/>
  <c r="U58" i="3"/>
  <c r="U42" i="3"/>
  <c r="U26" i="3"/>
  <c r="L2" i="9"/>
  <c r="D9" i="8"/>
  <c r="X10" i="3"/>
  <c r="H3" i="15" s="1"/>
  <c r="X11" i="3"/>
  <c r="H4" i="15" s="1"/>
  <c r="X9" i="3"/>
  <c r="H2" i="15" s="1"/>
  <c r="O55" i="3"/>
  <c r="Y55" i="3" s="1"/>
  <c r="O28" i="3"/>
  <c r="Y28" i="3" s="1"/>
  <c r="O56" i="3"/>
  <c r="Y56" i="3" s="1"/>
  <c r="O66" i="3"/>
  <c r="Y66" i="3" s="1"/>
  <c r="O133" i="3"/>
  <c r="O53" i="3"/>
  <c r="Y53" i="3" s="1"/>
  <c r="X6" i="3"/>
  <c r="O107" i="3"/>
  <c r="Y107" i="3" s="1"/>
  <c r="O76" i="3"/>
  <c r="Y76" i="3" s="1"/>
  <c r="O58" i="3"/>
  <c r="Y58" i="3" s="1"/>
  <c r="O75" i="3"/>
  <c r="Y75" i="3" s="1"/>
  <c r="O42" i="3"/>
  <c r="Y42" i="3" s="1"/>
  <c r="O60" i="3"/>
  <c r="Y60" i="3" s="1"/>
  <c r="W6" i="3"/>
  <c r="O6" i="3"/>
  <c r="O29" i="3"/>
  <c r="Y29" i="3" s="1"/>
  <c r="O116" i="3"/>
  <c r="Y116" i="3" s="1"/>
  <c r="O122" i="3"/>
  <c r="Y122" i="3" s="1"/>
  <c r="O38" i="3"/>
  <c r="Y38" i="3" s="1"/>
  <c r="O104" i="3"/>
  <c r="Y104" i="3" s="1"/>
  <c r="O33" i="3"/>
  <c r="Y33" i="3" s="1"/>
  <c r="O59" i="3"/>
  <c r="Y59" i="3" s="1"/>
  <c r="O13" i="3"/>
  <c r="Y13" i="3" s="1"/>
  <c r="O62" i="3"/>
  <c r="Y62" i="3" s="1"/>
  <c r="O117" i="3"/>
  <c r="Y117" i="3" s="1"/>
  <c r="Y6" i="3"/>
  <c r="O95" i="3"/>
  <c r="Y95" i="3" s="1"/>
  <c r="O97" i="3"/>
  <c r="Y97" i="3" s="1"/>
  <c r="O105" i="3"/>
  <c r="Y105" i="3" s="1"/>
  <c r="O20" i="3"/>
  <c r="Y20" i="3" s="1"/>
  <c r="O18" i="3"/>
  <c r="Y18" i="3" s="1"/>
  <c r="O70" i="3"/>
  <c r="Y70" i="3" s="1"/>
  <c r="O115" i="3"/>
  <c r="Y115" i="3" s="1"/>
  <c r="O110" i="3"/>
  <c r="Y110" i="3" s="1"/>
  <c r="O44" i="3"/>
  <c r="Y44" i="3" s="1"/>
  <c r="O31" i="3"/>
  <c r="Y31" i="3" s="1"/>
  <c r="O103" i="3"/>
  <c r="Y103" i="3" s="1"/>
  <c r="O81" i="3"/>
  <c r="Y81" i="3" s="1"/>
  <c r="O129" i="3"/>
  <c r="Y129" i="3" s="1"/>
  <c r="O100" i="3"/>
  <c r="Y100" i="3" s="1"/>
  <c r="O35" i="3"/>
  <c r="Y35" i="3" s="1"/>
  <c r="O25" i="3"/>
  <c r="Y25" i="3" s="1"/>
  <c r="O84" i="3"/>
  <c r="Y84" i="3" s="1"/>
  <c r="O24" i="3"/>
  <c r="Y24" i="3" s="1"/>
  <c r="O111" i="3"/>
  <c r="Y111" i="3" s="1"/>
  <c r="O57" i="3"/>
  <c r="Y57" i="3" s="1"/>
  <c r="S2" i="9"/>
  <c r="I9" i="8"/>
  <c r="O32" i="3"/>
  <c r="Y32" i="3" s="1"/>
  <c r="O63" i="3"/>
  <c r="Y63" i="3" s="1"/>
  <c r="O92" i="3"/>
  <c r="Y92" i="3" s="1"/>
  <c r="O123" i="3"/>
  <c r="Y123" i="3" s="1"/>
  <c r="O10" i="3"/>
  <c r="G3" i="15" s="1"/>
  <c r="O89" i="3"/>
  <c r="Y89" i="3" s="1"/>
  <c r="O43" i="3"/>
  <c r="Y43" i="3" s="1"/>
  <c r="O78" i="3"/>
  <c r="Y78" i="3" s="1"/>
  <c r="O109" i="3"/>
  <c r="Y109" i="3" s="1"/>
  <c r="O23" i="3"/>
  <c r="Y23" i="3" s="1"/>
  <c r="O113" i="3"/>
  <c r="Y113" i="3" s="1"/>
  <c r="O77" i="3"/>
  <c r="Y77" i="3" s="1"/>
  <c r="O47" i="3"/>
  <c r="Y47" i="3" s="1"/>
  <c r="O112" i="3"/>
  <c r="Y112" i="3" s="1"/>
  <c r="O93" i="3"/>
  <c r="Y93" i="3" s="1"/>
  <c r="O9" i="3"/>
  <c r="G2" i="15" s="1"/>
  <c r="O67" i="3"/>
  <c r="Y67" i="3" s="1"/>
  <c r="O96" i="3"/>
  <c r="Y96" i="3" s="1"/>
  <c r="O127" i="3"/>
  <c r="Y127" i="3" s="1"/>
  <c r="O11" i="3"/>
  <c r="O52" i="3"/>
  <c r="Y52" i="3" s="1"/>
  <c r="O108" i="3"/>
  <c r="Y108" i="3" s="1"/>
  <c r="O48" i="3"/>
  <c r="Y48" i="3" s="1"/>
  <c r="O49" i="3"/>
  <c r="Y49" i="3" s="1"/>
  <c r="O132" i="3"/>
  <c r="O36" i="3"/>
  <c r="Y36" i="3" s="1"/>
  <c r="O71" i="3"/>
  <c r="Y71" i="3" s="1"/>
  <c r="O101" i="3"/>
  <c r="Y101" i="3" s="1"/>
  <c r="O131" i="3"/>
  <c r="Y131" i="3" s="1"/>
  <c r="O41" i="3"/>
  <c r="Y41" i="3" s="1"/>
  <c r="O106" i="3"/>
  <c r="Y106" i="3" s="1"/>
  <c r="O54" i="3"/>
  <c r="Y54" i="3" s="1"/>
  <c r="O83" i="3"/>
  <c r="Y83" i="3" s="1"/>
  <c r="O114" i="3"/>
  <c r="Y114" i="3" s="1"/>
  <c r="O99" i="3"/>
  <c r="Y99" i="3" s="1"/>
  <c r="O37" i="3"/>
  <c r="Y37" i="3" s="1"/>
  <c r="O65" i="3"/>
  <c r="Y65" i="3" s="1"/>
  <c r="O125" i="3"/>
  <c r="Y125" i="3" s="1"/>
  <c r="O15" i="3"/>
  <c r="Y15" i="3" s="1"/>
  <c r="O19" i="3"/>
  <c r="Y19" i="3" s="1"/>
  <c r="O124" i="3"/>
  <c r="Y124" i="3" s="1"/>
  <c r="O73" i="3"/>
  <c r="Y73" i="3" s="1"/>
  <c r="O27" i="3"/>
  <c r="Y27" i="3" s="1"/>
  <c r="O126" i="3"/>
  <c r="Y126" i="3" s="1"/>
  <c r="O87" i="3"/>
  <c r="Y87" i="3" s="1"/>
  <c r="O39" i="3"/>
  <c r="Y39" i="3" s="1"/>
  <c r="O21" i="3"/>
  <c r="Y21" i="3" s="1"/>
  <c r="O88" i="3"/>
  <c r="Y88" i="3" s="1"/>
  <c r="O50" i="3"/>
  <c r="Y50" i="3" s="1"/>
  <c r="O64" i="3"/>
  <c r="Y64" i="3" s="1"/>
  <c r="O94" i="3"/>
  <c r="Y94" i="3" s="1"/>
  <c r="O118" i="3"/>
  <c r="Y118" i="3" s="1"/>
  <c r="O74" i="3"/>
  <c r="Y74" i="3" s="1"/>
  <c r="O128" i="3"/>
  <c r="Y128" i="3" s="1"/>
  <c r="O68" i="3"/>
  <c r="Y68" i="3" s="1"/>
  <c r="O119" i="3"/>
  <c r="Y119" i="3" s="1"/>
  <c r="O51" i="3"/>
  <c r="Y51" i="3" s="1"/>
  <c r="O40" i="3"/>
  <c r="Y40" i="3" s="1"/>
  <c r="O14" i="3"/>
  <c r="Y14" i="3" s="1"/>
  <c r="O45" i="3"/>
  <c r="Y45" i="3" s="1"/>
  <c r="O91" i="3"/>
  <c r="Y91" i="3" s="1"/>
  <c r="O120" i="3"/>
  <c r="Y120" i="3" s="1"/>
  <c r="O17" i="3"/>
  <c r="Y17" i="3" s="1"/>
  <c r="O79" i="3"/>
  <c r="Y79" i="3" s="1"/>
  <c r="O16" i="3"/>
  <c r="Y16" i="3" s="1"/>
  <c r="O80" i="3"/>
  <c r="Y80" i="3" s="1"/>
  <c r="O12" i="3"/>
  <c r="O102" i="3"/>
  <c r="Y102" i="3" s="1"/>
  <c r="O121" i="3"/>
  <c r="Y121" i="3" s="1"/>
  <c r="O90" i="3"/>
  <c r="Y90" i="3" s="1"/>
  <c r="O30" i="3"/>
  <c r="Y30" i="3" s="1"/>
  <c r="O82" i="3"/>
  <c r="Y82" i="3" s="1"/>
  <c r="O22" i="3"/>
  <c r="Y22" i="3" s="1"/>
  <c r="O72" i="3"/>
  <c r="Y72" i="3" s="1"/>
  <c r="O69" i="3"/>
  <c r="Y69" i="3" s="1"/>
  <c r="O34" i="3"/>
  <c r="Y34" i="3" s="1"/>
  <c r="O130" i="3"/>
  <c r="Y130" i="3" s="1"/>
  <c r="O46" i="3"/>
  <c r="Y46" i="3" s="1"/>
  <c r="O85" i="3"/>
  <c r="Y85" i="3" s="1"/>
  <c r="O86" i="3"/>
  <c r="Y86" i="3" s="1"/>
  <c r="O26" i="3"/>
  <c r="Y26" i="3" s="1"/>
  <c r="O61" i="3"/>
  <c r="Y61" i="3" s="1"/>
  <c r="O98" i="3"/>
  <c r="Y98" i="3" s="1"/>
  <c r="I4" i="15"/>
  <c r="Z15" i="3"/>
  <c r="X12" i="3"/>
  <c r="X109" i="3"/>
  <c r="X122" i="3"/>
  <c r="X127" i="3"/>
  <c r="X111" i="3"/>
  <c r="X22" i="3"/>
  <c r="X100" i="3"/>
  <c r="X43" i="3"/>
  <c r="X90" i="3"/>
  <c r="X83" i="3"/>
  <c r="X68" i="3"/>
  <c r="X71" i="3"/>
  <c r="X75" i="3"/>
  <c r="X65" i="3"/>
  <c r="X56" i="3"/>
  <c r="X85" i="3"/>
  <c r="X121" i="3"/>
  <c r="X49" i="3"/>
  <c r="X26" i="3"/>
  <c r="X132" i="3"/>
  <c r="X117" i="3"/>
  <c r="X72" i="3"/>
  <c r="X45" i="3"/>
  <c r="X73" i="3"/>
  <c r="X21" i="3"/>
  <c r="X113" i="3"/>
  <c r="X106" i="3"/>
  <c r="X97" i="3"/>
  <c r="X64" i="3"/>
  <c r="X107" i="3"/>
  <c r="X25" i="3"/>
  <c r="X63" i="3"/>
  <c r="X78" i="3"/>
  <c r="X59" i="3"/>
  <c r="X20" i="3"/>
  <c r="X101" i="3"/>
  <c r="X15" i="3"/>
  <c r="X37" i="3"/>
  <c r="X125" i="3"/>
  <c r="X87" i="3"/>
  <c r="X18" i="3"/>
  <c r="X39" i="3"/>
  <c r="X42" i="3"/>
  <c r="X50" i="3"/>
  <c r="X98" i="3"/>
  <c r="X24" i="3"/>
  <c r="X52" i="3"/>
  <c r="X57" i="3"/>
  <c r="X67" i="3"/>
  <c r="X16" i="3"/>
  <c r="X69" i="3"/>
  <c r="X130" i="3"/>
  <c r="X61" i="3"/>
  <c r="X123" i="3"/>
  <c r="X103" i="3"/>
  <c r="X70" i="3"/>
  <c r="X99" i="3"/>
  <c r="X55" i="3"/>
  <c r="X94" i="3"/>
  <c r="X53" i="3"/>
  <c r="X76" i="3"/>
  <c r="X128" i="3"/>
  <c r="X17" i="3"/>
  <c r="X81" i="3"/>
  <c r="X92" i="3"/>
  <c r="X40" i="3"/>
  <c r="X30" i="3"/>
  <c r="X13" i="3"/>
  <c r="X120" i="3"/>
  <c r="X96" i="3"/>
  <c r="X54" i="3"/>
  <c r="X77" i="3"/>
  <c r="X105" i="3"/>
  <c r="X46" i="3"/>
  <c r="X19" i="3"/>
  <c r="X116" i="3"/>
  <c r="X112" i="3"/>
  <c r="X28" i="3"/>
  <c r="X89" i="3"/>
  <c r="X82" i="3"/>
  <c r="X48" i="3"/>
  <c r="X27" i="3"/>
  <c r="X74" i="3"/>
  <c r="X60" i="3"/>
  <c r="X23" i="3"/>
  <c r="X51" i="3"/>
  <c r="X58" i="3"/>
  <c r="X29" i="3"/>
  <c r="X79" i="3"/>
  <c r="X36" i="3"/>
  <c r="X129" i="3"/>
  <c r="X33" i="3"/>
  <c r="X62" i="3"/>
  <c r="X102" i="3"/>
  <c r="X66" i="3"/>
  <c r="X124" i="3"/>
  <c r="X108" i="3"/>
  <c r="X32" i="3"/>
  <c r="X131" i="3"/>
  <c r="X35" i="3"/>
  <c r="X34" i="3"/>
  <c r="X88" i="3"/>
  <c r="X44" i="3"/>
  <c r="X115" i="3"/>
  <c r="X118" i="3"/>
  <c r="X133" i="3"/>
  <c r="X38" i="3"/>
  <c r="X84" i="3"/>
  <c r="X80" i="3"/>
  <c r="X41" i="3"/>
  <c r="X14" i="3"/>
  <c r="X119" i="3"/>
  <c r="X47" i="3"/>
  <c r="X91" i="3"/>
  <c r="X114" i="3"/>
  <c r="X31" i="3"/>
  <c r="X93" i="3"/>
  <c r="X110" i="3"/>
  <c r="X86" i="3"/>
  <c r="X126" i="3"/>
  <c r="X95" i="3"/>
  <c r="X104" i="3"/>
  <c r="G4" i="15" l="1"/>
  <c r="Z11" i="3"/>
  <c r="Z14" i="3"/>
  <c r="Z13" i="3"/>
  <c r="Z12" i="3"/>
  <c r="Y12" i="3"/>
  <c r="AB6" i="3" s="1"/>
  <c r="M2" i="9"/>
  <c r="G19" i="15"/>
  <c r="G73" i="15"/>
  <c r="G33" i="15"/>
  <c r="G121" i="15"/>
  <c r="G32" i="15"/>
  <c r="G89" i="15"/>
  <c r="G18" i="15"/>
  <c r="G103" i="15"/>
  <c r="G115" i="15"/>
  <c r="G79" i="15"/>
  <c r="G123" i="15"/>
  <c r="G15" i="15"/>
  <c r="G114" i="15"/>
  <c r="G9" i="15"/>
  <c r="G84" i="15"/>
  <c r="G44" i="15"/>
  <c r="G67" i="15"/>
  <c r="G43" i="15"/>
  <c r="G80" i="15"/>
  <c r="G58" i="15"/>
  <c r="G76" i="15"/>
  <c r="G124" i="15"/>
  <c r="G45" i="15"/>
  <c r="G60" i="15"/>
  <c r="G40" i="15"/>
  <c r="G102" i="15"/>
  <c r="G25" i="15"/>
  <c r="G104" i="15"/>
  <c r="G96" i="15"/>
  <c r="G108" i="15"/>
  <c r="G98" i="15"/>
  <c r="G110" i="15"/>
  <c r="G26" i="15"/>
  <c r="G109" i="15"/>
  <c r="G53" i="15"/>
  <c r="G65" i="15"/>
  <c r="G101" i="15"/>
  <c r="G105" i="15"/>
  <c r="G16" i="15"/>
  <c r="G50" i="15"/>
  <c r="G74" i="15"/>
  <c r="G52" i="15"/>
  <c r="G51" i="15"/>
  <c r="G46" i="15"/>
  <c r="G91" i="15"/>
  <c r="G78" i="15"/>
  <c r="G27" i="15"/>
  <c r="G75" i="15"/>
  <c r="G95" i="15"/>
  <c r="G72" i="15"/>
  <c r="G38" i="15"/>
  <c r="G112" i="15"/>
  <c r="G111" i="15"/>
  <c r="G81" i="15"/>
  <c r="G119" i="15"/>
  <c r="G12" i="15"/>
  <c r="G30" i="15"/>
  <c r="G47" i="15"/>
  <c r="G94" i="15"/>
  <c r="G42" i="15"/>
  <c r="G70" i="15"/>
  <c r="G71" i="15"/>
  <c r="G17" i="15"/>
  <c r="G93" i="15"/>
  <c r="G24" i="15"/>
  <c r="G63" i="15"/>
  <c r="G90" i="15"/>
  <c r="G22" i="15"/>
  <c r="G35" i="15"/>
  <c r="G100" i="15"/>
  <c r="G59" i="15"/>
  <c r="G83" i="15"/>
  <c r="G21" i="15"/>
  <c r="G54" i="15"/>
  <c r="G62" i="15"/>
  <c r="G23" i="15"/>
  <c r="G61" i="15"/>
  <c r="G87" i="15"/>
  <c r="G14" i="15"/>
  <c r="G20" i="15"/>
  <c r="I8" i="15"/>
  <c r="G92" i="15"/>
  <c r="G99" i="15"/>
  <c r="G64" i="15"/>
  <c r="G120" i="15"/>
  <c r="G86" i="15"/>
  <c r="G36" i="15"/>
  <c r="G85" i="15"/>
  <c r="G37" i="15"/>
  <c r="G88" i="15"/>
  <c r="G68" i="15"/>
  <c r="G49" i="15"/>
  <c r="G13" i="15"/>
  <c r="I13" i="15"/>
  <c r="G10" i="15"/>
  <c r="G11" i="15"/>
  <c r="H48" i="15"/>
  <c r="I48" i="15"/>
  <c r="G48" i="15"/>
  <c r="I6" i="15"/>
  <c r="H21" i="15"/>
  <c r="H49" i="15"/>
  <c r="I21" i="15"/>
  <c r="I49" i="15"/>
  <c r="H59" i="15"/>
  <c r="I59" i="15"/>
  <c r="H69" i="15"/>
  <c r="H126" i="15"/>
  <c r="H100" i="15"/>
  <c r="H46" i="15"/>
  <c r="I69" i="15"/>
  <c r="G126" i="15"/>
  <c r="I100" i="15"/>
  <c r="G69" i="15"/>
  <c r="I46" i="15"/>
  <c r="H115" i="15"/>
  <c r="H53" i="15"/>
  <c r="H109" i="15"/>
  <c r="H35" i="15"/>
  <c r="H31" i="15"/>
  <c r="H51" i="15"/>
  <c r="H22" i="15"/>
  <c r="H68" i="15"/>
  <c r="I115" i="15"/>
  <c r="I53" i="15"/>
  <c r="G6" i="15"/>
  <c r="I109" i="15"/>
  <c r="I35" i="15"/>
  <c r="I31" i="15"/>
  <c r="I51" i="15"/>
  <c r="G31" i="15"/>
  <c r="I22" i="15"/>
  <c r="I68" i="15"/>
  <c r="H55" i="15"/>
  <c r="H97" i="15"/>
  <c r="H6" i="15"/>
  <c r="H52" i="15"/>
  <c r="H110" i="15"/>
  <c r="H26" i="15"/>
  <c r="I55" i="15"/>
  <c r="I97" i="15"/>
  <c r="G55" i="15"/>
  <c r="G97" i="15"/>
  <c r="I52" i="15"/>
  <c r="I110" i="15"/>
  <c r="I26" i="15"/>
  <c r="H11" i="15"/>
  <c r="H108" i="15"/>
  <c r="H98" i="15"/>
  <c r="H88" i="15"/>
  <c r="H13" i="15"/>
  <c r="H63" i="15"/>
  <c r="H90" i="15"/>
  <c r="I11" i="15"/>
  <c r="I108" i="15"/>
  <c r="I98" i="15"/>
  <c r="I88" i="15"/>
  <c r="I63" i="15"/>
  <c r="I90" i="15"/>
  <c r="G5" i="15"/>
  <c r="H38" i="15"/>
  <c r="H121" i="15"/>
  <c r="H57" i="15"/>
  <c r="H80" i="15"/>
  <c r="H66" i="15"/>
  <c r="H8" i="15"/>
  <c r="H107" i="15"/>
  <c r="H34" i="15"/>
  <c r="H29" i="15"/>
  <c r="H41" i="15"/>
  <c r="H89" i="15"/>
  <c r="H40" i="15"/>
  <c r="H70" i="15"/>
  <c r="H82" i="15"/>
  <c r="H56" i="15"/>
  <c r="H77" i="15"/>
  <c r="H28" i="15"/>
  <c r="H9" i="15"/>
  <c r="H10" i="15"/>
  <c r="H33" i="15"/>
  <c r="H67" i="15"/>
  <c r="H119" i="15"/>
  <c r="H20" i="15"/>
  <c r="H76" i="15"/>
  <c r="H124" i="15"/>
  <c r="H101" i="15"/>
  <c r="H60" i="15"/>
  <c r="H102" i="15"/>
  <c r="H25" i="15"/>
  <c r="H50" i="15"/>
  <c r="H104" i="15"/>
  <c r="H93" i="15"/>
  <c r="H74" i="15"/>
  <c r="H72" i="15"/>
  <c r="H113" i="15"/>
  <c r="H7" i="15"/>
  <c r="H44" i="15"/>
  <c r="H111" i="15"/>
  <c r="H43" i="15"/>
  <c r="H14" i="15"/>
  <c r="H117" i="15"/>
  <c r="H118" i="15"/>
  <c r="H30" i="15"/>
  <c r="H47" i="15"/>
  <c r="H94" i="15"/>
  <c r="H125" i="15"/>
  <c r="H45" i="15"/>
  <c r="H106" i="15"/>
  <c r="H71" i="15"/>
  <c r="H116" i="15"/>
  <c r="H122" i="15"/>
  <c r="H96" i="15"/>
  <c r="H37" i="15"/>
  <c r="H73" i="15"/>
  <c r="H84" i="15"/>
  <c r="H112" i="15"/>
  <c r="H61" i="15"/>
  <c r="H87" i="15"/>
  <c r="H81" i="15"/>
  <c r="H32" i="15"/>
  <c r="H12" i="15"/>
  <c r="H58" i="15"/>
  <c r="H92" i="15"/>
  <c r="H99" i="15"/>
  <c r="H64" i="15"/>
  <c r="H42" i="15"/>
  <c r="H120" i="15"/>
  <c r="H86" i="15"/>
  <c r="H105" i="15"/>
  <c r="H16" i="15"/>
  <c r="H36" i="15"/>
  <c r="H85" i="15"/>
  <c r="H17" i="15"/>
  <c r="H18" i="15"/>
  <c r="H24" i="15"/>
  <c r="H103" i="15"/>
  <c r="I38" i="15"/>
  <c r="I121" i="15"/>
  <c r="I57" i="15"/>
  <c r="I80" i="15"/>
  <c r="I66" i="15"/>
  <c r="I107" i="15"/>
  <c r="I34" i="15"/>
  <c r="I29" i="15"/>
  <c r="I41" i="15"/>
  <c r="I89" i="15"/>
  <c r="I40" i="15"/>
  <c r="I70" i="15"/>
  <c r="I82" i="15"/>
  <c r="I56" i="15"/>
  <c r="I77" i="15"/>
  <c r="I28" i="15"/>
  <c r="G82" i="15"/>
  <c r="G57" i="15"/>
  <c r="G41" i="15"/>
  <c r="G29" i="15"/>
  <c r="G34" i="15"/>
  <c r="G107" i="15"/>
  <c r="I9" i="15"/>
  <c r="I10" i="15"/>
  <c r="I33" i="15"/>
  <c r="I67" i="15"/>
  <c r="I119" i="15"/>
  <c r="I20" i="15"/>
  <c r="I76" i="15"/>
  <c r="I124" i="15"/>
  <c r="I101" i="15"/>
  <c r="I60" i="15"/>
  <c r="I102" i="15"/>
  <c r="I25" i="15"/>
  <c r="I50" i="15"/>
  <c r="I104" i="15"/>
  <c r="I93" i="15"/>
  <c r="I74" i="15"/>
  <c r="I72" i="15"/>
  <c r="I113" i="15"/>
  <c r="I44" i="15"/>
  <c r="I111" i="15"/>
  <c r="I43" i="15"/>
  <c r="I14" i="15"/>
  <c r="I117" i="15"/>
  <c r="I118" i="15"/>
  <c r="I30" i="15"/>
  <c r="I47" i="15"/>
  <c r="I94" i="15"/>
  <c r="G125" i="15"/>
  <c r="I45" i="15"/>
  <c r="I106" i="15"/>
  <c r="I71" i="15"/>
  <c r="I116" i="15"/>
  <c r="I122" i="15"/>
  <c r="I96" i="15"/>
  <c r="I37" i="15"/>
  <c r="G7" i="15"/>
  <c r="G8" i="15"/>
  <c r="G66" i="15"/>
  <c r="G56" i="15"/>
  <c r="G116" i="15"/>
  <c r="G113" i="15"/>
  <c r="G106" i="15"/>
  <c r="G118" i="15"/>
  <c r="G117" i="15"/>
  <c r="G77" i="15"/>
  <c r="G28" i="15"/>
  <c r="G122" i="15"/>
  <c r="I7" i="15"/>
  <c r="I73" i="15"/>
  <c r="I84" i="15"/>
  <c r="I112" i="15"/>
  <c r="I61" i="15"/>
  <c r="I87" i="15"/>
  <c r="I81" i="15"/>
  <c r="I32" i="15"/>
  <c r="I12" i="15"/>
  <c r="I58" i="15"/>
  <c r="I92" i="15"/>
  <c r="I99" i="15"/>
  <c r="I64" i="15"/>
  <c r="I42" i="15"/>
  <c r="I120" i="15"/>
  <c r="I86" i="15"/>
  <c r="I105" i="15"/>
  <c r="I16" i="15"/>
  <c r="I36" i="15"/>
  <c r="I85" i="15"/>
  <c r="I17" i="15"/>
  <c r="I18" i="15"/>
  <c r="I24" i="15"/>
  <c r="I103" i="15"/>
  <c r="H5" i="15"/>
  <c r="H95" i="15"/>
  <c r="I95" i="15"/>
  <c r="H114" i="15"/>
  <c r="I114" i="15"/>
  <c r="H83" i="15"/>
  <c r="I83" i="15"/>
  <c r="H23" i="15"/>
  <c r="I23" i="15"/>
  <c r="H15" i="15"/>
  <c r="H75" i="15"/>
  <c r="I15" i="15"/>
  <c r="I75" i="15"/>
  <c r="H65" i="15"/>
  <c r="I65" i="15"/>
  <c r="E9" i="8"/>
  <c r="H62" i="15"/>
  <c r="I62" i="15"/>
  <c r="H27" i="15"/>
  <c r="I27" i="15"/>
  <c r="H123" i="15"/>
  <c r="I123" i="15"/>
  <c r="H54" i="15"/>
  <c r="H19" i="15"/>
  <c r="H39" i="15"/>
  <c r="H91" i="15"/>
  <c r="H78" i="15"/>
  <c r="H79" i="15"/>
  <c r="I54" i="15"/>
  <c r="I19" i="15"/>
  <c r="I39" i="15"/>
  <c r="G39" i="15"/>
  <c r="I91" i="15"/>
  <c r="I78" i="15"/>
  <c r="I79" i="15"/>
  <c r="AC6" i="3" l="1"/>
  <c r="J4" i="3" s="1"/>
  <c r="R1" i="3" s="1"/>
  <c r="M8" i="8" s="1"/>
  <c r="I5" i="15"/>
  <c r="K9" i="8"/>
  <c r="U2" i="9" l="1"/>
</calcChain>
</file>

<file path=xl/comments1.xml><?xml version="1.0" encoding="utf-8"?>
<comments xmlns="http://schemas.openxmlformats.org/spreadsheetml/2006/main">
  <authors>
    <author xml:space="preserve"> </author>
    <author>James Swirhun</author>
    <author>ablum</author>
  </authors>
  <commentList>
    <comment ref="A5" authorId="0">
      <text>
        <r>
          <rPr>
            <b/>
            <sz val="10"/>
            <color indexed="81"/>
            <rFont val="Tahoma"/>
            <family val="2"/>
          </rPr>
          <t>The Sample Name is also used for the filename when saving data so avoid special characters: / ? * etc</t>
        </r>
      </text>
    </comment>
    <comment ref="B5" authorId="0">
      <text>
        <r>
          <rPr>
            <b/>
            <sz val="10"/>
            <color indexed="81"/>
            <rFont val="Tahoma"/>
            <family val="2"/>
          </rPr>
          <t>Thickness of the wafer in cm
e.g. A 100 µm wafer is 0.01 cm thick.</t>
        </r>
      </text>
    </comment>
    <comment ref="C5" authorId="0">
      <text>
        <r>
          <rPr>
            <b/>
            <sz val="10"/>
            <color indexed="81"/>
            <rFont val="Tahoma"/>
            <family val="2"/>
          </rPr>
          <t>Wafer bulk resistivity.</t>
        </r>
        <r>
          <rPr>
            <b/>
            <sz val="10"/>
            <color indexed="10"/>
            <rFont val="Tahoma"/>
            <family val="2"/>
          </rPr>
          <t xml:space="preserve">
An accurate resistivity (not nominal) is required for accurate calculation of Implied Voc.</t>
        </r>
      </text>
    </comment>
    <comment ref="D5" authorId="1">
      <text>
        <r>
          <rPr>
            <b/>
            <sz val="10"/>
            <color indexed="81"/>
            <rFont val="Tahoma"/>
            <family val="2"/>
          </rPr>
          <t xml:space="preserve">Select p-type or n-type from the drop-down menu.
</t>
        </r>
      </text>
    </comment>
    <comment ref="E5" authorId="0">
      <text>
        <r>
          <rPr>
            <b/>
            <sz val="10"/>
            <color indexed="81"/>
            <rFont val="Tahoma"/>
            <family val="2"/>
          </rPr>
          <t>Photogeneration fraction compared to 38 mA/cm² default.  See User Manual for more details.</t>
        </r>
      </text>
    </comment>
    <comment ref="F5" authorId="0">
      <text>
        <r>
          <rPr>
            <b/>
            <sz val="10"/>
            <color indexed="81"/>
            <rFont val="Tahoma"/>
            <family val="2"/>
          </rPr>
          <t>Minority Carrier Density (MCD) for calculating the lifetime. For most materials the lifetime is not a single parameter but a function of minority carrier density.</t>
        </r>
      </text>
    </comment>
    <comment ref="G5" authorId="0">
      <text>
        <r>
          <rPr>
            <b/>
            <sz val="10"/>
            <color indexed="81"/>
            <rFont val="Tahoma"/>
            <family val="2"/>
          </rPr>
          <t>Light bias corrects traps and removes anomalously high lifetimes in QSS mode.  Not necessary for all samples or in transient mode.  See user manual for more details on how to recognize a sample with trapping.
Typically bias light should be set to 3 suns if trapping is apparent in the signal.</t>
        </r>
      </text>
    </comment>
    <comment ref="H5" authorId="0">
      <text>
        <r>
          <rPr>
            <b/>
            <sz val="10"/>
            <color indexed="81"/>
            <rFont val="Tahoma"/>
            <family val="2"/>
          </rPr>
          <t>Select Analysis Mode from Drop-down Menu.  
Use QSS mode for samples with lifetime less than 100us.  Set flash to 1/1 for QSS mode.  
Use transient mode for samples with lifetime greater than 200us, with flash set to 1/64.  For samples between 100-200us, use Generalized 1/1 or Generalized 1/64, with the corresponding flash setting.</t>
        </r>
      </text>
    </comment>
    <comment ref="I5" authorId="0">
      <text>
        <r>
          <rPr>
            <b/>
            <sz val="10"/>
            <color indexed="81"/>
            <rFont val="Tahoma"/>
            <family val="2"/>
          </rPr>
          <t>Date of the measurement</t>
        </r>
      </text>
    </comment>
    <comment ref="J5" authorId="0">
      <text>
        <r>
          <rPr>
            <b/>
            <sz val="10"/>
            <color indexed="81"/>
            <rFont val="Tahoma"/>
            <family val="2"/>
          </rPr>
          <t>Time of the Measurement</t>
        </r>
      </text>
    </comment>
    <comment ref="K5" authorId="1">
      <text>
        <r>
          <rPr>
            <b/>
            <sz val="10"/>
            <color indexed="81"/>
            <rFont val="Tahoma"/>
            <family val="2"/>
          </rPr>
          <t>Notes if data has been logged to summary file(s).  See Settings sheet for options.</t>
        </r>
      </text>
    </comment>
    <comment ref="L5" authorId="0">
      <text>
        <r>
          <rPr>
            <b/>
            <sz val="10"/>
            <color indexed="81"/>
            <rFont val="Tahoma"/>
            <family val="2"/>
          </rPr>
          <t>The specified starting temperature of the temperture sweep</t>
        </r>
      </text>
    </comment>
    <comment ref="M5" authorId="2">
      <text>
        <r>
          <rPr>
            <b/>
            <sz val="10"/>
            <color indexed="81"/>
            <rFont val="Tahoma"/>
            <family val="2"/>
          </rPr>
          <t>Specified ending temperture of the temperture sweep</t>
        </r>
        <r>
          <rPr>
            <sz val="10"/>
            <color indexed="81"/>
            <rFont val="Tahoma"/>
            <family val="2"/>
          </rPr>
          <t xml:space="preserve">
</t>
        </r>
      </text>
    </comment>
    <comment ref="N5" authorId="0">
      <text>
        <r>
          <rPr>
            <b/>
            <sz val="10"/>
            <color indexed="81"/>
            <rFont val="Tahoma"/>
            <family val="2"/>
          </rPr>
          <t>Temperature sweep step size</t>
        </r>
      </text>
    </comment>
    <comment ref="O5" authorId="0">
      <text>
        <r>
          <rPr>
            <b/>
            <sz val="10"/>
            <color indexed="81"/>
            <rFont val="Tahoma"/>
            <family val="2"/>
          </rPr>
          <t>Temperature sweep tolerance</t>
        </r>
      </text>
    </comment>
    <comment ref="A8" authorId="0">
      <text>
        <r>
          <rPr>
            <b/>
            <sz val="10"/>
            <color indexed="81"/>
            <rFont val="Tahoma"/>
            <family val="2"/>
          </rPr>
          <t>Lifetime of minority carriers at the specified MCD.
(Auger Corrected)</t>
        </r>
      </text>
    </comment>
    <comment ref="B8" authorId="0">
      <text>
        <r>
          <rPr>
            <b/>
            <sz val="10"/>
            <color indexed="81"/>
            <rFont val="Tahoma"/>
            <family val="2"/>
          </rPr>
          <t>Sheet resistivity of the entire wafer thickness.  If wafer is diffused, parallel combination of bulk and emitter diffusion.</t>
        </r>
      </text>
    </comment>
    <comment ref="C8" authorId="0">
      <text>
        <r>
          <rPr>
            <b/>
            <sz val="10"/>
            <color indexed="81"/>
            <rFont val="Tahoma"/>
            <family val="2"/>
          </rPr>
          <t>Measured wafer resistivity based on Ohm/sq and the width.  Only valid for wafers without diffusions.</t>
        </r>
      </text>
    </comment>
    <comment ref="D8" authorId="0">
      <text>
        <r>
          <rPr>
            <b/>
            <sz val="10"/>
            <color indexed="81"/>
            <rFont val="Tahoma"/>
            <family val="2"/>
          </rPr>
          <t>J0 as extracted from the slope of inverse lifetime vs MCD fit. The extracted J0 is related to the recombination in the heavily diffused regions (see user manual for more details)</t>
        </r>
      </text>
    </comment>
    <comment ref="E8" authorId="0">
      <text>
        <r>
          <rPr>
            <b/>
            <sz val="10"/>
            <color indexed="81"/>
            <rFont val="Tahoma"/>
            <family val="2"/>
          </rPr>
          <t>Fit intercept used to estimate bulk lifetime from the inverse lifetime vs MCD fit.  Only valid for wafers with diffusion.  It is usually different to the low level injection lifetime.</t>
        </r>
      </text>
    </comment>
    <comment ref="F8" authorId="0">
      <text>
        <r>
          <rPr>
            <b/>
            <sz val="10"/>
            <color indexed="81"/>
            <rFont val="Tahoma"/>
            <family val="2"/>
          </rPr>
          <t>Minimum Apparent Minority Carrier Density (MCD).</t>
        </r>
      </text>
    </comment>
    <comment ref="G8" authorId="1">
      <text>
        <r>
          <rPr>
            <b/>
            <sz val="10"/>
            <color indexed="81"/>
            <rFont val="Tahoma"/>
            <family val="2"/>
          </rPr>
          <t>Maximum Apparent Minority Carrier Density (MCD).</t>
        </r>
      </text>
    </comment>
    <comment ref="H8" authorId="0">
      <text>
        <r>
          <rPr>
            <b/>
            <sz val="10"/>
            <color indexed="81"/>
            <rFont val="Tahoma"/>
            <family val="2"/>
          </rPr>
          <t>Bias Point Carrier Density</t>
        </r>
      </text>
    </comment>
    <comment ref="I8" authorId="0">
      <text>
        <r>
          <rPr>
            <b/>
            <sz val="10"/>
            <color indexed="81"/>
            <rFont val="Tahoma"/>
            <family val="2"/>
          </rPr>
          <t>The density of electron-hole pairs with the equivalent conductance as the trap density.</t>
        </r>
        <r>
          <rPr>
            <sz val="8"/>
            <color indexed="81"/>
            <rFont val="Tahoma"/>
            <family val="2"/>
          </rPr>
          <t xml:space="preserve">
</t>
        </r>
      </text>
    </comment>
    <comment ref="J8" authorId="0">
      <text>
        <r>
          <rPr>
            <b/>
            <sz val="10"/>
            <color indexed="81"/>
            <rFont val="Tahoma"/>
            <family val="2"/>
          </rPr>
          <t>The wafer doping of the base region as calculated from the resistivity and dopant type.</t>
        </r>
      </text>
    </comment>
    <comment ref="K8" authorId="1">
      <text>
        <r>
          <rPr>
            <b/>
            <sz val="10"/>
            <color indexed="81"/>
            <rFont val="Tahoma"/>
            <family val="2"/>
          </rPr>
          <t>The Implied Voc at an intensity of 1 sun.  This value depends heavily on the input resistivity.</t>
        </r>
      </text>
    </comment>
    <comment ref="L8" authorId="1">
      <text>
        <r>
          <rPr>
            <b/>
            <sz val="10"/>
            <color indexed="81"/>
            <rFont val="Tahoma"/>
            <family val="2"/>
          </rPr>
          <t>The measured temperature at which the data is analyzed.</t>
        </r>
      </text>
    </comment>
    <comment ref="M8" authorId="1">
      <text>
        <r>
          <rPr>
            <b/>
            <sz val="10"/>
            <color indexed="81"/>
            <rFont val="Tahoma"/>
            <family val="2"/>
          </rPr>
          <t xml:space="preserve">How to Fix Error Messages:
1. </t>
        </r>
        <r>
          <rPr>
            <b/>
            <sz val="11"/>
            <color indexed="81"/>
            <rFont val="Tahoma"/>
            <family val="2"/>
          </rPr>
          <t>Saturated Reference Cell:</t>
        </r>
        <r>
          <rPr>
            <b/>
            <sz val="10"/>
            <color indexed="81"/>
            <rFont val="Tahoma"/>
            <family val="2"/>
          </rPr>
          <t xml:space="preserve"> Decrease peak light intensity by raising flash height or adding additional filters.  Data at lower MCD/intensit is still valid.
2. Choose Specified MCD within Data: The Specified MCD is not between the Min and Max MCD.  Ensure Sample and Analysis Parameters are correct and select Specified MCD between Min and Max MCD.  To reach higher Max MCD, increase illumination intensity.  To reach lower Min MCD, decrease illumination intensity or extend data acquisition time from Settings page.
3. </t>
        </r>
        <r>
          <rPr>
            <b/>
            <sz val="11"/>
            <color indexed="81"/>
            <rFont val="Tahoma"/>
            <family val="2"/>
          </rPr>
          <t>Re-Zero Instrument</t>
        </r>
        <r>
          <rPr>
            <b/>
            <sz val="10"/>
            <color indexed="81"/>
            <rFont val="Tahoma"/>
            <family val="2"/>
          </rPr>
          <t>: The "Zero Instrument" routine has not been run in the past 12 hours OR the air voltage is out of the normal range.  Remove samples from the instrument stage and press the "Zero Instrument" Button.
4. Choose Bias Light within Data: Select a light bias value within the range of measured illumination intensities.</t>
        </r>
      </text>
    </comment>
  </commentList>
</comments>
</file>

<file path=xl/comments2.xml><?xml version="1.0" encoding="utf-8"?>
<comments xmlns="http://schemas.openxmlformats.org/spreadsheetml/2006/main">
  <authors>
    <author>Adrienne Blum</author>
    <author>James Swirhun</author>
    <author xml:space="preserve"> </author>
    <author>Office</author>
  </authors>
  <commentList>
    <comment ref="B3" authorId="0">
      <text>
        <r>
          <rPr>
            <b/>
            <sz val="8"/>
            <color indexed="81"/>
            <rFont val="Tahoma"/>
            <family val="2"/>
          </rPr>
          <t xml:space="preserve">Instrument Type
</t>
        </r>
      </text>
    </comment>
    <comment ref="B4" authorId="1">
      <text>
        <r>
          <rPr>
            <b/>
            <sz val="8"/>
            <color indexed="81"/>
            <rFont val="Tahoma"/>
            <family val="2"/>
          </rPr>
          <t>Instrument Serial Number</t>
        </r>
      </text>
    </comment>
    <comment ref="F4" authorId="1">
      <text>
        <r>
          <rPr>
            <b/>
            <sz val="8"/>
            <color indexed="81"/>
            <rFont val="Tahoma"/>
            <family val="2"/>
          </rPr>
          <t>Save summary of measurement of to Excel summary File.  Location can be specified as file path, otherwise default is to save to same location as measurement file.</t>
        </r>
      </text>
    </comment>
    <comment ref="B5" authorId="2">
      <text>
        <r>
          <rPr>
            <b/>
            <sz val="8"/>
            <color indexed="81"/>
            <rFont val="Tahoma"/>
            <family val="2"/>
          </rPr>
          <t>Calibration constant of the reference  cell that measures the light intensity.  Do Not Change this Value.</t>
        </r>
      </text>
    </comment>
    <comment ref="F5" authorId="1">
      <text>
        <r>
          <rPr>
            <b/>
            <sz val="8"/>
            <color indexed="81"/>
            <rFont val="Tahoma"/>
            <family val="2"/>
          </rPr>
          <t>Save summary of measurement of to Text File.  Location can be specified as file path, otherwise default is to save to same location as measurement file.</t>
        </r>
      </text>
    </comment>
    <comment ref="B6" authorId="2">
      <text>
        <r>
          <rPr>
            <b/>
            <sz val="8"/>
            <color indexed="81"/>
            <rFont val="Tahoma"/>
            <family val="2"/>
          </rPr>
          <t xml:space="preserve">Calibration of the photoconductivity sensor.  </t>
        </r>
      </text>
    </comment>
    <comment ref="F6" authorId="1">
      <text>
        <r>
          <rPr>
            <b/>
            <sz val="8"/>
            <color indexed="81"/>
            <rFont val="Tahoma"/>
            <family val="2"/>
          </rPr>
          <t>Save summary of measurement of to Access Database.  Location can be specified as file path, otherwise default is to save to same location as measurement file.</t>
        </r>
      </text>
    </comment>
    <comment ref="F7" authorId="1">
      <text>
        <r>
          <rPr>
            <b/>
            <sz val="8"/>
            <color indexed="81"/>
            <rFont val="Tahoma"/>
            <family val="2"/>
          </rPr>
          <t xml:space="preserve">True to automatically save summary of each measurement to files specified above.  </t>
        </r>
      </text>
    </comment>
    <comment ref="F11" authorId="1">
      <text>
        <r>
          <rPr>
            <b/>
            <sz val="8"/>
            <color indexed="81"/>
            <rFont val="Tahoma"/>
            <family val="2"/>
          </rPr>
          <t>True to Automatically save a new Excel measurement file as SampleName.xlsm.</t>
        </r>
      </text>
    </comment>
    <comment ref="B13" authorId="2">
      <text>
        <r>
          <rPr>
            <b/>
            <sz val="8"/>
            <color indexed="81"/>
            <rFont val="Tahoma"/>
            <family val="2"/>
          </rPr>
          <t>Don't change this value</t>
        </r>
      </text>
    </comment>
    <comment ref="B14" authorId="2">
      <text>
        <r>
          <rPr>
            <b/>
            <sz val="8"/>
            <color indexed="81"/>
            <rFont val="Tahoma"/>
            <family val="2"/>
          </rPr>
          <t>Normally Set do DC.</t>
        </r>
      </text>
    </comment>
    <comment ref="F14" authorId="1">
      <text>
        <r>
          <rPr>
            <b/>
            <sz val="8"/>
            <color indexed="81"/>
            <rFont val="Tahoma"/>
            <family val="2"/>
          </rPr>
          <t>True to automatically rescale graphs after each measurement.</t>
        </r>
      </text>
    </comment>
    <comment ref="B15" authorId="3">
      <text>
        <r>
          <rPr>
            <b/>
            <sz val="8"/>
            <color indexed="81"/>
            <rFont val="Tahoma"/>
            <family val="2"/>
          </rPr>
          <t xml:space="preserve">For standard instrument = 1.  </t>
        </r>
      </text>
    </comment>
    <comment ref="B16" authorId="2">
      <text>
        <r>
          <rPr>
            <b/>
            <sz val="8"/>
            <color indexed="81"/>
            <rFont val="Tahoma"/>
            <family val="2"/>
          </rPr>
          <t xml:space="preserve">Fit will cover specified carrier density +/- Fit Range.
</t>
        </r>
      </text>
    </comment>
    <comment ref="B17" authorId="2">
      <text>
        <r>
          <rPr>
            <b/>
            <sz val="8"/>
            <color indexed="81"/>
            <rFont val="Tahoma"/>
            <family val="2"/>
          </rPr>
          <t xml:space="preserve">Sinton Auger model implemented
</t>
        </r>
      </text>
    </comment>
    <comment ref="F17" authorId="1">
      <text>
        <r>
          <rPr>
            <b/>
            <sz val="8"/>
            <color indexed="81"/>
            <rFont val="Tahoma"/>
            <family val="2"/>
          </rPr>
          <t>Set to TRUE to enable the "Taking Data" Screen.  False to just take a measurement without making adjustments.</t>
        </r>
      </text>
    </comment>
    <comment ref="B18" authorId="0">
      <text>
        <r>
          <rPr>
            <b/>
            <sz val="9"/>
            <color indexed="81"/>
            <rFont val="Tahoma"/>
            <family val="2"/>
          </rPr>
          <t>For temperatures above 30C, use Dorkel/Leturcq mobility model.</t>
        </r>
      </text>
    </comment>
    <comment ref="F20" authorId="1">
      <text>
        <r>
          <rPr>
            <b/>
            <sz val="8"/>
            <color indexed="81"/>
            <rFont val="Tahoma"/>
            <family val="2"/>
          </rPr>
          <t xml:space="preserve">Initial Value for Average Function in "Taking Data" Window.  </t>
        </r>
      </text>
    </comment>
    <comment ref="F21" authorId="1">
      <text>
        <r>
          <rPr>
            <b/>
            <sz val="8"/>
            <color indexed="81"/>
            <rFont val="Tahoma"/>
            <family val="2"/>
          </rPr>
          <t>Time between consectutive flashes in Average mode for QSS measurements.  Must be set to 6 seconds for flash to recharge fully.</t>
        </r>
      </text>
    </comment>
    <comment ref="F22" authorId="1">
      <text>
        <r>
          <rPr>
            <b/>
            <sz val="8"/>
            <color indexed="81"/>
            <rFont val="Tahoma"/>
            <family val="2"/>
          </rPr>
          <t>Time between consectutive flashes in Average mode for Transient measurements.  Must be set to 0.3 seconds for flash to recharge fully at 1/64.</t>
        </r>
      </text>
    </comment>
    <comment ref="F23" authorId="1">
      <text>
        <r>
          <rPr>
            <b/>
            <sz val="8"/>
            <color indexed="81"/>
            <rFont val="Tahoma"/>
            <family val="2"/>
          </rPr>
          <t>Time between consectutive flashes in Average mode for Transient measurements.  Must be set to 0.3 seconds for flash to recharge fully at 1/64.</t>
        </r>
      </text>
    </comment>
    <comment ref="F26" authorId="1">
      <text>
        <r>
          <rPr>
            <b/>
            <sz val="8"/>
            <color indexed="81"/>
            <rFont val="Tahoma"/>
            <family val="2"/>
          </rPr>
          <t>+/- voltage range for the "Zero Instrument" routine.  Typically set to 1 volt.</t>
        </r>
      </text>
    </comment>
  </commentList>
</comments>
</file>

<file path=xl/sharedStrings.xml><?xml version="1.0" encoding="utf-8"?>
<sst xmlns="http://schemas.openxmlformats.org/spreadsheetml/2006/main" count="4517" uniqueCount="390">
  <si>
    <t>Ohms/sq</t>
  </si>
  <si>
    <t>Ohm-cm</t>
  </si>
  <si>
    <t>Fit Range</t>
  </si>
  <si>
    <t>"Carrier density" at bias point</t>
  </si>
  <si>
    <t>Ref (suns)</t>
  </si>
  <si>
    <t>Generation (pairs/s)</t>
  </si>
  <si>
    <t>PCD with baseline shift.</t>
  </si>
  <si>
    <t>Suns near bias point</t>
  </si>
  <si>
    <t>Delta N</t>
  </si>
  <si>
    <t>DC</t>
  </si>
  <si>
    <t>Delta Suns</t>
  </si>
  <si>
    <t>Minority Carrier Density</t>
  </si>
  <si>
    <t>dn/dt</t>
  </si>
  <si>
    <t>Analysis Parameters</t>
  </si>
  <si>
    <t>Sample Name</t>
  </si>
  <si>
    <t>Date</t>
  </si>
  <si>
    <t>Doping (cm-3)</t>
  </si>
  <si>
    <t>Traps (equiv e-h pairs)</t>
  </si>
  <si>
    <t>If h-l-i data, then Jo (A/cm2)</t>
  </si>
  <si>
    <t>Time</t>
  </si>
  <si>
    <t>Optical Constant</t>
  </si>
  <si>
    <t>Max MCD</t>
  </si>
  <si>
    <t>Log to Summary</t>
  </si>
  <si>
    <t>Results of Measurement</t>
  </si>
  <si>
    <t>Ref cell (V/sun)</t>
  </si>
  <si>
    <t>Lifetime at Spec. MCD (µs)</t>
  </si>
  <si>
    <t>n-type</t>
  </si>
  <si>
    <t>Change row 2 to control what gets sent to the summary file</t>
  </si>
  <si>
    <t>Tau fit  @ -NA</t>
  </si>
  <si>
    <t>Jo (A/cm2) 25 C</t>
  </si>
  <si>
    <t>The headings in row 1 are for reference and have no effect on program operation</t>
  </si>
  <si>
    <t>Max suns</t>
  </si>
  <si>
    <t>Name</t>
  </si>
  <si>
    <t>Width</t>
  </si>
  <si>
    <t>Doping</t>
  </si>
  <si>
    <t>Analysis</t>
  </si>
  <si>
    <t>Lifetime</t>
  </si>
  <si>
    <t>Ohmsqr</t>
  </si>
  <si>
    <t>Ohmcm</t>
  </si>
  <si>
    <t>TauFit</t>
  </si>
  <si>
    <t>J0</t>
  </si>
  <si>
    <t>Row 10 is for updating an access database File Summary.mdb The names below must match the column headings in the db file.</t>
  </si>
  <si>
    <t>For both text files and database files only that data that has a heading below gets updates (see manual for more details)</t>
  </si>
  <si>
    <t>Traps</t>
  </si>
  <si>
    <t>Max Suns</t>
  </si>
  <si>
    <t>MaxSuns</t>
  </si>
  <si>
    <t>MaxMCD</t>
  </si>
  <si>
    <t>Conductivity increase</t>
  </si>
  <si>
    <t>Version</t>
  </si>
  <si>
    <t>dc</t>
  </si>
  <si>
    <t>Path name</t>
  </si>
  <si>
    <t>pcgain</t>
  </si>
  <si>
    <t>refgain</t>
  </si>
  <si>
    <t>basegain</t>
  </si>
  <si>
    <t>xfer</t>
  </si>
  <si>
    <t>Photovoltage</t>
  </si>
  <si>
    <t>Reference Voltage</t>
  </si>
  <si>
    <t>Flag marking autoexit</t>
  </si>
  <si>
    <t>Data frequency in us</t>
  </si>
  <si>
    <t>Frequency of AD-conversions</t>
  </si>
  <si>
    <t>Timeout in ms</t>
  </si>
  <si>
    <t>Pulse length in us</t>
  </si>
  <si>
    <t>Trigger level in volts</t>
  </si>
  <si>
    <t>Number of points to transfer to Excel</t>
  </si>
  <si>
    <t>Dark voltage average value</t>
  </si>
  <si>
    <t>Transient</t>
  </si>
  <si>
    <t>Gain last used on channel 0</t>
  </si>
  <si>
    <t>Gain last used on channel 1</t>
  </si>
  <si>
    <t>Gain last used on channel 2</t>
  </si>
  <si>
    <t>Gain last used on channel 3</t>
  </si>
  <si>
    <t>Maximum value measured on channel 0</t>
  </si>
  <si>
    <t>Maximum value measured on channel 1</t>
  </si>
  <si>
    <t>Maximum value measured on channel 2</t>
  </si>
  <si>
    <t>Maximum value measured on channel 3</t>
  </si>
  <si>
    <t>Flag for refcell normalization</t>
  </si>
  <si>
    <t>Flag for photoconductance normalization</t>
  </si>
  <si>
    <t>Flag for dark voltage subtraction</t>
  </si>
  <si>
    <t>Time in s between flashes</t>
  </si>
  <si>
    <t>Gain used for baseline measurement on ch 1</t>
  </si>
  <si>
    <t>Time in us for measuring baseline mean</t>
  </si>
  <si>
    <t>Flag for automatic flash</t>
  </si>
  <si>
    <t>Gain used for thermocouple measurement on ch 0</t>
  </si>
  <si>
    <t>time between flashes</t>
  </si>
  <si>
    <t>Thickness</t>
  </si>
  <si>
    <t>Do autoscale gains</t>
  </si>
  <si>
    <t>[Analysis parameters]</t>
  </si>
  <si>
    <t>Refcell constant</t>
  </si>
  <si>
    <t>Cal const A</t>
  </si>
  <si>
    <t>Cal const B</t>
  </si>
  <si>
    <t>Cal const C</t>
  </si>
  <si>
    <t>Area fraction</t>
  </si>
  <si>
    <t>Transmission fraction</t>
  </si>
  <si>
    <t>Light bias</t>
  </si>
  <si>
    <t>Wafer width</t>
  </si>
  <si>
    <t>MCD to evaluate tau</t>
  </si>
  <si>
    <t>Fit range</t>
  </si>
  <si>
    <t>Analysis type (0:QSS, 1:Trans, 2:Gen)</t>
  </si>
  <si>
    <t>Dopant type (0:p, 1:n)</t>
  </si>
  <si>
    <t>User-input resistivity</t>
  </si>
  <si>
    <t>Use lifetime limits</t>
  </si>
  <si>
    <t>Low lifetime limit</t>
  </si>
  <si>
    <t>High lifetime limit</t>
  </si>
  <si>
    <t>Use resistivity limits</t>
  </si>
  <si>
    <t>Low resistivity limit</t>
  </si>
  <si>
    <t>High resistivity limit</t>
  </si>
  <si>
    <t>Use trapping limits</t>
  </si>
  <si>
    <t>Low trapping limit</t>
  </si>
  <si>
    <t>High trapping limit</t>
  </si>
  <si>
    <t>Pass wafer on timeout</t>
  </si>
  <si>
    <t>TTL LOW width</t>
  </si>
  <si>
    <t>TTL HIGH width</t>
  </si>
  <si>
    <t>Use fixed density (0:yes, 1:no)</t>
  </si>
  <si>
    <t>Percent of max N</t>
  </si>
  <si>
    <t>[Communications]</t>
  </si>
  <si>
    <t>Use database</t>
  </si>
  <si>
    <t>Database location</t>
  </si>
  <si>
    <t>Semaphore location</t>
  </si>
  <si>
    <t>Autosave full data</t>
  </si>
  <si>
    <t>Autosave (full data) location</t>
  </si>
  <si>
    <t>Autosave stats</t>
  </si>
  <si>
    <t>Autosave (stats) location</t>
  </si>
  <si>
    <t>Autosave id (0:date, 1:lot)</t>
  </si>
  <si>
    <t>File suffix</t>
  </si>
  <si>
    <t>File suffix for lotIDs</t>
  </si>
  <si>
    <t>Current date string</t>
  </si>
  <si>
    <t>Current lot ID</t>
  </si>
  <si>
    <t>Current lot start index</t>
  </si>
  <si>
    <t>Current lot end index</t>
  </si>
  <si>
    <t>Current recipe name</t>
  </si>
  <si>
    <t>[Instrument constants]</t>
  </si>
  <si>
    <t>The row above (row 2) is copied to summary.xlsm when the user presses the "log data to summary" button.</t>
  </si>
  <si>
    <t xml:space="preserve"> true</t>
  </si>
  <si>
    <t xml:space="preserve"> false</t>
  </si>
  <si>
    <t>Auger_coef_used</t>
  </si>
  <si>
    <t>Use_linear_divisions</t>
  </si>
  <si>
    <t>Plot_type_left_graph</t>
  </si>
  <si>
    <t>Plot_type_right_graph</t>
  </si>
  <si>
    <t>Right_graph_x_min</t>
  </si>
  <si>
    <t>Right_graph_x_max</t>
  </si>
  <si>
    <t>Right_graph_left_y_min</t>
  </si>
  <si>
    <t>Right_graph_left_y_max</t>
  </si>
  <si>
    <t>Right_graph_right_y_min</t>
  </si>
  <si>
    <t>Right_graph_right_y_max</t>
  </si>
  <si>
    <t>Left_graph_x_min</t>
  </si>
  <si>
    <t>Left_graph_x_max</t>
  </si>
  <si>
    <t>Left_graph_left_y_min</t>
  </si>
  <si>
    <t>Left_graph_left_y_max</t>
  </si>
  <si>
    <t>Left_graph_right_y_min</t>
  </si>
  <si>
    <t>Left_graph_right_y_max</t>
  </si>
  <si>
    <t>Coupling_channel_0</t>
  </si>
  <si>
    <t>Coupling_channel_1</t>
  </si>
  <si>
    <t xml:space="preserve"> 1.0default</t>
  </si>
  <si>
    <t>Default_recipe_path</t>
  </si>
  <si>
    <t>Primary refcell constant</t>
  </si>
  <si>
    <t>Secondary refcell constant</t>
  </si>
  <si>
    <t>Analysis Mode</t>
  </si>
  <si>
    <t>Sample Parameters</t>
  </si>
  <si>
    <t>Wafer Thickness (cm)</t>
  </si>
  <si>
    <t>Wafer Lifetime Measurement Software</t>
  </si>
  <si>
    <t>Measurement Details</t>
  </si>
  <si>
    <t>Lifetime Data Acquisition and Analysis</t>
  </si>
  <si>
    <t>Resistivity (Ω-cm)</t>
  </si>
  <si>
    <t>Summary Log Settings</t>
  </si>
  <si>
    <t>Instrument Calibration</t>
  </si>
  <si>
    <t>Serial Number</t>
  </si>
  <si>
    <t>A</t>
  </si>
  <si>
    <t>B</t>
  </si>
  <si>
    <t>C</t>
  </si>
  <si>
    <t>Illuminated Area Fraction</t>
  </si>
  <si>
    <t>Auger Coefficient</t>
  </si>
  <si>
    <t>Bias Light (suns)</t>
  </si>
  <si>
    <t>When user clicks on Summary button, send the results to the following files</t>
  </si>
  <si>
    <t>Coupling Mode</t>
  </si>
  <si>
    <t>Dark Voltage</t>
  </si>
  <si>
    <t>Sheet rho Ohms/sq</t>
  </si>
  <si>
    <t>Apparent CD In Range</t>
  </si>
  <si>
    <t>Tau In Range</t>
  </si>
  <si>
    <t>1/Tau Fit Slope</t>
  </si>
  <si>
    <t>1/Tau Fit Intercept</t>
  </si>
  <si>
    <t>CD near bias point</t>
  </si>
  <si>
    <t>Apparent CD</t>
  </si>
  <si>
    <t>Tau (sec)</t>
  </si>
  <si>
    <t>Max Apparent CD</t>
  </si>
  <si>
    <t>Fit Range Min</t>
  </si>
  <si>
    <t>Fit Range Max</t>
  </si>
  <si>
    <t xml:space="preserve">Time of Max Apparent CD </t>
  </si>
  <si>
    <t>Min Apparent CD</t>
  </si>
  <si>
    <t xml:space="preserve">PC at Time of Max Apparent CD </t>
  </si>
  <si>
    <t>SpecMCD - Traps</t>
  </si>
  <si>
    <t>Implied Voc @ 1 sun</t>
  </si>
  <si>
    <t>Text Labels</t>
  </si>
  <si>
    <t>Spec MCD</t>
  </si>
  <si>
    <t>µs</t>
  </si>
  <si>
    <t>Acceptance Parameters</t>
  </si>
  <si>
    <t>Enable Pass/Fail Message</t>
  </si>
  <si>
    <t>Minimum Lifetime (us)</t>
  </si>
  <si>
    <t>Maximum Lifetime (us)</t>
  </si>
  <si>
    <t>Pass or Fail</t>
  </si>
  <si>
    <t>Thickness (cm)</t>
  </si>
  <si>
    <t>Autosave Settings</t>
  </si>
  <si>
    <t>Air Voltage</t>
  </si>
  <si>
    <t>Baseline Air Voltage Measurements</t>
  </si>
  <si>
    <t>Gain Setting</t>
  </si>
  <si>
    <t>Voltage Range (V)</t>
  </si>
  <si>
    <t>Measurement Date</t>
  </si>
  <si>
    <t>Measurement Time</t>
  </si>
  <si>
    <t>Specified MCD</t>
  </si>
  <si>
    <t>Light Bias (Suns)</t>
  </si>
  <si>
    <t>Lifetime at Spec. MCD</t>
  </si>
  <si>
    <t>Calibration A</t>
  </si>
  <si>
    <t>Calibration B</t>
  </si>
  <si>
    <t>Calibration C</t>
  </si>
  <si>
    <t>Ref Cell Cal Const</t>
  </si>
  <si>
    <t>OptConst</t>
  </si>
  <si>
    <t>SpecMCD</t>
  </si>
  <si>
    <t>BiasLight</t>
  </si>
  <si>
    <t>RefCellCal</t>
  </si>
  <si>
    <t>Acal</t>
  </si>
  <si>
    <t>Bcal</t>
  </si>
  <si>
    <t>Ccal</t>
  </si>
  <si>
    <t>InstrumentSN</t>
  </si>
  <si>
    <t>Instrument Serial Number</t>
  </si>
  <si>
    <t>Selection Options</t>
  </si>
  <si>
    <t>QSS</t>
  </si>
  <si>
    <t>p-type</t>
  </si>
  <si>
    <t>Parameter</t>
  </si>
  <si>
    <t>Value</t>
  </si>
  <si>
    <t>Flag String</t>
  </si>
  <si>
    <t>Air Voltage (ZeroCoil)</t>
  </si>
  <si>
    <t>Air Voltage Input Range (Volts +/-)</t>
  </si>
  <si>
    <t>Cal Command</t>
  </si>
  <si>
    <t>Measure Command</t>
  </si>
  <si>
    <t>Raw Data Graph Points</t>
  </si>
  <si>
    <t>PC Gain</t>
  </si>
  <si>
    <t>Ref Gain</t>
  </si>
  <si>
    <t>Upper Bound</t>
  </si>
  <si>
    <t>Lower Bound</t>
  </si>
  <si>
    <t>Zoom Indicators</t>
  </si>
  <si>
    <t>Max Voltage</t>
  </si>
  <si>
    <t>Lower Bound Percentage</t>
  </si>
  <si>
    <t>num flashes for averaging</t>
  </si>
  <si>
    <t>Number of Flashes to average (initial value)</t>
  </si>
  <si>
    <t>Averaging Settings</t>
  </si>
  <si>
    <t>Baseline Voltage Range</t>
  </si>
  <si>
    <t>automatically Log results to specified summary files after each measurement</t>
  </si>
  <si>
    <t>Sample Time</t>
  </si>
  <si>
    <t>Automatically Rescale Graphs after each measurement</t>
  </si>
  <si>
    <t>Rescale Setting</t>
  </si>
  <si>
    <t>Show Taking Data Window Setting</t>
  </si>
  <si>
    <t>Show the Taking Data window during measurement</t>
  </si>
  <si>
    <t># of taus beyond 150mV</t>
  </si>
  <si>
    <t>Index_of_flashmode</t>
  </si>
  <si>
    <t>Signal Clipped (Zoom Out)</t>
  </si>
  <si>
    <t>Signal Low (Zoom In)</t>
  </si>
  <si>
    <t>Error Messages</t>
  </si>
  <si>
    <t>Sat. Ref Cell</t>
  </si>
  <si>
    <t>MCD out of Range</t>
  </si>
  <si>
    <t>Light Bias out of Range</t>
  </si>
  <si>
    <t xml:space="preserve"> </t>
  </si>
  <si>
    <t>Pulse Length</t>
  </si>
  <si>
    <t>Time Scale Flags</t>
  </si>
  <si>
    <t>Sample Type</t>
  </si>
  <si>
    <t>Fit Intercept (µs)</t>
  </si>
  <si>
    <t>Automatically save file after each measurement</t>
  </si>
  <si>
    <t>Data Acquisition Time Scale Settings</t>
  </si>
  <si>
    <t>Date and Time of Last "Zero Instrument"</t>
  </si>
  <si>
    <t>1 sun Implied Voc (V)</t>
  </si>
  <si>
    <t>MCD at 0.6V Ref Cell</t>
  </si>
  <si>
    <t>MCD for Ref Cell&gt;0.6V</t>
  </si>
  <si>
    <t>Max Valid MCD</t>
  </si>
  <si>
    <t>Air Voltage Stdev</t>
  </si>
  <si>
    <t>1 Sun Implied Voc</t>
  </si>
  <si>
    <t>1SunImpVoc</t>
  </si>
  <si>
    <t>Offset = Air-C</t>
  </si>
  <si>
    <t>Instument Type</t>
  </si>
  <si>
    <t>Time (s)</t>
  </si>
  <si>
    <t>Time in s</t>
  </si>
  <si>
    <t>Implied Suns</t>
  </si>
  <si>
    <t>Implied Voc</t>
  </si>
  <si>
    <t>1/Tau (auger corrected) Fit Slope</t>
  </si>
  <si>
    <t>1/Tau (auger corrected) Fit Intercept</t>
  </si>
  <si>
    <t>1/Tau in Range</t>
  </si>
  <si>
    <t>C:\SintonInstruments\LifetimeSummaryData\summary.xlsm</t>
  </si>
  <si>
    <t>C:\SintonInstruments\LifetimeSummaryData\summary.txt</t>
  </si>
  <si>
    <t>C:\SintonInstruments\LifetimeSummaryData\summary.accdb</t>
  </si>
  <si>
    <t>C:\lifetime\lifetime.exe /subbase=2 /basetime_us=20000</t>
  </si>
  <si>
    <t>Generalized (1/64)</t>
  </si>
  <si>
    <t>Generalized (1/1)</t>
  </si>
  <si>
    <t>Auger Model</t>
  </si>
  <si>
    <t>Sinton</t>
  </si>
  <si>
    <t>Richter</t>
  </si>
  <si>
    <t>ON</t>
  </si>
  <si>
    <t>OFF</t>
  </si>
  <si>
    <t>Analysis Parameters\Settings</t>
  </si>
  <si>
    <t>1/Tau Fit (auger corrected)</t>
  </si>
  <si>
    <t>ni</t>
  </si>
  <si>
    <t>PC/Ref</t>
  </si>
  <si>
    <t xml:space="preserve">Delay between flashes Transient/Generalized (1/64) (sec) </t>
  </si>
  <si>
    <t xml:space="preserve">Delay between flashes QSS/Generalized (1/1) (sec) </t>
  </si>
  <si>
    <t>1/Tau Corrected</t>
  </si>
  <si>
    <t>1/Tau corrected in Range</t>
  </si>
  <si>
    <t>1/Tau corrected</t>
  </si>
  <si>
    <t>Tau @ specMCD (s)</t>
  </si>
  <si>
    <t>Resistivity Ohm-cm</t>
  </si>
  <si>
    <t>Temp</t>
  </si>
  <si>
    <t>Undoped ohm/sq</t>
  </si>
  <si>
    <t>Undoped Cond</t>
  </si>
  <si>
    <t>Polynomial Fit</t>
  </si>
  <si>
    <t>Mobility</t>
  </si>
  <si>
    <t>Temp Command</t>
  </si>
  <si>
    <t>C:\lifetime\lifetime.exe /temponly=true /switchedTCgain=2</t>
  </si>
  <si>
    <t>Corrected ShtRho</t>
  </si>
  <si>
    <t>Corrected Res</t>
  </si>
  <si>
    <t>Temperature</t>
  </si>
  <si>
    <t>Tau (corrected) @ specMCD (µs)</t>
  </si>
  <si>
    <t>Tau (corrected) @ specMCD (s)</t>
  </si>
  <si>
    <t>1/Tau (corrected) @ specMCD</t>
  </si>
  <si>
    <t>Mobility Model</t>
  </si>
  <si>
    <t>Dannhauser/ Krausse</t>
  </si>
  <si>
    <t>Dorkel/ Leturcq</t>
  </si>
  <si>
    <t>Temperature Scan Parameters</t>
  </si>
  <si>
    <t>Low Temp (⁰C)</t>
  </si>
  <si>
    <t>High Temp (⁰C)</t>
  </si>
  <si>
    <t>Step Size (⁰C)</t>
  </si>
  <si>
    <t>Tolerance (⁰C)</t>
  </si>
  <si>
    <t xml:space="preserve">Temp (C) </t>
  </si>
  <si>
    <t>Corrected Ohms/sq</t>
  </si>
  <si>
    <t>Corrected Ohm-cm</t>
  </si>
  <si>
    <t>CorrOhmSq</t>
  </si>
  <si>
    <t>CorrOhmcm</t>
  </si>
  <si>
    <t>Transient/Generalized (1/64) Mode Total Acquisition Time (µs)</t>
  </si>
  <si>
    <t xml:space="preserve">Transient/Generalized (1/64) Mode # of Taus Beyond 150mV </t>
  </si>
  <si>
    <t>ni2/tau</t>
  </si>
  <si>
    <t>Number of Flashes to average during temperature scan</t>
  </si>
  <si>
    <t>Cutoff</t>
  </si>
  <si>
    <t>4.6.0TS</t>
  </si>
  <si>
    <t>© Sinton Instruments 2014</t>
  </si>
  <si>
    <r>
      <t>Specified MCD (cm</t>
    </r>
    <r>
      <rPr>
        <b/>
        <vertAlign val="superscript"/>
        <sz val="12"/>
        <rFont val="Calibri"/>
        <family val="2"/>
        <scheme val="minor"/>
      </rPr>
      <t>-3</t>
    </r>
    <r>
      <rPr>
        <b/>
        <sz val="12"/>
        <rFont val="Calibri"/>
        <family val="2"/>
        <scheme val="minor"/>
      </rPr>
      <t>)</t>
    </r>
  </si>
  <si>
    <r>
      <t>Corected Sheet Resistance (</t>
    </r>
    <r>
      <rPr>
        <sz val="10"/>
        <rFont val="Calibri"/>
        <family val="2"/>
        <scheme val="minor"/>
      </rPr>
      <t>Ω</t>
    </r>
    <r>
      <rPr>
        <b/>
        <sz val="10"/>
        <rFont val="Calibri"/>
        <family val="2"/>
        <scheme val="minor"/>
      </rPr>
      <t>/sq)</t>
    </r>
  </si>
  <si>
    <r>
      <t>Corrected Resistivity (</t>
    </r>
    <r>
      <rPr>
        <sz val="12"/>
        <rFont val="Calibri"/>
        <family val="2"/>
        <scheme val="minor"/>
      </rPr>
      <t>Ω</t>
    </r>
    <r>
      <rPr>
        <b/>
        <sz val="12"/>
        <rFont val="Calibri"/>
        <family val="2"/>
        <scheme val="minor"/>
      </rPr>
      <t>-cm)</t>
    </r>
  </si>
  <si>
    <r>
      <t>J0 (A/cm</t>
    </r>
    <r>
      <rPr>
        <b/>
        <vertAlign val="superscript"/>
        <sz val="12"/>
        <rFont val="Calibri"/>
        <family val="2"/>
        <scheme val="minor"/>
      </rPr>
      <t>2</t>
    </r>
    <r>
      <rPr>
        <b/>
        <sz val="12"/>
        <rFont val="Calibri"/>
        <family val="2"/>
        <scheme val="minor"/>
      </rPr>
      <t>)</t>
    </r>
  </si>
  <si>
    <r>
      <t>Min MCD (cm</t>
    </r>
    <r>
      <rPr>
        <b/>
        <vertAlign val="superscript"/>
        <sz val="12"/>
        <rFont val="Calibri"/>
        <family val="2"/>
        <scheme val="minor"/>
      </rPr>
      <t>-3</t>
    </r>
    <r>
      <rPr>
        <b/>
        <sz val="12"/>
        <rFont val="Calibri"/>
        <family val="2"/>
        <scheme val="minor"/>
      </rPr>
      <t>)</t>
    </r>
  </si>
  <si>
    <r>
      <t>Max MCD (cm</t>
    </r>
    <r>
      <rPr>
        <b/>
        <vertAlign val="superscript"/>
        <sz val="12"/>
        <rFont val="Calibri"/>
        <family val="2"/>
        <scheme val="minor"/>
      </rPr>
      <t>-3</t>
    </r>
    <r>
      <rPr>
        <b/>
        <sz val="12"/>
        <rFont val="Calibri"/>
        <family val="2"/>
        <scheme val="minor"/>
      </rPr>
      <t>)</t>
    </r>
  </si>
  <si>
    <r>
      <t>Bias point CD (cm</t>
    </r>
    <r>
      <rPr>
        <b/>
        <vertAlign val="superscript"/>
        <sz val="12"/>
        <rFont val="Calibri"/>
        <family val="2"/>
        <scheme val="minor"/>
      </rPr>
      <t>-3</t>
    </r>
    <r>
      <rPr>
        <b/>
        <sz val="12"/>
        <rFont val="Calibri"/>
        <family val="2"/>
        <scheme val="minor"/>
      </rPr>
      <t>)</t>
    </r>
  </si>
  <si>
    <r>
      <t>Trap Density (cm</t>
    </r>
    <r>
      <rPr>
        <b/>
        <vertAlign val="superscript"/>
        <sz val="12"/>
        <rFont val="Calibri"/>
        <family val="2"/>
        <scheme val="minor"/>
      </rPr>
      <t>-3</t>
    </r>
    <r>
      <rPr>
        <b/>
        <sz val="12"/>
        <rFont val="Calibri"/>
        <family val="2"/>
        <scheme val="minor"/>
      </rPr>
      <t>)</t>
    </r>
  </si>
  <si>
    <r>
      <t>Doping
 (cm</t>
    </r>
    <r>
      <rPr>
        <b/>
        <vertAlign val="superscript"/>
        <sz val="12"/>
        <rFont val="Calibri"/>
        <family val="2"/>
        <scheme val="minor"/>
      </rPr>
      <t>-3</t>
    </r>
    <r>
      <rPr>
        <b/>
        <sz val="12"/>
        <rFont val="Calibri"/>
        <family val="2"/>
        <scheme val="minor"/>
      </rPr>
      <t>)</t>
    </r>
  </si>
  <si>
    <r>
      <t>Temp (</t>
    </r>
    <r>
      <rPr>
        <b/>
        <vertAlign val="superscript"/>
        <sz val="12"/>
        <rFont val="Calibri"/>
        <family val="2"/>
        <scheme val="minor"/>
      </rPr>
      <t>o</t>
    </r>
    <r>
      <rPr>
        <b/>
        <sz val="12"/>
        <rFont val="Calibri"/>
        <family val="2"/>
        <scheme val="minor"/>
      </rPr>
      <t xml:space="preserve">C) </t>
    </r>
  </si>
  <si>
    <t>QSS/Generalized (1/1) Mode Acquisition Time (µs)</t>
  </si>
  <si>
    <r>
      <t>Wafer Doping (cm</t>
    </r>
    <r>
      <rPr>
        <b/>
        <vertAlign val="superscript"/>
        <sz val="8"/>
        <rFont val="Calibri"/>
        <family val="2"/>
        <scheme val="minor"/>
      </rPr>
      <t>-3</t>
    </r>
    <r>
      <rPr>
        <b/>
        <sz val="8"/>
        <rFont val="Calibri"/>
        <family val="2"/>
        <scheme val="minor"/>
      </rPr>
      <t>)</t>
    </r>
  </si>
  <si>
    <r>
      <t>cm</t>
    </r>
    <r>
      <rPr>
        <vertAlign val="superscript"/>
        <sz val="10"/>
        <rFont val="Calibri"/>
        <family val="2"/>
        <scheme val="minor"/>
      </rPr>
      <t>-3</t>
    </r>
  </si>
  <si>
    <t>Tau @ specMCD (μs)</t>
  </si>
  <si>
    <r>
      <t>Tau fit (µs) (intercept @ -N</t>
    </r>
    <r>
      <rPr>
        <b/>
        <vertAlign val="subscript"/>
        <sz val="10"/>
        <rFont val="Calibri"/>
        <family val="2"/>
        <scheme val="minor"/>
      </rPr>
      <t>A</t>
    </r>
    <r>
      <rPr>
        <b/>
        <sz val="10"/>
        <rFont val="Calibri"/>
        <family val="2"/>
        <scheme val="minor"/>
      </rPr>
      <t>)</t>
    </r>
  </si>
  <si>
    <r>
      <t>ni</t>
    </r>
    <r>
      <rPr>
        <b/>
        <vertAlign val="superscript"/>
        <sz val="10"/>
        <rFont val="Calibri"/>
        <family val="2"/>
        <scheme val="minor"/>
      </rPr>
      <t>2</t>
    </r>
    <r>
      <rPr>
        <b/>
        <sz val="10"/>
        <rFont val="Calibri"/>
        <family val="2"/>
        <scheme val="minor"/>
      </rPr>
      <t>/tau fit slope</t>
    </r>
  </si>
  <si>
    <t>WCT-120TS</t>
  </si>
  <si>
    <t>14-127027</t>
  </si>
  <si>
    <t>Logged</t>
  </si>
  <si>
    <t>Fe_1102_01-1</t>
  </si>
  <si>
    <t>Fe_1102_01-2</t>
  </si>
  <si>
    <t>Fe_1102_01-3</t>
  </si>
  <si>
    <t>Fe_1102_01-4</t>
  </si>
  <si>
    <t>Fe_1102_01-5</t>
  </si>
  <si>
    <t>Fe_1102_01-6</t>
  </si>
  <si>
    <t>Fe_1102_01-7</t>
  </si>
  <si>
    <t>Fe_1102_01-8</t>
  </si>
  <si>
    <t>Fe_1102_01-9</t>
  </si>
  <si>
    <t>Fe_1102_01-10</t>
  </si>
  <si>
    <t>Fe_1102_01-11</t>
  </si>
  <si>
    <t>Fe_1102_01-12</t>
  </si>
  <si>
    <t>Fe_1102_01-13</t>
  </si>
  <si>
    <t>Fe_1102_01-14</t>
  </si>
  <si>
    <t>Fe_1102_01-15</t>
  </si>
  <si>
    <t>Fe_1102_01-16</t>
  </si>
  <si>
    <t>Fe_1102_01-17</t>
  </si>
  <si>
    <t>Fe_1102_01-18</t>
  </si>
  <si>
    <t>Fe_1102_01-19</t>
  </si>
  <si>
    <t>Fe_1102_01-20</t>
  </si>
  <si>
    <t>Fe_1102_01-21</t>
  </si>
  <si>
    <t>Fe_1102_01-22</t>
  </si>
  <si>
    <t>Fe_1102_01-23</t>
  </si>
  <si>
    <t>Fe_1102_01-24</t>
  </si>
  <si>
    <t>Fe_1102_01-25</t>
  </si>
  <si>
    <t>Fe_1102_01-26</t>
  </si>
  <si>
    <t>Fe_1102_01-27</t>
  </si>
  <si>
    <t>Fe_1102_01-28</t>
  </si>
  <si>
    <t>Fe_1102_01-29</t>
  </si>
  <si>
    <t>Fe_1102_01-30</t>
  </si>
  <si>
    <t>Fe_1102_01-31</t>
  </si>
  <si>
    <t>Fe_1102_01-32</t>
  </si>
  <si>
    <t>Fe_1102_01-33</t>
  </si>
  <si>
    <t>Fe_1102_01-34</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</si>
</sst>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0000"/>
    <numFmt numFmtId="165" formatCode="0.0000"/>
    <numFmt numFmtId="166" formatCode="0.0"/>
    <numFmt numFmtId="167" formatCode="0.0E+00"/>
    <numFmt numFmtId="168" formatCode="0.000"/>
    <numFmt numFmtId="169" formatCode="dd\-mmm\-yy"/>
    <numFmt numFmtId="170" formatCode="[$-F400]h:mm:ss\ AM/PM"/>
    <numFmt numFmtId="171" formatCode="0.000E+00"/>
  </numFmts>
  <fonts count="38" x14ac:knownFonts="1">
    <font>
      <sz val="10"/>
      <name val="Arial"/>
      <family val="2"/>
    </font>
    <font>
      <sz val="10"/>
      <name val="Arial"/>
      <family val="2"/>
    </font>
    <font>
      <b/>
      <sz val="10"/>
      <name val="Arial"/>
      <family val="2"/>
    </font>
    <font>
      <sz val="8"/>
      <name val="Arial"/>
      <family val="2"/>
    </font>
    <font>
      <b/>
      <sz val="8"/>
      <color indexed="81"/>
      <name val="Tahoma"/>
      <family val="2"/>
    </font>
    <font>
      <sz val="8"/>
      <color indexed="81"/>
      <name val="Tahoma"/>
      <family val="2"/>
    </font>
    <font>
      <b/>
      <sz val="10"/>
      <color indexed="10"/>
      <name val="Arial"/>
      <family val="2"/>
    </font>
    <font>
      <b/>
      <sz val="10"/>
      <color rgb="FFFF0000"/>
      <name val="Arial"/>
      <family val="2"/>
    </font>
    <font>
      <b/>
      <sz val="10"/>
      <color indexed="81"/>
      <name val="Tahoma"/>
      <family val="2"/>
    </font>
    <font>
      <b/>
      <sz val="10"/>
      <color indexed="10"/>
      <name val="Tahoma"/>
      <family val="2"/>
    </font>
    <font>
      <b/>
      <sz val="11"/>
      <color indexed="81"/>
      <name val="Tahoma"/>
      <family val="2"/>
    </font>
    <font>
      <b/>
      <sz val="10"/>
      <color rgb="FF000000"/>
      <name val="Arial"/>
      <family val="2"/>
    </font>
    <font>
      <sz val="10"/>
      <color indexed="81"/>
      <name val="Tahoma"/>
      <family val="2"/>
    </font>
    <font>
      <b/>
      <sz val="9"/>
      <color indexed="81"/>
      <name val="Tahoma"/>
      <family val="2"/>
    </font>
    <font>
      <b/>
      <sz val="10"/>
      <name val="Calibri"/>
      <family val="2"/>
      <scheme val="minor"/>
    </font>
    <font>
      <b/>
      <sz val="12"/>
      <name val="Calibri"/>
      <family val="2"/>
      <scheme val="minor"/>
    </font>
    <font>
      <b/>
      <vertAlign val="superscript"/>
      <sz val="12"/>
      <name val="Calibri"/>
      <family val="2"/>
      <scheme val="minor"/>
    </font>
    <font>
      <b/>
      <sz val="9"/>
      <name val="Calibri"/>
      <family val="2"/>
      <scheme val="minor"/>
    </font>
    <font>
      <b/>
      <sz val="12"/>
      <color rgb="FF2004EC"/>
      <name val="Calibri"/>
      <family val="2"/>
      <scheme val="minor"/>
    </font>
    <font>
      <b/>
      <sz val="11"/>
      <color rgb="FF2004EC"/>
      <name val="Calibri"/>
      <family val="2"/>
      <scheme val="minor"/>
    </font>
    <font>
      <sz val="10"/>
      <name val="Calibri"/>
      <family val="2"/>
      <scheme val="minor"/>
    </font>
    <font>
      <b/>
      <sz val="12"/>
      <color rgb="FFFF0000"/>
      <name val="Calibri"/>
      <family val="2"/>
      <scheme val="minor"/>
    </font>
    <font>
      <sz val="12"/>
      <name val="Calibri"/>
      <family val="2"/>
      <scheme val="minor"/>
    </font>
    <font>
      <b/>
      <sz val="11"/>
      <color rgb="FFFF0000"/>
      <name val="Calibri"/>
      <family val="2"/>
      <scheme val="minor"/>
    </font>
    <font>
      <b/>
      <sz val="20"/>
      <name val="Calibri"/>
      <family val="2"/>
      <scheme val="minor"/>
    </font>
    <font>
      <sz val="20"/>
      <color rgb="FF00B050"/>
      <name val="Calibri"/>
      <family val="2"/>
      <scheme val="minor"/>
    </font>
    <font>
      <b/>
      <sz val="11"/>
      <name val="Calibri"/>
      <family val="2"/>
      <scheme val="minor"/>
    </font>
    <font>
      <b/>
      <sz val="10"/>
      <color rgb="FF2004EC"/>
      <name val="Calibri"/>
      <family val="2"/>
      <scheme val="minor"/>
    </font>
    <font>
      <b/>
      <sz val="10"/>
      <color indexed="10"/>
      <name val="Calibri"/>
      <family val="2"/>
      <scheme val="minor"/>
    </font>
    <font>
      <b/>
      <sz val="10"/>
      <color indexed="8"/>
      <name val="Calibri"/>
      <family val="2"/>
      <scheme val="minor"/>
    </font>
    <font>
      <b/>
      <sz val="8"/>
      <name val="Calibri"/>
      <family val="2"/>
      <scheme val="minor"/>
    </font>
    <font>
      <b/>
      <vertAlign val="superscript"/>
      <sz val="8"/>
      <name val="Calibri"/>
      <family val="2"/>
      <scheme val="minor"/>
    </font>
    <font>
      <b/>
      <sz val="10"/>
      <color indexed="12"/>
      <name val="Calibri"/>
      <family val="2"/>
      <scheme val="minor"/>
    </font>
    <font>
      <sz val="10"/>
      <color rgb="FFC00000"/>
      <name val="Calibri"/>
      <family val="2"/>
      <scheme val="minor"/>
    </font>
    <font>
      <vertAlign val="superscript"/>
      <sz val="10"/>
      <name val="Calibri"/>
      <family val="2"/>
      <scheme val="minor"/>
    </font>
    <font>
      <b/>
      <vertAlign val="subscript"/>
      <sz val="10"/>
      <name val="Calibri"/>
      <family val="2"/>
      <scheme val="minor"/>
    </font>
    <font>
      <b/>
      <vertAlign val="superscript"/>
      <sz val="10"/>
      <name val="Calibri"/>
      <family val="2"/>
      <scheme val="minor"/>
    </font>
    <font>
      <sz val="10"/>
      <color theme="3" tint="0.39997558519241921"/>
      <name val="Calibri"/>
      <family val="2"/>
      <scheme val="minor"/>
    </font>
  </fonts>
  <fills count="2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C00000"/>
        <bgColor indexed="64"/>
      </patternFill>
    </fill>
    <fill>
      <patternFill patternType="solid">
        <fgColor theme="5" tint="-0.499984740745262"/>
        <bgColor indexed="64"/>
      </patternFill>
    </fill>
    <fill>
      <patternFill patternType="solid">
        <fgColor rgb="FFFF0000"/>
        <bgColor indexed="64"/>
      </patternFill>
    </fill>
    <fill>
      <patternFill patternType="solid">
        <fgColor theme="9"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9"/>
        <bgColor indexed="64"/>
      </patternFill>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00B0F0"/>
        <bgColor indexed="64"/>
      </patternFill>
    </fill>
    <fill>
      <patternFill patternType="solid">
        <fgColor theme="3" tint="0.39997558519241921"/>
        <bgColor indexed="64"/>
      </patternFill>
    </fill>
    <fill>
      <patternFill patternType="solid">
        <fgColor rgb="FF0070C0"/>
        <bgColor indexed="64"/>
      </patternFill>
    </fill>
    <fill>
      <patternFill patternType="solid">
        <fgColor rgb="FF7030A0"/>
        <bgColor indexed="64"/>
      </patternFill>
    </fill>
    <fill>
      <patternFill patternType="solid">
        <fgColor theme="7" tint="-0.499984740745262"/>
        <bgColor indexed="64"/>
      </patternFill>
    </fill>
  </fills>
  <borders count="16">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s>
  <cellStyleXfs count="2">
    <xf numFmtId="0" fontId="0" fillId="0" borderId="0"/>
    <xf numFmtId="0" fontId="1" fillId="0" borderId="0"/>
  </cellStyleXfs>
  <cellXfs count="304">
    <xf numFmtId="0" fontId="0" fillId="0" borderId="0" xfId="0"/>
    <xf numFmtId="0" fontId="2" fillId="3" borderId="0" xfId="0" applyFont="1" applyFill="1" applyBorder="1"/>
    <xf numFmtId="0" fontId="2" fillId="3" borderId="7" xfId="0" applyFont="1" applyFill="1" applyBorder="1" applyAlignment="1">
      <alignment horizontal="center"/>
    </xf>
    <xf numFmtId="0" fontId="2" fillId="3" borderId="7" xfId="0" applyFont="1" applyFill="1" applyBorder="1"/>
    <xf numFmtId="0" fontId="1" fillId="3" borderId="0" xfId="1" applyFill="1"/>
    <xf numFmtId="0" fontId="1" fillId="3" borderId="0" xfId="1" applyFont="1" applyFill="1"/>
    <xf numFmtId="0" fontId="1" fillId="3" borderId="0" xfId="1" applyFont="1" applyFill="1" applyAlignment="1">
      <alignment wrapText="1"/>
    </xf>
    <xf numFmtId="0" fontId="1" fillId="3" borderId="0" xfId="1" applyFill="1" applyAlignment="1">
      <alignment horizontal="center"/>
    </xf>
    <xf numFmtId="0" fontId="0" fillId="3" borderId="0" xfId="1" applyFont="1" applyFill="1"/>
    <xf numFmtId="0" fontId="6" fillId="3" borderId="0" xfId="1" applyFont="1" applyFill="1"/>
    <xf numFmtId="0" fontId="1" fillId="3" borderId="7" xfId="1" applyFill="1" applyBorder="1" applyAlignment="1">
      <alignment horizontal="center"/>
    </xf>
    <xf numFmtId="0" fontId="2" fillId="3" borderId="7" xfId="1" applyFont="1" applyFill="1" applyBorder="1" applyAlignment="1">
      <alignment horizontal="center"/>
    </xf>
    <xf numFmtId="0" fontId="2" fillId="3" borderId="1" xfId="1" applyFont="1" applyFill="1" applyBorder="1"/>
    <xf numFmtId="0" fontId="2" fillId="3" borderId="1" xfId="1" applyFont="1" applyFill="1" applyBorder="1" applyAlignment="1">
      <alignment horizontal="center"/>
    </xf>
    <xf numFmtId="0" fontId="1" fillId="3" borderId="0" xfId="1" applyFont="1" applyFill="1" applyAlignment="1">
      <alignment horizontal="center"/>
    </xf>
    <xf numFmtId="0" fontId="7" fillId="3" borderId="0" xfId="1" applyFont="1" applyFill="1" applyAlignment="1">
      <alignment horizontal="center"/>
    </xf>
    <xf numFmtId="0" fontId="2" fillId="3" borderId="0" xfId="1" applyFont="1" applyFill="1" applyAlignment="1">
      <alignment horizontal="center"/>
    </xf>
    <xf numFmtId="0" fontId="2" fillId="3" borderId="0" xfId="1" applyFont="1" applyFill="1"/>
    <xf numFmtId="0" fontId="7" fillId="3" borderId="0" xfId="1" applyFont="1" applyFill="1"/>
    <xf numFmtId="11" fontId="1" fillId="3" borderId="0" xfId="1" applyNumberFormat="1" applyFill="1" applyAlignment="1">
      <alignment horizontal="center"/>
    </xf>
    <xf numFmtId="0" fontId="1" fillId="3" borderId="6" xfId="1" applyFill="1" applyBorder="1"/>
    <xf numFmtId="0" fontId="1" fillId="3" borderId="13" xfId="1" applyFill="1" applyBorder="1" applyAlignment="1">
      <alignment horizontal="center"/>
    </xf>
    <xf numFmtId="0" fontId="1" fillId="3" borderId="14" xfId="1" applyFill="1" applyBorder="1" applyAlignment="1">
      <alignment horizontal="center"/>
    </xf>
    <xf numFmtId="0" fontId="1" fillId="3" borderId="13" xfId="1" applyFill="1" applyBorder="1"/>
    <xf numFmtId="0" fontId="1" fillId="3" borderId="14" xfId="1" applyFill="1" applyBorder="1"/>
    <xf numFmtId="2" fontId="1" fillId="3" borderId="13" xfId="1" applyNumberFormat="1" applyFill="1" applyBorder="1" applyAlignment="1">
      <alignment horizontal="center"/>
    </xf>
    <xf numFmtId="0" fontId="1" fillId="3" borderId="2" xfId="1" applyFill="1" applyBorder="1"/>
    <xf numFmtId="0" fontId="1" fillId="3" borderId="3" xfId="1" applyFill="1" applyBorder="1"/>
    <xf numFmtId="168" fontId="1" fillId="3" borderId="13" xfId="1" applyNumberFormat="1" applyFill="1" applyBorder="1" applyAlignment="1">
      <alignment horizontal="center"/>
    </xf>
    <xf numFmtId="9" fontId="1" fillId="3" borderId="0" xfId="1" applyNumberFormat="1" applyFill="1" applyAlignment="1">
      <alignment horizontal="center"/>
    </xf>
    <xf numFmtId="0" fontId="0" fillId="3" borderId="0" xfId="1" applyFont="1" applyFill="1" applyAlignment="1">
      <alignment horizontal="left"/>
    </xf>
    <xf numFmtId="0" fontId="2" fillId="3" borderId="4" xfId="1" applyFont="1" applyFill="1" applyBorder="1" applyAlignment="1">
      <alignment horizontal="center"/>
    </xf>
    <xf numFmtId="0" fontId="2" fillId="3" borderId="6" xfId="1" applyFont="1" applyFill="1" applyBorder="1"/>
    <xf numFmtId="0" fontId="2" fillId="3" borderId="4" xfId="1" applyFont="1" applyFill="1" applyBorder="1"/>
    <xf numFmtId="0" fontId="2" fillId="3" borderId="13" xfId="1" applyFont="1" applyFill="1" applyBorder="1" applyAlignment="1">
      <alignment horizontal="center"/>
    </xf>
    <xf numFmtId="0" fontId="2" fillId="3" borderId="14" xfId="1" applyFont="1" applyFill="1" applyBorder="1" applyAlignment="1">
      <alignment horizontal="center"/>
    </xf>
    <xf numFmtId="0" fontId="0" fillId="3" borderId="0" xfId="1" applyFont="1" applyFill="1" applyAlignment="1">
      <alignment wrapText="1"/>
    </xf>
    <xf numFmtId="0" fontId="7" fillId="3" borderId="0" xfId="0" applyFont="1" applyFill="1"/>
    <xf numFmtId="0" fontId="7" fillId="3" borderId="0" xfId="0" applyFont="1" applyFill="1" applyAlignment="1"/>
    <xf numFmtId="0" fontId="14" fillId="0" borderId="0" xfId="0" applyFont="1"/>
    <xf numFmtId="0" fontId="14" fillId="0" borderId="0" xfId="0" applyFont="1" applyFill="1" applyBorder="1" applyAlignment="1" applyProtection="1">
      <alignment horizontal="center" wrapText="1"/>
    </xf>
    <xf numFmtId="0" fontId="14" fillId="0" borderId="0" xfId="0" applyFont="1" applyProtection="1"/>
    <xf numFmtId="0" fontId="15" fillId="0" borderId="0" xfId="0" applyFont="1"/>
    <xf numFmtId="0" fontId="14" fillId="0" borderId="0" xfId="0" applyFont="1" applyBorder="1" applyProtection="1"/>
    <xf numFmtId="0" fontId="14" fillId="0" borderId="0" xfId="0" applyFont="1" applyFill="1" applyBorder="1" applyAlignment="1" applyProtection="1">
      <alignment horizontal="center" vertical="top" wrapText="1"/>
    </xf>
    <xf numFmtId="0" fontId="15" fillId="0" borderId="0" xfId="0" applyFont="1" applyBorder="1" applyProtection="1">
      <protection locked="0"/>
    </xf>
    <xf numFmtId="0" fontId="14" fillId="0" borderId="0" xfId="0" applyFont="1" applyBorder="1"/>
    <xf numFmtId="0" fontId="14" fillId="0" borderId="0" xfId="0" applyFont="1" applyBorder="1" applyAlignment="1">
      <alignment horizontal="center"/>
    </xf>
    <xf numFmtId="49" fontId="14" fillId="0" borderId="0" xfId="0" applyNumberFormat="1" applyFont="1" applyBorder="1" applyAlignment="1" applyProtection="1">
      <alignment horizontal="left"/>
    </xf>
    <xf numFmtId="0" fontId="14" fillId="2" borderId="0" xfId="0" applyFont="1" applyFill="1" applyBorder="1" applyAlignment="1" applyProtection="1">
      <alignment horizontal="left"/>
    </xf>
    <xf numFmtId="0" fontId="14" fillId="2" borderId="0" xfId="0" applyFont="1" applyFill="1" applyBorder="1" applyProtection="1"/>
    <xf numFmtId="0" fontId="14" fillId="0" borderId="0" xfId="0" applyFont="1" applyBorder="1" applyAlignment="1" applyProtection="1">
      <alignment horizontal="left"/>
    </xf>
    <xf numFmtId="14" fontId="14" fillId="0" borderId="0" xfId="0" applyNumberFormat="1" applyFont="1" applyBorder="1" applyAlignment="1" applyProtection="1">
      <alignment horizontal="centerContinuous"/>
    </xf>
    <xf numFmtId="0" fontId="14" fillId="0" borderId="0" xfId="0" applyFont="1" applyBorder="1" applyAlignment="1" applyProtection="1">
      <alignment horizontal="center"/>
    </xf>
    <xf numFmtId="0" fontId="14" fillId="0" borderId="0" xfId="0" applyFont="1" applyBorder="1" applyAlignment="1" applyProtection="1">
      <alignment horizontal="centerContinuous"/>
    </xf>
    <xf numFmtId="16" fontId="14" fillId="0" borderId="0" xfId="0" applyNumberFormat="1" applyFont="1" applyBorder="1" applyProtection="1"/>
    <xf numFmtId="0" fontId="15" fillId="2" borderId="0" xfId="0" applyFont="1" applyFill="1" applyBorder="1" applyProtection="1"/>
    <xf numFmtId="0" fontId="15" fillId="2" borderId="0" xfId="0" applyFont="1" applyFill="1" applyBorder="1" applyAlignment="1" applyProtection="1">
      <alignment horizontal="left"/>
    </xf>
    <xf numFmtId="0" fontId="15" fillId="0" borderId="0" xfId="0" applyFont="1" applyBorder="1"/>
    <xf numFmtId="0" fontId="14" fillId="0" borderId="0" xfId="0" applyFont="1" applyFill="1" applyBorder="1" applyProtection="1"/>
    <xf numFmtId="0" fontId="15" fillId="3" borderId="4" xfId="0" applyFont="1" applyFill="1" applyBorder="1" applyAlignment="1" applyProtection="1">
      <alignment horizontal="center" wrapText="1"/>
    </xf>
    <xf numFmtId="0" fontId="15" fillId="3" borderId="5" xfId="0" applyFont="1" applyFill="1" applyBorder="1" applyAlignment="1" applyProtection="1">
      <alignment horizontal="center" wrapText="1"/>
    </xf>
    <xf numFmtId="0" fontId="15" fillId="3" borderId="6" xfId="0" applyFont="1" applyFill="1" applyBorder="1" applyAlignment="1" applyProtection="1">
      <alignment horizontal="center" wrapText="1"/>
    </xf>
    <xf numFmtId="16" fontId="15" fillId="3" borderId="5" xfId="0" applyNumberFormat="1" applyFont="1" applyFill="1" applyBorder="1" applyAlignment="1" applyProtection="1">
      <alignment horizontal="center" wrapText="1"/>
    </xf>
    <xf numFmtId="16" fontId="15" fillId="3" borderId="10" xfId="0" applyNumberFormat="1" applyFont="1" applyFill="1" applyBorder="1" applyAlignment="1" applyProtection="1">
      <alignment horizontal="center" wrapText="1"/>
    </xf>
    <xf numFmtId="0" fontId="17" fillId="3" borderId="9" xfId="0" applyFont="1" applyFill="1" applyBorder="1" applyAlignment="1" applyProtection="1">
      <alignment horizontal="center" wrapText="1"/>
    </xf>
    <xf numFmtId="0" fontId="17" fillId="3" borderId="8" xfId="0" applyFont="1" applyFill="1" applyBorder="1" applyAlignment="1" applyProtection="1">
      <alignment horizontal="center" wrapText="1"/>
    </xf>
    <xf numFmtId="0" fontId="17" fillId="3" borderId="10" xfId="0" applyFont="1" applyFill="1" applyBorder="1" applyAlignment="1" applyProtection="1">
      <alignment horizontal="center" wrapText="1"/>
    </xf>
    <xf numFmtId="16" fontId="18" fillId="0" borderId="2" xfId="0" applyNumberFormat="1" applyFont="1" applyBorder="1" applyAlignment="1" applyProtection="1">
      <alignment horizontal="center"/>
      <protection locked="0"/>
    </xf>
    <xf numFmtId="0" fontId="18" fillId="0" borderId="1" xfId="0" applyFont="1" applyBorder="1" applyAlignment="1" applyProtection="1">
      <alignment horizontal="center"/>
      <protection locked="0"/>
    </xf>
    <xf numFmtId="166" fontId="18" fillId="0" borderId="1" xfId="0" applyNumberFormat="1" applyFont="1" applyBorder="1" applyAlignment="1" applyProtection="1">
      <alignment horizontal="center"/>
      <protection locked="0"/>
    </xf>
    <xf numFmtId="0" fontId="18" fillId="0" borderId="3" xfId="0" applyFont="1" applyBorder="1" applyAlignment="1" applyProtection="1">
      <alignment horizontal="center"/>
      <protection locked="0"/>
    </xf>
    <xf numFmtId="2" fontId="18" fillId="0" borderId="4" xfId="0" applyNumberFormat="1" applyFont="1" applyBorder="1" applyAlignment="1" applyProtection="1">
      <alignment horizontal="center"/>
      <protection locked="0"/>
    </xf>
    <xf numFmtId="167" fontId="18" fillId="0" borderId="5" xfId="0" applyNumberFormat="1" applyFont="1" applyBorder="1" applyAlignment="1" applyProtection="1">
      <alignment horizontal="center"/>
      <protection locked="0"/>
    </xf>
    <xf numFmtId="1" fontId="18" fillId="0" borderId="5" xfId="0" applyNumberFormat="1" applyFont="1" applyBorder="1" applyAlignment="1" applyProtection="1">
      <alignment horizontal="center"/>
      <protection locked="0"/>
    </xf>
    <xf numFmtId="0" fontId="19" fillId="2" borderId="6" xfId="0" applyFont="1" applyFill="1" applyBorder="1" applyAlignment="1" applyProtection="1">
      <alignment horizontal="center"/>
      <protection locked="0"/>
    </xf>
    <xf numFmtId="14" fontId="15" fillId="0" borderId="5" xfId="0" applyNumberFormat="1" applyFont="1" applyBorder="1" applyAlignment="1" applyProtection="1">
      <alignment horizontal="center"/>
    </xf>
    <xf numFmtId="21" fontId="15" fillId="0" borderId="5" xfId="0" applyNumberFormat="1" applyFont="1" applyBorder="1" applyAlignment="1" applyProtection="1">
      <alignment horizontal="center"/>
    </xf>
    <xf numFmtId="0" fontId="15" fillId="0" borderId="5" xfId="0" applyFont="1" applyBorder="1" applyAlignment="1" applyProtection="1">
      <alignment horizontal="center"/>
    </xf>
    <xf numFmtId="1" fontId="18" fillId="0" borderId="4" xfId="0" applyNumberFormat="1" applyFont="1" applyBorder="1" applyAlignment="1" applyProtection="1">
      <alignment horizontal="center"/>
      <protection locked="0"/>
    </xf>
    <xf numFmtId="2" fontId="18" fillId="0" borderId="6" xfId="0" applyNumberFormat="1" applyFont="1" applyBorder="1" applyAlignment="1" applyProtection="1">
      <alignment horizontal="center"/>
      <protection locked="0"/>
    </xf>
    <xf numFmtId="0" fontId="20" fillId="0" borderId="0" xfId="0" applyFont="1" applyBorder="1"/>
    <xf numFmtId="0" fontId="20" fillId="0" borderId="0" xfId="0" applyFont="1" applyBorder="1" applyProtection="1"/>
    <xf numFmtId="0" fontId="20" fillId="0" borderId="0" xfId="0" applyFont="1"/>
    <xf numFmtId="0" fontId="14" fillId="2" borderId="0" xfId="0" applyFont="1" applyFill="1" applyBorder="1" applyAlignment="1" applyProtection="1">
      <alignment horizontal="centerContinuous" wrapText="1"/>
    </xf>
    <xf numFmtId="0" fontId="14" fillId="2" borderId="0" xfId="0" applyFont="1" applyFill="1" applyBorder="1" applyAlignment="1" applyProtection="1">
      <alignment horizontal="centerContinuous"/>
    </xf>
    <xf numFmtId="0" fontId="21" fillId="0" borderId="0" xfId="0" applyFont="1"/>
    <xf numFmtId="0" fontId="14" fillId="3" borderId="5" xfId="0" applyFont="1" applyFill="1" applyBorder="1" applyAlignment="1" applyProtection="1">
      <alignment horizontal="center" wrapText="1"/>
    </xf>
    <xf numFmtId="0" fontId="15" fillId="3" borderId="5" xfId="0" applyFont="1" applyFill="1" applyBorder="1" applyAlignment="1">
      <alignment horizontal="center" wrapText="1"/>
    </xf>
    <xf numFmtId="2" fontId="15" fillId="0" borderId="4" xfId="0" applyNumberFormat="1" applyFont="1" applyBorder="1" applyAlignment="1" applyProtection="1">
      <alignment horizontal="center"/>
    </xf>
    <xf numFmtId="166" fontId="15" fillId="0" borderId="5" xfId="0" applyNumberFormat="1" applyFont="1" applyBorder="1" applyAlignment="1" applyProtection="1">
      <alignment horizontal="center"/>
    </xf>
    <xf numFmtId="2" fontId="15" fillId="0" borderId="5" xfId="0" applyNumberFormat="1" applyFont="1" applyBorder="1" applyAlignment="1" applyProtection="1">
      <alignment horizontal="center" wrapText="1"/>
    </xf>
    <xf numFmtId="11" fontId="15" fillId="0" borderId="5" xfId="0" applyNumberFormat="1" applyFont="1" applyBorder="1" applyAlignment="1" applyProtection="1">
      <alignment horizontal="center"/>
    </xf>
    <xf numFmtId="167" fontId="15" fillId="0" borderId="5" xfId="0" applyNumberFormat="1" applyFont="1" applyBorder="1" applyAlignment="1" applyProtection="1">
      <alignment horizontal="center"/>
    </xf>
    <xf numFmtId="168" fontId="15" fillId="0" borderId="5" xfId="0" applyNumberFormat="1" applyFont="1" applyBorder="1" applyAlignment="1">
      <alignment horizontal="center"/>
    </xf>
    <xf numFmtId="2" fontId="15" fillId="0" borderId="5" xfId="0" applyNumberFormat="1" applyFont="1" applyBorder="1" applyAlignment="1">
      <alignment horizontal="center"/>
    </xf>
    <xf numFmtId="0" fontId="20" fillId="0" borderId="0" xfId="0" applyFont="1" applyBorder="1" applyAlignment="1"/>
    <xf numFmtId="0" fontId="20" fillId="0" borderId="0" xfId="0" applyFont="1" applyProtection="1"/>
    <xf numFmtId="0" fontId="14" fillId="0" borderId="0" xfId="0" applyFont="1" applyBorder="1" applyAlignment="1" applyProtection="1">
      <alignment wrapText="1"/>
    </xf>
    <xf numFmtId="16" fontId="20" fillId="0" borderId="0" xfId="0" applyNumberFormat="1" applyFont="1" applyBorder="1" applyProtection="1"/>
    <xf numFmtId="167" fontId="20" fillId="0" borderId="0" xfId="0" applyNumberFormat="1" applyFont="1" applyBorder="1" applyProtection="1"/>
    <xf numFmtId="2" fontId="20" fillId="0" borderId="0" xfId="0" applyNumberFormat="1" applyFont="1" applyBorder="1" applyProtection="1"/>
    <xf numFmtId="167" fontId="14" fillId="0" borderId="0" xfId="0" applyNumberFormat="1" applyFont="1" applyBorder="1" applyProtection="1"/>
    <xf numFmtId="2" fontId="14" fillId="0" borderId="0" xfId="0" applyNumberFormat="1" applyFont="1" applyBorder="1" applyProtection="1"/>
    <xf numFmtId="0" fontId="14" fillId="0" borderId="0" xfId="0" applyFont="1" applyAlignment="1">
      <alignment horizontal="right"/>
    </xf>
    <xf numFmtId="11" fontId="14" fillId="0" borderId="0" xfId="0" applyNumberFormat="1" applyFont="1"/>
    <xf numFmtId="0" fontId="15" fillId="3" borderId="0" xfId="0" applyFont="1" applyFill="1" applyBorder="1"/>
    <xf numFmtId="0" fontId="14" fillId="3" borderId="0" xfId="0" applyFont="1" applyFill="1" applyBorder="1"/>
    <xf numFmtId="0" fontId="26" fillId="3" borderId="0" xfId="0" applyFont="1" applyFill="1" applyBorder="1"/>
    <xf numFmtId="0" fontId="14" fillId="3" borderId="7" xfId="0" applyFont="1" applyFill="1" applyBorder="1" applyAlignment="1">
      <alignment horizontal="center"/>
    </xf>
    <xf numFmtId="0" fontId="14" fillId="3" borderId="7" xfId="0" applyFont="1" applyFill="1" applyBorder="1" applyAlignment="1" applyProtection="1">
      <alignment horizontal="center"/>
      <protection locked="0"/>
    </xf>
    <xf numFmtId="0" fontId="27" fillId="3" borderId="7" xfId="0" applyFont="1" applyFill="1" applyBorder="1" applyProtection="1">
      <protection locked="0"/>
    </xf>
    <xf numFmtId="165" fontId="20" fillId="3" borderId="7" xfId="0" applyNumberFormat="1" applyFont="1" applyFill="1" applyBorder="1" applyAlignment="1">
      <alignment horizontal="center"/>
    </xf>
    <xf numFmtId="165" fontId="20" fillId="3" borderId="0" xfId="0" applyNumberFormat="1" applyFont="1" applyFill="1" applyBorder="1" applyAlignment="1"/>
    <xf numFmtId="0" fontId="14" fillId="3" borderId="7" xfId="0" applyFont="1" applyFill="1" applyBorder="1" applyAlignment="1" applyProtection="1">
      <alignment horizontal="center" wrapText="1"/>
    </xf>
    <xf numFmtId="11" fontId="14" fillId="3" borderId="7" xfId="0" applyNumberFormat="1" applyFont="1" applyFill="1" applyBorder="1" applyAlignment="1" applyProtection="1">
      <alignment horizontal="center"/>
      <protection locked="0"/>
    </xf>
    <xf numFmtId="164" fontId="14" fillId="3" borderId="7" xfId="0" applyNumberFormat="1" applyFont="1" applyFill="1" applyBorder="1" applyAlignment="1" applyProtection="1">
      <alignment horizontal="center"/>
      <protection locked="0"/>
    </xf>
    <xf numFmtId="0" fontId="14" fillId="3" borderId="7" xfId="0" applyFont="1" applyFill="1" applyBorder="1" applyAlignment="1" applyProtection="1">
      <alignment horizontal="center"/>
    </xf>
    <xf numFmtId="0" fontId="27" fillId="3" borderId="11" xfId="0" applyFont="1" applyFill="1" applyBorder="1" applyProtection="1">
      <protection locked="0"/>
    </xf>
    <xf numFmtId="0" fontId="27" fillId="3" borderId="8" xfId="0" applyFont="1" applyFill="1" applyBorder="1"/>
    <xf numFmtId="164" fontId="14" fillId="3" borderId="7" xfId="0" applyNumberFormat="1" applyFont="1" applyFill="1" applyBorder="1" applyAlignment="1" applyProtection="1">
      <alignment horizontal="center"/>
    </xf>
    <xf numFmtId="0" fontId="14" fillId="3" borderId="0" xfId="0" applyFont="1" applyFill="1" applyBorder="1" applyAlignment="1" applyProtection="1">
      <alignment horizontal="center"/>
    </xf>
    <xf numFmtId="0" fontId="28" fillId="3" borderId="0" xfId="0" applyFont="1" applyFill="1" applyBorder="1"/>
    <xf numFmtId="0" fontId="15" fillId="3" borderId="1" xfId="0" applyFont="1" applyFill="1" applyBorder="1"/>
    <xf numFmtId="0" fontId="14" fillId="3" borderId="1" xfId="0" applyFont="1" applyFill="1" applyBorder="1"/>
    <xf numFmtId="0" fontId="29" fillId="3" borderId="7" xfId="0" applyFont="1" applyFill="1" applyBorder="1" applyAlignment="1" applyProtection="1">
      <alignment horizontal="center"/>
    </xf>
    <xf numFmtId="0" fontId="27" fillId="3" borderId="15" xfId="0" applyFont="1" applyFill="1" applyBorder="1" applyProtection="1">
      <protection locked="0"/>
    </xf>
    <xf numFmtId="0" fontId="28" fillId="3" borderId="8" xfId="0" applyFont="1" applyFill="1" applyBorder="1"/>
    <xf numFmtId="0" fontId="14" fillId="3" borderId="8" xfId="0" applyFont="1" applyFill="1" applyBorder="1"/>
    <xf numFmtId="168" fontId="14" fillId="3" borderId="0" xfId="0" applyNumberFormat="1" applyFont="1" applyFill="1" applyBorder="1" applyAlignment="1">
      <alignment horizontal="center"/>
    </xf>
    <xf numFmtId="9" fontId="14" fillId="3" borderId="7" xfId="0" applyNumberFormat="1" applyFont="1" applyFill="1" applyBorder="1" applyAlignment="1" applyProtection="1">
      <alignment horizontal="center"/>
      <protection locked="0"/>
    </xf>
    <xf numFmtId="0" fontId="14" fillId="3" borderId="1" xfId="0" applyFont="1" applyFill="1" applyBorder="1" applyAlignment="1"/>
    <xf numFmtId="22" fontId="14" fillId="3" borderId="0" xfId="0" applyNumberFormat="1" applyFont="1" applyFill="1" applyBorder="1" applyAlignment="1">
      <alignment horizontal="center"/>
    </xf>
    <xf numFmtId="0" fontId="14" fillId="3" borderId="7" xfId="0" applyFont="1" applyFill="1" applyBorder="1" applyAlignment="1" applyProtection="1">
      <alignment horizontal="center" vertical="center" wrapText="1"/>
      <protection locked="0"/>
    </xf>
    <xf numFmtId="2" fontId="14" fillId="3" borderId="0" xfId="0" applyNumberFormat="1" applyFont="1" applyFill="1" applyBorder="1"/>
    <xf numFmtId="0" fontId="30" fillId="3" borderId="0" xfId="0" applyFont="1" applyFill="1" applyBorder="1"/>
    <xf numFmtId="0" fontId="14" fillId="3" borderId="11" xfId="0" applyFont="1" applyFill="1" applyBorder="1" applyAlignment="1">
      <alignment horizontal="center"/>
    </xf>
    <xf numFmtId="0" fontId="14" fillId="3" borderId="7" xfId="0" applyFont="1" applyFill="1" applyBorder="1"/>
    <xf numFmtId="0" fontId="28" fillId="3" borderId="0" xfId="0" applyFont="1" applyFill="1" applyBorder="1" applyAlignment="1">
      <alignment horizontal="center"/>
    </xf>
    <xf numFmtId="0" fontId="14" fillId="3" borderId="4" xfId="0" applyFont="1" applyFill="1" applyBorder="1" applyProtection="1"/>
    <xf numFmtId="0" fontId="14" fillId="3" borderId="5" xfId="0" applyFont="1" applyFill="1" applyBorder="1" applyProtection="1"/>
    <xf numFmtId="0" fontId="14" fillId="3" borderId="6" xfId="0" applyFont="1" applyFill="1" applyBorder="1" applyProtection="1"/>
    <xf numFmtId="0" fontId="14" fillId="3" borderId="0" xfId="0" applyFont="1" applyFill="1" applyBorder="1" applyAlignment="1">
      <alignment horizontal="center"/>
    </xf>
    <xf numFmtId="0" fontId="30" fillId="3" borderId="9" xfId="0" applyFont="1" applyFill="1" applyBorder="1" applyAlignment="1">
      <alignment horizontal="center" wrapText="1"/>
    </xf>
    <xf numFmtId="14" fontId="30" fillId="3" borderId="8" xfId="0" applyNumberFormat="1" applyFont="1" applyFill="1" applyBorder="1" applyAlignment="1">
      <alignment horizontal="center" wrapText="1"/>
    </xf>
    <xf numFmtId="169" fontId="30" fillId="3" borderId="8" xfId="0" applyNumberFormat="1" applyFont="1" applyFill="1" applyBorder="1" applyAlignment="1">
      <alignment horizontal="center" wrapText="1"/>
    </xf>
    <xf numFmtId="0" fontId="30" fillId="3" borderId="8" xfId="0" applyFont="1" applyFill="1" applyBorder="1" applyAlignment="1">
      <alignment horizontal="center" wrapText="1"/>
    </xf>
    <xf numFmtId="11" fontId="30" fillId="3" borderId="8" xfId="0" applyNumberFormat="1" applyFont="1" applyFill="1" applyBorder="1" applyAlignment="1">
      <alignment horizontal="center" wrapText="1"/>
    </xf>
    <xf numFmtId="0" fontId="30" fillId="3" borderId="0" xfId="0" applyFont="1" applyFill="1" applyAlignment="1">
      <alignment horizontal="center" wrapText="1"/>
    </xf>
    <xf numFmtId="0" fontId="30" fillId="3" borderId="10" xfId="0" applyFont="1" applyFill="1" applyBorder="1" applyAlignment="1">
      <alignment horizontal="center" wrapText="1"/>
    </xf>
    <xf numFmtId="0" fontId="30" fillId="3" borderId="0" xfId="0" applyFont="1" applyFill="1" applyAlignment="1">
      <alignment wrapText="1"/>
    </xf>
    <xf numFmtId="16" fontId="20" fillId="3" borderId="4" xfId="0" applyNumberFormat="1" applyFont="1" applyFill="1" applyBorder="1" applyAlignment="1">
      <alignment horizontal="center"/>
    </xf>
    <xf numFmtId="169" fontId="20" fillId="3" borderId="5" xfId="0" applyNumberFormat="1" applyFont="1" applyFill="1" applyBorder="1" applyAlignment="1">
      <alignment horizontal="center"/>
    </xf>
    <xf numFmtId="19" fontId="20" fillId="3" borderId="5" xfId="0" applyNumberFormat="1" applyFont="1" applyFill="1" applyBorder="1" applyAlignment="1">
      <alignment horizontal="center"/>
    </xf>
    <xf numFmtId="2" fontId="20" fillId="3" borderId="5" xfId="0" applyNumberFormat="1" applyFont="1" applyFill="1" applyBorder="1" applyAlignment="1">
      <alignment horizontal="center"/>
    </xf>
    <xf numFmtId="0" fontId="20" fillId="3" borderId="5" xfId="0" applyFont="1" applyFill="1" applyBorder="1" applyAlignment="1">
      <alignment horizontal="center"/>
    </xf>
    <xf numFmtId="11" fontId="20" fillId="3" borderId="5" xfId="0" applyNumberFormat="1" applyFont="1" applyFill="1" applyBorder="1" applyAlignment="1">
      <alignment horizontal="center"/>
    </xf>
    <xf numFmtId="166" fontId="20" fillId="3" borderId="5" xfId="0" applyNumberFormat="1" applyFont="1" applyFill="1" applyBorder="1" applyAlignment="1">
      <alignment horizontal="center"/>
    </xf>
    <xf numFmtId="168" fontId="20" fillId="3" borderId="5" xfId="0" applyNumberFormat="1" applyFont="1" applyFill="1" applyBorder="1" applyAlignment="1">
      <alignment horizontal="center"/>
    </xf>
    <xf numFmtId="164" fontId="20" fillId="3" borderId="5" xfId="0" applyNumberFormat="1" applyFont="1" applyFill="1" applyBorder="1" applyAlignment="1">
      <alignment horizontal="center"/>
    </xf>
    <xf numFmtId="0" fontId="20" fillId="3" borderId="6" xfId="0" applyFont="1" applyFill="1" applyBorder="1" applyAlignment="1">
      <alignment horizontal="center"/>
    </xf>
    <xf numFmtId="0" fontId="20" fillId="3" borderId="0" xfId="0" applyFont="1" applyFill="1"/>
    <xf numFmtId="0" fontId="32" fillId="3" borderId="0" xfId="0" applyFont="1" applyFill="1"/>
    <xf numFmtId="2" fontId="20" fillId="3" borderId="0" xfId="0" applyNumberFormat="1" applyFont="1" applyFill="1"/>
    <xf numFmtId="11" fontId="20" fillId="3" borderId="0" xfId="0" applyNumberFormat="1" applyFont="1" applyFill="1"/>
    <xf numFmtId="0" fontId="14" fillId="3" borderId="0" xfId="0" applyFont="1" applyFill="1"/>
    <xf numFmtId="11" fontId="14" fillId="3" borderId="0" xfId="0" applyNumberFormat="1" applyFont="1" applyFill="1"/>
    <xf numFmtId="14" fontId="20" fillId="3" borderId="0" xfId="0" applyNumberFormat="1" applyFont="1" applyFill="1"/>
    <xf numFmtId="0" fontId="20" fillId="3" borderId="0" xfId="0" applyNumberFormat="1" applyFont="1" applyFill="1"/>
    <xf numFmtId="170" fontId="20" fillId="3" borderId="0" xfId="0" applyNumberFormat="1" applyFont="1" applyFill="1"/>
    <xf numFmtId="16" fontId="20" fillId="0" borderId="0" xfId="0" applyNumberFormat="1" applyFont="1"/>
    <xf numFmtId="0" fontId="14" fillId="0" borderId="1" xfId="0" applyNumberFormat="1" applyFont="1" applyBorder="1" applyAlignment="1">
      <alignment horizontal="center" vertical="center" wrapText="1"/>
    </xf>
    <xf numFmtId="14" fontId="20" fillId="0" borderId="0" xfId="0" applyNumberFormat="1" applyFont="1"/>
    <xf numFmtId="11" fontId="20" fillId="0" borderId="0" xfId="0" applyNumberFormat="1" applyFont="1" applyAlignment="1">
      <alignment horizontal="center"/>
    </xf>
    <xf numFmtId="166" fontId="20" fillId="0" borderId="0" xfId="0" applyNumberFormat="1" applyFont="1" applyAlignment="1">
      <alignment horizontal="center"/>
    </xf>
    <xf numFmtId="0" fontId="20" fillId="0" borderId="0" xfId="0" applyNumberFormat="1" applyFont="1"/>
    <xf numFmtId="11" fontId="20" fillId="0" borderId="0" xfId="0" applyNumberFormat="1" applyFont="1"/>
    <xf numFmtId="165" fontId="20" fillId="0" borderId="0" xfId="0" applyNumberFormat="1" applyFont="1" applyAlignment="1">
      <alignment horizontal="center"/>
    </xf>
    <xf numFmtId="2" fontId="20" fillId="0" borderId="0" xfId="0" applyNumberFormat="1" applyFont="1" applyAlignment="1">
      <alignment horizontal="center"/>
    </xf>
    <xf numFmtId="0" fontId="33" fillId="6" borderId="0" xfId="0" applyFont="1" applyFill="1"/>
    <xf numFmtId="0" fontId="20" fillId="5" borderId="0" xfId="0" applyFont="1" applyFill="1"/>
    <xf numFmtId="0" fontId="20" fillId="7" borderId="0" xfId="0" applyFont="1" applyFill="1"/>
    <xf numFmtId="0" fontId="20" fillId="8" borderId="0" xfId="0" applyFont="1" applyFill="1"/>
    <xf numFmtId="0" fontId="20" fillId="11" borderId="0" xfId="0" applyFont="1" applyFill="1"/>
    <xf numFmtId="0" fontId="20" fillId="10" borderId="0" xfId="0" applyFont="1" applyFill="1"/>
    <xf numFmtId="0" fontId="20" fillId="12" borderId="0" xfId="0" applyFont="1" applyFill="1"/>
    <xf numFmtId="0" fontId="20" fillId="9" borderId="0" xfId="0" applyFont="1" applyFill="1"/>
    <xf numFmtId="0" fontId="20" fillId="13" borderId="0" xfId="0" applyFont="1" applyFill="1"/>
    <xf numFmtId="0" fontId="20" fillId="14" borderId="0" xfId="0" applyFont="1" applyFill="1"/>
    <xf numFmtId="0" fontId="20" fillId="15" borderId="0" xfId="0" applyFont="1" applyFill="1"/>
    <xf numFmtId="0" fontId="20" fillId="16" borderId="0" xfId="0" applyFont="1" applyFill="1"/>
    <xf numFmtId="0" fontId="20" fillId="17" borderId="0" xfId="0" applyFont="1" applyFill="1"/>
    <xf numFmtId="0" fontId="20" fillId="18" borderId="0" xfId="0" applyFont="1" applyFill="1"/>
    <xf numFmtId="0" fontId="20" fillId="19" borderId="0" xfId="0" applyFont="1" applyFill="1"/>
    <xf numFmtId="0" fontId="20" fillId="0" borderId="0" xfId="0" applyFont="1" applyFill="1"/>
    <xf numFmtId="0" fontId="15" fillId="3" borderId="0" xfId="0" applyFont="1" applyFill="1" applyBorder="1" applyAlignment="1" applyProtection="1">
      <alignment horizontal="left"/>
      <protection locked="0"/>
    </xf>
    <xf numFmtId="0" fontId="20" fillId="3" borderId="0" xfId="0" applyFont="1" applyFill="1" applyBorder="1" applyAlignment="1" applyProtection="1">
      <alignment horizontal="center"/>
      <protection locked="0"/>
    </xf>
    <xf numFmtId="0" fontId="20" fillId="4" borderId="7" xfId="0" applyFont="1" applyFill="1" applyBorder="1" applyAlignment="1">
      <alignment horizontal="center"/>
    </xf>
    <xf numFmtId="14" fontId="20" fillId="3" borderId="7" xfId="0" applyNumberFormat="1" applyFont="1" applyFill="1" applyBorder="1" applyAlignment="1">
      <alignment horizontal="center"/>
    </xf>
    <xf numFmtId="16" fontId="14" fillId="3" borderId="0" xfId="0" applyNumberFormat="1" applyFont="1" applyFill="1" applyBorder="1" applyAlignment="1" applyProtection="1">
      <alignment horizontal="center"/>
      <protection locked="0"/>
    </xf>
    <xf numFmtId="0" fontId="20" fillId="3" borderId="0" xfId="0" applyFont="1" applyFill="1" applyAlignment="1">
      <alignment horizontal="center"/>
    </xf>
    <xf numFmtId="0" fontId="20" fillId="3" borderId="0" xfId="0" applyFont="1" applyFill="1" applyBorder="1" applyAlignment="1">
      <alignment horizontal="center"/>
    </xf>
    <xf numFmtId="0" fontId="20" fillId="3" borderId="0" xfId="0" applyFont="1" applyFill="1" applyBorder="1" applyAlignment="1" applyProtection="1">
      <alignment horizontal="left"/>
    </xf>
    <xf numFmtId="0" fontId="20" fillId="3" borderId="7" xfId="0" applyFont="1" applyFill="1" applyBorder="1" applyAlignment="1">
      <alignment horizontal="left"/>
    </xf>
    <xf numFmtId="0" fontId="20" fillId="3" borderId="7" xfId="0" applyFont="1" applyFill="1" applyBorder="1" applyAlignment="1" applyProtection="1">
      <alignment horizontal="center"/>
      <protection locked="0"/>
    </xf>
    <xf numFmtId="0" fontId="14" fillId="3" borderId="0" xfId="0" applyFont="1" applyFill="1" applyBorder="1" applyAlignment="1" applyProtection="1">
      <alignment horizontal="center" wrapText="1"/>
    </xf>
    <xf numFmtId="16" fontId="20" fillId="4" borderId="7" xfId="0" applyNumberFormat="1" applyFont="1" applyFill="1" applyBorder="1" applyAlignment="1">
      <alignment horizontal="center"/>
    </xf>
    <xf numFmtId="19" fontId="20" fillId="3" borderId="7" xfId="0" applyNumberFormat="1" applyFont="1" applyFill="1" applyBorder="1" applyAlignment="1" applyProtection="1">
      <alignment horizontal="center"/>
    </xf>
    <xf numFmtId="0" fontId="20" fillId="3" borderId="0" xfId="0" applyFont="1" applyFill="1" applyBorder="1" applyAlignment="1" applyProtection="1">
      <alignment horizontal="center"/>
    </xf>
    <xf numFmtId="0" fontId="20" fillId="3" borderId="0" xfId="0" applyFont="1" applyFill="1" applyBorder="1" applyAlignment="1">
      <alignment horizontal="left"/>
    </xf>
    <xf numFmtId="0" fontId="20" fillId="3" borderId="0" xfId="0" quotePrefix="1" applyFont="1" applyFill="1" applyAlignment="1">
      <alignment horizontal="center"/>
    </xf>
    <xf numFmtId="14" fontId="20" fillId="3" borderId="0" xfId="0" applyNumberFormat="1" applyFont="1" applyFill="1" applyBorder="1" applyAlignment="1" applyProtection="1">
      <alignment horizontal="center"/>
      <protection locked="0"/>
    </xf>
    <xf numFmtId="2" fontId="20" fillId="3" borderId="7" xfId="0" applyNumberFormat="1" applyFont="1" applyFill="1" applyBorder="1" applyAlignment="1" applyProtection="1">
      <alignment horizontal="center"/>
    </xf>
    <xf numFmtId="19" fontId="20" fillId="3" borderId="0" xfId="0" applyNumberFormat="1" applyFont="1" applyFill="1" applyBorder="1" applyAlignment="1">
      <alignment horizontal="center"/>
    </xf>
    <xf numFmtId="0" fontId="20" fillId="3" borderId="0" xfId="0" applyFont="1" applyFill="1" applyAlignment="1">
      <alignment horizontal="left"/>
    </xf>
    <xf numFmtId="0" fontId="14" fillId="3" borderId="0" xfId="0" applyFont="1" applyFill="1" applyBorder="1" applyAlignment="1" applyProtection="1">
      <alignment horizontal="center"/>
      <protection locked="0"/>
    </xf>
    <xf numFmtId="0" fontId="20" fillId="3" borderId="7" xfId="0" applyFont="1" applyFill="1" applyBorder="1" applyAlignment="1" applyProtection="1">
      <alignment horizontal="left"/>
      <protection locked="0"/>
    </xf>
    <xf numFmtId="11" fontId="14" fillId="3" borderId="0" xfId="0" applyNumberFormat="1" applyFont="1" applyFill="1" applyBorder="1" applyAlignment="1">
      <alignment horizontal="center"/>
    </xf>
    <xf numFmtId="0" fontId="14" fillId="4" borderId="4" xfId="0" applyFont="1" applyFill="1" applyBorder="1" applyAlignment="1" applyProtection="1">
      <alignment horizontal="center" wrapText="1"/>
    </xf>
    <xf numFmtId="0" fontId="14" fillId="4" borderId="5" xfId="0" applyFont="1" applyFill="1" applyBorder="1" applyAlignment="1" applyProtection="1">
      <alignment horizontal="center" wrapText="1"/>
    </xf>
    <xf numFmtId="0" fontId="14" fillId="4" borderId="5" xfId="0" applyFont="1" applyFill="1" applyBorder="1" applyAlignment="1">
      <alignment horizontal="center" wrapText="1"/>
    </xf>
    <xf numFmtId="0" fontId="14" fillId="4" borderId="6" xfId="0" applyFont="1" applyFill="1" applyBorder="1" applyAlignment="1" applyProtection="1">
      <alignment horizontal="center" wrapText="1"/>
    </xf>
    <xf numFmtId="0" fontId="20" fillId="3" borderId="4" xfId="0" applyNumberFormat="1" applyFont="1" applyFill="1" applyBorder="1" applyAlignment="1" applyProtection="1">
      <alignment horizontal="center"/>
      <protection locked="0"/>
    </xf>
    <xf numFmtId="2" fontId="20" fillId="3" borderId="5" xfId="0" applyNumberFormat="1" applyFont="1" applyFill="1" applyBorder="1" applyAlignment="1" applyProtection="1">
      <alignment horizontal="center" wrapText="1"/>
      <protection locked="0"/>
    </xf>
    <xf numFmtId="11" fontId="20" fillId="3" borderId="5" xfId="0" applyNumberFormat="1" applyFont="1" applyFill="1" applyBorder="1" applyAlignment="1" applyProtection="1">
      <alignment horizontal="center"/>
      <protection locked="0"/>
    </xf>
    <xf numFmtId="165" fontId="20" fillId="3" borderId="5" xfId="0" applyNumberFormat="1" applyFont="1" applyFill="1" applyBorder="1" applyAlignment="1">
      <alignment horizontal="center"/>
    </xf>
    <xf numFmtId="167" fontId="20" fillId="3" borderId="5" xfId="0" applyNumberFormat="1" applyFont="1" applyFill="1" applyBorder="1" applyAlignment="1" applyProtection="1">
      <alignment horizontal="center"/>
    </xf>
    <xf numFmtId="11" fontId="20" fillId="3" borderId="5" xfId="0" applyNumberFormat="1" applyFont="1" applyFill="1" applyBorder="1" applyAlignment="1" applyProtection="1">
      <alignment horizontal="center"/>
    </xf>
    <xf numFmtId="171" fontId="20" fillId="3" borderId="5" xfId="0" applyNumberFormat="1" applyFont="1" applyFill="1" applyBorder="1" applyAlignment="1" applyProtection="1">
      <alignment horizontal="center"/>
    </xf>
    <xf numFmtId="2" fontId="20" fillId="3" borderId="5" xfId="0" applyNumberFormat="1" applyFont="1" applyFill="1" applyBorder="1" applyAlignment="1" applyProtection="1">
      <alignment horizontal="center"/>
    </xf>
    <xf numFmtId="166" fontId="20" fillId="3" borderId="5" xfId="0" applyNumberFormat="1" applyFont="1" applyFill="1" applyBorder="1" applyAlignment="1" applyProtection="1">
      <alignment horizontal="center"/>
    </xf>
    <xf numFmtId="168" fontId="20" fillId="3" borderId="5" xfId="0" applyNumberFormat="1" applyFont="1" applyFill="1" applyBorder="1" applyAlignment="1" applyProtection="1">
      <alignment horizontal="center"/>
    </xf>
    <xf numFmtId="167" fontId="20" fillId="3" borderId="1" xfId="0" applyNumberFormat="1" applyFont="1" applyFill="1" applyBorder="1" applyAlignment="1" applyProtection="1">
      <alignment horizontal="center"/>
    </xf>
    <xf numFmtId="2" fontId="20" fillId="3" borderId="1" xfId="0" applyNumberFormat="1" applyFont="1" applyFill="1" applyBorder="1" applyAlignment="1">
      <alignment horizontal="center"/>
    </xf>
    <xf numFmtId="2" fontId="20" fillId="3" borderId="3" xfId="0" applyNumberFormat="1" applyFont="1" applyFill="1" applyBorder="1" applyAlignment="1">
      <alignment horizontal="center"/>
    </xf>
    <xf numFmtId="11" fontId="20" fillId="3" borderId="0" xfId="0" applyNumberFormat="1" applyFont="1" applyFill="1" applyBorder="1" applyAlignment="1" applyProtection="1">
      <alignment horizontal="center"/>
    </xf>
    <xf numFmtId="167" fontId="20" fillId="3" borderId="0" xfId="0" applyNumberFormat="1" applyFont="1" applyFill="1" applyBorder="1" applyAlignment="1" applyProtection="1">
      <alignment horizontal="center"/>
    </xf>
    <xf numFmtId="2" fontId="20" fillId="3" borderId="0" xfId="0" applyNumberFormat="1" applyFont="1" applyFill="1" applyBorder="1" applyAlignment="1" applyProtection="1">
      <alignment horizontal="center"/>
    </xf>
    <xf numFmtId="1" fontId="20" fillId="3" borderId="0" xfId="0" applyNumberFormat="1" applyFont="1" applyFill="1" applyBorder="1" applyAlignment="1" applyProtection="1">
      <alignment horizontal="center"/>
    </xf>
    <xf numFmtId="0" fontId="20" fillId="3" borderId="0" xfId="0" applyFont="1" applyFill="1" applyBorder="1" applyAlignment="1" applyProtection="1">
      <alignment horizontal="left"/>
      <protection locked="0"/>
    </xf>
    <xf numFmtId="0" fontId="20" fillId="3" borderId="0" xfId="0" applyFont="1" applyFill="1" applyBorder="1" applyAlignment="1" applyProtection="1">
      <alignment horizontal="center" wrapText="1"/>
    </xf>
    <xf numFmtId="14" fontId="14" fillId="4" borderId="4" xfId="0" applyNumberFormat="1" applyFont="1" applyFill="1" applyBorder="1" applyAlignment="1" applyProtection="1">
      <alignment horizontal="center" wrapText="1"/>
    </xf>
    <xf numFmtId="21" fontId="14" fillId="4" borderId="5" xfId="0" applyNumberFormat="1" applyFont="1" applyFill="1" applyBorder="1" applyAlignment="1" applyProtection="1">
      <alignment horizontal="center" wrapText="1"/>
    </xf>
    <xf numFmtId="0" fontId="14" fillId="4" borderId="6" xfId="0" applyFont="1" applyFill="1" applyBorder="1" applyAlignment="1">
      <alignment horizontal="center" wrapText="1"/>
    </xf>
    <xf numFmtId="11" fontId="37" fillId="3" borderId="0" xfId="0" applyNumberFormat="1" applyFont="1" applyFill="1" applyBorder="1" applyAlignment="1" applyProtection="1">
      <alignment horizontal="center"/>
      <protection locked="0"/>
    </xf>
    <xf numFmtId="165" fontId="37" fillId="3" borderId="0" xfId="0" applyNumberFormat="1" applyFont="1" applyFill="1" applyBorder="1" applyAlignment="1" applyProtection="1">
      <alignment horizontal="center"/>
      <protection locked="0"/>
    </xf>
    <xf numFmtId="165" fontId="20" fillId="3" borderId="0" xfId="0" applyNumberFormat="1" applyFont="1" applyFill="1" applyBorder="1" applyAlignment="1" applyProtection="1">
      <alignment horizontal="center"/>
      <protection locked="0"/>
    </xf>
    <xf numFmtId="2" fontId="20" fillId="3" borderId="0" xfId="0" applyNumberFormat="1" applyFont="1" applyFill="1" applyBorder="1" applyAlignment="1" applyProtection="1">
      <alignment horizontal="center"/>
      <protection locked="0"/>
    </xf>
    <xf numFmtId="11" fontId="20" fillId="3" borderId="0" xfId="0" applyNumberFormat="1" applyFont="1" applyFill="1" applyBorder="1" applyAlignment="1" applyProtection="1">
      <alignment horizontal="center"/>
      <protection locked="0"/>
    </xf>
    <xf numFmtId="171" fontId="20" fillId="3" borderId="0" xfId="0" applyNumberFormat="1" applyFont="1" applyFill="1" applyBorder="1" applyAlignment="1">
      <alignment horizontal="center"/>
    </xf>
    <xf numFmtId="11" fontId="20" fillId="3" borderId="0" xfId="0" applyNumberFormat="1" applyFont="1" applyFill="1" applyBorder="1" applyAlignment="1">
      <alignment horizontal="center"/>
    </xf>
    <xf numFmtId="11" fontId="20" fillId="3" borderId="0" xfId="0" applyNumberFormat="1" applyFont="1" applyFill="1" applyAlignment="1">
      <alignment horizontal="center"/>
    </xf>
    <xf numFmtId="1" fontId="20" fillId="3" borderId="0" xfId="0" applyNumberFormat="1" applyFont="1" applyFill="1" applyBorder="1" applyAlignment="1" applyProtection="1">
      <alignment horizontal="center"/>
      <protection locked="0"/>
    </xf>
    <xf numFmtId="2" fontId="20" fillId="3" borderId="0" xfId="0" applyNumberFormat="1" applyFont="1" applyFill="1" applyBorder="1" applyAlignment="1">
      <alignment horizontal="center"/>
    </xf>
    <xf numFmtId="168" fontId="20" fillId="3" borderId="0" xfId="0" applyNumberFormat="1" applyFont="1" applyFill="1" applyAlignment="1">
      <alignment horizontal="center"/>
    </xf>
    <xf numFmtId="0" fontId="37" fillId="3" borderId="0" xfId="0" applyFont="1" applyFill="1" applyBorder="1" applyAlignment="1">
      <alignment horizontal="left"/>
    </xf>
    <xf numFmtId="0" fontId="37" fillId="3" borderId="0" xfId="0" applyNumberFormat="1" applyFont="1" applyFill="1" applyBorder="1" applyAlignment="1" applyProtection="1">
      <alignment horizontal="center"/>
      <protection locked="0"/>
    </xf>
    <xf numFmtId="11" fontId="37" fillId="3" borderId="0" xfId="0" applyNumberFormat="1" applyFont="1" applyFill="1" applyBorder="1" applyAlignment="1">
      <alignment horizontal="center"/>
    </xf>
    <xf numFmtId="0" fontId="20" fillId="3" borderId="0" xfId="0" applyNumberFormat="1" applyFont="1" applyFill="1" applyAlignment="1">
      <alignment horizontal="center"/>
    </xf>
    <xf numFmtId="0" fontId="37" fillId="3" borderId="0" xfId="0" applyNumberFormat="1" applyFont="1" applyFill="1" applyBorder="1" applyAlignment="1">
      <alignment horizontal="center"/>
    </xf>
    <xf numFmtId="0" fontId="37" fillId="3" borderId="0" xfId="0" applyFont="1" applyFill="1" applyBorder="1" applyAlignment="1">
      <alignment horizontal="center"/>
    </xf>
    <xf numFmtId="0" fontId="37" fillId="3" borderId="0" xfId="0" applyFont="1" applyFill="1" applyBorder="1" applyAlignment="1" applyProtection="1">
      <alignment horizontal="center"/>
      <protection locked="0"/>
    </xf>
    <xf numFmtId="0" fontId="37" fillId="3" borderId="0" xfId="0" applyNumberFormat="1" applyFont="1" applyFill="1" applyBorder="1" applyAlignment="1">
      <alignment horizontal="left"/>
    </xf>
    <xf numFmtId="0" fontId="20" fillId="3" borderId="0" xfId="0" applyNumberFormat="1" applyFont="1" applyFill="1" applyBorder="1" applyAlignment="1">
      <alignment horizontal="center"/>
    </xf>
    <xf numFmtId="0" fontId="37" fillId="3" borderId="0" xfId="0" applyNumberFormat="1" applyFont="1" applyFill="1" applyBorder="1" applyAlignment="1">
      <alignment horizontal="center" wrapText="1"/>
    </xf>
    <xf numFmtId="0" fontId="37" fillId="3" borderId="0" xfId="0" applyFont="1" applyFill="1" applyBorder="1" applyAlignment="1">
      <alignment horizontal="center" wrapText="1"/>
    </xf>
    <xf numFmtId="0" fontId="20" fillId="3" borderId="0" xfId="0" applyFont="1" applyFill="1" applyBorder="1" applyAlignment="1">
      <alignment horizontal="center" wrapText="1"/>
    </xf>
    <xf numFmtId="11" fontId="20" fillId="3" borderId="0" xfId="0" applyNumberFormat="1" applyFont="1" applyFill="1" applyBorder="1" applyAlignment="1">
      <alignment horizontal="center" wrapText="1"/>
    </xf>
    <xf numFmtId="16" fontId="37" fillId="3" borderId="0" xfId="0" applyNumberFormat="1" applyFont="1" applyFill="1" applyBorder="1" applyAlignment="1">
      <alignment horizontal="left"/>
    </xf>
    <xf numFmtId="167" fontId="20" fillId="3" borderId="0" xfId="0" applyNumberFormat="1" applyFont="1" applyFill="1" applyBorder="1" applyAlignment="1">
      <alignment horizontal="center"/>
    </xf>
    <xf numFmtId="166" fontId="20" fillId="3" borderId="0" xfId="0" applyNumberFormat="1" applyFont="1" applyFill="1" applyBorder="1" applyAlignment="1">
      <alignment horizontal="center"/>
    </xf>
    <xf numFmtId="0" fontId="37" fillId="3" borderId="0" xfId="0" applyFont="1" applyFill="1" applyAlignment="1">
      <alignment horizontal="left"/>
    </xf>
    <xf numFmtId="0" fontId="37" fillId="3" borderId="0" xfId="0" applyNumberFormat="1" applyFont="1" applyFill="1" applyAlignment="1">
      <alignment horizontal="center"/>
    </xf>
    <xf numFmtId="0" fontId="37" fillId="3" borderId="0" xfId="0" applyFont="1" applyFill="1" applyAlignment="1">
      <alignment horizontal="center"/>
    </xf>
    <xf numFmtId="11" fontId="37" fillId="3" borderId="0" xfId="0" applyNumberFormat="1" applyFont="1" applyFill="1" applyAlignment="1">
      <alignment horizontal="center"/>
    </xf>
    <xf numFmtId="0" fontId="24" fillId="0" borderId="9" xfId="0" applyFont="1" applyBorder="1" applyAlignment="1">
      <alignment horizontal="center" vertical="center"/>
    </xf>
    <xf numFmtId="0" fontId="24" fillId="0" borderId="8" xfId="0" applyFont="1" applyBorder="1" applyAlignment="1">
      <alignment horizontal="center" vertical="center"/>
    </xf>
    <xf numFmtId="0" fontId="24" fillId="0" borderId="10" xfId="0" applyFont="1" applyBorder="1" applyAlignment="1">
      <alignment horizontal="center" vertical="center"/>
    </xf>
    <xf numFmtId="0" fontId="24" fillId="0" borderId="2" xfId="0" applyFont="1" applyBorder="1" applyAlignment="1">
      <alignment horizontal="center" vertical="center"/>
    </xf>
    <xf numFmtId="0" fontId="24" fillId="0" borderId="1" xfId="0" applyFont="1" applyBorder="1" applyAlignment="1">
      <alignment horizontal="center" vertical="center"/>
    </xf>
    <xf numFmtId="0" fontId="24" fillId="0" borderId="3" xfId="0" applyFont="1" applyBorder="1" applyAlignment="1">
      <alignment horizontal="center" vertical="center"/>
    </xf>
    <xf numFmtId="0" fontId="25" fillId="2" borderId="11" xfId="0" applyFont="1" applyFill="1" applyBorder="1" applyAlignment="1">
      <alignment horizontal="center" vertical="center"/>
    </xf>
    <xf numFmtId="0" fontId="25" fillId="2" borderId="12" xfId="0" applyFont="1" applyFill="1" applyBorder="1" applyAlignment="1">
      <alignment horizontal="center" vertical="center"/>
    </xf>
    <xf numFmtId="0" fontId="23" fillId="0" borderId="9" xfId="0" applyFont="1" applyBorder="1" applyAlignment="1">
      <alignment horizontal="center" vertical="center" wrapText="1"/>
    </xf>
    <xf numFmtId="0" fontId="23" fillId="0" borderId="8" xfId="0" applyFont="1" applyBorder="1" applyAlignment="1">
      <alignment horizontal="center" vertical="center" wrapText="1"/>
    </xf>
    <xf numFmtId="0" fontId="23" fillId="0" borderId="10" xfId="0" applyFont="1" applyBorder="1" applyAlignment="1">
      <alignment horizontal="center" vertical="center" wrapText="1"/>
    </xf>
    <xf numFmtId="0" fontId="23" fillId="0" borderId="13" xfId="0" applyFont="1" applyBorder="1" applyAlignment="1">
      <alignment horizontal="center" vertical="center" wrapText="1"/>
    </xf>
    <xf numFmtId="0" fontId="23" fillId="0" borderId="0" xfId="0" applyFont="1" applyBorder="1" applyAlignment="1">
      <alignment horizontal="center" vertical="center" wrapText="1"/>
    </xf>
    <xf numFmtId="0" fontId="23" fillId="0" borderId="14" xfId="0" applyFont="1" applyBorder="1" applyAlignment="1">
      <alignment horizontal="center" vertical="center" wrapText="1"/>
    </xf>
    <xf numFmtId="0" fontId="23" fillId="0" borderId="2" xfId="0" applyFont="1" applyBorder="1" applyAlignment="1">
      <alignment horizontal="center" vertical="center" wrapText="1"/>
    </xf>
    <xf numFmtId="0" fontId="23" fillId="0" borderId="1" xfId="0" applyFont="1" applyBorder="1" applyAlignment="1">
      <alignment horizontal="center" vertical="center" wrapText="1"/>
    </xf>
    <xf numFmtId="0" fontId="23" fillId="0" borderId="3" xfId="0" applyFont="1" applyBorder="1" applyAlignment="1">
      <alignment horizontal="center" vertical="center" wrapText="1"/>
    </xf>
    <xf numFmtId="0" fontId="20" fillId="3" borderId="0" xfId="0" applyFont="1" applyFill="1" applyAlignment="1">
      <alignment horizontal="left"/>
    </xf>
    <xf numFmtId="0" fontId="14" fillId="3" borderId="7" xfId="0" applyFont="1" applyFill="1" applyBorder="1" applyProtection="1">
      <protection locked="0"/>
    </xf>
    <xf numFmtId="0" fontId="14" fillId="3" borderId="11" xfId="0" applyFont="1" applyFill="1" applyBorder="1"/>
    <xf numFmtId="0" fontId="14" fillId="3" borderId="8" xfId="0" applyFont="1" applyFill="1" applyBorder="1"/>
    <xf numFmtId="0" fontId="14" fillId="3" borderId="4" xfId="0" applyFont="1" applyFill="1" applyBorder="1" applyProtection="1"/>
    <xf numFmtId="0" fontId="14" fillId="3" borderId="5" xfId="0" applyFont="1" applyFill="1" applyBorder="1" applyProtection="1"/>
    <xf numFmtId="0" fontId="14" fillId="3" borderId="6" xfId="0" applyFont="1" applyFill="1" applyBorder="1" applyProtection="1"/>
    <xf numFmtId="0" fontId="14" fillId="3" borderId="7" xfId="0" applyFont="1" applyFill="1" applyBorder="1"/>
    <xf numFmtId="0" fontId="14" fillId="3" borderId="4" xfId="0" applyFont="1" applyFill="1" applyBorder="1"/>
    <xf numFmtId="0" fontId="14" fillId="3" borderId="5" xfId="0" applyFont="1" applyFill="1" applyBorder="1"/>
    <xf numFmtId="0" fontId="14" fillId="3" borderId="6" xfId="0" applyFont="1" applyFill="1" applyBorder="1"/>
    <xf numFmtId="0" fontId="14" fillId="3" borderId="15" xfId="0" applyFont="1" applyFill="1" applyBorder="1"/>
  </cellXfs>
  <cellStyles count="2">
    <cellStyle name="Normal" xfId="0" builtinId="0"/>
    <cellStyle name="Normal_CommandLineGenerator" xfId="1"/>
  </cellStyles>
  <dxfs count="2">
    <dxf>
      <font>
        <condense val="0"/>
        <extend val="0"/>
        <color rgb="FF006100"/>
      </font>
      <fill>
        <patternFill>
          <bgColor rgb="FFC6EFCE"/>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2004EC"/>
      <color rgb="FF6D6D6D"/>
      <color rgb="FFFF00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Illumination and Photoconductance</a:t>
            </a:r>
          </a:p>
        </c:rich>
      </c:tx>
      <c:layout/>
      <c:overlay val="0"/>
    </c:title>
    <c:autoTitleDeleted val="0"/>
    <c:plotArea>
      <c:layout>
        <c:manualLayout>
          <c:layoutTarget val="inner"/>
          <c:xMode val="edge"/>
          <c:yMode val="edge"/>
          <c:x val="0.11180039717476002"/>
          <c:y val="0.11206623436776286"/>
          <c:w val="0.75371251343821544"/>
          <c:h val="0.74692073241282131"/>
        </c:manualLayout>
      </c:layout>
      <c:scatterChart>
        <c:scatterStyle val="lineMarker"/>
        <c:varyColors val="0"/>
        <c:ser>
          <c:idx val="0"/>
          <c:order val="0"/>
          <c:tx>
            <c:v>Light Intensity (suns)</c:v>
          </c:tx>
          <c:spPr>
            <a:ln w="28575">
              <a:solidFill>
                <a:srgbClr val="2004EC"/>
              </a:solidFill>
            </a:ln>
          </c:spPr>
          <c:marker>
            <c:symbol val="none"/>
          </c:marker>
          <c:xVal>
            <c:numRef>
              <c:f>Calc!$A$9:$A$133</c:f>
              <c:numCache>
                <c:formatCode>0.00E+00</c:formatCode>
                <c:ptCount val="125"/>
                <c:pt idx="0">
                  <c:v>4.99E-5</c:v>
                </c:pt>
                <c:pt idx="1">
                  <c:v>1.4990000000000001E-4</c:v>
                </c:pt>
                <c:pt idx="2">
                  <c:v>2.499E-4</c:v>
                </c:pt>
                <c:pt idx="3">
                  <c:v>3.4989999999999999E-4</c:v>
                </c:pt>
                <c:pt idx="4">
                  <c:v>4.4989999999999999E-4</c:v>
                </c:pt>
                <c:pt idx="5">
                  <c:v>5.4989999999999998E-4</c:v>
                </c:pt>
                <c:pt idx="6">
                  <c:v>6.4990000000000002E-4</c:v>
                </c:pt>
                <c:pt idx="7">
                  <c:v>7.4989999999999996E-4</c:v>
                </c:pt>
                <c:pt idx="8">
                  <c:v>8.499E-4</c:v>
                </c:pt>
                <c:pt idx="9">
                  <c:v>9.4990000000000005E-4</c:v>
                </c:pt>
                <c:pt idx="10">
                  <c:v>1.0499000000000001E-3</c:v>
                </c:pt>
                <c:pt idx="11">
                  <c:v>1.1498999999999999E-3</c:v>
                </c:pt>
                <c:pt idx="12">
                  <c:v>1.2499E-3</c:v>
                </c:pt>
                <c:pt idx="13">
                  <c:v>1.3499E-3</c:v>
                </c:pt>
                <c:pt idx="14">
                  <c:v>1.4499000000000001E-3</c:v>
                </c:pt>
                <c:pt idx="15">
                  <c:v>1.5499000000000001E-3</c:v>
                </c:pt>
                <c:pt idx="16">
                  <c:v>1.6498999999999999E-3</c:v>
                </c:pt>
                <c:pt idx="17">
                  <c:v>1.7499E-3</c:v>
                </c:pt>
                <c:pt idx="18">
                  <c:v>1.8499E-3</c:v>
                </c:pt>
                <c:pt idx="19">
                  <c:v>1.9499000000000001E-3</c:v>
                </c:pt>
                <c:pt idx="20">
                  <c:v>2.0498999999999999E-3</c:v>
                </c:pt>
                <c:pt idx="21">
                  <c:v>2.1499000000000002E-3</c:v>
                </c:pt>
                <c:pt idx="22">
                  <c:v>2.2499E-3</c:v>
                </c:pt>
                <c:pt idx="23">
                  <c:v>2.3498999999999998E-3</c:v>
                </c:pt>
                <c:pt idx="24">
                  <c:v>2.4499000000000001E-3</c:v>
                </c:pt>
                <c:pt idx="25">
                  <c:v>2.5498999999999999E-3</c:v>
                </c:pt>
                <c:pt idx="26">
                  <c:v>2.6499000000000002E-3</c:v>
                </c:pt>
                <c:pt idx="27">
                  <c:v>2.7499E-3</c:v>
                </c:pt>
                <c:pt idx="28">
                  <c:v>2.8498999999999998E-3</c:v>
                </c:pt>
                <c:pt idx="29">
                  <c:v>2.9499000000000001E-3</c:v>
                </c:pt>
                <c:pt idx="30">
                  <c:v>3.0498999999999999E-3</c:v>
                </c:pt>
                <c:pt idx="31">
                  <c:v>3.1499000000000002E-3</c:v>
                </c:pt>
                <c:pt idx="32">
                  <c:v>3.2499E-3</c:v>
                </c:pt>
                <c:pt idx="33">
                  <c:v>3.3498999999999998E-3</c:v>
                </c:pt>
                <c:pt idx="34">
                  <c:v>3.4499000000000001E-3</c:v>
                </c:pt>
                <c:pt idx="35">
                  <c:v>3.5498999999999999E-3</c:v>
                </c:pt>
                <c:pt idx="36">
                  <c:v>3.6499000000000002E-3</c:v>
                </c:pt>
                <c:pt idx="37">
                  <c:v>3.7499E-3</c:v>
                </c:pt>
                <c:pt idx="38">
                  <c:v>3.8498999999999999E-3</c:v>
                </c:pt>
                <c:pt idx="39">
                  <c:v>3.9499000000000001E-3</c:v>
                </c:pt>
                <c:pt idx="40">
                  <c:v>4.0499000000000004E-3</c:v>
                </c:pt>
                <c:pt idx="41">
                  <c:v>4.1498999999999998E-3</c:v>
                </c:pt>
                <c:pt idx="42">
                  <c:v>4.2499E-3</c:v>
                </c:pt>
                <c:pt idx="43">
                  <c:v>4.3499000000000003E-3</c:v>
                </c:pt>
                <c:pt idx="44">
                  <c:v>4.4498999999999997E-3</c:v>
                </c:pt>
                <c:pt idx="45">
                  <c:v>4.5499E-3</c:v>
                </c:pt>
                <c:pt idx="46">
                  <c:v>4.6499000000000002E-3</c:v>
                </c:pt>
                <c:pt idx="47">
                  <c:v>4.7498999999999996E-3</c:v>
                </c:pt>
                <c:pt idx="48">
                  <c:v>4.8498999999999999E-3</c:v>
                </c:pt>
                <c:pt idx="49">
                  <c:v>4.9499000000000001E-3</c:v>
                </c:pt>
                <c:pt idx="50">
                  <c:v>5.0499000000000004E-3</c:v>
                </c:pt>
                <c:pt idx="51">
                  <c:v>5.1498999999999998E-3</c:v>
                </c:pt>
                <c:pt idx="52">
                  <c:v>5.2499000000000001E-3</c:v>
                </c:pt>
                <c:pt idx="53">
                  <c:v>5.3499000000000003E-3</c:v>
                </c:pt>
                <c:pt idx="54">
                  <c:v>5.4498999999999997E-3</c:v>
                </c:pt>
                <c:pt idx="55">
                  <c:v>5.5499E-3</c:v>
                </c:pt>
                <c:pt idx="56">
                  <c:v>5.6499000000000002E-3</c:v>
                </c:pt>
                <c:pt idx="57">
                  <c:v>5.7498999999999996E-3</c:v>
                </c:pt>
                <c:pt idx="58">
                  <c:v>5.8498999999999999E-3</c:v>
                </c:pt>
                <c:pt idx="59">
                  <c:v>5.9499000000000002E-3</c:v>
                </c:pt>
                <c:pt idx="60">
                  <c:v>6.0499000000000004E-3</c:v>
                </c:pt>
                <c:pt idx="61">
                  <c:v>6.1498999999999998E-3</c:v>
                </c:pt>
                <c:pt idx="62">
                  <c:v>6.2499000000000001E-3</c:v>
                </c:pt>
                <c:pt idx="63">
                  <c:v>6.3499000000000003E-3</c:v>
                </c:pt>
                <c:pt idx="64">
                  <c:v>6.4498999999999997E-3</c:v>
                </c:pt>
                <c:pt idx="65">
                  <c:v>6.5499E-3</c:v>
                </c:pt>
                <c:pt idx="66">
                  <c:v>6.6499000000000003E-3</c:v>
                </c:pt>
                <c:pt idx="67">
                  <c:v>6.7498999999999997E-3</c:v>
                </c:pt>
                <c:pt idx="68">
                  <c:v>6.8498999999999999E-3</c:v>
                </c:pt>
                <c:pt idx="69">
                  <c:v>6.9499000000000002E-3</c:v>
                </c:pt>
                <c:pt idx="70">
                  <c:v>7.0498999999999996E-3</c:v>
                </c:pt>
                <c:pt idx="71">
                  <c:v>7.1498999999999998E-3</c:v>
                </c:pt>
                <c:pt idx="72">
                  <c:v>7.2499000000000001E-3</c:v>
                </c:pt>
                <c:pt idx="73">
                  <c:v>7.3499000000000004E-3</c:v>
                </c:pt>
                <c:pt idx="74">
                  <c:v>7.4498999999999998E-3</c:v>
                </c:pt>
                <c:pt idx="75">
                  <c:v>7.5499E-3</c:v>
                </c:pt>
                <c:pt idx="76">
                  <c:v>7.6499000000000003E-3</c:v>
                </c:pt>
                <c:pt idx="77">
                  <c:v>7.7498999999999997E-3</c:v>
                </c:pt>
                <c:pt idx="78">
                  <c:v>7.8498999999999999E-3</c:v>
                </c:pt>
                <c:pt idx="79">
                  <c:v>7.9498999999999993E-3</c:v>
                </c:pt>
                <c:pt idx="80">
                  <c:v>8.0499000000000005E-3</c:v>
                </c:pt>
                <c:pt idx="81">
                  <c:v>8.1498999999999999E-3</c:v>
                </c:pt>
                <c:pt idx="82">
                  <c:v>8.2498999999999992E-3</c:v>
                </c:pt>
                <c:pt idx="83">
                  <c:v>8.3499000000000004E-3</c:v>
                </c:pt>
                <c:pt idx="84">
                  <c:v>8.4498999999999998E-3</c:v>
                </c:pt>
                <c:pt idx="85">
                  <c:v>8.5498999999999992E-3</c:v>
                </c:pt>
                <c:pt idx="86">
                  <c:v>8.6499000000000003E-3</c:v>
                </c:pt>
                <c:pt idx="87">
                  <c:v>8.7498999999999997E-3</c:v>
                </c:pt>
                <c:pt idx="88">
                  <c:v>8.8499000000000008E-3</c:v>
                </c:pt>
                <c:pt idx="89">
                  <c:v>8.9499000000000002E-3</c:v>
                </c:pt>
                <c:pt idx="90">
                  <c:v>9.0498999999999996E-3</c:v>
                </c:pt>
                <c:pt idx="91">
                  <c:v>9.1499000000000007E-3</c:v>
                </c:pt>
                <c:pt idx="92">
                  <c:v>9.2499000000000001E-3</c:v>
                </c:pt>
                <c:pt idx="93">
                  <c:v>9.3498999999999995E-3</c:v>
                </c:pt>
                <c:pt idx="94">
                  <c:v>9.4499000000000007E-3</c:v>
                </c:pt>
                <c:pt idx="95">
                  <c:v>9.5499000000000001E-3</c:v>
                </c:pt>
                <c:pt idx="96">
                  <c:v>9.6498999999999995E-3</c:v>
                </c:pt>
                <c:pt idx="97">
                  <c:v>9.7499000000000006E-3</c:v>
                </c:pt>
                <c:pt idx="98">
                  <c:v>9.8499E-3</c:v>
                </c:pt>
                <c:pt idx="99">
                  <c:v>9.9498999999999994E-3</c:v>
                </c:pt>
                <c:pt idx="100">
                  <c:v>1.00499E-2</c:v>
                </c:pt>
                <c:pt idx="101">
                  <c:v>1.01499E-2</c:v>
                </c:pt>
                <c:pt idx="102">
                  <c:v>1.0249899999999999E-2</c:v>
                </c:pt>
                <c:pt idx="103">
                  <c:v>1.03499E-2</c:v>
                </c:pt>
                <c:pt idx="104">
                  <c:v>1.04499E-2</c:v>
                </c:pt>
                <c:pt idx="105">
                  <c:v>1.0549899999999999E-2</c:v>
                </c:pt>
                <c:pt idx="106">
                  <c:v>1.06499E-2</c:v>
                </c:pt>
                <c:pt idx="107">
                  <c:v>1.07499E-2</c:v>
                </c:pt>
                <c:pt idx="108">
                  <c:v>1.0849900000000001E-2</c:v>
                </c:pt>
                <c:pt idx="109">
                  <c:v>1.09499E-2</c:v>
                </c:pt>
                <c:pt idx="110">
                  <c:v>1.10499E-2</c:v>
                </c:pt>
                <c:pt idx="111">
                  <c:v>1.1149900000000001E-2</c:v>
                </c:pt>
                <c:pt idx="112">
                  <c:v>1.12499E-2</c:v>
                </c:pt>
                <c:pt idx="113">
                  <c:v>1.13499E-2</c:v>
                </c:pt>
                <c:pt idx="114">
                  <c:v>1.1449900000000001E-2</c:v>
                </c:pt>
                <c:pt idx="115">
                  <c:v>1.15499E-2</c:v>
                </c:pt>
                <c:pt idx="116">
                  <c:v>1.1649899999999999E-2</c:v>
                </c:pt>
                <c:pt idx="117">
                  <c:v>1.1749900000000001E-2</c:v>
                </c:pt>
                <c:pt idx="118">
                  <c:v>1.18499E-2</c:v>
                </c:pt>
                <c:pt idx="119">
                  <c:v>1.1949899999999999E-2</c:v>
                </c:pt>
                <c:pt idx="120">
                  <c:v>1.2049900000000001E-2</c:v>
                </c:pt>
                <c:pt idx="121">
                  <c:v>1.21499E-2</c:v>
                </c:pt>
                <c:pt idx="122">
                  <c:v>1.2249899999999999E-2</c:v>
                </c:pt>
                <c:pt idx="123">
                  <c:v>1.23499E-2</c:v>
                </c:pt>
                <c:pt idx="124">
                  <c:v>1.24499E-2</c:v>
                </c:pt>
              </c:numCache>
            </c:numRef>
          </c:xVal>
          <c:yVal>
            <c:numRef>
              <c:f>Calc!$E$9:$E$133</c:f>
              <c:numCache>
                <c:formatCode>0.00</c:formatCode>
                <c:ptCount val="125"/>
                <c:pt idx="0">
                  <c:v>34.330158630634926</c:v>
                </c:pt>
                <c:pt idx="1">
                  <c:v>51.490486892971312</c:v>
                </c:pt>
                <c:pt idx="2">
                  <c:v>57.914575670798925</c:v>
                </c:pt>
                <c:pt idx="3">
                  <c:v>59.378185052148169</c:v>
                </c:pt>
                <c:pt idx="4">
                  <c:v>57.961326032132675</c:v>
                </c:pt>
                <c:pt idx="5">
                  <c:v>55.328957617439556</c:v>
                </c:pt>
                <c:pt idx="6">
                  <c:v>52.211696735498151</c:v>
                </c:pt>
                <c:pt idx="7">
                  <c:v>49.164561395557371</c:v>
                </c:pt>
                <c:pt idx="8">
                  <c:v>46.260432750346894</c:v>
                </c:pt>
                <c:pt idx="9">
                  <c:v>43.532378128614965</c:v>
                </c:pt>
                <c:pt idx="10">
                  <c:v>40.987619130892817</c:v>
                </c:pt>
                <c:pt idx="11">
                  <c:v>38.603160660752067</c:v>
                </c:pt>
                <c:pt idx="12">
                  <c:v>36.352396821498701</c:v>
                </c:pt>
                <c:pt idx="13">
                  <c:v>34.251101109029875</c:v>
                </c:pt>
                <c:pt idx="14">
                  <c:v>32.276563490096073</c:v>
                </c:pt>
                <c:pt idx="15">
                  <c:v>30.429069027876153</c:v>
                </c:pt>
                <c:pt idx="16">
                  <c:v>28.694934689784628</c:v>
                </c:pt>
                <c:pt idx="17">
                  <c:v>27.062377864428434</c:v>
                </c:pt>
                <c:pt idx="18">
                  <c:v>25.526552477766884</c:v>
                </c:pt>
                <c:pt idx="19">
                  <c:v>24.089358950992402</c:v>
                </c:pt>
                <c:pt idx="20">
                  <c:v>22.744145809931481</c:v>
                </c:pt>
                <c:pt idx="21">
                  <c:v>21.482646222397065</c:v>
                </c:pt>
                <c:pt idx="22">
                  <c:v>20.295833187725112</c:v>
                </c:pt>
                <c:pt idx="23">
                  <c:v>19.176770168563255</c:v>
                </c:pt>
                <c:pt idx="24">
                  <c:v>18.132298681204237</c:v>
                </c:pt>
                <c:pt idx="25">
                  <c:v>17.149495861539545</c:v>
                </c:pt>
                <c:pt idx="26">
                  <c:v>16.227221456853719</c:v>
                </c:pt>
                <c:pt idx="27">
                  <c:v>15.357303656019312</c:v>
                </c:pt>
                <c:pt idx="28">
                  <c:v>14.513706688700045</c:v>
                </c:pt>
                <c:pt idx="29">
                  <c:v>13.741945642454601</c:v>
                </c:pt>
                <c:pt idx="30">
                  <c:v>13.017410062841019</c:v>
                </c:pt>
                <c:pt idx="31">
                  <c:v>12.342760539528701</c:v>
                </c:pt>
                <c:pt idx="32">
                  <c:v>11.702888724037832</c:v>
                </c:pt>
                <c:pt idx="33">
                  <c:v>11.096939426831822</c:v>
                </c:pt>
                <c:pt idx="34">
                  <c:v>10.526242942745373</c:v>
                </c:pt>
                <c:pt idx="35">
                  <c:v>9.9886137874071892</c:v>
                </c:pt>
                <c:pt idx="36">
                  <c:v>9.4787782920082808</c:v>
                </c:pt>
                <c:pt idx="37">
                  <c:v>9.0042336181527798</c:v>
                </c:pt>
                <c:pt idx="38">
                  <c:v>8.5431344242337151</c:v>
                </c:pt>
                <c:pt idx="39">
                  <c:v>8.117021984467268</c:v>
                </c:pt>
                <c:pt idx="40">
                  <c:v>7.7085454533665647</c:v>
                </c:pt>
                <c:pt idx="41">
                  <c:v>7.3248409125091731</c:v>
                </c:pt>
                <c:pt idx="42">
                  <c:v>6.9618319584373349</c:v>
                </c:pt>
                <c:pt idx="43">
                  <c:v>6.6184923637071371</c:v>
                </c:pt>
                <c:pt idx="44">
                  <c:v>6.2934348208481063</c:v>
                </c:pt>
                <c:pt idx="45">
                  <c:v>5.9878660973174362</c:v>
                </c:pt>
                <c:pt idx="46">
                  <c:v>5.6968641022267352</c:v>
                </c:pt>
                <c:pt idx="47">
                  <c:v>5.4183858827941416</c:v>
                </c:pt>
                <c:pt idx="48">
                  <c:v>5.1577336141465322</c:v>
                </c:pt>
                <c:pt idx="49">
                  <c:v>4.9117335928925518</c:v>
                </c:pt>
                <c:pt idx="50">
                  <c:v>4.6739053827660157</c:v>
                </c:pt>
                <c:pt idx="51">
                  <c:v>4.4522212506691643</c:v>
                </c:pt>
                <c:pt idx="52">
                  <c:v>4.2398111739913675</c:v>
                </c:pt>
                <c:pt idx="53">
                  <c:v>4.0355729084410159</c:v>
                </c:pt>
                <c:pt idx="54">
                  <c:v>3.84655701664202</c:v>
                </c:pt>
                <c:pt idx="55">
                  <c:v>3.6651428096127412</c:v>
                </c:pt>
                <c:pt idx="56">
                  <c:v>3.4917103715916644</c:v>
                </c:pt>
                <c:pt idx="57">
                  <c:v>3.3263452215324487</c:v>
                </c:pt>
                <c:pt idx="58">
                  <c:v>3.1645148548911517</c:v>
                </c:pt>
                <c:pt idx="59">
                  <c:v>3.0158639092193495</c:v>
                </c:pt>
                <c:pt idx="60">
                  <c:v>2.8728667165950244</c:v>
                </c:pt>
                <c:pt idx="61">
                  <c:v>2.7356182980777968</c:v>
                </c:pt>
                <c:pt idx="62">
                  <c:v>2.6025603082898754</c:v>
                </c:pt>
                <c:pt idx="63">
                  <c:v>2.4790519349939104</c:v>
                </c:pt>
                <c:pt idx="64">
                  <c:v>2.3649126381766203</c:v>
                </c:pt>
                <c:pt idx="65">
                  <c:v>2.2549542679826748</c:v>
                </c:pt>
                <c:pt idx="66">
                  <c:v>2.1487967401735868</c:v>
                </c:pt>
                <c:pt idx="67">
                  <c:v>2.0476468222065494</c:v>
                </c:pt>
                <c:pt idx="68">
                  <c:v>1.9464113852858529</c:v>
                </c:pt>
                <c:pt idx="69">
                  <c:v>1.856122374433548</c:v>
                </c:pt>
                <c:pt idx="70">
                  <c:v>1.7697292270257226</c:v>
                </c:pt>
                <c:pt idx="71">
                  <c:v>1.6850084502672344</c:v>
                </c:pt>
                <c:pt idx="72">
                  <c:v>1.6063215107947089</c:v>
                </c:pt>
                <c:pt idx="73">
                  <c:v>1.5299530851769467</c:v>
                </c:pt>
                <c:pt idx="74">
                  <c:v>1.4590578725933803</c:v>
                </c:pt>
                <c:pt idx="75">
                  <c:v>1.3894644485266279</c:v>
                </c:pt>
                <c:pt idx="76">
                  <c:v>1.3244130311097806</c:v>
                </c:pt>
                <c:pt idx="77">
                  <c:v>1.2602928200772239</c:v>
                </c:pt>
                <c:pt idx="78">
                  <c:v>1.2009046578138154</c:v>
                </c:pt>
                <c:pt idx="79">
                  <c:v>1.1422576598154544</c:v>
                </c:pt>
                <c:pt idx="80">
                  <c:v>1.0869554031157684</c:v>
                </c:pt>
                <c:pt idx="81">
                  <c:v>1.0361951530659881</c:v>
                </c:pt>
                <c:pt idx="82">
                  <c:v>0.984228135559015</c:v>
                </c:pt>
                <c:pt idx="83">
                  <c:v>0.93885272895798244</c:v>
                </c:pt>
                <c:pt idx="84">
                  <c:v>0.89412631619416427</c:v>
                </c:pt>
                <c:pt idx="85">
                  <c:v>0.84800784490689185</c:v>
                </c:pt>
                <c:pt idx="86">
                  <c:v>0.8091271277309855</c:v>
                </c:pt>
                <c:pt idx="87">
                  <c:v>0.7689465224594576</c:v>
                </c:pt>
                <c:pt idx="88">
                  <c:v>0.73201468721638729</c:v>
                </c:pt>
                <c:pt idx="89">
                  <c:v>0.69387608451612459</c:v>
                </c:pt>
                <c:pt idx="90">
                  <c:v>0.66037831036777361</c:v>
                </c:pt>
                <c:pt idx="91">
                  <c:v>0.62799323282758979</c:v>
                </c:pt>
                <c:pt idx="92">
                  <c:v>0.59783449871433669</c:v>
                </c:pt>
                <c:pt idx="93">
                  <c:v>0.56340836881348411</c:v>
                </c:pt>
                <c:pt idx="94">
                  <c:v>0.5377973426137137</c:v>
                </c:pt>
                <c:pt idx="95">
                  <c:v>0.51135108129987084</c:v>
                </c:pt>
                <c:pt idx="96">
                  <c:v>0.48323434975788276</c:v>
                </c:pt>
                <c:pt idx="97">
                  <c:v>0.45743708228125435</c:v>
                </c:pt>
                <c:pt idx="98">
                  <c:v>0.43386805865274897</c:v>
                </c:pt>
                <c:pt idx="99">
                  <c:v>0.41150485227083994</c:v>
                </c:pt>
                <c:pt idx="100">
                  <c:v>0.38932693695519266</c:v>
                </c:pt>
                <c:pt idx="101">
                  <c:v>0.36872637122926155</c:v>
                </c:pt>
                <c:pt idx="102">
                  <c:v>0.34988939636990463</c:v>
                </c:pt>
                <c:pt idx="103">
                  <c:v>0.33095930087211867</c:v>
                </c:pt>
                <c:pt idx="104">
                  <c:v>0.31165767303121283</c:v>
                </c:pt>
                <c:pt idx="105">
                  <c:v>0.29374905392435752</c:v>
                </c:pt>
                <c:pt idx="106">
                  <c:v>0.28010783060510164</c:v>
                </c:pt>
                <c:pt idx="107">
                  <c:v>0.26201297022138825</c:v>
                </c:pt>
                <c:pt idx="108">
                  <c:v>0.24883639988368128</c:v>
                </c:pt>
                <c:pt idx="109">
                  <c:v>0.23519612677502164</c:v>
                </c:pt>
                <c:pt idx="110">
                  <c:v>0.21942073045666793</c:v>
                </c:pt>
                <c:pt idx="111">
                  <c:v>0.2072646862992954</c:v>
                </c:pt>
                <c:pt idx="112">
                  <c:v>0.19640758002694811</c:v>
                </c:pt>
                <c:pt idx="113">
                  <c:v>0.18369471246019387</c:v>
                </c:pt>
                <c:pt idx="114">
                  <c:v>0.17163178894125034</c:v>
                </c:pt>
                <c:pt idx="115">
                  <c:v>0.1629088556680009</c:v>
                </c:pt>
                <c:pt idx="116">
                  <c:v>0.151774287901559</c:v>
                </c:pt>
                <c:pt idx="117">
                  <c:v>0.14639229508459989</c:v>
                </c:pt>
                <c:pt idx="118">
                  <c:v>0.1350714860412999</c:v>
                </c:pt>
                <c:pt idx="119">
                  <c:v>0.12681225553900316</c:v>
                </c:pt>
                <c:pt idx="120">
                  <c:v>0.11744032842853921</c:v>
                </c:pt>
                <c:pt idx="121">
                  <c:v>0.11057315644969676</c:v>
                </c:pt>
                <c:pt idx="122">
                  <c:v>0.10379910510928335</c:v>
                </c:pt>
                <c:pt idx="123">
                  <c:v>9.6190768865393572E-2</c:v>
                </c:pt>
                <c:pt idx="124">
                  <c:v>8.9045185181860262E-2</c:v>
                </c:pt>
              </c:numCache>
            </c:numRef>
          </c:yVal>
          <c:smooth val="0"/>
        </c:ser>
        <c:dLbls>
          <c:showLegendKey val="0"/>
          <c:showVal val="0"/>
          <c:showCatName val="0"/>
          <c:showSerName val="0"/>
          <c:showPercent val="0"/>
          <c:showBubbleSize val="0"/>
        </c:dLbls>
        <c:axId val="142804096"/>
        <c:axId val="142806400"/>
      </c:scatterChart>
      <c:scatterChart>
        <c:scatterStyle val="lineMarker"/>
        <c:varyColors val="0"/>
        <c:ser>
          <c:idx val="1"/>
          <c:order val="1"/>
          <c:tx>
            <c:v>Photoconductance (Siemens)</c:v>
          </c:tx>
          <c:spPr>
            <a:ln w="28575">
              <a:solidFill>
                <a:srgbClr val="FF0000"/>
              </a:solidFill>
            </a:ln>
          </c:spPr>
          <c:marker>
            <c:symbol val="none"/>
          </c:marker>
          <c:xVal>
            <c:numRef>
              <c:f>Calc!$A$9:$A$133</c:f>
              <c:numCache>
                <c:formatCode>0.00E+00</c:formatCode>
                <c:ptCount val="125"/>
                <c:pt idx="0">
                  <c:v>4.99E-5</c:v>
                </c:pt>
                <c:pt idx="1">
                  <c:v>1.4990000000000001E-4</c:v>
                </c:pt>
                <c:pt idx="2">
                  <c:v>2.499E-4</c:v>
                </c:pt>
                <c:pt idx="3">
                  <c:v>3.4989999999999999E-4</c:v>
                </c:pt>
                <c:pt idx="4">
                  <c:v>4.4989999999999999E-4</c:v>
                </c:pt>
                <c:pt idx="5">
                  <c:v>5.4989999999999998E-4</c:v>
                </c:pt>
                <c:pt idx="6">
                  <c:v>6.4990000000000002E-4</c:v>
                </c:pt>
                <c:pt idx="7">
                  <c:v>7.4989999999999996E-4</c:v>
                </c:pt>
                <c:pt idx="8">
                  <c:v>8.499E-4</c:v>
                </c:pt>
                <c:pt idx="9">
                  <c:v>9.4990000000000005E-4</c:v>
                </c:pt>
                <c:pt idx="10">
                  <c:v>1.0499000000000001E-3</c:v>
                </c:pt>
                <c:pt idx="11">
                  <c:v>1.1498999999999999E-3</c:v>
                </c:pt>
                <c:pt idx="12">
                  <c:v>1.2499E-3</c:v>
                </c:pt>
                <c:pt idx="13">
                  <c:v>1.3499E-3</c:v>
                </c:pt>
                <c:pt idx="14">
                  <c:v>1.4499000000000001E-3</c:v>
                </c:pt>
                <c:pt idx="15">
                  <c:v>1.5499000000000001E-3</c:v>
                </c:pt>
                <c:pt idx="16">
                  <c:v>1.6498999999999999E-3</c:v>
                </c:pt>
                <c:pt idx="17">
                  <c:v>1.7499E-3</c:v>
                </c:pt>
                <c:pt idx="18">
                  <c:v>1.8499E-3</c:v>
                </c:pt>
                <c:pt idx="19">
                  <c:v>1.9499000000000001E-3</c:v>
                </c:pt>
                <c:pt idx="20">
                  <c:v>2.0498999999999999E-3</c:v>
                </c:pt>
                <c:pt idx="21">
                  <c:v>2.1499000000000002E-3</c:v>
                </c:pt>
                <c:pt idx="22">
                  <c:v>2.2499E-3</c:v>
                </c:pt>
                <c:pt idx="23">
                  <c:v>2.3498999999999998E-3</c:v>
                </c:pt>
                <c:pt idx="24">
                  <c:v>2.4499000000000001E-3</c:v>
                </c:pt>
                <c:pt idx="25">
                  <c:v>2.5498999999999999E-3</c:v>
                </c:pt>
                <c:pt idx="26">
                  <c:v>2.6499000000000002E-3</c:v>
                </c:pt>
                <c:pt idx="27">
                  <c:v>2.7499E-3</c:v>
                </c:pt>
                <c:pt idx="28">
                  <c:v>2.8498999999999998E-3</c:v>
                </c:pt>
                <c:pt idx="29">
                  <c:v>2.9499000000000001E-3</c:v>
                </c:pt>
                <c:pt idx="30">
                  <c:v>3.0498999999999999E-3</c:v>
                </c:pt>
                <c:pt idx="31">
                  <c:v>3.1499000000000002E-3</c:v>
                </c:pt>
                <c:pt idx="32">
                  <c:v>3.2499E-3</c:v>
                </c:pt>
                <c:pt idx="33">
                  <c:v>3.3498999999999998E-3</c:v>
                </c:pt>
                <c:pt idx="34">
                  <c:v>3.4499000000000001E-3</c:v>
                </c:pt>
                <c:pt idx="35">
                  <c:v>3.5498999999999999E-3</c:v>
                </c:pt>
                <c:pt idx="36">
                  <c:v>3.6499000000000002E-3</c:v>
                </c:pt>
                <c:pt idx="37">
                  <c:v>3.7499E-3</c:v>
                </c:pt>
                <c:pt idx="38">
                  <c:v>3.8498999999999999E-3</c:v>
                </c:pt>
                <c:pt idx="39">
                  <c:v>3.9499000000000001E-3</c:v>
                </c:pt>
                <c:pt idx="40">
                  <c:v>4.0499000000000004E-3</c:v>
                </c:pt>
                <c:pt idx="41">
                  <c:v>4.1498999999999998E-3</c:v>
                </c:pt>
                <c:pt idx="42">
                  <c:v>4.2499E-3</c:v>
                </c:pt>
                <c:pt idx="43">
                  <c:v>4.3499000000000003E-3</c:v>
                </c:pt>
                <c:pt idx="44">
                  <c:v>4.4498999999999997E-3</c:v>
                </c:pt>
                <c:pt idx="45">
                  <c:v>4.5499E-3</c:v>
                </c:pt>
                <c:pt idx="46">
                  <c:v>4.6499000000000002E-3</c:v>
                </c:pt>
                <c:pt idx="47">
                  <c:v>4.7498999999999996E-3</c:v>
                </c:pt>
                <c:pt idx="48">
                  <c:v>4.8498999999999999E-3</c:v>
                </c:pt>
                <c:pt idx="49">
                  <c:v>4.9499000000000001E-3</c:v>
                </c:pt>
                <c:pt idx="50">
                  <c:v>5.0499000000000004E-3</c:v>
                </c:pt>
                <c:pt idx="51">
                  <c:v>5.1498999999999998E-3</c:v>
                </c:pt>
                <c:pt idx="52">
                  <c:v>5.2499000000000001E-3</c:v>
                </c:pt>
                <c:pt idx="53">
                  <c:v>5.3499000000000003E-3</c:v>
                </c:pt>
                <c:pt idx="54">
                  <c:v>5.4498999999999997E-3</c:v>
                </c:pt>
                <c:pt idx="55">
                  <c:v>5.5499E-3</c:v>
                </c:pt>
                <c:pt idx="56">
                  <c:v>5.6499000000000002E-3</c:v>
                </c:pt>
                <c:pt idx="57">
                  <c:v>5.7498999999999996E-3</c:v>
                </c:pt>
                <c:pt idx="58">
                  <c:v>5.8498999999999999E-3</c:v>
                </c:pt>
                <c:pt idx="59">
                  <c:v>5.9499000000000002E-3</c:v>
                </c:pt>
                <c:pt idx="60">
                  <c:v>6.0499000000000004E-3</c:v>
                </c:pt>
                <c:pt idx="61">
                  <c:v>6.1498999999999998E-3</c:v>
                </c:pt>
                <c:pt idx="62">
                  <c:v>6.2499000000000001E-3</c:v>
                </c:pt>
                <c:pt idx="63">
                  <c:v>6.3499000000000003E-3</c:v>
                </c:pt>
                <c:pt idx="64">
                  <c:v>6.4498999999999997E-3</c:v>
                </c:pt>
                <c:pt idx="65">
                  <c:v>6.5499E-3</c:v>
                </c:pt>
                <c:pt idx="66">
                  <c:v>6.6499000000000003E-3</c:v>
                </c:pt>
                <c:pt idx="67">
                  <c:v>6.7498999999999997E-3</c:v>
                </c:pt>
                <c:pt idx="68">
                  <c:v>6.8498999999999999E-3</c:v>
                </c:pt>
                <c:pt idx="69">
                  <c:v>6.9499000000000002E-3</c:v>
                </c:pt>
                <c:pt idx="70">
                  <c:v>7.0498999999999996E-3</c:v>
                </c:pt>
                <c:pt idx="71">
                  <c:v>7.1498999999999998E-3</c:v>
                </c:pt>
                <c:pt idx="72">
                  <c:v>7.2499000000000001E-3</c:v>
                </c:pt>
                <c:pt idx="73">
                  <c:v>7.3499000000000004E-3</c:v>
                </c:pt>
                <c:pt idx="74">
                  <c:v>7.4498999999999998E-3</c:v>
                </c:pt>
                <c:pt idx="75">
                  <c:v>7.5499E-3</c:v>
                </c:pt>
                <c:pt idx="76">
                  <c:v>7.6499000000000003E-3</c:v>
                </c:pt>
                <c:pt idx="77">
                  <c:v>7.7498999999999997E-3</c:v>
                </c:pt>
                <c:pt idx="78">
                  <c:v>7.8498999999999999E-3</c:v>
                </c:pt>
                <c:pt idx="79">
                  <c:v>7.9498999999999993E-3</c:v>
                </c:pt>
                <c:pt idx="80">
                  <c:v>8.0499000000000005E-3</c:v>
                </c:pt>
                <c:pt idx="81">
                  <c:v>8.1498999999999999E-3</c:v>
                </c:pt>
                <c:pt idx="82">
                  <c:v>8.2498999999999992E-3</c:v>
                </c:pt>
                <c:pt idx="83">
                  <c:v>8.3499000000000004E-3</c:v>
                </c:pt>
                <c:pt idx="84">
                  <c:v>8.4498999999999998E-3</c:v>
                </c:pt>
                <c:pt idx="85">
                  <c:v>8.5498999999999992E-3</c:v>
                </c:pt>
                <c:pt idx="86">
                  <c:v>8.6499000000000003E-3</c:v>
                </c:pt>
                <c:pt idx="87">
                  <c:v>8.7498999999999997E-3</c:v>
                </c:pt>
                <c:pt idx="88">
                  <c:v>8.8499000000000008E-3</c:v>
                </c:pt>
                <c:pt idx="89">
                  <c:v>8.9499000000000002E-3</c:v>
                </c:pt>
                <c:pt idx="90">
                  <c:v>9.0498999999999996E-3</c:v>
                </c:pt>
                <c:pt idx="91">
                  <c:v>9.1499000000000007E-3</c:v>
                </c:pt>
                <c:pt idx="92">
                  <c:v>9.2499000000000001E-3</c:v>
                </c:pt>
                <c:pt idx="93">
                  <c:v>9.3498999999999995E-3</c:v>
                </c:pt>
                <c:pt idx="94">
                  <c:v>9.4499000000000007E-3</c:v>
                </c:pt>
                <c:pt idx="95">
                  <c:v>9.5499000000000001E-3</c:v>
                </c:pt>
                <c:pt idx="96">
                  <c:v>9.6498999999999995E-3</c:v>
                </c:pt>
                <c:pt idx="97">
                  <c:v>9.7499000000000006E-3</c:v>
                </c:pt>
                <c:pt idx="98">
                  <c:v>9.8499E-3</c:v>
                </c:pt>
                <c:pt idx="99">
                  <c:v>9.9498999999999994E-3</c:v>
                </c:pt>
                <c:pt idx="100">
                  <c:v>1.00499E-2</c:v>
                </c:pt>
                <c:pt idx="101">
                  <c:v>1.01499E-2</c:v>
                </c:pt>
                <c:pt idx="102">
                  <c:v>1.0249899999999999E-2</c:v>
                </c:pt>
                <c:pt idx="103">
                  <c:v>1.03499E-2</c:v>
                </c:pt>
                <c:pt idx="104">
                  <c:v>1.04499E-2</c:v>
                </c:pt>
                <c:pt idx="105">
                  <c:v>1.0549899999999999E-2</c:v>
                </c:pt>
                <c:pt idx="106">
                  <c:v>1.06499E-2</c:v>
                </c:pt>
                <c:pt idx="107">
                  <c:v>1.07499E-2</c:v>
                </c:pt>
                <c:pt idx="108">
                  <c:v>1.0849900000000001E-2</c:v>
                </c:pt>
                <c:pt idx="109">
                  <c:v>1.09499E-2</c:v>
                </c:pt>
                <c:pt idx="110">
                  <c:v>1.10499E-2</c:v>
                </c:pt>
                <c:pt idx="111">
                  <c:v>1.1149900000000001E-2</c:v>
                </c:pt>
                <c:pt idx="112">
                  <c:v>1.12499E-2</c:v>
                </c:pt>
                <c:pt idx="113">
                  <c:v>1.13499E-2</c:v>
                </c:pt>
                <c:pt idx="114">
                  <c:v>1.1449900000000001E-2</c:v>
                </c:pt>
                <c:pt idx="115">
                  <c:v>1.15499E-2</c:v>
                </c:pt>
                <c:pt idx="116">
                  <c:v>1.1649899999999999E-2</c:v>
                </c:pt>
                <c:pt idx="117">
                  <c:v>1.1749900000000001E-2</c:v>
                </c:pt>
                <c:pt idx="118">
                  <c:v>1.18499E-2</c:v>
                </c:pt>
                <c:pt idx="119">
                  <c:v>1.1949899999999999E-2</c:v>
                </c:pt>
                <c:pt idx="120">
                  <c:v>1.2049900000000001E-2</c:v>
                </c:pt>
                <c:pt idx="121">
                  <c:v>1.21499E-2</c:v>
                </c:pt>
                <c:pt idx="122">
                  <c:v>1.2249899999999999E-2</c:v>
                </c:pt>
                <c:pt idx="123">
                  <c:v>1.23499E-2</c:v>
                </c:pt>
                <c:pt idx="124">
                  <c:v>1.24499E-2</c:v>
                </c:pt>
              </c:numCache>
            </c:numRef>
          </c:xVal>
          <c:yVal>
            <c:numRef>
              <c:f>Calc!$H$9:$H$133</c:f>
              <c:numCache>
                <c:formatCode>0.000E+00</c:formatCode>
                <c:ptCount val="125"/>
                <c:pt idx="0">
                  <c:v>3.1025818226236929E-2</c:v>
                </c:pt>
                <c:pt idx="1">
                  <c:v>8.8818102192099208E-2</c:v>
                </c:pt>
                <c:pt idx="2">
                  <c:v>0.11403568158645562</c:v>
                </c:pt>
                <c:pt idx="3">
                  <c:v>0.12268770781405848</c:v>
                </c:pt>
                <c:pt idx="4">
                  <c:v>0.12147040563194759</c:v>
                </c:pt>
                <c:pt idx="5">
                  <c:v>0.11799559392195615</c:v>
                </c:pt>
                <c:pt idx="6">
                  <c:v>0.11386692972959818</c:v>
                </c:pt>
                <c:pt idx="7">
                  <c:v>0.10956779978170424</c:v>
                </c:pt>
                <c:pt idx="8">
                  <c:v>0.10510342629875299</c:v>
                </c:pt>
                <c:pt idx="9">
                  <c:v>0.10062767668595755</c:v>
                </c:pt>
                <c:pt idx="10">
                  <c:v>9.6211803775203442E-2</c:v>
                </c:pt>
                <c:pt idx="11">
                  <c:v>9.18783500455395E-2</c:v>
                </c:pt>
                <c:pt idx="12">
                  <c:v>8.7626914348012161E-2</c:v>
                </c:pt>
                <c:pt idx="13">
                  <c:v>8.3494447977818992E-2</c:v>
                </c:pt>
                <c:pt idx="14">
                  <c:v>7.9507766782998146E-2</c:v>
                </c:pt>
                <c:pt idx="15">
                  <c:v>7.5618192875263057E-2</c:v>
                </c:pt>
                <c:pt idx="16">
                  <c:v>7.1874285685010614E-2</c:v>
                </c:pt>
                <c:pt idx="17">
                  <c:v>6.82550477105065E-2</c:v>
                </c:pt>
                <c:pt idx="18">
                  <c:v>6.4762891738471634E-2</c:v>
                </c:pt>
                <c:pt idx="19">
                  <c:v>6.1417591838117874E-2</c:v>
                </c:pt>
                <c:pt idx="20">
                  <c:v>5.8199355182782062E-2</c:v>
                </c:pt>
                <c:pt idx="21">
                  <c:v>5.5131980422541263E-2</c:v>
                </c:pt>
                <c:pt idx="22">
                  <c:v>5.2193624795037641E-2</c:v>
                </c:pt>
                <c:pt idx="23">
                  <c:v>4.9386452480256166E-2</c:v>
                </c:pt>
                <c:pt idx="24">
                  <c:v>4.6711701685741076E-2</c:v>
                </c:pt>
                <c:pt idx="25">
                  <c:v>4.4162236786656761E-2</c:v>
                </c:pt>
                <c:pt idx="26">
                  <c:v>4.1761423696692772E-2</c:v>
                </c:pt>
                <c:pt idx="27">
                  <c:v>3.9462806445781998E-2</c:v>
                </c:pt>
                <c:pt idx="28">
                  <c:v>3.728306870148624E-2</c:v>
                </c:pt>
                <c:pt idx="29">
                  <c:v>3.5210725602814415E-2</c:v>
                </c:pt>
                <c:pt idx="30">
                  <c:v>3.3250412905419954E-2</c:v>
                </c:pt>
                <c:pt idx="31">
                  <c:v>3.1394161908834754E-2</c:v>
                </c:pt>
                <c:pt idx="32">
                  <c:v>2.9624391844931257E-2</c:v>
                </c:pt>
                <c:pt idx="33">
                  <c:v>2.7943687735539798E-2</c:v>
                </c:pt>
                <c:pt idx="34">
                  <c:v>2.6346868709235333E-2</c:v>
                </c:pt>
                <c:pt idx="35">
                  <c:v>2.4849689199764637E-2</c:v>
                </c:pt>
                <c:pt idx="36">
                  <c:v>2.3420872496305568E-2</c:v>
                </c:pt>
                <c:pt idx="37">
                  <c:v>2.206645226814866E-2</c:v>
                </c:pt>
                <c:pt idx="38">
                  <c:v>2.0802299439976978E-2</c:v>
                </c:pt>
                <c:pt idx="39">
                  <c:v>1.9592178354590782E-2</c:v>
                </c:pt>
                <c:pt idx="40">
                  <c:v>1.8436543304891001E-2</c:v>
                </c:pt>
                <c:pt idx="41">
                  <c:v>1.7349527164821174E-2</c:v>
                </c:pt>
                <c:pt idx="42">
                  <c:v>1.6348818608577315E-2</c:v>
                </c:pt>
                <c:pt idx="43">
                  <c:v>1.5378217706441936E-2</c:v>
                </c:pt>
                <c:pt idx="44">
                  <c:v>1.4474647791489451E-2</c:v>
                </c:pt>
                <c:pt idx="45">
                  <c:v>1.3618601267205904E-2</c:v>
                </c:pt>
                <c:pt idx="46">
                  <c:v>1.2816934251698851E-2</c:v>
                </c:pt>
                <c:pt idx="47">
                  <c:v>1.2045059109817683E-2</c:v>
                </c:pt>
                <c:pt idx="48">
                  <c:v>1.1333382594621567E-2</c:v>
                </c:pt>
                <c:pt idx="49">
                  <c:v>1.0667321856904288E-2</c:v>
                </c:pt>
                <c:pt idx="50">
                  <c:v>1.0037005151169544E-2</c:v>
                </c:pt>
                <c:pt idx="51">
                  <c:v>9.4221797776600433E-3</c:v>
                </c:pt>
                <c:pt idx="52">
                  <c:v>8.8536982352281322E-3</c:v>
                </c:pt>
                <c:pt idx="53">
                  <c:v>8.315735961295586E-3</c:v>
                </c:pt>
                <c:pt idx="54">
                  <c:v>7.818848402688601E-3</c:v>
                </c:pt>
                <c:pt idx="55">
                  <c:v>7.3453816435258166E-3</c:v>
                </c:pt>
                <c:pt idx="56">
                  <c:v>6.9036162566629517E-3</c:v>
                </c:pt>
                <c:pt idx="57">
                  <c:v>6.4904512935861783E-3</c:v>
                </c:pt>
                <c:pt idx="58">
                  <c:v>6.0872901219729105E-3</c:v>
                </c:pt>
                <c:pt idx="59">
                  <c:v>5.7145641999965082E-3</c:v>
                </c:pt>
                <c:pt idx="60">
                  <c:v>5.368614289399074E-3</c:v>
                </c:pt>
                <c:pt idx="61">
                  <c:v>5.0249693075748439E-3</c:v>
                </c:pt>
                <c:pt idx="62">
                  <c:v>4.7452260391808955E-3</c:v>
                </c:pt>
                <c:pt idx="63">
                  <c:v>4.4576264411289998E-3</c:v>
                </c:pt>
                <c:pt idx="64">
                  <c:v>4.1809433712296324E-3</c:v>
                </c:pt>
                <c:pt idx="65">
                  <c:v>3.931356050390601E-3</c:v>
                </c:pt>
                <c:pt idx="66">
                  <c:v>3.6928094586616703E-3</c:v>
                </c:pt>
                <c:pt idx="67">
                  <c:v>3.4640695398172579E-3</c:v>
                </c:pt>
                <c:pt idx="68">
                  <c:v>3.2416908792768035E-3</c:v>
                </c:pt>
                <c:pt idx="69">
                  <c:v>3.0464771153759984E-3</c:v>
                </c:pt>
                <c:pt idx="70">
                  <c:v>2.8613983300460411E-3</c:v>
                </c:pt>
                <c:pt idx="71">
                  <c:v>2.6817479150576676E-3</c:v>
                </c:pt>
                <c:pt idx="72">
                  <c:v>2.5135080843931472E-3</c:v>
                </c:pt>
                <c:pt idx="73">
                  <c:v>2.3630935307852536E-3</c:v>
                </c:pt>
                <c:pt idx="74">
                  <c:v>2.210222099309051E-3</c:v>
                </c:pt>
                <c:pt idx="75">
                  <c:v>2.0862499494581207E-3</c:v>
                </c:pt>
                <c:pt idx="76">
                  <c:v>1.9579179548239968E-3</c:v>
                </c:pt>
                <c:pt idx="77">
                  <c:v>1.8316447968858398E-3</c:v>
                </c:pt>
                <c:pt idx="78">
                  <c:v>1.7201129689923796E-3</c:v>
                </c:pt>
                <c:pt idx="79">
                  <c:v>1.6090293853767606E-3</c:v>
                </c:pt>
                <c:pt idx="80">
                  <c:v>1.5001431494658874E-3</c:v>
                </c:pt>
                <c:pt idx="81">
                  <c:v>1.4144425345612799E-3</c:v>
                </c:pt>
                <c:pt idx="82">
                  <c:v>1.3179660819283142E-3</c:v>
                </c:pt>
                <c:pt idx="83">
                  <c:v>1.2400043362416268E-3</c:v>
                </c:pt>
                <c:pt idx="84">
                  <c:v>1.1687508710390626E-3</c:v>
                </c:pt>
                <c:pt idx="85">
                  <c:v>1.0919644147072338E-3</c:v>
                </c:pt>
                <c:pt idx="86">
                  <c:v>1.0224698735255876E-3</c:v>
                </c:pt>
                <c:pt idx="87">
                  <c:v>9.6405175500706691E-4</c:v>
                </c:pt>
                <c:pt idx="88">
                  <c:v>9.052014757064469E-4</c:v>
                </c:pt>
                <c:pt idx="89">
                  <c:v>8.463516651364281E-4</c:v>
                </c:pt>
                <c:pt idx="90">
                  <c:v>7.9901358951171061E-4</c:v>
                </c:pt>
                <c:pt idx="91">
                  <c:v>7.5983287188148303E-4</c:v>
                </c:pt>
                <c:pt idx="92">
                  <c:v>7.0463644490726968E-4</c:v>
                </c:pt>
                <c:pt idx="93">
                  <c:v>6.6880886355101098E-4</c:v>
                </c:pt>
                <c:pt idx="94">
                  <c:v>6.1346832462975346E-4</c:v>
                </c:pt>
                <c:pt idx="95">
                  <c:v>5.7225793653623274E-4</c:v>
                </c:pt>
                <c:pt idx="96">
                  <c:v>5.2900942904342361E-4</c:v>
                </c:pt>
                <c:pt idx="97">
                  <c:v>5.0498229254527464E-4</c:v>
                </c:pt>
                <c:pt idx="98">
                  <c:v>4.6799886456744526E-4</c:v>
                </c:pt>
                <c:pt idx="99">
                  <c:v>4.2708369781238164E-4</c:v>
                </c:pt>
                <c:pt idx="100">
                  <c:v>4.0902859635249828E-4</c:v>
                </c:pt>
                <c:pt idx="101">
                  <c:v>3.7190260462335433E-4</c:v>
                </c:pt>
                <c:pt idx="102">
                  <c:v>3.5719988743556069E-4</c:v>
                </c:pt>
                <c:pt idx="103">
                  <c:v>3.5195812721999526E-4</c:v>
                </c:pt>
                <c:pt idx="104">
                  <c:v>3.2415161428889314E-4</c:v>
                </c:pt>
                <c:pt idx="105">
                  <c:v>3.0100296773911527E-4</c:v>
                </c:pt>
                <c:pt idx="106">
                  <c:v>2.8513464689982389E-4</c:v>
                </c:pt>
                <c:pt idx="107">
                  <c:v>2.7363405037553797E-4</c:v>
                </c:pt>
                <c:pt idx="108">
                  <c:v>2.3039842653408815E-4</c:v>
                </c:pt>
                <c:pt idx="109">
                  <c:v>2.2253768576653305E-4</c:v>
                </c:pt>
                <c:pt idx="110">
                  <c:v>2.1176552719606289E-4</c:v>
                </c:pt>
                <c:pt idx="111">
                  <c:v>2.0783507313650289E-4</c:v>
                </c:pt>
                <c:pt idx="112">
                  <c:v>1.9298749277397217E-4</c:v>
                </c:pt>
                <c:pt idx="113">
                  <c:v>1.6896930540100195E-4</c:v>
                </c:pt>
                <c:pt idx="114">
                  <c:v>1.6562152578551096E-4</c:v>
                </c:pt>
                <c:pt idx="115">
                  <c:v>1.4815422739780735E-4</c:v>
                </c:pt>
                <c:pt idx="116">
                  <c:v>1.3883849920473621E-4</c:v>
                </c:pt>
                <c:pt idx="117">
                  <c:v>1.3432614066410508E-4</c:v>
                </c:pt>
                <c:pt idx="118">
                  <c:v>1.3650972974321111E-4</c:v>
                </c:pt>
                <c:pt idx="119">
                  <c:v>1.3272504376461627E-4</c:v>
                </c:pt>
                <c:pt idx="120">
                  <c:v>1.3185190896159663E-4</c:v>
                </c:pt>
                <c:pt idx="121">
                  <c:v>1.2675739570245249E-4</c:v>
                </c:pt>
                <c:pt idx="122">
                  <c:v>1.0201315590189098E-4</c:v>
                </c:pt>
                <c:pt idx="123">
                  <c:v>1.0084881329962183E-4</c:v>
                </c:pt>
                <c:pt idx="124">
                  <c:v>8.2363788913790426E-5</c:v>
                </c:pt>
              </c:numCache>
            </c:numRef>
          </c:yVal>
          <c:smooth val="0"/>
        </c:ser>
        <c:ser>
          <c:idx val="2"/>
          <c:order val="2"/>
          <c:tx>
            <c:v>First Point Analyzed</c:v>
          </c:tx>
          <c:spPr>
            <a:ln>
              <a:noFill/>
            </a:ln>
          </c:spPr>
          <c:marker>
            <c:symbol val="diamond"/>
            <c:size val="5"/>
            <c:spPr>
              <a:solidFill>
                <a:srgbClr val="00B050"/>
              </a:solidFill>
            </c:spPr>
          </c:marker>
          <c:xVal>
            <c:numRef>
              <c:f>[0]!TimeofMaxCD</c:f>
              <c:numCache>
                <c:formatCode>0.00E+00</c:formatCode>
                <c:ptCount val="1"/>
                <c:pt idx="0">
                  <c:v>3.4989999999999999E-4</c:v>
                </c:pt>
              </c:numCache>
            </c:numRef>
          </c:xVal>
          <c:yVal>
            <c:numRef>
              <c:f>[0]!FirstPoint</c:f>
              <c:numCache>
                <c:formatCode>0.00E+00</c:formatCode>
                <c:ptCount val="1"/>
                <c:pt idx="0">
                  <c:v>0.12268770781405848</c:v>
                </c:pt>
              </c:numCache>
            </c:numRef>
          </c:yVal>
          <c:smooth val="0"/>
        </c:ser>
        <c:dLbls>
          <c:showLegendKey val="0"/>
          <c:showVal val="0"/>
          <c:showCatName val="0"/>
          <c:showSerName val="0"/>
          <c:showPercent val="0"/>
          <c:showBubbleSize val="0"/>
        </c:dLbls>
        <c:axId val="142818688"/>
        <c:axId val="142816768"/>
      </c:scatterChart>
      <c:valAx>
        <c:axId val="142804096"/>
        <c:scaling>
          <c:orientation val="minMax"/>
        </c:scaling>
        <c:delete val="0"/>
        <c:axPos val="b"/>
        <c:majorGridlines/>
        <c:title>
          <c:tx>
            <c:rich>
              <a:bodyPr/>
              <a:lstStyle/>
              <a:p>
                <a:pPr>
                  <a:defRPr sz="1200"/>
                </a:pPr>
                <a:r>
                  <a:rPr lang="en-US" sz="1200"/>
                  <a:t>Time (seconds)</a:t>
                </a:r>
              </a:p>
            </c:rich>
          </c:tx>
          <c:layout/>
          <c:overlay val="0"/>
        </c:title>
        <c:numFmt formatCode="0.0E+00" sourceLinked="0"/>
        <c:majorTickMark val="out"/>
        <c:minorTickMark val="none"/>
        <c:tickLblPos val="nextTo"/>
        <c:txPr>
          <a:bodyPr/>
          <a:lstStyle/>
          <a:p>
            <a:pPr>
              <a:defRPr b="1"/>
            </a:pPr>
            <a:endParaRPr lang="en-US"/>
          </a:p>
        </c:txPr>
        <c:crossAx val="142806400"/>
        <c:crosses val="autoZero"/>
        <c:crossBetween val="midCat"/>
      </c:valAx>
      <c:valAx>
        <c:axId val="142806400"/>
        <c:scaling>
          <c:orientation val="minMax"/>
          <c:min val="0"/>
        </c:scaling>
        <c:delete val="0"/>
        <c:axPos val="l"/>
        <c:majorGridlines/>
        <c:title>
          <c:tx>
            <c:rich>
              <a:bodyPr rot="-5400000" vert="horz"/>
              <a:lstStyle/>
              <a:p>
                <a:pPr>
                  <a:defRPr sz="1200">
                    <a:solidFill>
                      <a:srgbClr val="2004EC"/>
                    </a:solidFill>
                  </a:defRPr>
                </a:pPr>
                <a:r>
                  <a:rPr lang="en-US" sz="1200">
                    <a:solidFill>
                      <a:srgbClr val="2004EC"/>
                    </a:solidFill>
                  </a:rPr>
                  <a:t>Illumination (suns)</a:t>
                </a:r>
              </a:p>
            </c:rich>
          </c:tx>
          <c:layout/>
          <c:overlay val="0"/>
        </c:title>
        <c:numFmt formatCode="0" sourceLinked="0"/>
        <c:majorTickMark val="out"/>
        <c:minorTickMark val="none"/>
        <c:tickLblPos val="nextTo"/>
        <c:spPr>
          <a:ln>
            <a:solidFill>
              <a:srgbClr val="2004EC"/>
            </a:solidFill>
          </a:ln>
        </c:spPr>
        <c:txPr>
          <a:bodyPr/>
          <a:lstStyle/>
          <a:p>
            <a:pPr>
              <a:defRPr b="1">
                <a:solidFill>
                  <a:srgbClr val="2004EC"/>
                </a:solidFill>
              </a:defRPr>
            </a:pPr>
            <a:endParaRPr lang="en-US"/>
          </a:p>
        </c:txPr>
        <c:crossAx val="142804096"/>
        <c:crosses val="autoZero"/>
        <c:crossBetween val="midCat"/>
      </c:valAx>
      <c:valAx>
        <c:axId val="142816768"/>
        <c:scaling>
          <c:orientation val="minMax"/>
          <c:min val="0"/>
        </c:scaling>
        <c:delete val="0"/>
        <c:axPos val="r"/>
        <c:title>
          <c:tx>
            <c:rich>
              <a:bodyPr rot="-5400000" vert="horz"/>
              <a:lstStyle/>
              <a:p>
                <a:pPr>
                  <a:defRPr sz="1200">
                    <a:solidFill>
                      <a:srgbClr val="FF0000"/>
                    </a:solidFill>
                  </a:defRPr>
                </a:pPr>
                <a:r>
                  <a:rPr lang="en-US" sz="1200">
                    <a:solidFill>
                      <a:srgbClr val="FF0000"/>
                    </a:solidFill>
                  </a:rPr>
                  <a:t>Photoconductance (Siemens)</a:t>
                </a:r>
              </a:p>
            </c:rich>
          </c:tx>
          <c:layout>
            <c:manualLayout>
              <c:xMode val="edge"/>
              <c:yMode val="edge"/>
              <c:x val="0.95624670254514565"/>
              <c:y val="0.22911838954691294"/>
            </c:manualLayout>
          </c:layout>
          <c:overlay val="0"/>
        </c:title>
        <c:numFmt formatCode="General" sourceLinked="0"/>
        <c:majorTickMark val="out"/>
        <c:minorTickMark val="none"/>
        <c:tickLblPos val="nextTo"/>
        <c:spPr>
          <a:ln>
            <a:solidFill>
              <a:srgbClr val="FF0000"/>
            </a:solidFill>
          </a:ln>
        </c:spPr>
        <c:txPr>
          <a:bodyPr/>
          <a:lstStyle/>
          <a:p>
            <a:pPr>
              <a:defRPr b="1">
                <a:solidFill>
                  <a:srgbClr val="FF0000"/>
                </a:solidFill>
              </a:defRPr>
            </a:pPr>
            <a:endParaRPr lang="en-US"/>
          </a:p>
        </c:txPr>
        <c:crossAx val="142818688"/>
        <c:crosses val="max"/>
        <c:crossBetween val="midCat"/>
      </c:valAx>
      <c:valAx>
        <c:axId val="142818688"/>
        <c:scaling>
          <c:orientation val="minMax"/>
        </c:scaling>
        <c:delete val="1"/>
        <c:axPos val="b"/>
        <c:numFmt formatCode="0.00E+00" sourceLinked="1"/>
        <c:majorTickMark val="out"/>
        <c:minorTickMark val="none"/>
        <c:tickLblPos val="none"/>
        <c:crossAx val="142816768"/>
        <c:crosses val="autoZero"/>
        <c:crossBetween val="midCat"/>
      </c:valAx>
      <c:spPr>
        <a:ln>
          <a:solidFill>
            <a:sysClr val="windowText" lastClr="000000"/>
          </a:solidFill>
        </a:ln>
      </c:spPr>
    </c:plotArea>
    <c:legend>
      <c:legendPos val="r"/>
      <c:layout>
        <c:manualLayout>
          <c:xMode val="edge"/>
          <c:yMode val="edge"/>
          <c:x val="0.43917475730124861"/>
          <c:y val="0.12421172623002825"/>
          <c:w val="0.41499146159421246"/>
          <c:h val="0.16559176041105386"/>
        </c:manualLayout>
      </c:layout>
      <c:overlay val="0"/>
      <c:spPr>
        <a:solidFill>
          <a:schemeClr val="bg1"/>
        </a:solidFill>
        <a:ln>
          <a:solidFill>
            <a:schemeClr val="tx1"/>
          </a:solidFill>
        </a:ln>
      </c:spPr>
    </c:legend>
    <c:plotVisOnly val="1"/>
    <c:dispBlanksAs val="gap"/>
    <c:showDLblsOverMax val="0"/>
  </c:chart>
  <c:txPr>
    <a:bodyPr/>
    <a:lstStyle/>
    <a:p>
      <a:pPr>
        <a:defRPr>
          <a:latin typeface="+mn-lt"/>
        </a:defRPr>
      </a:pPr>
      <a:endParaRPr lang="en-US"/>
    </a:p>
  </c:txPr>
  <c:printSettings>
    <c:headerFooter/>
    <c:pageMargins b="0.75000000000000988" l="0.70000000000000062" r="0.70000000000000062" t="0.75000000000000988"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Inverse Lifetime (Corrected) vs. Carrier Density</a:t>
            </a:r>
          </a:p>
        </c:rich>
      </c:tx>
      <c:layout/>
      <c:overlay val="0"/>
    </c:title>
    <c:autoTitleDeleted val="0"/>
    <c:plotArea>
      <c:layout>
        <c:manualLayout>
          <c:layoutTarget val="inner"/>
          <c:xMode val="edge"/>
          <c:yMode val="edge"/>
          <c:x val="0.14785189444738289"/>
          <c:y val="0.11206623436776286"/>
          <c:w val="0.75886272733429383"/>
          <c:h val="0.74692073241282175"/>
        </c:manualLayout>
      </c:layout>
      <c:scatterChart>
        <c:scatterStyle val="lineMarker"/>
        <c:varyColors val="0"/>
        <c:ser>
          <c:idx val="0"/>
          <c:order val="0"/>
          <c:tx>
            <c:v>Minority Carrier Density</c:v>
          </c:tx>
          <c:spPr>
            <a:ln w="28575">
              <a:noFill/>
            </a:ln>
          </c:spPr>
          <c:marker>
            <c:symbol val="square"/>
            <c:size val="5"/>
            <c:spPr>
              <a:solidFill>
                <a:srgbClr val="FF0000"/>
              </a:solidFill>
              <a:ln>
                <a:noFill/>
              </a:ln>
            </c:spPr>
          </c:marker>
          <c:xVal>
            <c:numRef>
              <c:f>Calc!$O$15:$O$130</c:f>
              <c:numCache>
                <c:formatCode>0.00E+00</c:formatCode>
                <c:ptCount val="116"/>
                <c:pt idx="0">
                  <c:v>3.3094189745940248E+16</c:v>
                </c:pt>
                <c:pt idx="1">
                  <c:v>3.1509624705700252E+16</c:v>
                </c:pt>
                <c:pt idx="2">
                  <c:v>2.9891736272606904E+16</c:v>
                </c:pt>
                <c:pt idx="3">
                  <c:v>2.82978795561635E+16</c:v>
                </c:pt>
                <c:pt idx="4">
                  <c:v>2.6752924575107012E+16</c:v>
                </c:pt>
                <c:pt idx="5">
                  <c:v>2.5263397175589036E+16</c:v>
                </c:pt>
                <c:pt idx="6">
                  <c:v>2.3827630108026112E+16</c:v>
                </c:pt>
                <c:pt idx="7">
                  <c:v>2.2456291055661492E+16</c:v>
                </c:pt>
                <c:pt idx="8">
                  <c:v>2.1155974638805236E+16</c:v>
                </c:pt>
                <c:pt idx="9">
                  <c:v>1.9908759707753328E+16</c:v>
                </c:pt>
                <c:pt idx="10">
                  <c:v>1.8728247707966444E+16</c:v>
                </c:pt>
                <c:pt idx="11">
                  <c:v>1.7605699975024138E+16</c:v>
                </c:pt>
                <c:pt idx="12">
                  <c:v>1.6539968009497458E+16</c:v>
                </c:pt>
                <c:pt idx="13">
                  <c:v>1.5535100296297956E+16</c:v>
                </c:pt>
                <c:pt idx="14">
                  <c:v>1.4583243862017522E+16</c:v>
                </c:pt>
                <c:pt idx="15">
                  <c:v>1.368958434920649E+16</c:v>
                </c:pt>
                <c:pt idx="16">
                  <c:v>1.2845970111505322E+16</c:v>
                </c:pt>
                <c:pt idx="17">
                  <c:v>1.2051435426874354E+16</c:v>
                </c:pt>
                <c:pt idx="18">
                  <c:v>1.1304792156430936E+16</c:v>
                </c:pt>
                <c:pt idx="19">
                  <c:v>1.060261174799888E+16</c:v>
                </c:pt>
                <c:pt idx="20">
                  <c:v>9949873671104586</c:v>
                </c:pt>
                <c:pt idx="21">
                  <c:v>9332678772147270</c:v>
                </c:pt>
                <c:pt idx="22">
                  <c:v>8754445669875415</c:v>
                </c:pt>
                <c:pt idx="23">
                  <c:v>8211088727205681</c:v>
                </c:pt>
                <c:pt idx="24">
                  <c:v>7702864378172585</c:v>
                </c:pt>
                <c:pt idx="25">
                  <c:v>7226807255739606</c:v>
                </c:pt>
                <c:pt idx="26">
                  <c:v>6777655477861600</c:v>
                </c:pt>
                <c:pt idx="27">
                  <c:v>6355404294101230</c:v>
                </c:pt>
                <c:pt idx="28">
                  <c:v>5958129488975963</c:v>
                </c:pt>
                <c:pt idx="29">
                  <c:v>5589119782351897</c:v>
                </c:pt>
                <c:pt idx="30">
                  <c:v>5240117478900220</c:v>
                </c:pt>
                <c:pt idx="31">
                  <c:v>4912154763705846</c:v>
                </c:pt>
                <c:pt idx="32">
                  <c:v>4608586025899594</c:v>
                </c:pt>
                <c:pt idx="33">
                  <c:v>4320303762359763.5</c:v>
                </c:pt>
                <c:pt idx="34">
                  <c:v>4047128628949139</c:v>
                </c:pt>
                <c:pt idx="35">
                  <c:v>3792086185908158</c:v>
                </c:pt>
                <c:pt idx="36">
                  <c:v>3558946252789221</c:v>
                </c:pt>
                <c:pt idx="37">
                  <c:v>3334347137827984.5</c:v>
                </c:pt>
                <c:pt idx="38">
                  <c:v>3126622200397877.5</c:v>
                </c:pt>
                <c:pt idx="39">
                  <c:v>2931046234871819.5</c:v>
                </c:pt>
                <c:pt idx="40">
                  <c:v>2748983842134609.5</c:v>
                </c:pt>
                <c:pt idx="41">
                  <c:v>2574693173309647</c:v>
                </c:pt>
                <c:pt idx="42">
                  <c:v>2414878703535606</c:v>
                </c:pt>
                <c:pt idx="43">
                  <c:v>2266083458860126</c:v>
                </c:pt>
                <c:pt idx="44">
                  <c:v>2125971438414307.2</c:v>
                </c:pt>
                <c:pt idx="45">
                  <c:v>1989964370513321.7</c:v>
                </c:pt>
                <c:pt idx="46">
                  <c:v>1864797110184122.7</c:v>
                </c:pt>
                <c:pt idx="47">
                  <c:v>1746876132224575.2</c:v>
                </c:pt>
                <c:pt idx="48">
                  <c:v>1638419307940451.7</c:v>
                </c:pt>
                <c:pt idx="49">
                  <c:v>1535491452734925.7</c:v>
                </c:pt>
                <c:pt idx="50">
                  <c:v>1439826951286905</c:v>
                </c:pt>
                <c:pt idx="51">
                  <c:v>1350685112988696.7</c:v>
                </c:pt>
                <c:pt idx="52">
                  <c:v>1264012780965972.5</c:v>
                </c:pt>
                <c:pt idx="53">
                  <c:v>1184160970027498.7</c:v>
                </c:pt>
                <c:pt idx="54">
                  <c:v>1110287849279556</c:v>
                </c:pt>
                <c:pt idx="55">
                  <c:v>1037141572389604.9</c:v>
                </c:pt>
                <c:pt idx="56">
                  <c:v>977772529288657.12</c:v>
                </c:pt>
                <c:pt idx="57">
                  <c:v>916903108915604.37</c:v>
                </c:pt>
                <c:pt idx="58">
                  <c:v>858506603042324.75</c:v>
                </c:pt>
                <c:pt idx="59">
                  <c:v>805968056995728.62</c:v>
                </c:pt>
                <c:pt idx="60">
                  <c:v>755879257963518.75</c:v>
                </c:pt>
                <c:pt idx="61">
                  <c:v>707967165894605.37</c:v>
                </c:pt>
                <c:pt idx="62">
                  <c:v>661500068404725.5</c:v>
                </c:pt>
                <c:pt idx="63">
                  <c:v>620802574185446.37</c:v>
                </c:pt>
                <c:pt idx="64">
                  <c:v>582300309816828.12</c:v>
                </c:pt>
                <c:pt idx="65">
                  <c:v>545005614705632.69</c:v>
                </c:pt>
                <c:pt idx="66">
                  <c:v>510151221833608</c:v>
                </c:pt>
                <c:pt idx="67">
                  <c:v>479049614787834.69</c:v>
                </c:pt>
                <c:pt idx="68">
                  <c:v>447499320366370.12</c:v>
                </c:pt>
                <c:pt idx="69">
                  <c:v>421958337673397.69</c:v>
                </c:pt>
                <c:pt idx="70">
                  <c:v>395562562247333.37</c:v>
                </c:pt>
                <c:pt idx="71">
                  <c:v>369634442045838.12</c:v>
                </c:pt>
                <c:pt idx="72">
                  <c:v>346770608412038.75</c:v>
                </c:pt>
                <c:pt idx="73">
                  <c:v>324034467606479.87</c:v>
                </c:pt>
                <c:pt idx="74">
                  <c:v>301783714180183.19</c:v>
                </c:pt>
                <c:pt idx="75">
                  <c:v>284296418020692.37</c:v>
                </c:pt>
                <c:pt idx="76">
                  <c:v>264637960521095.53</c:v>
                </c:pt>
                <c:pt idx="77">
                  <c:v>248774139642154.78</c:v>
                </c:pt>
                <c:pt idx="78">
                  <c:v>234293024261246.03</c:v>
                </c:pt>
                <c:pt idx="79">
                  <c:v>218706869289315.84</c:v>
                </c:pt>
                <c:pt idx="80">
                  <c:v>204618740201941.09</c:v>
                </c:pt>
                <c:pt idx="81">
                  <c:v>192789613599166.78</c:v>
                </c:pt>
                <c:pt idx="82">
                  <c:v>180885870525468.53</c:v>
                </c:pt>
                <c:pt idx="83">
                  <c:v>168995550058679.34</c:v>
                </c:pt>
                <c:pt idx="84">
                  <c:v>159441084468022.37</c:v>
                </c:pt>
                <c:pt idx="85">
                  <c:v>151539967661566.34</c:v>
                </c:pt>
                <c:pt idx="86">
                  <c:v>140420087935484.69</c:v>
                </c:pt>
                <c:pt idx="87">
                  <c:v>133209306812886.22</c:v>
                </c:pt>
                <c:pt idx="88">
                  <c:v>122082574445884.41</c:v>
                </c:pt>
                <c:pt idx="89">
                  <c:v>113806058023587.89</c:v>
                </c:pt>
                <c:pt idx="90">
                  <c:v>105129014300299.64</c:v>
                </c:pt>
                <c:pt idx="91">
                  <c:v>100312421108554.37</c:v>
                </c:pt>
                <c:pt idx="92">
                  <c:v>92904360815706.812</c:v>
                </c:pt>
                <c:pt idx="93">
                  <c:v>84717255660120.922</c:v>
                </c:pt>
                <c:pt idx="94">
                  <c:v>81107387371609.891</c:v>
                </c:pt>
                <c:pt idx="95">
                  <c:v>73690460933525.922</c:v>
                </c:pt>
                <c:pt idx="96">
                  <c:v>70755458155712.453</c:v>
                </c:pt>
                <c:pt idx="97">
                  <c:v>69709400525523.984</c:v>
                </c:pt>
                <c:pt idx="98">
                  <c:v>64163141544923.742</c:v>
                </c:pt>
                <c:pt idx="99">
                  <c:v>59549733263458.203</c:v>
                </c:pt>
                <c:pt idx="100">
                  <c:v>56389325825649.625</c:v>
                </c:pt>
                <c:pt idx="101">
                  <c:v>54099898148273.883</c:v>
                </c:pt>
                <c:pt idx="102">
                  <c:v>45501501107646.414</c:v>
                </c:pt>
                <c:pt idx="103">
                  <c:v>43939725689345.164</c:v>
                </c:pt>
                <c:pt idx="104">
                  <c:v>41800301029689.781</c:v>
                </c:pt>
                <c:pt idx="105">
                  <c:v>41019918286339.937</c:v>
                </c:pt>
                <c:pt idx="106">
                  <c:v>38073114983681.875</c:v>
                </c:pt>
                <c:pt idx="107">
                  <c:v>33310224587328.258</c:v>
                </c:pt>
                <c:pt idx="108">
                  <c:v>32646757858004.84</c:v>
                </c:pt>
                <c:pt idx="109">
                  <c:v>29186774225621.66</c:v>
                </c:pt>
                <c:pt idx="110">
                  <c:v>27342694042775.578</c:v>
                </c:pt>
                <c:pt idx="111">
                  <c:v>26449772194609.785</c:v>
                </c:pt>
                <c:pt idx="112">
                  <c:v>26881842656070.645</c:v>
                </c:pt>
                <c:pt idx="113">
                  <c:v>26132991744537.996</c:v>
                </c:pt>
                <c:pt idx="114">
                  <c:v>25960251382945.242</c:v>
                </c:pt>
                <c:pt idx="115">
                  <c:v>24952516219816.461</c:v>
                </c:pt>
              </c:numCache>
            </c:numRef>
          </c:xVal>
          <c:yVal>
            <c:numRef>
              <c:f>Calc!$S$15:$S$130</c:f>
              <c:numCache>
                <c:formatCode>0</c:formatCode>
                <c:ptCount val="116"/>
                <c:pt idx="0">
                  <c:v>12008.608688995268</c:v>
                </c:pt>
                <c:pt idx="1">
                  <c:v>12074.265966219155</c:v>
                </c:pt>
                <c:pt idx="2">
                  <c:v>12159.062566640407</c:v>
                </c:pt>
                <c:pt idx="3">
                  <c:v>12255.419310730776</c:v>
                </c:pt>
                <c:pt idx="4">
                  <c:v>12357.771313522462</c:v>
                </c:pt>
                <c:pt idx="5">
                  <c:v>12463.534306396628</c:v>
                </c:pt>
                <c:pt idx="6">
                  <c:v>12569.665261292588</c:v>
                </c:pt>
                <c:pt idx="7">
                  <c:v>12679.854681352719</c:v>
                </c:pt>
                <c:pt idx="8">
                  <c:v>12784.122382634998</c:v>
                </c:pt>
                <c:pt idx="9">
                  <c:v>12899.41308677742</c:v>
                </c:pt>
                <c:pt idx="10">
                  <c:v>13013.572080795486</c:v>
                </c:pt>
                <c:pt idx="11">
                  <c:v>13128.54556524359</c:v>
                </c:pt>
                <c:pt idx="12">
                  <c:v>13246.634599030773</c:v>
                </c:pt>
                <c:pt idx="13">
                  <c:v>13365.830878979879</c:v>
                </c:pt>
                <c:pt idx="14">
                  <c:v>13492.428763551381</c:v>
                </c:pt>
                <c:pt idx="15">
                  <c:v>13618.913898311283</c:v>
                </c:pt>
                <c:pt idx="16">
                  <c:v>13748.542966468682</c:v>
                </c:pt>
                <c:pt idx="17">
                  <c:v>13879.394972433285</c:v>
                </c:pt>
                <c:pt idx="18">
                  <c:v>14016.312158760355</c:v>
                </c:pt>
                <c:pt idx="19">
                  <c:v>14156.583044725445</c:v>
                </c:pt>
                <c:pt idx="20">
                  <c:v>14292.165106349868</c:v>
                </c:pt>
                <c:pt idx="21">
                  <c:v>14436.298304722644</c:v>
                </c:pt>
                <c:pt idx="22">
                  <c:v>14558.943956137322</c:v>
                </c:pt>
                <c:pt idx="23">
                  <c:v>14706.936662881531</c:v>
                </c:pt>
                <c:pt idx="24">
                  <c:v>14858.99920736274</c:v>
                </c:pt>
                <c:pt idx="25">
                  <c:v>15023.563103611203</c:v>
                </c:pt>
                <c:pt idx="26">
                  <c:v>15194.884336710071</c:v>
                </c:pt>
                <c:pt idx="27">
                  <c:v>15369.138752759483</c:v>
                </c:pt>
                <c:pt idx="28">
                  <c:v>15552.51263287332</c:v>
                </c:pt>
                <c:pt idx="29">
                  <c:v>15733.024711497073</c:v>
                </c:pt>
                <c:pt idx="30">
                  <c:v>15922.76807569073</c:v>
                </c:pt>
                <c:pt idx="31">
                  <c:v>16133.908452657068</c:v>
                </c:pt>
                <c:pt idx="32">
                  <c:v>16314.97463008207</c:v>
                </c:pt>
                <c:pt idx="33">
                  <c:v>16533.911447130875</c:v>
                </c:pt>
                <c:pt idx="34">
                  <c:v>16757.760446059365</c:v>
                </c:pt>
                <c:pt idx="35">
                  <c:v>16988.63208899894</c:v>
                </c:pt>
                <c:pt idx="36">
                  <c:v>17196.509709155904</c:v>
                </c:pt>
                <c:pt idx="37">
                  <c:v>17443.228177199271</c:v>
                </c:pt>
                <c:pt idx="38">
                  <c:v>17682.870944689548</c:v>
                </c:pt>
                <c:pt idx="39">
                  <c:v>17939.557952780953</c:v>
                </c:pt>
                <c:pt idx="40">
                  <c:v>18190.955972200445</c:v>
                </c:pt>
                <c:pt idx="41">
                  <c:v>18463.49853971789</c:v>
                </c:pt>
                <c:pt idx="42">
                  <c:v>18727.761765508123</c:v>
                </c:pt>
                <c:pt idx="43">
                  <c:v>18997.12094436762</c:v>
                </c:pt>
                <c:pt idx="44">
                  <c:v>19264.403049272059</c:v>
                </c:pt>
                <c:pt idx="45">
                  <c:v>19600.219285259198</c:v>
                </c:pt>
                <c:pt idx="46">
                  <c:v>19908.447093391926</c:v>
                </c:pt>
                <c:pt idx="47">
                  <c:v>20215.541009032819</c:v>
                </c:pt>
                <c:pt idx="48">
                  <c:v>20532.190417123798</c:v>
                </c:pt>
                <c:pt idx="49">
                  <c:v>20862.648085210003</c:v>
                </c:pt>
                <c:pt idx="50">
                  <c:v>21189.265379229902</c:v>
                </c:pt>
                <c:pt idx="51">
                  <c:v>21510.339926570294</c:v>
                </c:pt>
                <c:pt idx="52">
                  <c:v>21859.436026798623</c:v>
                </c:pt>
                <c:pt idx="53">
                  <c:v>22232.710325642824</c:v>
                </c:pt>
                <c:pt idx="54">
                  <c:v>22566.10457190323</c:v>
                </c:pt>
                <c:pt idx="55">
                  <c:v>22986.365885951811</c:v>
                </c:pt>
                <c:pt idx="56">
                  <c:v>23185.329098438546</c:v>
                </c:pt>
                <c:pt idx="57">
                  <c:v>23537.660655324646</c:v>
                </c:pt>
                <c:pt idx="58">
                  <c:v>23981.358904639765</c:v>
                </c:pt>
                <c:pt idx="59">
                  <c:v>24346.617099267663</c:v>
                </c:pt>
                <c:pt idx="60">
                  <c:v>24732.711230486479</c:v>
                </c:pt>
                <c:pt idx="61">
                  <c:v>25157.763523145659</c:v>
                </c:pt>
                <c:pt idx="62">
                  <c:v>25582.718445838615</c:v>
                </c:pt>
                <c:pt idx="63">
                  <c:v>25980.829025661697</c:v>
                </c:pt>
                <c:pt idx="64">
                  <c:v>26396.212257013602</c:v>
                </c:pt>
                <c:pt idx="65">
                  <c:v>26843.806700326284</c:v>
                </c:pt>
                <c:pt idx="66">
                  <c:v>27331.848805670703</c:v>
                </c:pt>
                <c:pt idx="67">
                  <c:v>27699.935112331947</c:v>
                </c:pt>
                <c:pt idx="68">
                  <c:v>28260.616195018705</c:v>
                </c:pt>
                <c:pt idx="69">
                  <c:v>28537.330841701834</c:v>
                </c:pt>
                <c:pt idx="70">
                  <c:v>29005.56171970809</c:v>
                </c:pt>
                <c:pt idx="71">
                  <c:v>29545.931225500506</c:v>
                </c:pt>
                <c:pt idx="72">
                  <c:v>30010.087801667523</c:v>
                </c:pt>
                <c:pt idx="73">
                  <c:v>30528.552460133076</c:v>
                </c:pt>
                <c:pt idx="74">
                  <c:v>31188.424147861013</c:v>
                </c:pt>
                <c:pt idx="75">
                  <c:v>31536.840725283757</c:v>
                </c:pt>
                <c:pt idx="76">
                  <c:v>32151.147549756748</c:v>
                </c:pt>
                <c:pt idx="77">
                  <c:v>32620.108867077593</c:v>
                </c:pt>
                <c:pt idx="78">
                  <c:v>32970.350840167877</c:v>
                </c:pt>
                <c:pt idx="79">
                  <c:v>33494.922902566504</c:v>
                </c:pt>
                <c:pt idx="80">
                  <c:v>34147.805900880405</c:v>
                </c:pt>
                <c:pt idx="81">
                  <c:v>34427.763134938228</c:v>
                </c:pt>
                <c:pt idx="82">
                  <c:v>34913.954613990543</c:v>
                </c:pt>
                <c:pt idx="83">
                  <c:v>35398.236093282576</c:v>
                </c:pt>
                <c:pt idx="84">
                  <c:v>35704.790699664525</c:v>
                </c:pt>
                <c:pt idx="85">
                  <c:v>35704.547163880197</c:v>
                </c:pt>
                <c:pt idx="86">
                  <c:v>36730.001027396633</c:v>
                </c:pt>
                <c:pt idx="87">
                  <c:v>36534.575672172054</c:v>
                </c:pt>
                <c:pt idx="88">
                  <c:v>38055.892180457959</c:v>
                </c:pt>
                <c:pt idx="89">
                  <c:v>38791.281946060604</c:v>
                </c:pt>
                <c:pt idx="90">
                  <c:v>39623.635485100283</c:v>
                </c:pt>
                <c:pt idx="91">
                  <c:v>39333.147537659606</c:v>
                </c:pt>
                <c:pt idx="92">
                  <c:v>40247.556621232317</c:v>
                </c:pt>
                <c:pt idx="93">
                  <c:v>41917.377912132004</c:v>
                </c:pt>
                <c:pt idx="94">
                  <c:v>41346.759715437191</c:v>
                </c:pt>
                <c:pt idx="95">
                  <c:v>42937.065186755332</c:v>
                </c:pt>
                <c:pt idx="96">
                  <c:v>42427.478432278913</c:v>
                </c:pt>
                <c:pt idx="97">
                  <c:v>40720.657241145687</c:v>
                </c:pt>
                <c:pt idx="98">
                  <c:v>41754.75285832255</c:v>
                </c:pt>
                <c:pt idx="99">
                  <c:v>42443.569978379062</c:v>
                </c:pt>
                <c:pt idx="100">
                  <c:v>42840.045203755879</c:v>
                </c:pt>
                <c:pt idx="101">
                  <c:v>41807.184989052941</c:v>
                </c:pt>
                <c:pt idx="102">
                  <c:v>47193.364322048932</c:v>
                </c:pt>
                <c:pt idx="103">
                  <c:v>46025.266164342218</c:v>
                </c:pt>
                <c:pt idx="104">
                  <c:v>44894.674217343003</c:v>
                </c:pt>
                <c:pt idx="105">
                  <c:v>43414.029310061727</c:v>
                </c:pt>
                <c:pt idx="106">
                  <c:v>44385.493399605526</c:v>
                </c:pt>
                <c:pt idx="107">
                  <c:v>47591.157737936985</c:v>
                </c:pt>
                <c:pt idx="108">
                  <c:v>45320.644356497054</c:v>
                </c:pt>
                <c:pt idx="109">
                  <c:v>47936.643807943699</c:v>
                </c:pt>
                <c:pt idx="110">
                  <c:v>47545.819132001903</c:v>
                </c:pt>
                <c:pt idx="111">
                  <c:v>47136.078294641062</c:v>
                </c:pt>
                <c:pt idx="112">
                  <c:v>42681.112195138296</c:v>
                </c:pt>
                <c:pt idx="113">
                  <c:v>41258.684832538398</c:v>
                </c:pt>
                <c:pt idx="114">
                  <c:v>38894.931987952688</c:v>
                </c:pt>
                <c:pt idx="115">
                  <c:v>38281.774920866184</c:v>
                </c:pt>
              </c:numCache>
            </c:numRef>
          </c:yVal>
          <c:smooth val="0"/>
        </c:ser>
        <c:ser>
          <c:idx val="1"/>
          <c:order val="1"/>
          <c:tx>
            <c:v>Apprent Carrier Density</c:v>
          </c:tx>
          <c:spPr>
            <a:ln w="28575">
              <a:noFill/>
            </a:ln>
          </c:spPr>
          <c:marker>
            <c:symbol val="x"/>
            <c:size val="4"/>
            <c:spPr>
              <a:ln w="9525">
                <a:solidFill>
                  <a:srgbClr val="2004EC"/>
                </a:solidFill>
              </a:ln>
            </c:spPr>
          </c:marker>
          <c:xVal>
            <c:numRef>
              <c:f>Calc!$I$15:$I$130</c:f>
              <c:numCache>
                <c:formatCode>0.00E+00</c:formatCode>
                <c:ptCount val="116"/>
                <c:pt idx="0">
                  <c:v>3.3094189745940248E+16</c:v>
                </c:pt>
                <c:pt idx="1">
                  <c:v>3.1509624705700252E+16</c:v>
                </c:pt>
                <c:pt idx="2">
                  <c:v>2.9891736272606904E+16</c:v>
                </c:pt>
                <c:pt idx="3">
                  <c:v>2.82978795561635E+16</c:v>
                </c:pt>
                <c:pt idx="4">
                  <c:v>2.6752924575107012E+16</c:v>
                </c:pt>
                <c:pt idx="5">
                  <c:v>2.5263397175589036E+16</c:v>
                </c:pt>
                <c:pt idx="6">
                  <c:v>2.3827630108026112E+16</c:v>
                </c:pt>
                <c:pt idx="7">
                  <c:v>2.2456291055661492E+16</c:v>
                </c:pt>
                <c:pt idx="8">
                  <c:v>2.1155974638805236E+16</c:v>
                </c:pt>
                <c:pt idx="9">
                  <c:v>1.9908759707753328E+16</c:v>
                </c:pt>
                <c:pt idx="10">
                  <c:v>1.8728247707966444E+16</c:v>
                </c:pt>
                <c:pt idx="11">
                  <c:v>1.7605699975024138E+16</c:v>
                </c:pt>
                <c:pt idx="12">
                  <c:v>1.6539968009497458E+16</c:v>
                </c:pt>
                <c:pt idx="13">
                  <c:v>1.5535100296297956E+16</c:v>
                </c:pt>
                <c:pt idx="14">
                  <c:v>1.4583243862017522E+16</c:v>
                </c:pt>
                <c:pt idx="15">
                  <c:v>1.368958434920649E+16</c:v>
                </c:pt>
                <c:pt idx="16">
                  <c:v>1.2845970111505322E+16</c:v>
                </c:pt>
                <c:pt idx="17">
                  <c:v>1.2051435426874354E+16</c:v>
                </c:pt>
                <c:pt idx="18">
                  <c:v>1.1304792156430936E+16</c:v>
                </c:pt>
                <c:pt idx="19">
                  <c:v>1.060261174799888E+16</c:v>
                </c:pt>
                <c:pt idx="20">
                  <c:v>9949873671104586</c:v>
                </c:pt>
                <c:pt idx="21">
                  <c:v>9332678772147270</c:v>
                </c:pt>
                <c:pt idx="22">
                  <c:v>8754445669875415</c:v>
                </c:pt>
                <c:pt idx="23">
                  <c:v>8211088727205681</c:v>
                </c:pt>
                <c:pt idx="24">
                  <c:v>7702864378172585</c:v>
                </c:pt>
                <c:pt idx="25">
                  <c:v>7226807255739606</c:v>
                </c:pt>
                <c:pt idx="26">
                  <c:v>6777655477861600</c:v>
                </c:pt>
                <c:pt idx="27">
                  <c:v>6355404294101230</c:v>
                </c:pt>
                <c:pt idx="28">
                  <c:v>5958129488975963</c:v>
                </c:pt>
                <c:pt idx="29">
                  <c:v>5589119782351897</c:v>
                </c:pt>
                <c:pt idx="30">
                  <c:v>5240117478900220</c:v>
                </c:pt>
                <c:pt idx="31">
                  <c:v>4912154763705846</c:v>
                </c:pt>
                <c:pt idx="32">
                  <c:v>4608586025899594</c:v>
                </c:pt>
                <c:pt idx="33">
                  <c:v>4320303762359763.5</c:v>
                </c:pt>
                <c:pt idx="34">
                  <c:v>4047128628949139</c:v>
                </c:pt>
                <c:pt idx="35">
                  <c:v>3792086185908158</c:v>
                </c:pt>
                <c:pt idx="36">
                  <c:v>3558946252789221</c:v>
                </c:pt>
                <c:pt idx="37">
                  <c:v>3334347137827984.5</c:v>
                </c:pt>
                <c:pt idx="38">
                  <c:v>3126622200397877.5</c:v>
                </c:pt>
                <c:pt idx="39">
                  <c:v>2931046234871819.5</c:v>
                </c:pt>
                <c:pt idx="40">
                  <c:v>2748983842134609.5</c:v>
                </c:pt>
                <c:pt idx="41">
                  <c:v>2574693173309647</c:v>
                </c:pt>
                <c:pt idx="42">
                  <c:v>2414878703535606</c:v>
                </c:pt>
                <c:pt idx="43">
                  <c:v>2266083458860126</c:v>
                </c:pt>
                <c:pt idx="44">
                  <c:v>2125971438414307.2</c:v>
                </c:pt>
                <c:pt idx="45">
                  <c:v>1989964370513321.7</c:v>
                </c:pt>
                <c:pt idx="46">
                  <c:v>1864797110184122.7</c:v>
                </c:pt>
                <c:pt idx="47">
                  <c:v>1746876132224575.2</c:v>
                </c:pt>
                <c:pt idx="48">
                  <c:v>1638419307940451.7</c:v>
                </c:pt>
                <c:pt idx="49">
                  <c:v>1535491452734925.7</c:v>
                </c:pt>
                <c:pt idx="50">
                  <c:v>1439826951286905</c:v>
                </c:pt>
                <c:pt idx="51">
                  <c:v>1350685112988696.7</c:v>
                </c:pt>
                <c:pt idx="52">
                  <c:v>1264012780965972.5</c:v>
                </c:pt>
                <c:pt idx="53">
                  <c:v>1184160970027498.7</c:v>
                </c:pt>
                <c:pt idx="54">
                  <c:v>1110287849279556</c:v>
                </c:pt>
                <c:pt idx="55">
                  <c:v>1037141572389604.9</c:v>
                </c:pt>
                <c:pt idx="56">
                  <c:v>977772529288657.12</c:v>
                </c:pt>
                <c:pt idx="57">
                  <c:v>916903108915604.37</c:v>
                </c:pt>
                <c:pt idx="58">
                  <c:v>858506603042324.75</c:v>
                </c:pt>
                <c:pt idx="59">
                  <c:v>805968056995728.62</c:v>
                </c:pt>
                <c:pt idx="60">
                  <c:v>755879257963518.75</c:v>
                </c:pt>
                <c:pt idx="61">
                  <c:v>707967165894605.37</c:v>
                </c:pt>
                <c:pt idx="62">
                  <c:v>661500068404725.5</c:v>
                </c:pt>
                <c:pt idx="63">
                  <c:v>620802574185446.37</c:v>
                </c:pt>
                <c:pt idx="64">
                  <c:v>582300309816828.12</c:v>
                </c:pt>
                <c:pt idx="65">
                  <c:v>545005614705632.69</c:v>
                </c:pt>
                <c:pt idx="66">
                  <c:v>510151221833608</c:v>
                </c:pt>
                <c:pt idx="67">
                  <c:v>479049614787834.69</c:v>
                </c:pt>
                <c:pt idx="68">
                  <c:v>447499320366370.12</c:v>
                </c:pt>
                <c:pt idx="69">
                  <c:v>421958337673397.69</c:v>
                </c:pt>
                <c:pt idx="70">
                  <c:v>395562562247333.37</c:v>
                </c:pt>
                <c:pt idx="71">
                  <c:v>369634442045838.12</c:v>
                </c:pt>
                <c:pt idx="72">
                  <c:v>346770608412038.75</c:v>
                </c:pt>
                <c:pt idx="73">
                  <c:v>324034467606479.87</c:v>
                </c:pt>
                <c:pt idx="74">
                  <c:v>301783714180183.19</c:v>
                </c:pt>
                <c:pt idx="75">
                  <c:v>284296418020692.37</c:v>
                </c:pt>
                <c:pt idx="76">
                  <c:v>264637960521095.53</c:v>
                </c:pt>
                <c:pt idx="77">
                  <c:v>248774139642154.78</c:v>
                </c:pt>
                <c:pt idx="78">
                  <c:v>234293024261246.03</c:v>
                </c:pt>
                <c:pt idx="79">
                  <c:v>218706869289315.84</c:v>
                </c:pt>
                <c:pt idx="80">
                  <c:v>204618740201941.09</c:v>
                </c:pt>
                <c:pt idx="81">
                  <c:v>192789613599166.78</c:v>
                </c:pt>
                <c:pt idx="82">
                  <c:v>180885870525468.53</c:v>
                </c:pt>
                <c:pt idx="83">
                  <c:v>168995550058679.34</c:v>
                </c:pt>
                <c:pt idx="84">
                  <c:v>159441084468022.37</c:v>
                </c:pt>
                <c:pt idx="85">
                  <c:v>151539967661566.34</c:v>
                </c:pt>
                <c:pt idx="86">
                  <c:v>140420087935484.69</c:v>
                </c:pt>
                <c:pt idx="87">
                  <c:v>133209306812886.22</c:v>
                </c:pt>
                <c:pt idx="88">
                  <c:v>122082574445884.41</c:v>
                </c:pt>
                <c:pt idx="89">
                  <c:v>113806058023587.89</c:v>
                </c:pt>
                <c:pt idx="90">
                  <c:v>105129014300299.64</c:v>
                </c:pt>
                <c:pt idx="91">
                  <c:v>100312421108554.37</c:v>
                </c:pt>
                <c:pt idx="92">
                  <c:v>92904360815706.812</c:v>
                </c:pt>
                <c:pt idx="93">
                  <c:v>84717255660120.922</c:v>
                </c:pt>
                <c:pt idx="94">
                  <c:v>81107387371609.891</c:v>
                </c:pt>
                <c:pt idx="95">
                  <c:v>73690460933525.922</c:v>
                </c:pt>
                <c:pt idx="96">
                  <c:v>70755458155712.453</c:v>
                </c:pt>
                <c:pt idx="97">
                  <c:v>69709400525523.984</c:v>
                </c:pt>
                <c:pt idx="98">
                  <c:v>64163141544923.742</c:v>
                </c:pt>
                <c:pt idx="99">
                  <c:v>59549733263458.203</c:v>
                </c:pt>
                <c:pt idx="100">
                  <c:v>56389325825649.625</c:v>
                </c:pt>
                <c:pt idx="101">
                  <c:v>54099898148273.883</c:v>
                </c:pt>
                <c:pt idx="102">
                  <c:v>45501501107646.414</c:v>
                </c:pt>
                <c:pt idx="103">
                  <c:v>43939725689345.164</c:v>
                </c:pt>
                <c:pt idx="104">
                  <c:v>41800301029689.781</c:v>
                </c:pt>
                <c:pt idx="105">
                  <c:v>41019918286339.937</c:v>
                </c:pt>
                <c:pt idx="106">
                  <c:v>38073114983681.875</c:v>
                </c:pt>
                <c:pt idx="107">
                  <c:v>33310224587328.258</c:v>
                </c:pt>
                <c:pt idx="108">
                  <c:v>32646757858004.84</c:v>
                </c:pt>
                <c:pt idx="109">
                  <c:v>29186774225621.66</c:v>
                </c:pt>
                <c:pt idx="110">
                  <c:v>27342694042775.578</c:v>
                </c:pt>
                <c:pt idx="111">
                  <c:v>26449772194609.785</c:v>
                </c:pt>
                <c:pt idx="112">
                  <c:v>26881842656070.645</c:v>
                </c:pt>
                <c:pt idx="113">
                  <c:v>26132991744537.996</c:v>
                </c:pt>
                <c:pt idx="114">
                  <c:v>25960251382945.242</c:v>
                </c:pt>
                <c:pt idx="115">
                  <c:v>24952516219816.461</c:v>
                </c:pt>
              </c:numCache>
            </c:numRef>
          </c:xVal>
          <c:yVal>
            <c:numRef>
              <c:f>Calc!$S$15:$S$130</c:f>
              <c:numCache>
                <c:formatCode>0</c:formatCode>
                <c:ptCount val="116"/>
                <c:pt idx="0">
                  <c:v>12008.608688995268</c:v>
                </c:pt>
                <c:pt idx="1">
                  <c:v>12074.265966219155</c:v>
                </c:pt>
                <c:pt idx="2">
                  <c:v>12159.062566640407</c:v>
                </c:pt>
                <c:pt idx="3">
                  <c:v>12255.419310730776</c:v>
                </c:pt>
                <c:pt idx="4">
                  <c:v>12357.771313522462</c:v>
                </c:pt>
                <c:pt idx="5">
                  <c:v>12463.534306396628</c:v>
                </c:pt>
                <c:pt idx="6">
                  <c:v>12569.665261292588</c:v>
                </c:pt>
                <c:pt idx="7">
                  <c:v>12679.854681352719</c:v>
                </c:pt>
                <c:pt idx="8">
                  <c:v>12784.122382634998</c:v>
                </c:pt>
                <c:pt idx="9">
                  <c:v>12899.41308677742</c:v>
                </c:pt>
                <c:pt idx="10">
                  <c:v>13013.572080795486</c:v>
                </c:pt>
                <c:pt idx="11">
                  <c:v>13128.54556524359</c:v>
                </c:pt>
                <c:pt idx="12">
                  <c:v>13246.634599030773</c:v>
                </c:pt>
                <c:pt idx="13">
                  <c:v>13365.830878979879</c:v>
                </c:pt>
                <c:pt idx="14">
                  <c:v>13492.428763551381</c:v>
                </c:pt>
                <c:pt idx="15">
                  <c:v>13618.913898311283</c:v>
                </c:pt>
                <c:pt idx="16">
                  <c:v>13748.542966468682</c:v>
                </c:pt>
                <c:pt idx="17">
                  <c:v>13879.394972433285</c:v>
                </c:pt>
                <c:pt idx="18">
                  <c:v>14016.312158760355</c:v>
                </c:pt>
                <c:pt idx="19">
                  <c:v>14156.583044725445</c:v>
                </c:pt>
                <c:pt idx="20">
                  <c:v>14292.165106349868</c:v>
                </c:pt>
                <c:pt idx="21">
                  <c:v>14436.298304722644</c:v>
                </c:pt>
                <c:pt idx="22">
                  <c:v>14558.943956137322</c:v>
                </c:pt>
                <c:pt idx="23">
                  <c:v>14706.936662881531</c:v>
                </c:pt>
                <c:pt idx="24">
                  <c:v>14858.99920736274</c:v>
                </c:pt>
                <c:pt idx="25">
                  <c:v>15023.563103611203</c:v>
                </c:pt>
                <c:pt idx="26">
                  <c:v>15194.884336710071</c:v>
                </c:pt>
                <c:pt idx="27">
                  <c:v>15369.138752759483</c:v>
                </c:pt>
                <c:pt idx="28">
                  <c:v>15552.51263287332</c:v>
                </c:pt>
                <c:pt idx="29">
                  <c:v>15733.024711497073</c:v>
                </c:pt>
                <c:pt idx="30">
                  <c:v>15922.76807569073</c:v>
                </c:pt>
                <c:pt idx="31">
                  <c:v>16133.908452657068</c:v>
                </c:pt>
                <c:pt idx="32">
                  <c:v>16314.97463008207</c:v>
                </c:pt>
                <c:pt idx="33">
                  <c:v>16533.911447130875</c:v>
                </c:pt>
                <c:pt idx="34">
                  <c:v>16757.760446059365</c:v>
                </c:pt>
                <c:pt idx="35">
                  <c:v>16988.63208899894</c:v>
                </c:pt>
                <c:pt idx="36">
                  <c:v>17196.509709155904</c:v>
                </c:pt>
                <c:pt idx="37">
                  <c:v>17443.228177199271</c:v>
                </c:pt>
                <c:pt idx="38">
                  <c:v>17682.870944689548</c:v>
                </c:pt>
                <c:pt idx="39">
                  <c:v>17939.557952780953</c:v>
                </c:pt>
                <c:pt idx="40">
                  <c:v>18190.955972200445</c:v>
                </c:pt>
                <c:pt idx="41">
                  <c:v>18463.49853971789</c:v>
                </c:pt>
                <c:pt idx="42">
                  <c:v>18727.761765508123</c:v>
                </c:pt>
                <c:pt idx="43">
                  <c:v>18997.12094436762</c:v>
                </c:pt>
                <c:pt idx="44">
                  <c:v>19264.403049272059</c:v>
                </c:pt>
                <c:pt idx="45">
                  <c:v>19600.219285259198</c:v>
                </c:pt>
                <c:pt idx="46">
                  <c:v>19908.447093391926</c:v>
                </c:pt>
                <c:pt idx="47">
                  <c:v>20215.541009032819</c:v>
                </c:pt>
                <c:pt idx="48">
                  <c:v>20532.190417123798</c:v>
                </c:pt>
                <c:pt idx="49">
                  <c:v>20862.648085210003</c:v>
                </c:pt>
                <c:pt idx="50">
                  <c:v>21189.265379229902</c:v>
                </c:pt>
                <c:pt idx="51">
                  <c:v>21510.339926570294</c:v>
                </c:pt>
                <c:pt idx="52">
                  <c:v>21859.436026798623</c:v>
                </c:pt>
                <c:pt idx="53">
                  <c:v>22232.710325642824</c:v>
                </c:pt>
                <c:pt idx="54">
                  <c:v>22566.10457190323</c:v>
                </c:pt>
                <c:pt idx="55">
                  <c:v>22986.365885951811</c:v>
                </c:pt>
                <c:pt idx="56">
                  <c:v>23185.329098438546</c:v>
                </c:pt>
                <c:pt idx="57">
                  <c:v>23537.660655324646</c:v>
                </c:pt>
                <c:pt idx="58">
                  <c:v>23981.358904639765</c:v>
                </c:pt>
                <c:pt idx="59">
                  <c:v>24346.617099267663</c:v>
                </c:pt>
                <c:pt idx="60">
                  <c:v>24732.711230486479</c:v>
                </c:pt>
                <c:pt idx="61">
                  <c:v>25157.763523145659</c:v>
                </c:pt>
                <c:pt idx="62">
                  <c:v>25582.718445838615</c:v>
                </c:pt>
                <c:pt idx="63">
                  <c:v>25980.829025661697</c:v>
                </c:pt>
                <c:pt idx="64">
                  <c:v>26396.212257013602</c:v>
                </c:pt>
                <c:pt idx="65">
                  <c:v>26843.806700326284</c:v>
                </c:pt>
                <c:pt idx="66">
                  <c:v>27331.848805670703</c:v>
                </c:pt>
                <c:pt idx="67">
                  <c:v>27699.935112331947</c:v>
                </c:pt>
                <c:pt idx="68">
                  <c:v>28260.616195018705</c:v>
                </c:pt>
                <c:pt idx="69">
                  <c:v>28537.330841701834</c:v>
                </c:pt>
                <c:pt idx="70">
                  <c:v>29005.56171970809</c:v>
                </c:pt>
                <c:pt idx="71">
                  <c:v>29545.931225500506</c:v>
                </c:pt>
                <c:pt idx="72">
                  <c:v>30010.087801667523</c:v>
                </c:pt>
                <c:pt idx="73">
                  <c:v>30528.552460133076</c:v>
                </c:pt>
                <c:pt idx="74">
                  <c:v>31188.424147861013</c:v>
                </c:pt>
                <c:pt idx="75">
                  <c:v>31536.840725283757</c:v>
                </c:pt>
                <c:pt idx="76">
                  <c:v>32151.147549756748</c:v>
                </c:pt>
                <c:pt idx="77">
                  <c:v>32620.108867077593</c:v>
                </c:pt>
                <c:pt idx="78">
                  <c:v>32970.350840167877</c:v>
                </c:pt>
                <c:pt idx="79">
                  <c:v>33494.922902566504</c:v>
                </c:pt>
                <c:pt idx="80">
                  <c:v>34147.805900880405</c:v>
                </c:pt>
                <c:pt idx="81">
                  <c:v>34427.763134938228</c:v>
                </c:pt>
                <c:pt idx="82">
                  <c:v>34913.954613990543</c:v>
                </c:pt>
                <c:pt idx="83">
                  <c:v>35398.236093282576</c:v>
                </c:pt>
                <c:pt idx="84">
                  <c:v>35704.790699664525</c:v>
                </c:pt>
                <c:pt idx="85">
                  <c:v>35704.547163880197</c:v>
                </c:pt>
                <c:pt idx="86">
                  <c:v>36730.001027396633</c:v>
                </c:pt>
                <c:pt idx="87">
                  <c:v>36534.575672172054</c:v>
                </c:pt>
                <c:pt idx="88">
                  <c:v>38055.892180457959</c:v>
                </c:pt>
                <c:pt idx="89">
                  <c:v>38791.281946060604</c:v>
                </c:pt>
                <c:pt idx="90">
                  <c:v>39623.635485100283</c:v>
                </c:pt>
                <c:pt idx="91">
                  <c:v>39333.147537659606</c:v>
                </c:pt>
                <c:pt idx="92">
                  <c:v>40247.556621232317</c:v>
                </c:pt>
                <c:pt idx="93">
                  <c:v>41917.377912132004</c:v>
                </c:pt>
                <c:pt idx="94">
                  <c:v>41346.759715437191</c:v>
                </c:pt>
                <c:pt idx="95">
                  <c:v>42937.065186755332</c:v>
                </c:pt>
                <c:pt idx="96">
                  <c:v>42427.478432278913</c:v>
                </c:pt>
                <c:pt idx="97">
                  <c:v>40720.657241145687</c:v>
                </c:pt>
                <c:pt idx="98">
                  <c:v>41754.75285832255</c:v>
                </c:pt>
                <c:pt idx="99">
                  <c:v>42443.569978379062</c:v>
                </c:pt>
                <c:pt idx="100">
                  <c:v>42840.045203755879</c:v>
                </c:pt>
                <c:pt idx="101">
                  <c:v>41807.184989052941</c:v>
                </c:pt>
                <c:pt idx="102">
                  <c:v>47193.364322048932</c:v>
                </c:pt>
                <c:pt idx="103">
                  <c:v>46025.266164342218</c:v>
                </c:pt>
                <c:pt idx="104">
                  <c:v>44894.674217343003</c:v>
                </c:pt>
                <c:pt idx="105">
                  <c:v>43414.029310061727</c:v>
                </c:pt>
                <c:pt idx="106">
                  <c:v>44385.493399605526</c:v>
                </c:pt>
                <c:pt idx="107">
                  <c:v>47591.157737936985</c:v>
                </c:pt>
                <c:pt idx="108">
                  <c:v>45320.644356497054</c:v>
                </c:pt>
                <c:pt idx="109">
                  <c:v>47936.643807943699</c:v>
                </c:pt>
                <c:pt idx="110">
                  <c:v>47545.819132001903</c:v>
                </c:pt>
                <c:pt idx="111">
                  <c:v>47136.078294641062</c:v>
                </c:pt>
                <c:pt idx="112">
                  <c:v>42681.112195138296</c:v>
                </c:pt>
                <c:pt idx="113">
                  <c:v>41258.684832538398</c:v>
                </c:pt>
                <c:pt idx="114">
                  <c:v>38894.931987952688</c:v>
                </c:pt>
                <c:pt idx="115">
                  <c:v>38281.774920866184</c:v>
                </c:pt>
              </c:numCache>
            </c:numRef>
          </c:yVal>
          <c:smooth val="0"/>
        </c:ser>
        <c:ser>
          <c:idx val="2"/>
          <c:order val="2"/>
          <c:tx>
            <c:v>Fit</c:v>
          </c:tx>
          <c:spPr>
            <a:ln>
              <a:solidFill>
                <a:sysClr val="windowText" lastClr="000000"/>
              </a:solidFill>
            </a:ln>
          </c:spPr>
          <c:marker>
            <c:symbol val="none"/>
          </c:marker>
          <c:xVal>
            <c:numRef>
              <c:f>Calc!$I$12:$I$130</c:f>
              <c:numCache>
                <c:formatCode>0.00E+00</c:formatCode>
                <c:ptCount val="119"/>
                <c:pt idx="0">
                  <c:v>3.64271604372292E+16</c:v>
                </c:pt>
                <c:pt idx="1">
                  <c:v>3.596063917555602E+16</c:v>
                </c:pt>
                <c:pt idx="2">
                  <c:v>3.4640506713742128E+16</c:v>
                </c:pt>
                <c:pt idx="3">
                  <c:v>3.3094189745940248E+16</c:v>
                </c:pt>
                <c:pt idx="4">
                  <c:v>3.1509624705700252E+16</c:v>
                </c:pt>
                <c:pt idx="5">
                  <c:v>2.9891736272606904E+16</c:v>
                </c:pt>
                <c:pt idx="6">
                  <c:v>2.82978795561635E+16</c:v>
                </c:pt>
                <c:pt idx="7">
                  <c:v>2.6752924575107012E+16</c:v>
                </c:pt>
                <c:pt idx="8">
                  <c:v>2.5263397175589036E+16</c:v>
                </c:pt>
                <c:pt idx="9">
                  <c:v>2.3827630108026112E+16</c:v>
                </c:pt>
                <c:pt idx="10">
                  <c:v>2.2456291055661492E+16</c:v>
                </c:pt>
                <c:pt idx="11">
                  <c:v>2.1155974638805236E+16</c:v>
                </c:pt>
                <c:pt idx="12">
                  <c:v>1.9908759707753328E+16</c:v>
                </c:pt>
                <c:pt idx="13">
                  <c:v>1.8728247707966444E+16</c:v>
                </c:pt>
                <c:pt idx="14">
                  <c:v>1.7605699975024138E+16</c:v>
                </c:pt>
                <c:pt idx="15">
                  <c:v>1.6539968009497458E+16</c:v>
                </c:pt>
                <c:pt idx="16">
                  <c:v>1.5535100296297956E+16</c:v>
                </c:pt>
                <c:pt idx="17">
                  <c:v>1.4583243862017522E+16</c:v>
                </c:pt>
                <c:pt idx="18">
                  <c:v>1.368958434920649E+16</c:v>
                </c:pt>
                <c:pt idx="19">
                  <c:v>1.2845970111505322E+16</c:v>
                </c:pt>
                <c:pt idx="20">
                  <c:v>1.2051435426874354E+16</c:v>
                </c:pt>
                <c:pt idx="21">
                  <c:v>1.1304792156430936E+16</c:v>
                </c:pt>
                <c:pt idx="22">
                  <c:v>1.060261174799888E+16</c:v>
                </c:pt>
                <c:pt idx="23">
                  <c:v>9949873671104586</c:v>
                </c:pt>
                <c:pt idx="24">
                  <c:v>9332678772147270</c:v>
                </c:pt>
                <c:pt idx="25">
                  <c:v>8754445669875415</c:v>
                </c:pt>
                <c:pt idx="26">
                  <c:v>8211088727205681</c:v>
                </c:pt>
                <c:pt idx="27">
                  <c:v>7702864378172585</c:v>
                </c:pt>
                <c:pt idx="28">
                  <c:v>7226807255739606</c:v>
                </c:pt>
                <c:pt idx="29">
                  <c:v>6777655477861600</c:v>
                </c:pt>
                <c:pt idx="30">
                  <c:v>6355404294101230</c:v>
                </c:pt>
                <c:pt idx="31">
                  <c:v>5958129488975963</c:v>
                </c:pt>
                <c:pt idx="32">
                  <c:v>5589119782351897</c:v>
                </c:pt>
                <c:pt idx="33">
                  <c:v>5240117478900220</c:v>
                </c:pt>
                <c:pt idx="34">
                  <c:v>4912154763705846</c:v>
                </c:pt>
                <c:pt idx="35">
                  <c:v>4608586025899594</c:v>
                </c:pt>
                <c:pt idx="36">
                  <c:v>4320303762359763.5</c:v>
                </c:pt>
                <c:pt idx="37">
                  <c:v>4047128628949139</c:v>
                </c:pt>
                <c:pt idx="38">
                  <c:v>3792086185908158</c:v>
                </c:pt>
                <c:pt idx="39">
                  <c:v>3558946252789221</c:v>
                </c:pt>
                <c:pt idx="40">
                  <c:v>3334347137827984.5</c:v>
                </c:pt>
                <c:pt idx="41">
                  <c:v>3126622200397877.5</c:v>
                </c:pt>
                <c:pt idx="42">
                  <c:v>2931046234871819.5</c:v>
                </c:pt>
                <c:pt idx="43">
                  <c:v>2748983842134609.5</c:v>
                </c:pt>
                <c:pt idx="44">
                  <c:v>2574693173309647</c:v>
                </c:pt>
                <c:pt idx="45">
                  <c:v>2414878703535606</c:v>
                </c:pt>
                <c:pt idx="46">
                  <c:v>2266083458860126</c:v>
                </c:pt>
                <c:pt idx="47">
                  <c:v>2125971438414307.2</c:v>
                </c:pt>
                <c:pt idx="48">
                  <c:v>1989964370513321.7</c:v>
                </c:pt>
                <c:pt idx="49">
                  <c:v>1864797110184122.7</c:v>
                </c:pt>
                <c:pt idx="50">
                  <c:v>1746876132224575.2</c:v>
                </c:pt>
                <c:pt idx="51">
                  <c:v>1638419307940451.7</c:v>
                </c:pt>
                <c:pt idx="52">
                  <c:v>1535491452734925.7</c:v>
                </c:pt>
                <c:pt idx="53">
                  <c:v>1439826951286905</c:v>
                </c:pt>
                <c:pt idx="54">
                  <c:v>1350685112988696.7</c:v>
                </c:pt>
                <c:pt idx="55">
                  <c:v>1264012780965972.5</c:v>
                </c:pt>
                <c:pt idx="56">
                  <c:v>1184160970027498.7</c:v>
                </c:pt>
                <c:pt idx="57">
                  <c:v>1110287849279556</c:v>
                </c:pt>
                <c:pt idx="58">
                  <c:v>1037141572389604.9</c:v>
                </c:pt>
                <c:pt idx="59">
                  <c:v>977772529288657.12</c:v>
                </c:pt>
                <c:pt idx="60">
                  <c:v>916903108915604.37</c:v>
                </c:pt>
                <c:pt idx="61">
                  <c:v>858506603042324.75</c:v>
                </c:pt>
                <c:pt idx="62">
                  <c:v>805968056995728.62</c:v>
                </c:pt>
                <c:pt idx="63">
                  <c:v>755879257963518.75</c:v>
                </c:pt>
                <c:pt idx="64">
                  <c:v>707967165894605.37</c:v>
                </c:pt>
                <c:pt idx="65">
                  <c:v>661500068404725.5</c:v>
                </c:pt>
                <c:pt idx="66">
                  <c:v>620802574185446.37</c:v>
                </c:pt>
                <c:pt idx="67">
                  <c:v>582300309816828.12</c:v>
                </c:pt>
                <c:pt idx="68">
                  <c:v>545005614705632.69</c:v>
                </c:pt>
                <c:pt idx="69">
                  <c:v>510151221833608</c:v>
                </c:pt>
                <c:pt idx="70">
                  <c:v>479049614787834.69</c:v>
                </c:pt>
                <c:pt idx="71">
                  <c:v>447499320366370.12</c:v>
                </c:pt>
                <c:pt idx="72">
                  <c:v>421958337673397.69</c:v>
                </c:pt>
                <c:pt idx="73">
                  <c:v>395562562247333.37</c:v>
                </c:pt>
                <c:pt idx="74">
                  <c:v>369634442045838.12</c:v>
                </c:pt>
                <c:pt idx="75">
                  <c:v>346770608412038.75</c:v>
                </c:pt>
                <c:pt idx="76">
                  <c:v>324034467606479.87</c:v>
                </c:pt>
                <c:pt idx="77">
                  <c:v>301783714180183.19</c:v>
                </c:pt>
                <c:pt idx="78">
                  <c:v>284296418020692.37</c:v>
                </c:pt>
                <c:pt idx="79">
                  <c:v>264637960521095.53</c:v>
                </c:pt>
                <c:pt idx="80">
                  <c:v>248774139642154.78</c:v>
                </c:pt>
                <c:pt idx="81">
                  <c:v>234293024261246.03</c:v>
                </c:pt>
                <c:pt idx="82">
                  <c:v>218706869289315.84</c:v>
                </c:pt>
                <c:pt idx="83">
                  <c:v>204618740201941.09</c:v>
                </c:pt>
                <c:pt idx="84">
                  <c:v>192789613599166.78</c:v>
                </c:pt>
                <c:pt idx="85">
                  <c:v>180885870525468.53</c:v>
                </c:pt>
                <c:pt idx="86">
                  <c:v>168995550058679.34</c:v>
                </c:pt>
                <c:pt idx="87">
                  <c:v>159441084468022.37</c:v>
                </c:pt>
                <c:pt idx="88">
                  <c:v>151539967661566.34</c:v>
                </c:pt>
                <c:pt idx="89">
                  <c:v>140420087935484.69</c:v>
                </c:pt>
                <c:pt idx="90">
                  <c:v>133209306812886.22</c:v>
                </c:pt>
                <c:pt idx="91">
                  <c:v>122082574445884.41</c:v>
                </c:pt>
                <c:pt idx="92">
                  <c:v>113806058023587.89</c:v>
                </c:pt>
                <c:pt idx="93">
                  <c:v>105129014300299.64</c:v>
                </c:pt>
                <c:pt idx="94">
                  <c:v>100312421108554.37</c:v>
                </c:pt>
                <c:pt idx="95">
                  <c:v>92904360815706.812</c:v>
                </c:pt>
                <c:pt idx="96">
                  <c:v>84717255660120.922</c:v>
                </c:pt>
                <c:pt idx="97">
                  <c:v>81107387371609.891</c:v>
                </c:pt>
                <c:pt idx="98">
                  <c:v>73690460933525.922</c:v>
                </c:pt>
                <c:pt idx="99">
                  <c:v>70755458155712.453</c:v>
                </c:pt>
                <c:pt idx="100">
                  <c:v>69709400525523.984</c:v>
                </c:pt>
                <c:pt idx="101">
                  <c:v>64163141544923.742</c:v>
                </c:pt>
                <c:pt idx="102">
                  <c:v>59549733263458.203</c:v>
                </c:pt>
                <c:pt idx="103">
                  <c:v>56389325825649.625</c:v>
                </c:pt>
                <c:pt idx="104">
                  <c:v>54099898148273.883</c:v>
                </c:pt>
                <c:pt idx="105">
                  <c:v>45501501107646.414</c:v>
                </c:pt>
                <c:pt idx="106">
                  <c:v>43939725689345.164</c:v>
                </c:pt>
                <c:pt idx="107">
                  <c:v>41800301029689.781</c:v>
                </c:pt>
                <c:pt idx="108">
                  <c:v>41019918286339.937</c:v>
                </c:pt>
                <c:pt idx="109">
                  <c:v>38073114983681.875</c:v>
                </c:pt>
                <c:pt idx="110">
                  <c:v>33310224587328.258</c:v>
                </c:pt>
                <c:pt idx="111">
                  <c:v>32646757858004.84</c:v>
                </c:pt>
                <c:pt idx="112">
                  <c:v>29186774225621.66</c:v>
                </c:pt>
                <c:pt idx="113">
                  <c:v>27342694042775.578</c:v>
                </c:pt>
                <c:pt idx="114">
                  <c:v>26449772194609.785</c:v>
                </c:pt>
                <c:pt idx="115">
                  <c:v>26881842656070.645</c:v>
                </c:pt>
                <c:pt idx="116">
                  <c:v>26132991744537.996</c:v>
                </c:pt>
                <c:pt idx="117">
                  <c:v>25960251382945.242</c:v>
                </c:pt>
                <c:pt idx="118">
                  <c:v>24952516219816.461</c:v>
                </c:pt>
              </c:numCache>
            </c:numRef>
          </c:xVal>
          <c:yVal>
            <c:numRef>
              <c:f>Calc!$U$12:$U$130</c:f>
              <c:numCache>
                <c:formatCode>0</c:formatCode>
                <c:ptCount val="119"/>
                <c:pt idx="0">
                  <c:v>-182818.15310785372</c:v>
                </c:pt>
                <c:pt idx="1">
                  <c:v>-180104.72639010556</c:v>
                </c:pt>
                <c:pt idx="2">
                  <c:v>-172426.44248937769</c:v>
                </c:pt>
                <c:pt idx="3">
                  <c:v>-163432.60208113439</c:v>
                </c:pt>
                <c:pt idx="4">
                  <c:v>-154216.29948267125</c:v>
                </c:pt>
                <c:pt idx="5">
                  <c:v>-144806.1780983932</c:v>
                </c:pt>
                <c:pt idx="6">
                  <c:v>-135535.83234148414</c:v>
                </c:pt>
                <c:pt idx="7">
                  <c:v>-126549.91365413069</c:v>
                </c:pt>
                <c:pt idx="8">
                  <c:v>-117886.37830276361</c:v>
                </c:pt>
                <c:pt idx="9">
                  <c:v>-109535.52906683456</c:v>
                </c:pt>
                <c:pt idx="10">
                  <c:v>-101559.41237189106</c:v>
                </c:pt>
                <c:pt idx="11">
                  <c:v>-93996.384495369464</c:v>
                </c:pt>
                <c:pt idx="12">
                  <c:v>-86742.210688685707</c:v>
                </c:pt>
                <c:pt idx="13">
                  <c:v>-79876.001012934605</c:v>
                </c:pt>
                <c:pt idx="14">
                  <c:v>-73346.928791040715</c:v>
                </c:pt>
                <c:pt idx="15">
                  <c:v>-67148.314007982539</c:v>
                </c:pt>
                <c:pt idx="16">
                  <c:v>-61303.703858771099</c:v>
                </c:pt>
                <c:pt idx="17">
                  <c:v>-55767.423109263982</c:v>
                </c:pt>
                <c:pt idx="18">
                  <c:v>-50569.633002261369</c:v>
                </c:pt>
                <c:pt idx="19">
                  <c:v>-45662.92113270743</c:v>
                </c:pt>
                <c:pt idx="20">
                  <c:v>-41041.670573358715</c:v>
                </c:pt>
                <c:pt idx="21">
                  <c:v>-36698.97075431532</c:v>
                </c:pt>
                <c:pt idx="22">
                  <c:v>-32614.880194143603</c:v>
                </c:pt>
                <c:pt idx="23">
                  <c:v>-28818.360971880829</c:v>
                </c:pt>
                <c:pt idx="24">
                  <c:v>-25228.571467148984</c:v>
                </c:pt>
                <c:pt idx="25">
                  <c:v>-21865.395385605261</c:v>
                </c:pt>
                <c:pt idx="26">
                  <c:v>-18705.069444133267</c:v>
                </c:pt>
                <c:pt idx="27">
                  <c:v>-15749.085139515169</c:v>
                </c:pt>
                <c:pt idx="28">
                  <c:v>-12980.19501315504</c:v>
                </c:pt>
                <c:pt idx="29">
                  <c:v>-10367.794390625553</c:v>
                </c:pt>
                <c:pt idx="30">
                  <c:v>-7911.8556419671659</c:v>
                </c:pt>
                <c:pt idx="31">
                  <c:v>-5601.1869563666041</c:v>
                </c:pt>
                <c:pt idx="32">
                  <c:v>-3454.9165088610753</c:v>
                </c:pt>
                <c:pt idx="33">
                  <c:v>-1425.0150819785558</c:v>
                </c:pt>
                <c:pt idx="34">
                  <c:v>482.51382815513352</c:v>
                </c:pt>
                <c:pt idx="35">
                  <c:v>2248.1600944845995</c:v>
                </c:pt>
                <c:pt idx="36">
                  <c:v>3924.8956699145456</c:v>
                </c:pt>
                <c:pt idx="37">
                  <c:v>5513.7636734056105</c:v>
                </c:pt>
                <c:pt idx="38">
                  <c:v>6997.1665447456071</c:v>
                </c:pt>
                <c:pt idx="39">
                  <c:v>8353.1778897164368</c:v>
                </c:pt>
                <c:pt idx="40">
                  <c:v>9659.5132904496604</c:v>
                </c:pt>
                <c:pt idx="41">
                  <c:v>10867.703444835959</c:v>
                </c:pt>
                <c:pt idx="42">
                  <c:v>12005.23155728362</c:v>
                </c:pt>
                <c:pt idx="43">
                  <c:v>13064.160702288758</c:v>
                </c:pt>
                <c:pt idx="44">
                  <c:v>14077.887184438141</c:v>
                </c:pt>
                <c:pt idx="45">
                  <c:v>15007.4157778668</c:v>
                </c:pt>
                <c:pt idx="46">
                  <c:v>15872.853273530523</c:v>
                </c:pt>
                <c:pt idx="47">
                  <c:v>16687.786548793963</c:v>
                </c:pt>
                <c:pt idx="48">
                  <c:v>17478.844196459446</c:v>
                </c:pt>
                <c:pt idx="49">
                  <c:v>18206.85429217618</c:v>
                </c:pt>
                <c:pt idx="50">
                  <c:v>18892.717849671615</c:v>
                </c:pt>
                <c:pt idx="51">
                  <c:v>19523.535068332094</c:v>
                </c:pt>
                <c:pt idx="52">
                  <c:v>20122.194154765843</c:v>
                </c:pt>
                <c:pt idx="53">
                  <c:v>20678.607410697921</c:v>
                </c:pt>
                <c:pt idx="54">
                  <c:v>21197.082913486451</c:v>
                </c:pt>
                <c:pt idx="55">
                  <c:v>21701.195031670577</c:v>
                </c:pt>
                <c:pt idx="56">
                  <c:v>22165.636966179482</c:v>
                </c:pt>
                <c:pt idx="57">
                  <c:v>22595.305056422549</c:v>
                </c:pt>
                <c:pt idx="58">
                  <c:v>23020.745606131168</c:v>
                </c:pt>
                <c:pt idx="59">
                  <c:v>23366.053657428743</c:v>
                </c:pt>
                <c:pt idx="60">
                  <c:v>23720.088350170761</c:v>
                </c:pt>
                <c:pt idx="61">
                  <c:v>24059.739835059991</c:v>
                </c:pt>
                <c:pt idx="62">
                  <c:v>24365.319679466622</c:v>
                </c:pt>
                <c:pt idx="63">
                  <c:v>24656.651065021193</c:v>
                </c:pt>
                <c:pt idx="64">
                  <c:v>24935.322074048159</c:v>
                </c:pt>
                <c:pt idx="65">
                  <c:v>25205.58856388196</c:v>
                </c:pt>
                <c:pt idx="66">
                  <c:v>25442.29732130051</c:v>
                </c:pt>
                <c:pt idx="67">
                  <c:v>25666.23796755727</c:v>
                </c:pt>
                <c:pt idx="68">
                  <c:v>25883.155031062684</c:v>
                </c:pt>
                <c:pt idx="69">
                  <c:v>26085.878569343982</c:v>
                </c:pt>
                <c:pt idx="70">
                  <c:v>26266.774786635844</c:v>
                </c:pt>
                <c:pt idx="71">
                  <c:v>26450.280703448687</c:v>
                </c:pt>
                <c:pt idx="72">
                  <c:v>26598.834672003297</c:v>
                </c:pt>
                <c:pt idx="73">
                  <c:v>26752.36036988872</c:v>
                </c:pt>
                <c:pt idx="74">
                  <c:v>26903.16604559018</c:v>
                </c:pt>
                <c:pt idx="75">
                  <c:v>27036.148917216644</c:v>
                </c:pt>
                <c:pt idx="76">
                  <c:v>27168.389089291599</c:v>
                </c:pt>
                <c:pt idx="77">
                  <c:v>27297.806103685329</c:v>
                </c:pt>
                <c:pt idx="78">
                  <c:v>27399.51743073215</c:v>
                </c:pt>
                <c:pt idx="79">
                  <c:v>27513.856879309074</c:v>
                </c:pt>
                <c:pt idx="80">
                  <c:v>27606.125590201493</c:v>
                </c:pt>
                <c:pt idx="81">
                  <c:v>27690.352073762875</c:v>
                </c:pt>
                <c:pt idx="82">
                  <c:v>27781.005796973939</c:v>
                </c:pt>
                <c:pt idx="83">
                  <c:v>27862.946555111448</c:v>
                </c:pt>
                <c:pt idx="84">
                  <c:v>27931.748281438937</c:v>
                </c:pt>
                <c:pt idx="85">
                  <c:v>28000.98399940287</c:v>
                </c:pt>
                <c:pt idx="86">
                  <c:v>28070.14164748403</c:v>
                </c:pt>
                <c:pt idx="87">
                  <c:v>28125.713267337997</c:v>
                </c:pt>
                <c:pt idx="88">
                  <c:v>28171.668517835678</c:v>
                </c:pt>
                <c:pt idx="89">
                  <c:v>28236.345052917233</c:v>
                </c:pt>
                <c:pt idx="90">
                  <c:v>28278.285105303527</c:v>
                </c:pt>
                <c:pt idx="91">
                  <c:v>28343.001497387293</c:v>
                </c:pt>
                <c:pt idx="92">
                  <c:v>28391.140183949177</c:v>
                </c:pt>
                <c:pt idx="93">
                  <c:v>28441.608456682123</c:v>
                </c:pt>
                <c:pt idx="94">
                  <c:v>28469.623198407146</c:v>
                </c:pt>
                <c:pt idx="95">
                  <c:v>28512.710685252241</c:v>
                </c:pt>
                <c:pt idx="96">
                  <c:v>28560.329329235381</c:v>
                </c:pt>
                <c:pt idx="97">
                  <c:v>28581.325399224705</c:v>
                </c:pt>
                <c:pt idx="98">
                  <c:v>28624.464454213303</c:v>
                </c:pt>
                <c:pt idx="99">
                  <c:v>28641.535305229656</c:v>
                </c:pt>
                <c:pt idx="100">
                  <c:v>28647.619488213895</c:v>
                </c:pt>
                <c:pt idx="101">
                  <c:v>28679.878183664423</c:v>
                </c:pt>
                <c:pt idx="102">
                  <c:v>28706.711141386248</c:v>
                </c:pt>
                <c:pt idx="103">
                  <c:v>28725.093013093367</c:v>
                </c:pt>
                <c:pt idx="104">
                  <c:v>28738.409006893657</c:v>
                </c:pt>
                <c:pt idx="105">
                  <c:v>28788.419847077377</c:v>
                </c:pt>
                <c:pt idx="106">
                  <c:v>28797.503598441555</c:v>
                </c:pt>
                <c:pt idx="107">
                  <c:v>28809.94712997814</c:v>
                </c:pt>
                <c:pt idx="108">
                  <c:v>28814.486068628612</c:v>
                </c:pt>
                <c:pt idx="109">
                  <c:v>28831.62555501494</c:v>
                </c:pt>
                <c:pt idx="110">
                  <c:v>28859.327945274326</c:v>
                </c:pt>
                <c:pt idx="111">
                  <c:v>28863.186865537096</c:v>
                </c:pt>
                <c:pt idx="112">
                  <c:v>28883.31116168902</c:v>
                </c:pt>
                <c:pt idx="113">
                  <c:v>28894.036881712709</c:v>
                </c:pt>
                <c:pt idx="114">
                  <c:v>28899.230381342251</c:v>
                </c:pt>
                <c:pt idx="115">
                  <c:v>28896.717330747575</c:v>
                </c:pt>
                <c:pt idx="116">
                  <c:v>28901.072870865242</c:v>
                </c:pt>
                <c:pt idx="117">
                  <c:v>28902.077580298417</c:v>
                </c:pt>
                <c:pt idx="118">
                  <c:v>28907.938868391142</c:v>
                </c:pt>
              </c:numCache>
            </c:numRef>
          </c:yVal>
          <c:smooth val="0"/>
        </c:ser>
        <c:ser>
          <c:idx val="3"/>
          <c:order val="3"/>
          <c:tx>
            <c:v>Specified MCD</c:v>
          </c:tx>
          <c:spPr>
            <a:ln w="28575">
              <a:noFill/>
            </a:ln>
          </c:spPr>
          <c:marker>
            <c:symbol val="diamond"/>
            <c:size val="15"/>
            <c:spPr>
              <a:solidFill>
                <a:srgbClr val="FF0000"/>
              </a:solidFill>
              <a:ln>
                <a:noFill/>
              </a:ln>
            </c:spPr>
          </c:marker>
          <c:xVal>
            <c:numRef>
              <c:f>Calc!$O$6</c:f>
              <c:numCache>
                <c:formatCode>0.00E+00</c:formatCode>
                <c:ptCount val="1"/>
                <c:pt idx="0">
                  <c:v>1000000000000000</c:v>
                </c:pt>
              </c:numCache>
            </c:numRef>
          </c:xVal>
          <c:yVal>
            <c:numRef>
              <c:f>Calc!$X$6</c:f>
              <c:numCache>
                <c:formatCode>0.00E+00</c:formatCode>
                <c:ptCount val="1"/>
                <c:pt idx="0">
                  <c:v>23236.772062245254</c:v>
                </c:pt>
              </c:numCache>
            </c:numRef>
          </c:yVal>
          <c:smooth val="0"/>
        </c:ser>
        <c:dLbls>
          <c:showLegendKey val="0"/>
          <c:showVal val="0"/>
          <c:showCatName val="0"/>
          <c:showSerName val="0"/>
          <c:showPercent val="0"/>
          <c:showBubbleSize val="0"/>
        </c:dLbls>
        <c:axId val="142857728"/>
        <c:axId val="142876672"/>
      </c:scatterChart>
      <c:valAx>
        <c:axId val="142857728"/>
        <c:scaling>
          <c:orientation val="minMax"/>
          <c:min val="0"/>
        </c:scaling>
        <c:delete val="0"/>
        <c:axPos val="b"/>
        <c:majorGridlines/>
        <c:title>
          <c:tx>
            <c:rich>
              <a:bodyPr/>
              <a:lstStyle/>
              <a:p>
                <a:pPr>
                  <a:defRPr sz="1200"/>
                </a:pPr>
                <a:r>
                  <a:rPr lang="en-US" sz="1200"/>
                  <a:t>Minority Carrier Density (cm-3)</a:t>
                </a:r>
              </a:p>
            </c:rich>
          </c:tx>
          <c:layout/>
          <c:overlay val="0"/>
        </c:title>
        <c:numFmt formatCode="0.00E+00" sourceLinked="1"/>
        <c:majorTickMark val="out"/>
        <c:minorTickMark val="none"/>
        <c:tickLblPos val="nextTo"/>
        <c:txPr>
          <a:bodyPr/>
          <a:lstStyle/>
          <a:p>
            <a:pPr>
              <a:defRPr b="1"/>
            </a:pPr>
            <a:endParaRPr lang="en-US"/>
          </a:p>
        </c:txPr>
        <c:crossAx val="142876672"/>
        <c:crosses val="autoZero"/>
        <c:crossBetween val="midCat"/>
      </c:valAx>
      <c:valAx>
        <c:axId val="142876672"/>
        <c:scaling>
          <c:orientation val="minMax"/>
          <c:max val="92953.936000977454"/>
          <c:min val="0"/>
        </c:scaling>
        <c:delete val="0"/>
        <c:axPos val="l"/>
        <c:majorGridlines/>
        <c:title>
          <c:tx>
            <c:rich>
              <a:bodyPr rot="-5400000" vert="horz"/>
              <a:lstStyle/>
              <a:p>
                <a:pPr>
                  <a:defRPr sz="1200"/>
                </a:pPr>
                <a:r>
                  <a:rPr lang="en-US" sz="1200"/>
                  <a:t>Inverse Lifetime - Correction Term (s-1)</a:t>
                </a:r>
              </a:p>
            </c:rich>
          </c:tx>
          <c:layout/>
          <c:overlay val="0"/>
        </c:title>
        <c:numFmt formatCode="0" sourceLinked="0"/>
        <c:majorTickMark val="out"/>
        <c:minorTickMark val="none"/>
        <c:tickLblPos val="nextTo"/>
        <c:spPr>
          <a:ln>
            <a:solidFill>
              <a:schemeClr val="tx1"/>
            </a:solidFill>
          </a:ln>
        </c:spPr>
        <c:txPr>
          <a:bodyPr/>
          <a:lstStyle/>
          <a:p>
            <a:pPr>
              <a:defRPr b="1"/>
            </a:pPr>
            <a:endParaRPr lang="en-US"/>
          </a:p>
        </c:txPr>
        <c:crossAx val="142857728"/>
        <c:crosses val="autoZero"/>
        <c:crossBetween val="midCat"/>
      </c:valAx>
      <c:spPr>
        <a:ln>
          <a:solidFill>
            <a:sysClr val="windowText" lastClr="000000"/>
          </a:solidFill>
        </a:ln>
      </c:spPr>
    </c:plotArea>
    <c:legend>
      <c:legendPos val="r"/>
      <c:layout>
        <c:manualLayout>
          <c:xMode val="edge"/>
          <c:yMode val="edge"/>
          <c:x val="0.57877271402685992"/>
          <c:y val="0.1115347546143608"/>
          <c:w val="0.32661361475316442"/>
          <c:h val="0.21144203458875244"/>
        </c:manualLayout>
      </c:layout>
      <c:overlay val="0"/>
      <c:spPr>
        <a:solidFill>
          <a:schemeClr val="bg1"/>
        </a:solidFill>
        <a:ln>
          <a:solidFill>
            <a:schemeClr val="tx1"/>
          </a:solidFill>
        </a:ln>
      </c:spPr>
    </c:legend>
    <c:plotVisOnly val="1"/>
    <c:dispBlanksAs val="gap"/>
    <c:showDLblsOverMax val="0"/>
  </c:chart>
  <c:txPr>
    <a:bodyPr/>
    <a:lstStyle/>
    <a:p>
      <a:pPr>
        <a:defRPr>
          <a:latin typeface="+mn-lt"/>
        </a:defRPr>
      </a:pPr>
      <a:endParaRPr lang="en-US"/>
    </a:p>
  </c:txPr>
  <c:printSettings>
    <c:headerFooter/>
    <c:pageMargins b="0.7500000000000101" l="0.70000000000000062" r="0.70000000000000062" t="0.750000000000010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Implied Voc</a:t>
            </a:r>
          </a:p>
        </c:rich>
      </c:tx>
      <c:layout/>
      <c:overlay val="0"/>
    </c:title>
    <c:autoTitleDeleted val="0"/>
    <c:plotArea>
      <c:layout>
        <c:manualLayout>
          <c:layoutTarget val="inner"/>
          <c:xMode val="edge"/>
          <c:yMode val="edge"/>
          <c:x val="0.14277989739770244"/>
          <c:y val="0.11914712828758829"/>
          <c:w val="0.78211048011508755"/>
          <c:h val="0.74692073241282175"/>
        </c:manualLayout>
      </c:layout>
      <c:scatterChart>
        <c:scatterStyle val="lineMarker"/>
        <c:varyColors val="0"/>
        <c:ser>
          <c:idx val="0"/>
          <c:order val="0"/>
          <c:tx>
            <c:v>Implied Voc</c:v>
          </c:tx>
          <c:spPr>
            <a:ln w="28575">
              <a:noFill/>
            </a:ln>
          </c:spPr>
          <c:marker>
            <c:symbol val="diamond"/>
            <c:size val="4"/>
            <c:spPr>
              <a:solidFill>
                <a:srgbClr val="2004EC"/>
              </a:solidFill>
              <a:ln>
                <a:solidFill>
                  <a:srgbClr val="2004EC"/>
                </a:solidFill>
              </a:ln>
            </c:spPr>
          </c:marker>
          <c:xVal>
            <c:numRef>
              <c:f>Calc!$X$15:$X$130</c:f>
              <c:numCache>
                <c:formatCode>0.0000</c:formatCode>
                <c:ptCount val="116"/>
                <c:pt idx="0">
                  <c:v>0.7815903094127099</c:v>
                </c:pt>
                <c:pt idx="1">
                  <c:v>0.77918996536553509</c:v>
                </c:pt>
                <c:pt idx="2">
                  <c:v>0.77661732469406453</c:v>
                </c:pt>
                <c:pt idx="3">
                  <c:v>0.7739499306040879</c:v>
                </c:pt>
                <c:pt idx="4">
                  <c:v>0.77122461546225862</c:v>
                </c:pt>
                <c:pt idx="5">
                  <c:v>0.76845214665541339</c:v>
                </c:pt>
                <c:pt idx="6">
                  <c:v>0.76562959832827859</c:v>
                </c:pt>
                <c:pt idx="7">
                  <c:v>0.76278001972916709</c:v>
                </c:pt>
                <c:pt idx="8">
                  <c:v>0.75992293448829007</c:v>
                </c:pt>
                <c:pt idx="9">
                  <c:v>0.7570237392799144</c:v>
                </c:pt>
                <c:pt idx="10">
                  <c:v>0.75411912669221359</c:v>
                </c:pt>
                <c:pt idx="11">
                  <c:v>0.75119477911868449</c:v>
                </c:pt>
                <c:pt idx="12">
                  <c:v>0.74825406348306323</c:v>
                </c:pt>
                <c:pt idx="13">
                  <c:v>0.74531658391829847</c:v>
                </c:pt>
                <c:pt idx="14">
                  <c:v>0.74236839142105959</c:v>
                </c:pt>
                <c:pt idx="15">
                  <c:v>0.73943557188529951</c:v>
                </c:pt>
                <c:pt idx="16">
                  <c:v>0.73650228658171146</c:v>
                </c:pt>
                <c:pt idx="17">
                  <c:v>0.73357522123657415</c:v>
                </c:pt>
                <c:pt idx="18">
                  <c:v>0.73066114971444696</c:v>
                </c:pt>
                <c:pt idx="19">
                  <c:v>0.72775816616436406</c:v>
                </c:pt>
                <c:pt idx="20">
                  <c:v>0.72490090573289834</c:v>
                </c:pt>
                <c:pt idx="21">
                  <c:v>0.72204125200905045</c:v>
                </c:pt>
                <c:pt idx="22">
                  <c:v>0.71920567799794333</c:v>
                </c:pt>
                <c:pt idx="23">
                  <c:v>0.7163862512844571</c:v>
                </c:pt>
                <c:pt idx="24">
                  <c:v>0.71359665950511197</c:v>
                </c:pt>
                <c:pt idx="25">
                  <c:v>0.71083363010950273</c:v>
                </c:pt>
                <c:pt idx="26">
                  <c:v>0.70807750985131535</c:v>
                </c:pt>
                <c:pt idx="27">
                  <c:v>0.70533818711802598</c:v>
                </c:pt>
                <c:pt idx="28">
                  <c:v>0.70261365308956614</c:v>
                </c:pt>
                <c:pt idx="29">
                  <c:v>0.69993947689992908</c:v>
                </c:pt>
                <c:pt idx="30">
                  <c:v>0.69726762195906988</c:v>
                </c:pt>
                <c:pt idx="31">
                  <c:v>0.69461501653899715</c:v>
                </c:pt>
                <c:pt idx="32">
                  <c:v>0.69202232426943167</c:v>
                </c:pt>
                <c:pt idx="33">
                  <c:v>0.68942300478409613</c:v>
                </c:pt>
                <c:pt idx="34">
                  <c:v>0.68682147806330651</c:v>
                </c:pt>
                <c:pt idx="35">
                  <c:v>0.68425604079343261</c:v>
                </c:pt>
                <c:pt idx="36">
                  <c:v>0.68178133758429993</c:v>
                </c:pt>
                <c:pt idx="37">
                  <c:v>0.67926584899481823</c:v>
                </c:pt>
                <c:pt idx="38">
                  <c:v>0.67681044245865807</c:v>
                </c:pt>
                <c:pt idx="39">
                  <c:v>0.67437140666241324</c:v>
                </c:pt>
                <c:pt idx="40">
                  <c:v>0.67197630477870152</c:v>
                </c:pt>
                <c:pt idx="41">
                  <c:v>0.66955686938658643</c:v>
                </c:pt>
                <c:pt idx="42">
                  <c:v>0.66721600897151734</c:v>
                </c:pt>
                <c:pt idx="43">
                  <c:v>0.66491817676915543</c:v>
                </c:pt>
                <c:pt idx="44">
                  <c:v>0.66263714500022575</c:v>
                </c:pt>
                <c:pt idx="45">
                  <c:v>0.66030042510584885</c:v>
                </c:pt>
                <c:pt idx="46">
                  <c:v>0.65802970866623067</c:v>
                </c:pt>
                <c:pt idx="47">
                  <c:v>0.65577142333295158</c:v>
                </c:pt>
                <c:pt idx="48">
                  <c:v>0.65357937454395443</c:v>
                </c:pt>
                <c:pt idx="49">
                  <c:v>0.65138404859408527</c:v>
                </c:pt>
                <c:pt idx="50">
                  <c:v>0.64923030366475387</c:v>
                </c:pt>
                <c:pt idx="51">
                  <c:v>0.64711246480899087</c:v>
                </c:pt>
                <c:pt idx="52">
                  <c:v>0.64493729772294106</c:v>
                </c:pt>
                <c:pt idx="53">
                  <c:v>0.64281875932117727</c:v>
                </c:pt>
                <c:pt idx="54">
                  <c:v>0.64074805824421699</c:v>
                </c:pt>
                <c:pt idx="55">
                  <c:v>0.63857873735953929</c:v>
                </c:pt>
                <c:pt idx="56">
                  <c:v>0.63671961690071222</c:v>
                </c:pt>
                <c:pt idx="57">
                  <c:v>0.63471002111138586</c:v>
                </c:pt>
                <c:pt idx="58">
                  <c:v>0.63267085938428669</c:v>
                </c:pt>
                <c:pt idx="59">
                  <c:v>0.63073083308049893</c:v>
                </c:pt>
                <c:pt idx="60">
                  <c:v>0.62877591415436285</c:v>
                </c:pt>
                <c:pt idx="61">
                  <c:v>0.62679690583099479</c:v>
                </c:pt>
                <c:pt idx="62">
                  <c:v>0.62476178434695762</c:v>
                </c:pt>
                <c:pt idx="63">
                  <c:v>0.62287286408021192</c:v>
                </c:pt>
                <c:pt idx="64">
                  <c:v>0.62098182930496848</c:v>
                </c:pt>
                <c:pt idx="65">
                  <c:v>0.61904066713632067</c:v>
                </c:pt>
                <c:pt idx="66">
                  <c:v>0.61711580197152549</c:v>
                </c:pt>
                <c:pt idx="67">
                  <c:v>0.61529551953055839</c:v>
                </c:pt>
                <c:pt idx="68">
                  <c:v>0.61333635689338273</c:v>
                </c:pt>
                <c:pt idx="69">
                  <c:v>0.61165621111019541</c:v>
                </c:pt>
                <c:pt idx="70">
                  <c:v>0.60981941562625908</c:v>
                </c:pt>
                <c:pt idx="71">
                  <c:v>0.6079024356599344</c:v>
                </c:pt>
                <c:pt idx="72">
                  <c:v>0.60610648499772024</c:v>
                </c:pt>
                <c:pt idx="73">
                  <c:v>0.60420866466095469</c:v>
                </c:pt>
                <c:pt idx="74">
                  <c:v>0.60222781157405736</c:v>
                </c:pt>
                <c:pt idx="75">
                  <c:v>0.6005731800092533</c:v>
                </c:pt>
                <c:pt idx="76">
                  <c:v>0.59859553386589992</c:v>
                </c:pt>
                <c:pt idx="77">
                  <c:v>0.59689649057965677</c:v>
                </c:pt>
                <c:pt idx="78">
                  <c:v>0.59525408216413556</c:v>
                </c:pt>
                <c:pt idx="79">
                  <c:v>0.59337565754245714</c:v>
                </c:pt>
                <c:pt idx="80">
                  <c:v>0.59156535665178611</c:v>
                </c:pt>
                <c:pt idx="81">
                  <c:v>0.58995148003278575</c:v>
                </c:pt>
                <c:pt idx="82">
                  <c:v>0.58822930007381868</c:v>
                </c:pt>
                <c:pt idx="83">
                  <c:v>0.58639747828240607</c:v>
                </c:pt>
                <c:pt idx="84">
                  <c:v>0.58483382065443446</c:v>
                </c:pt>
                <c:pt idx="85">
                  <c:v>0.58347129535055353</c:v>
                </c:pt>
                <c:pt idx="86">
                  <c:v>0.58143324493360726</c:v>
                </c:pt>
                <c:pt idx="87">
                  <c:v>0.58002681049678906</c:v>
                </c:pt>
                <c:pt idx="88">
                  <c:v>0.5777053683257608</c:v>
                </c:pt>
                <c:pt idx="89">
                  <c:v>0.57584171984280863</c:v>
                </c:pt>
                <c:pt idx="90">
                  <c:v>0.57374108673268931</c:v>
                </c:pt>
                <c:pt idx="91">
                  <c:v>0.57250109409860439</c:v>
                </c:pt>
                <c:pt idx="92">
                  <c:v>0.57047600857641778</c:v>
                </c:pt>
                <c:pt idx="93">
                  <c:v>0.56804606688302317</c:v>
                </c:pt>
                <c:pt idx="94">
                  <c:v>0.56690088645820635</c:v>
                </c:pt>
                <c:pt idx="95">
                  <c:v>0.56438265881479321</c:v>
                </c:pt>
                <c:pt idx="96">
                  <c:v>0.56331690868120998</c:v>
                </c:pt>
                <c:pt idx="97">
                  <c:v>0.56292656115833384</c:v>
                </c:pt>
                <c:pt idx="98">
                  <c:v>0.56075579362327721</c:v>
                </c:pt>
                <c:pt idx="99">
                  <c:v>0.55880480463598203</c:v>
                </c:pt>
                <c:pt idx="100">
                  <c:v>0.55738050981095255</c:v>
                </c:pt>
                <c:pt idx="101">
                  <c:v>0.55629877919293458</c:v>
                </c:pt>
                <c:pt idx="102">
                  <c:v>0.55178844434221741</c:v>
                </c:pt>
                <c:pt idx="103">
                  <c:v>0.55087959008887177</c:v>
                </c:pt>
                <c:pt idx="104">
                  <c:v>0.54958137757742831</c:v>
                </c:pt>
                <c:pt idx="105">
                  <c:v>0.54909143134879779</c:v>
                </c:pt>
                <c:pt idx="106">
                  <c:v>0.54715435189664197</c:v>
                </c:pt>
                <c:pt idx="107">
                  <c:v>0.5436855914811014</c:v>
                </c:pt>
                <c:pt idx="108">
                  <c:v>0.54316379688066685</c:v>
                </c:pt>
                <c:pt idx="109">
                  <c:v>0.54025996380959218</c:v>
                </c:pt>
                <c:pt idx="110">
                  <c:v>0.53856951892860672</c:v>
                </c:pt>
                <c:pt idx="111">
                  <c:v>0.53770990194971369</c:v>
                </c:pt>
                <c:pt idx="112">
                  <c:v>0.53812939431639473</c:v>
                </c:pt>
                <c:pt idx="113">
                  <c:v>0.53739799973803093</c:v>
                </c:pt>
                <c:pt idx="114">
                  <c:v>0.53722633469189962</c:v>
                </c:pt>
                <c:pt idx="115">
                  <c:v>0.53620169655779659</c:v>
                </c:pt>
              </c:numCache>
            </c:numRef>
          </c:xVal>
          <c:yVal>
            <c:numRef>
              <c:f>Calc!$Y$15:$Y$130</c:f>
              <c:numCache>
                <c:formatCode>0.00</c:formatCode>
                <c:ptCount val="116"/>
                <c:pt idx="0">
                  <c:v>54.014044789661568</c:v>
                </c:pt>
                <c:pt idx="1">
                  <c:v>51.039979870716671</c:v>
                </c:pt>
                <c:pt idx="2">
                  <c:v>48.136626490961149</c:v>
                </c:pt>
                <c:pt idx="3">
                  <c:v>45.377525764626533</c:v>
                </c:pt>
                <c:pt idx="4">
                  <c:v>42.777455535892614</c:v>
                </c:pt>
                <c:pt idx="5">
                  <c:v>40.327575387521591</c:v>
                </c:pt>
                <c:pt idx="6">
                  <c:v>38.005105044659153</c:v>
                </c:pt>
                <c:pt idx="7">
                  <c:v>35.830614304403163</c:v>
                </c:pt>
                <c:pt idx="8">
                  <c:v>33.781163121716915</c:v>
                </c:pt>
                <c:pt idx="9">
                  <c:v>31.860790991654678</c:v>
                </c:pt>
                <c:pt idx="10">
                  <c:v>30.056558990047144</c:v>
                </c:pt>
                <c:pt idx="11">
                  <c:v>28.353238936204775</c:v>
                </c:pt>
                <c:pt idx="12">
                  <c:v>26.749540383600337</c:v>
                </c:pt>
                <c:pt idx="13">
                  <c:v>25.244867854631117</c:v>
                </c:pt>
                <c:pt idx="14">
                  <c:v>23.834088975056229</c:v>
                </c:pt>
                <c:pt idx="15">
                  <c:v>22.510155943762079</c:v>
                </c:pt>
                <c:pt idx="16">
                  <c:v>21.26319441791383</c:v>
                </c:pt>
                <c:pt idx="17">
                  <c:v>20.087479548437866</c:v>
                </c:pt>
                <c:pt idx="18">
                  <c:v>18.98704352015389</c:v>
                </c:pt>
                <c:pt idx="19">
                  <c:v>17.95128881045185</c:v>
                </c:pt>
                <c:pt idx="20">
                  <c:v>16.979223555713375</c:v>
                </c:pt>
                <c:pt idx="21">
                  <c:v>16.063015318294401</c:v>
                </c:pt>
                <c:pt idx="22">
                  <c:v>15.176584953814297</c:v>
                </c:pt>
                <c:pt idx="23">
                  <c:v>14.363239526403511</c:v>
                </c:pt>
                <c:pt idx="24">
                  <c:v>13.600285671762141</c:v>
                </c:pt>
                <c:pt idx="25">
                  <c:v>12.890071940305059</c:v>
                </c:pt>
                <c:pt idx="26">
                  <c:v>12.21765532305588</c:v>
                </c:pt>
                <c:pt idx="27">
                  <c:v>11.580310154121328</c:v>
                </c:pt>
                <c:pt idx="28">
                  <c:v>10.979685224381821</c:v>
                </c:pt>
                <c:pt idx="29">
                  <c:v>10.414097862656631</c:v>
                </c:pt>
                <c:pt idx="30">
                  <c:v>9.8772945710501077</c:v>
                </c:pt>
                <c:pt idx="31">
                  <c:v>9.3783283487878588</c:v>
                </c:pt>
                <c:pt idx="32">
                  <c:v>8.8946435932421117</c:v>
                </c:pt>
                <c:pt idx="33">
                  <c:v>8.4477281035435716</c:v>
                </c:pt>
                <c:pt idx="34">
                  <c:v>8.0187007452997001</c:v>
                </c:pt>
                <c:pt idx="35">
                  <c:v>7.615235779259236</c:v>
                </c:pt>
                <c:pt idx="36">
                  <c:v>7.2331814728027943</c:v>
                </c:pt>
                <c:pt idx="37">
                  <c:v>6.8728027420793412</c:v>
                </c:pt>
                <c:pt idx="38">
                  <c:v>6.532260644762971</c:v>
                </c:pt>
                <c:pt idx="39">
                  <c:v>6.2117856306414527</c:v>
                </c:pt>
                <c:pt idx="40">
                  <c:v>5.9069601693844733</c:v>
                </c:pt>
                <c:pt idx="41">
                  <c:v>5.6148115687377151</c:v>
                </c:pt>
                <c:pt idx="42">
                  <c:v>5.3412459460252251</c:v>
                </c:pt>
                <c:pt idx="43">
                  <c:v>5.0838820524734585</c:v>
                </c:pt>
                <c:pt idx="44">
                  <c:v>4.8363646399492586</c:v>
                </c:pt>
                <c:pt idx="45">
                  <c:v>4.6056274700223785</c:v>
                </c:pt>
                <c:pt idx="46">
                  <c:v>4.383609181217027</c:v>
                </c:pt>
                <c:pt idx="47">
                  <c:v>4.1695889008020091</c:v>
                </c:pt>
                <c:pt idx="48">
                  <c:v>3.9718380536898481</c:v>
                </c:pt>
                <c:pt idx="49">
                  <c:v>3.7821195134752159</c:v>
                </c:pt>
                <c:pt idx="50">
                  <c:v>3.6019167703379567</c:v>
                </c:pt>
                <c:pt idx="51">
                  <c:v>3.4300422759760392</c:v>
                </c:pt>
                <c:pt idx="52">
                  <c:v>3.2619706940383906</c:v>
                </c:pt>
                <c:pt idx="53">
                  <c:v>3.1080326030350118</c:v>
                </c:pt>
                <c:pt idx="54">
                  <c:v>2.9577979996448152</c:v>
                </c:pt>
                <c:pt idx="55">
                  <c:v>2.8143560465766959</c:v>
                </c:pt>
                <c:pt idx="56">
                  <c:v>2.6761950863952024</c:v>
                </c:pt>
                <c:pt idx="57">
                  <c:v>2.5477067528905444</c:v>
                </c:pt>
                <c:pt idx="58">
                  <c:v>2.4303931430346171</c:v>
                </c:pt>
                <c:pt idx="59">
                  <c:v>2.3163950930120292</c:v>
                </c:pt>
                <c:pt idx="60">
                  <c:v>2.2068751038752716</c:v>
                </c:pt>
                <c:pt idx="61">
                  <c:v>2.1025021872610901</c:v>
                </c:pt>
                <c:pt idx="62">
                  <c:v>1.9976797261328052</c:v>
                </c:pt>
                <c:pt idx="63">
                  <c:v>1.9039439298321899</c:v>
                </c:pt>
                <c:pt idx="64">
                  <c:v>1.8144075326520768</c:v>
                </c:pt>
                <c:pt idx="65">
                  <c:v>1.7269907160147449</c:v>
                </c:pt>
                <c:pt idx="66">
                  <c:v>1.64593148105232</c:v>
                </c:pt>
                <c:pt idx="67">
                  <c:v>1.5663981667804474</c:v>
                </c:pt>
                <c:pt idx="68">
                  <c:v>1.4928496203698254</c:v>
                </c:pt>
                <c:pt idx="69">
                  <c:v>1.4214263674719374</c:v>
                </c:pt>
                <c:pt idx="70">
                  <c:v>1.354369912344298</c:v>
                </c:pt>
                <c:pt idx="71">
                  <c:v>1.2891706045842748</c:v>
                </c:pt>
                <c:pt idx="72">
                  <c:v>1.228427080106584</c:v>
                </c:pt>
                <c:pt idx="73">
                  <c:v>1.1677149675496858</c:v>
                </c:pt>
                <c:pt idx="74">
                  <c:v>1.1110363874836955</c:v>
                </c:pt>
                <c:pt idx="75">
                  <c:v>1.0583476911409024</c:v>
                </c:pt>
                <c:pt idx="76">
                  <c:v>1.0043547463299503</c:v>
                </c:pt>
                <c:pt idx="77">
                  <c:v>0.95791936594919558</c:v>
                </c:pt>
                <c:pt idx="78">
                  <c:v>0.91184511033158255</c:v>
                </c:pt>
                <c:pt idx="79">
                  <c:v>0.86472772250197794</c:v>
                </c:pt>
                <c:pt idx="80">
                  <c:v>0.82479504088146283</c:v>
                </c:pt>
                <c:pt idx="81">
                  <c:v>0.78348405791479103</c:v>
                </c:pt>
                <c:pt idx="82">
                  <c:v>0.74548911975684373</c:v>
                </c:pt>
                <c:pt idx="83">
                  <c:v>0.70614586230493193</c:v>
                </c:pt>
                <c:pt idx="84">
                  <c:v>0.67199213639860922</c:v>
                </c:pt>
                <c:pt idx="85">
                  <c:v>0.63868707828687954</c:v>
                </c:pt>
                <c:pt idx="86">
                  <c:v>0.60881804285679575</c:v>
                </c:pt>
                <c:pt idx="87">
                  <c:v>0.5744813477780415</c:v>
                </c:pt>
                <c:pt idx="88">
                  <c:v>0.54841940820753599</c:v>
                </c:pt>
                <c:pt idx="89">
                  <c:v>0.52111875052144274</c:v>
                </c:pt>
                <c:pt idx="90">
                  <c:v>0.49171568259643861</c:v>
                </c:pt>
                <c:pt idx="91">
                  <c:v>0.46574751305582335</c:v>
                </c:pt>
                <c:pt idx="92">
                  <c:v>0.44138007164322673</c:v>
                </c:pt>
                <c:pt idx="93">
                  <c:v>0.41918241630249936</c:v>
                </c:pt>
                <c:pt idx="94">
                  <c:v>0.39585756921753368</c:v>
                </c:pt>
                <c:pt idx="95">
                  <c:v>0.37349145237858589</c:v>
                </c:pt>
                <c:pt idx="96">
                  <c:v>0.35435959802060202</c:v>
                </c:pt>
                <c:pt idx="97">
                  <c:v>0.33507587433167296</c:v>
                </c:pt>
                <c:pt idx="98">
                  <c:v>0.31624855855305967</c:v>
                </c:pt>
                <c:pt idx="99">
                  <c:v>0.29835184854323016</c:v>
                </c:pt>
                <c:pt idx="100">
                  <c:v>0.28515685926519563</c:v>
                </c:pt>
                <c:pt idx="101">
                  <c:v>0.26698346828728192</c:v>
                </c:pt>
                <c:pt idx="102">
                  <c:v>0.25347996643187304</c:v>
                </c:pt>
                <c:pt idx="103">
                  <c:v>0.23872100094362858</c:v>
                </c:pt>
                <c:pt idx="104">
                  <c:v>0.22151911534304239</c:v>
                </c:pt>
                <c:pt idx="105">
                  <c:v>0.21021410856283188</c:v>
                </c:pt>
                <c:pt idx="106">
                  <c:v>0.19947865551531929</c:v>
                </c:pt>
                <c:pt idx="107">
                  <c:v>0.18712886955283736</c:v>
                </c:pt>
                <c:pt idx="108">
                  <c:v>0.17465181265934321</c:v>
                </c:pt>
                <c:pt idx="109">
                  <c:v>0.16515460301418899</c:v>
                </c:pt>
                <c:pt idx="110">
                  <c:v>0.15345837483760894</c:v>
                </c:pt>
                <c:pt idx="111">
                  <c:v>0.14716764477866573</c:v>
                </c:pt>
                <c:pt idx="112">
                  <c:v>0.13543525235647652</c:v>
                </c:pt>
                <c:pt idx="113">
                  <c:v>0.12727452060783992</c:v>
                </c:pt>
                <c:pt idx="114">
                  <c:v>0.11918973905541119</c:v>
                </c:pt>
                <c:pt idx="115">
                  <c:v>0.11275696304915921</c:v>
                </c:pt>
              </c:numCache>
            </c:numRef>
          </c:yVal>
          <c:smooth val="0"/>
        </c:ser>
        <c:dLbls>
          <c:showLegendKey val="0"/>
          <c:showVal val="0"/>
          <c:showCatName val="0"/>
          <c:showSerName val="0"/>
          <c:showPercent val="0"/>
          <c:showBubbleSize val="0"/>
        </c:dLbls>
        <c:axId val="142902784"/>
        <c:axId val="142913536"/>
      </c:scatterChart>
      <c:valAx>
        <c:axId val="142902784"/>
        <c:scaling>
          <c:orientation val="minMax"/>
          <c:min val="0.4"/>
        </c:scaling>
        <c:delete val="0"/>
        <c:axPos val="b"/>
        <c:majorGridlines/>
        <c:title>
          <c:tx>
            <c:rich>
              <a:bodyPr/>
              <a:lstStyle/>
              <a:p>
                <a:pPr>
                  <a:defRPr sz="1200"/>
                </a:pPr>
                <a:r>
                  <a:rPr lang="en-US" sz="1200"/>
                  <a:t>Implied Open Circuit Voltage (V)</a:t>
                </a:r>
              </a:p>
            </c:rich>
          </c:tx>
          <c:layout/>
          <c:overlay val="0"/>
        </c:title>
        <c:numFmt formatCode="0.0000" sourceLinked="1"/>
        <c:majorTickMark val="out"/>
        <c:minorTickMark val="none"/>
        <c:tickLblPos val="low"/>
        <c:txPr>
          <a:bodyPr/>
          <a:lstStyle/>
          <a:p>
            <a:pPr>
              <a:defRPr b="1"/>
            </a:pPr>
            <a:endParaRPr lang="en-US"/>
          </a:p>
        </c:txPr>
        <c:crossAx val="142913536"/>
        <c:crosses val="autoZero"/>
        <c:crossBetween val="midCat"/>
      </c:valAx>
      <c:valAx>
        <c:axId val="142913536"/>
        <c:scaling>
          <c:logBase val="10"/>
          <c:orientation val="minMax"/>
          <c:min val="1.0000000000000005E-2"/>
        </c:scaling>
        <c:delete val="0"/>
        <c:axPos val="l"/>
        <c:majorGridlines/>
        <c:minorGridlines>
          <c:spPr>
            <a:ln>
              <a:solidFill>
                <a:sysClr val="windowText" lastClr="000000">
                  <a:alpha val="14000"/>
                </a:sysClr>
              </a:solidFill>
            </a:ln>
          </c:spPr>
        </c:minorGridlines>
        <c:title>
          <c:tx>
            <c:rich>
              <a:bodyPr rot="-5400000" vert="horz"/>
              <a:lstStyle/>
              <a:p>
                <a:pPr>
                  <a:defRPr sz="1200"/>
                </a:pPr>
                <a:r>
                  <a:rPr lang="en-US" sz="1200"/>
                  <a:t>Illumination (suns)</a:t>
                </a:r>
              </a:p>
            </c:rich>
          </c:tx>
          <c:layout>
            <c:manualLayout>
              <c:xMode val="edge"/>
              <c:yMode val="edge"/>
              <c:x val="1.8071371958637901E-2"/>
              <c:y val="0.32461372998119942"/>
            </c:manualLayout>
          </c:layout>
          <c:overlay val="0"/>
        </c:title>
        <c:numFmt formatCode="0.00" sourceLinked="0"/>
        <c:majorTickMark val="out"/>
        <c:minorTickMark val="none"/>
        <c:tickLblPos val="nextTo"/>
        <c:spPr>
          <a:ln>
            <a:solidFill>
              <a:schemeClr val="tx1"/>
            </a:solidFill>
          </a:ln>
        </c:spPr>
        <c:txPr>
          <a:bodyPr/>
          <a:lstStyle/>
          <a:p>
            <a:pPr>
              <a:defRPr b="1"/>
            </a:pPr>
            <a:endParaRPr lang="en-US"/>
          </a:p>
        </c:txPr>
        <c:crossAx val="142902784"/>
        <c:crosses val="autoZero"/>
        <c:crossBetween val="midCat"/>
      </c:valAx>
      <c:spPr>
        <a:ln>
          <a:solidFill>
            <a:sysClr val="windowText" lastClr="000000"/>
          </a:solidFill>
        </a:ln>
      </c:spPr>
    </c:plotArea>
    <c:plotVisOnly val="1"/>
    <c:dispBlanksAs val="gap"/>
    <c:showDLblsOverMax val="0"/>
  </c:chart>
  <c:txPr>
    <a:bodyPr/>
    <a:lstStyle/>
    <a:p>
      <a:pPr>
        <a:defRPr>
          <a:latin typeface="+mn-lt"/>
        </a:defRPr>
      </a:pPr>
      <a:endParaRPr lang="en-US"/>
    </a:p>
  </c:txPr>
  <c:printSettings>
    <c:headerFooter/>
    <c:pageMargins b="0.7500000000000101" l="0.70000000000000062" r="0.70000000000000062" t="0.750000000000010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Minority Carrier Lifetime (no Auger Correction)  vs Minority Carrier Density</a:t>
            </a:r>
          </a:p>
        </c:rich>
      </c:tx>
      <c:layout/>
      <c:overlay val="0"/>
    </c:title>
    <c:autoTitleDeleted val="0"/>
    <c:plotArea>
      <c:layout>
        <c:manualLayout>
          <c:layoutTarget val="inner"/>
          <c:xMode val="edge"/>
          <c:yMode val="edge"/>
          <c:x val="0.20028010770872823"/>
          <c:y val="0.15809193315655617"/>
          <c:w val="0.6849045629151016"/>
          <c:h val="0.70089497782069665"/>
        </c:manualLayout>
      </c:layout>
      <c:scatterChart>
        <c:scatterStyle val="lineMarker"/>
        <c:varyColors val="0"/>
        <c:ser>
          <c:idx val="0"/>
          <c:order val="0"/>
          <c:tx>
            <c:v>Minority Carrier Density</c:v>
          </c:tx>
          <c:spPr>
            <a:ln w="28575">
              <a:noFill/>
            </a:ln>
          </c:spPr>
          <c:marker>
            <c:symbol val="square"/>
            <c:size val="6"/>
            <c:spPr>
              <a:solidFill>
                <a:srgbClr val="FF0000"/>
              </a:solidFill>
              <a:ln>
                <a:noFill/>
              </a:ln>
            </c:spPr>
          </c:marker>
          <c:xVal>
            <c:numRef>
              <c:f>Calc!$O$12:$O$131</c:f>
              <c:numCache>
                <c:formatCode>0.00E+00</c:formatCode>
                <c:ptCount val="120"/>
                <c:pt idx="0">
                  <c:v>3.64271604372292E+16</c:v>
                </c:pt>
                <c:pt idx="1">
                  <c:v>3.596063917555602E+16</c:v>
                </c:pt>
                <c:pt idx="2">
                  <c:v>3.4640506713742128E+16</c:v>
                </c:pt>
                <c:pt idx="3">
                  <c:v>3.3094189745940248E+16</c:v>
                </c:pt>
                <c:pt idx="4">
                  <c:v>3.1509624705700252E+16</c:v>
                </c:pt>
                <c:pt idx="5">
                  <c:v>2.9891736272606904E+16</c:v>
                </c:pt>
                <c:pt idx="6">
                  <c:v>2.82978795561635E+16</c:v>
                </c:pt>
                <c:pt idx="7">
                  <c:v>2.6752924575107012E+16</c:v>
                </c:pt>
                <c:pt idx="8">
                  <c:v>2.5263397175589036E+16</c:v>
                </c:pt>
                <c:pt idx="9">
                  <c:v>2.3827630108026112E+16</c:v>
                </c:pt>
                <c:pt idx="10">
                  <c:v>2.2456291055661492E+16</c:v>
                </c:pt>
                <c:pt idx="11">
                  <c:v>2.1155974638805236E+16</c:v>
                </c:pt>
                <c:pt idx="12">
                  <c:v>1.9908759707753328E+16</c:v>
                </c:pt>
                <c:pt idx="13">
                  <c:v>1.8728247707966444E+16</c:v>
                </c:pt>
                <c:pt idx="14">
                  <c:v>1.7605699975024138E+16</c:v>
                </c:pt>
                <c:pt idx="15">
                  <c:v>1.6539968009497458E+16</c:v>
                </c:pt>
                <c:pt idx="16">
                  <c:v>1.5535100296297956E+16</c:v>
                </c:pt>
                <c:pt idx="17">
                  <c:v>1.4583243862017522E+16</c:v>
                </c:pt>
                <c:pt idx="18">
                  <c:v>1.368958434920649E+16</c:v>
                </c:pt>
                <c:pt idx="19">
                  <c:v>1.2845970111505322E+16</c:v>
                </c:pt>
                <c:pt idx="20">
                  <c:v>1.2051435426874354E+16</c:v>
                </c:pt>
                <c:pt idx="21">
                  <c:v>1.1304792156430936E+16</c:v>
                </c:pt>
                <c:pt idx="22">
                  <c:v>1.060261174799888E+16</c:v>
                </c:pt>
                <c:pt idx="23">
                  <c:v>9949873671104586</c:v>
                </c:pt>
                <c:pt idx="24">
                  <c:v>9332678772147270</c:v>
                </c:pt>
                <c:pt idx="25">
                  <c:v>8754445669875415</c:v>
                </c:pt>
                <c:pt idx="26">
                  <c:v>8211088727205681</c:v>
                </c:pt>
                <c:pt idx="27">
                  <c:v>7702864378172585</c:v>
                </c:pt>
                <c:pt idx="28">
                  <c:v>7226807255739606</c:v>
                </c:pt>
                <c:pt idx="29">
                  <c:v>6777655477861600</c:v>
                </c:pt>
                <c:pt idx="30">
                  <c:v>6355404294101230</c:v>
                </c:pt>
                <c:pt idx="31">
                  <c:v>5958129488975963</c:v>
                </c:pt>
                <c:pt idx="32">
                  <c:v>5589119782351897</c:v>
                </c:pt>
                <c:pt idx="33">
                  <c:v>5240117478900220</c:v>
                </c:pt>
                <c:pt idx="34">
                  <c:v>4912154763705846</c:v>
                </c:pt>
                <c:pt idx="35">
                  <c:v>4608586025899594</c:v>
                </c:pt>
                <c:pt idx="36">
                  <c:v>4320303762359763.5</c:v>
                </c:pt>
                <c:pt idx="37">
                  <c:v>4047128628949139</c:v>
                </c:pt>
                <c:pt idx="38">
                  <c:v>3792086185908158</c:v>
                </c:pt>
                <c:pt idx="39">
                  <c:v>3558946252789221</c:v>
                </c:pt>
                <c:pt idx="40">
                  <c:v>3334347137827984.5</c:v>
                </c:pt>
                <c:pt idx="41">
                  <c:v>3126622200397877.5</c:v>
                </c:pt>
                <c:pt idx="42">
                  <c:v>2931046234871819.5</c:v>
                </c:pt>
                <c:pt idx="43">
                  <c:v>2748983842134609.5</c:v>
                </c:pt>
                <c:pt idx="44">
                  <c:v>2574693173309647</c:v>
                </c:pt>
                <c:pt idx="45">
                  <c:v>2414878703535606</c:v>
                </c:pt>
                <c:pt idx="46">
                  <c:v>2266083458860126</c:v>
                </c:pt>
                <c:pt idx="47">
                  <c:v>2125971438414307.2</c:v>
                </c:pt>
                <c:pt idx="48">
                  <c:v>1989964370513321.7</c:v>
                </c:pt>
                <c:pt idx="49">
                  <c:v>1864797110184122.7</c:v>
                </c:pt>
                <c:pt idx="50">
                  <c:v>1746876132224575.2</c:v>
                </c:pt>
                <c:pt idx="51">
                  <c:v>1638419307940451.7</c:v>
                </c:pt>
                <c:pt idx="52">
                  <c:v>1535491452734925.7</c:v>
                </c:pt>
                <c:pt idx="53">
                  <c:v>1439826951286905</c:v>
                </c:pt>
                <c:pt idx="54">
                  <c:v>1350685112988696.7</c:v>
                </c:pt>
                <c:pt idx="55">
                  <c:v>1264012780965972.5</c:v>
                </c:pt>
                <c:pt idx="56">
                  <c:v>1184160970027498.7</c:v>
                </c:pt>
                <c:pt idx="57">
                  <c:v>1110287849279556</c:v>
                </c:pt>
                <c:pt idx="58">
                  <c:v>1037141572389604.9</c:v>
                </c:pt>
                <c:pt idx="59">
                  <c:v>977772529288657.12</c:v>
                </c:pt>
                <c:pt idx="60">
                  <c:v>916903108915604.37</c:v>
                </c:pt>
                <c:pt idx="61">
                  <c:v>858506603042324.75</c:v>
                </c:pt>
                <c:pt idx="62">
                  <c:v>805968056995728.62</c:v>
                </c:pt>
                <c:pt idx="63">
                  <c:v>755879257963518.75</c:v>
                </c:pt>
                <c:pt idx="64">
                  <c:v>707967165894605.37</c:v>
                </c:pt>
                <c:pt idx="65">
                  <c:v>661500068404725.5</c:v>
                </c:pt>
                <c:pt idx="66">
                  <c:v>620802574185446.37</c:v>
                </c:pt>
                <c:pt idx="67">
                  <c:v>582300309816828.12</c:v>
                </c:pt>
                <c:pt idx="68">
                  <c:v>545005614705632.69</c:v>
                </c:pt>
                <c:pt idx="69">
                  <c:v>510151221833608</c:v>
                </c:pt>
                <c:pt idx="70">
                  <c:v>479049614787834.69</c:v>
                </c:pt>
                <c:pt idx="71">
                  <c:v>447499320366370.12</c:v>
                </c:pt>
                <c:pt idx="72">
                  <c:v>421958337673397.69</c:v>
                </c:pt>
                <c:pt idx="73">
                  <c:v>395562562247333.37</c:v>
                </c:pt>
                <c:pt idx="74">
                  <c:v>369634442045838.12</c:v>
                </c:pt>
                <c:pt idx="75">
                  <c:v>346770608412038.75</c:v>
                </c:pt>
                <c:pt idx="76">
                  <c:v>324034467606479.87</c:v>
                </c:pt>
                <c:pt idx="77">
                  <c:v>301783714180183.19</c:v>
                </c:pt>
                <c:pt idx="78">
                  <c:v>284296418020692.37</c:v>
                </c:pt>
                <c:pt idx="79">
                  <c:v>264637960521095.53</c:v>
                </c:pt>
                <c:pt idx="80">
                  <c:v>248774139642154.78</c:v>
                </c:pt>
                <c:pt idx="81">
                  <c:v>234293024261246.03</c:v>
                </c:pt>
                <c:pt idx="82">
                  <c:v>218706869289315.84</c:v>
                </c:pt>
                <c:pt idx="83">
                  <c:v>204618740201941.09</c:v>
                </c:pt>
                <c:pt idx="84">
                  <c:v>192789613599166.78</c:v>
                </c:pt>
                <c:pt idx="85">
                  <c:v>180885870525468.53</c:v>
                </c:pt>
                <c:pt idx="86">
                  <c:v>168995550058679.34</c:v>
                </c:pt>
                <c:pt idx="87">
                  <c:v>159441084468022.37</c:v>
                </c:pt>
                <c:pt idx="88">
                  <c:v>151539967661566.34</c:v>
                </c:pt>
                <c:pt idx="89">
                  <c:v>140420087935484.69</c:v>
                </c:pt>
                <c:pt idx="90">
                  <c:v>133209306812886.22</c:v>
                </c:pt>
                <c:pt idx="91">
                  <c:v>122082574445884.41</c:v>
                </c:pt>
                <c:pt idx="92">
                  <c:v>113806058023587.89</c:v>
                </c:pt>
                <c:pt idx="93">
                  <c:v>105129014300299.64</c:v>
                </c:pt>
                <c:pt idx="94">
                  <c:v>100312421108554.37</c:v>
                </c:pt>
                <c:pt idx="95">
                  <c:v>92904360815706.812</c:v>
                </c:pt>
                <c:pt idx="96">
                  <c:v>84717255660120.922</c:v>
                </c:pt>
                <c:pt idx="97">
                  <c:v>81107387371609.891</c:v>
                </c:pt>
                <c:pt idx="98">
                  <c:v>73690460933525.922</c:v>
                </c:pt>
                <c:pt idx="99">
                  <c:v>70755458155712.453</c:v>
                </c:pt>
                <c:pt idx="100">
                  <c:v>69709400525523.984</c:v>
                </c:pt>
                <c:pt idx="101">
                  <c:v>64163141544923.742</c:v>
                </c:pt>
                <c:pt idx="102">
                  <c:v>59549733263458.203</c:v>
                </c:pt>
                <c:pt idx="103">
                  <c:v>56389325825649.625</c:v>
                </c:pt>
                <c:pt idx="104">
                  <c:v>54099898148273.883</c:v>
                </c:pt>
                <c:pt idx="105">
                  <c:v>45501501107646.414</c:v>
                </c:pt>
                <c:pt idx="106">
                  <c:v>43939725689345.164</c:v>
                </c:pt>
                <c:pt idx="107">
                  <c:v>41800301029689.781</c:v>
                </c:pt>
                <c:pt idx="108">
                  <c:v>41019918286339.937</c:v>
                </c:pt>
                <c:pt idx="109">
                  <c:v>38073114983681.875</c:v>
                </c:pt>
                <c:pt idx="110">
                  <c:v>33310224587328.258</c:v>
                </c:pt>
                <c:pt idx="111">
                  <c:v>32646757858004.84</c:v>
                </c:pt>
                <c:pt idx="112">
                  <c:v>29186774225621.66</c:v>
                </c:pt>
                <c:pt idx="113">
                  <c:v>27342694042775.578</c:v>
                </c:pt>
                <c:pt idx="114">
                  <c:v>26449772194609.785</c:v>
                </c:pt>
                <c:pt idx="115">
                  <c:v>26881842656070.645</c:v>
                </c:pt>
                <c:pt idx="116">
                  <c:v>26132991744537.996</c:v>
                </c:pt>
                <c:pt idx="117">
                  <c:v>25960251382945.242</c:v>
                </c:pt>
                <c:pt idx="118">
                  <c:v>24952516219816.461</c:v>
                </c:pt>
                <c:pt idx="119">
                  <c:v>20061967632947.187</c:v>
                </c:pt>
              </c:numCache>
            </c:numRef>
          </c:xVal>
          <c:yVal>
            <c:numRef>
              <c:f>Calc!$P$12:$P$131</c:f>
              <c:numCache>
                <c:formatCode>0.00E+00</c:formatCode>
                <c:ptCount val="120"/>
                <c:pt idx="0">
                  <c:v>7.5985619882014166E-5</c:v>
                </c:pt>
                <c:pt idx="1">
                  <c:v>7.2952152926643261E-5</c:v>
                </c:pt>
                <c:pt idx="2">
                  <c:v>7.1954296767007408E-5</c:v>
                </c:pt>
                <c:pt idx="3">
                  <c:v>7.2323926949031521E-5</c:v>
                </c:pt>
                <c:pt idx="4">
                  <c:v>7.2873509075320939E-5</c:v>
                </c:pt>
                <c:pt idx="5">
                  <c:v>7.3301428388467977E-5</c:v>
                </c:pt>
                <c:pt idx="6">
                  <c:v>7.3612239120730906E-5</c:v>
                </c:pt>
                <c:pt idx="7">
                  <c:v>7.3823267401736781E-5</c:v>
                </c:pt>
                <c:pt idx="8">
                  <c:v>7.3948025886738544E-5</c:v>
                </c:pt>
                <c:pt idx="9">
                  <c:v>7.4007521307416327E-5</c:v>
                </c:pt>
                <c:pt idx="10">
                  <c:v>7.3981089190724652E-5</c:v>
                </c:pt>
                <c:pt idx="11">
                  <c:v>7.3925689777481601E-5</c:v>
                </c:pt>
                <c:pt idx="12">
                  <c:v>7.3760626649134071E-5</c:v>
                </c:pt>
                <c:pt idx="13">
                  <c:v>7.3552058572983137E-5</c:v>
                </c:pt>
                <c:pt idx="14">
                  <c:v>7.3297230498405803E-5</c:v>
                </c:pt>
                <c:pt idx="15">
                  <c:v>7.2988642676767354E-5</c:v>
                </c:pt>
                <c:pt idx="16">
                  <c:v>7.2640346347184882E-5</c:v>
                </c:pt>
                <c:pt idx="17">
                  <c:v>7.2225827840122523E-5</c:v>
                </c:pt>
                <c:pt idx="18">
                  <c:v>7.1787479429067039E-5</c:v>
                </c:pt>
                <c:pt idx="19">
                  <c:v>7.1314089797917801E-5</c:v>
                </c:pt>
                <c:pt idx="20">
                  <c:v>7.0819079407196287E-5</c:v>
                </c:pt>
                <c:pt idx="21">
                  <c:v>7.0281687841031854E-5</c:v>
                </c:pt>
                <c:pt idx="22">
                  <c:v>6.9719485059645459E-5</c:v>
                </c:pt>
                <c:pt idx="23">
                  <c:v>6.9173012027657729E-5</c:v>
                </c:pt>
                <c:pt idx="24">
                  <c:v>6.8582954581034554E-5</c:v>
                </c:pt>
                <c:pt idx="25">
                  <c:v>6.8091286704411726E-5</c:v>
                </c:pt>
                <c:pt idx="26">
                  <c:v>6.7481587150321581E-5</c:v>
                </c:pt>
                <c:pt idx="27">
                  <c:v>6.6856119768421578E-5</c:v>
                </c:pt>
                <c:pt idx="28">
                  <c:v>6.618020029284483E-5</c:v>
                </c:pt>
                <c:pt idx="29">
                  <c:v>6.5482999822837499E-5</c:v>
                </c:pt>
                <c:pt idx="30">
                  <c:v>6.4782833334324104E-5</c:v>
                </c:pt>
                <c:pt idx="31">
                  <c:v>6.4055583920332614E-5</c:v>
                </c:pt>
                <c:pt idx="32">
                  <c:v>6.3351763578345949E-5</c:v>
                </c:pt>
                <c:pt idx="33">
                  <c:v>6.2623878895806949E-5</c:v>
                </c:pt>
                <c:pt idx="34">
                  <c:v>6.1827765900437042E-5</c:v>
                </c:pt>
                <c:pt idx="35">
                  <c:v>6.1161213609152264E-5</c:v>
                </c:pt>
                <c:pt idx="36">
                  <c:v>6.0368627545122782E-5</c:v>
                </c:pt>
                <c:pt idx="37">
                  <c:v>5.9577180743649128E-5</c:v>
                </c:pt>
                <c:pt idx="38">
                  <c:v>5.8780299087138712E-5</c:v>
                </c:pt>
                <c:pt idx="39">
                  <c:v>5.8080321885644522E-5</c:v>
                </c:pt>
                <c:pt idx="40">
                  <c:v>5.7268245663096088E-5</c:v>
                </c:pt>
                <c:pt idx="41">
                  <c:v>5.6500052121065477E-5</c:v>
                </c:pt>
                <c:pt idx="42">
                  <c:v>5.5698455928878223E-5</c:v>
                </c:pt>
                <c:pt idx="43">
                  <c:v>5.4934489272811095E-5</c:v>
                </c:pt>
                <c:pt idx="44">
                  <c:v>5.4128655764039676E-5</c:v>
                </c:pt>
                <c:pt idx="45">
                  <c:v>5.3369076990854234E-5</c:v>
                </c:pt>
                <c:pt idx="46">
                  <c:v>5.2615945732990514E-5</c:v>
                </c:pt>
                <c:pt idx="47">
                  <c:v>5.188900403556043E-5</c:v>
                </c:pt>
                <c:pt idx="48">
                  <c:v>5.1002732032281774E-5</c:v>
                </c:pt>
                <c:pt idx="49">
                  <c:v>5.0215374517870092E-5</c:v>
                </c:pt>
                <c:pt idx="50">
                  <c:v>4.9454500476555006E-5</c:v>
                </c:pt>
                <c:pt idx="51">
                  <c:v>4.8693441625452404E-5</c:v>
                </c:pt>
                <c:pt idx="52">
                  <c:v>4.7923563242418697E-5</c:v>
                </c:pt>
                <c:pt idx="53">
                  <c:v>4.7186044370645936E-5</c:v>
                </c:pt>
                <c:pt idx="54">
                  <c:v>4.6482725709094387E-5</c:v>
                </c:pt>
                <c:pt idx="55">
                  <c:v>4.5741284560727027E-5</c:v>
                </c:pt>
                <c:pt idx="56">
                  <c:v>4.4974062928430147E-5</c:v>
                </c:pt>
                <c:pt idx="57">
                  <c:v>4.4310231866003307E-5</c:v>
                </c:pt>
                <c:pt idx="58">
                  <c:v>4.3500670361067797E-5</c:v>
                </c:pt>
                <c:pt idx="59">
                  <c:v>4.3127770621977596E-5</c:v>
                </c:pt>
                <c:pt idx="60">
                  <c:v>4.2482586811034942E-5</c:v>
                </c:pt>
                <c:pt idx="61">
                  <c:v>4.1696927550949224E-5</c:v>
                </c:pt>
                <c:pt idx="62">
                  <c:v>4.1071649007390893E-5</c:v>
                </c:pt>
                <c:pt idx="63">
                  <c:v>4.0430733383183884E-5</c:v>
                </c:pt>
                <c:pt idx="64">
                  <c:v>3.9747846744576457E-5</c:v>
                </c:pt>
                <c:pt idx="65">
                  <c:v>3.9087777527470231E-5</c:v>
                </c:pt>
                <c:pt idx="66">
                  <c:v>3.8488971057092363E-5</c:v>
                </c:pt>
                <c:pt idx="67">
                  <c:v>3.7883415511231782E-5</c:v>
                </c:pt>
                <c:pt idx="68">
                  <c:v>3.7251856390144657E-5</c:v>
                </c:pt>
                <c:pt idx="69">
                  <c:v>3.658677467503713E-5</c:v>
                </c:pt>
                <c:pt idx="70">
                  <c:v>3.6100671115626264E-5</c:v>
                </c:pt>
                <c:pt idx="71">
                  <c:v>3.5384516403462389E-5</c:v>
                </c:pt>
                <c:pt idx="72">
                  <c:v>3.5041456703028055E-5</c:v>
                </c:pt>
                <c:pt idx="73">
                  <c:v>3.4475837941602333E-5</c:v>
                </c:pt>
                <c:pt idx="74">
                  <c:v>3.3845347979318705E-5</c:v>
                </c:pt>
                <c:pt idx="75">
                  <c:v>3.33219067889578E-5</c:v>
                </c:pt>
                <c:pt idx="76">
                  <c:v>3.2756033618681789E-5</c:v>
                </c:pt>
                <c:pt idx="77">
                  <c:v>3.2063022739196025E-5</c:v>
                </c:pt>
                <c:pt idx="78">
                  <c:v>3.1708811747640936E-5</c:v>
                </c:pt>
                <c:pt idx="79">
                  <c:v>3.1102976420042877E-5</c:v>
                </c:pt>
                <c:pt idx="80">
                  <c:v>3.0655840378894922E-5</c:v>
                </c:pt>
                <c:pt idx="81">
                  <c:v>3.0330197002660512E-5</c:v>
                </c:pt>
                <c:pt idx="82">
                  <c:v>2.985520021461563E-5</c:v>
                </c:pt>
                <c:pt idx="83">
                  <c:v>2.9284398756713158E-5</c:v>
                </c:pt>
                <c:pt idx="84">
                  <c:v>2.9046273031622281E-5</c:v>
                </c:pt>
                <c:pt idx="85">
                  <c:v>2.8641798254748159E-5</c:v>
                </c:pt>
                <c:pt idx="86">
                  <c:v>2.8249957372712869E-5</c:v>
                </c:pt>
                <c:pt idx="87">
                  <c:v>2.8007412969014763E-5</c:v>
                </c:pt>
                <c:pt idx="88">
                  <c:v>2.8007607202986731E-5</c:v>
                </c:pt>
                <c:pt idx="89">
                  <c:v>2.722567603838444E-5</c:v>
                </c:pt>
                <c:pt idx="90">
                  <c:v>2.7371309926174147E-5</c:v>
                </c:pt>
                <c:pt idx="91">
                  <c:v>2.627712274195254E-5</c:v>
                </c:pt>
                <c:pt idx="92">
                  <c:v>2.5778973923627116E-5</c:v>
                </c:pt>
                <c:pt idx="93">
                  <c:v>2.5237450444371655E-5</c:v>
                </c:pt>
                <c:pt idx="94">
                  <c:v>2.5423838109209516E-5</c:v>
                </c:pt>
                <c:pt idx="95">
                  <c:v>2.4846219943700885E-5</c:v>
                </c:pt>
                <c:pt idx="96">
                  <c:v>2.3856447268106053E-5</c:v>
                </c:pt>
                <c:pt idx="97">
                  <c:v>2.4185685716869791E-5</c:v>
                </c:pt>
                <c:pt idx="98">
                  <c:v>2.3289896170337693E-5</c:v>
                </c:pt>
                <c:pt idx="99">
                  <c:v>2.3569626126153333E-5</c:v>
                </c:pt>
                <c:pt idx="100">
                  <c:v>2.4557555541944087E-5</c:v>
                </c:pt>
                <c:pt idx="101">
                  <c:v>2.3949365470356897E-5</c:v>
                </c:pt>
                <c:pt idx="102">
                  <c:v>2.3560691568028194E-5</c:v>
                </c:pt>
                <c:pt idx="103">
                  <c:v>2.3342642894798732E-5</c:v>
                </c:pt>
                <c:pt idx="104">
                  <c:v>2.3919330709544442E-5</c:v>
                </c:pt>
                <c:pt idx="105">
                  <c:v>2.1189418079018345E-5</c:v>
                </c:pt>
                <c:pt idx="106">
                  <c:v>2.1727194945369543E-5</c:v>
                </c:pt>
                <c:pt idx="107">
                  <c:v>2.2274355540546826E-5</c:v>
                </c:pt>
                <c:pt idx="108">
                  <c:v>2.3034027284591141E-5</c:v>
                </c:pt>
                <c:pt idx="109">
                  <c:v>2.2529882382603827E-5</c:v>
                </c:pt>
                <c:pt idx="110">
                  <c:v>2.1012305832193346E-5</c:v>
                </c:pt>
                <c:pt idx="111">
                  <c:v>2.2064998747490964E-5</c:v>
                </c:pt>
                <c:pt idx="112">
                  <c:v>2.08608674088052E-5</c:v>
                </c:pt>
                <c:pt idx="113">
                  <c:v>2.1032342951573018E-5</c:v>
                </c:pt>
                <c:pt idx="114">
                  <c:v>2.1215171298544051E-5</c:v>
                </c:pt>
                <c:pt idx="115">
                  <c:v>2.342956686139181E-5</c:v>
                </c:pt>
                <c:pt idx="116">
                  <c:v>2.4237320617022005E-5</c:v>
                </c:pt>
                <c:pt idx="117">
                  <c:v>2.5710289750521434E-5</c:v>
                </c:pt>
                <c:pt idx="118">
                  <c:v>2.6122090082508596E-5</c:v>
                </c:pt>
                <c:pt idx="119">
                  <c:v>2.2192111241382683E-5</c:v>
                </c:pt>
              </c:numCache>
            </c:numRef>
          </c:yVal>
          <c:smooth val="0"/>
        </c:ser>
        <c:ser>
          <c:idx val="1"/>
          <c:order val="1"/>
          <c:tx>
            <c:v>Apparent Carrier Density</c:v>
          </c:tx>
          <c:spPr>
            <a:ln w="28575">
              <a:noFill/>
            </a:ln>
          </c:spPr>
          <c:marker>
            <c:symbol val="x"/>
            <c:size val="6"/>
            <c:spPr>
              <a:noFill/>
              <a:ln w="12700">
                <a:solidFill>
                  <a:srgbClr val="2004EC"/>
                </a:solidFill>
              </a:ln>
            </c:spPr>
          </c:marker>
          <c:xVal>
            <c:numRef>
              <c:f>Calc!$I$12:$I$131</c:f>
              <c:numCache>
                <c:formatCode>0.00E+00</c:formatCode>
                <c:ptCount val="120"/>
                <c:pt idx="0">
                  <c:v>3.64271604372292E+16</c:v>
                </c:pt>
                <c:pt idx="1">
                  <c:v>3.596063917555602E+16</c:v>
                </c:pt>
                <c:pt idx="2">
                  <c:v>3.4640506713742128E+16</c:v>
                </c:pt>
                <c:pt idx="3">
                  <c:v>3.3094189745940248E+16</c:v>
                </c:pt>
                <c:pt idx="4">
                  <c:v>3.1509624705700252E+16</c:v>
                </c:pt>
                <c:pt idx="5">
                  <c:v>2.9891736272606904E+16</c:v>
                </c:pt>
                <c:pt idx="6">
                  <c:v>2.82978795561635E+16</c:v>
                </c:pt>
                <c:pt idx="7">
                  <c:v>2.6752924575107012E+16</c:v>
                </c:pt>
                <c:pt idx="8">
                  <c:v>2.5263397175589036E+16</c:v>
                </c:pt>
                <c:pt idx="9">
                  <c:v>2.3827630108026112E+16</c:v>
                </c:pt>
                <c:pt idx="10">
                  <c:v>2.2456291055661492E+16</c:v>
                </c:pt>
                <c:pt idx="11">
                  <c:v>2.1155974638805236E+16</c:v>
                </c:pt>
                <c:pt idx="12">
                  <c:v>1.9908759707753328E+16</c:v>
                </c:pt>
                <c:pt idx="13">
                  <c:v>1.8728247707966444E+16</c:v>
                </c:pt>
                <c:pt idx="14">
                  <c:v>1.7605699975024138E+16</c:v>
                </c:pt>
                <c:pt idx="15">
                  <c:v>1.6539968009497458E+16</c:v>
                </c:pt>
                <c:pt idx="16">
                  <c:v>1.5535100296297956E+16</c:v>
                </c:pt>
                <c:pt idx="17">
                  <c:v>1.4583243862017522E+16</c:v>
                </c:pt>
                <c:pt idx="18">
                  <c:v>1.368958434920649E+16</c:v>
                </c:pt>
                <c:pt idx="19">
                  <c:v>1.2845970111505322E+16</c:v>
                </c:pt>
                <c:pt idx="20">
                  <c:v>1.2051435426874354E+16</c:v>
                </c:pt>
                <c:pt idx="21">
                  <c:v>1.1304792156430936E+16</c:v>
                </c:pt>
                <c:pt idx="22">
                  <c:v>1.060261174799888E+16</c:v>
                </c:pt>
                <c:pt idx="23">
                  <c:v>9949873671104586</c:v>
                </c:pt>
                <c:pt idx="24">
                  <c:v>9332678772147270</c:v>
                </c:pt>
                <c:pt idx="25">
                  <c:v>8754445669875415</c:v>
                </c:pt>
                <c:pt idx="26">
                  <c:v>8211088727205681</c:v>
                </c:pt>
                <c:pt idx="27">
                  <c:v>7702864378172585</c:v>
                </c:pt>
                <c:pt idx="28">
                  <c:v>7226807255739606</c:v>
                </c:pt>
                <c:pt idx="29">
                  <c:v>6777655477861600</c:v>
                </c:pt>
                <c:pt idx="30">
                  <c:v>6355404294101230</c:v>
                </c:pt>
                <c:pt idx="31">
                  <c:v>5958129488975963</c:v>
                </c:pt>
                <c:pt idx="32">
                  <c:v>5589119782351897</c:v>
                </c:pt>
                <c:pt idx="33">
                  <c:v>5240117478900220</c:v>
                </c:pt>
                <c:pt idx="34">
                  <c:v>4912154763705846</c:v>
                </c:pt>
                <c:pt idx="35">
                  <c:v>4608586025899594</c:v>
                </c:pt>
                <c:pt idx="36">
                  <c:v>4320303762359763.5</c:v>
                </c:pt>
                <c:pt idx="37">
                  <c:v>4047128628949139</c:v>
                </c:pt>
                <c:pt idx="38">
                  <c:v>3792086185908158</c:v>
                </c:pt>
                <c:pt idx="39">
                  <c:v>3558946252789221</c:v>
                </c:pt>
                <c:pt idx="40">
                  <c:v>3334347137827984.5</c:v>
                </c:pt>
                <c:pt idx="41">
                  <c:v>3126622200397877.5</c:v>
                </c:pt>
                <c:pt idx="42">
                  <c:v>2931046234871819.5</c:v>
                </c:pt>
                <c:pt idx="43">
                  <c:v>2748983842134609.5</c:v>
                </c:pt>
                <c:pt idx="44">
                  <c:v>2574693173309647</c:v>
                </c:pt>
                <c:pt idx="45">
                  <c:v>2414878703535606</c:v>
                </c:pt>
                <c:pt idx="46">
                  <c:v>2266083458860126</c:v>
                </c:pt>
                <c:pt idx="47">
                  <c:v>2125971438414307.2</c:v>
                </c:pt>
                <c:pt idx="48">
                  <c:v>1989964370513321.7</c:v>
                </c:pt>
                <c:pt idx="49">
                  <c:v>1864797110184122.7</c:v>
                </c:pt>
                <c:pt idx="50">
                  <c:v>1746876132224575.2</c:v>
                </c:pt>
                <c:pt idx="51">
                  <c:v>1638419307940451.7</c:v>
                </c:pt>
                <c:pt idx="52">
                  <c:v>1535491452734925.7</c:v>
                </c:pt>
                <c:pt idx="53">
                  <c:v>1439826951286905</c:v>
                </c:pt>
                <c:pt idx="54">
                  <c:v>1350685112988696.7</c:v>
                </c:pt>
                <c:pt idx="55">
                  <c:v>1264012780965972.5</c:v>
                </c:pt>
                <c:pt idx="56">
                  <c:v>1184160970027498.7</c:v>
                </c:pt>
                <c:pt idx="57">
                  <c:v>1110287849279556</c:v>
                </c:pt>
                <c:pt idx="58">
                  <c:v>1037141572389604.9</c:v>
                </c:pt>
                <c:pt idx="59">
                  <c:v>977772529288657.12</c:v>
                </c:pt>
                <c:pt idx="60">
                  <c:v>916903108915604.37</c:v>
                </c:pt>
                <c:pt idx="61">
                  <c:v>858506603042324.75</c:v>
                </c:pt>
                <c:pt idx="62">
                  <c:v>805968056995728.62</c:v>
                </c:pt>
                <c:pt idx="63">
                  <c:v>755879257963518.75</c:v>
                </c:pt>
                <c:pt idx="64">
                  <c:v>707967165894605.37</c:v>
                </c:pt>
                <c:pt idx="65">
                  <c:v>661500068404725.5</c:v>
                </c:pt>
                <c:pt idx="66">
                  <c:v>620802574185446.37</c:v>
                </c:pt>
                <c:pt idx="67">
                  <c:v>582300309816828.12</c:v>
                </c:pt>
                <c:pt idx="68">
                  <c:v>545005614705632.69</c:v>
                </c:pt>
                <c:pt idx="69">
                  <c:v>510151221833608</c:v>
                </c:pt>
                <c:pt idx="70">
                  <c:v>479049614787834.69</c:v>
                </c:pt>
                <c:pt idx="71">
                  <c:v>447499320366370.12</c:v>
                </c:pt>
                <c:pt idx="72">
                  <c:v>421958337673397.69</c:v>
                </c:pt>
                <c:pt idx="73">
                  <c:v>395562562247333.37</c:v>
                </c:pt>
                <c:pt idx="74">
                  <c:v>369634442045838.12</c:v>
                </c:pt>
                <c:pt idx="75">
                  <c:v>346770608412038.75</c:v>
                </c:pt>
                <c:pt idx="76">
                  <c:v>324034467606479.87</c:v>
                </c:pt>
                <c:pt idx="77">
                  <c:v>301783714180183.19</c:v>
                </c:pt>
                <c:pt idx="78">
                  <c:v>284296418020692.37</c:v>
                </c:pt>
                <c:pt idx="79">
                  <c:v>264637960521095.53</c:v>
                </c:pt>
                <c:pt idx="80">
                  <c:v>248774139642154.78</c:v>
                </c:pt>
                <c:pt idx="81">
                  <c:v>234293024261246.03</c:v>
                </c:pt>
                <c:pt idx="82">
                  <c:v>218706869289315.84</c:v>
                </c:pt>
                <c:pt idx="83">
                  <c:v>204618740201941.09</c:v>
                </c:pt>
                <c:pt idx="84">
                  <c:v>192789613599166.78</c:v>
                </c:pt>
                <c:pt idx="85">
                  <c:v>180885870525468.53</c:v>
                </c:pt>
                <c:pt idx="86">
                  <c:v>168995550058679.34</c:v>
                </c:pt>
                <c:pt idx="87">
                  <c:v>159441084468022.37</c:v>
                </c:pt>
                <c:pt idx="88">
                  <c:v>151539967661566.34</c:v>
                </c:pt>
                <c:pt idx="89">
                  <c:v>140420087935484.69</c:v>
                </c:pt>
                <c:pt idx="90">
                  <c:v>133209306812886.22</c:v>
                </c:pt>
                <c:pt idx="91">
                  <c:v>122082574445884.41</c:v>
                </c:pt>
                <c:pt idx="92">
                  <c:v>113806058023587.89</c:v>
                </c:pt>
                <c:pt idx="93">
                  <c:v>105129014300299.64</c:v>
                </c:pt>
                <c:pt idx="94">
                  <c:v>100312421108554.37</c:v>
                </c:pt>
                <c:pt idx="95">
                  <c:v>92904360815706.812</c:v>
                </c:pt>
                <c:pt idx="96">
                  <c:v>84717255660120.922</c:v>
                </c:pt>
                <c:pt idx="97">
                  <c:v>81107387371609.891</c:v>
                </c:pt>
                <c:pt idx="98">
                  <c:v>73690460933525.922</c:v>
                </c:pt>
                <c:pt idx="99">
                  <c:v>70755458155712.453</c:v>
                </c:pt>
                <c:pt idx="100">
                  <c:v>69709400525523.984</c:v>
                </c:pt>
                <c:pt idx="101">
                  <c:v>64163141544923.742</c:v>
                </c:pt>
                <c:pt idx="102">
                  <c:v>59549733263458.203</c:v>
                </c:pt>
                <c:pt idx="103">
                  <c:v>56389325825649.625</c:v>
                </c:pt>
                <c:pt idx="104">
                  <c:v>54099898148273.883</c:v>
                </c:pt>
                <c:pt idx="105">
                  <c:v>45501501107646.414</c:v>
                </c:pt>
                <c:pt idx="106">
                  <c:v>43939725689345.164</c:v>
                </c:pt>
                <c:pt idx="107">
                  <c:v>41800301029689.781</c:v>
                </c:pt>
                <c:pt idx="108">
                  <c:v>41019918286339.937</c:v>
                </c:pt>
                <c:pt idx="109">
                  <c:v>38073114983681.875</c:v>
                </c:pt>
                <c:pt idx="110">
                  <c:v>33310224587328.258</c:v>
                </c:pt>
                <c:pt idx="111">
                  <c:v>32646757858004.84</c:v>
                </c:pt>
                <c:pt idx="112">
                  <c:v>29186774225621.66</c:v>
                </c:pt>
                <c:pt idx="113">
                  <c:v>27342694042775.578</c:v>
                </c:pt>
                <c:pt idx="114">
                  <c:v>26449772194609.785</c:v>
                </c:pt>
                <c:pt idx="115">
                  <c:v>26881842656070.645</c:v>
                </c:pt>
                <c:pt idx="116">
                  <c:v>26132991744537.996</c:v>
                </c:pt>
                <c:pt idx="117">
                  <c:v>25960251382945.242</c:v>
                </c:pt>
                <c:pt idx="118">
                  <c:v>24952516219816.461</c:v>
                </c:pt>
                <c:pt idx="119">
                  <c:v>20061967632947.187</c:v>
                </c:pt>
              </c:numCache>
            </c:numRef>
          </c:xVal>
          <c:yVal>
            <c:numRef>
              <c:f>Calc!$P$12:$P$131</c:f>
              <c:numCache>
                <c:formatCode>0.00E+00</c:formatCode>
                <c:ptCount val="120"/>
                <c:pt idx="0">
                  <c:v>7.5985619882014166E-5</c:v>
                </c:pt>
                <c:pt idx="1">
                  <c:v>7.2952152926643261E-5</c:v>
                </c:pt>
                <c:pt idx="2">
                  <c:v>7.1954296767007408E-5</c:v>
                </c:pt>
                <c:pt idx="3">
                  <c:v>7.2323926949031521E-5</c:v>
                </c:pt>
                <c:pt idx="4">
                  <c:v>7.2873509075320939E-5</c:v>
                </c:pt>
                <c:pt idx="5">
                  <c:v>7.3301428388467977E-5</c:v>
                </c:pt>
                <c:pt idx="6">
                  <c:v>7.3612239120730906E-5</c:v>
                </c:pt>
                <c:pt idx="7">
                  <c:v>7.3823267401736781E-5</c:v>
                </c:pt>
                <c:pt idx="8">
                  <c:v>7.3948025886738544E-5</c:v>
                </c:pt>
                <c:pt idx="9">
                  <c:v>7.4007521307416327E-5</c:v>
                </c:pt>
                <c:pt idx="10">
                  <c:v>7.3981089190724652E-5</c:v>
                </c:pt>
                <c:pt idx="11">
                  <c:v>7.3925689777481601E-5</c:v>
                </c:pt>
                <c:pt idx="12">
                  <c:v>7.3760626649134071E-5</c:v>
                </c:pt>
                <c:pt idx="13">
                  <c:v>7.3552058572983137E-5</c:v>
                </c:pt>
                <c:pt idx="14">
                  <c:v>7.3297230498405803E-5</c:v>
                </c:pt>
                <c:pt idx="15">
                  <c:v>7.2988642676767354E-5</c:v>
                </c:pt>
                <c:pt idx="16">
                  <c:v>7.2640346347184882E-5</c:v>
                </c:pt>
                <c:pt idx="17">
                  <c:v>7.2225827840122523E-5</c:v>
                </c:pt>
                <c:pt idx="18">
                  <c:v>7.1787479429067039E-5</c:v>
                </c:pt>
                <c:pt idx="19">
                  <c:v>7.1314089797917801E-5</c:v>
                </c:pt>
                <c:pt idx="20">
                  <c:v>7.0819079407196287E-5</c:v>
                </c:pt>
                <c:pt idx="21">
                  <c:v>7.0281687841031854E-5</c:v>
                </c:pt>
                <c:pt idx="22">
                  <c:v>6.9719485059645459E-5</c:v>
                </c:pt>
                <c:pt idx="23">
                  <c:v>6.9173012027657729E-5</c:v>
                </c:pt>
                <c:pt idx="24">
                  <c:v>6.8582954581034554E-5</c:v>
                </c:pt>
                <c:pt idx="25">
                  <c:v>6.8091286704411726E-5</c:v>
                </c:pt>
                <c:pt idx="26">
                  <c:v>6.7481587150321581E-5</c:v>
                </c:pt>
                <c:pt idx="27">
                  <c:v>6.6856119768421578E-5</c:v>
                </c:pt>
                <c:pt idx="28">
                  <c:v>6.618020029284483E-5</c:v>
                </c:pt>
                <c:pt idx="29">
                  <c:v>6.5482999822837499E-5</c:v>
                </c:pt>
                <c:pt idx="30">
                  <c:v>6.4782833334324104E-5</c:v>
                </c:pt>
                <c:pt idx="31">
                  <c:v>6.4055583920332614E-5</c:v>
                </c:pt>
                <c:pt idx="32">
                  <c:v>6.3351763578345949E-5</c:v>
                </c:pt>
                <c:pt idx="33">
                  <c:v>6.2623878895806949E-5</c:v>
                </c:pt>
                <c:pt idx="34">
                  <c:v>6.1827765900437042E-5</c:v>
                </c:pt>
                <c:pt idx="35">
                  <c:v>6.1161213609152264E-5</c:v>
                </c:pt>
                <c:pt idx="36">
                  <c:v>6.0368627545122782E-5</c:v>
                </c:pt>
                <c:pt idx="37">
                  <c:v>5.9577180743649128E-5</c:v>
                </c:pt>
                <c:pt idx="38">
                  <c:v>5.8780299087138712E-5</c:v>
                </c:pt>
                <c:pt idx="39">
                  <c:v>5.8080321885644522E-5</c:v>
                </c:pt>
                <c:pt idx="40">
                  <c:v>5.7268245663096088E-5</c:v>
                </c:pt>
                <c:pt idx="41">
                  <c:v>5.6500052121065477E-5</c:v>
                </c:pt>
                <c:pt idx="42">
                  <c:v>5.5698455928878223E-5</c:v>
                </c:pt>
                <c:pt idx="43">
                  <c:v>5.4934489272811095E-5</c:v>
                </c:pt>
                <c:pt idx="44">
                  <c:v>5.4128655764039676E-5</c:v>
                </c:pt>
                <c:pt idx="45">
                  <c:v>5.3369076990854234E-5</c:v>
                </c:pt>
                <c:pt idx="46">
                  <c:v>5.2615945732990514E-5</c:v>
                </c:pt>
                <c:pt idx="47">
                  <c:v>5.188900403556043E-5</c:v>
                </c:pt>
                <c:pt idx="48">
                  <c:v>5.1002732032281774E-5</c:v>
                </c:pt>
                <c:pt idx="49">
                  <c:v>5.0215374517870092E-5</c:v>
                </c:pt>
                <c:pt idx="50">
                  <c:v>4.9454500476555006E-5</c:v>
                </c:pt>
                <c:pt idx="51">
                  <c:v>4.8693441625452404E-5</c:v>
                </c:pt>
                <c:pt idx="52">
                  <c:v>4.7923563242418697E-5</c:v>
                </c:pt>
                <c:pt idx="53">
                  <c:v>4.7186044370645936E-5</c:v>
                </c:pt>
                <c:pt idx="54">
                  <c:v>4.6482725709094387E-5</c:v>
                </c:pt>
                <c:pt idx="55">
                  <c:v>4.5741284560727027E-5</c:v>
                </c:pt>
                <c:pt idx="56">
                  <c:v>4.4974062928430147E-5</c:v>
                </c:pt>
                <c:pt idx="57">
                  <c:v>4.4310231866003307E-5</c:v>
                </c:pt>
                <c:pt idx="58">
                  <c:v>4.3500670361067797E-5</c:v>
                </c:pt>
                <c:pt idx="59">
                  <c:v>4.3127770621977596E-5</c:v>
                </c:pt>
                <c:pt idx="60">
                  <c:v>4.2482586811034942E-5</c:v>
                </c:pt>
                <c:pt idx="61">
                  <c:v>4.1696927550949224E-5</c:v>
                </c:pt>
                <c:pt idx="62">
                  <c:v>4.1071649007390893E-5</c:v>
                </c:pt>
                <c:pt idx="63">
                  <c:v>4.0430733383183884E-5</c:v>
                </c:pt>
                <c:pt idx="64">
                  <c:v>3.9747846744576457E-5</c:v>
                </c:pt>
                <c:pt idx="65">
                  <c:v>3.9087777527470231E-5</c:v>
                </c:pt>
                <c:pt idx="66">
                  <c:v>3.8488971057092363E-5</c:v>
                </c:pt>
                <c:pt idx="67">
                  <c:v>3.7883415511231782E-5</c:v>
                </c:pt>
                <c:pt idx="68">
                  <c:v>3.7251856390144657E-5</c:v>
                </c:pt>
                <c:pt idx="69">
                  <c:v>3.658677467503713E-5</c:v>
                </c:pt>
                <c:pt idx="70">
                  <c:v>3.6100671115626264E-5</c:v>
                </c:pt>
                <c:pt idx="71">
                  <c:v>3.5384516403462389E-5</c:v>
                </c:pt>
                <c:pt idx="72">
                  <c:v>3.5041456703028055E-5</c:v>
                </c:pt>
                <c:pt idx="73">
                  <c:v>3.4475837941602333E-5</c:v>
                </c:pt>
                <c:pt idx="74">
                  <c:v>3.3845347979318705E-5</c:v>
                </c:pt>
                <c:pt idx="75">
                  <c:v>3.33219067889578E-5</c:v>
                </c:pt>
                <c:pt idx="76">
                  <c:v>3.2756033618681789E-5</c:v>
                </c:pt>
                <c:pt idx="77">
                  <c:v>3.2063022739196025E-5</c:v>
                </c:pt>
                <c:pt idx="78">
                  <c:v>3.1708811747640936E-5</c:v>
                </c:pt>
                <c:pt idx="79">
                  <c:v>3.1102976420042877E-5</c:v>
                </c:pt>
                <c:pt idx="80">
                  <c:v>3.0655840378894922E-5</c:v>
                </c:pt>
                <c:pt idx="81">
                  <c:v>3.0330197002660512E-5</c:v>
                </c:pt>
                <c:pt idx="82">
                  <c:v>2.985520021461563E-5</c:v>
                </c:pt>
                <c:pt idx="83">
                  <c:v>2.9284398756713158E-5</c:v>
                </c:pt>
                <c:pt idx="84">
                  <c:v>2.9046273031622281E-5</c:v>
                </c:pt>
                <c:pt idx="85">
                  <c:v>2.8641798254748159E-5</c:v>
                </c:pt>
                <c:pt idx="86">
                  <c:v>2.8249957372712869E-5</c:v>
                </c:pt>
                <c:pt idx="87">
                  <c:v>2.8007412969014763E-5</c:v>
                </c:pt>
                <c:pt idx="88">
                  <c:v>2.8007607202986731E-5</c:v>
                </c:pt>
                <c:pt idx="89">
                  <c:v>2.722567603838444E-5</c:v>
                </c:pt>
                <c:pt idx="90">
                  <c:v>2.7371309926174147E-5</c:v>
                </c:pt>
                <c:pt idx="91">
                  <c:v>2.627712274195254E-5</c:v>
                </c:pt>
                <c:pt idx="92">
                  <c:v>2.5778973923627116E-5</c:v>
                </c:pt>
                <c:pt idx="93">
                  <c:v>2.5237450444371655E-5</c:v>
                </c:pt>
                <c:pt idx="94">
                  <c:v>2.5423838109209516E-5</c:v>
                </c:pt>
                <c:pt idx="95">
                  <c:v>2.4846219943700885E-5</c:v>
                </c:pt>
                <c:pt idx="96">
                  <c:v>2.3856447268106053E-5</c:v>
                </c:pt>
                <c:pt idx="97">
                  <c:v>2.4185685716869791E-5</c:v>
                </c:pt>
                <c:pt idx="98">
                  <c:v>2.3289896170337693E-5</c:v>
                </c:pt>
                <c:pt idx="99">
                  <c:v>2.3569626126153333E-5</c:v>
                </c:pt>
                <c:pt idx="100">
                  <c:v>2.4557555541944087E-5</c:v>
                </c:pt>
                <c:pt idx="101">
                  <c:v>2.3949365470356897E-5</c:v>
                </c:pt>
                <c:pt idx="102">
                  <c:v>2.3560691568028194E-5</c:v>
                </c:pt>
                <c:pt idx="103">
                  <c:v>2.3342642894798732E-5</c:v>
                </c:pt>
                <c:pt idx="104">
                  <c:v>2.3919330709544442E-5</c:v>
                </c:pt>
                <c:pt idx="105">
                  <c:v>2.1189418079018345E-5</c:v>
                </c:pt>
                <c:pt idx="106">
                  <c:v>2.1727194945369543E-5</c:v>
                </c:pt>
                <c:pt idx="107">
                  <c:v>2.2274355540546826E-5</c:v>
                </c:pt>
                <c:pt idx="108">
                  <c:v>2.3034027284591141E-5</c:v>
                </c:pt>
                <c:pt idx="109">
                  <c:v>2.2529882382603827E-5</c:v>
                </c:pt>
                <c:pt idx="110">
                  <c:v>2.1012305832193346E-5</c:v>
                </c:pt>
                <c:pt idx="111">
                  <c:v>2.2064998747490964E-5</c:v>
                </c:pt>
                <c:pt idx="112">
                  <c:v>2.08608674088052E-5</c:v>
                </c:pt>
                <c:pt idx="113">
                  <c:v>2.1032342951573018E-5</c:v>
                </c:pt>
                <c:pt idx="114">
                  <c:v>2.1215171298544051E-5</c:v>
                </c:pt>
                <c:pt idx="115">
                  <c:v>2.342956686139181E-5</c:v>
                </c:pt>
                <c:pt idx="116">
                  <c:v>2.4237320617022005E-5</c:v>
                </c:pt>
                <c:pt idx="117">
                  <c:v>2.5710289750521434E-5</c:v>
                </c:pt>
                <c:pt idx="118">
                  <c:v>2.6122090082508596E-5</c:v>
                </c:pt>
                <c:pt idx="119">
                  <c:v>2.2192111241382683E-5</c:v>
                </c:pt>
              </c:numCache>
            </c:numRef>
          </c:yVal>
          <c:smooth val="0"/>
        </c:ser>
        <c:ser>
          <c:idx val="2"/>
          <c:order val="2"/>
          <c:tx>
            <c:v>Specified Carrier Density</c:v>
          </c:tx>
          <c:spPr>
            <a:ln w="28575">
              <a:noFill/>
            </a:ln>
          </c:spPr>
          <c:marker>
            <c:symbol val="diamond"/>
            <c:size val="16"/>
            <c:spPr>
              <a:solidFill>
                <a:srgbClr val="FF0000"/>
              </a:solidFill>
              <a:ln>
                <a:solidFill>
                  <a:srgbClr val="FF0000"/>
                </a:solidFill>
              </a:ln>
            </c:spPr>
          </c:marker>
          <c:xVal>
            <c:numRef>
              <c:f>Calc!$O$6</c:f>
              <c:numCache>
                <c:formatCode>0.00E+00</c:formatCode>
                <c:ptCount val="1"/>
                <c:pt idx="0">
                  <c:v>1000000000000000</c:v>
                </c:pt>
              </c:numCache>
            </c:numRef>
          </c:xVal>
          <c:yVal>
            <c:numRef>
              <c:f>Calc!$S$6</c:f>
              <c:numCache>
                <c:formatCode>0.00E+00</c:formatCode>
                <c:ptCount val="1"/>
                <c:pt idx="0">
                  <c:v>4.3032066979476135E-5</c:v>
                </c:pt>
              </c:numCache>
            </c:numRef>
          </c:yVal>
          <c:smooth val="0"/>
        </c:ser>
        <c:dLbls>
          <c:showLegendKey val="0"/>
          <c:showVal val="0"/>
          <c:showCatName val="0"/>
          <c:showSerName val="0"/>
          <c:showPercent val="0"/>
          <c:showBubbleSize val="0"/>
        </c:dLbls>
        <c:axId val="142939264"/>
        <c:axId val="142941568"/>
      </c:scatterChart>
      <c:valAx>
        <c:axId val="142939264"/>
        <c:scaling>
          <c:logBase val="10"/>
          <c:orientation val="minMax"/>
          <c:min val="10000000000000"/>
        </c:scaling>
        <c:delete val="0"/>
        <c:axPos val="b"/>
        <c:majorGridlines/>
        <c:title>
          <c:tx>
            <c:rich>
              <a:bodyPr/>
              <a:lstStyle/>
              <a:p>
                <a:pPr>
                  <a:defRPr sz="1200"/>
                </a:pPr>
                <a:r>
                  <a:rPr lang="en-US" sz="1200"/>
                  <a:t>Minority Carrier Density (cm-3)</a:t>
                </a:r>
              </a:p>
            </c:rich>
          </c:tx>
          <c:layout/>
          <c:overlay val="0"/>
        </c:title>
        <c:numFmt formatCode="0.00E+00" sourceLinked="1"/>
        <c:majorTickMark val="out"/>
        <c:minorTickMark val="none"/>
        <c:tickLblPos val="nextTo"/>
        <c:txPr>
          <a:bodyPr/>
          <a:lstStyle/>
          <a:p>
            <a:pPr>
              <a:defRPr b="1"/>
            </a:pPr>
            <a:endParaRPr lang="en-US"/>
          </a:p>
        </c:txPr>
        <c:crossAx val="142941568"/>
        <c:crosses val="autoZero"/>
        <c:crossBetween val="midCat"/>
      </c:valAx>
      <c:valAx>
        <c:axId val="142941568"/>
        <c:scaling>
          <c:orientation val="minMax"/>
          <c:max val="1.7212826791790454E-4"/>
          <c:min val="0"/>
        </c:scaling>
        <c:delete val="0"/>
        <c:axPos val="l"/>
        <c:majorGridlines/>
        <c:title>
          <c:tx>
            <c:rich>
              <a:bodyPr rot="-5400000" vert="horz"/>
              <a:lstStyle/>
              <a:p>
                <a:pPr>
                  <a:defRPr sz="1200"/>
                </a:pPr>
                <a:r>
                  <a:rPr lang="en-US" sz="1200"/>
                  <a:t>Minority Carrier Lifetime (seconds)</a:t>
                </a:r>
              </a:p>
            </c:rich>
          </c:tx>
          <c:layout>
            <c:manualLayout>
              <c:xMode val="edge"/>
              <c:yMode val="edge"/>
              <c:x val="3.8090144175614786E-2"/>
              <c:y val="0.13788835539584984"/>
            </c:manualLayout>
          </c:layout>
          <c:overlay val="0"/>
        </c:title>
        <c:numFmt formatCode="0.00E+00" sourceLinked="0"/>
        <c:majorTickMark val="out"/>
        <c:minorTickMark val="none"/>
        <c:tickLblPos val="nextTo"/>
        <c:spPr>
          <a:ln>
            <a:noFill/>
          </a:ln>
        </c:spPr>
        <c:txPr>
          <a:bodyPr/>
          <a:lstStyle/>
          <a:p>
            <a:pPr>
              <a:defRPr b="1"/>
            </a:pPr>
            <a:endParaRPr lang="en-US"/>
          </a:p>
        </c:txPr>
        <c:crossAx val="142939264"/>
        <c:crosses val="autoZero"/>
        <c:crossBetween val="midCat"/>
      </c:valAx>
      <c:spPr>
        <a:ln>
          <a:solidFill>
            <a:sysClr val="windowText" lastClr="000000"/>
          </a:solidFill>
        </a:ln>
      </c:spPr>
    </c:plotArea>
    <c:legend>
      <c:legendPos val="r"/>
      <c:layout>
        <c:manualLayout>
          <c:xMode val="edge"/>
          <c:yMode val="edge"/>
          <c:x val="0.60299169485391568"/>
          <c:y val="0.15382177097091537"/>
          <c:w val="0.27959762005095484"/>
          <c:h val="0.1706503353103502"/>
        </c:manualLayout>
      </c:layout>
      <c:overlay val="1"/>
      <c:spPr>
        <a:solidFill>
          <a:schemeClr val="bg1"/>
        </a:solidFill>
        <a:ln>
          <a:solidFill>
            <a:schemeClr val="tx1"/>
          </a:solidFill>
        </a:ln>
      </c:spPr>
    </c:legend>
    <c:plotVisOnly val="1"/>
    <c:dispBlanksAs val="gap"/>
    <c:showDLblsOverMax val="0"/>
  </c:chart>
  <c:txPr>
    <a:bodyPr/>
    <a:lstStyle/>
    <a:p>
      <a:pPr>
        <a:defRPr>
          <a:latin typeface="+mn-lt"/>
        </a:defRPr>
      </a:pPr>
      <a:endParaRPr lang="en-US"/>
    </a:p>
  </c:txPr>
  <c:printSettings>
    <c:headerFooter/>
    <c:pageMargins b="0.75000000000001033" l="0.70000000000000062" r="0.70000000000000062" t="0.750000000000010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Raw Voltages</a:t>
            </a:r>
          </a:p>
        </c:rich>
      </c:tx>
      <c:layout>
        <c:manualLayout>
          <c:xMode val="edge"/>
          <c:yMode val="edge"/>
          <c:x val="0.38567596869611082"/>
          <c:y val="4.1811846689895356E-2"/>
        </c:manualLayout>
      </c:layout>
      <c:overlay val="0"/>
      <c:spPr>
        <a:noFill/>
        <a:ln w="25400">
          <a:noFill/>
        </a:ln>
      </c:spPr>
    </c:title>
    <c:autoTitleDeleted val="0"/>
    <c:plotArea>
      <c:layout>
        <c:manualLayout>
          <c:layoutTarget val="inner"/>
          <c:xMode val="edge"/>
          <c:yMode val="edge"/>
          <c:x val="0.19008315600022599"/>
          <c:y val="0.13937282229964618"/>
          <c:w val="0.64187500504425365"/>
          <c:h val="0.63414634146341464"/>
        </c:manualLayout>
      </c:layout>
      <c:scatterChart>
        <c:scatterStyle val="smoothMarker"/>
        <c:varyColors val="0"/>
        <c:ser>
          <c:idx val="1"/>
          <c:order val="1"/>
          <c:tx>
            <c:v>Light voltage</c:v>
          </c:tx>
          <c:spPr>
            <a:ln w="25400">
              <a:solidFill>
                <a:srgbClr val="0000FF"/>
              </a:solidFill>
              <a:prstDash val="solid"/>
            </a:ln>
          </c:spPr>
          <c:marker>
            <c:symbol val="none"/>
          </c:marker>
          <c:xVal>
            <c:numRef>
              <c:f>Calc!$A$9:$A$133</c:f>
              <c:numCache>
                <c:formatCode>0.00E+00</c:formatCode>
                <c:ptCount val="125"/>
                <c:pt idx="0">
                  <c:v>4.99E-5</c:v>
                </c:pt>
                <c:pt idx="1">
                  <c:v>1.4990000000000001E-4</c:v>
                </c:pt>
                <c:pt idx="2">
                  <c:v>2.499E-4</c:v>
                </c:pt>
                <c:pt idx="3">
                  <c:v>3.4989999999999999E-4</c:v>
                </c:pt>
                <c:pt idx="4">
                  <c:v>4.4989999999999999E-4</c:v>
                </c:pt>
                <c:pt idx="5">
                  <c:v>5.4989999999999998E-4</c:v>
                </c:pt>
                <c:pt idx="6">
                  <c:v>6.4990000000000002E-4</c:v>
                </c:pt>
                <c:pt idx="7">
                  <c:v>7.4989999999999996E-4</c:v>
                </c:pt>
                <c:pt idx="8">
                  <c:v>8.499E-4</c:v>
                </c:pt>
                <c:pt idx="9">
                  <c:v>9.4990000000000005E-4</c:v>
                </c:pt>
                <c:pt idx="10">
                  <c:v>1.0499000000000001E-3</c:v>
                </c:pt>
                <c:pt idx="11">
                  <c:v>1.1498999999999999E-3</c:v>
                </c:pt>
                <c:pt idx="12">
                  <c:v>1.2499E-3</c:v>
                </c:pt>
                <c:pt idx="13">
                  <c:v>1.3499E-3</c:v>
                </c:pt>
                <c:pt idx="14">
                  <c:v>1.4499000000000001E-3</c:v>
                </c:pt>
                <c:pt idx="15">
                  <c:v>1.5499000000000001E-3</c:v>
                </c:pt>
                <c:pt idx="16">
                  <c:v>1.6498999999999999E-3</c:v>
                </c:pt>
                <c:pt idx="17">
                  <c:v>1.7499E-3</c:v>
                </c:pt>
                <c:pt idx="18">
                  <c:v>1.8499E-3</c:v>
                </c:pt>
                <c:pt idx="19">
                  <c:v>1.9499000000000001E-3</c:v>
                </c:pt>
                <c:pt idx="20">
                  <c:v>2.0498999999999999E-3</c:v>
                </c:pt>
                <c:pt idx="21">
                  <c:v>2.1499000000000002E-3</c:v>
                </c:pt>
                <c:pt idx="22">
                  <c:v>2.2499E-3</c:v>
                </c:pt>
                <c:pt idx="23">
                  <c:v>2.3498999999999998E-3</c:v>
                </c:pt>
                <c:pt idx="24">
                  <c:v>2.4499000000000001E-3</c:v>
                </c:pt>
                <c:pt idx="25">
                  <c:v>2.5498999999999999E-3</c:v>
                </c:pt>
                <c:pt idx="26">
                  <c:v>2.6499000000000002E-3</c:v>
                </c:pt>
                <c:pt idx="27">
                  <c:v>2.7499E-3</c:v>
                </c:pt>
                <c:pt idx="28">
                  <c:v>2.8498999999999998E-3</c:v>
                </c:pt>
                <c:pt idx="29">
                  <c:v>2.9499000000000001E-3</c:v>
                </c:pt>
                <c:pt idx="30">
                  <c:v>3.0498999999999999E-3</c:v>
                </c:pt>
                <c:pt idx="31">
                  <c:v>3.1499000000000002E-3</c:v>
                </c:pt>
                <c:pt idx="32">
                  <c:v>3.2499E-3</c:v>
                </c:pt>
                <c:pt idx="33">
                  <c:v>3.3498999999999998E-3</c:v>
                </c:pt>
                <c:pt idx="34">
                  <c:v>3.4499000000000001E-3</c:v>
                </c:pt>
                <c:pt idx="35">
                  <c:v>3.5498999999999999E-3</c:v>
                </c:pt>
                <c:pt idx="36">
                  <c:v>3.6499000000000002E-3</c:v>
                </c:pt>
                <c:pt idx="37">
                  <c:v>3.7499E-3</c:v>
                </c:pt>
                <c:pt idx="38">
                  <c:v>3.8498999999999999E-3</c:v>
                </c:pt>
                <c:pt idx="39">
                  <c:v>3.9499000000000001E-3</c:v>
                </c:pt>
                <c:pt idx="40">
                  <c:v>4.0499000000000004E-3</c:v>
                </c:pt>
                <c:pt idx="41">
                  <c:v>4.1498999999999998E-3</c:v>
                </c:pt>
                <c:pt idx="42">
                  <c:v>4.2499E-3</c:v>
                </c:pt>
                <c:pt idx="43">
                  <c:v>4.3499000000000003E-3</c:v>
                </c:pt>
                <c:pt idx="44">
                  <c:v>4.4498999999999997E-3</c:v>
                </c:pt>
                <c:pt idx="45">
                  <c:v>4.5499E-3</c:v>
                </c:pt>
                <c:pt idx="46">
                  <c:v>4.6499000000000002E-3</c:v>
                </c:pt>
                <c:pt idx="47">
                  <c:v>4.7498999999999996E-3</c:v>
                </c:pt>
                <c:pt idx="48">
                  <c:v>4.8498999999999999E-3</c:v>
                </c:pt>
                <c:pt idx="49">
                  <c:v>4.9499000000000001E-3</c:v>
                </c:pt>
                <c:pt idx="50">
                  <c:v>5.0499000000000004E-3</c:v>
                </c:pt>
                <c:pt idx="51">
                  <c:v>5.1498999999999998E-3</c:v>
                </c:pt>
                <c:pt idx="52">
                  <c:v>5.2499000000000001E-3</c:v>
                </c:pt>
                <c:pt idx="53">
                  <c:v>5.3499000000000003E-3</c:v>
                </c:pt>
                <c:pt idx="54">
                  <c:v>5.4498999999999997E-3</c:v>
                </c:pt>
                <c:pt idx="55">
                  <c:v>5.5499E-3</c:v>
                </c:pt>
                <c:pt idx="56">
                  <c:v>5.6499000000000002E-3</c:v>
                </c:pt>
                <c:pt idx="57">
                  <c:v>5.7498999999999996E-3</c:v>
                </c:pt>
                <c:pt idx="58">
                  <c:v>5.8498999999999999E-3</c:v>
                </c:pt>
                <c:pt idx="59">
                  <c:v>5.9499000000000002E-3</c:v>
                </c:pt>
                <c:pt idx="60">
                  <c:v>6.0499000000000004E-3</c:v>
                </c:pt>
                <c:pt idx="61">
                  <c:v>6.1498999999999998E-3</c:v>
                </c:pt>
                <c:pt idx="62">
                  <c:v>6.2499000000000001E-3</c:v>
                </c:pt>
                <c:pt idx="63">
                  <c:v>6.3499000000000003E-3</c:v>
                </c:pt>
                <c:pt idx="64">
                  <c:v>6.4498999999999997E-3</c:v>
                </c:pt>
                <c:pt idx="65">
                  <c:v>6.5499E-3</c:v>
                </c:pt>
                <c:pt idx="66">
                  <c:v>6.6499000000000003E-3</c:v>
                </c:pt>
                <c:pt idx="67">
                  <c:v>6.7498999999999997E-3</c:v>
                </c:pt>
                <c:pt idx="68">
                  <c:v>6.8498999999999999E-3</c:v>
                </c:pt>
                <c:pt idx="69">
                  <c:v>6.9499000000000002E-3</c:v>
                </c:pt>
                <c:pt idx="70">
                  <c:v>7.0498999999999996E-3</c:v>
                </c:pt>
                <c:pt idx="71">
                  <c:v>7.1498999999999998E-3</c:v>
                </c:pt>
                <c:pt idx="72">
                  <c:v>7.2499000000000001E-3</c:v>
                </c:pt>
                <c:pt idx="73">
                  <c:v>7.3499000000000004E-3</c:v>
                </c:pt>
                <c:pt idx="74">
                  <c:v>7.4498999999999998E-3</c:v>
                </c:pt>
                <c:pt idx="75">
                  <c:v>7.5499E-3</c:v>
                </c:pt>
                <c:pt idx="76">
                  <c:v>7.6499000000000003E-3</c:v>
                </c:pt>
                <c:pt idx="77">
                  <c:v>7.7498999999999997E-3</c:v>
                </c:pt>
                <c:pt idx="78">
                  <c:v>7.8498999999999999E-3</c:v>
                </c:pt>
                <c:pt idx="79">
                  <c:v>7.9498999999999993E-3</c:v>
                </c:pt>
                <c:pt idx="80">
                  <c:v>8.0499000000000005E-3</c:v>
                </c:pt>
                <c:pt idx="81">
                  <c:v>8.1498999999999999E-3</c:v>
                </c:pt>
                <c:pt idx="82">
                  <c:v>8.2498999999999992E-3</c:v>
                </c:pt>
                <c:pt idx="83">
                  <c:v>8.3499000000000004E-3</c:v>
                </c:pt>
                <c:pt idx="84">
                  <c:v>8.4498999999999998E-3</c:v>
                </c:pt>
                <c:pt idx="85">
                  <c:v>8.5498999999999992E-3</c:v>
                </c:pt>
                <c:pt idx="86">
                  <c:v>8.6499000000000003E-3</c:v>
                </c:pt>
                <c:pt idx="87">
                  <c:v>8.7498999999999997E-3</c:v>
                </c:pt>
                <c:pt idx="88">
                  <c:v>8.8499000000000008E-3</c:v>
                </c:pt>
                <c:pt idx="89">
                  <c:v>8.9499000000000002E-3</c:v>
                </c:pt>
                <c:pt idx="90">
                  <c:v>9.0498999999999996E-3</c:v>
                </c:pt>
                <c:pt idx="91">
                  <c:v>9.1499000000000007E-3</c:v>
                </c:pt>
                <c:pt idx="92">
                  <c:v>9.2499000000000001E-3</c:v>
                </c:pt>
                <c:pt idx="93">
                  <c:v>9.3498999999999995E-3</c:v>
                </c:pt>
                <c:pt idx="94">
                  <c:v>9.4499000000000007E-3</c:v>
                </c:pt>
                <c:pt idx="95">
                  <c:v>9.5499000000000001E-3</c:v>
                </c:pt>
                <c:pt idx="96">
                  <c:v>9.6498999999999995E-3</c:v>
                </c:pt>
                <c:pt idx="97">
                  <c:v>9.7499000000000006E-3</c:v>
                </c:pt>
                <c:pt idx="98">
                  <c:v>9.8499E-3</c:v>
                </c:pt>
                <c:pt idx="99">
                  <c:v>9.9498999999999994E-3</c:v>
                </c:pt>
                <c:pt idx="100">
                  <c:v>1.00499E-2</c:v>
                </c:pt>
                <c:pt idx="101">
                  <c:v>1.01499E-2</c:v>
                </c:pt>
                <c:pt idx="102">
                  <c:v>1.0249899999999999E-2</c:v>
                </c:pt>
                <c:pt idx="103">
                  <c:v>1.03499E-2</c:v>
                </c:pt>
                <c:pt idx="104">
                  <c:v>1.04499E-2</c:v>
                </c:pt>
                <c:pt idx="105">
                  <c:v>1.0549899999999999E-2</c:v>
                </c:pt>
                <c:pt idx="106">
                  <c:v>1.06499E-2</c:v>
                </c:pt>
                <c:pt idx="107">
                  <c:v>1.07499E-2</c:v>
                </c:pt>
                <c:pt idx="108">
                  <c:v>1.0849900000000001E-2</c:v>
                </c:pt>
                <c:pt idx="109">
                  <c:v>1.09499E-2</c:v>
                </c:pt>
                <c:pt idx="110">
                  <c:v>1.10499E-2</c:v>
                </c:pt>
                <c:pt idx="111">
                  <c:v>1.1149900000000001E-2</c:v>
                </c:pt>
                <c:pt idx="112">
                  <c:v>1.12499E-2</c:v>
                </c:pt>
                <c:pt idx="113">
                  <c:v>1.13499E-2</c:v>
                </c:pt>
                <c:pt idx="114">
                  <c:v>1.1449900000000001E-2</c:v>
                </c:pt>
                <c:pt idx="115">
                  <c:v>1.15499E-2</c:v>
                </c:pt>
                <c:pt idx="116">
                  <c:v>1.1649899999999999E-2</c:v>
                </c:pt>
                <c:pt idx="117">
                  <c:v>1.1749900000000001E-2</c:v>
                </c:pt>
                <c:pt idx="118">
                  <c:v>1.18499E-2</c:v>
                </c:pt>
                <c:pt idx="119">
                  <c:v>1.1949899999999999E-2</c:v>
                </c:pt>
                <c:pt idx="120">
                  <c:v>1.2049900000000001E-2</c:v>
                </c:pt>
                <c:pt idx="121">
                  <c:v>1.21499E-2</c:v>
                </c:pt>
                <c:pt idx="122">
                  <c:v>1.2249899999999999E-2</c:v>
                </c:pt>
                <c:pt idx="123">
                  <c:v>1.23499E-2</c:v>
                </c:pt>
                <c:pt idx="124">
                  <c:v>1.24499E-2</c:v>
                </c:pt>
              </c:numCache>
            </c:numRef>
          </c:xVal>
          <c:yVal>
            <c:numRef>
              <c:f>Calc!$C$9:$C$133</c:f>
              <c:numCache>
                <c:formatCode>0.0000</c:formatCode>
                <c:ptCount val="125"/>
                <c:pt idx="0">
                  <c:v>0.36129</c:v>
                </c:pt>
                <c:pt idx="1">
                  <c:v>0.54188499999999995</c:v>
                </c:pt>
                <c:pt idx="2">
                  <c:v>0.60949200000000003</c:v>
                </c:pt>
                <c:pt idx="3">
                  <c:v>0.62489499999999998</c:v>
                </c:pt>
                <c:pt idx="4">
                  <c:v>0.60998399999999997</c:v>
                </c:pt>
                <c:pt idx="5">
                  <c:v>0.58228100000000005</c:v>
                </c:pt>
                <c:pt idx="6">
                  <c:v>0.54947500000000005</c:v>
                </c:pt>
                <c:pt idx="7">
                  <c:v>0.51740699999999995</c:v>
                </c:pt>
                <c:pt idx="8">
                  <c:v>0.486844</c:v>
                </c:pt>
                <c:pt idx="9">
                  <c:v>0.45813399999999999</c:v>
                </c:pt>
                <c:pt idx="10">
                  <c:v>0.43135299999999999</c:v>
                </c:pt>
                <c:pt idx="11">
                  <c:v>0.40625899999999998</c:v>
                </c:pt>
                <c:pt idx="12">
                  <c:v>0.38257200000000002</c:v>
                </c:pt>
                <c:pt idx="13">
                  <c:v>0.360458</c:v>
                </c:pt>
                <c:pt idx="14">
                  <c:v>0.33967799999999998</c:v>
                </c:pt>
                <c:pt idx="15">
                  <c:v>0.32023499999999999</c:v>
                </c:pt>
                <c:pt idx="16">
                  <c:v>0.301985</c:v>
                </c:pt>
                <c:pt idx="17">
                  <c:v>0.284804</c:v>
                </c:pt>
                <c:pt idx="18">
                  <c:v>0.26864100000000002</c:v>
                </c:pt>
                <c:pt idx="19">
                  <c:v>0.25351600000000002</c:v>
                </c:pt>
                <c:pt idx="20">
                  <c:v>0.23935899999999999</c:v>
                </c:pt>
                <c:pt idx="21">
                  <c:v>0.22608300000000001</c:v>
                </c:pt>
                <c:pt idx="22">
                  <c:v>0.21359300000000001</c:v>
                </c:pt>
                <c:pt idx="23">
                  <c:v>0.201816</c:v>
                </c:pt>
                <c:pt idx="24">
                  <c:v>0.19082399999999999</c:v>
                </c:pt>
                <c:pt idx="25">
                  <c:v>0.180481</c:v>
                </c:pt>
                <c:pt idx="26">
                  <c:v>0.17077500000000001</c:v>
                </c:pt>
                <c:pt idx="27">
                  <c:v>0.16162000000000001</c:v>
                </c:pt>
                <c:pt idx="28">
                  <c:v>0.15274199999999999</c:v>
                </c:pt>
                <c:pt idx="29">
                  <c:v>0.14462</c:v>
                </c:pt>
                <c:pt idx="30">
                  <c:v>0.13699500000000001</c:v>
                </c:pt>
                <c:pt idx="31">
                  <c:v>0.12989500000000001</c:v>
                </c:pt>
                <c:pt idx="32">
                  <c:v>0.12316100000000001</c:v>
                </c:pt>
                <c:pt idx="33">
                  <c:v>0.116784</c:v>
                </c:pt>
                <c:pt idx="34">
                  <c:v>0.110778</c:v>
                </c:pt>
                <c:pt idx="35">
                  <c:v>0.10512000000000001</c:v>
                </c:pt>
                <c:pt idx="36">
                  <c:v>9.9754499999999996E-2</c:v>
                </c:pt>
                <c:pt idx="37">
                  <c:v>9.4760399999999995E-2</c:v>
                </c:pt>
                <c:pt idx="38">
                  <c:v>8.9907799999999996E-2</c:v>
                </c:pt>
                <c:pt idx="39">
                  <c:v>8.5423399999999997E-2</c:v>
                </c:pt>
                <c:pt idx="40">
                  <c:v>8.1124600000000005E-2</c:v>
                </c:pt>
                <c:pt idx="41">
                  <c:v>7.7086500000000002E-2</c:v>
                </c:pt>
                <c:pt idx="42">
                  <c:v>7.3266200000000004E-2</c:v>
                </c:pt>
                <c:pt idx="43">
                  <c:v>6.9652900000000004E-2</c:v>
                </c:pt>
                <c:pt idx="44">
                  <c:v>6.6231999999999999E-2</c:v>
                </c:pt>
                <c:pt idx="45">
                  <c:v>6.3016199999999994E-2</c:v>
                </c:pt>
                <c:pt idx="46">
                  <c:v>5.9953699999999999E-2</c:v>
                </c:pt>
                <c:pt idx="47">
                  <c:v>5.7022999999999997E-2</c:v>
                </c:pt>
                <c:pt idx="48">
                  <c:v>5.4279899999999999E-2</c:v>
                </c:pt>
                <c:pt idx="49">
                  <c:v>5.1691000000000001E-2</c:v>
                </c:pt>
                <c:pt idx="50">
                  <c:v>4.9188099999999998E-2</c:v>
                </c:pt>
                <c:pt idx="51">
                  <c:v>4.6855099999999997E-2</c:v>
                </c:pt>
                <c:pt idx="52">
                  <c:v>4.4619699999999998E-2</c:v>
                </c:pt>
                <c:pt idx="53">
                  <c:v>4.2470300000000002E-2</c:v>
                </c:pt>
                <c:pt idx="54">
                  <c:v>4.0481099999999999E-2</c:v>
                </c:pt>
                <c:pt idx="55">
                  <c:v>3.8571899999999999E-2</c:v>
                </c:pt>
                <c:pt idx="56">
                  <c:v>3.67467E-2</c:v>
                </c:pt>
                <c:pt idx="57">
                  <c:v>3.50064E-2</c:v>
                </c:pt>
                <c:pt idx="58">
                  <c:v>3.3303300000000001E-2</c:v>
                </c:pt>
                <c:pt idx="59">
                  <c:v>3.17389E-2</c:v>
                </c:pt>
                <c:pt idx="60">
                  <c:v>3.0234E-2</c:v>
                </c:pt>
                <c:pt idx="61">
                  <c:v>2.8789599999999999E-2</c:v>
                </c:pt>
                <c:pt idx="62">
                  <c:v>2.7389299999999998E-2</c:v>
                </c:pt>
                <c:pt idx="63">
                  <c:v>2.6089500000000002E-2</c:v>
                </c:pt>
                <c:pt idx="64">
                  <c:v>2.4888299999999999E-2</c:v>
                </c:pt>
                <c:pt idx="65">
                  <c:v>2.3731100000000001E-2</c:v>
                </c:pt>
                <c:pt idx="66">
                  <c:v>2.2613899999999999E-2</c:v>
                </c:pt>
                <c:pt idx="67">
                  <c:v>2.15494E-2</c:v>
                </c:pt>
                <c:pt idx="68">
                  <c:v>2.0483999999999999E-2</c:v>
                </c:pt>
                <c:pt idx="69">
                  <c:v>1.95338E-2</c:v>
                </c:pt>
                <c:pt idx="70">
                  <c:v>1.8624600000000002E-2</c:v>
                </c:pt>
                <c:pt idx="71">
                  <c:v>1.7732999999999999E-2</c:v>
                </c:pt>
                <c:pt idx="72">
                  <c:v>1.69049E-2</c:v>
                </c:pt>
                <c:pt idx="73">
                  <c:v>1.61012E-2</c:v>
                </c:pt>
                <c:pt idx="74">
                  <c:v>1.53551E-2</c:v>
                </c:pt>
                <c:pt idx="75">
                  <c:v>1.4622700000000001E-2</c:v>
                </c:pt>
                <c:pt idx="76">
                  <c:v>1.39381E-2</c:v>
                </c:pt>
                <c:pt idx="77">
                  <c:v>1.32633E-2</c:v>
                </c:pt>
                <c:pt idx="78">
                  <c:v>1.26383E-2</c:v>
                </c:pt>
                <c:pt idx="79">
                  <c:v>1.20211E-2</c:v>
                </c:pt>
                <c:pt idx="80">
                  <c:v>1.1439100000000001E-2</c:v>
                </c:pt>
                <c:pt idx="81">
                  <c:v>1.09049E-2</c:v>
                </c:pt>
                <c:pt idx="82">
                  <c:v>1.0357999999999999E-2</c:v>
                </c:pt>
                <c:pt idx="83">
                  <c:v>9.8804700000000006E-3</c:v>
                </c:pt>
                <c:pt idx="84">
                  <c:v>9.4097699999999996E-3</c:v>
                </c:pt>
                <c:pt idx="85">
                  <c:v>8.9244200000000006E-3</c:v>
                </c:pt>
                <c:pt idx="86">
                  <c:v>8.5152400000000003E-3</c:v>
                </c:pt>
                <c:pt idx="87">
                  <c:v>8.0923799999999997E-3</c:v>
                </c:pt>
                <c:pt idx="88">
                  <c:v>7.7037099999999999E-3</c:v>
                </c:pt>
                <c:pt idx="89">
                  <c:v>7.30234E-3</c:v>
                </c:pt>
                <c:pt idx="90">
                  <c:v>6.9498099999999998E-3</c:v>
                </c:pt>
                <c:pt idx="91">
                  <c:v>6.6089900000000004E-3</c:v>
                </c:pt>
                <c:pt idx="92">
                  <c:v>6.2915999999999996E-3</c:v>
                </c:pt>
                <c:pt idx="93">
                  <c:v>5.9293000000000002E-3</c:v>
                </c:pt>
                <c:pt idx="94">
                  <c:v>5.6597699999999997E-3</c:v>
                </c:pt>
                <c:pt idx="95">
                  <c:v>5.3814500000000003E-3</c:v>
                </c:pt>
                <c:pt idx="96">
                  <c:v>5.0855500000000003E-3</c:v>
                </c:pt>
                <c:pt idx="97">
                  <c:v>4.8140600000000002E-3</c:v>
                </c:pt>
                <c:pt idx="98">
                  <c:v>4.5660199999999996E-3</c:v>
                </c:pt>
                <c:pt idx="99">
                  <c:v>4.33067E-3</c:v>
                </c:pt>
                <c:pt idx="100">
                  <c:v>4.0972700000000001E-3</c:v>
                </c:pt>
                <c:pt idx="101">
                  <c:v>3.88047E-3</c:v>
                </c:pt>
                <c:pt idx="102">
                  <c:v>3.6822299999999999E-3</c:v>
                </c:pt>
                <c:pt idx="103">
                  <c:v>3.4830099999999999E-3</c:v>
                </c:pt>
                <c:pt idx="104">
                  <c:v>3.2798800000000002E-3</c:v>
                </c:pt>
                <c:pt idx="105">
                  <c:v>3.0914100000000002E-3</c:v>
                </c:pt>
                <c:pt idx="106">
                  <c:v>2.9478500000000001E-3</c:v>
                </c:pt>
                <c:pt idx="107">
                  <c:v>2.75742E-3</c:v>
                </c:pt>
                <c:pt idx="108">
                  <c:v>2.61875E-3</c:v>
                </c:pt>
                <c:pt idx="109">
                  <c:v>2.4751999999999999E-3</c:v>
                </c:pt>
                <c:pt idx="110">
                  <c:v>2.3091800000000001E-3</c:v>
                </c:pt>
                <c:pt idx="111">
                  <c:v>2.18125E-3</c:v>
                </c:pt>
                <c:pt idx="112">
                  <c:v>2.0669899999999999E-3</c:v>
                </c:pt>
                <c:pt idx="113">
                  <c:v>1.9331999999999999E-3</c:v>
                </c:pt>
                <c:pt idx="114">
                  <c:v>1.8062499999999999E-3</c:v>
                </c:pt>
                <c:pt idx="115">
                  <c:v>1.71445E-3</c:v>
                </c:pt>
                <c:pt idx="116">
                  <c:v>1.59727E-3</c:v>
                </c:pt>
                <c:pt idx="117">
                  <c:v>1.5406300000000001E-3</c:v>
                </c:pt>
                <c:pt idx="118">
                  <c:v>1.4214900000000001E-3</c:v>
                </c:pt>
                <c:pt idx="119">
                  <c:v>1.33457E-3</c:v>
                </c:pt>
                <c:pt idx="120">
                  <c:v>1.23594E-3</c:v>
                </c:pt>
                <c:pt idx="121">
                  <c:v>1.1636699999999999E-3</c:v>
                </c:pt>
                <c:pt idx="122">
                  <c:v>1.09238E-3</c:v>
                </c:pt>
                <c:pt idx="123">
                  <c:v>1.01231E-3</c:v>
                </c:pt>
                <c:pt idx="124">
                  <c:v>9.3711E-4</c:v>
                </c:pt>
              </c:numCache>
            </c:numRef>
          </c:yVal>
          <c:smooth val="0"/>
        </c:ser>
        <c:ser>
          <c:idx val="3"/>
          <c:order val="3"/>
          <c:tx>
            <c:v>Ref_Upper</c:v>
          </c:tx>
          <c:spPr>
            <a:ln w="25400">
              <a:solidFill>
                <a:srgbClr val="0000FF"/>
              </a:solidFill>
              <a:prstDash val="sysDash"/>
            </a:ln>
          </c:spPr>
          <c:marker>
            <c:symbol val="none"/>
          </c:marker>
          <c:xVal>
            <c:numRef>
              <c:f>Command!$B$17:$B$18</c:f>
              <c:numCache>
                <c:formatCode>0.00E+00</c:formatCode>
                <c:ptCount val="2"/>
                <c:pt idx="0" formatCode="General">
                  <c:v>0</c:v>
                </c:pt>
                <c:pt idx="1">
                  <c:v>1.24499E-2</c:v>
                </c:pt>
              </c:numCache>
            </c:numRef>
          </c:xVal>
          <c:yVal>
            <c:numRef>
              <c:f>Command!$E$17:$E$18</c:f>
              <c:numCache>
                <c:formatCode>General</c:formatCode>
                <c:ptCount val="2"/>
                <c:pt idx="0">
                  <c:v>1</c:v>
                </c:pt>
                <c:pt idx="1">
                  <c:v>1</c:v>
                </c:pt>
              </c:numCache>
            </c:numRef>
          </c:yVal>
          <c:smooth val="0"/>
        </c:ser>
        <c:ser>
          <c:idx val="5"/>
          <c:order val="5"/>
          <c:tx>
            <c:v>Ref_Lower</c:v>
          </c:tx>
          <c:spPr>
            <a:ln w="25400">
              <a:solidFill>
                <a:srgbClr val="0000FF"/>
              </a:solidFill>
              <a:prstDash val="sysDash"/>
            </a:ln>
          </c:spPr>
          <c:marker>
            <c:symbol val="none"/>
          </c:marker>
          <c:xVal>
            <c:numRef>
              <c:f>Command!$B$17:$B$18</c:f>
              <c:numCache>
                <c:formatCode>0.00E+00</c:formatCode>
                <c:ptCount val="2"/>
                <c:pt idx="0" formatCode="General">
                  <c:v>0</c:v>
                </c:pt>
                <c:pt idx="1">
                  <c:v>1.24499E-2</c:v>
                </c:pt>
              </c:numCache>
            </c:numRef>
          </c:xVal>
          <c:yVal>
            <c:numRef>
              <c:f>Command!$F$17:$F$18</c:f>
              <c:numCache>
                <c:formatCode>General</c:formatCode>
                <c:ptCount val="2"/>
                <c:pt idx="0">
                  <c:v>0.4</c:v>
                </c:pt>
                <c:pt idx="1">
                  <c:v>0.4</c:v>
                </c:pt>
              </c:numCache>
            </c:numRef>
          </c:yVal>
          <c:smooth val="1"/>
        </c:ser>
        <c:dLbls>
          <c:showLegendKey val="0"/>
          <c:showVal val="0"/>
          <c:showCatName val="0"/>
          <c:showSerName val="0"/>
          <c:showPercent val="0"/>
          <c:showBubbleSize val="0"/>
        </c:dLbls>
        <c:axId val="143011200"/>
        <c:axId val="143025664"/>
      </c:scatterChart>
      <c:scatterChart>
        <c:scatterStyle val="lineMarker"/>
        <c:varyColors val="0"/>
        <c:ser>
          <c:idx val="0"/>
          <c:order val="0"/>
          <c:tx>
            <c:strRef>
              <c:f>Calc!$B$8</c:f>
              <c:strCache>
                <c:ptCount val="1"/>
                <c:pt idx="0">
                  <c:v>Photovoltage</c:v>
                </c:pt>
              </c:strCache>
            </c:strRef>
          </c:tx>
          <c:spPr>
            <a:ln w="25400">
              <a:solidFill>
                <a:srgbClr val="FF0000"/>
              </a:solidFill>
              <a:prstDash val="solid"/>
            </a:ln>
          </c:spPr>
          <c:marker>
            <c:symbol val="none"/>
          </c:marker>
          <c:xVal>
            <c:numRef>
              <c:f>Calc!$A$9:$A$133</c:f>
              <c:numCache>
                <c:formatCode>0.00E+00</c:formatCode>
                <c:ptCount val="125"/>
                <c:pt idx="0">
                  <c:v>4.99E-5</c:v>
                </c:pt>
                <c:pt idx="1">
                  <c:v>1.4990000000000001E-4</c:v>
                </c:pt>
                <c:pt idx="2">
                  <c:v>2.499E-4</c:v>
                </c:pt>
                <c:pt idx="3">
                  <c:v>3.4989999999999999E-4</c:v>
                </c:pt>
                <c:pt idx="4">
                  <c:v>4.4989999999999999E-4</c:v>
                </c:pt>
                <c:pt idx="5">
                  <c:v>5.4989999999999998E-4</c:v>
                </c:pt>
                <c:pt idx="6">
                  <c:v>6.4990000000000002E-4</c:v>
                </c:pt>
                <c:pt idx="7">
                  <c:v>7.4989999999999996E-4</c:v>
                </c:pt>
                <c:pt idx="8">
                  <c:v>8.499E-4</c:v>
                </c:pt>
                <c:pt idx="9">
                  <c:v>9.4990000000000005E-4</c:v>
                </c:pt>
                <c:pt idx="10">
                  <c:v>1.0499000000000001E-3</c:v>
                </c:pt>
                <c:pt idx="11">
                  <c:v>1.1498999999999999E-3</c:v>
                </c:pt>
                <c:pt idx="12">
                  <c:v>1.2499E-3</c:v>
                </c:pt>
                <c:pt idx="13">
                  <c:v>1.3499E-3</c:v>
                </c:pt>
                <c:pt idx="14">
                  <c:v>1.4499000000000001E-3</c:v>
                </c:pt>
                <c:pt idx="15">
                  <c:v>1.5499000000000001E-3</c:v>
                </c:pt>
                <c:pt idx="16">
                  <c:v>1.6498999999999999E-3</c:v>
                </c:pt>
                <c:pt idx="17">
                  <c:v>1.7499E-3</c:v>
                </c:pt>
                <c:pt idx="18">
                  <c:v>1.8499E-3</c:v>
                </c:pt>
                <c:pt idx="19">
                  <c:v>1.9499000000000001E-3</c:v>
                </c:pt>
                <c:pt idx="20">
                  <c:v>2.0498999999999999E-3</c:v>
                </c:pt>
                <c:pt idx="21">
                  <c:v>2.1499000000000002E-3</c:v>
                </c:pt>
                <c:pt idx="22">
                  <c:v>2.2499E-3</c:v>
                </c:pt>
                <c:pt idx="23">
                  <c:v>2.3498999999999998E-3</c:v>
                </c:pt>
                <c:pt idx="24">
                  <c:v>2.4499000000000001E-3</c:v>
                </c:pt>
                <c:pt idx="25">
                  <c:v>2.5498999999999999E-3</c:v>
                </c:pt>
                <c:pt idx="26">
                  <c:v>2.6499000000000002E-3</c:v>
                </c:pt>
                <c:pt idx="27">
                  <c:v>2.7499E-3</c:v>
                </c:pt>
                <c:pt idx="28">
                  <c:v>2.8498999999999998E-3</c:v>
                </c:pt>
                <c:pt idx="29">
                  <c:v>2.9499000000000001E-3</c:v>
                </c:pt>
                <c:pt idx="30">
                  <c:v>3.0498999999999999E-3</c:v>
                </c:pt>
                <c:pt idx="31">
                  <c:v>3.1499000000000002E-3</c:v>
                </c:pt>
                <c:pt idx="32">
                  <c:v>3.2499E-3</c:v>
                </c:pt>
                <c:pt idx="33">
                  <c:v>3.3498999999999998E-3</c:v>
                </c:pt>
                <c:pt idx="34">
                  <c:v>3.4499000000000001E-3</c:v>
                </c:pt>
                <c:pt idx="35">
                  <c:v>3.5498999999999999E-3</c:v>
                </c:pt>
                <c:pt idx="36">
                  <c:v>3.6499000000000002E-3</c:v>
                </c:pt>
                <c:pt idx="37">
                  <c:v>3.7499E-3</c:v>
                </c:pt>
                <c:pt idx="38">
                  <c:v>3.8498999999999999E-3</c:v>
                </c:pt>
                <c:pt idx="39">
                  <c:v>3.9499000000000001E-3</c:v>
                </c:pt>
                <c:pt idx="40">
                  <c:v>4.0499000000000004E-3</c:v>
                </c:pt>
                <c:pt idx="41">
                  <c:v>4.1498999999999998E-3</c:v>
                </c:pt>
                <c:pt idx="42">
                  <c:v>4.2499E-3</c:v>
                </c:pt>
                <c:pt idx="43">
                  <c:v>4.3499000000000003E-3</c:v>
                </c:pt>
                <c:pt idx="44">
                  <c:v>4.4498999999999997E-3</c:v>
                </c:pt>
                <c:pt idx="45">
                  <c:v>4.5499E-3</c:v>
                </c:pt>
                <c:pt idx="46">
                  <c:v>4.6499000000000002E-3</c:v>
                </c:pt>
                <c:pt idx="47">
                  <c:v>4.7498999999999996E-3</c:v>
                </c:pt>
                <c:pt idx="48">
                  <c:v>4.8498999999999999E-3</c:v>
                </c:pt>
                <c:pt idx="49">
                  <c:v>4.9499000000000001E-3</c:v>
                </c:pt>
                <c:pt idx="50">
                  <c:v>5.0499000000000004E-3</c:v>
                </c:pt>
                <c:pt idx="51">
                  <c:v>5.1498999999999998E-3</c:v>
                </c:pt>
                <c:pt idx="52">
                  <c:v>5.2499000000000001E-3</c:v>
                </c:pt>
                <c:pt idx="53">
                  <c:v>5.3499000000000003E-3</c:v>
                </c:pt>
                <c:pt idx="54">
                  <c:v>5.4498999999999997E-3</c:v>
                </c:pt>
                <c:pt idx="55">
                  <c:v>5.5499E-3</c:v>
                </c:pt>
                <c:pt idx="56">
                  <c:v>5.6499000000000002E-3</c:v>
                </c:pt>
                <c:pt idx="57">
                  <c:v>5.7498999999999996E-3</c:v>
                </c:pt>
                <c:pt idx="58">
                  <c:v>5.8498999999999999E-3</c:v>
                </c:pt>
                <c:pt idx="59">
                  <c:v>5.9499000000000002E-3</c:v>
                </c:pt>
                <c:pt idx="60">
                  <c:v>6.0499000000000004E-3</c:v>
                </c:pt>
                <c:pt idx="61">
                  <c:v>6.1498999999999998E-3</c:v>
                </c:pt>
                <c:pt idx="62">
                  <c:v>6.2499000000000001E-3</c:v>
                </c:pt>
                <c:pt idx="63">
                  <c:v>6.3499000000000003E-3</c:v>
                </c:pt>
                <c:pt idx="64">
                  <c:v>6.4498999999999997E-3</c:v>
                </c:pt>
                <c:pt idx="65">
                  <c:v>6.5499E-3</c:v>
                </c:pt>
                <c:pt idx="66">
                  <c:v>6.6499000000000003E-3</c:v>
                </c:pt>
                <c:pt idx="67">
                  <c:v>6.7498999999999997E-3</c:v>
                </c:pt>
                <c:pt idx="68">
                  <c:v>6.8498999999999999E-3</c:v>
                </c:pt>
                <c:pt idx="69">
                  <c:v>6.9499000000000002E-3</c:v>
                </c:pt>
                <c:pt idx="70">
                  <c:v>7.0498999999999996E-3</c:v>
                </c:pt>
                <c:pt idx="71">
                  <c:v>7.1498999999999998E-3</c:v>
                </c:pt>
                <c:pt idx="72">
                  <c:v>7.2499000000000001E-3</c:v>
                </c:pt>
                <c:pt idx="73">
                  <c:v>7.3499000000000004E-3</c:v>
                </c:pt>
                <c:pt idx="74">
                  <c:v>7.4498999999999998E-3</c:v>
                </c:pt>
                <c:pt idx="75">
                  <c:v>7.5499E-3</c:v>
                </c:pt>
                <c:pt idx="76">
                  <c:v>7.6499000000000003E-3</c:v>
                </c:pt>
                <c:pt idx="77">
                  <c:v>7.7498999999999997E-3</c:v>
                </c:pt>
                <c:pt idx="78">
                  <c:v>7.8498999999999999E-3</c:v>
                </c:pt>
                <c:pt idx="79">
                  <c:v>7.9498999999999993E-3</c:v>
                </c:pt>
                <c:pt idx="80">
                  <c:v>8.0499000000000005E-3</c:v>
                </c:pt>
                <c:pt idx="81">
                  <c:v>8.1498999999999999E-3</c:v>
                </c:pt>
                <c:pt idx="82">
                  <c:v>8.2498999999999992E-3</c:v>
                </c:pt>
                <c:pt idx="83">
                  <c:v>8.3499000000000004E-3</c:v>
                </c:pt>
                <c:pt idx="84">
                  <c:v>8.4498999999999998E-3</c:v>
                </c:pt>
                <c:pt idx="85">
                  <c:v>8.5498999999999992E-3</c:v>
                </c:pt>
                <c:pt idx="86">
                  <c:v>8.6499000000000003E-3</c:v>
                </c:pt>
                <c:pt idx="87">
                  <c:v>8.7498999999999997E-3</c:v>
                </c:pt>
                <c:pt idx="88">
                  <c:v>8.8499000000000008E-3</c:v>
                </c:pt>
                <c:pt idx="89">
                  <c:v>8.9499000000000002E-3</c:v>
                </c:pt>
                <c:pt idx="90">
                  <c:v>9.0498999999999996E-3</c:v>
                </c:pt>
                <c:pt idx="91">
                  <c:v>9.1499000000000007E-3</c:v>
                </c:pt>
                <c:pt idx="92">
                  <c:v>9.2499000000000001E-3</c:v>
                </c:pt>
                <c:pt idx="93">
                  <c:v>9.3498999999999995E-3</c:v>
                </c:pt>
                <c:pt idx="94">
                  <c:v>9.4499000000000007E-3</c:v>
                </c:pt>
                <c:pt idx="95">
                  <c:v>9.5499000000000001E-3</c:v>
                </c:pt>
                <c:pt idx="96">
                  <c:v>9.6498999999999995E-3</c:v>
                </c:pt>
                <c:pt idx="97">
                  <c:v>9.7499000000000006E-3</c:v>
                </c:pt>
                <c:pt idx="98">
                  <c:v>9.8499E-3</c:v>
                </c:pt>
                <c:pt idx="99">
                  <c:v>9.9498999999999994E-3</c:v>
                </c:pt>
                <c:pt idx="100">
                  <c:v>1.00499E-2</c:v>
                </c:pt>
                <c:pt idx="101">
                  <c:v>1.01499E-2</c:v>
                </c:pt>
                <c:pt idx="102">
                  <c:v>1.0249899999999999E-2</c:v>
                </c:pt>
                <c:pt idx="103">
                  <c:v>1.03499E-2</c:v>
                </c:pt>
                <c:pt idx="104">
                  <c:v>1.04499E-2</c:v>
                </c:pt>
                <c:pt idx="105">
                  <c:v>1.0549899999999999E-2</c:v>
                </c:pt>
                <c:pt idx="106">
                  <c:v>1.06499E-2</c:v>
                </c:pt>
                <c:pt idx="107">
                  <c:v>1.07499E-2</c:v>
                </c:pt>
                <c:pt idx="108">
                  <c:v>1.0849900000000001E-2</c:v>
                </c:pt>
                <c:pt idx="109">
                  <c:v>1.09499E-2</c:v>
                </c:pt>
                <c:pt idx="110">
                  <c:v>1.10499E-2</c:v>
                </c:pt>
                <c:pt idx="111">
                  <c:v>1.1149900000000001E-2</c:v>
                </c:pt>
                <c:pt idx="112">
                  <c:v>1.12499E-2</c:v>
                </c:pt>
                <c:pt idx="113">
                  <c:v>1.13499E-2</c:v>
                </c:pt>
                <c:pt idx="114">
                  <c:v>1.1449900000000001E-2</c:v>
                </c:pt>
                <c:pt idx="115">
                  <c:v>1.15499E-2</c:v>
                </c:pt>
                <c:pt idx="116">
                  <c:v>1.1649899999999999E-2</c:v>
                </c:pt>
                <c:pt idx="117">
                  <c:v>1.1749900000000001E-2</c:v>
                </c:pt>
                <c:pt idx="118">
                  <c:v>1.18499E-2</c:v>
                </c:pt>
                <c:pt idx="119">
                  <c:v>1.1949899999999999E-2</c:v>
                </c:pt>
                <c:pt idx="120">
                  <c:v>1.2049900000000001E-2</c:v>
                </c:pt>
                <c:pt idx="121">
                  <c:v>1.21499E-2</c:v>
                </c:pt>
                <c:pt idx="122">
                  <c:v>1.2249899999999999E-2</c:v>
                </c:pt>
                <c:pt idx="123">
                  <c:v>1.23499E-2</c:v>
                </c:pt>
                <c:pt idx="124">
                  <c:v>1.24499E-2</c:v>
                </c:pt>
              </c:numCache>
            </c:numRef>
          </c:xVal>
          <c:yVal>
            <c:numRef>
              <c:f>Calc!$B$9:$B$133</c:f>
              <c:numCache>
                <c:formatCode>0.00E+00</c:formatCode>
                <c:ptCount val="125"/>
                <c:pt idx="0">
                  <c:v>1.02528</c:v>
                </c:pt>
                <c:pt idx="1">
                  <c:v>2.8582900000000002</c:v>
                </c:pt>
                <c:pt idx="2">
                  <c:v>3.6298499999999998</c:v>
                </c:pt>
                <c:pt idx="3">
                  <c:v>3.8909099999999999</c:v>
                </c:pt>
                <c:pt idx="4">
                  <c:v>3.8542900000000002</c:v>
                </c:pt>
                <c:pt idx="5">
                  <c:v>3.7495599999999998</c:v>
                </c:pt>
                <c:pt idx="6">
                  <c:v>3.6247400000000001</c:v>
                </c:pt>
                <c:pt idx="7">
                  <c:v>3.4943200000000001</c:v>
                </c:pt>
                <c:pt idx="8">
                  <c:v>3.3584000000000001</c:v>
                </c:pt>
                <c:pt idx="9">
                  <c:v>3.2216300000000002</c:v>
                </c:pt>
                <c:pt idx="10">
                  <c:v>3.0861900000000002</c:v>
                </c:pt>
                <c:pt idx="11">
                  <c:v>2.9527899999999998</c:v>
                </c:pt>
                <c:pt idx="12">
                  <c:v>2.8214399999999999</c:v>
                </c:pt>
                <c:pt idx="13">
                  <c:v>2.6933099999999999</c:v>
                </c:pt>
                <c:pt idx="14">
                  <c:v>2.5692699999999999</c:v>
                </c:pt>
                <c:pt idx="15">
                  <c:v>2.4478399999999998</c:v>
                </c:pt>
                <c:pt idx="16">
                  <c:v>2.3305699999999998</c:v>
                </c:pt>
                <c:pt idx="17">
                  <c:v>2.2168399999999999</c:v>
                </c:pt>
                <c:pt idx="18">
                  <c:v>2.10676</c:v>
                </c:pt>
                <c:pt idx="19">
                  <c:v>2.0009899999999998</c:v>
                </c:pt>
                <c:pt idx="20">
                  <c:v>1.8989400000000001</c:v>
                </c:pt>
                <c:pt idx="21">
                  <c:v>1.8013999999999999</c:v>
                </c:pt>
                <c:pt idx="22">
                  <c:v>1.7077100000000001</c:v>
                </c:pt>
                <c:pt idx="23">
                  <c:v>1.6179699999999999</c:v>
                </c:pt>
                <c:pt idx="24">
                  <c:v>1.5322499999999999</c:v>
                </c:pt>
                <c:pt idx="25">
                  <c:v>1.45035</c:v>
                </c:pt>
                <c:pt idx="26">
                  <c:v>1.3730500000000001</c:v>
                </c:pt>
                <c:pt idx="27">
                  <c:v>1.29888</c:v>
                </c:pt>
                <c:pt idx="28">
                  <c:v>1.2283999999999999</c:v>
                </c:pt>
                <c:pt idx="29">
                  <c:v>1.16126</c:v>
                </c:pt>
                <c:pt idx="30">
                  <c:v>1.0976300000000001</c:v>
                </c:pt>
                <c:pt idx="31">
                  <c:v>1.0372699999999999</c:v>
                </c:pt>
                <c:pt idx="32">
                  <c:v>0.97962400000000005</c:v>
                </c:pt>
                <c:pt idx="33">
                  <c:v>0.92479</c:v>
                </c:pt>
                <c:pt idx="34">
                  <c:v>0.87261200000000005</c:v>
                </c:pt>
                <c:pt idx="35">
                  <c:v>0.82361799999999996</c:v>
                </c:pt>
                <c:pt idx="36">
                  <c:v>0.77679600000000004</c:v>
                </c:pt>
                <c:pt idx="37">
                  <c:v>0.73235300000000003</c:v>
                </c:pt>
                <c:pt idx="38">
                  <c:v>0.69081999999999999</c:v>
                </c:pt>
                <c:pt idx="39">
                  <c:v>0.65101500000000001</c:v>
                </c:pt>
                <c:pt idx="40">
                  <c:v>0.61295900000000003</c:v>
                </c:pt>
                <c:pt idx="41">
                  <c:v>0.57712399999999997</c:v>
                </c:pt>
                <c:pt idx="42">
                  <c:v>0.54410099999999995</c:v>
                </c:pt>
                <c:pt idx="43">
                  <c:v>0.51204099999999997</c:v>
                </c:pt>
                <c:pt idx="44">
                  <c:v>0.48216799999999999</c:v>
                </c:pt>
                <c:pt idx="45">
                  <c:v>0.45384200000000002</c:v>
                </c:pt>
                <c:pt idx="46">
                  <c:v>0.42729400000000001</c:v>
                </c:pt>
                <c:pt idx="47">
                  <c:v>0.40171299999999999</c:v>
                </c:pt>
                <c:pt idx="48">
                  <c:v>0.37811</c:v>
                </c:pt>
                <c:pt idx="49">
                  <c:v>0.35600500000000002</c:v>
                </c:pt>
                <c:pt idx="50">
                  <c:v>0.33507300000000001</c:v>
                </c:pt>
                <c:pt idx="51">
                  <c:v>0.31464300000000001</c:v>
                </c:pt>
                <c:pt idx="52">
                  <c:v>0.295742</c:v>
                </c:pt>
                <c:pt idx="53">
                  <c:v>0.27784599999999998</c:v>
                </c:pt>
                <c:pt idx="54">
                  <c:v>0.26130799999999998</c:v>
                </c:pt>
                <c:pt idx="55">
                  <c:v>0.24554200000000001</c:v>
                </c:pt>
                <c:pt idx="56">
                  <c:v>0.230825</c:v>
                </c:pt>
                <c:pt idx="57">
                  <c:v>0.217055</c:v>
                </c:pt>
                <c:pt idx="58">
                  <c:v>0.20361299999999999</c:v>
                </c:pt>
                <c:pt idx="59">
                  <c:v>0.19118099999999999</c:v>
                </c:pt>
                <c:pt idx="60">
                  <c:v>0.17963799999999999</c:v>
                </c:pt>
                <c:pt idx="61">
                  <c:v>0.16816800000000001</c:v>
                </c:pt>
                <c:pt idx="62">
                  <c:v>0.158828</c:v>
                </c:pt>
                <c:pt idx="63">
                  <c:v>0.14922299999999999</c:v>
                </c:pt>
                <c:pt idx="64">
                  <c:v>0.13997999999999999</c:v>
                </c:pt>
                <c:pt idx="65">
                  <c:v>0.13164000000000001</c:v>
                </c:pt>
                <c:pt idx="66">
                  <c:v>0.123667</c:v>
                </c:pt>
                <c:pt idx="67">
                  <c:v>0.11602</c:v>
                </c:pt>
                <c:pt idx="68">
                  <c:v>0.108584</c:v>
                </c:pt>
                <c:pt idx="69">
                  <c:v>0.10205500000000001</c:v>
                </c:pt>
                <c:pt idx="70">
                  <c:v>9.5863799999999999E-2</c:v>
                </c:pt>
                <c:pt idx="71">
                  <c:v>8.9853100000000005E-2</c:v>
                </c:pt>
                <c:pt idx="72">
                  <c:v>8.4223199999999998E-2</c:v>
                </c:pt>
                <c:pt idx="73">
                  <c:v>7.9188999999999996E-2</c:v>
                </c:pt>
                <c:pt idx="74">
                  <c:v>7.4071799999999993E-2</c:v>
                </c:pt>
                <c:pt idx="75">
                  <c:v>6.9921399999999995E-2</c:v>
                </c:pt>
                <c:pt idx="76">
                  <c:v>6.5624500000000002E-2</c:v>
                </c:pt>
                <c:pt idx="77">
                  <c:v>6.1395999999999999E-2</c:v>
                </c:pt>
                <c:pt idx="78">
                  <c:v>5.7660700000000002E-2</c:v>
                </c:pt>
                <c:pt idx="79">
                  <c:v>5.3940000000000002E-2</c:v>
                </c:pt>
                <c:pt idx="80">
                  <c:v>5.0292499999999997E-2</c:v>
                </c:pt>
                <c:pt idx="81">
                  <c:v>4.7421400000000002E-2</c:v>
                </c:pt>
                <c:pt idx="82">
                  <c:v>4.4188999999999999E-2</c:v>
                </c:pt>
                <c:pt idx="83">
                  <c:v>4.1576700000000001E-2</c:v>
                </c:pt>
                <c:pt idx="84">
                  <c:v>3.9189000000000002E-2</c:v>
                </c:pt>
                <c:pt idx="85">
                  <c:v>3.6615700000000001E-2</c:v>
                </c:pt>
                <c:pt idx="86">
                  <c:v>3.42866E-2</c:v>
                </c:pt>
                <c:pt idx="87">
                  <c:v>3.2328599999999999E-2</c:v>
                </c:pt>
                <c:pt idx="88">
                  <c:v>3.0356000000000001E-2</c:v>
                </c:pt>
                <c:pt idx="89">
                  <c:v>2.83833E-2</c:v>
                </c:pt>
                <c:pt idx="90">
                  <c:v>2.6796400000000001E-2</c:v>
                </c:pt>
                <c:pt idx="91">
                  <c:v>2.5482899999999999E-2</c:v>
                </c:pt>
                <c:pt idx="92">
                  <c:v>2.3632400000000001E-2</c:v>
                </c:pt>
                <c:pt idx="93">
                  <c:v>2.2431199999999998E-2</c:v>
                </c:pt>
                <c:pt idx="94">
                  <c:v>2.0575699999999999E-2</c:v>
                </c:pt>
                <c:pt idx="95">
                  <c:v>1.91939E-2</c:v>
                </c:pt>
                <c:pt idx="96">
                  <c:v>1.7743700000000001E-2</c:v>
                </c:pt>
                <c:pt idx="97">
                  <c:v>1.6938000000000002E-2</c:v>
                </c:pt>
                <c:pt idx="98">
                  <c:v>1.5697800000000001E-2</c:v>
                </c:pt>
                <c:pt idx="99">
                  <c:v>1.43257E-2</c:v>
                </c:pt>
                <c:pt idx="100">
                  <c:v>1.37202E-2</c:v>
                </c:pt>
                <c:pt idx="101">
                  <c:v>1.2475099999999999E-2</c:v>
                </c:pt>
                <c:pt idx="102">
                  <c:v>1.1982E-2</c:v>
                </c:pt>
                <c:pt idx="103">
                  <c:v>1.1806199999999999E-2</c:v>
                </c:pt>
                <c:pt idx="104">
                  <c:v>1.0873600000000001E-2</c:v>
                </c:pt>
                <c:pt idx="105">
                  <c:v>1.0097200000000001E-2</c:v>
                </c:pt>
                <c:pt idx="106">
                  <c:v>9.5649700000000008E-3</c:v>
                </c:pt>
                <c:pt idx="107">
                  <c:v>9.17923E-3</c:v>
                </c:pt>
                <c:pt idx="108">
                  <c:v>7.7290299999999996E-3</c:v>
                </c:pt>
                <c:pt idx="109">
                  <c:v>7.4653599999999999E-3</c:v>
                </c:pt>
                <c:pt idx="110">
                  <c:v>7.1040299999999999E-3</c:v>
                </c:pt>
                <c:pt idx="111">
                  <c:v>6.9721899999999996E-3</c:v>
                </c:pt>
                <c:pt idx="112">
                  <c:v>6.4741499999999997E-3</c:v>
                </c:pt>
                <c:pt idx="113">
                  <c:v>5.66848E-3</c:v>
                </c:pt>
                <c:pt idx="114">
                  <c:v>5.55618E-3</c:v>
                </c:pt>
                <c:pt idx="115">
                  <c:v>4.9702399999999999E-3</c:v>
                </c:pt>
                <c:pt idx="116">
                  <c:v>4.6577399999999996E-3</c:v>
                </c:pt>
                <c:pt idx="117">
                  <c:v>4.50637E-3</c:v>
                </c:pt>
                <c:pt idx="118">
                  <c:v>4.5796200000000004E-3</c:v>
                </c:pt>
                <c:pt idx="119">
                  <c:v>4.4526599999999998E-3</c:v>
                </c:pt>
                <c:pt idx="120">
                  <c:v>4.4233700000000003E-3</c:v>
                </c:pt>
                <c:pt idx="121">
                  <c:v>4.2524700000000004E-3</c:v>
                </c:pt>
                <c:pt idx="122">
                  <c:v>3.42239E-3</c:v>
                </c:pt>
                <c:pt idx="123">
                  <c:v>3.3833299999999999E-3</c:v>
                </c:pt>
                <c:pt idx="124">
                  <c:v>2.7632099999999999E-3</c:v>
                </c:pt>
              </c:numCache>
            </c:numRef>
          </c:yVal>
          <c:smooth val="1"/>
        </c:ser>
        <c:ser>
          <c:idx val="2"/>
          <c:order val="2"/>
          <c:tx>
            <c:v>PC_Upper</c:v>
          </c:tx>
          <c:spPr>
            <a:ln w="25400">
              <a:solidFill>
                <a:srgbClr val="FF0000"/>
              </a:solidFill>
              <a:prstDash val="lgDash"/>
            </a:ln>
          </c:spPr>
          <c:marker>
            <c:symbol val="none"/>
          </c:marker>
          <c:xVal>
            <c:numRef>
              <c:f>Command!$B$17:$B$18</c:f>
              <c:numCache>
                <c:formatCode>0.00E+00</c:formatCode>
                <c:ptCount val="2"/>
                <c:pt idx="0" formatCode="General">
                  <c:v>0</c:v>
                </c:pt>
                <c:pt idx="1">
                  <c:v>1.24499E-2</c:v>
                </c:pt>
              </c:numCache>
            </c:numRef>
          </c:xVal>
          <c:yVal>
            <c:numRef>
              <c:f>Command!$C$17:$C$18</c:f>
              <c:numCache>
                <c:formatCode>General</c:formatCode>
                <c:ptCount val="2"/>
                <c:pt idx="0">
                  <c:v>5</c:v>
                </c:pt>
                <c:pt idx="1">
                  <c:v>5</c:v>
                </c:pt>
              </c:numCache>
            </c:numRef>
          </c:yVal>
          <c:smooth val="1"/>
        </c:ser>
        <c:ser>
          <c:idx val="4"/>
          <c:order val="4"/>
          <c:tx>
            <c:v>PC_Lower</c:v>
          </c:tx>
          <c:spPr>
            <a:ln w="25400">
              <a:solidFill>
                <a:srgbClr val="FF0000"/>
              </a:solidFill>
              <a:prstDash val="lgDash"/>
            </a:ln>
          </c:spPr>
          <c:marker>
            <c:symbol val="none"/>
          </c:marker>
          <c:xVal>
            <c:numRef>
              <c:f>Command!$B$17:$B$18</c:f>
              <c:numCache>
                <c:formatCode>0.00E+00</c:formatCode>
                <c:ptCount val="2"/>
                <c:pt idx="0" formatCode="General">
                  <c:v>0</c:v>
                </c:pt>
                <c:pt idx="1">
                  <c:v>1.24499E-2</c:v>
                </c:pt>
              </c:numCache>
            </c:numRef>
          </c:xVal>
          <c:yVal>
            <c:numRef>
              <c:f>Command!$D$17:$D$18</c:f>
              <c:numCache>
                <c:formatCode>General</c:formatCode>
                <c:ptCount val="2"/>
                <c:pt idx="0">
                  <c:v>2</c:v>
                </c:pt>
                <c:pt idx="1">
                  <c:v>2</c:v>
                </c:pt>
              </c:numCache>
            </c:numRef>
          </c:yVal>
          <c:smooth val="0"/>
        </c:ser>
        <c:dLbls>
          <c:showLegendKey val="0"/>
          <c:showVal val="0"/>
          <c:showCatName val="0"/>
          <c:showSerName val="0"/>
          <c:showPercent val="0"/>
          <c:showBubbleSize val="0"/>
        </c:dLbls>
        <c:axId val="143027584"/>
        <c:axId val="143029376"/>
      </c:scatterChart>
      <c:valAx>
        <c:axId val="143011200"/>
        <c:scaling>
          <c:orientation val="minMax"/>
        </c:scaling>
        <c:delete val="0"/>
        <c:axPos val="b"/>
        <c:majorGridlines>
          <c:spPr>
            <a:ln w="3175">
              <a:solidFill>
                <a:srgbClr val="80808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Time (s)</a:t>
                </a:r>
              </a:p>
            </c:rich>
          </c:tx>
          <c:layout>
            <c:manualLayout>
              <c:xMode val="edge"/>
              <c:yMode val="edge"/>
              <c:x val="0.44077253565269792"/>
              <c:y val="0.86759581881533165"/>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43025664"/>
        <c:crosses val="autoZero"/>
        <c:crossBetween val="midCat"/>
      </c:valAx>
      <c:valAx>
        <c:axId val="143025664"/>
        <c:scaling>
          <c:orientation val="minMax"/>
          <c:max val="1.05"/>
          <c:min val="0"/>
        </c:scaling>
        <c:delete val="0"/>
        <c:axPos val="l"/>
        <c:majorGridlines>
          <c:spPr>
            <a:ln w="3175">
              <a:solidFill>
                <a:srgbClr val="808080"/>
              </a:solidFill>
              <a:prstDash val="solid"/>
            </a:ln>
          </c:spPr>
        </c:majorGridlines>
        <c:title>
          <c:tx>
            <c:rich>
              <a:bodyPr/>
              <a:lstStyle/>
              <a:p>
                <a:pPr>
                  <a:defRPr sz="975" b="1" i="0" u="none" strike="noStrike" baseline="0">
                    <a:solidFill>
                      <a:srgbClr val="0000FF"/>
                    </a:solidFill>
                    <a:latin typeface="Arial"/>
                    <a:ea typeface="Arial"/>
                    <a:cs typeface="Arial"/>
                  </a:defRPr>
                </a:pPr>
                <a:r>
                  <a:rPr lang="en-US"/>
                  <a:t>light intensity (V)</a:t>
                </a:r>
              </a:p>
            </c:rich>
          </c:tx>
          <c:layout>
            <c:manualLayout>
              <c:xMode val="edge"/>
              <c:yMode val="edge"/>
              <c:x val="2.479345513046426E-2"/>
              <c:y val="0.26480836236935079"/>
            </c:manualLayout>
          </c:layout>
          <c:overlay val="0"/>
          <c:spPr>
            <a:noFill/>
            <a:ln w="25400">
              <a:noFill/>
            </a:ln>
          </c:spPr>
        </c:title>
        <c:numFmt formatCode="General" sourceLinked="0"/>
        <c:majorTickMark val="out"/>
        <c:minorTickMark val="none"/>
        <c:tickLblPos val="nextTo"/>
        <c:spPr>
          <a:ln w="3175">
            <a:solidFill>
              <a:srgbClr val="0000FF"/>
            </a:solidFill>
            <a:prstDash val="solid"/>
          </a:ln>
        </c:spPr>
        <c:txPr>
          <a:bodyPr rot="0" vert="horz"/>
          <a:lstStyle/>
          <a:p>
            <a:pPr>
              <a:defRPr sz="800" b="1" i="0" u="none" strike="noStrike" baseline="0">
                <a:solidFill>
                  <a:srgbClr val="0000FF"/>
                </a:solidFill>
                <a:latin typeface="Arial"/>
                <a:ea typeface="Arial"/>
                <a:cs typeface="Arial"/>
              </a:defRPr>
            </a:pPr>
            <a:endParaRPr lang="en-US"/>
          </a:p>
        </c:txPr>
        <c:crossAx val="143011200"/>
        <c:crosses val="autoZero"/>
        <c:crossBetween val="midCat"/>
      </c:valAx>
      <c:valAx>
        <c:axId val="143027584"/>
        <c:scaling>
          <c:orientation val="minMax"/>
        </c:scaling>
        <c:delete val="1"/>
        <c:axPos val="b"/>
        <c:numFmt formatCode="0.00E+00" sourceLinked="1"/>
        <c:majorTickMark val="out"/>
        <c:minorTickMark val="none"/>
        <c:tickLblPos val="none"/>
        <c:crossAx val="143029376"/>
        <c:crosses val="autoZero"/>
        <c:crossBetween val="midCat"/>
      </c:valAx>
      <c:valAx>
        <c:axId val="143029376"/>
        <c:scaling>
          <c:orientation val="minMax"/>
          <c:max val="5.25"/>
          <c:min val="0"/>
        </c:scaling>
        <c:delete val="0"/>
        <c:axPos val="r"/>
        <c:title>
          <c:tx>
            <c:rich>
              <a:bodyPr/>
              <a:lstStyle/>
              <a:p>
                <a:pPr>
                  <a:defRPr sz="975" b="1" i="0" u="none" strike="noStrike" baseline="0">
                    <a:solidFill>
                      <a:srgbClr val="FF0000"/>
                    </a:solidFill>
                    <a:latin typeface="Arial"/>
                    <a:ea typeface="Arial"/>
                    <a:cs typeface="Arial"/>
                  </a:defRPr>
                </a:pPr>
                <a:r>
                  <a:rPr lang="en-US"/>
                  <a:t>photoconductance (V)</a:t>
                </a:r>
              </a:p>
            </c:rich>
          </c:tx>
          <c:layout>
            <c:manualLayout>
              <c:xMode val="edge"/>
              <c:yMode val="edge"/>
              <c:x val="0.91735783982717767"/>
              <c:y val="0.20905923344948274"/>
            </c:manualLayout>
          </c:layout>
          <c:overlay val="0"/>
          <c:spPr>
            <a:noFill/>
            <a:ln w="25400">
              <a:noFill/>
            </a:ln>
          </c:spPr>
        </c:title>
        <c:numFmt formatCode="General" sourceLinked="0"/>
        <c:majorTickMark val="cross"/>
        <c:minorTickMark val="none"/>
        <c:tickLblPos val="nextTo"/>
        <c:spPr>
          <a:ln w="3175">
            <a:solidFill>
              <a:srgbClr val="FF0000"/>
            </a:solidFill>
            <a:prstDash val="solid"/>
          </a:ln>
        </c:spPr>
        <c:txPr>
          <a:bodyPr rot="0" vert="horz"/>
          <a:lstStyle/>
          <a:p>
            <a:pPr>
              <a:defRPr sz="800" b="1" i="0" u="none" strike="noStrike" baseline="0">
                <a:solidFill>
                  <a:srgbClr val="FF0000"/>
                </a:solidFill>
                <a:latin typeface="Arial"/>
                <a:ea typeface="Arial"/>
                <a:cs typeface="Arial"/>
              </a:defRPr>
            </a:pPr>
            <a:endParaRPr lang="en-US"/>
          </a:p>
        </c:txPr>
        <c:crossAx val="143027584"/>
        <c:crosses val="max"/>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000000000001288" r="0.75000000000001288"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0"/>
          <c:order val="0"/>
          <c:tx>
            <c:strRef>
              <c:f>Calc!$AC$8</c:f>
              <c:strCache>
                <c:ptCount val="1"/>
                <c:pt idx="0">
                  <c:v>Undoped Cond</c:v>
                </c:pt>
              </c:strCache>
            </c:strRef>
          </c:tx>
          <c:spPr>
            <a:ln w="28575">
              <a:noFill/>
            </a:ln>
          </c:spPr>
          <c:trendline>
            <c:trendlineType val="poly"/>
            <c:order val="3"/>
            <c:dispRSqr val="1"/>
            <c:dispEq val="1"/>
            <c:trendlineLbl>
              <c:layout>
                <c:manualLayout>
                  <c:x val="2.6631125477858408E-2"/>
                  <c:y val="-4.5300014581510645E-2"/>
                </c:manualLayout>
              </c:layout>
              <c:numFmt formatCode="General" sourceLinked="0"/>
            </c:trendlineLbl>
          </c:trendline>
          <c:xVal>
            <c:numRef>
              <c:f>Calc!$AA$9:$AA$44</c:f>
              <c:numCache>
                <c:formatCode>0.000</c:formatCode>
                <c:ptCount val="36"/>
                <c:pt idx="0">
                  <c:v>25.574943999999999</c:v>
                </c:pt>
                <c:pt idx="1">
                  <c:v>30.514984999999999</c:v>
                </c:pt>
                <c:pt idx="2">
                  <c:v>35.505572999999998</c:v>
                </c:pt>
                <c:pt idx="3">
                  <c:v>40.471617000000002</c:v>
                </c:pt>
                <c:pt idx="4">
                  <c:v>45.471893999999999</c:v>
                </c:pt>
                <c:pt idx="5">
                  <c:v>50.503872000000001</c:v>
                </c:pt>
                <c:pt idx="6">
                  <c:v>55.478293000000001</c:v>
                </c:pt>
                <c:pt idx="7">
                  <c:v>60.477620000000002</c:v>
                </c:pt>
                <c:pt idx="8">
                  <c:v>65.476241999999999</c:v>
                </c:pt>
                <c:pt idx="9">
                  <c:v>70.471900000000005</c:v>
                </c:pt>
                <c:pt idx="10">
                  <c:v>75.441408999999993</c:v>
                </c:pt>
                <c:pt idx="11">
                  <c:v>80.439930000000004</c:v>
                </c:pt>
                <c:pt idx="12">
                  <c:v>85.464177000000007</c:v>
                </c:pt>
                <c:pt idx="13">
                  <c:v>90.457423000000006</c:v>
                </c:pt>
                <c:pt idx="14">
                  <c:v>95.445974000000007</c:v>
                </c:pt>
                <c:pt idx="15">
                  <c:v>100.439252</c:v>
                </c:pt>
                <c:pt idx="16">
                  <c:v>105.532697</c:v>
                </c:pt>
                <c:pt idx="17">
                  <c:v>110.37857200000001</c:v>
                </c:pt>
                <c:pt idx="18">
                  <c:v>115.414168</c:v>
                </c:pt>
                <c:pt idx="19">
                  <c:v>120.43200899999999</c:v>
                </c:pt>
                <c:pt idx="20">
                  <c:v>125.43118</c:v>
                </c:pt>
                <c:pt idx="21">
                  <c:v>130.38081299999999</c:v>
                </c:pt>
                <c:pt idx="22">
                  <c:v>135.37871899999999</c:v>
                </c:pt>
                <c:pt idx="23">
                  <c:v>140.399551</c:v>
                </c:pt>
                <c:pt idx="24">
                  <c:v>145.42892699999999</c:v>
                </c:pt>
                <c:pt idx="25">
                  <c:v>150.45680400000001</c:v>
                </c:pt>
                <c:pt idx="26">
                  <c:v>155.38770099999999</c:v>
                </c:pt>
                <c:pt idx="27">
                  <c:v>160.34243699999999</c:v>
                </c:pt>
                <c:pt idx="28">
                  <c:v>165.35217</c:v>
                </c:pt>
                <c:pt idx="29">
                  <c:v>170.34768399999999</c:v>
                </c:pt>
                <c:pt idx="30">
                  <c:v>175.25808599999999</c:v>
                </c:pt>
                <c:pt idx="31">
                  <c:v>180.42495400000001</c:v>
                </c:pt>
                <c:pt idx="32">
                  <c:v>185.40361999999999</c:v>
                </c:pt>
                <c:pt idx="33">
                  <c:v>190.424297</c:v>
                </c:pt>
                <c:pt idx="34">
                  <c:v>195.404594</c:v>
                </c:pt>
                <c:pt idx="35" formatCode="General">
                  <c:v>200.29631699999999</c:v>
                </c:pt>
              </c:numCache>
            </c:numRef>
          </c:xVal>
          <c:yVal>
            <c:numRef>
              <c:f>Calc!$AC$9:$AC$44</c:f>
              <c:numCache>
                <c:formatCode>0.00E+00</c:formatCode>
                <c:ptCount val="36"/>
                <c:pt idx="0">
                  <c:v>2.328985414709906E-4</c:v>
                </c:pt>
                <c:pt idx="1">
                  <c:v>1.0520413135535576E-3</c:v>
                </c:pt>
                <c:pt idx="2">
                  <c:v>1.7270613285715775E-3</c:v>
                </c:pt>
                <c:pt idx="3">
                  <c:v>2.083223628346299E-3</c:v>
                </c:pt>
                <c:pt idx="4">
                  <c:v>2.7014999585837076E-3</c:v>
                </c:pt>
                <c:pt idx="5">
                  <c:v>3.6056824267328411E-3</c:v>
                </c:pt>
                <c:pt idx="6">
                  <c:v>4.2538985031319873E-3</c:v>
                </c:pt>
                <c:pt idx="7">
                  <c:v>4.7181834470028886E-3</c:v>
                </c:pt>
                <c:pt idx="8">
                  <c:v>5.6458564917853272E-3</c:v>
                </c:pt>
                <c:pt idx="9">
                  <c:v>6.1142128955096612E-3</c:v>
                </c:pt>
                <c:pt idx="10">
                  <c:v>6.7523606046867891E-3</c:v>
                </c:pt>
                <c:pt idx="11">
                  <c:v>7.4348079842817558E-3</c:v>
                </c:pt>
                <c:pt idx="12">
                  <c:v>8.1062408529846402E-3</c:v>
                </c:pt>
                <c:pt idx="13">
                  <c:v>8.7480770846300963E-3</c:v>
                </c:pt>
                <c:pt idx="14">
                  <c:v>9.3841736448925794E-3</c:v>
                </c:pt>
                <c:pt idx="15">
                  <c:v>1.0044454094643277E-2</c:v>
                </c:pt>
                <c:pt idx="16">
                  <c:v>1.0646903385833786E-2</c:v>
                </c:pt>
                <c:pt idx="17">
                  <c:v>1.1217528702478064E-2</c:v>
                </c:pt>
                <c:pt idx="18">
                  <c:v>1.179461226035519E-2</c:v>
                </c:pt>
                <c:pt idx="19">
                  <c:v>1.2344806232735032E-2</c:v>
                </c:pt>
                <c:pt idx="20">
                  <c:v>1.2851918029343556E-2</c:v>
                </c:pt>
                <c:pt idx="21">
                  <c:v>1.3406734397765747E-2</c:v>
                </c:pt>
                <c:pt idx="22">
                  <c:v>1.3860396870222712E-2</c:v>
                </c:pt>
                <c:pt idx="23">
                  <c:v>1.4331033952615263E-2</c:v>
                </c:pt>
                <c:pt idx="24">
                  <c:v>1.4825392898287097E-2</c:v>
                </c:pt>
                <c:pt idx="25">
                  <c:v>1.5301282694824113E-2</c:v>
                </c:pt>
                <c:pt idx="26">
                  <c:v>1.5651271388278185E-2</c:v>
                </c:pt>
                <c:pt idx="27">
                  <c:v>1.6059623538971474E-2</c:v>
                </c:pt>
                <c:pt idx="28">
                  <c:v>1.6444477803898426E-2</c:v>
                </c:pt>
                <c:pt idx="29">
                  <c:v>1.6765927328661435E-2</c:v>
                </c:pt>
                <c:pt idx="30">
                  <c:v>1.7086906625896261E-2</c:v>
                </c:pt>
                <c:pt idx="31">
                  <c:v>1.7471125658901181E-2</c:v>
                </c:pt>
                <c:pt idx="32">
                  <c:v>1.7817886409151093E-2</c:v>
                </c:pt>
                <c:pt idx="33">
                  <c:v>1.8139377339711844E-2</c:v>
                </c:pt>
                <c:pt idx="34">
                  <c:v>1.850624799379659E-2</c:v>
                </c:pt>
                <c:pt idx="35">
                  <c:v>1.8893864133679439E-2</c:v>
                </c:pt>
              </c:numCache>
            </c:numRef>
          </c:yVal>
          <c:smooth val="0"/>
        </c:ser>
        <c:dLbls>
          <c:showLegendKey val="0"/>
          <c:showVal val="0"/>
          <c:showCatName val="0"/>
          <c:showSerName val="0"/>
          <c:showPercent val="0"/>
          <c:showBubbleSize val="0"/>
        </c:dLbls>
        <c:axId val="142046720"/>
        <c:axId val="142048256"/>
      </c:scatterChart>
      <c:valAx>
        <c:axId val="142046720"/>
        <c:scaling>
          <c:orientation val="minMax"/>
        </c:scaling>
        <c:delete val="0"/>
        <c:axPos val="b"/>
        <c:numFmt formatCode="0.000" sourceLinked="1"/>
        <c:majorTickMark val="out"/>
        <c:minorTickMark val="none"/>
        <c:tickLblPos val="nextTo"/>
        <c:crossAx val="142048256"/>
        <c:crosses val="autoZero"/>
        <c:crossBetween val="midCat"/>
      </c:valAx>
      <c:valAx>
        <c:axId val="142048256"/>
        <c:scaling>
          <c:orientation val="minMax"/>
        </c:scaling>
        <c:delete val="0"/>
        <c:axPos val="l"/>
        <c:majorGridlines/>
        <c:numFmt formatCode="0.00E+00" sourceLinked="1"/>
        <c:majorTickMark val="out"/>
        <c:minorTickMark val="none"/>
        <c:tickLblPos val="nextTo"/>
        <c:crossAx val="142046720"/>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 Dependent Lifetime</a:t>
            </a:r>
          </a:p>
        </c:rich>
      </c:tx>
      <c:layout/>
      <c:overlay val="0"/>
    </c:title>
    <c:autoTitleDeleted val="0"/>
    <c:plotArea>
      <c:layout/>
      <c:scatterChart>
        <c:scatterStyle val="lineMarker"/>
        <c:varyColors val="0"/>
        <c:ser>
          <c:idx val="1"/>
          <c:order val="1"/>
          <c:tx>
            <c:strRef>
              <c:f>Plots!$B$1</c:f>
              <c:strCache>
                <c:ptCount val="1"/>
                <c:pt idx="0">
                  <c:v>190</c:v>
                </c:pt>
              </c:strCache>
            </c:strRef>
          </c:tx>
          <c:spPr>
            <a:ln w="28575">
              <a:noFill/>
            </a:ln>
          </c:spPr>
          <c:marker>
            <c:symbol val="diamond"/>
            <c:size val="7"/>
            <c:spPr>
              <a:solidFill>
                <a:schemeClr val="accent2">
                  <a:lumMod val="50000"/>
                </a:schemeClr>
              </a:solidFill>
              <a:ln>
                <a:noFill/>
              </a:ln>
            </c:spPr>
          </c:marker>
          <c:xVal>
            <c:numRef>
              <c:f>Plots!$B$3:$B$127</c:f>
              <c:numCache>
                <c:formatCode>General</c:formatCode>
                <c:ptCount val="125"/>
                <c:pt idx="0">
                  <c:v>9521685338752014</c:v>
                </c:pt>
                <c:pt idx="1">
                  <c:v>3.3420638998458492E+16</c:v>
                </c:pt>
                <c:pt idx="2">
                  <c:v>4.5577226866408768E+16</c:v>
                </c:pt>
                <c:pt idx="3">
                  <c:v>4.9953274665437456E+16</c:v>
                </c:pt>
                <c:pt idx="4">
                  <c:v>4.9816861305779512E+16</c:v>
                </c:pt>
                <c:pt idx="5">
                  <c:v>4.8492711618544424E+16</c:v>
                </c:pt>
                <c:pt idx="6">
                  <c:v>4.6869540605476248E+16</c:v>
                </c:pt>
                <c:pt idx="7">
                  <c:v>4.5235894013625992E+16</c:v>
                </c:pt>
                <c:pt idx="8">
                  <c:v>4.3575456171339008E+16</c:v>
                </c:pt>
                <c:pt idx="9">
                  <c:v>4.192459043101416E+16</c:v>
                </c:pt>
                <c:pt idx="10">
                  <c:v>4.0292117904733472E+16</c:v>
                </c:pt>
                <c:pt idx="11">
                  <c:v>3.8691286824481592E+16</c:v>
                </c:pt>
                <c:pt idx="12">
                  <c:v>3.7113534963311832E+16</c:v>
                </c:pt>
                <c:pt idx="13">
                  <c:v>3.5580664703825352E+16</c:v>
                </c:pt>
                <c:pt idx="14">
                  <c:v>3.4083096082433492E+16</c:v>
                </c:pt>
                <c:pt idx="15">
                  <c:v>3.2636082294597136E+16</c:v>
                </c:pt>
                <c:pt idx="16">
                  <c:v>3.1221519816142424E+16</c:v>
                </c:pt>
                <c:pt idx="17">
                  <c:v>2.9845989120195604E+16</c:v>
                </c:pt>
                <c:pt idx="18">
                  <c:v>2.8521562316292572E+16</c:v>
                </c:pt>
                <c:pt idx="19">
                  <c:v>2.7249178167212356E+16</c:v>
                </c:pt>
                <c:pt idx="20">
                  <c:v>2.6009141416167584E+16</c:v>
                </c:pt>
                <c:pt idx="21">
                  <c:v>2.48151528863403E+16</c:v>
                </c:pt>
                <c:pt idx="22">
                  <c:v>2.3670031942469824E+16</c:v>
                </c:pt>
                <c:pt idx="23">
                  <c:v>2.2563367856741776E+16</c:v>
                </c:pt>
                <c:pt idx="24">
                  <c:v>2.1501814295918388E+16</c:v>
                </c:pt>
                <c:pt idx="25">
                  <c:v>2.0481855312559964E+16</c:v>
                </c:pt>
                <c:pt idx="26">
                  <c:v>1.9501820531672816E+16</c:v>
                </c:pt>
                <c:pt idx="27">
                  <c:v>1.8566612388081112E+16</c:v>
                </c:pt>
                <c:pt idx="28">
                  <c:v>1.7673149551250922E+16</c:v>
                </c:pt>
                <c:pt idx="29">
                  <c:v>1.6812200023978104E+16</c:v>
                </c:pt>
                <c:pt idx="30">
                  <c:v>1.5995770500398034E+16</c:v>
                </c:pt>
                <c:pt idx="31">
                  <c:v>1.5213812687594534E+16</c:v>
                </c:pt>
                <c:pt idx="32">
                  <c:v>1.4464522227456286E+16</c:v>
                </c:pt>
                <c:pt idx="33">
                  <c:v>1.3747707409869082E+16</c:v>
                </c:pt>
                <c:pt idx="34">
                  <c:v>1.3061880591293052E+16</c:v>
                </c:pt>
                <c:pt idx="35">
                  <c:v>1.2404560547015216E+16</c:v>
                </c:pt>
                <c:pt idx="36">
                  <c:v>1.1778194526440436E+16</c:v>
                </c:pt>
                <c:pt idx="37">
                  <c:v>1.118010162288648E+16</c:v>
                </c:pt>
                <c:pt idx="38">
                  <c:v>1.0618882826081334E+16</c:v>
                </c:pt>
                <c:pt idx="39">
                  <c:v>1.0073094739099462E+16</c:v>
                </c:pt>
                <c:pt idx="40">
                  <c:v>9559600665184994</c:v>
                </c:pt>
                <c:pt idx="41">
                  <c:v>9068138789119258</c:v>
                </c:pt>
                <c:pt idx="42">
                  <c:v>8597432081755681</c:v>
                </c:pt>
                <c:pt idx="43">
                  <c:v>8151216336127097</c:v>
                </c:pt>
                <c:pt idx="44">
                  <c:v>7722716288918304</c:v>
                </c:pt>
                <c:pt idx="45">
                  <c:v>7322304192406578</c:v>
                </c:pt>
                <c:pt idx="46">
                  <c:v>6946449734701164</c:v>
                </c:pt>
                <c:pt idx="47">
                  <c:v>6582233816123901</c:v>
                </c:pt>
                <c:pt idx="48">
                  <c:v>6229172144069351</c:v>
                </c:pt>
                <c:pt idx="49">
                  <c:v>5899874832156065</c:v>
                </c:pt>
                <c:pt idx="50">
                  <c:v>5582854970382000</c:v>
                </c:pt>
                <c:pt idx="51">
                  <c:v>5285518792815247</c:v>
                </c:pt>
                <c:pt idx="52">
                  <c:v>5008018355625921</c:v>
                </c:pt>
                <c:pt idx="53">
                  <c:v>4740869899752072</c:v>
                </c:pt>
                <c:pt idx="54">
                  <c:v>4486241928753265</c:v>
                </c:pt>
                <c:pt idx="55">
                  <c:v>4243137192974517</c:v>
                </c:pt>
                <c:pt idx="56">
                  <c:v>4006242633425979</c:v>
                </c:pt>
                <c:pt idx="57">
                  <c:v>3794713446645306</c:v>
                </c:pt>
                <c:pt idx="58">
                  <c:v>3582045430077044.5</c:v>
                </c:pt>
                <c:pt idx="59">
                  <c:v>3388877228822264</c:v>
                </c:pt>
                <c:pt idx="60">
                  <c:v>3209639521532491.5</c:v>
                </c:pt>
                <c:pt idx="61">
                  <c:v>3025716530011919</c:v>
                </c:pt>
                <c:pt idx="62">
                  <c:v>2857188803637495</c:v>
                </c:pt>
                <c:pt idx="63">
                  <c:v>2699639219864189</c:v>
                </c:pt>
                <c:pt idx="64">
                  <c:v>2547190161227160.5</c:v>
                </c:pt>
                <c:pt idx="65">
                  <c:v>2412595424020417</c:v>
                </c:pt>
                <c:pt idx="66">
                  <c:v>2277520751369180</c:v>
                </c:pt>
                <c:pt idx="67">
                  <c:v>2154176463235472.5</c:v>
                </c:pt>
                <c:pt idx="68">
                  <c:v>2030743153989264</c:v>
                </c:pt>
                <c:pt idx="69">
                  <c:v>1914162364044033</c:v>
                </c:pt>
                <c:pt idx="70">
                  <c:v>1808058053196014</c:v>
                </c:pt>
                <c:pt idx="71">
                  <c:v>1701668010577894.2</c:v>
                </c:pt>
                <c:pt idx="72">
                  <c:v>1603422856404827.7</c:v>
                </c:pt>
                <c:pt idx="73">
                  <c:v>1513339343674601.5</c:v>
                </c:pt>
                <c:pt idx="74">
                  <c:v>1428082337782756.5</c:v>
                </c:pt>
                <c:pt idx="75">
                  <c:v>1347907270957075</c:v>
                </c:pt>
                <c:pt idx="76">
                  <c:v>1270186931091811.7</c:v>
                </c:pt>
                <c:pt idx="77">
                  <c:v>1195115955324905.5</c:v>
                </c:pt>
                <c:pt idx="78">
                  <c:v>1127133368461480.5</c:v>
                </c:pt>
                <c:pt idx="79">
                  <c:v>1056918085946967.6</c:v>
                </c:pt>
                <c:pt idx="80">
                  <c:v>997584202233706</c:v>
                </c:pt>
                <c:pt idx="81">
                  <c:v>938798467623056.87</c:v>
                </c:pt>
                <c:pt idx="82">
                  <c:v>884101415908130.62</c:v>
                </c:pt>
                <c:pt idx="83">
                  <c:v>830079319987153.87</c:v>
                </c:pt>
                <c:pt idx="84">
                  <c:v>778294593930976</c:v>
                </c:pt>
                <c:pt idx="85">
                  <c:v>727790504979584.12</c:v>
                </c:pt>
                <c:pt idx="86">
                  <c:v>686289596000127.12</c:v>
                </c:pt>
                <c:pt idx="87">
                  <c:v>643000660071456.62</c:v>
                </c:pt>
                <c:pt idx="88">
                  <c:v>612609190778785.5</c:v>
                </c:pt>
                <c:pt idx="89">
                  <c:v>569531667122211.12</c:v>
                </c:pt>
                <c:pt idx="90">
                  <c:v>527106781638252.31</c:v>
                </c:pt>
                <c:pt idx="91">
                  <c:v>498151813579937.94</c:v>
                </c:pt>
                <c:pt idx="92">
                  <c:v>467261998618213.19</c:v>
                </c:pt>
                <c:pt idx="93">
                  <c:v>438891646401558.87</c:v>
                </c:pt>
                <c:pt idx="94">
                  <c:v>413301637360627.62</c:v>
                </c:pt>
                <c:pt idx="95">
                  <c:v>390016746660394.5</c:v>
                </c:pt>
                <c:pt idx="96">
                  <c:v>361035140496555.19</c:v>
                </c:pt>
                <c:pt idx="97">
                  <c:v>336172942243093.06</c:v>
                </c:pt>
                <c:pt idx="98">
                  <c:v>314216000719506.12</c:v>
                </c:pt>
                <c:pt idx="99">
                  <c:v>294891015120497.44</c:v>
                </c:pt>
                <c:pt idx="100">
                  <c:v>275510583545574.47</c:v>
                </c:pt>
                <c:pt idx="101">
                  <c:v>258151244758103.06</c:v>
                </c:pt>
                <c:pt idx="102">
                  <c:v>246629669700963.97</c:v>
                </c:pt>
                <c:pt idx="103">
                  <c:v>230023459875975.75</c:v>
                </c:pt>
                <c:pt idx="104">
                  <c:v>215301290116236.69</c:v>
                </c:pt>
                <c:pt idx="105">
                  <c:v>193968050925016.75</c:v>
                </c:pt>
                <c:pt idx="106">
                  <c:v>187951657391013.78</c:v>
                </c:pt>
                <c:pt idx="107">
                  <c:v>171983225544578.94</c:v>
                </c:pt>
                <c:pt idx="108">
                  <c:v>159162524985044.37</c:v>
                </c:pt>
                <c:pt idx="109">
                  <c:v>157427636193524.53</c:v>
                </c:pt>
                <c:pt idx="110">
                  <c:v>142212854516688.22</c:v>
                </c:pt>
                <c:pt idx="111">
                  <c:v>129141976898901</c:v>
                </c:pt>
                <c:pt idx="112">
                  <c:v>127275303594924.66</c:v>
                </c:pt>
                <c:pt idx="113">
                  <c:v>120543278651441.12</c:v>
                </c:pt>
                <c:pt idx="114">
                  <c:v>114546376767431.81</c:v>
                </c:pt>
                <c:pt idx="115">
                  <c:v>98962631903625.125</c:v>
                </c:pt>
                <c:pt idx="116">
                  <c:v>92972278825322.969</c:v>
                </c:pt>
                <c:pt idx="117">
                  <c:v>90443537885120.922</c:v>
                </c:pt>
                <c:pt idx="118">
                  <c:v>81595946117416.016</c:v>
                </c:pt>
                <c:pt idx="119">
                  <c:v>82660021862882.359</c:v>
                </c:pt>
                <c:pt idx="120">
                  <c:v>71024607898140.031</c:v>
                </c:pt>
                <c:pt idx="121">
                  <c:v>61655933622390.812</c:v>
                </c:pt>
                <c:pt idx="122">
                  <c:v>63515826406555.094</c:v>
                </c:pt>
                <c:pt idx="123">
                  <c:v>60726005458266.883</c:v>
                </c:pt>
                <c:pt idx="124">
                  <c:v>57006878314246.203</c:v>
                </c:pt>
              </c:numCache>
            </c:numRef>
          </c:xVal>
          <c:yVal>
            <c:numRef>
              <c:f>Plots!$C$3:$C$127</c:f>
              <c:numCache>
                <c:formatCode>General</c:formatCode>
                <c:ptCount val="125"/>
                <c:pt idx="0">
                  <c:v>0</c:v>
                </c:pt>
                <c:pt idx="1">
                  <c:v>0</c:v>
                </c:pt>
                <c:pt idx="2">
                  <c:v>1.1535109728775258E-4</c:v>
                </c:pt>
                <c:pt idx="3">
                  <c:v>1.0530590844598441E-4</c:v>
                </c:pt>
                <c:pt idx="4">
                  <c:v>9.9669175139677877E-5</c:v>
                </c:pt>
                <c:pt idx="5">
                  <c:v>9.8131559156450348E-5</c:v>
                </c:pt>
                <c:pt idx="6">
                  <c:v>9.955829520066274E-5</c:v>
                </c:pt>
                <c:pt idx="7">
                  <c:v>1.0192889887775042E-4</c:v>
                </c:pt>
                <c:pt idx="8">
                  <c:v>1.042187416471307E-4</c:v>
                </c:pt>
                <c:pt idx="9">
                  <c:v>1.0639050841766911E-4</c:v>
                </c:pt>
                <c:pt idx="10">
                  <c:v>1.0848703892031812E-4</c:v>
                </c:pt>
                <c:pt idx="11">
                  <c:v>1.1049370991158216E-4</c:v>
                </c:pt>
                <c:pt idx="12">
                  <c:v>1.1238857056807454E-4</c:v>
                </c:pt>
                <c:pt idx="13">
                  <c:v>1.1421242692129886E-4</c:v>
                </c:pt>
                <c:pt idx="14">
                  <c:v>1.1591440339241955E-4</c:v>
                </c:pt>
                <c:pt idx="15">
                  <c:v>1.1757573581809138E-4</c:v>
                </c:pt>
                <c:pt idx="16">
                  <c:v>1.1913814200112315E-4</c:v>
                </c:pt>
                <c:pt idx="17">
                  <c:v>1.2063163708266442E-4</c:v>
                </c:pt>
                <c:pt idx="18">
                  <c:v>1.2208464385701933E-4</c:v>
                </c:pt>
                <c:pt idx="19">
                  <c:v>1.2345183757659451E-4</c:v>
                </c:pt>
                <c:pt idx="20">
                  <c:v>1.2466772924276591E-4</c:v>
                </c:pt>
                <c:pt idx="21">
                  <c:v>1.2581557384134517E-4</c:v>
                </c:pt>
                <c:pt idx="22">
                  <c:v>1.2687212283492779E-4</c:v>
                </c:pt>
                <c:pt idx="23">
                  <c:v>1.2787300572300104E-4</c:v>
                </c:pt>
                <c:pt idx="24">
                  <c:v>1.2878670565286617E-4</c:v>
                </c:pt>
                <c:pt idx="25">
                  <c:v>1.2960854485128531E-4</c:v>
                </c:pt>
                <c:pt idx="26">
                  <c:v>1.3035366413149192E-4</c:v>
                </c:pt>
                <c:pt idx="27">
                  <c:v>1.3102162604188868E-4</c:v>
                </c:pt>
                <c:pt idx="28">
                  <c:v>1.3186793888847638E-4</c:v>
                </c:pt>
                <c:pt idx="29">
                  <c:v>1.3242127120217524E-4</c:v>
                </c:pt>
                <c:pt idx="30">
                  <c:v>1.3293261597737508E-4</c:v>
                </c:pt>
                <c:pt idx="31">
                  <c:v>1.3333965819429432E-4</c:v>
                </c:pt>
                <c:pt idx="32">
                  <c:v>1.3362480489025012E-4</c:v>
                </c:pt>
                <c:pt idx="33">
                  <c:v>1.3385466438267364E-4</c:v>
                </c:pt>
                <c:pt idx="34">
                  <c:v>1.3399983033103683E-4</c:v>
                </c:pt>
                <c:pt idx="35">
                  <c:v>1.3404530757934601E-4</c:v>
                </c:pt>
                <c:pt idx="36">
                  <c:v>1.3409848406237607E-4</c:v>
                </c:pt>
                <c:pt idx="37">
                  <c:v>1.3398447809375715E-4</c:v>
                </c:pt>
                <c:pt idx="38">
                  <c:v>1.3404604653230668E-4</c:v>
                </c:pt>
                <c:pt idx="39">
                  <c:v>1.3391080562504622E-4</c:v>
                </c:pt>
                <c:pt idx="40">
                  <c:v>1.3377738278664189E-4</c:v>
                </c:pt>
                <c:pt idx="41">
                  <c:v>1.3354120301323026E-4</c:v>
                </c:pt>
                <c:pt idx="42">
                  <c:v>1.3324167525740165E-4</c:v>
                </c:pt>
                <c:pt idx="43">
                  <c:v>1.3284953967060127E-4</c:v>
                </c:pt>
                <c:pt idx="44">
                  <c:v>1.3240450150071981E-4</c:v>
                </c:pt>
                <c:pt idx="45">
                  <c:v>1.3209206588110458E-4</c:v>
                </c:pt>
                <c:pt idx="46">
                  <c:v>1.3170505610321347E-4</c:v>
                </c:pt>
                <c:pt idx="47">
                  <c:v>1.312017478236121E-4</c:v>
                </c:pt>
                <c:pt idx="48">
                  <c:v>1.3044342069413686E-4</c:v>
                </c:pt>
                <c:pt idx="49">
                  <c:v>1.2986948174809019E-4</c:v>
                </c:pt>
                <c:pt idx="50">
                  <c:v>1.2918818722921878E-4</c:v>
                </c:pt>
                <c:pt idx="51">
                  <c:v>1.2846636196606843E-4</c:v>
                </c:pt>
                <c:pt idx="52">
                  <c:v>1.2791768785863985E-4</c:v>
                </c:pt>
                <c:pt idx="53">
                  <c:v>1.2717696450524293E-4</c:v>
                </c:pt>
                <c:pt idx="54">
                  <c:v>1.2637707176395071E-4</c:v>
                </c:pt>
                <c:pt idx="55">
                  <c:v>1.2555415810241812E-4</c:v>
                </c:pt>
                <c:pt idx="56">
                  <c:v>1.2440102390855309E-4</c:v>
                </c:pt>
                <c:pt idx="57">
                  <c:v>1.2381657022950124E-4</c:v>
                </c:pt>
                <c:pt idx="58">
                  <c:v>1.2297490901439843E-4</c:v>
                </c:pt>
                <c:pt idx="59">
                  <c:v>1.2207828615508248E-4</c:v>
                </c:pt>
                <c:pt idx="60">
                  <c:v>1.2141889113800987E-4</c:v>
                </c:pt>
                <c:pt idx="61">
                  <c:v>1.2030791575222816E-4</c:v>
                </c:pt>
                <c:pt idx="62">
                  <c:v>1.1928074132214466E-4</c:v>
                </c:pt>
                <c:pt idx="63">
                  <c:v>1.1850562612720413E-4</c:v>
                </c:pt>
                <c:pt idx="64">
                  <c:v>1.1741438475831142E-4</c:v>
                </c:pt>
                <c:pt idx="65">
                  <c:v>1.1682409575770429E-4</c:v>
                </c:pt>
                <c:pt idx="66">
                  <c:v>1.1575168987822162E-4</c:v>
                </c:pt>
                <c:pt idx="67">
                  <c:v>1.1484047924104045E-4</c:v>
                </c:pt>
                <c:pt idx="68">
                  <c:v>1.1382877355447611E-4</c:v>
                </c:pt>
                <c:pt idx="69">
                  <c:v>1.1260380409056858E-4</c:v>
                </c:pt>
                <c:pt idx="70">
                  <c:v>1.1173594916850647E-4</c:v>
                </c:pt>
                <c:pt idx="71">
                  <c:v>1.102853735539421E-4</c:v>
                </c:pt>
                <c:pt idx="72">
                  <c:v>1.0925522139378659E-4</c:v>
                </c:pt>
                <c:pt idx="73">
                  <c:v>1.0818317241874058E-4</c:v>
                </c:pt>
                <c:pt idx="74">
                  <c:v>1.0721420310996309E-4</c:v>
                </c:pt>
                <c:pt idx="75">
                  <c:v>1.062872123543379E-4</c:v>
                </c:pt>
                <c:pt idx="76">
                  <c:v>1.0500468331037909E-4</c:v>
                </c:pt>
                <c:pt idx="77">
                  <c:v>1.0368835208148621E-4</c:v>
                </c:pt>
                <c:pt idx="78">
                  <c:v>1.0289912783015897E-4</c:v>
                </c:pt>
                <c:pt idx="79">
                  <c:v>1.0139656594123381E-4</c:v>
                </c:pt>
                <c:pt idx="80">
                  <c:v>1.0064040964593725E-4</c:v>
                </c:pt>
                <c:pt idx="81">
                  <c:v>9.9583924706639221E-5</c:v>
                </c:pt>
                <c:pt idx="82">
                  <c:v>9.852397265973668E-5</c:v>
                </c:pt>
                <c:pt idx="83">
                  <c:v>9.7024051389004324E-5</c:v>
                </c:pt>
                <c:pt idx="84">
                  <c:v>9.5684078031107469E-5</c:v>
                </c:pt>
                <c:pt idx="85">
                  <c:v>9.4165349022456489E-5</c:v>
                </c:pt>
                <c:pt idx="86">
                  <c:v>9.3499425038167253E-5</c:v>
                </c:pt>
                <c:pt idx="87">
                  <c:v>9.247475967476428E-5</c:v>
                </c:pt>
                <c:pt idx="88">
                  <c:v>9.2615983973671348E-5</c:v>
                </c:pt>
                <c:pt idx="89">
                  <c:v>9.0312644678409247E-5</c:v>
                </c:pt>
                <c:pt idx="90">
                  <c:v>8.765771242431639E-5</c:v>
                </c:pt>
                <c:pt idx="91">
                  <c:v>8.7802162446931514E-5</c:v>
                </c:pt>
                <c:pt idx="92">
                  <c:v>8.675182643309089E-5</c:v>
                </c:pt>
                <c:pt idx="93">
                  <c:v>8.5939346177198267E-5</c:v>
                </c:pt>
                <c:pt idx="94">
                  <c:v>8.5305506982309023E-5</c:v>
                </c:pt>
                <c:pt idx="95">
                  <c:v>8.4670493523033761E-5</c:v>
                </c:pt>
                <c:pt idx="96">
                  <c:v>8.255228933168359E-5</c:v>
                </c:pt>
                <c:pt idx="97">
                  <c:v>8.1017894259829219E-5</c:v>
                </c:pt>
                <c:pt idx="98">
                  <c:v>7.9832178413504122E-5</c:v>
                </c:pt>
                <c:pt idx="99">
                  <c:v>7.9669927974826307E-5</c:v>
                </c:pt>
                <c:pt idx="100">
                  <c:v>7.8998269080959234E-5</c:v>
                </c:pt>
                <c:pt idx="101">
                  <c:v>7.8233886029575509E-5</c:v>
                </c:pt>
                <c:pt idx="102">
                  <c:v>7.8340679691484165E-5</c:v>
                </c:pt>
                <c:pt idx="103">
                  <c:v>7.7207210211760631E-5</c:v>
                </c:pt>
                <c:pt idx="104">
                  <c:v>7.6805121695425974E-5</c:v>
                </c:pt>
                <c:pt idx="105">
                  <c:v>7.250293715917736E-5</c:v>
                </c:pt>
                <c:pt idx="106">
                  <c:v>7.3871538210952474E-5</c:v>
                </c:pt>
                <c:pt idx="107">
                  <c:v>7.2481997481518376E-5</c:v>
                </c:pt>
                <c:pt idx="108">
                  <c:v>7.1124976144399611E-5</c:v>
                </c:pt>
                <c:pt idx="109">
                  <c:v>7.5191981281712983E-5</c:v>
                </c:pt>
                <c:pt idx="110">
                  <c:v>7.2077765987129229E-5</c:v>
                </c:pt>
                <c:pt idx="111">
                  <c:v>6.8346808357091008E-5</c:v>
                </c:pt>
                <c:pt idx="112">
                  <c:v>7.3256688142397331E-5</c:v>
                </c:pt>
                <c:pt idx="113">
                  <c:v>7.2510192560417869E-5</c:v>
                </c:pt>
                <c:pt idx="114">
                  <c:v>7.1974615238632418E-5</c:v>
                </c:pt>
                <c:pt idx="115">
                  <c:v>6.6720724753369608E-5</c:v>
                </c:pt>
                <c:pt idx="116">
                  <c:v>6.5651998925086405E-5</c:v>
                </c:pt>
                <c:pt idx="117">
                  <c:v>6.9824794902798343E-5</c:v>
                </c:pt>
                <c:pt idx="118">
                  <c:v>6.583948578388239E-5</c:v>
                </c:pt>
                <c:pt idx="119">
                  <c:v>7.0643413477830717E-5</c:v>
                </c:pt>
                <c:pt idx="120">
                  <c:v>6.4650936781691457E-5</c:v>
                </c:pt>
                <c:pt idx="121">
                  <c:v>5.9187429193070523E-5</c:v>
                </c:pt>
                <c:pt idx="122">
                  <c:v>6.5977497777420217E-5</c:v>
                </c:pt>
                <c:pt idx="123">
                  <c:v>0</c:v>
                </c:pt>
                <c:pt idx="124">
                  <c:v>0</c:v>
                </c:pt>
              </c:numCache>
            </c:numRef>
          </c:yVal>
          <c:smooth val="0"/>
        </c:ser>
        <c:ser>
          <c:idx val="2"/>
          <c:order val="2"/>
          <c:tx>
            <c:strRef>
              <c:f>Plots!$D$1</c:f>
              <c:strCache>
                <c:ptCount val="1"/>
                <c:pt idx="0">
                  <c:v>180</c:v>
                </c:pt>
              </c:strCache>
            </c:strRef>
          </c:tx>
          <c:spPr>
            <a:ln w="28575">
              <a:noFill/>
            </a:ln>
          </c:spPr>
          <c:marker>
            <c:symbol val="diamond"/>
            <c:size val="7"/>
            <c:spPr>
              <a:solidFill>
                <a:srgbClr val="C00000"/>
              </a:solidFill>
              <a:ln>
                <a:noFill/>
              </a:ln>
            </c:spPr>
          </c:marker>
          <c:xVal>
            <c:numRef>
              <c:f>Plots!$D$3:$D$127</c:f>
              <c:numCache>
                <c:formatCode>General</c:formatCode>
                <c:ptCount val="125"/>
                <c:pt idx="0">
                  <c:v>9632274585915766</c:v>
                </c:pt>
                <c:pt idx="1">
                  <c:v>3.3356220593712684E+16</c:v>
                </c:pt>
                <c:pt idx="2">
                  <c:v>4.5467210175672328E+16</c:v>
                </c:pt>
                <c:pt idx="3">
                  <c:v>4.956113623822692E+16</c:v>
                </c:pt>
                <c:pt idx="4">
                  <c:v>4.9331173599870216E+16</c:v>
                </c:pt>
                <c:pt idx="5">
                  <c:v>4.8006709497859376E+16</c:v>
                </c:pt>
                <c:pt idx="6">
                  <c:v>4.6412927577140064E+16</c:v>
                </c:pt>
                <c:pt idx="7">
                  <c:v>4.4779288943168704E+16</c:v>
                </c:pt>
                <c:pt idx="8">
                  <c:v>4.3134875114242744E+16</c:v>
                </c:pt>
                <c:pt idx="9">
                  <c:v>4.151081450489008E+16</c:v>
                </c:pt>
                <c:pt idx="10">
                  <c:v>3.98938981497226E+16</c:v>
                </c:pt>
                <c:pt idx="11">
                  <c:v>3.829577300880768E+16</c:v>
                </c:pt>
                <c:pt idx="12">
                  <c:v>3.6733907844599776E+16</c:v>
                </c:pt>
                <c:pt idx="13">
                  <c:v>3.5201237861220676E+16</c:v>
                </c:pt>
                <c:pt idx="14">
                  <c:v>3.3701633965915632E+16</c:v>
                </c:pt>
                <c:pt idx="15">
                  <c:v>3.2259518192911512E+16</c:v>
                </c:pt>
                <c:pt idx="16">
                  <c:v>3.085068839096484E+16</c:v>
                </c:pt>
                <c:pt idx="17">
                  <c:v>2.9487075224812808E+16</c:v>
                </c:pt>
                <c:pt idx="18">
                  <c:v>2.8168813144288408E+16</c:v>
                </c:pt>
                <c:pt idx="19">
                  <c:v>2.6893886818528336E+16</c:v>
                </c:pt>
                <c:pt idx="20">
                  <c:v>2.5667214323716984E+16</c:v>
                </c:pt>
                <c:pt idx="21">
                  <c:v>2.4479392815262076E+16</c:v>
                </c:pt>
                <c:pt idx="22">
                  <c:v>2.3330347098383964E+16</c:v>
                </c:pt>
                <c:pt idx="23">
                  <c:v>2.222581607600504E+16</c:v>
                </c:pt>
                <c:pt idx="24">
                  <c:v>2.1177431924501104E+16</c:v>
                </c:pt>
                <c:pt idx="25">
                  <c:v>2.0166483998822448E+16</c:v>
                </c:pt>
                <c:pt idx="26">
                  <c:v>1.9195916259941596E+16</c:v>
                </c:pt>
                <c:pt idx="27">
                  <c:v>1.8260964795163176E+16</c:v>
                </c:pt>
                <c:pt idx="28">
                  <c:v>1.7370468141266164E+16</c:v>
                </c:pt>
                <c:pt idx="29">
                  <c:v>1.6519966272660428E+16</c:v>
                </c:pt>
                <c:pt idx="30">
                  <c:v>1.5710955601883902E+16</c:v>
                </c:pt>
                <c:pt idx="31">
                  <c:v>1.4927749202857378E+16</c:v>
                </c:pt>
                <c:pt idx="32">
                  <c:v>1.4180845116094632E+16</c:v>
                </c:pt>
                <c:pt idx="33">
                  <c:v>1.347187829492011E+16</c:v>
                </c:pt>
                <c:pt idx="34">
                  <c:v>1.279057534534059E+16</c:v>
                </c:pt>
                <c:pt idx="35">
                  <c:v>1.2142725508111708E+16</c:v>
                </c:pt>
                <c:pt idx="36">
                  <c:v>1.1526773247353236E+16</c:v>
                </c:pt>
                <c:pt idx="37">
                  <c:v>1.093297123036069E+16</c:v>
                </c:pt>
                <c:pt idx="38">
                  <c:v>1.0365982772889612E+16</c:v>
                </c:pt>
                <c:pt idx="39">
                  <c:v>9834290690439122</c:v>
                </c:pt>
                <c:pt idx="40">
                  <c:v>9324961659416052</c:v>
                </c:pt>
                <c:pt idx="41">
                  <c:v>8846007033809854</c:v>
                </c:pt>
                <c:pt idx="42">
                  <c:v>8386008289478696</c:v>
                </c:pt>
                <c:pt idx="43">
                  <c:v>7945114717818406</c:v>
                </c:pt>
                <c:pt idx="44">
                  <c:v>7530108392890367</c:v>
                </c:pt>
                <c:pt idx="45">
                  <c:v>7135805279714387</c:v>
                </c:pt>
                <c:pt idx="46">
                  <c:v>6755739285449104</c:v>
                </c:pt>
                <c:pt idx="47">
                  <c:v>6402750453137204</c:v>
                </c:pt>
                <c:pt idx="48">
                  <c:v>6063133866354280</c:v>
                </c:pt>
                <c:pt idx="49">
                  <c:v>5743918784295814</c:v>
                </c:pt>
                <c:pt idx="50">
                  <c:v>5433456424221178</c:v>
                </c:pt>
                <c:pt idx="51">
                  <c:v>5141687188975699</c:v>
                </c:pt>
                <c:pt idx="52">
                  <c:v>4859965363135398</c:v>
                </c:pt>
                <c:pt idx="53">
                  <c:v>4600018169447512</c:v>
                </c:pt>
                <c:pt idx="54">
                  <c:v>4355208500034349</c:v>
                </c:pt>
                <c:pt idx="55">
                  <c:v>4119945086502212.5</c:v>
                </c:pt>
                <c:pt idx="56">
                  <c:v>3891964669074052</c:v>
                </c:pt>
                <c:pt idx="57">
                  <c:v>3677474724942711</c:v>
                </c:pt>
                <c:pt idx="58">
                  <c:v>3474275158214889.5</c:v>
                </c:pt>
                <c:pt idx="59">
                  <c:v>3284348861091232</c:v>
                </c:pt>
                <c:pt idx="60">
                  <c:v>3103336551310199.5</c:v>
                </c:pt>
                <c:pt idx="61">
                  <c:v>2932113611276205</c:v>
                </c:pt>
                <c:pt idx="62">
                  <c:v>2761238011447447</c:v>
                </c:pt>
                <c:pt idx="63">
                  <c:v>2607915699408529.5</c:v>
                </c:pt>
                <c:pt idx="64">
                  <c:v>2463453271635232.5</c:v>
                </c:pt>
                <c:pt idx="65">
                  <c:v>2322154319458839.5</c:v>
                </c:pt>
                <c:pt idx="66">
                  <c:v>2193691977651612.7</c:v>
                </c:pt>
                <c:pt idx="67">
                  <c:v>2073328190380145.2</c:v>
                </c:pt>
                <c:pt idx="68">
                  <c:v>1953137757650244</c:v>
                </c:pt>
                <c:pt idx="69">
                  <c:v>1841638303097294.7</c:v>
                </c:pt>
                <c:pt idx="70">
                  <c:v>1736011866810073</c:v>
                </c:pt>
                <c:pt idx="71">
                  <c:v>1636742900913177</c:v>
                </c:pt>
                <c:pt idx="72">
                  <c:v>1542541452672491.5</c:v>
                </c:pt>
                <c:pt idx="73">
                  <c:v>1451736067585646.7</c:v>
                </c:pt>
                <c:pt idx="74">
                  <c:v>1367210113660323.2</c:v>
                </c:pt>
                <c:pt idx="75">
                  <c:v>1284606622560608</c:v>
                </c:pt>
                <c:pt idx="76">
                  <c:v>1211388639866148</c:v>
                </c:pt>
                <c:pt idx="77">
                  <c:v>1138541437834662.7</c:v>
                </c:pt>
                <c:pt idx="78">
                  <c:v>1071300373625266</c:v>
                </c:pt>
                <c:pt idx="79">
                  <c:v>1014019755541946.2</c:v>
                </c:pt>
                <c:pt idx="80">
                  <c:v>953872887127900.75</c:v>
                </c:pt>
                <c:pt idx="81">
                  <c:v>892567621438349</c:v>
                </c:pt>
                <c:pt idx="82">
                  <c:v>834859821701804</c:v>
                </c:pt>
                <c:pt idx="83">
                  <c:v>789840783537429.75</c:v>
                </c:pt>
                <c:pt idx="84">
                  <c:v>738114091017054.62</c:v>
                </c:pt>
                <c:pt idx="85">
                  <c:v>682623708803244.12</c:v>
                </c:pt>
                <c:pt idx="86">
                  <c:v>644698775860179.87</c:v>
                </c:pt>
                <c:pt idx="87">
                  <c:v>605321917490903.75</c:v>
                </c:pt>
                <c:pt idx="88">
                  <c:v>565919364155045.37</c:v>
                </c:pt>
                <c:pt idx="89">
                  <c:v>533856923791375.06</c:v>
                </c:pt>
                <c:pt idx="90">
                  <c:v>501111657170545.81</c:v>
                </c:pt>
                <c:pt idx="91">
                  <c:v>467363735826664.31</c:v>
                </c:pt>
                <c:pt idx="92">
                  <c:v>436933532956152.31</c:v>
                </c:pt>
                <c:pt idx="93">
                  <c:v>411617335265101.81</c:v>
                </c:pt>
                <c:pt idx="94">
                  <c:v>382780268447856.06</c:v>
                </c:pt>
                <c:pt idx="95">
                  <c:v>354481573017899.37</c:v>
                </c:pt>
                <c:pt idx="96">
                  <c:v>332311657325041.31</c:v>
                </c:pt>
                <c:pt idx="97">
                  <c:v>310027172151399.12</c:v>
                </c:pt>
                <c:pt idx="98">
                  <c:v>290390431481207.81</c:v>
                </c:pt>
                <c:pt idx="99">
                  <c:v>269099189183115.31</c:v>
                </c:pt>
                <c:pt idx="100">
                  <c:v>252436738568503.62</c:v>
                </c:pt>
                <c:pt idx="101">
                  <c:v>237319804822497.81</c:v>
                </c:pt>
                <c:pt idx="102">
                  <c:v>217092200445948.31</c:v>
                </c:pt>
                <c:pt idx="103">
                  <c:v>207816012093702.37</c:v>
                </c:pt>
                <c:pt idx="104">
                  <c:v>193492988103705.19</c:v>
                </c:pt>
                <c:pt idx="105">
                  <c:v>179176883521384.78</c:v>
                </c:pt>
                <c:pt idx="106">
                  <c:v>173171821424599.94</c:v>
                </c:pt>
                <c:pt idx="107">
                  <c:v>159060078202796.09</c:v>
                </c:pt>
                <c:pt idx="108">
                  <c:v>144766334489052.31</c:v>
                </c:pt>
                <c:pt idx="109">
                  <c:v>138962361587060.22</c:v>
                </c:pt>
                <c:pt idx="110">
                  <c:v>130418001989170</c:v>
                </c:pt>
                <c:pt idx="111">
                  <c:v>117161748201264.7</c:v>
                </c:pt>
                <c:pt idx="112">
                  <c:v>111619811475768.56</c:v>
                </c:pt>
                <c:pt idx="113">
                  <c:v>104869923895943.33</c:v>
                </c:pt>
                <c:pt idx="114">
                  <c:v>102577912352698.64</c:v>
                </c:pt>
                <c:pt idx="115">
                  <c:v>87878629172882.891</c:v>
                </c:pt>
                <c:pt idx="116">
                  <c:v>86860881217006.547</c:v>
                </c:pt>
                <c:pt idx="117">
                  <c:v>80883298644847.375</c:v>
                </c:pt>
                <c:pt idx="118">
                  <c:v>80056729414222.812</c:v>
                </c:pt>
                <c:pt idx="119">
                  <c:v>76179007666695.453</c:v>
                </c:pt>
                <c:pt idx="120">
                  <c:v>71412607368000.062</c:v>
                </c:pt>
                <c:pt idx="121">
                  <c:v>67918107988153.383</c:v>
                </c:pt>
                <c:pt idx="122">
                  <c:v>64233998733355.867</c:v>
                </c:pt>
                <c:pt idx="123">
                  <c:v>51220079530429.102</c:v>
                </c:pt>
                <c:pt idx="124">
                  <c:v>49570483757731.008</c:v>
                </c:pt>
              </c:numCache>
            </c:numRef>
          </c:xVal>
          <c:yVal>
            <c:numRef>
              <c:f>Plots!$E$3:$E$127</c:f>
              <c:numCache>
                <c:formatCode>General</c:formatCode>
                <c:ptCount val="125"/>
                <c:pt idx="0">
                  <c:v>0</c:v>
                </c:pt>
                <c:pt idx="1">
                  <c:v>0</c:v>
                </c:pt>
                <c:pt idx="2">
                  <c:v>1.1491261860491992E-4</c:v>
                </c:pt>
                <c:pt idx="3">
                  <c:v>1.0494313256710054E-4</c:v>
                </c:pt>
                <c:pt idx="4">
                  <c:v>9.9485961222223413E-5</c:v>
                </c:pt>
                <c:pt idx="5">
                  <c:v>9.824868884944813E-5</c:v>
                </c:pt>
                <c:pt idx="6">
                  <c:v>9.9824093916879209E-5</c:v>
                </c:pt>
                <c:pt idx="7">
                  <c:v>1.0207936088838645E-4</c:v>
                </c:pt>
                <c:pt idx="8">
                  <c:v>1.0429716721662204E-4</c:v>
                </c:pt>
                <c:pt idx="9">
                  <c:v>1.0632994806073435E-4</c:v>
                </c:pt>
                <c:pt idx="10">
                  <c:v>1.083253547405646E-4</c:v>
                </c:pt>
                <c:pt idx="11">
                  <c:v>1.1019572277748933E-4</c:v>
                </c:pt>
                <c:pt idx="12">
                  <c:v>1.1204623930835391E-4</c:v>
                </c:pt>
                <c:pt idx="13">
                  <c:v>1.1376667358799592E-4</c:v>
                </c:pt>
                <c:pt idx="14">
                  <c:v>1.1538703303520784E-4</c:v>
                </c:pt>
                <c:pt idx="15">
                  <c:v>1.1697634534604297E-4</c:v>
                </c:pt>
                <c:pt idx="16">
                  <c:v>1.1845417103450651E-4</c:v>
                </c:pt>
                <c:pt idx="17">
                  <c:v>1.1983612173254872E-4</c:v>
                </c:pt>
                <c:pt idx="18">
                  <c:v>1.2119372520945991E-4</c:v>
                </c:pt>
                <c:pt idx="19">
                  <c:v>1.2244861445959959E-4</c:v>
                </c:pt>
                <c:pt idx="20">
                  <c:v>1.2360909521761979E-4</c:v>
                </c:pt>
                <c:pt idx="21">
                  <c:v>1.2465549872260357E-4</c:v>
                </c:pt>
                <c:pt idx="22">
                  <c:v>1.2560220542799037E-4</c:v>
                </c:pt>
                <c:pt idx="23">
                  <c:v>1.2651156629195438E-4</c:v>
                </c:pt>
                <c:pt idx="24">
                  <c:v>1.2740184157937579E-4</c:v>
                </c:pt>
                <c:pt idx="25">
                  <c:v>1.2815747915089119E-4</c:v>
                </c:pt>
                <c:pt idx="26">
                  <c:v>1.2879890498173927E-4</c:v>
                </c:pt>
                <c:pt idx="27">
                  <c:v>1.2936183917958336E-4</c:v>
                </c:pt>
                <c:pt idx="28">
                  <c:v>1.3011752647334242E-4</c:v>
                </c:pt>
                <c:pt idx="29">
                  <c:v>1.3061626548075561E-4</c:v>
                </c:pt>
                <c:pt idx="30">
                  <c:v>1.3105037394913328E-4</c:v>
                </c:pt>
                <c:pt idx="31">
                  <c:v>1.3133578559258494E-4</c:v>
                </c:pt>
                <c:pt idx="32">
                  <c:v>1.315444182007587E-4</c:v>
                </c:pt>
                <c:pt idx="33">
                  <c:v>1.3174166666819685E-4</c:v>
                </c:pt>
                <c:pt idx="34">
                  <c:v>1.3180707929383081E-4</c:v>
                </c:pt>
                <c:pt idx="35">
                  <c:v>1.3184783188290586E-4</c:v>
                </c:pt>
                <c:pt idx="36">
                  <c:v>1.3181827310371143E-4</c:v>
                </c:pt>
                <c:pt idx="37">
                  <c:v>1.3162735575344782E-4</c:v>
                </c:pt>
                <c:pt idx="38">
                  <c:v>1.3143797832424045E-4</c:v>
                </c:pt>
                <c:pt idx="39">
                  <c:v>1.3136030098290694E-4</c:v>
                </c:pt>
                <c:pt idx="40">
                  <c:v>1.3119756577759838E-4</c:v>
                </c:pt>
                <c:pt idx="41">
                  <c:v>1.309530262542902E-4</c:v>
                </c:pt>
                <c:pt idx="42">
                  <c:v>1.3065460679558718E-4</c:v>
                </c:pt>
                <c:pt idx="43">
                  <c:v>1.3018322513640585E-4</c:v>
                </c:pt>
                <c:pt idx="44">
                  <c:v>1.2975197899160599E-4</c:v>
                </c:pt>
                <c:pt idx="45">
                  <c:v>1.2933109618798986E-4</c:v>
                </c:pt>
                <c:pt idx="46">
                  <c:v>1.286959759716596E-4</c:v>
                </c:pt>
                <c:pt idx="47">
                  <c:v>1.282812447645479E-4</c:v>
                </c:pt>
                <c:pt idx="48">
                  <c:v>1.2768506323509497E-4</c:v>
                </c:pt>
                <c:pt idx="49">
                  <c:v>1.2706029491818993E-4</c:v>
                </c:pt>
                <c:pt idx="50">
                  <c:v>1.2624548807133512E-4</c:v>
                </c:pt>
                <c:pt idx="51">
                  <c:v>1.2551491710265409E-4</c:v>
                </c:pt>
                <c:pt idx="52">
                  <c:v>1.24717962172846E-4</c:v>
                </c:pt>
                <c:pt idx="53">
                  <c:v>1.2408399351625626E-4</c:v>
                </c:pt>
                <c:pt idx="54">
                  <c:v>1.233447091797252E-4</c:v>
                </c:pt>
                <c:pt idx="55">
                  <c:v>1.2250500160647772E-4</c:v>
                </c:pt>
                <c:pt idx="56">
                  <c:v>1.2145600870622823E-4</c:v>
                </c:pt>
                <c:pt idx="57">
                  <c:v>1.204904743888075E-4</c:v>
                </c:pt>
                <c:pt idx="58">
                  <c:v>1.196762477510969E-4</c:v>
                </c:pt>
                <c:pt idx="59">
                  <c:v>1.1889808882490404E-4</c:v>
                </c:pt>
                <c:pt idx="60">
                  <c:v>1.1789451626767654E-4</c:v>
                </c:pt>
                <c:pt idx="61">
                  <c:v>1.1717783603993539E-4</c:v>
                </c:pt>
                <c:pt idx="62">
                  <c:v>1.1591269892675498E-4</c:v>
                </c:pt>
                <c:pt idx="63">
                  <c:v>1.1502850242910041E-4</c:v>
                </c:pt>
                <c:pt idx="64">
                  <c:v>1.1404328302130082E-4</c:v>
                </c:pt>
                <c:pt idx="65">
                  <c:v>1.1297935434676413E-4</c:v>
                </c:pt>
                <c:pt idx="66">
                  <c:v>1.1201801690124372E-4</c:v>
                </c:pt>
                <c:pt idx="67">
                  <c:v>1.1129672798593422E-4</c:v>
                </c:pt>
                <c:pt idx="68">
                  <c:v>1.1020885196521704E-4</c:v>
                </c:pt>
                <c:pt idx="69">
                  <c:v>1.0909619606990912E-4</c:v>
                </c:pt>
                <c:pt idx="70">
                  <c:v>1.0801863352307236E-4</c:v>
                </c:pt>
                <c:pt idx="71">
                  <c:v>1.0680586021782067E-4</c:v>
                </c:pt>
                <c:pt idx="72">
                  <c:v>1.0561307229075219E-4</c:v>
                </c:pt>
                <c:pt idx="73">
                  <c:v>1.0426505418060403E-4</c:v>
                </c:pt>
                <c:pt idx="74">
                  <c:v>1.0320468934796278E-4</c:v>
                </c:pt>
                <c:pt idx="75">
                  <c:v>1.0192309389027555E-4</c:v>
                </c:pt>
                <c:pt idx="76">
                  <c:v>1.0083962340793651E-4</c:v>
                </c:pt>
                <c:pt idx="77">
                  <c:v>9.973613288103599E-5</c:v>
                </c:pt>
                <c:pt idx="78">
                  <c:v>9.8699015320450866E-5</c:v>
                </c:pt>
                <c:pt idx="79">
                  <c:v>9.8106576514067875E-5</c:v>
                </c:pt>
                <c:pt idx="80">
                  <c:v>9.6655569078034142E-5</c:v>
                </c:pt>
                <c:pt idx="81">
                  <c:v>9.5184169235799476E-5</c:v>
                </c:pt>
                <c:pt idx="82">
                  <c:v>9.3277630514340264E-5</c:v>
                </c:pt>
                <c:pt idx="83">
                  <c:v>9.2910314035641082E-5</c:v>
                </c:pt>
                <c:pt idx="84">
                  <c:v>9.1052401236085571E-5</c:v>
                </c:pt>
                <c:pt idx="85">
                  <c:v>8.8542461502804607E-5</c:v>
                </c:pt>
                <c:pt idx="86">
                  <c:v>8.8066953052831837E-5</c:v>
                </c:pt>
                <c:pt idx="87">
                  <c:v>8.7327336755743245E-5</c:v>
                </c:pt>
                <c:pt idx="88">
                  <c:v>8.5802544422285685E-5</c:v>
                </c:pt>
                <c:pt idx="89">
                  <c:v>8.5001902128441253E-5</c:v>
                </c:pt>
                <c:pt idx="90">
                  <c:v>8.4167279869707022E-5</c:v>
                </c:pt>
                <c:pt idx="91">
                  <c:v>8.2600811190835317E-5</c:v>
                </c:pt>
                <c:pt idx="92">
                  <c:v>8.1403530736498891E-5</c:v>
                </c:pt>
                <c:pt idx="93">
                  <c:v>8.0928972040039668E-5</c:v>
                </c:pt>
                <c:pt idx="94">
                  <c:v>7.9281134074253234E-5</c:v>
                </c:pt>
                <c:pt idx="95">
                  <c:v>7.7285515852074208E-5</c:v>
                </c:pt>
                <c:pt idx="96">
                  <c:v>7.6740508344324982E-5</c:v>
                </c:pt>
                <c:pt idx="97">
                  <c:v>7.5660585281963063E-5</c:v>
                </c:pt>
                <c:pt idx="98">
                  <c:v>7.4547843120660096E-5</c:v>
                </c:pt>
                <c:pt idx="99">
                  <c:v>7.3219617143244675E-5</c:v>
                </c:pt>
                <c:pt idx="100">
                  <c:v>7.2490142782949532E-5</c:v>
                </c:pt>
                <c:pt idx="101">
                  <c:v>7.1711001502206052E-5</c:v>
                </c:pt>
                <c:pt idx="102">
                  <c:v>6.9800032578027708E-5</c:v>
                </c:pt>
                <c:pt idx="103">
                  <c:v>7.0856977285018089E-5</c:v>
                </c:pt>
                <c:pt idx="104">
                  <c:v>7.0122800834293062E-5</c:v>
                </c:pt>
                <c:pt idx="105">
                  <c:v>6.8759828072962559E-5</c:v>
                </c:pt>
                <c:pt idx="106">
                  <c:v>6.9966175977232719E-5</c:v>
                </c:pt>
                <c:pt idx="107">
                  <c:v>6.8719687733097756E-5</c:v>
                </c:pt>
                <c:pt idx="108">
                  <c:v>6.6093324803558675E-5</c:v>
                </c:pt>
                <c:pt idx="109">
                  <c:v>6.7785904301388724E-5</c:v>
                </c:pt>
                <c:pt idx="110">
                  <c:v>6.7992404093865651E-5</c:v>
                </c:pt>
                <c:pt idx="111">
                  <c:v>6.4839179327850089E-5</c:v>
                </c:pt>
                <c:pt idx="112">
                  <c:v>6.5270048415048057E-5</c:v>
                </c:pt>
                <c:pt idx="113">
                  <c:v>6.4949611223614193E-5</c:v>
                </c:pt>
                <c:pt idx="114">
                  <c:v>6.7277128761438604E-5</c:v>
                </c:pt>
                <c:pt idx="115">
                  <c:v>6.1524924987772415E-5</c:v>
                </c:pt>
                <c:pt idx="116">
                  <c:v>6.4497675322709296E-5</c:v>
                </c:pt>
                <c:pt idx="117">
                  <c:v>6.6666061321760619E-5</c:v>
                </c:pt>
                <c:pt idx="118">
                  <c:v>6.9032185841245346E-5</c:v>
                </c:pt>
                <c:pt idx="119">
                  <c:v>6.9470183988868287E-5</c:v>
                </c:pt>
                <c:pt idx="120">
                  <c:v>6.9360636585662872E-5</c:v>
                </c:pt>
                <c:pt idx="121">
                  <c:v>7.0265646081273976E-5</c:v>
                </c:pt>
                <c:pt idx="122">
                  <c:v>7.0882591671853618E-5</c:v>
                </c:pt>
                <c:pt idx="123">
                  <c:v>0</c:v>
                </c:pt>
                <c:pt idx="124">
                  <c:v>0</c:v>
                </c:pt>
              </c:numCache>
            </c:numRef>
          </c:yVal>
          <c:smooth val="0"/>
        </c:ser>
        <c:ser>
          <c:idx val="3"/>
          <c:order val="3"/>
          <c:tx>
            <c:strRef>
              <c:f>Plots!$F$1</c:f>
              <c:strCache>
                <c:ptCount val="1"/>
                <c:pt idx="0">
                  <c:v>170</c:v>
                </c:pt>
              </c:strCache>
            </c:strRef>
          </c:tx>
          <c:spPr>
            <a:ln w="28575">
              <a:noFill/>
            </a:ln>
          </c:spPr>
          <c:marker>
            <c:symbol val="diamond"/>
            <c:size val="7"/>
            <c:spPr>
              <a:solidFill>
                <a:srgbClr val="FF0000"/>
              </a:solidFill>
              <a:ln>
                <a:noFill/>
              </a:ln>
            </c:spPr>
          </c:marker>
          <c:xVal>
            <c:numRef>
              <c:f>Plots!$F$3:$F$127</c:f>
              <c:numCache>
                <c:formatCode>General</c:formatCode>
                <c:ptCount val="125"/>
                <c:pt idx="0">
                  <c:v>2083245056901970</c:v>
                </c:pt>
                <c:pt idx="1">
                  <c:v>2.2520385236250128E+16</c:v>
                </c:pt>
                <c:pt idx="2">
                  <c:v>3.9983333522947376E+16</c:v>
                </c:pt>
                <c:pt idx="3">
                  <c:v>4.8303790768154328E+16</c:v>
                </c:pt>
                <c:pt idx="4">
                  <c:v>4.978428999880452E+16</c:v>
                </c:pt>
                <c:pt idx="5">
                  <c:v>4.8848452901848784E+16</c:v>
                </c:pt>
                <c:pt idx="6">
                  <c:v>4.7265631728713304E+16</c:v>
                </c:pt>
                <c:pt idx="7">
                  <c:v>4.5595129708619656E+16</c:v>
                </c:pt>
                <c:pt idx="8">
                  <c:v>4.3904547715014616E+16</c:v>
                </c:pt>
                <c:pt idx="9">
                  <c:v>4.22412476009084E+16</c:v>
                </c:pt>
                <c:pt idx="10">
                  <c:v>4.0578038034824072E+16</c:v>
                </c:pt>
                <c:pt idx="11">
                  <c:v>3.8949920999238816E+16</c:v>
                </c:pt>
                <c:pt idx="12">
                  <c:v>3.7346798737151248E+16</c:v>
                </c:pt>
                <c:pt idx="13">
                  <c:v>3.5799523398595784E+16</c:v>
                </c:pt>
                <c:pt idx="14">
                  <c:v>3.4270183729745144E+16</c:v>
                </c:pt>
                <c:pt idx="15">
                  <c:v>3.2785024319908708E+16</c:v>
                </c:pt>
                <c:pt idx="16">
                  <c:v>3.1353819678248608E+16</c:v>
                </c:pt>
                <c:pt idx="17">
                  <c:v>2.9951162123170452E+16</c:v>
                </c:pt>
                <c:pt idx="18">
                  <c:v>2.859668229850362E+16</c:v>
                </c:pt>
                <c:pt idx="19">
                  <c:v>2.7288106508742124E+16</c:v>
                </c:pt>
                <c:pt idx="20">
                  <c:v>2.602375424995852E+16</c:v>
                </c:pt>
                <c:pt idx="21">
                  <c:v>2.4810294534225824E+16</c:v>
                </c:pt>
                <c:pt idx="22">
                  <c:v>2.3645407904859468E+16</c:v>
                </c:pt>
                <c:pt idx="23">
                  <c:v>2.2523538963829184E+16</c:v>
                </c:pt>
                <c:pt idx="24">
                  <c:v>2.1440488506264488E+16</c:v>
                </c:pt>
                <c:pt idx="25">
                  <c:v>2.0405563891702044E+16</c:v>
                </c:pt>
                <c:pt idx="26">
                  <c:v>1.9414330238962484E+16</c:v>
                </c:pt>
                <c:pt idx="27">
                  <c:v>1.8457711652346628E+16</c:v>
                </c:pt>
                <c:pt idx="28">
                  <c:v>1.7543916381510536E+16</c:v>
                </c:pt>
                <c:pt idx="29">
                  <c:v>1.667693808959881E+16</c:v>
                </c:pt>
                <c:pt idx="30">
                  <c:v>1.5847386336253686E+16</c:v>
                </c:pt>
                <c:pt idx="31">
                  <c:v>1.5062425468484474E+16</c:v>
                </c:pt>
                <c:pt idx="32">
                  <c:v>1.4305818398829076E+16</c:v>
                </c:pt>
                <c:pt idx="33">
                  <c:v>1.358079892457761E+16</c:v>
                </c:pt>
                <c:pt idx="34">
                  <c:v>1.2897324722797848E+16</c:v>
                </c:pt>
                <c:pt idx="35">
                  <c:v>1.223594015955801E+16</c:v>
                </c:pt>
                <c:pt idx="36">
                  <c:v>1.1610877088217688E+16</c:v>
                </c:pt>
                <c:pt idx="37">
                  <c:v>1.1009394140573052E+16</c:v>
                </c:pt>
                <c:pt idx="38">
                  <c:v>1.0441341915508908E+16</c:v>
                </c:pt>
                <c:pt idx="39">
                  <c:v>9904785992818954</c:v>
                </c:pt>
                <c:pt idx="40">
                  <c:v>9386443760853172</c:v>
                </c:pt>
                <c:pt idx="41">
                  <c:v>8903634314580153</c:v>
                </c:pt>
                <c:pt idx="42">
                  <c:v>8443017694494646</c:v>
                </c:pt>
                <c:pt idx="43">
                  <c:v>8000606098463788</c:v>
                </c:pt>
                <c:pt idx="44">
                  <c:v>7579875194515166</c:v>
                </c:pt>
                <c:pt idx="45">
                  <c:v>7183975770453735</c:v>
                </c:pt>
                <c:pt idx="46">
                  <c:v>6800167466337743</c:v>
                </c:pt>
                <c:pt idx="47">
                  <c:v>6437236281994747</c:v>
                </c:pt>
                <c:pt idx="48">
                  <c:v>6102060637760983</c:v>
                </c:pt>
                <c:pt idx="49">
                  <c:v>5775336019201811</c:v>
                </c:pt>
                <c:pt idx="50">
                  <c:v>5465674703035210</c:v>
                </c:pt>
                <c:pt idx="51">
                  <c:v>5171877778568025</c:v>
                </c:pt>
                <c:pt idx="52">
                  <c:v>4889553684762652</c:v>
                </c:pt>
                <c:pt idx="53">
                  <c:v>4623383928154967</c:v>
                </c:pt>
                <c:pt idx="54">
                  <c:v>4377830837194181.5</c:v>
                </c:pt>
                <c:pt idx="55">
                  <c:v>4137414476996776.5</c:v>
                </c:pt>
                <c:pt idx="56">
                  <c:v>3916998361465969</c:v>
                </c:pt>
                <c:pt idx="57">
                  <c:v>3698054164376987</c:v>
                </c:pt>
                <c:pt idx="58">
                  <c:v>3496415952727541</c:v>
                </c:pt>
                <c:pt idx="59">
                  <c:v>3298518237212154.5</c:v>
                </c:pt>
                <c:pt idx="60">
                  <c:v>3114761431551285.5</c:v>
                </c:pt>
                <c:pt idx="61">
                  <c:v>2945319345722362.5</c:v>
                </c:pt>
                <c:pt idx="62">
                  <c:v>2777142920622373</c:v>
                </c:pt>
                <c:pt idx="63">
                  <c:v>2615431369826877.5</c:v>
                </c:pt>
                <c:pt idx="64">
                  <c:v>2472437113723352</c:v>
                </c:pt>
                <c:pt idx="65">
                  <c:v>2330447847275919</c:v>
                </c:pt>
                <c:pt idx="66">
                  <c:v>2197651613653920.5</c:v>
                </c:pt>
                <c:pt idx="67">
                  <c:v>2076419712466809.5</c:v>
                </c:pt>
                <c:pt idx="68">
                  <c:v>1962830659580514.2</c:v>
                </c:pt>
                <c:pt idx="69">
                  <c:v>1846385474009900</c:v>
                </c:pt>
                <c:pt idx="70">
                  <c:v>1741227767304131.7</c:v>
                </c:pt>
                <c:pt idx="71">
                  <c:v>1638695924009150.5</c:v>
                </c:pt>
                <c:pt idx="72">
                  <c:v>1540848336177075.5</c:v>
                </c:pt>
                <c:pt idx="73">
                  <c:v>1455114378077406.7</c:v>
                </c:pt>
                <c:pt idx="74">
                  <c:v>1371928542823451.7</c:v>
                </c:pt>
                <c:pt idx="75">
                  <c:v>1290572251965890.2</c:v>
                </c:pt>
                <c:pt idx="76">
                  <c:v>1213757129986574.2</c:v>
                </c:pt>
                <c:pt idx="77">
                  <c:v>1141451815465614.2</c:v>
                </c:pt>
                <c:pt idx="78">
                  <c:v>1075768369140691.5</c:v>
                </c:pt>
                <c:pt idx="79">
                  <c:v>1006367561259574.7</c:v>
                </c:pt>
                <c:pt idx="80">
                  <c:v>947807357109094.12</c:v>
                </c:pt>
                <c:pt idx="81">
                  <c:v>887206655378532.12</c:v>
                </c:pt>
                <c:pt idx="82">
                  <c:v>835402945142558.62</c:v>
                </c:pt>
                <c:pt idx="83">
                  <c:v>785776325888304.5</c:v>
                </c:pt>
                <c:pt idx="84">
                  <c:v>733167687679555.37</c:v>
                </c:pt>
                <c:pt idx="85">
                  <c:v>688874460388623.87</c:v>
                </c:pt>
                <c:pt idx="86">
                  <c:v>641411034986734.62</c:v>
                </c:pt>
                <c:pt idx="87">
                  <c:v>603593529328123.37</c:v>
                </c:pt>
                <c:pt idx="88">
                  <c:v>570140453216093</c:v>
                </c:pt>
                <c:pt idx="89">
                  <c:v>533136458744200.06</c:v>
                </c:pt>
                <c:pt idx="90">
                  <c:v>496293115606997.44</c:v>
                </c:pt>
                <c:pt idx="91">
                  <c:v>467253742445672.44</c:v>
                </c:pt>
                <c:pt idx="92">
                  <c:v>439347517676295.25</c:v>
                </c:pt>
                <c:pt idx="93">
                  <c:v>411833784702084.75</c:v>
                </c:pt>
                <c:pt idx="94">
                  <c:v>377643628820486.75</c:v>
                </c:pt>
                <c:pt idx="95">
                  <c:v>355155817882732.44</c:v>
                </c:pt>
                <c:pt idx="96">
                  <c:v>336920444982045.25</c:v>
                </c:pt>
                <c:pt idx="97">
                  <c:v>311581353720752.69</c:v>
                </c:pt>
                <c:pt idx="98">
                  <c:v>296193349544969.25</c:v>
                </c:pt>
                <c:pt idx="99">
                  <c:v>274809630613249.25</c:v>
                </c:pt>
                <c:pt idx="100">
                  <c:v>254665774167296.72</c:v>
                </c:pt>
                <c:pt idx="101">
                  <c:v>244080158908837.81</c:v>
                </c:pt>
                <c:pt idx="102">
                  <c:v>228790147089697.81</c:v>
                </c:pt>
                <c:pt idx="103">
                  <c:v>213447978055886.12</c:v>
                </c:pt>
                <c:pt idx="104">
                  <c:v>199947577034517.16</c:v>
                </c:pt>
                <c:pt idx="105">
                  <c:v>184379829933714.47</c:v>
                </c:pt>
                <c:pt idx="106">
                  <c:v>169980456085728.78</c:v>
                </c:pt>
                <c:pt idx="107">
                  <c:v>162053756314864.69</c:v>
                </c:pt>
                <c:pt idx="108">
                  <c:v>152238996045119.91</c:v>
                </c:pt>
                <c:pt idx="109">
                  <c:v>148704693806554.5</c:v>
                </c:pt>
                <c:pt idx="110">
                  <c:v>128790693540738.08</c:v>
                </c:pt>
                <c:pt idx="111">
                  <c:v>124773142860493.75</c:v>
                </c:pt>
                <c:pt idx="112">
                  <c:v>115828872205033.47</c:v>
                </c:pt>
                <c:pt idx="113">
                  <c:v>111875236364281.09</c:v>
                </c:pt>
                <c:pt idx="114">
                  <c:v>101296154351764.78</c:v>
                </c:pt>
                <c:pt idx="115">
                  <c:v>98075172930776.625</c:v>
                </c:pt>
                <c:pt idx="116">
                  <c:v>93153519650614.625</c:v>
                </c:pt>
                <c:pt idx="117">
                  <c:v>83193263785928.828</c:v>
                </c:pt>
                <c:pt idx="118">
                  <c:v>82828942301137.984</c:v>
                </c:pt>
                <c:pt idx="119">
                  <c:v>71904443143391.687</c:v>
                </c:pt>
                <c:pt idx="120">
                  <c:v>67294365955901.836</c:v>
                </c:pt>
                <c:pt idx="121">
                  <c:v>64080289143476.102</c:v>
                </c:pt>
                <c:pt idx="122">
                  <c:v>63473922201533.992</c:v>
                </c:pt>
                <c:pt idx="123">
                  <c:v>61715697534738.594</c:v>
                </c:pt>
                <c:pt idx="124">
                  <c:v>57714982833505.539</c:v>
                </c:pt>
              </c:numCache>
            </c:numRef>
          </c:xVal>
          <c:yVal>
            <c:numRef>
              <c:f>Plots!$G$3:$G$127</c:f>
              <c:numCache>
                <c:formatCode>General</c:formatCode>
                <c:ptCount val="125"/>
                <c:pt idx="0">
                  <c:v>0</c:v>
                </c:pt>
                <c:pt idx="1">
                  <c:v>0</c:v>
                </c:pt>
                <c:pt idx="2">
                  <c:v>1.1662262376148811E-4</c:v>
                </c:pt>
                <c:pt idx="3">
                  <c:v>1.1001177631509489E-4</c:v>
                </c:pt>
                <c:pt idx="4">
                  <c:v>1.0246711349191779E-4</c:v>
                </c:pt>
                <c:pt idx="5">
                  <c:v>9.8969021826241519E-5</c:v>
                </c:pt>
                <c:pt idx="6">
                  <c:v>9.9433411623540369E-5</c:v>
                </c:pt>
                <c:pt idx="7">
                  <c:v>1.014658271968991E-4</c:v>
                </c:pt>
                <c:pt idx="8">
                  <c:v>1.0372406121951021E-4</c:v>
                </c:pt>
                <c:pt idx="9">
                  <c:v>1.0579846124840313E-4</c:v>
                </c:pt>
                <c:pt idx="10">
                  <c:v>1.0780074740044334E-4</c:v>
                </c:pt>
                <c:pt idx="11">
                  <c:v>1.0966440079138605E-4</c:v>
                </c:pt>
                <c:pt idx="12">
                  <c:v>1.1146816269600495E-4</c:v>
                </c:pt>
                <c:pt idx="13">
                  <c:v>1.1321416504012611E-4</c:v>
                </c:pt>
                <c:pt idx="14">
                  <c:v>1.1481722906932569E-4</c:v>
                </c:pt>
                <c:pt idx="15">
                  <c:v>1.1633186354419367E-4</c:v>
                </c:pt>
                <c:pt idx="16">
                  <c:v>1.1782056368197208E-4</c:v>
                </c:pt>
                <c:pt idx="17">
                  <c:v>1.1916074965324182E-4</c:v>
                </c:pt>
                <c:pt idx="18">
                  <c:v>1.2044170981580724E-4</c:v>
                </c:pt>
                <c:pt idx="19">
                  <c:v>1.216829216743749E-4</c:v>
                </c:pt>
                <c:pt idx="20">
                  <c:v>1.22776916686102E-4</c:v>
                </c:pt>
                <c:pt idx="21">
                  <c:v>1.2383678672315553E-4</c:v>
                </c:pt>
                <c:pt idx="22">
                  <c:v>1.2477927750158667E-4</c:v>
                </c:pt>
                <c:pt idx="23">
                  <c:v>1.2567892965640004E-4</c:v>
                </c:pt>
                <c:pt idx="24">
                  <c:v>1.2644804562520693E-4</c:v>
                </c:pt>
                <c:pt idx="25">
                  <c:v>1.2714834460990051E-4</c:v>
                </c:pt>
                <c:pt idx="26">
                  <c:v>1.2777629170208617E-4</c:v>
                </c:pt>
                <c:pt idx="27">
                  <c:v>1.2826948611577711E-4</c:v>
                </c:pt>
                <c:pt idx="28">
                  <c:v>1.288283473650546E-4</c:v>
                </c:pt>
                <c:pt idx="29">
                  <c:v>1.2942309624421221E-4</c:v>
                </c:pt>
                <c:pt idx="30">
                  <c:v>1.2976000385646767E-4</c:v>
                </c:pt>
                <c:pt idx="31">
                  <c:v>1.3008783760456262E-4</c:v>
                </c:pt>
                <c:pt idx="32">
                  <c:v>1.3028733607116109E-4</c:v>
                </c:pt>
                <c:pt idx="33">
                  <c:v>1.3036476901032328E-4</c:v>
                </c:pt>
                <c:pt idx="34">
                  <c:v>1.3043896748950623E-4</c:v>
                </c:pt>
                <c:pt idx="35">
                  <c:v>1.3039936436833207E-4</c:v>
                </c:pt>
                <c:pt idx="36">
                  <c:v>1.3032090915979057E-4</c:v>
                </c:pt>
                <c:pt idx="37">
                  <c:v>1.3013339610109658E-4</c:v>
                </c:pt>
                <c:pt idx="38">
                  <c:v>1.2991104108767175E-4</c:v>
                </c:pt>
                <c:pt idx="39">
                  <c:v>1.2981755419274823E-4</c:v>
                </c:pt>
                <c:pt idx="40">
                  <c:v>1.2953099067103199E-4</c:v>
                </c:pt>
                <c:pt idx="41">
                  <c:v>1.2930825056013014E-4</c:v>
                </c:pt>
                <c:pt idx="42">
                  <c:v>1.2901833072825249E-4</c:v>
                </c:pt>
                <c:pt idx="43">
                  <c:v>1.2855349933566784E-4</c:v>
                </c:pt>
                <c:pt idx="44">
                  <c:v>1.279892706817052E-4</c:v>
                </c:pt>
                <c:pt idx="45">
                  <c:v>1.2755738331934299E-4</c:v>
                </c:pt>
                <c:pt idx="46">
                  <c:v>1.2686895738572894E-4</c:v>
                </c:pt>
                <c:pt idx="47">
                  <c:v>1.2627006063144661E-4</c:v>
                </c:pt>
                <c:pt idx="48">
                  <c:v>1.2587705468256004E-4</c:v>
                </c:pt>
                <c:pt idx="49">
                  <c:v>1.252023201216602E-4</c:v>
                </c:pt>
                <c:pt idx="50">
                  <c:v>1.2441181533022795E-4</c:v>
                </c:pt>
                <c:pt idx="51">
                  <c:v>1.2359569413608135E-4</c:v>
                </c:pt>
                <c:pt idx="52">
                  <c:v>1.2276245934856033E-4</c:v>
                </c:pt>
                <c:pt idx="53">
                  <c:v>1.2193406263662102E-4</c:v>
                </c:pt>
                <c:pt idx="54">
                  <c:v>1.2138781939526008E-4</c:v>
                </c:pt>
                <c:pt idx="55">
                  <c:v>1.2034602349127203E-4</c:v>
                </c:pt>
                <c:pt idx="56">
                  <c:v>1.1966454153146009E-4</c:v>
                </c:pt>
                <c:pt idx="57">
                  <c:v>1.1849089248310242E-4</c:v>
                </c:pt>
                <c:pt idx="58">
                  <c:v>1.175991265880611E-4</c:v>
                </c:pt>
                <c:pt idx="59">
                  <c:v>1.1672542422939181E-4</c:v>
                </c:pt>
                <c:pt idx="60">
                  <c:v>1.1574920206168015E-4</c:v>
                </c:pt>
                <c:pt idx="61">
                  <c:v>1.1485079960851951E-4</c:v>
                </c:pt>
                <c:pt idx="62">
                  <c:v>1.1396459604596287E-4</c:v>
                </c:pt>
                <c:pt idx="63">
                  <c:v>1.1265566506894757E-4</c:v>
                </c:pt>
                <c:pt idx="64">
                  <c:v>1.1180426550688254E-4</c:v>
                </c:pt>
                <c:pt idx="65">
                  <c:v>1.1062546261402096E-4</c:v>
                </c:pt>
                <c:pt idx="66">
                  <c:v>1.0956836279447271E-4</c:v>
                </c:pt>
                <c:pt idx="67">
                  <c:v>1.0867107064108298E-4</c:v>
                </c:pt>
                <c:pt idx="68">
                  <c:v>1.0788552906221227E-4</c:v>
                </c:pt>
                <c:pt idx="69">
                  <c:v>1.064737669286908E-4</c:v>
                </c:pt>
                <c:pt idx="70">
                  <c:v>1.0531144436527217E-4</c:v>
                </c:pt>
                <c:pt idx="71">
                  <c:v>1.0400774096018006E-4</c:v>
                </c:pt>
                <c:pt idx="72">
                  <c:v>1.0277284336590048E-4</c:v>
                </c:pt>
                <c:pt idx="73">
                  <c:v>1.0191477080208218E-4</c:v>
                </c:pt>
                <c:pt idx="74">
                  <c:v>1.0091135053455525E-4</c:v>
                </c:pt>
                <c:pt idx="75">
                  <c:v>9.9424076311294064E-5</c:v>
                </c:pt>
                <c:pt idx="76">
                  <c:v>9.8280574742701173E-5</c:v>
                </c:pt>
                <c:pt idx="77">
                  <c:v>9.7127996449301754E-5</c:v>
                </c:pt>
                <c:pt idx="78">
                  <c:v>9.6076867110930658E-5</c:v>
                </c:pt>
                <c:pt idx="79">
                  <c:v>9.4467202609565412E-5</c:v>
                </c:pt>
                <c:pt idx="80">
                  <c:v>9.3667092631819759E-5</c:v>
                </c:pt>
                <c:pt idx="81">
                  <c:v>9.2241904085220506E-5</c:v>
                </c:pt>
                <c:pt idx="82">
                  <c:v>9.103826809268403E-5</c:v>
                </c:pt>
                <c:pt idx="83">
                  <c:v>8.9933068958946905E-5</c:v>
                </c:pt>
                <c:pt idx="84">
                  <c:v>8.820373846323736E-5</c:v>
                </c:pt>
                <c:pt idx="85">
                  <c:v>8.6976220845801135E-5</c:v>
                </c:pt>
                <c:pt idx="86">
                  <c:v>8.5354713709054987E-5</c:v>
                </c:pt>
                <c:pt idx="87">
                  <c:v>8.4684073646244936E-5</c:v>
                </c:pt>
                <c:pt idx="88">
                  <c:v>8.4002772702813436E-5</c:v>
                </c:pt>
                <c:pt idx="89">
                  <c:v>8.2627738849708337E-5</c:v>
                </c:pt>
                <c:pt idx="90">
                  <c:v>8.0912465898767225E-5</c:v>
                </c:pt>
                <c:pt idx="91">
                  <c:v>8.0234934290657824E-5</c:v>
                </c:pt>
                <c:pt idx="92">
                  <c:v>7.9337991916864553E-5</c:v>
                </c:pt>
                <c:pt idx="93">
                  <c:v>7.8253970908548869E-5</c:v>
                </c:pt>
                <c:pt idx="94">
                  <c:v>7.5418611361755344E-5</c:v>
                </c:pt>
                <c:pt idx="95">
                  <c:v>7.5199192707299536E-5</c:v>
                </c:pt>
                <c:pt idx="96">
                  <c:v>7.5540241254382139E-5</c:v>
                </c:pt>
                <c:pt idx="97">
                  <c:v>7.3573328050899632E-5</c:v>
                </c:pt>
                <c:pt idx="98">
                  <c:v>7.3805585631400161E-5</c:v>
                </c:pt>
                <c:pt idx="99">
                  <c:v>7.2099600058080849E-5</c:v>
                </c:pt>
                <c:pt idx="100">
                  <c:v>7.0692634287818158E-5</c:v>
                </c:pt>
                <c:pt idx="101">
                  <c:v>7.1938470878773176E-5</c:v>
                </c:pt>
                <c:pt idx="102">
                  <c:v>7.1312337232492295E-5</c:v>
                </c:pt>
                <c:pt idx="103">
                  <c:v>6.9361704177797834E-5</c:v>
                </c:pt>
                <c:pt idx="104">
                  <c:v>6.8973975985652883E-5</c:v>
                </c:pt>
                <c:pt idx="105">
                  <c:v>6.7053537514979856E-5</c:v>
                </c:pt>
                <c:pt idx="106">
                  <c:v>6.6048248751790422E-5</c:v>
                </c:pt>
                <c:pt idx="107">
                  <c:v>6.7162402430376571E-5</c:v>
                </c:pt>
                <c:pt idx="108">
                  <c:v>6.6349403011986194E-5</c:v>
                </c:pt>
                <c:pt idx="109">
                  <c:v>6.8819510077505495E-5</c:v>
                </c:pt>
                <c:pt idx="110">
                  <c:v>6.3228873293014521E-5</c:v>
                </c:pt>
                <c:pt idx="111">
                  <c:v>6.5554599689459511E-5</c:v>
                </c:pt>
                <c:pt idx="112">
                  <c:v>6.5300733051533485E-5</c:v>
                </c:pt>
                <c:pt idx="113">
                  <c:v>6.6210209308925028E-5</c:v>
                </c:pt>
                <c:pt idx="114">
                  <c:v>6.480851393140921E-5</c:v>
                </c:pt>
                <c:pt idx="115">
                  <c:v>6.6243124952294831E-5</c:v>
                </c:pt>
                <c:pt idx="116">
                  <c:v>6.7140159883139359E-5</c:v>
                </c:pt>
                <c:pt idx="117">
                  <c:v>6.2481927535322284E-5</c:v>
                </c:pt>
                <c:pt idx="118">
                  <c:v>6.6679213742347175E-5</c:v>
                </c:pt>
                <c:pt idx="119">
                  <c:v>6.1743713475769399E-5</c:v>
                </c:pt>
                <c:pt idx="120">
                  <c:v>6.1753433036687078E-5</c:v>
                </c:pt>
                <c:pt idx="121">
                  <c:v>6.4296252509850834E-5</c:v>
                </c:pt>
                <c:pt idx="122">
                  <c:v>6.8461068938364952E-5</c:v>
                </c:pt>
                <c:pt idx="123">
                  <c:v>0</c:v>
                </c:pt>
                <c:pt idx="124">
                  <c:v>0</c:v>
                </c:pt>
              </c:numCache>
            </c:numRef>
          </c:yVal>
          <c:smooth val="0"/>
        </c:ser>
        <c:ser>
          <c:idx val="4"/>
          <c:order val="4"/>
          <c:tx>
            <c:strRef>
              <c:f>Plots!$H$1</c:f>
              <c:strCache>
                <c:ptCount val="1"/>
                <c:pt idx="0">
                  <c:v>160</c:v>
                </c:pt>
              </c:strCache>
            </c:strRef>
          </c:tx>
          <c:spPr>
            <a:ln w="28575">
              <a:noFill/>
            </a:ln>
          </c:spPr>
          <c:marker>
            <c:symbol val="diamond"/>
            <c:size val="7"/>
            <c:spPr>
              <a:solidFill>
                <a:schemeClr val="accent6">
                  <a:lumMod val="75000"/>
                </a:schemeClr>
              </a:solidFill>
              <a:ln>
                <a:noFill/>
              </a:ln>
            </c:spPr>
          </c:marker>
          <c:xVal>
            <c:numRef>
              <c:f>Plots!$H$3:$H$127</c:f>
              <c:numCache>
                <c:formatCode>General</c:formatCode>
                <c:ptCount val="125"/>
                <c:pt idx="0">
                  <c:v>2295468155143516.5</c:v>
                </c:pt>
                <c:pt idx="1">
                  <c:v>2.2956688616278628E+16</c:v>
                </c:pt>
                <c:pt idx="2">
                  <c:v>3.9429211934474072E+16</c:v>
                </c:pt>
                <c:pt idx="3">
                  <c:v>4.6931154857537408E+16</c:v>
                </c:pt>
                <c:pt idx="4">
                  <c:v>4.8369762143978232E+16</c:v>
                </c:pt>
                <c:pt idx="5">
                  <c:v>4.7444486584262528E+16</c:v>
                </c:pt>
                <c:pt idx="6">
                  <c:v>4.5922820282246632E+16</c:v>
                </c:pt>
                <c:pt idx="7">
                  <c:v>4.4282226773476344E+16</c:v>
                </c:pt>
                <c:pt idx="8">
                  <c:v>4.2605834644268584E+16</c:v>
                </c:pt>
                <c:pt idx="9">
                  <c:v>4.09419767621046E+16</c:v>
                </c:pt>
                <c:pt idx="10">
                  <c:v>3.9304205269420384E+16</c:v>
                </c:pt>
                <c:pt idx="11">
                  <c:v>3.7685689197192432E+16</c:v>
                </c:pt>
                <c:pt idx="12">
                  <c:v>3.6099267904791928E+16</c:v>
                </c:pt>
                <c:pt idx="13">
                  <c:v>3.4554176140008932E+16</c:v>
                </c:pt>
                <c:pt idx="14">
                  <c:v>3.305202991111208E+16</c:v>
                </c:pt>
                <c:pt idx="15">
                  <c:v>3.1595393814813532E+16</c:v>
                </c:pt>
                <c:pt idx="16">
                  <c:v>3.018550073599542E+16</c:v>
                </c:pt>
                <c:pt idx="17">
                  <c:v>2.8812326578367664E+16</c:v>
                </c:pt>
                <c:pt idx="18">
                  <c:v>2.748504080295568E+16</c:v>
                </c:pt>
                <c:pt idx="19">
                  <c:v>2.6205437798634908E+16</c:v>
                </c:pt>
                <c:pt idx="20">
                  <c:v>2.497620634181826E+16</c:v>
                </c:pt>
                <c:pt idx="21">
                  <c:v>2.3787895632083952E+16</c:v>
                </c:pt>
                <c:pt idx="22">
                  <c:v>2.26502357161661E+16</c:v>
                </c:pt>
                <c:pt idx="23">
                  <c:v>2.1558076348020468E+16</c:v>
                </c:pt>
                <c:pt idx="24">
                  <c:v>2.0502367425995092E+16</c:v>
                </c:pt>
                <c:pt idx="25">
                  <c:v>1.9506393479740868E+16</c:v>
                </c:pt>
                <c:pt idx="26">
                  <c:v>1.8547413745069308E+16</c:v>
                </c:pt>
                <c:pt idx="27">
                  <c:v>1.7622217012279318E+16</c:v>
                </c:pt>
                <c:pt idx="28">
                  <c:v>1.673787591381324E+16</c:v>
                </c:pt>
                <c:pt idx="29">
                  <c:v>1.5901662722765548E+16</c:v>
                </c:pt>
                <c:pt idx="30">
                  <c:v>1.5099262651278192E+16</c:v>
                </c:pt>
                <c:pt idx="31">
                  <c:v>1.434363696230339E+16</c:v>
                </c:pt>
                <c:pt idx="32">
                  <c:v>1.3607680152058888E+16</c:v>
                </c:pt>
                <c:pt idx="33">
                  <c:v>1.2914149241889726E+16</c:v>
                </c:pt>
                <c:pt idx="34">
                  <c:v>1.2250785067243874E+16</c:v>
                </c:pt>
                <c:pt idx="35">
                  <c:v>1.1616712631766156E+16</c:v>
                </c:pt>
                <c:pt idx="36">
                  <c:v>1.1019067533397112E+16</c:v>
                </c:pt>
                <c:pt idx="37">
                  <c:v>1.044058535420965E+16</c:v>
                </c:pt>
                <c:pt idx="38">
                  <c:v>9903510503286738</c:v>
                </c:pt>
                <c:pt idx="39">
                  <c:v>9383153407774648</c:v>
                </c:pt>
                <c:pt idx="40">
                  <c:v>8888977301975567</c:v>
                </c:pt>
                <c:pt idx="41">
                  <c:v>8420691044651713</c:v>
                </c:pt>
                <c:pt idx="42">
                  <c:v>7977962537577482</c:v>
                </c:pt>
                <c:pt idx="43">
                  <c:v>7555155177446669</c:v>
                </c:pt>
                <c:pt idx="44">
                  <c:v>7154754432801304</c:v>
                </c:pt>
                <c:pt idx="45">
                  <c:v>6771586296382937</c:v>
                </c:pt>
                <c:pt idx="46">
                  <c:v>6408349172268609</c:v>
                </c:pt>
                <c:pt idx="47">
                  <c:v>6070028700195087</c:v>
                </c:pt>
                <c:pt idx="48">
                  <c:v>5737896179176974</c:v>
                </c:pt>
                <c:pt idx="49">
                  <c:v>5431360942819016</c:v>
                </c:pt>
                <c:pt idx="50">
                  <c:v>5143264924751731</c:v>
                </c:pt>
                <c:pt idx="51">
                  <c:v>4865665580848518</c:v>
                </c:pt>
                <c:pt idx="52">
                  <c:v>4600609046829616</c:v>
                </c:pt>
                <c:pt idx="53">
                  <c:v>4347129512626454</c:v>
                </c:pt>
                <c:pt idx="54">
                  <c:v>4109113941537083.5</c:v>
                </c:pt>
                <c:pt idx="55">
                  <c:v>3885253467726710.5</c:v>
                </c:pt>
                <c:pt idx="56">
                  <c:v>3670260599047443</c:v>
                </c:pt>
                <c:pt idx="57">
                  <c:v>3466004787537579.5</c:v>
                </c:pt>
                <c:pt idx="58">
                  <c:v>3278179783710854</c:v>
                </c:pt>
                <c:pt idx="59">
                  <c:v>3092581065639720</c:v>
                </c:pt>
                <c:pt idx="60">
                  <c:v>2922536900492568.5</c:v>
                </c:pt>
                <c:pt idx="61">
                  <c:v>2754298549520938</c:v>
                </c:pt>
                <c:pt idx="62">
                  <c:v>2599339346290569.5</c:v>
                </c:pt>
                <c:pt idx="63">
                  <c:v>2447591225610275</c:v>
                </c:pt>
                <c:pt idx="64">
                  <c:v>2313619475634201.5</c:v>
                </c:pt>
                <c:pt idx="65">
                  <c:v>2184034918269370.7</c:v>
                </c:pt>
                <c:pt idx="66">
                  <c:v>2062348967739375.5</c:v>
                </c:pt>
                <c:pt idx="67">
                  <c:v>1948797842120483.2</c:v>
                </c:pt>
                <c:pt idx="68">
                  <c:v>1834705201951156</c:v>
                </c:pt>
                <c:pt idx="69">
                  <c:v>1731567276085193.7</c:v>
                </c:pt>
                <c:pt idx="70">
                  <c:v>1628448219617592.5</c:v>
                </c:pt>
                <c:pt idx="71">
                  <c:v>1535284156825297.5</c:v>
                </c:pt>
                <c:pt idx="72">
                  <c:v>1445611911449312.7</c:v>
                </c:pt>
                <c:pt idx="73">
                  <c:v>1359303750656123.2</c:v>
                </c:pt>
                <c:pt idx="74">
                  <c:v>1280366486416677.2</c:v>
                </c:pt>
                <c:pt idx="75">
                  <c:v>1200241178502924.5</c:v>
                </c:pt>
                <c:pt idx="76">
                  <c:v>1131939020969148</c:v>
                </c:pt>
                <c:pt idx="77">
                  <c:v>1062070692668496</c:v>
                </c:pt>
                <c:pt idx="78">
                  <c:v>997806573588992.62</c:v>
                </c:pt>
                <c:pt idx="79">
                  <c:v>943712493977464.5</c:v>
                </c:pt>
                <c:pt idx="80">
                  <c:v>885046379709061.87</c:v>
                </c:pt>
                <c:pt idx="81">
                  <c:v>828248514150924.5</c:v>
                </c:pt>
                <c:pt idx="82">
                  <c:v>777942665240699.25</c:v>
                </c:pt>
                <c:pt idx="83">
                  <c:v>728294480321691.62</c:v>
                </c:pt>
                <c:pt idx="84">
                  <c:v>685933079264176.75</c:v>
                </c:pt>
                <c:pt idx="85">
                  <c:v>643799154814646.62</c:v>
                </c:pt>
                <c:pt idx="86">
                  <c:v>603603795319945.75</c:v>
                </c:pt>
                <c:pt idx="87">
                  <c:v>565400785209994.62</c:v>
                </c:pt>
                <c:pt idx="88">
                  <c:v>529362121891817.75</c:v>
                </c:pt>
                <c:pt idx="89">
                  <c:v>494185387584972.06</c:v>
                </c:pt>
                <c:pt idx="90">
                  <c:v>461871292714314.37</c:v>
                </c:pt>
                <c:pt idx="91">
                  <c:v>435172574369301.44</c:v>
                </c:pt>
                <c:pt idx="92">
                  <c:v>407263513386167.87</c:v>
                </c:pt>
                <c:pt idx="93">
                  <c:v>380434840798052.19</c:v>
                </c:pt>
                <c:pt idx="94">
                  <c:v>350934835359371.19</c:v>
                </c:pt>
                <c:pt idx="95">
                  <c:v>337806350127828.37</c:v>
                </c:pt>
                <c:pt idx="96">
                  <c:v>318067397568655.62</c:v>
                </c:pt>
                <c:pt idx="97">
                  <c:v>292374386614645.56</c:v>
                </c:pt>
                <c:pt idx="98">
                  <c:v>282548778531366</c:v>
                </c:pt>
                <c:pt idx="99">
                  <c:v>260571512456065.34</c:v>
                </c:pt>
                <c:pt idx="100">
                  <c:v>238554515445011.09</c:v>
                </c:pt>
                <c:pt idx="101">
                  <c:v>226764662163230.78</c:v>
                </c:pt>
                <c:pt idx="102">
                  <c:v>207052569728725.16</c:v>
                </c:pt>
                <c:pt idx="103">
                  <c:v>200289818347785.53</c:v>
                </c:pt>
                <c:pt idx="104">
                  <c:v>189394863999174.66</c:v>
                </c:pt>
                <c:pt idx="105">
                  <c:v>177571601055447.25</c:v>
                </c:pt>
                <c:pt idx="106">
                  <c:v>164942089058725.37</c:v>
                </c:pt>
                <c:pt idx="107">
                  <c:v>148016670053408.16</c:v>
                </c:pt>
                <c:pt idx="108">
                  <c:v>142320114520043.62</c:v>
                </c:pt>
                <c:pt idx="109">
                  <c:v>133429223175517.61</c:v>
                </c:pt>
                <c:pt idx="110">
                  <c:v>124542532588010.72</c:v>
                </c:pt>
                <c:pt idx="111">
                  <c:v>120188190674729.14</c:v>
                </c:pt>
                <c:pt idx="112">
                  <c:v>113861664775144.06</c:v>
                </c:pt>
                <c:pt idx="113">
                  <c:v>105101153838795.81</c:v>
                </c:pt>
                <c:pt idx="114">
                  <c:v>105623235802505.84</c:v>
                </c:pt>
                <c:pt idx="115">
                  <c:v>95533648112965.484</c:v>
                </c:pt>
                <c:pt idx="116">
                  <c:v>84060146769427.219</c:v>
                </c:pt>
                <c:pt idx="117">
                  <c:v>80932545240135.719</c:v>
                </c:pt>
                <c:pt idx="118">
                  <c:v>76416039551673.516</c:v>
                </c:pt>
                <c:pt idx="119">
                  <c:v>74042498559501.781</c:v>
                </c:pt>
                <c:pt idx="120">
                  <c:v>68833864096753.32</c:v>
                </c:pt>
                <c:pt idx="121">
                  <c:v>61660765187091.664</c:v>
                </c:pt>
                <c:pt idx="122">
                  <c:v>62643964443850.281</c:v>
                </c:pt>
                <c:pt idx="123">
                  <c:v>55011949792600.672</c:v>
                </c:pt>
                <c:pt idx="124">
                  <c:v>53220236068412.102</c:v>
                </c:pt>
              </c:numCache>
            </c:numRef>
          </c:xVal>
          <c:yVal>
            <c:numRef>
              <c:f>Plots!$I$3:$I$127</c:f>
              <c:numCache>
                <c:formatCode>General</c:formatCode>
                <c:ptCount val="125"/>
                <c:pt idx="0">
                  <c:v>0</c:v>
                </c:pt>
                <c:pt idx="1">
                  <c:v>0</c:v>
                </c:pt>
                <c:pt idx="2">
                  <c:v>1.1346836603444646E-4</c:v>
                </c:pt>
                <c:pt idx="3">
                  <c:v>1.0673119608437997E-4</c:v>
                </c:pt>
                <c:pt idx="4">
                  <c:v>9.9983511424010571E-5</c:v>
                </c:pt>
                <c:pt idx="5">
                  <c:v>9.7013809892705161E-5</c:v>
                </c:pt>
                <c:pt idx="6">
                  <c:v>9.7545440837563748E-5</c:v>
                </c:pt>
                <c:pt idx="7">
                  <c:v>9.9468362593821034E-5</c:v>
                </c:pt>
                <c:pt idx="8">
                  <c:v>1.015565132623272E-4</c:v>
                </c:pt>
                <c:pt idx="9">
                  <c:v>1.0348901128716724E-4</c:v>
                </c:pt>
                <c:pt idx="10">
                  <c:v>1.0538794213601029E-4</c:v>
                </c:pt>
                <c:pt idx="11">
                  <c:v>1.0712725703334602E-4</c:v>
                </c:pt>
                <c:pt idx="12">
                  <c:v>1.0881997666018296E-4</c:v>
                </c:pt>
                <c:pt idx="13">
                  <c:v>1.1041131148179963E-4</c:v>
                </c:pt>
                <c:pt idx="14">
                  <c:v>1.119079197888504E-4</c:v>
                </c:pt>
                <c:pt idx="15">
                  <c:v>1.1330342284733284E-4</c:v>
                </c:pt>
                <c:pt idx="16">
                  <c:v>1.1463939728649298E-4</c:v>
                </c:pt>
                <c:pt idx="17">
                  <c:v>1.158622409912937E-4</c:v>
                </c:pt>
                <c:pt idx="18">
                  <c:v>1.1701372581014175E-4</c:v>
                </c:pt>
                <c:pt idx="19">
                  <c:v>1.1810355367871535E-4</c:v>
                </c:pt>
                <c:pt idx="20">
                  <c:v>1.1910543567136282E-4</c:v>
                </c:pt>
                <c:pt idx="21">
                  <c:v>1.199794300860759E-4</c:v>
                </c:pt>
                <c:pt idx="22">
                  <c:v>1.2078761903800615E-4</c:v>
                </c:pt>
                <c:pt idx="23">
                  <c:v>1.2154691224734954E-4</c:v>
                </c:pt>
                <c:pt idx="24">
                  <c:v>1.2219275036926726E-4</c:v>
                </c:pt>
                <c:pt idx="25">
                  <c:v>1.2281540984314165E-4</c:v>
                </c:pt>
                <c:pt idx="26">
                  <c:v>1.2332133436403206E-4</c:v>
                </c:pt>
                <c:pt idx="27">
                  <c:v>1.2368064881824363E-4</c:v>
                </c:pt>
                <c:pt idx="28">
                  <c:v>1.2414888656763666E-4</c:v>
                </c:pt>
                <c:pt idx="29">
                  <c:v>1.2460440432246733E-4</c:v>
                </c:pt>
                <c:pt idx="30">
                  <c:v>1.2481588764226974E-4</c:v>
                </c:pt>
                <c:pt idx="31">
                  <c:v>1.2506154003594621E-4</c:v>
                </c:pt>
                <c:pt idx="32">
                  <c:v>1.2509958210860434E-4</c:v>
                </c:pt>
                <c:pt idx="33">
                  <c:v>1.2511054070179801E-4</c:v>
                </c:pt>
                <c:pt idx="34">
                  <c:v>1.2505265714294407E-4</c:v>
                </c:pt>
                <c:pt idx="35">
                  <c:v>1.2490503312429313E-4</c:v>
                </c:pt>
                <c:pt idx="36">
                  <c:v>1.2482166894314833E-4</c:v>
                </c:pt>
                <c:pt idx="37">
                  <c:v>1.245074899467511E-4</c:v>
                </c:pt>
                <c:pt idx="38">
                  <c:v>1.243157781132761E-4</c:v>
                </c:pt>
                <c:pt idx="39">
                  <c:v>1.2409767980036296E-4</c:v>
                </c:pt>
                <c:pt idx="40">
                  <c:v>1.2374136158292557E-4</c:v>
                </c:pt>
                <c:pt idx="41">
                  <c:v>1.2331196884936868E-4</c:v>
                </c:pt>
                <c:pt idx="42">
                  <c:v>1.2294184808582685E-4</c:v>
                </c:pt>
                <c:pt idx="43">
                  <c:v>1.2245243436165019E-4</c:v>
                </c:pt>
                <c:pt idx="44">
                  <c:v>1.2194740375844473E-4</c:v>
                </c:pt>
                <c:pt idx="45">
                  <c:v>1.2130372920716254E-4</c:v>
                </c:pt>
                <c:pt idx="46">
                  <c:v>1.2064581421090667E-4</c:v>
                </c:pt>
                <c:pt idx="47">
                  <c:v>1.2016210650488261E-4</c:v>
                </c:pt>
                <c:pt idx="48">
                  <c:v>1.1933406970250598E-4</c:v>
                </c:pt>
                <c:pt idx="49">
                  <c:v>1.1873687333695295E-4</c:v>
                </c:pt>
                <c:pt idx="50">
                  <c:v>1.1813451576628171E-4</c:v>
                </c:pt>
                <c:pt idx="51">
                  <c:v>1.1734848339933662E-4</c:v>
                </c:pt>
                <c:pt idx="52">
                  <c:v>1.1646762069136309E-4</c:v>
                </c:pt>
                <c:pt idx="53">
                  <c:v>1.1561420069343947E-4</c:v>
                </c:pt>
                <c:pt idx="54">
                  <c:v>1.1475186983203062E-4</c:v>
                </c:pt>
                <c:pt idx="55">
                  <c:v>1.1391054242479151E-4</c:v>
                </c:pt>
                <c:pt idx="56">
                  <c:v>1.1300543542643927E-4</c:v>
                </c:pt>
                <c:pt idx="57">
                  <c:v>1.1199116132124192E-4</c:v>
                </c:pt>
                <c:pt idx="58">
                  <c:v>1.1124588272468688E-4</c:v>
                </c:pt>
                <c:pt idx="59">
                  <c:v>1.1023279164359024E-4</c:v>
                </c:pt>
                <c:pt idx="60">
                  <c:v>1.0924272106248482E-4</c:v>
                </c:pt>
                <c:pt idx="61">
                  <c:v>1.0812453970742888E-4</c:v>
                </c:pt>
                <c:pt idx="62">
                  <c:v>1.0725342408589711E-4</c:v>
                </c:pt>
                <c:pt idx="63">
                  <c:v>1.0626226910297929E-4</c:v>
                </c:pt>
                <c:pt idx="64">
                  <c:v>1.0545128753029438E-4</c:v>
                </c:pt>
                <c:pt idx="65">
                  <c:v>1.0453747118950419E-4</c:v>
                </c:pt>
                <c:pt idx="66">
                  <c:v>1.035724519661054E-4</c:v>
                </c:pt>
                <c:pt idx="67">
                  <c:v>1.0259228395735022E-4</c:v>
                </c:pt>
                <c:pt idx="68">
                  <c:v>1.0149825773563249E-4</c:v>
                </c:pt>
                <c:pt idx="69">
                  <c:v>1.0048945548242289E-4</c:v>
                </c:pt>
                <c:pt idx="70">
                  <c:v>9.926844042639792E-5</c:v>
                </c:pt>
                <c:pt idx="71">
                  <c:v>9.8136736703052793E-5</c:v>
                </c:pt>
                <c:pt idx="72">
                  <c:v>9.6971835301177717E-5</c:v>
                </c:pt>
                <c:pt idx="73">
                  <c:v>9.5623533598053224E-5</c:v>
                </c:pt>
                <c:pt idx="74">
                  <c:v>9.4437943853790092E-5</c:v>
                </c:pt>
                <c:pt idx="75">
                  <c:v>9.3159066220026079E-5</c:v>
                </c:pt>
                <c:pt idx="76">
                  <c:v>9.2120288316770258E-5</c:v>
                </c:pt>
                <c:pt idx="77">
                  <c:v>9.0976250236965905E-5</c:v>
                </c:pt>
                <c:pt idx="78">
                  <c:v>8.9963479723383406E-5</c:v>
                </c:pt>
                <c:pt idx="79">
                  <c:v>8.9324380427252201E-5</c:v>
                </c:pt>
                <c:pt idx="80">
                  <c:v>8.8063926441916428E-5</c:v>
                </c:pt>
                <c:pt idx="81">
                  <c:v>8.6491673937588782E-5</c:v>
                </c:pt>
                <c:pt idx="82">
                  <c:v>8.5369708927056777E-5</c:v>
                </c:pt>
                <c:pt idx="83">
                  <c:v>8.4027678499566251E-5</c:v>
                </c:pt>
                <c:pt idx="84">
                  <c:v>8.3162259276051733E-5</c:v>
                </c:pt>
                <c:pt idx="85">
                  <c:v>8.210652129360422E-5</c:v>
                </c:pt>
                <c:pt idx="86">
                  <c:v>8.05166135389258E-5</c:v>
                </c:pt>
                <c:pt idx="87">
                  <c:v>7.9470543520301665E-5</c:v>
                </c:pt>
                <c:pt idx="88">
                  <c:v>7.8242657712348466E-5</c:v>
                </c:pt>
                <c:pt idx="89">
                  <c:v>7.6960025848653264E-5</c:v>
                </c:pt>
                <c:pt idx="90">
                  <c:v>7.5723562125986539E-5</c:v>
                </c:pt>
                <c:pt idx="91">
                  <c:v>7.5335350241897262E-5</c:v>
                </c:pt>
                <c:pt idx="92">
                  <c:v>7.4188916849053183E-5</c:v>
                </c:pt>
                <c:pt idx="93">
                  <c:v>7.3151414378635725E-5</c:v>
                </c:pt>
                <c:pt idx="94">
                  <c:v>7.1410419084662842E-5</c:v>
                </c:pt>
                <c:pt idx="95">
                  <c:v>7.240235932398142E-5</c:v>
                </c:pt>
                <c:pt idx="96">
                  <c:v>7.1814593864822607E-5</c:v>
                </c:pt>
                <c:pt idx="97">
                  <c:v>6.94281147702608E-5</c:v>
                </c:pt>
                <c:pt idx="98">
                  <c:v>7.0337125445664098E-5</c:v>
                </c:pt>
                <c:pt idx="99">
                  <c:v>6.8468536312140201E-5</c:v>
                </c:pt>
                <c:pt idx="100">
                  <c:v>6.5764313196756103E-5</c:v>
                </c:pt>
                <c:pt idx="101">
                  <c:v>6.6870938695762845E-5</c:v>
                </c:pt>
                <c:pt idx="102">
                  <c:v>6.4777508181259734E-5</c:v>
                </c:pt>
                <c:pt idx="103">
                  <c:v>6.6093634695137856E-5</c:v>
                </c:pt>
                <c:pt idx="104">
                  <c:v>6.6401273917061725E-5</c:v>
                </c:pt>
                <c:pt idx="105">
                  <c:v>6.5145648494453667E-5</c:v>
                </c:pt>
                <c:pt idx="106">
                  <c:v>6.3995733275391036E-5</c:v>
                </c:pt>
                <c:pt idx="107">
                  <c:v>6.1065893183878407E-5</c:v>
                </c:pt>
                <c:pt idx="108">
                  <c:v>6.2436456069677097E-5</c:v>
                </c:pt>
                <c:pt idx="109">
                  <c:v>6.2685136645651934E-5</c:v>
                </c:pt>
                <c:pt idx="110">
                  <c:v>6.2018177604830746E-5</c:v>
                </c:pt>
                <c:pt idx="111">
                  <c:v>6.3361849015729688E-5</c:v>
                </c:pt>
                <c:pt idx="112">
                  <c:v>6.418486890669568E-5</c:v>
                </c:pt>
                <c:pt idx="113">
                  <c:v>6.2812694959263335E-5</c:v>
                </c:pt>
                <c:pt idx="114">
                  <c:v>6.614591455271291E-5</c:v>
                </c:pt>
                <c:pt idx="115">
                  <c:v>6.3420035146334938E-5</c:v>
                </c:pt>
                <c:pt idx="116">
                  <c:v>5.903973589806803E-5</c:v>
                </c:pt>
                <c:pt idx="117">
                  <c:v>6.1183014048886417E-5</c:v>
                </c:pt>
                <c:pt idx="118">
                  <c:v>6.264161360621575E-5</c:v>
                </c:pt>
                <c:pt idx="119">
                  <c:v>6.3257149079045638E-5</c:v>
                </c:pt>
                <c:pt idx="120">
                  <c:v>6.4144123248673936E-5</c:v>
                </c:pt>
                <c:pt idx="121">
                  <c:v>6.0309264002135902E-5</c:v>
                </c:pt>
                <c:pt idx="122">
                  <c:v>6.6602264351448429E-5</c:v>
                </c:pt>
                <c:pt idx="123">
                  <c:v>0</c:v>
                </c:pt>
                <c:pt idx="124">
                  <c:v>0</c:v>
                </c:pt>
              </c:numCache>
            </c:numRef>
          </c:yVal>
          <c:smooth val="0"/>
        </c:ser>
        <c:ser>
          <c:idx val="5"/>
          <c:order val="5"/>
          <c:tx>
            <c:strRef>
              <c:f>Plots!$J$1</c:f>
              <c:strCache>
                <c:ptCount val="1"/>
                <c:pt idx="0">
                  <c:v>145</c:v>
                </c:pt>
              </c:strCache>
            </c:strRef>
          </c:tx>
          <c:spPr>
            <a:ln w="28575">
              <a:noFill/>
            </a:ln>
          </c:spPr>
          <c:marker>
            <c:symbol val="diamond"/>
            <c:size val="7"/>
            <c:spPr>
              <a:solidFill>
                <a:srgbClr val="FFC000"/>
              </a:solidFill>
              <a:ln>
                <a:noFill/>
              </a:ln>
            </c:spPr>
          </c:marker>
          <c:xVal>
            <c:numRef>
              <c:f>Plots!$J$3:$J$127</c:f>
              <c:numCache>
                <c:formatCode>General</c:formatCode>
                <c:ptCount val="125"/>
                <c:pt idx="0">
                  <c:v>8817125582213998</c:v>
                </c:pt>
                <c:pt idx="1">
                  <c:v>3.0528706741350848E+16</c:v>
                </c:pt>
                <c:pt idx="2">
                  <c:v>4.1582408933647576E+16</c:v>
                </c:pt>
                <c:pt idx="3">
                  <c:v>4.6134723534879704E+16</c:v>
                </c:pt>
                <c:pt idx="4">
                  <c:v>4.6173316152389288E+16</c:v>
                </c:pt>
                <c:pt idx="5">
                  <c:v>4.4975285204288992E+16</c:v>
                </c:pt>
                <c:pt idx="6">
                  <c:v>4.344083991859788E+16</c:v>
                </c:pt>
                <c:pt idx="7">
                  <c:v>4.1831517265267904E+16</c:v>
                </c:pt>
                <c:pt idx="8">
                  <c:v>4.0211300709259808E+16</c:v>
                </c:pt>
                <c:pt idx="9">
                  <c:v>3.859690903054792E+16</c:v>
                </c:pt>
                <c:pt idx="10">
                  <c:v>3.70089728240528E+16</c:v>
                </c:pt>
                <c:pt idx="11">
                  <c:v>3.5440683723895552E+16</c:v>
                </c:pt>
                <c:pt idx="12">
                  <c:v>3.3898708952774396E+16</c:v>
                </c:pt>
                <c:pt idx="13">
                  <c:v>3.2405216368133072E+16</c:v>
                </c:pt>
                <c:pt idx="14">
                  <c:v>3.095627708029334E+16</c:v>
                </c:pt>
                <c:pt idx="15">
                  <c:v>2.9551541652251092E+16</c:v>
                </c:pt>
                <c:pt idx="16">
                  <c:v>2.818888779563546E+16</c:v>
                </c:pt>
                <c:pt idx="17">
                  <c:v>2.6877713166307012E+16</c:v>
                </c:pt>
                <c:pt idx="18">
                  <c:v>2.5607801534291428E+16</c:v>
                </c:pt>
                <c:pt idx="19">
                  <c:v>2.4385845270485072E+16</c:v>
                </c:pt>
                <c:pt idx="20">
                  <c:v>2.3208545817077004E+16</c:v>
                </c:pt>
                <c:pt idx="21">
                  <c:v>2.208002868718178E+16</c:v>
                </c:pt>
                <c:pt idx="22">
                  <c:v>2.0996413619782492E+16</c:v>
                </c:pt>
                <c:pt idx="23">
                  <c:v>1.9949362161640752E+16</c:v>
                </c:pt>
                <c:pt idx="24">
                  <c:v>1.895177873573088E+16</c:v>
                </c:pt>
                <c:pt idx="25">
                  <c:v>1.800029587224117E+16</c:v>
                </c:pt>
                <c:pt idx="26">
                  <c:v>1.7092688565952732E+16</c:v>
                </c:pt>
                <c:pt idx="27">
                  <c:v>1.6215377053348154E+16</c:v>
                </c:pt>
                <c:pt idx="28">
                  <c:v>1.5383903405436114E+16</c:v>
                </c:pt>
                <c:pt idx="29">
                  <c:v>1.4593304077841376E+16</c:v>
                </c:pt>
                <c:pt idx="30">
                  <c:v>1.3841442025032104E+16</c:v>
                </c:pt>
                <c:pt idx="31">
                  <c:v>1.3123085201058062E+16</c:v>
                </c:pt>
                <c:pt idx="32">
                  <c:v>1.243729931355642E+16</c:v>
                </c:pt>
                <c:pt idx="33">
                  <c:v>1.1787879151096732E+16</c:v>
                </c:pt>
                <c:pt idx="34">
                  <c:v>1.1172349991404484E+16</c:v>
                </c:pt>
                <c:pt idx="35">
                  <c:v>1.0582052169258424E+16</c:v>
                </c:pt>
                <c:pt idx="36">
                  <c:v>1.001658957269426E+16</c:v>
                </c:pt>
                <c:pt idx="37">
                  <c:v>9486209435851140</c:v>
                </c:pt>
                <c:pt idx="38">
                  <c:v>8978127391525004</c:v>
                </c:pt>
                <c:pt idx="39">
                  <c:v>8494443426432143</c:v>
                </c:pt>
                <c:pt idx="40">
                  <c:v>8037915377499570</c:v>
                </c:pt>
                <c:pt idx="41">
                  <c:v>7603821449672405</c:v>
                </c:pt>
                <c:pt idx="42">
                  <c:v>7196682073529160</c:v>
                </c:pt>
                <c:pt idx="43">
                  <c:v>6810241992467522</c:v>
                </c:pt>
                <c:pt idx="44">
                  <c:v>6439342450273139</c:v>
                </c:pt>
                <c:pt idx="45">
                  <c:v>6086830746368527</c:v>
                </c:pt>
                <c:pt idx="46">
                  <c:v>5755733039410549</c:v>
                </c:pt>
                <c:pt idx="47">
                  <c:v>5441038047126032</c:v>
                </c:pt>
                <c:pt idx="48">
                  <c:v>5141508915199399</c:v>
                </c:pt>
                <c:pt idx="49">
                  <c:v>4860780476870346</c:v>
                </c:pt>
                <c:pt idx="50">
                  <c:v>4593441911791372</c:v>
                </c:pt>
                <c:pt idx="51">
                  <c:v>4333866896651602.5</c:v>
                </c:pt>
                <c:pt idx="52">
                  <c:v>4093151927622930</c:v>
                </c:pt>
                <c:pt idx="53">
                  <c:v>3862706029003170.5</c:v>
                </c:pt>
                <c:pt idx="54">
                  <c:v>3653788191290191.5</c:v>
                </c:pt>
                <c:pt idx="55">
                  <c:v>3446761242375342</c:v>
                </c:pt>
                <c:pt idx="56">
                  <c:v>3255291000946772</c:v>
                </c:pt>
                <c:pt idx="57">
                  <c:v>3067183168343851.5</c:v>
                </c:pt>
                <c:pt idx="58">
                  <c:v>2897466018658966</c:v>
                </c:pt>
                <c:pt idx="59">
                  <c:v>2731024079044711.5</c:v>
                </c:pt>
                <c:pt idx="60">
                  <c:v>2576647585953756</c:v>
                </c:pt>
                <c:pt idx="61">
                  <c:v>2429400884677032</c:v>
                </c:pt>
                <c:pt idx="62">
                  <c:v>2292665802812861.5</c:v>
                </c:pt>
                <c:pt idx="63">
                  <c:v>2157752089941174</c:v>
                </c:pt>
                <c:pt idx="64">
                  <c:v>2036422310062288.7</c:v>
                </c:pt>
                <c:pt idx="65">
                  <c:v>1917509886792180</c:v>
                </c:pt>
                <c:pt idx="66">
                  <c:v>1806493058662098.5</c:v>
                </c:pt>
                <c:pt idx="67">
                  <c:v>1702138421820522.5</c:v>
                </c:pt>
                <c:pt idx="68">
                  <c:v>1600452041191284</c:v>
                </c:pt>
                <c:pt idx="69">
                  <c:v>1512629186583318</c:v>
                </c:pt>
                <c:pt idx="70">
                  <c:v>1423394620520615.2</c:v>
                </c:pt>
                <c:pt idx="71">
                  <c:v>1339571756248857.2</c:v>
                </c:pt>
                <c:pt idx="72">
                  <c:v>1260845152573569.2</c:v>
                </c:pt>
                <c:pt idx="73">
                  <c:v>1183046089328425.5</c:v>
                </c:pt>
                <c:pt idx="74">
                  <c:v>1112088066926262.6</c:v>
                </c:pt>
                <c:pt idx="75">
                  <c:v>1047716267483032.6</c:v>
                </c:pt>
                <c:pt idx="76">
                  <c:v>985006408096687.37</c:v>
                </c:pt>
                <c:pt idx="77">
                  <c:v>924673260816508.62</c:v>
                </c:pt>
                <c:pt idx="78">
                  <c:v>868649770045303.5</c:v>
                </c:pt>
                <c:pt idx="79">
                  <c:v>817747021843727.25</c:v>
                </c:pt>
                <c:pt idx="80">
                  <c:v>768462904203445.5</c:v>
                </c:pt>
                <c:pt idx="81">
                  <c:v>722393055999430.62</c:v>
                </c:pt>
                <c:pt idx="82">
                  <c:v>676991347506067.62</c:v>
                </c:pt>
                <c:pt idx="83">
                  <c:v>635392464678725</c:v>
                </c:pt>
                <c:pt idx="84">
                  <c:v>595221600550627.5</c:v>
                </c:pt>
                <c:pt idx="85">
                  <c:v>555538768077515.12</c:v>
                </c:pt>
                <c:pt idx="86">
                  <c:v>516508583371057.19</c:v>
                </c:pt>
                <c:pt idx="87">
                  <c:v>483007139107727</c:v>
                </c:pt>
                <c:pt idx="88">
                  <c:v>453703231793411</c:v>
                </c:pt>
                <c:pt idx="89">
                  <c:v>425850863062395.81</c:v>
                </c:pt>
                <c:pt idx="90">
                  <c:v>395620573487249.06</c:v>
                </c:pt>
                <c:pt idx="91">
                  <c:v>374702738497308.37</c:v>
                </c:pt>
                <c:pt idx="92">
                  <c:v>346382134465616.5</c:v>
                </c:pt>
                <c:pt idx="93">
                  <c:v>327736794984546.94</c:v>
                </c:pt>
                <c:pt idx="94">
                  <c:v>302242998960593</c:v>
                </c:pt>
                <c:pt idx="95">
                  <c:v>279278079182082.19</c:v>
                </c:pt>
                <c:pt idx="96">
                  <c:v>270140454101322.41</c:v>
                </c:pt>
                <c:pt idx="97">
                  <c:v>241557435849060.53</c:v>
                </c:pt>
                <c:pt idx="98">
                  <c:v>225216881849723.66</c:v>
                </c:pt>
                <c:pt idx="99">
                  <c:v>217566062117402.53</c:v>
                </c:pt>
                <c:pt idx="100">
                  <c:v>197936354752817.69</c:v>
                </c:pt>
                <c:pt idx="101">
                  <c:v>188562182995658.87</c:v>
                </c:pt>
                <c:pt idx="102">
                  <c:v>171665883109531.28</c:v>
                </c:pt>
                <c:pt idx="103">
                  <c:v>163116238350354.37</c:v>
                </c:pt>
                <c:pt idx="104">
                  <c:v>152676559814563.87</c:v>
                </c:pt>
                <c:pt idx="105">
                  <c:v>143864355524080.56</c:v>
                </c:pt>
                <c:pt idx="106">
                  <c:v>138244244079161.73</c:v>
                </c:pt>
                <c:pt idx="107">
                  <c:v>125065437628645.59</c:v>
                </c:pt>
                <c:pt idx="108">
                  <c:v>115241688335734.44</c:v>
                </c:pt>
                <c:pt idx="109">
                  <c:v>111950008564059.84</c:v>
                </c:pt>
                <c:pt idx="110">
                  <c:v>108605878297460.97</c:v>
                </c:pt>
                <c:pt idx="111">
                  <c:v>97175722062536.344</c:v>
                </c:pt>
                <c:pt idx="112">
                  <c:v>87962472076874.031</c:v>
                </c:pt>
                <c:pt idx="113">
                  <c:v>85969676335426.719</c:v>
                </c:pt>
                <c:pt idx="114">
                  <c:v>79724130665080.062</c:v>
                </c:pt>
                <c:pt idx="115">
                  <c:v>72459197517987.187</c:v>
                </c:pt>
                <c:pt idx="116">
                  <c:v>72028728321269.078</c:v>
                </c:pt>
                <c:pt idx="117">
                  <c:v>69984667516115.781</c:v>
                </c:pt>
                <c:pt idx="118">
                  <c:v>65897330770320.109</c:v>
                </c:pt>
                <c:pt idx="119">
                  <c:v>61542654338053.102</c:v>
                </c:pt>
                <c:pt idx="120">
                  <c:v>59446539573983</c:v>
                </c:pt>
                <c:pt idx="121">
                  <c:v>57834453625204.156</c:v>
                </c:pt>
                <c:pt idx="122">
                  <c:v>46287789932291.367</c:v>
                </c:pt>
                <c:pt idx="123">
                  <c:v>44140889734629.375</c:v>
                </c:pt>
                <c:pt idx="124">
                  <c:v>46878234993103.281</c:v>
                </c:pt>
              </c:numCache>
            </c:numRef>
          </c:xVal>
          <c:yVal>
            <c:numRef>
              <c:f>Plots!$K$3:$K$127</c:f>
              <c:numCache>
                <c:formatCode>General</c:formatCode>
                <c:ptCount val="125"/>
                <c:pt idx="0">
                  <c:v>0</c:v>
                </c:pt>
                <c:pt idx="1">
                  <c:v>0</c:v>
                </c:pt>
                <c:pt idx="2">
                  <c:v>1.0686123274263326E-4</c:v>
                </c:pt>
                <c:pt idx="3">
                  <c:v>9.9414669525385024E-5</c:v>
                </c:pt>
                <c:pt idx="4">
                  <c:v>9.4995611002402096E-5</c:v>
                </c:pt>
                <c:pt idx="5">
                  <c:v>9.3816839572451503E-5</c:v>
                </c:pt>
                <c:pt idx="6">
                  <c:v>9.5078059652892448E-5</c:v>
                </c:pt>
                <c:pt idx="7">
                  <c:v>9.6914859349491605E-5</c:v>
                </c:pt>
                <c:pt idx="8">
                  <c:v>9.869924086703328E-5</c:v>
                </c:pt>
                <c:pt idx="9">
                  <c:v>1.0044927139271908E-4</c:v>
                </c:pt>
                <c:pt idx="10">
                  <c:v>1.0205885618580012E-4</c:v>
                </c:pt>
                <c:pt idx="11">
                  <c:v>1.035994570657689E-4</c:v>
                </c:pt>
                <c:pt idx="12">
                  <c:v>1.050341463432991E-4</c:v>
                </c:pt>
                <c:pt idx="13">
                  <c:v>1.0640419617543666E-4</c:v>
                </c:pt>
                <c:pt idx="14">
                  <c:v>1.0765385883672333E-4</c:v>
                </c:pt>
                <c:pt idx="15">
                  <c:v>1.0883737492065259E-4</c:v>
                </c:pt>
                <c:pt idx="16">
                  <c:v>1.099140267226242E-4</c:v>
                </c:pt>
                <c:pt idx="17">
                  <c:v>1.109314505121669E-4</c:v>
                </c:pt>
                <c:pt idx="18">
                  <c:v>1.1187128379253263E-4</c:v>
                </c:pt>
                <c:pt idx="19">
                  <c:v>1.127266128599684E-4</c:v>
                </c:pt>
                <c:pt idx="20">
                  <c:v>1.134745647956129E-4</c:v>
                </c:pt>
                <c:pt idx="21">
                  <c:v>1.1415147309174583E-4</c:v>
                </c:pt>
                <c:pt idx="22">
                  <c:v>1.1474760960785668E-4</c:v>
                </c:pt>
                <c:pt idx="23">
                  <c:v>1.1526272642323531E-4</c:v>
                </c:pt>
                <c:pt idx="24">
                  <c:v>1.1570872800933094E-4</c:v>
                </c:pt>
                <c:pt idx="25">
                  <c:v>1.16105961107901E-4</c:v>
                </c:pt>
                <c:pt idx="26">
                  <c:v>1.1642293927303126E-4</c:v>
                </c:pt>
                <c:pt idx="27">
                  <c:v>1.1662183224049257E-4</c:v>
                </c:pt>
                <c:pt idx="28">
                  <c:v>1.1701004985501156E-4</c:v>
                </c:pt>
                <c:pt idx="29">
                  <c:v>1.1715083362583884E-4</c:v>
                </c:pt>
                <c:pt idx="30">
                  <c:v>1.1721946120609894E-4</c:v>
                </c:pt>
                <c:pt idx="31">
                  <c:v>1.1718223637564005E-4</c:v>
                </c:pt>
                <c:pt idx="32">
                  <c:v>1.1706522094626984E-4</c:v>
                </c:pt>
                <c:pt idx="33">
                  <c:v>1.1695202571338097E-4</c:v>
                </c:pt>
                <c:pt idx="34">
                  <c:v>1.168183471416352E-4</c:v>
                </c:pt>
                <c:pt idx="35">
                  <c:v>1.1656104765603577E-4</c:v>
                </c:pt>
                <c:pt idx="36">
                  <c:v>1.1618541358332071E-4</c:v>
                </c:pt>
                <c:pt idx="37">
                  <c:v>1.1581757170400703E-4</c:v>
                </c:pt>
                <c:pt idx="38">
                  <c:v>1.1546280848249031E-4</c:v>
                </c:pt>
                <c:pt idx="39">
                  <c:v>1.1500887468781372E-4</c:v>
                </c:pt>
                <c:pt idx="40">
                  <c:v>1.1459942302711428E-4</c:v>
                </c:pt>
                <c:pt idx="41">
                  <c:v>1.140866474249003E-4</c:v>
                </c:pt>
                <c:pt idx="42">
                  <c:v>1.1361063137101888E-4</c:v>
                </c:pt>
                <c:pt idx="43">
                  <c:v>1.130735459499133E-4</c:v>
                </c:pt>
                <c:pt idx="44">
                  <c:v>1.1238919000651016E-4</c:v>
                </c:pt>
                <c:pt idx="45">
                  <c:v>1.1164424285164182E-4</c:v>
                </c:pt>
                <c:pt idx="46">
                  <c:v>1.1100459807539147E-4</c:v>
                </c:pt>
                <c:pt idx="47">
                  <c:v>1.1030311822658894E-4</c:v>
                </c:pt>
                <c:pt idx="48">
                  <c:v>1.0952554996163295E-4</c:v>
                </c:pt>
                <c:pt idx="49">
                  <c:v>1.0880605287895285E-4</c:v>
                </c:pt>
                <c:pt idx="50">
                  <c:v>1.0802153853196357E-4</c:v>
                </c:pt>
                <c:pt idx="51">
                  <c:v>1.0702118661723542E-4</c:v>
                </c:pt>
                <c:pt idx="52">
                  <c:v>1.0624497202433145E-4</c:v>
                </c:pt>
                <c:pt idx="53">
                  <c:v>1.0535635489947378E-4</c:v>
                </c:pt>
                <c:pt idx="54">
                  <c:v>1.046955094641708E-4</c:v>
                </c:pt>
                <c:pt idx="55">
                  <c:v>1.0370121913935288E-4</c:v>
                </c:pt>
                <c:pt idx="56">
                  <c:v>1.0269343620779104E-4</c:v>
                </c:pt>
                <c:pt idx="57">
                  <c:v>1.016546150480071E-4</c:v>
                </c:pt>
                <c:pt idx="58">
                  <c:v>1.009148738441788E-4</c:v>
                </c:pt>
                <c:pt idx="59">
                  <c:v>9.9879984107488476E-5</c:v>
                </c:pt>
                <c:pt idx="60">
                  <c:v>9.8972665383911991E-5</c:v>
                </c:pt>
                <c:pt idx="61">
                  <c:v>9.8140232336922683E-5</c:v>
                </c:pt>
                <c:pt idx="62">
                  <c:v>9.7338987405977357E-5</c:v>
                </c:pt>
                <c:pt idx="63">
                  <c:v>9.6144324854654874E-5</c:v>
                </c:pt>
                <c:pt idx="64">
                  <c:v>9.5192072459332675E-5</c:v>
                </c:pt>
                <c:pt idx="65">
                  <c:v>9.4136897023000863E-5</c:v>
                </c:pt>
                <c:pt idx="66">
                  <c:v>9.2972604730890096E-5</c:v>
                </c:pt>
                <c:pt idx="67">
                  <c:v>9.2071775072961548E-5</c:v>
                </c:pt>
                <c:pt idx="68">
                  <c:v>9.1085410831114204E-5</c:v>
                </c:pt>
                <c:pt idx="69">
                  <c:v>9.0326652692795768E-5</c:v>
                </c:pt>
                <c:pt idx="70">
                  <c:v>8.9204135328528042E-5</c:v>
                </c:pt>
                <c:pt idx="71">
                  <c:v>8.8013452934293017E-5</c:v>
                </c:pt>
                <c:pt idx="72">
                  <c:v>8.6884688971504865E-5</c:v>
                </c:pt>
                <c:pt idx="73">
                  <c:v>8.5543069441770765E-5</c:v>
                </c:pt>
                <c:pt idx="74">
                  <c:v>8.4418231401538356E-5</c:v>
                </c:pt>
                <c:pt idx="75">
                  <c:v>8.3644416447488447E-5</c:v>
                </c:pt>
                <c:pt idx="76">
                  <c:v>8.2571802192129692E-5</c:v>
                </c:pt>
                <c:pt idx="77">
                  <c:v>8.1571314550066666E-5</c:v>
                </c:pt>
                <c:pt idx="78">
                  <c:v>8.0288141378313802E-5</c:v>
                </c:pt>
                <c:pt idx="79">
                  <c:v>7.9377274668914833E-5</c:v>
                </c:pt>
                <c:pt idx="80">
                  <c:v>7.8386486198386948E-5</c:v>
                </c:pt>
                <c:pt idx="81">
                  <c:v>7.7526618970730739E-5</c:v>
                </c:pt>
                <c:pt idx="82">
                  <c:v>7.6161684858852793E-5</c:v>
                </c:pt>
                <c:pt idx="83">
                  <c:v>7.4968481269638729E-5</c:v>
                </c:pt>
                <c:pt idx="84">
                  <c:v>7.3857199770614731E-5</c:v>
                </c:pt>
                <c:pt idx="85">
                  <c:v>7.2519997751351227E-5</c:v>
                </c:pt>
                <c:pt idx="86">
                  <c:v>7.0960398261273256E-5</c:v>
                </c:pt>
                <c:pt idx="87">
                  <c:v>6.9830503519650847E-5</c:v>
                </c:pt>
                <c:pt idx="88">
                  <c:v>6.9208837571357396E-5</c:v>
                </c:pt>
                <c:pt idx="89">
                  <c:v>6.8231619377102861E-5</c:v>
                </c:pt>
                <c:pt idx="90">
                  <c:v>6.6744961445471668E-5</c:v>
                </c:pt>
                <c:pt idx="91">
                  <c:v>6.6448925236185232E-5</c:v>
                </c:pt>
                <c:pt idx="92">
                  <c:v>6.5101714774654191E-5</c:v>
                </c:pt>
                <c:pt idx="93">
                  <c:v>6.4508038022041095E-5</c:v>
                </c:pt>
                <c:pt idx="94">
                  <c:v>6.28275356909999E-5</c:v>
                </c:pt>
                <c:pt idx="95">
                  <c:v>6.1083431580531496E-5</c:v>
                </c:pt>
                <c:pt idx="96">
                  <c:v>6.2277275501937602E-5</c:v>
                </c:pt>
                <c:pt idx="97">
                  <c:v>5.9057048339105444E-5</c:v>
                </c:pt>
                <c:pt idx="98">
                  <c:v>5.7677403486192954E-5</c:v>
                </c:pt>
                <c:pt idx="99">
                  <c:v>5.9499378651103013E-5</c:v>
                </c:pt>
                <c:pt idx="100">
                  <c:v>5.6836319465972071E-5</c:v>
                </c:pt>
                <c:pt idx="101">
                  <c:v>5.759203928179603E-5</c:v>
                </c:pt>
                <c:pt idx="102">
                  <c:v>5.4998996620556458E-5</c:v>
                </c:pt>
                <c:pt idx="103">
                  <c:v>5.5408728242841168E-5</c:v>
                </c:pt>
                <c:pt idx="104">
                  <c:v>5.5104964589584306E-5</c:v>
                </c:pt>
                <c:pt idx="105">
                  <c:v>5.4790162483162296E-5</c:v>
                </c:pt>
                <c:pt idx="106">
                  <c:v>5.5508434358272384E-5</c:v>
                </c:pt>
                <c:pt idx="107">
                  <c:v>5.3200813360149962E-5</c:v>
                </c:pt>
                <c:pt idx="108">
                  <c:v>5.2131370138497109E-5</c:v>
                </c:pt>
                <c:pt idx="109">
                  <c:v>5.4181548831791153E-5</c:v>
                </c:pt>
                <c:pt idx="110">
                  <c:v>5.5659073355702911E-5</c:v>
                </c:pt>
                <c:pt idx="111">
                  <c:v>5.2128912447714736E-5</c:v>
                </c:pt>
                <c:pt idx="112">
                  <c:v>5.0660866372289691E-5</c:v>
                </c:pt>
                <c:pt idx="113">
                  <c:v>5.3104348059970329E-5</c:v>
                </c:pt>
                <c:pt idx="114">
                  <c:v>5.190943397385702E-5</c:v>
                </c:pt>
                <c:pt idx="115">
                  <c:v>5.085614017093904E-5</c:v>
                </c:pt>
                <c:pt idx="116">
                  <c:v>5.4078902786213224E-5</c:v>
                </c:pt>
                <c:pt idx="117">
                  <c:v>5.5139844265179843E-5</c:v>
                </c:pt>
                <c:pt idx="118">
                  <c:v>5.6156414838700984E-5</c:v>
                </c:pt>
                <c:pt idx="119">
                  <c:v>5.563717025774327E-5</c:v>
                </c:pt>
                <c:pt idx="120">
                  <c:v>5.6619629783441646E-5</c:v>
                </c:pt>
                <c:pt idx="121">
                  <c:v>5.8809224296819594E-5</c:v>
                </c:pt>
                <c:pt idx="122">
                  <c:v>5.0095999492193072E-5</c:v>
                </c:pt>
                <c:pt idx="123">
                  <c:v>0</c:v>
                </c:pt>
                <c:pt idx="124">
                  <c:v>0</c:v>
                </c:pt>
              </c:numCache>
            </c:numRef>
          </c:yVal>
          <c:smooth val="0"/>
        </c:ser>
        <c:ser>
          <c:idx val="6"/>
          <c:order val="6"/>
          <c:tx>
            <c:strRef>
              <c:f>Plots!$L$1</c:f>
              <c:strCache>
                <c:ptCount val="1"/>
                <c:pt idx="0">
                  <c:v>135</c:v>
                </c:pt>
              </c:strCache>
            </c:strRef>
          </c:tx>
          <c:spPr>
            <a:ln w="28575">
              <a:noFill/>
            </a:ln>
          </c:spPr>
          <c:marker>
            <c:symbol val="diamond"/>
            <c:size val="7"/>
            <c:spPr>
              <a:solidFill>
                <a:schemeClr val="accent6">
                  <a:lumMod val="60000"/>
                  <a:lumOff val="40000"/>
                </a:schemeClr>
              </a:solidFill>
              <a:ln>
                <a:noFill/>
              </a:ln>
            </c:spPr>
          </c:marker>
          <c:xVal>
            <c:numRef>
              <c:f>Plots!$L$3:$L$127</c:f>
              <c:numCache>
                <c:formatCode>General</c:formatCode>
                <c:ptCount val="125"/>
                <c:pt idx="0">
                  <c:v>2177068050223639.2</c:v>
                </c:pt>
                <c:pt idx="1">
                  <c:v>2.2269461553246196E+16</c:v>
                </c:pt>
                <c:pt idx="2">
                  <c:v>3.8296148062976504E+16</c:v>
                </c:pt>
                <c:pt idx="3">
                  <c:v>4.5412578357476328E+16</c:v>
                </c:pt>
                <c:pt idx="4">
                  <c:v>4.6541758316970224E+16</c:v>
                </c:pt>
                <c:pt idx="5">
                  <c:v>4.5536997355107616E+16</c:v>
                </c:pt>
                <c:pt idx="6">
                  <c:v>4.4013546146029408E+16</c:v>
                </c:pt>
                <c:pt idx="7">
                  <c:v>4.2384782096571888E+16</c:v>
                </c:pt>
                <c:pt idx="8">
                  <c:v>4.0742659251762856E+16</c:v>
                </c:pt>
                <c:pt idx="9">
                  <c:v>3.9115118899841192E+16</c:v>
                </c:pt>
                <c:pt idx="10">
                  <c:v>3.7489984423762784E+16</c:v>
                </c:pt>
                <c:pt idx="11">
                  <c:v>3.5898150286685492E+16</c:v>
                </c:pt>
                <c:pt idx="12">
                  <c:v>3.4330180925710172E+16</c:v>
                </c:pt>
                <c:pt idx="13">
                  <c:v>3.279592330444194E+16</c:v>
                </c:pt>
                <c:pt idx="14">
                  <c:v>3.1319771531881772E+16</c:v>
                </c:pt>
                <c:pt idx="15">
                  <c:v>2.989261053596336E+16</c:v>
                </c:pt>
                <c:pt idx="16">
                  <c:v>2.8503091554293372E+16</c:v>
                </c:pt>
                <c:pt idx="17">
                  <c:v>2.7159225551836892E+16</c:v>
                </c:pt>
                <c:pt idx="18">
                  <c:v>2.5858399543005512E+16</c:v>
                </c:pt>
                <c:pt idx="19">
                  <c:v>2.4605485941122284E+16</c:v>
                </c:pt>
                <c:pt idx="20">
                  <c:v>2.3410021463175064E+16</c:v>
                </c:pt>
                <c:pt idx="21">
                  <c:v>2.225385933969994E+16</c:v>
                </c:pt>
                <c:pt idx="22">
                  <c:v>2.114570909871286E+16</c:v>
                </c:pt>
                <c:pt idx="23">
                  <c:v>2.0079055474928968E+16</c:v>
                </c:pt>
                <c:pt idx="24">
                  <c:v>1.9060182293481848E+16</c:v>
                </c:pt>
                <c:pt idx="25">
                  <c:v>1.8085377522757516E+16</c:v>
                </c:pt>
                <c:pt idx="26">
                  <c:v>1.7161252829357748E+16</c:v>
                </c:pt>
                <c:pt idx="27">
                  <c:v>1.6273867226027884E+16</c:v>
                </c:pt>
                <c:pt idx="28">
                  <c:v>1.542895848497723E+16</c:v>
                </c:pt>
                <c:pt idx="29">
                  <c:v>1.4627032783632862E+16</c:v>
                </c:pt>
                <c:pt idx="30">
                  <c:v>1.3860134727054214E+16</c:v>
                </c:pt>
                <c:pt idx="31">
                  <c:v>1.3136676745498676E+16</c:v>
                </c:pt>
                <c:pt idx="32">
                  <c:v>1.2441073267272192E+16</c:v>
                </c:pt>
                <c:pt idx="33">
                  <c:v>1.1779928590220954E+16</c:v>
                </c:pt>
                <c:pt idx="34">
                  <c:v>1.1153811663637296E+16</c:v>
                </c:pt>
                <c:pt idx="35">
                  <c:v>1.0558860965276116E+16</c:v>
                </c:pt>
                <c:pt idx="36">
                  <c:v>9984576689035840</c:v>
                </c:pt>
                <c:pt idx="37">
                  <c:v>9443232391518668</c:v>
                </c:pt>
                <c:pt idx="38">
                  <c:v>8934271133662443</c:v>
                </c:pt>
                <c:pt idx="39">
                  <c:v>8450220205484132</c:v>
                </c:pt>
                <c:pt idx="40">
                  <c:v>7985730026277957</c:v>
                </c:pt>
                <c:pt idx="41">
                  <c:v>7547946315069563</c:v>
                </c:pt>
                <c:pt idx="42">
                  <c:v>7139201609275114</c:v>
                </c:pt>
                <c:pt idx="43">
                  <c:v>6746392834808329</c:v>
                </c:pt>
                <c:pt idx="44">
                  <c:v>6369865398544560</c:v>
                </c:pt>
                <c:pt idx="45">
                  <c:v>6019824421396730</c:v>
                </c:pt>
                <c:pt idx="46">
                  <c:v>5682280652716815</c:v>
                </c:pt>
                <c:pt idx="47">
                  <c:v>5372599476634622</c:v>
                </c:pt>
                <c:pt idx="48">
                  <c:v>5073144135090123</c:v>
                </c:pt>
                <c:pt idx="49">
                  <c:v>4792279103846066</c:v>
                </c:pt>
                <c:pt idx="50">
                  <c:v>4522051900715331</c:v>
                </c:pt>
                <c:pt idx="51">
                  <c:v>4267112788087316.5</c:v>
                </c:pt>
                <c:pt idx="52">
                  <c:v>4027334669666754.5</c:v>
                </c:pt>
                <c:pt idx="53">
                  <c:v>3795555603610829</c:v>
                </c:pt>
                <c:pt idx="54">
                  <c:v>3583753082659899.5</c:v>
                </c:pt>
                <c:pt idx="55">
                  <c:v>3384671332692946</c:v>
                </c:pt>
                <c:pt idx="56">
                  <c:v>3188959516970202.5</c:v>
                </c:pt>
                <c:pt idx="57">
                  <c:v>3008222966952093</c:v>
                </c:pt>
                <c:pt idx="58">
                  <c:v>2831516437445497</c:v>
                </c:pt>
                <c:pt idx="59">
                  <c:v>2675337665462949</c:v>
                </c:pt>
                <c:pt idx="60">
                  <c:v>2518189055055887</c:v>
                </c:pt>
                <c:pt idx="61">
                  <c:v>2374539744112241.5</c:v>
                </c:pt>
                <c:pt idx="62">
                  <c:v>2234709418332671</c:v>
                </c:pt>
                <c:pt idx="63">
                  <c:v>2101950872829588.2</c:v>
                </c:pt>
                <c:pt idx="64">
                  <c:v>1980559175623228.7</c:v>
                </c:pt>
                <c:pt idx="65">
                  <c:v>1866265465374527.5</c:v>
                </c:pt>
                <c:pt idx="66">
                  <c:v>1756430523964095.5</c:v>
                </c:pt>
                <c:pt idx="67">
                  <c:v>1653013058038880.7</c:v>
                </c:pt>
                <c:pt idx="68">
                  <c:v>1558196361427358</c:v>
                </c:pt>
                <c:pt idx="69">
                  <c:v>1463529059093394.2</c:v>
                </c:pt>
                <c:pt idx="70">
                  <c:v>1381724237770762.2</c:v>
                </c:pt>
                <c:pt idx="71">
                  <c:v>1299384681768443.5</c:v>
                </c:pt>
                <c:pt idx="72">
                  <c:v>1220318120148402</c:v>
                </c:pt>
                <c:pt idx="73">
                  <c:v>1149174295381870.7</c:v>
                </c:pt>
                <c:pt idx="74">
                  <c:v>1078859178217797.9</c:v>
                </c:pt>
                <c:pt idx="75">
                  <c:v>1013930166109548.7</c:v>
                </c:pt>
                <c:pt idx="76">
                  <c:v>954194382194541.12</c:v>
                </c:pt>
                <c:pt idx="77">
                  <c:v>897201496198293.87</c:v>
                </c:pt>
                <c:pt idx="78">
                  <c:v>843731778457613</c:v>
                </c:pt>
                <c:pt idx="79">
                  <c:v>790397029767569.25</c:v>
                </c:pt>
                <c:pt idx="80">
                  <c:v>743461513589780.37</c:v>
                </c:pt>
                <c:pt idx="81">
                  <c:v>696013785207879.25</c:v>
                </c:pt>
                <c:pt idx="82">
                  <c:v>655564763374203.25</c:v>
                </c:pt>
                <c:pt idx="83">
                  <c:v>613121251795700.62</c:v>
                </c:pt>
                <c:pt idx="84">
                  <c:v>575761409854697.37</c:v>
                </c:pt>
                <c:pt idx="85">
                  <c:v>536617722040803.81</c:v>
                </c:pt>
                <c:pt idx="86">
                  <c:v>507136540866337.37</c:v>
                </c:pt>
                <c:pt idx="87">
                  <c:v>470065920866176.25</c:v>
                </c:pt>
                <c:pt idx="88">
                  <c:v>440548136454743.25</c:v>
                </c:pt>
                <c:pt idx="89">
                  <c:v>416113488917020.25</c:v>
                </c:pt>
                <c:pt idx="90">
                  <c:v>385665109851881.44</c:v>
                </c:pt>
                <c:pt idx="91">
                  <c:v>365021991038470.44</c:v>
                </c:pt>
                <c:pt idx="92">
                  <c:v>341851385441603.81</c:v>
                </c:pt>
                <c:pt idx="93">
                  <c:v>318338818756988.06</c:v>
                </c:pt>
                <c:pt idx="94">
                  <c:v>296715071437905.87</c:v>
                </c:pt>
                <c:pt idx="95">
                  <c:v>282465085765123.94</c:v>
                </c:pt>
                <c:pt idx="96">
                  <c:v>264756132654326.41</c:v>
                </c:pt>
                <c:pt idx="97">
                  <c:v>248819493198910.56</c:v>
                </c:pt>
                <c:pt idx="98">
                  <c:v>231756570071163.91</c:v>
                </c:pt>
                <c:pt idx="99">
                  <c:v>216102392392999.62</c:v>
                </c:pt>
                <c:pt idx="100">
                  <c:v>202421752906558.78</c:v>
                </c:pt>
                <c:pt idx="101">
                  <c:v>188543472467284.66</c:v>
                </c:pt>
                <c:pt idx="102">
                  <c:v>174984410240809.59</c:v>
                </c:pt>
                <c:pt idx="103">
                  <c:v>165659679210956.72</c:v>
                </c:pt>
                <c:pt idx="104">
                  <c:v>157780066287003.16</c:v>
                </c:pt>
                <c:pt idx="105">
                  <c:v>145632664657446</c:v>
                </c:pt>
                <c:pt idx="106">
                  <c:v>135756866410263.86</c:v>
                </c:pt>
                <c:pt idx="107">
                  <c:v>131490229472517.16</c:v>
                </c:pt>
                <c:pt idx="108">
                  <c:v>116794179980902.14</c:v>
                </c:pt>
                <c:pt idx="109">
                  <c:v>112686187577342.69</c:v>
                </c:pt>
                <c:pt idx="110">
                  <c:v>108784315575378.41</c:v>
                </c:pt>
                <c:pt idx="111">
                  <c:v>99393056332573</c:v>
                </c:pt>
                <c:pt idx="112">
                  <c:v>96469287016450.859</c:v>
                </c:pt>
                <c:pt idx="113">
                  <c:v>86574130118601.703</c:v>
                </c:pt>
                <c:pt idx="114">
                  <c:v>85446558939331.266</c:v>
                </c:pt>
                <c:pt idx="115">
                  <c:v>77505753966433.016</c:v>
                </c:pt>
                <c:pt idx="116">
                  <c:v>72436455787291.844</c:v>
                </c:pt>
                <c:pt idx="117">
                  <c:v>66243572272423.031</c:v>
                </c:pt>
                <c:pt idx="118">
                  <c:v>60463114710464.836</c:v>
                </c:pt>
                <c:pt idx="119">
                  <c:v>59644940984546.164</c:v>
                </c:pt>
                <c:pt idx="120">
                  <c:v>59082455957753.812</c:v>
                </c:pt>
                <c:pt idx="121">
                  <c:v>56577130538419.969</c:v>
                </c:pt>
                <c:pt idx="122">
                  <c:v>45642752117570.289</c:v>
                </c:pt>
                <c:pt idx="123">
                  <c:v>42119732665514.687</c:v>
                </c:pt>
                <c:pt idx="124">
                  <c:v>43191804879838.656</c:v>
                </c:pt>
              </c:numCache>
            </c:numRef>
          </c:xVal>
          <c:yVal>
            <c:numRef>
              <c:f>Plots!$M$3:$M$127</c:f>
              <c:numCache>
                <c:formatCode>General</c:formatCode>
                <c:ptCount val="125"/>
                <c:pt idx="0">
                  <c:v>0</c:v>
                </c:pt>
                <c:pt idx="1">
                  <c:v>0</c:v>
                </c:pt>
                <c:pt idx="2">
                  <c:v>1.0573310755387657E-4</c:v>
                </c:pt>
                <c:pt idx="3">
                  <c:v>1.0090320533273395E-4</c:v>
                </c:pt>
                <c:pt idx="4">
                  <c:v>9.4476664506417239E-5</c:v>
                </c:pt>
                <c:pt idx="5">
                  <c:v>9.144515908811733E-5</c:v>
                </c:pt>
                <c:pt idx="6">
                  <c:v>9.1658771149036319E-5</c:v>
                </c:pt>
                <c:pt idx="7">
                  <c:v>9.3326811711366478E-5</c:v>
                </c:pt>
                <c:pt idx="8">
                  <c:v>9.5114592257157458E-5</c:v>
                </c:pt>
                <c:pt idx="9">
                  <c:v>9.6805381921997424E-5</c:v>
                </c:pt>
                <c:pt idx="10">
                  <c:v>9.8387599888009091E-5</c:v>
                </c:pt>
                <c:pt idx="11">
                  <c:v>9.9854767308073291E-5</c:v>
                </c:pt>
                <c:pt idx="12">
                  <c:v>1.0125252130622407E-4</c:v>
                </c:pt>
                <c:pt idx="13">
                  <c:v>1.0255810363882066E-4</c:v>
                </c:pt>
                <c:pt idx="14">
                  <c:v>1.0377066643504738E-4</c:v>
                </c:pt>
                <c:pt idx="15">
                  <c:v>1.0491305420225932E-4</c:v>
                </c:pt>
                <c:pt idx="16">
                  <c:v>1.0593086132576958E-4</c:v>
                </c:pt>
                <c:pt idx="17">
                  <c:v>1.0687826789275263E-4</c:v>
                </c:pt>
                <c:pt idx="18">
                  <c:v>1.0774879992184643E-4</c:v>
                </c:pt>
                <c:pt idx="19">
                  <c:v>1.0856469412176012E-4</c:v>
                </c:pt>
                <c:pt idx="20">
                  <c:v>1.0932443390319678E-4</c:v>
                </c:pt>
                <c:pt idx="21">
                  <c:v>1.0993899016375964E-4</c:v>
                </c:pt>
                <c:pt idx="22">
                  <c:v>1.1046613695203617E-4</c:v>
                </c:pt>
                <c:pt idx="23">
                  <c:v>1.1091814857185192E-4</c:v>
                </c:pt>
                <c:pt idx="24">
                  <c:v>1.1134430322387733E-4</c:v>
                </c:pt>
                <c:pt idx="25">
                  <c:v>1.1164428265901497E-4</c:v>
                </c:pt>
                <c:pt idx="26">
                  <c:v>1.1194680266011717E-4</c:v>
                </c:pt>
                <c:pt idx="27">
                  <c:v>1.1211667496769007E-4</c:v>
                </c:pt>
                <c:pt idx="28">
                  <c:v>1.1229604007461108E-4</c:v>
                </c:pt>
                <c:pt idx="29">
                  <c:v>1.1255334107381485E-4</c:v>
                </c:pt>
                <c:pt idx="30">
                  <c:v>1.1256881707705198E-4</c:v>
                </c:pt>
                <c:pt idx="31">
                  <c:v>1.1255522694460102E-4</c:v>
                </c:pt>
                <c:pt idx="32">
                  <c:v>1.1242243234406273E-4</c:v>
                </c:pt>
                <c:pt idx="33">
                  <c:v>1.1224559380744018E-4</c:v>
                </c:pt>
                <c:pt idx="34">
                  <c:v>1.1204874660941497E-4</c:v>
                </c:pt>
                <c:pt idx="35">
                  <c:v>1.1176508001421456E-4</c:v>
                </c:pt>
                <c:pt idx="36">
                  <c:v>1.1136017489218102E-4</c:v>
                </c:pt>
                <c:pt idx="37">
                  <c:v>1.1096342523090686E-4</c:v>
                </c:pt>
                <c:pt idx="38">
                  <c:v>1.1050544754453571E-4</c:v>
                </c:pt>
                <c:pt idx="39">
                  <c:v>1.1016550979394146E-4</c:v>
                </c:pt>
                <c:pt idx="40">
                  <c:v>1.0961552471879725E-4</c:v>
                </c:pt>
                <c:pt idx="41">
                  <c:v>1.0907822670747175E-4</c:v>
                </c:pt>
                <c:pt idx="42">
                  <c:v>1.086062993094866E-4</c:v>
                </c:pt>
                <c:pt idx="43">
                  <c:v>1.080148400495972E-4</c:v>
                </c:pt>
                <c:pt idx="44">
                  <c:v>1.0724309536718881E-4</c:v>
                </c:pt>
                <c:pt idx="45">
                  <c:v>1.0660116539036943E-4</c:v>
                </c:pt>
                <c:pt idx="46">
                  <c:v>1.0577971715589721E-4</c:v>
                </c:pt>
                <c:pt idx="47">
                  <c:v>1.0518922075678942E-4</c:v>
                </c:pt>
                <c:pt idx="48">
                  <c:v>1.0440559267086691E-4</c:v>
                </c:pt>
                <c:pt idx="49">
                  <c:v>1.0360600901588148E-4</c:v>
                </c:pt>
                <c:pt idx="50">
                  <c:v>1.027104954817234E-4</c:v>
                </c:pt>
                <c:pt idx="51">
                  <c:v>1.0188182372761117E-4</c:v>
                </c:pt>
                <c:pt idx="52">
                  <c:v>1.0097267280298475E-4</c:v>
                </c:pt>
                <c:pt idx="53">
                  <c:v>1.0006186032183171E-4</c:v>
                </c:pt>
                <c:pt idx="54">
                  <c:v>9.9201812837030405E-5</c:v>
                </c:pt>
                <c:pt idx="55">
                  <c:v>9.8427282416940052E-5</c:v>
                </c:pt>
                <c:pt idx="56">
                  <c:v>9.7285351644149618E-5</c:v>
                </c:pt>
                <c:pt idx="57">
                  <c:v>9.6369182562970802E-5</c:v>
                </c:pt>
                <c:pt idx="58">
                  <c:v>9.532566890298751E-5</c:v>
                </c:pt>
                <c:pt idx="59">
                  <c:v>9.4668124986430286E-5</c:v>
                </c:pt>
                <c:pt idx="60">
                  <c:v>9.3537899528567568E-5</c:v>
                </c:pt>
                <c:pt idx="61">
                  <c:v>9.2546301040803347E-5</c:v>
                </c:pt>
                <c:pt idx="62">
                  <c:v>9.1588770011894908E-5</c:v>
                </c:pt>
                <c:pt idx="63">
                  <c:v>9.0482910840874287E-5</c:v>
                </c:pt>
                <c:pt idx="64">
                  <c:v>8.9535042735784396E-5</c:v>
                </c:pt>
                <c:pt idx="65">
                  <c:v>8.8508456177050643E-5</c:v>
                </c:pt>
                <c:pt idx="66">
                  <c:v>8.7447962411207739E-5</c:v>
                </c:pt>
                <c:pt idx="67">
                  <c:v>8.635134892657718E-5</c:v>
                </c:pt>
                <c:pt idx="68">
                  <c:v>8.5626183769378034E-5</c:v>
                </c:pt>
                <c:pt idx="69">
                  <c:v>8.4402622631785915E-5</c:v>
                </c:pt>
                <c:pt idx="70">
                  <c:v>8.3638932310155456E-5</c:v>
                </c:pt>
                <c:pt idx="71">
                  <c:v>8.2515635825524262E-5</c:v>
                </c:pt>
                <c:pt idx="72">
                  <c:v>8.1252558830179398E-5</c:v>
                </c:pt>
                <c:pt idx="73">
                  <c:v>8.0353016772144974E-5</c:v>
                </c:pt>
                <c:pt idx="74">
                  <c:v>7.9084037388326691E-5</c:v>
                </c:pt>
                <c:pt idx="75">
                  <c:v>7.8135636101579514E-5</c:v>
                </c:pt>
                <c:pt idx="76">
                  <c:v>7.7198692517279783E-5</c:v>
                </c:pt>
                <c:pt idx="77">
                  <c:v>7.6342959419764252E-5</c:v>
                </c:pt>
                <c:pt idx="78">
                  <c:v>7.533699962055232E-5</c:v>
                </c:pt>
                <c:pt idx="79">
                  <c:v>7.4137709547709621E-5</c:v>
                </c:pt>
                <c:pt idx="80">
                  <c:v>7.3373787267801369E-5</c:v>
                </c:pt>
                <c:pt idx="81">
                  <c:v>7.2173907196137305E-5</c:v>
                </c:pt>
                <c:pt idx="82">
                  <c:v>7.1430655658923095E-5</c:v>
                </c:pt>
                <c:pt idx="83">
                  <c:v>7.004023303753835E-5</c:v>
                </c:pt>
                <c:pt idx="84">
                  <c:v>6.913812361578658E-5</c:v>
                </c:pt>
                <c:pt idx="85">
                  <c:v>6.7681325638632695E-5</c:v>
                </c:pt>
                <c:pt idx="86">
                  <c:v>6.732446386994874E-5</c:v>
                </c:pt>
                <c:pt idx="87">
                  <c:v>6.5682280875865561E-5</c:v>
                </c:pt>
                <c:pt idx="88">
                  <c:v>6.4875746402747218E-5</c:v>
                </c:pt>
                <c:pt idx="89">
                  <c:v>6.4492351430055716E-5</c:v>
                </c:pt>
                <c:pt idx="90">
                  <c:v>6.3037116264175221E-5</c:v>
                </c:pt>
                <c:pt idx="91">
                  <c:v>6.262081412126779E-5</c:v>
                </c:pt>
                <c:pt idx="92">
                  <c:v>6.1732839071701332E-5</c:v>
                </c:pt>
                <c:pt idx="93">
                  <c:v>6.0557836030733306E-5</c:v>
                </c:pt>
                <c:pt idx="94">
                  <c:v>5.9842106791886329E-5</c:v>
                </c:pt>
                <c:pt idx="95">
                  <c:v>5.9885286150204158E-5</c:v>
                </c:pt>
                <c:pt idx="96">
                  <c:v>5.9591654960704398E-5</c:v>
                </c:pt>
                <c:pt idx="97">
                  <c:v>5.8675290286968159E-5</c:v>
                </c:pt>
                <c:pt idx="98">
                  <c:v>5.7786174662815297E-5</c:v>
                </c:pt>
                <c:pt idx="99">
                  <c:v>5.674748469867466E-5</c:v>
                </c:pt>
                <c:pt idx="100">
                  <c:v>5.631936892154664E-5</c:v>
                </c:pt>
                <c:pt idx="101">
                  <c:v>5.5227189313697041E-5</c:v>
                </c:pt>
                <c:pt idx="102">
                  <c:v>5.4393665616410662E-5</c:v>
                </c:pt>
                <c:pt idx="103">
                  <c:v>5.4387375483602198E-5</c:v>
                </c:pt>
                <c:pt idx="104">
                  <c:v>5.4676009463940858E-5</c:v>
                </c:pt>
                <c:pt idx="105">
                  <c:v>5.3518429455157638E-5</c:v>
                </c:pt>
                <c:pt idx="106">
                  <c:v>5.2381219117857815E-5</c:v>
                </c:pt>
                <c:pt idx="107">
                  <c:v>5.4051933268544688E-5</c:v>
                </c:pt>
                <c:pt idx="108">
                  <c:v>5.0878261746906982E-5</c:v>
                </c:pt>
                <c:pt idx="109">
                  <c:v>5.1797024251070193E-5</c:v>
                </c:pt>
                <c:pt idx="110">
                  <c:v>5.381973063337852E-5</c:v>
                </c:pt>
                <c:pt idx="111">
                  <c:v>5.1298765344906925E-5</c:v>
                </c:pt>
                <c:pt idx="112">
                  <c:v>5.3464772640775309E-5</c:v>
                </c:pt>
                <c:pt idx="113">
                  <c:v>5.041842376456269E-5</c:v>
                </c:pt>
                <c:pt idx="114">
                  <c:v>5.2654950198246855E-5</c:v>
                </c:pt>
                <c:pt idx="115">
                  <c:v>5.0538062178551536E-5</c:v>
                </c:pt>
                <c:pt idx="116">
                  <c:v>5.0228967545781552E-5</c:v>
                </c:pt>
                <c:pt idx="117">
                  <c:v>4.8870821348806145E-5</c:v>
                </c:pt>
                <c:pt idx="118">
                  <c:v>4.8773010089798031E-5</c:v>
                </c:pt>
                <c:pt idx="119">
                  <c:v>5.1094506280132911E-5</c:v>
                </c:pt>
                <c:pt idx="120">
                  <c:v>5.3333034403013911E-5</c:v>
                </c:pt>
                <c:pt idx="121">
                  <c:v>5.4141937786878143E-5</c:v>
                </c:pt>
                <c:pt idx="122">
                  <c:v>4.8246479367549594E-5</c:v>
                </c:pt>
                <c:pt idx="123">
                  <c:v>0</c:v>
                </c:pt>
                <c:pt idx="124">
                  <c:v>0</c:v>
                </c:pt>
              </c:numCache>
            </c:numRef>
          </c:yVal>
          <c:smooth val="0"/>
        </c:ser>
        <c:ser>
          <c:idx val="7"/>
          <c:order val="7"/>
          <c:tx>
            <c:strRef>
              <c:f>Plots!$N$1</c:f>
              <c:strCache>
                <c:ptCount val="1"/>
                <c:pt idx="0">
                  <c:v>125</c:v>
                </c:pt>
              </c:strCache>
            </c:strRef>
          </c:tx>
          <c:spPr>
            <a:ln w="28575">
              <a:noFill/>
            </a:ln>
          </c:spPr>
          <c:marker>
            <c:symbol val="diamond"/>
            <c:size val="7"/>
            <c:spPr>
              <a:solidFill>
                <a:srgbClr val="FFFF00"/>
              </a:solidFill>
              <a:ln>
                <a:noFill/>
              </a:ln>
            </c:spPr>
          </c:marker>
          <c:xVal>
            <c:numRef>
              <c:f>Plots!$N$3:$N$127</c:f>
              <c:numCache>
                <c:formatCode>General</c:formatCode>
                <c:ptCount val="125"/>
                <c:pt idx="0">
                  <c:v>8241621971857983</c:v>
                </c:pt>
                <c:pt idx="1">
                  <c:v>2.8312831967071852E+16</c:v>
                </c:pt>
                <c:pt idx="2">
                  <c:v>3.9003181065489496E+16</c:v>
                </c:pt>
                <c:pt idx="3">
                  <c:v>4.372132759573604E+16</c:v>
                </c:pt>
                <c:pt idx="4">
                  <c:v>4.3829594624184544E+16</c:v>
                </c:pt>
                <c:pt idx="5">
                  <c:v>4.2631253119512784E+16</c:v>
                </c:pt>
                <c:pt idx="6">
                  <c:v>4.109368737733476E+16</c:v>
                </c:pt>
                <c:pt idx="7">
                  <c:v>3.9510481312208512E+16</c:v>
                </c:pt>
                <c:pt idx="8">
                  <c:v>3.7908453712487408E+16</c:v>
                </c:pt>
                <c:pt idx="9">
                  <c:v>3.6329736505483792E+16</c:v>
                </c:pt>
                <c:pt idx="10">
                  <c:v>3.4763092821658284E+16</c:v>
                </c:pt>
                <c:pt idx="11">
                  <c:v>3.3242269098575236E+16</c:v>
                </c:pt>
                <c:pt idx="12">
                  <c:v>3.1738590766353192E+16</c:v>
                </c:pt>
                <c:pt idx="13">
                  <c:v>3.02764066268372E+16</c:v>
                </c:pt>
                <c:pt idx="14">
                  <c:v>2.8865421847880876E+16</c:v>
                </c:pt>
                <c:pt idx="15">
                  <c:v>2.750597152787456E+16</c:v>
                </c:pt>
                <c:pt idx="16">
                  <c:v>2.6184877278977404E+16</c:v>
                </c:pt>
                <c:pt idx="17">
                  <c:v>2.4919853443845084E+16</c:v>
                </c:pt>
                <c:pt idx="18">
                  <c:v>2.3702452340463448E+16</c:v>
                </c:pt>
                <c:pt idx="19">
                  <c:v>2.2528039726606124E+16</c:v>
                </c:pt>
                <c:pt idx="20">
                  <c:v>2.1406840325732128E+16</c:v>
                </c:pt>
                <c:pt idx="21">
                  <c:v>2.0327132994090492E+16</c:v>
                </c:pt>
                <c:pt idx="22">
                  <c:v>1.9292042760993296E+16</c:v>
                </c:pt>
                <c:pt idx="23">
                  <c:v>1.8305493223806392E+16</c:v>
                </c:pt>
                <c:pt idx="24">
                  <c:v>1.7362877094902292E+16</c:v>
                </c:pt>
                <c:pt idx="25">
                  <c:v>1.6464976089125116E+16</c:v>
                </c:pt>
                <c:pt idx="26">
                  <c:v>1.5610689215923752E+16</c:v>
                </c:pt>
                <c:pt idx="27">
                  <c:v>1.478721220807794E+16</c:v>
                </c:pt>
                <c:pt idx="28">
                  <c:v>1.4011325075880742E+16</c:v>
                </c:pt>
                <c:pt idx="29">
                  <c:v>1.3265876381065974E+16</c:v>
                </c:pt>
                <c:pt idx="30">
                  <c:v>1.256416381512559E+16</c:v>
                </c:pt>
                <c:pt idx="31">
                  <c:v>1.1894496572504916E+16</c:v>
                </c:pt>
                <c:pt idx="32">
                  <c:v>1.126331881249413E+16</c:v>
                </c:pt>
                <c:pt idx="33">
                  <c:v>1.0656936422443678E+16</c:v>
                </c:pt>
                <c:pt idx="34">
                  <c:v>1.0079499290984518E+16</c:v>
                </c:pt>
                <c:pt idx="35">
                  <c:v>9533746752865864</c:v>
                </c:pt>
                <c:pt idx="36">
                  <c:v>9010619187874492</c:v>
                </c:pt>
                <c:pt idx="37">
                  <c:v>8524958231875618</c:v>
                </c:pt>
                <c:pt idx="38">
                  <c:v>8055218366818202</c:v>
                </c:pt>
                <c:pt idx="39">
                  <c:v>7613222282863199</c:v>
                </c:pt>
                <c:pt idx="40">
                  <c:v>7194136443903677</c:v>
                </c:pt>
                <c:pt idx="41">
                  <c:v>6794312130138635</c:v>
                </c:pt>
                <c:pt idx="42">
                  <c:v>6418098597588376</c:v>
                </c:pt>
                <c:pt idx="43">
                  <c:v>6059408603344126</c:v>
                </c:pt>
                <c:pt idx="44">
                  <c:v>5719952271758612</c:v>
                </c:pt>
                <c:pt idx="45">
                  <c:v>5399041112579576</c:v>
                </c:pt>
                <c:pt idx="46">
                  <c:v>5103850601195403</c:v>
                </c:pt>
                <c:pt idx="47">
                  <c:v>4815455643390528</c:v>
                </c:pt>
                <c:pt idx="48">
                  <c:v>4543021153814588</c:v>
                </c:pt>
                <c:pt idx="49">
                  <c:v>4289674915066014</c:v>
                </c:pt>
                <c:pt idx="50">
                  <c:v>4042926767434835</c:v>
                </c:pt>
                <c:pt idx="51">
                  <c:v>3813713092095785.5</c:v>
                </c:pt>
                <c:pt idx="52">
                  <c:v>3596856723408445.5</c:v>
                </c:pt>
                <c:pt idx="53">
                  <c:v>3394459000843060.5</c:v>
                </c:pt>
                <c:pt idx="54">
                  <c:v>3201294529725674</c:v>
                </c:pt>
                <c:pt idx="55">
                  <c:v>3013450057809428</c:v>
                </c:pt>
                <c:pt idx="56">
                  <c:v>2841664036078150.5</c:v>
                </c:pt>
                <c:pt idx="57">
                  <c:v>2675454386158363</c:v>
                </c:pt>
                <c:pt idx="58">
                  <c:v>2523412845104413.5</c:v>
                </c:pt>
                <c:pt idx="59">
                  <c:v>2378527357933657</c:v>
                </c:pt>
                <c:pt idx="60">
                  <c:v>2241548116968229.2</c:v>
                </c:pt>
                <c:pt idx="61">
                  <c:v>2111027228255701</c:v>
                </c:pt>
                <c:pt idx="62">
                  <c:v>1986192999105395.7</c:v>
                </c:pt>
                <c:pt idx="63">
                  <c:v>1871062488846676.8</c:v>
                </c:pt>
                <c:pt idx="64">
                  <c:v>1760774252193609.5</c:v>
                </c:pt>
                <c:pt idx="65">
                  <c:v>1663173386425164</c:v>
                </c:pt>
                <c:pt idx="66">
                  <c:v>1566617239411987.5</c:v>
                </c:pt>
                <c:pt idx="67">
                  <c:v>1474086243652485.5</c:v>
                </c:pt>
                <c:pt idx="68">
                  <c:v>1387028961118624.5</c:v>
                </c:pt>
                <c:pt idx="69">
                  <c:v>1306735934972697.8</c:v>
                </c:pt>
                <c:pt idx="70">
                  <c:v>1228538562234803.2</c:v>
                </c:pt>
                <c:pt idx="71">
                  <c:v>1156641373921956.5</c:v>
                </c:pt>
                <c:pt idx="72">
                  <c:v>1089082773745090.6</c:v>
                </c:pt>
                <c:pt idx="73">
                  <c:v>1025851183435828.6</c:v>
                </c:pt>
                <c:pt idx="74">
                  <c:v>966357739773200.62</c:v>
                </c:pt>
                <c:pt idx="75">
                  <c:v>907019815772815.75</c:v>
                </c:pt>
                <c:pt idx="76">
                  <c:v>854015818304650.87</c:v>
                </c:pt>
                <c:pt idx="77">
                  <c:v>802200234960677.5</c:v>
                </c:pt>
                <c:pt idx="78">
                  <c:v>752873062043961.25</c:v>
                </c:pt>
                <c:pt idx="79">
                  <c:v>706571523786331.75</c:v>
                </c:pt>
                <c:pt idx="80">
                  <c:v>663087397559857.87</c:v>
                </c:pt>
                <c:pt idx="81">
                  <c:v>620013747650781.5</c:v>
                </c:pt>
                <c:pt idx="82">
                  <c:v>585470345700891.62</c:v>
                </c:pt>
                <c:pt idx="83">
                  <c:v>549027771777910.12</c:v>
                </c:pt>
                <c:pt idx="84">
                  <c:v>512333704390281.25</c:v>
                </c:pt>
                <c:pt idx="85">
                  <c:v>482388173821777.37</c:v>
                </c:pt>
                <c:pt idx="86">
                  <c:v>451086705028138.75</c:v>
                </c:pt>
                <c:pt idx="87">
                  <c:v>425567831854000.94</c:v>
                </c:pt>
                <c:pt idx="88">
                  <c:v>399628290938680.87</c:v>
                </c:pt>
                <c:pt idx="89">
                  <c:v>375296603610667.31</c:v>
                </c:pt>
                <c:pt idx="90">
                  <c:v>351632176452572.5</c:v>
                </c:pt>
                <c:pt idx="91">
                  <c:v>328433644023891.44</c:v>
                </c:pt>
                <c:pt idx="92">
                  <c:v>307378874597983.94</c:v>
                </c:pt>
                <c:pt idx="93">
                  <c:v>289494304924544.44</c:v>
                </c:pt>
                <c:pt idx="94">
                  <c:v>271378323813090.12</c:v>
                </c:pt>
                <c:pt idx="95">
                  <c:v>252442921775853.5</c:v>
                </c:pt>
                <c:pt idx="96">
                  <c:v>241777029023259.75</c:v>
                </c:pt>
                <c:pt idx="97">
                  <c:v>219039673156882.91</c:v>
                </c:pt>
                <c:pt idx="98">
                  <c:v>206821430630562.25</c:v>
                </c:pt>
                <c:pt idx="99">
                  <c:v>195739449812513.28</c:v>
                </c:pt>
                <c:pt idx="100">
                  <c:v>181724504870998.09</c:v>
                </c:pt>
                <c:pt idx="101">
                  <c:v>177953916862279.56</c:v>
                </c:pt>
                <c:pt idx="102">
                  <c:v>160185202623472.78</c:v>
                </c:pt>
                <c:pt idx="103">
                  <c:v>153092912434454.56</c:v>
                </c:pt>
                <c:pt idx="104">
                  <c:v>139503917338214.42</c:v>
                </c:pt>
                <c:pt idx="105">
                  <c:v>130222357334819.98</c:v>
                </c:pt>
                <c:pt idx="106">
                  <c:v>124120076778929.97</c:v>
                </c:pt>
                <c:pt idx="107">
                  <c:v>110702527399405.86</c:v>
                </c:pt>
                <c:pt idx="108">
                  <c:v>107874336079899.14</c:v>
                </c:pt>
                <c:pt idx="109">
                  <c:v>105631764715177.69</c:v>
                </c:pt>
                <c:pt idx="110">
                  <c:v>93547238034028.562</c:v>
                </c:pt>
                <c:pt idx="111">
                  <c:v>85464637341940.375</c:v>
                </c:pt>
                <c:pt idx="112">
                  <c:v>81522610972817.625</c:v>
                </c:pt>
                <c:pt idx="113">
                  <c:v>74615051784090.203</c:v>
                </c:pt>
                <c:pt idx="114">
                  <c:v>65476217566408.836</c:v>
                </c:pt>
                <c:pt idx="115">
                  <c:v>63192721604603.094</c:v>
                </c:pt>
                <c:pt idx="116">
                  <c:v>60084043526867.367</c:v>
                </c:pt>
                <c:pt idx="117">
                  <c:v>58044462043401.953</c:v>
                </c:pt>
                <c:pt idx="118">
                  <c:v>51443042772893.727</c:v>
                </c:pt>
                <c:pt idx="119">
                  <c:v>48629127542143.43</c:v>
                </c:pt>
                <c:pt idx="120">
                  <c:v>42131232669611.398</c:v>
                </c:pt>
                <c:pt idx="121">
                  <c:v>40047132917576.414</c:v>
                </c:pt>
                <c:pt idx="122">
                  <c:v>37721351233360.437</c:v>
                </c:pt>
                <c:pt idx="123">
                  <c:v>36752414090408.977</c:v>
                </c:pt>
                <c:pt idx="124">
                  <c:v>33459058369133.066</c:v>
                </c:pt>
              </c:numCache>
            </c:numRef>
          </c:xVal>
          <c:yVal>
            <c:numRef>
              <c:f>Plots!$O$3:$O$127</c:f>
              <c:numCache>
                <c:formatCode>General</c:formatCode>
                <c:ptCount val="125"/>
                <c:pt idx="0">
                  <c:v>0</c:v>
                </c:pt>
                <c:pt idx="1">
                  <c:v>0</c:v>
                </c:pt>
                <c:pt idx="2">
                  <c:v>1.0059472124891302E-4</c:v>
                </c:pt>
                <c:pt idx="3">
                  <c:v>9.4756037244369696E-5</c:v>
                </c:pt>
                <c:pt idx="4">
                  <c:v>9.0870307197202032E-5</c:v>
                </c:pt>
                <c:pt idx="5">
                  <c:v>8.9691780347108131E-5</c:v>
                </c:pt>
                <c:pt idx="6">
                  <c:v>9.0837139266261729E-5</c:v>
                </c:pt>
                <c:pt idx="7">
                  <c:v>9.2397891496801067E-5</c:v>
                </c:pt>
                <c:pt idx="8">
                  <c:v>9.3928314385137036E-5</c:v>
                </c:pt>
                <c:pt idx="9">
                  <c:v>9.539354287162012E-5</c:v>
                </c:pt>
                <c:pt idx="10">
                  <c:v>9.6747709983488979E-5</c:v>
                </c:pt>
                <c:pt idx="11">
                  <c:v>9.804455141317994E-5</c:v>
                </c:pt>
                <c:pt idx="12">
                  <c:v>9.9236753065990097E-5</c:v>
                </c:pt>
                <c:pt idx="13">
                  <c:v>1.0031613743978126E-4</c:v>
                </c:pt>
                <c:pt idx="14">
                  <c:v>1.0130471081991098E-4</c:v>
                </c:pt>
                <c:pt idx="15">
                  <c:v>1.0222695167395651E-4</c:v>
                </c:pt>
                <c:pt idx="16">
                  <c:v>1.0303066133541511E-4</c:v>
                </c:pt>
                <c:pt idx="17">
                  <c:v>1.0379574704871457E-4</c:v>
                </c:pt>
                <c:pt idx="18">
                  <c:v>1.0449407291914687E-4</c:v>
                </c:pt>
                <c:pt idx="19">
                  <c:v>1.0506918961374505E-4</c:v>
                </c:pt>
                <c:pt idx="20">
                  <c:v>1.0560964531587277E-4</c:v>
                </c:pt>
                <c:pt idx="21">
                  <c:v>1.0602257969123483E-4</c:v>
                </c:pt>
                <c:pt idx="22">
                  <c:v>1.0634871668313908E-4</c:v>
                </c:pt>
                <c:pt idx="23">
                  <c:v>1.0667927397228496E-4</c:v>
                </c:pt>
                <c:pt idx="24">
                  <c:v>1.0688948893713428E-4</c:v>
                </c:pt>
                <c:pt idx="25">
                  <c:v>1.0707551806671203E-4</c:v>
                </c:pt>
                <c:pt idx="26">
                  <c:v>1.0719294304022775E-4</c:v>
                </c:pt>
                <c:pt idx="27">
                  <c:v>1.0716716949714761E-4</c:v>
                </c:pt>
                <c:pt idx="28">
                  <c:v>1.0736150253912455E-4</c:v>
                </c:pt>
                <c:pt idx="29">
                  <c:v>1.072816544165579E-4</c:v>
                </c:pt>
                <c:pt idx="30">
                  <c:v>1.0719115208177562E-4</c:v>
                </c:pt>
                <c:pt idx="31">
                  <c:v>1.0701969355614098E-4</c:v>
                </c:pt>
                <c:pt idx="32">
                  <c:v>1.0679403969562258E-4</c:v>
                </c:pt>
                <c:pt idx="33">
                  <c:v>1.0647618789783636E-4</c:v>
                </c:pt>
                <c:pt idx="34">
                  <c:v>1.0609612587227657E-4</c:v>
                </c:pt>
                <c:pt idx="35">
                  <c:v>1.0570903008393171E-4</c:v>
                </c:pt>
                <c:pt idx="36">
                  <c:v>1.0521869380384827E-4</c:v>
                </c:pt>
                <c:pt idx="37">
                  <c:v>1.047540052942257E-4</c:v>
                </c:pt>
                <c:pt idx="38">
                  <c:v>1.042741670666745E-4</c:v>
                </c:pt>
                <c:pt idx="39">
                  <c:v>1.0375113400752328E-4</c:v>
                </c:pt>
                <c:pt idx="40">
                  <c:v>1.0319681003001574E-4</c:v>
                </c:pt>
                <c:pt idx="41">
                  <c:v>1.025782385208522E-4</c:v>
                </c:pt>
                <c:pt idx="42">
                  <c:v>1.019829644378271E-4</c:v>
                </c:pt>
                <c:pt idx="43">
                  <c:v>1.0121349424310422E-4</c:v>
                </c:pt>
                <c:pt idx="44">
                  <c:v>1.0051541289447879E-4</c:v>
                </c:pt>
                <c:pt idx="45">
                  <c:v>9.9750158798892017E-5</c:v>
                </c:pt>
                <c:pt idx="46">
                  <c:v>9.9126441895727461E-5</c:v>
                </c:pt>
                <c:pt idx="47">
                  <c:v>9.8362197349565676E-5</c:v>
                </c:pt>
                <c:pt idx="48">
                  <c:v>9.7472126531405773E-5</c:v>
                </c:pt>
                <c:pt idx="49">
                  <c:v>9.6648461188560906E-5</c:v>
                </c:pt>
                <c:pt idx="50">
                  <c:v>9.5678313776625316E-5</c:v>
                </c:pt>
                <c:pt idx="51">
                  <c:v>9.4874055218940097E-5</c:v>
                </c:pt>
                <c:pt idx="52">
                  <c:v>9.4052578235274522E-5</c:v>
                </c:pt>
                <c:pt idx="53">
                  <c:v>9.3225821767325008E-5</c:v>
                </c:pt>
                <c:pt idx="54">
                  <c:v>9.2288757144533195E-5</c:v>
                </c:pt>
                <c:pt idx="55">
                  <c:v>9.1195547081170049E-5</c:v>
                </c:pt>
                <c:pt idx="56">
                  <c:v>9.029090937723697E-5</c:v>
                </c:pt>
                <c:pt idx="57">
                  <c:v>8.923435286867908E-5</c:v>
                </c:pt>
                <c:pt idx="58">
                  <c:v>8.845785947944406E-5</c:v>
                </c:pt>
                <c:pt idx="59">
                  <c:v>8.7626427985542572E-5</c:v>
                </c:pt>
                <c:pt idx="60">
                  <c:v>8.6662125187591133E-5</c:v>
                </c:pt>
                <c:pt idx="61">
                  <c:v>8.5741384138038088E-5</c:v>
                </c:pt>
                <c:pt idx="62">
                  <c:v>8.4787534143626383E-5</c:v>
                </c:pt>
                <c:pt idx="63">
                  <c:v>8.3837400906498121E-5</c:v>
                </c:pt>
                <c:pt idx="64">
                  <c:v>8.275899471316032E-5</c:v>
                </c:pt>
                <c:pt idx="65">
                  <c:v>8.2087080111251131E-5</c:v>
                </c:pt>
                <c:pt idx="66">
                  <c:v>8.1191468981505109E-5</c:v>
                </c:pt>
                <c:pt idx="67">
                  <c:v>8.0127551400444998E-5</c:v>
                </c:pt>
                <c:pt idx="68">
                  <c:v>7.9225315043606343E-5</c:v>
                </c:pt>
                <c:pt idx="69">
                  <c:v>7.8335133006028501E-5</c:v>
                </c:pt>
                <c:pt idx="70">
                  <c:v>7.7187726767742726E-5</c:v>
                </c:pt>
                <c:pt idx="71">
                  <c:v>7.632294722462776E-5</c:v>
                </c:pt>
                <c:pt idx="72">
                  <c:v>7.5473188265681121E-5</c:v>
                </c:pt>
                <c:pt idx="73">
                  <c:v>7.4620467440046658E-5</c:v>
                </c:pt>
                <c:pt idx="74">
                  <c:v>7.382184638150527E-5</c:v>
                </c:pt>
                <c:pt idx="75">
                  <c:v>7.2658831512386148E-5</c:v>
                </c:pt>
                <c:pt idx="76">
                  <c:v>7.1862882615936579E-5</c:v>
                </c:pt>
                <c:pt idx="77">
                  <c:v>7.0927083531233017E-5</c:v>
                </c:pt>
                <c:pt idx="78">
                  <c:v>6.9915171225228695E-5</c:v>
                </c:pt>
                <c:pt idx="79">
                  <c:v>6.8782072679335958E-5</c:v>
                </c:pt>
                <c:pt idx="80">
                  <c:v>6.7899169831765345E-5</c:v>
                </c:pt>
                <c:pt idx="81">
                  <c:v>6.6718348670256859E-5</c:v>
                </c:pt>
                <c:pt idx="82">
                  <c:v>6.6226394214434126E-5</c:v>
                </c:pt>
                <c:pt idx="83">
                  <c:v>6.5234801569488701E-5</c:v>
                </c:pt>
                <c:pt idx="84">
                  <c:v>6.4029715093812377E-5</c:v>
                </c:pt>
                <c:pt idx="85">
                  <c:v>6.3320943354010288E-5</c:v>
                </c:pt>
                <c:pt idx="86">
                  <c:v>6.2406159364074534E-5</c:v>
                </c:pt>
                <c:pt idx="87">
                  <c:v>6.1701439145591389E-5</c:v>
                </c:pt>
                <c:pt idx="88">
                  <c:v>6.1050508652244273E-5</c:v>
                </c:pt>
                <c:pt idx="89">
                  <c:v>6.0476703160486375E-5</c:v>
                </c:pt>
                <c:pt idx="90">
                  <c:v>5.9291085435187589E-5</c:v>
                </c:pt>
                <c:pt idx="91">
                  <c:v>5.838796663760289E-5</c:v>
                </c:pt>
                <c:pt idx="92">
                  <c:v>5.7504813277529669E-5</c:v>
                </c:pt>
                <c:pt idx="93">
                  <c:v>5.7076627965637274E-5</c:v>
                </c:pt>
                <c:pt idx="94">
                  <c:v>5.6454423676630432E-5</c:v>
                </c:pt>
                <c:pt idx="95">
                  <c:v>5.5340015022232368E-5</c:v>
                </c:pt>
                <c:pt idx="96">
                  <c:v>5.5771521375686038E-5</c:v>
                </c:pt>
                <c:pt idx="97">
                  <c:v>5.3107571028514734E-5</c:v>
                </c:pt>
                <c:pt idx="98">
                  <c:v>5.3071628677304416E-5</c:v>
                </c:pt>
                <c:pt idx="99">
                  <c:v>5.3635645984216745E-5</c:v>
                </c:pt>
                <c:pt idx="100">
                  <c:v>5.2191990321943193E-5</c:v>
                </c:pt>
                <c:pt idx="101">
                  <c:v>5.4275165561114282E-5</c:v>
                </c:pt>
                <c:pt idx="102">
                  <c:v>5.1392312672812844E-5</c:v>
                </c:pt>
                <c:pt idx="103">
                  <c:v>5.1743871259307182E-5</c:v>
                </c:pt>
                <c:pt idx="104">
                  <c:v>5.0062574633714462E-5</c:v>
                </c:pt>
                <c:pt idx="105">
                  <c:v>4.8831710014097423E-5</c:v>
                </c:pt>
                <c:pt idx="106">
                  <c:v>4.991448182807761E-5</c:v>
                </c:pt>
                <c:pt idx="107">
                  <c:v>4.7205993282018457E-5</c:v>
                </c:pt>
                <c:pt idx="108">
                  <c:v>4.8486684456300546E-5</c:v>
                </c:pt>
                <c:pt idx="109">
                  <c:v>5.0585115278565649E-5</c:v>
                </c:pt>
                <c:pt idx="110">
                  <c:v>4.7154358390959172E-5</c:v>
                </c:pt>
                <c:pt idx="111">
                  <c:v>4.5754230478374744E-5</c:v>
                </c:pt>
                <c:pt idx="112">
                  <c:v>4.6773381152303269E-5</c:v>
                </c:pt>
                <c:pt idx="113">
                  <c:v>4.5349365323520867E-5</c:v>
                </c:pt>
                <c:pt idx="114">
                  <c:v>4.2387316561214639E-5</c:v>
                </c:pt>
                <c:pt idx="115">
                  <c:v>4.3880260495690069E-5</c:v>
                </c:pt>
                <c:pt idx="116">
                  <c:v>4.4587976381155639E-5</c:v>
                </c:pt>
                <c:pt idx="117">
                  <c:v>4.6033967661863234E-5</c:v>
                </c:pt>
                <c:pt idx="118">
                  <c:v>4.3493768530397428E-5</c:v>
                </c:pt>
                <c:pt idx="119">
                  <c:v>4.3332682654533567E-5</c:v>
                </c:pt>
                <c:pt idx="120">
                  <c:v>4.0395135250502023E-5</c:v>
                </c:pt>
                <c:pt idx="121">
                  <c:v>4.156053276976151E-5</c:v>
                </c:pt>
                <c:pt idx="122">
                  <c:v>4.2270132922084499E-5</c:v>
                </c:pt>
                <c:pt idx="123">
                  <c:v>0</c:v>
                </c:pt>
                <c:pt idx="124">
                  <c:v>0</c:v>
                </c:pt>
              </c:numCache>
            </c:numRef>
          </c:yVal>
          <c:smooth val="0"/>
        </c:ser>
        <c:ser>
          <c:idx val="8"/>
          <c:order val="8"/>
          <c:tx>
            <c:strRef>
              <c:f>Plots!$P$1</c:f>
              <c:strCache>
                <c:ptCount val="1"/>
                <c:pt idx="0">
                  <c:v>115</c:v>
                </c:pt>
              </c:strCache>
            </c:strRef>
          </c:tx>
          <c:spPr>
            <a:ln w="28575">
              <a:noFill/>
            </a:ln>
          </c:spPr>
          <c:marker>
            <c:symbol val="diamond"/>
            <c:size val="7"/>
            <c:spPr>
              <a:solidFill>
                <a:schemeClr val="accent3">
                  <a:lumMod val="60000"/>
                  <a:lumOff val="40000"/>
                </a:schemeClr>
              </a:solidFill>
              <a:ln>
                <a:noFill/>
              </a:ln>
            </c:spPr>
          </c:marker>
          <c:xVal>
            <c:numRef>
              <c:f>Plots!$P$3:$P$127</c:f>
              <c:numCache>
                <c:formatCode>General</c:formatCode>
                <c:ptCount val="125"/>
                <c:pt idx="0">
                  <c:v>2004676035789762.7</c:v>
                </c:pt>
                <c:pt idx="1">
                  <c:v>2.096029818207226E+16</c:v>
                </c:pt>
                <c:pt idx="2">
                  <c:v>3.6045687412734464E+16</c:v>
                </c:pt>
                <c:pt idx="3">
                  <c:v>4.3264879117805656E+16</c:v>
                </c:pt>
                <c:pt idx="4">
                  <c:v>4.432083662510236E+16</c:v>
                </c:pt>
                <c:pt idx="5">
                  <c:v>4.3306468278191896E+16</c:v>
                </c:pt>
                <c:pt idx="6">
                  <c:v>4.1801184363540328E+16</c:v>
                </c:pt>
                <c:pt idx="7">
                  <c:v>4.0211074994375912E+16</c:v>
                </c:pt>
                <c:pt idx="8">
                  <c:v>3.8590037841840568E+16</c:v>
                </c:pt>
                <c:pt idx="9">
                  <c:v>3.6969385467211112E+16</c:v>
                </c:pt>
                <c:pt idx="10">
                  <c:v>3.5368347213979036E+16</c:v>
                </c:pt>
                <c:pt idx="11">
                  <c:v>3.3798491800433536E+16</c:v>
                </c:pt>
                <c:pt idx="12">
                  <c:v>3.2257668575173512E+16</c:v>
                </c:pt>
                <c:pt idx="13">
                  <c:v>3.0758223330697224E+16</c:v>
                </c:pt>
                <c:pt idx="14">
                  <c:v>2.9301747088337888E+16</c:v>
                </c:pt>
                <c:pt idx="15">
                  <c:v>2.7908382871968712E+16</c:v>
                </c:pt>
                <c:pt idx="16">
                  <c:v>2.6557590376422464E+16</c:v>
                </c:pt>
                <c:pt idx="17">
                  <c:v>2.5253174002962048E+16</c:v>
                </c:pt>
                <c:pt idx="18">
                  <c:v>2.399927170647332E+16</c:v>
                </c:pt>
                <c:pt idx="19">
                  <c:v>2.2786919114671092E+16</c:v>
                </c:pt>
                <c:pt idx="20">
                  <c:v>2.1625881392207184E+16</c:v>
                </c:pt>
                <c:pt idx="21">
                  <c:v>2.0516647069219024E+16</c:v>
                </c:pt>
                <c:pt idx="22">
                  <c:v>1.9453403752268892E+16</c:v>
                </c:pt>
                <c:pt idx="23">
                  <c:v>1.843126198827912E+16</c:v>
                </c:pt>
                <c:pt idx="24">
                  <c:v>1.746362363877953E+16</c:v>
                </c:pt>
                <c:pt idx="25">
                  <c:v>1.6536522318942334E+16</c:v>
                </c:pt>
                <c:pt idx="26">
                  <c:v>1.5662040126667882E+16</c:v>
                </c:pt>
                <c:pt idx="27">
                  <c:v>1.4823557315024986E+16</c:v>
                </c:pt>
                <c:pt idx="28">
                  <c:v>1.4028554823397668E+16</c:v>
                </c:pt>
                <c:pt idx="29">
                  <c:v>1.3266464817337458E+16</c:v>
                </c:pt>
                <c:pt idx="30">
                  <c:v>1.254726334564135E+16</c:v>
                </c:pt>
                <c:pt idx="31">
                  <c:v>1.1869788910024716E+16</c:v>
                </c:pt>
                <c:pt idx="32">
                  <c:v>1.1222645468675406E+16</c:v>
                </c:pt>
                <c:pt idx="33">
                  <c:v>1.0606064002708814E+16</c:v>
                </c:pt>
                <c:pt idx="34">
                  <c:v>1.0025332222573966E+16</c:v>
                </c:pt>
                <c:pt idx="35">
                  <c:v>9475133734526546</c:v>
                </c:pt>
                <c:pt idx="36">
                  <c:v>8948189384651185</c:v>
                </c:pt>
                <c:pt idx="37">
                  <c:v>8453060155627948</c:v>
                </c:pt>
                <c:pt idx="38">
                  <c:v>7984428313760077</c:v>
                </c:pt>
                <c:pt idx="39">
                  <c:v>7537157954184697</c:v>
                </c:pt>
                <c:pt idx="40">
                  <c:v>7110427222294895</c:v>
                </c:pt>
                <c:pt idx="41">
                  <c:v>6715082299011593</c:v>
                </c:pt>
                <c:pt idx="42">
                  <c:v>6336706629234851</c:v>
                </c:pt>
                <c:pt idx="43">
                  <c:v>5974301189213853</c:v>
                </c:pt>
                <c:pt idx="44">
                  <c:v>5638562908299376</c:v>
                </c:pt>
                <c:pt idx="45">
                  <c:v>5320228799585627</c:v>
                </c:pt>
                <c:pt idx="46">
                  <c:v>5016812554666229</c:v>
                </c:pt>
                <c:pt idx="47">
                  <c:v>4735962839968109</c:v>
                </c:pt>
                <c:pt idx="48">
                  <c:v>4467591617310888</c:v>
                </c:pt>
                <c:pt idx="49">
                  <c:v>4211480651931449</c:v>
                </c:pt>
                <c:pt idx="50">
                  <c:v>3967693104401415.5</c:v>
                </c:pt>
                <c:pt idx="51">
                  <c:v>3740310066381901</c:v>
                </c:pt>
                <c:pt idx="52">
                  <c:v>3524035876440603.5</c:v>
                </c:pt>
                <c:pt idx="53">
                  <c:v>3322345661497707.5</c:v>
                </c:pt>
                <c:pt idx="54">
                  <c:v>3129277590063863.5</c:v>
                </c:pt>
                <c:pt idx="55">
                  <c:v>2951819822269657.5</c:v>
                </c:pt>
                <c:pt idx="56">
                  <c:v>2777682408296089.5</c:v>
                </c:pt>
                <c:pt idx="57">
                  <c:v>2619969228728817</c:v>
                </c:pt>
                <c:pt idx="58">
                  <c:v>2465867578626194.5</c:v>
                </c:pt>
                <c:pt idx="59">
                  <c:v>2321430549850917.5</c:v>
                </c:pt>
                <c:pt idx="60">
                  <c:v>2189675758212365.7</c:v>
                </c:pt>
                <c:pt idx="61">
                  <c:v>2055782638859294.2</c:v>
                </c:pt>
                <c:pt idx="62">
                  <c:v>1938838506222714.2</c:v>
                </c:pt>
                <c:pt idx="63">
                  <c:v>1824502157802475.3</c:v>
                </c:pt>
                <c:pt idx="64">
                  <c:v>1716369335180348.7</c:v>
                </c:pt>
                <c:pt idx="65">
                  <c:v>1616745770020369.2</c:v>
                </c:pt>
                <c:pt idx="66">
                  <c:v>1528415103410725</c:v>
                </c:pt>
                <c:pt idx="67">
                  <c:v>1436051468417069.7</c:v>
                </c:pt>
                <c:pt idx="68">
                  <c:v>1351391792729366.2</c:v>
                </c:pt>
                <c:pt idx="69">
                  <c:v>1268002063999422.5</c:v>
                </c:pt>
                <c:pt idx="70">
                  <c:v>1196776594469376</c:v>
                </c:pt>
                <c:pt idx="71">
                  <c:v>1121946447707119.7</c:v>
                </c:pt>
                <c:pt idx="72">
                  <c:v>1056608647583442.6</c:v>
                </c:pt>
                <c:pt idx="73">
                  <c:v>994043456038547.87</c:v>
                </c:pt>
                <c:pt idx="74">
                  <c:v>933124645506990.37</c:v>
                </c:pt>
                <c:pt idx="75">
                  <c:v>878876964122356.25</c:v>
                </c:pt>
                <c:pt idx="76">
                  <c:v>826440995970142.37</c:v>
                </c:pt>
                <c:pt idx="77">
                  <c:v>775715765228819</c:v>
                </c:pt>
                <c:pt idx="78">
                  <c:v>729692555776308.62</c:v>
                </c:pt>
                <c:pt idx="79">
                  <c:v>683978185696930.87</c:v>
                </c:pt>
                <c:pt idx="80">
                  <c:v>647164011417494.37</c:v>
                </c:pt>
                <c:pt idx="81">
                  <c:v>604615020767507.62</c:v>
                </c:pt>
                <c:pt idx="82">
                  <c:v>565916222748910.62</c:v>
                </c:pt>
                <c:pt idx="83">
                  <c:v>535215032885651.75</c:v>
                </c:pt>
                <c:pt idx="84">
                  <c:v>501668259571062.31</c:v>
                </c:pt>
                <c:pt idx="85">
                  <c:v>468164753243437.94</c:v>
                </c:pt>
                <c:pt idx="86">
                  <c:v>441675878509456.94</c:v>
                </c:pt>
                <c:pt idx="87">
                  <c:v>415121840942696.94</c:v>
                </c:pt>
                <c:pt idx="88">
                  <c:v>384602347959655.12</c:v>
                </c:pt>
                <c:pt idx="89">
                  <c:v>361491358511655.25</c:v>
                </c:pt>
                <c:pt idx="90">
                  <c:v>343423046073851.37</c:v>
                </c:pt>
                <c:pt idx="91">
                  <c:v>319558456479828.06</c:v>
                </c:pt>
                <c:pt idx="92">
                  <c:v>299604815143409.75</c:v>
                </c:pt>
                <c:pt idx="93">
                  <c:v>280044528836360.87</c:v>
                </c:pt>
                <c:pt idx="94">
                  <c:v>262558575276384.72</c:v>
                </c:pt>
                <c:pt idx="95">
                  <c:v>245741996373023</c:v>
                </c:pt>
                <c:pt idx="96">
                  <c:v>229966144776084.22</c:v>
                </c:pt>
                <c:pt idx="97">
                  <c:v>214576777439056.59</c:v>
                </c:pt>
                <c:pt idx="98">
                  <c:v>197942258383289.69</c:v>
                </c:pt>
                <c:pt idx="99">
                  <c:v>191237328346566.47</c:v>
                </c:pt>
                <c:pt idx="100">
                  <c:v>172997282629752.62</c:v>
                </c:pt>
                <c:pt idx="101">
                  <c:v>165373080710114.66</c:v>
                </c:pt>
                <c:pt idx="102">
                  <c:v>155057056293362.53</c:v>
                </c:pt>
                <c:pt idx="103">
                  <c:v>145908683557362.84</c:v>
                </c:pt>
                <c:pt idx="104">
                  <c:v>134492121780778.75</c:v>
                </c:pt>
                <c:pt idx="105">
                  <c:v>125402858860296.94</c:v>
                </c:pt>
                <c:pt idx="106">
                  <c:v>119562016396825.55</c:v>
                </c:pt>
                <c:pt idx="107">
                  <c:v>105204528944818.69</c:v>
                </c:pt>
                <c:pt idx="108">
                  <c:v>99187703556521.016</c:v>
                </c:pt>
                <c:pt idx="109">
                  <c:v>96226784814166.922</c:v>
                </c:pt>
                <c:pt idx="110">
                  <c:v>92480271240437.094</c:v>
                </c:pt>
                <c:pt idx="111">
                  <c:v>79169262090557.484</c:v>
                </c:pt>
                <c:pt idx="112">
                  <c:v>77229342799735.734</c:v>
                </c:pt>
                <c:pt idx="113">
                  <c:v>74366246911340.766</c:v>
                </c:pt>
                <c:pt idx="114">
                  <c:v>63198506452229.898</c:v>
                </c:pt>
                <c:pt idx="115">
                  <c:v>58356864236587.086</c:v>
                </c:pt>
                <c:pt idx="116">
                  <c:v>56144279922700.008</c:v>
                </c:pt>
                <c:pt idx="117">
                  <c:v>53655816618654.273</c:v>
                </c:pt>
                <c:pt idx="118">
                  <c:v>50016502184697.531</c:v>
                </c:pt>
                <c:pt idx="119">
                  <c:v>49279555081473.953</c:v>
                </c:pt>
                <c:pt idx="120">
                  <c:v>43248639523626.969</c:v>
                </c:pt>
                <c:pt idx="121">
                  <c:v>35198889371544.242</c:v>
                </c:pt>
                <c:pt idx="122">
                  <c:v>33590061060974.027</c:v>
                </c:pt>
                <c:pt idx="123">
                  <c:v>31981500276191.844</c:v>
                </c:pt>
                <c:pt idx="124">
                  <c:v>32670811700600.844</c:v>
                </c:pt>
              </c:numCache>
            </c:numRef>
          </c:xVal>
          <c:yVal>
            <c:numRef>
              <c:f>Plots!$Q$3:$Q$127</c:f>
              <c:numCache>
                <c:formatCode>General</c:formatCode>
                <c:ptCount val="125"/>
                <c:pt idx="0">
                  <c:v>0</c:v>
                </c:pt>
                <c:pt idx="1">
                  <c:v>0</c:v>
                </c:pt>
                <c:pt idx="2">
                  <c:v>9.9529832340614335E-5</c:v>
                </c:pt>
                <c:pt idx="3">
                  <c:v>9.5964781684877503E-5</c:v>
                </c:pt>
                <c:pt idx="4">
                  <c:v>9.0352169691049588E-5</c:v>
                </c:pt>
                <c:pt idx="5">
                  <c:v>8.7470000732657046E-5</c:v>
                </c:pt>
                <c:pt idx="6">
                  <c:v>8.7677381936883495E-5</c:v>
                </c:pt>
                <c:pt idx="7">
                  <c:v>8.9142034091347673E-5</c:v>
                </c:pt>
                <c:pt idx="8">
                  <c:v>9.0688493495443074E-5</c:v>
                </c:pt>
                <c:pt idx="9">
                  <c:v>9.2083536817202729E-5</c:v>
                </c:pt>
                <c:pt idx="10">
                  <c:v>9.3399789894542994E-5</c:v>
                </c:pt>
                <c:pt idx="11">
                  <c:v>9.4605866291171427E-5</c:v>
                </c:pt>
                <c:pt idx="12">
                  <c:v>9.5731389998148991E-5</c:v>
                </c:pt>
                <c:pt idx="13">
                  <c:v>9.6777508900142836E-5</c:v>
                </c:pt>
                <c:pt idx="14">
                  <c:v>9.7717467971559127E-5</c:v>
                </c:pt>
                <c:pt idx="15">
                  <c:v>9.8597331372210316E-5</c:v>
                </c:pt>
                <c:pt idx="16">
                  <c:v>9.9365426468281542E-5</c:v>
                </c:pt>
                <c:pt idx="17">
                  <c:v>1.0004711649298396E-4</c:v>
                </c:pt>
                <c:pt idx="18">
                  <c:v>1.0067627304144687E-4</c:v>
                </c:pt>
                <c:pt idx="19">
                  <c:v>1.0121722984064053E-4</c:v>
                </c:pt>
                <c:pt idx="20">
                  <c:v>1.0167230289407245E-4</c:v>
                </c:pt>
                <c:pt idx="21">
                  <c:v>1.0205621527838031E-4</c:v>
                </c:pt>
                <c:pt idx="22">
                  <c:v>1.0235595708299602E-4</c:v>
                </c:pt>
                <c:pt idx="23">
                  <c:v>1.0257365427087868E-4</c:v>
                </c:pt>
                <c:pt idx="24">
                  <c:v>1.0277869907296122E-4</c:v>
                </c:pt>
                <c:pt idx="25">
                  <c:v>1.0286272805025922E-4</c:v>
                </c:pt>
                <c:pt idx="26">
                  <c:v>1.0294158137238123E-4</c:v>
                </c:pt>
                <c:pt idx="27">
                  <c:v>1.0291460774481422E-4</c:v>
                </c:pt>
                <c:pt idx="28">
                  <c:v>1.0290385073537162E-4</c:v>
                </c:pt>
                <c:pt idx="29">
                  <c:v>1.029129213814524E-4</c:v>
                </c:pt>
                <c:pt idx="30">
                  <c:v>1.0274463205971895E-4</c:v>
                </c:pt>
                <c:pt idx="31">
                  <c:v>1.0255439252759304E-4</c:v>
                </c:pt>
                <c:pt idx="32">
                  <c:v>1.0226074530878558E-4</c:v>
                </c:pt>
                <c:pt idx="33">
                  <c:v>1.0188862545641112E-4</c:v>
                </c:pt>
                <c:pt idx="34">
                  <c:v>1.0154515820997617E-4</c:v>
                </c:pt>
                <c:pt idx="35">
                  <c:v>1.0113127383516469E-4</c:v>
                </c:pt>
                <c:pt idx="36">
                  <c:v>1.0067064969786438E-4</c:v>
                </c:pt>
                <c:pt idx="37">
                  <c:v>1.0014146889887545E-4</c:v>
                </c:pt>
                <c:pt idx="38">
                  <c:v>9.9591445246293206E-5</c:v>
                </c:pt>
                <c:pt idx="39">
                  <c:v>9.9029034344376942E-5</c:v>
                </c:pt>
                <c:pt idx="40">
                  <c:v>9.8412734753826865E-5</c:v>
                </c:pt>
                <c:pt idx="41">
                  <c:v>9.7824674154509171E-5</c:v>
                </c:pt>
                <c:pt idx="42">
                  <c:v>9.7189037700116514E-5</c:v>
                </c:pt>
                <c:pt idx="43">
                  <c:v>9.6385060800303898E-5</c:v>
                </c:pt>
                <c:pt idx="44">
                  <c:v>9.5719620892599578E-5</c:v>
                </c:pt>
                <c:pt idx="45">
                  <c:v>9.4994254699652664E-5</c:v>
                </c:pt>
                <c:pt idx="46">
                  <c:v>9.4186659763576544E-5</c:v>
                </c:pt>
                <c:pt idx="47">
                  <c:v>9.3462880360706773E-5</c:v>
                </c:pt>
                <c:pt idx="48">
                  <c:v>9.2671175894273912E-5</c:v>
                </c:pt>
                <c:pt idx="49">
                  <c:v>9.1783135987485472E-5</c:v>
                </c:pt>
                <c:pt idx="50">
                  <c:v>9.0864866774246754E-5</c:v>
                </c:pt>
                <c:pt idx="51">
                  <c:v>9.002107710757137E-5</c:v>
                </c:pt>
                <c:pt idx="52">
                  <c:v>8.9096948879563643E-5</c:v>
                </c:pt>
                <c:pt idx="53">
                  <c:v>8.8244881986680119E-5</c:v>
                </c:pt>
                <c:pt idx="54">
                  <c:v>8.7330720687022517E-5</c:v>
                </c:pt>
                <c:pt idx="55">
                  <c:v>8.6502061736127582E-5</c:v>
                </c:pt>
                <c:pt idx="56">
                  <c:v>8.5483779325636991E-5</c:v>
                </c:pt>
                <c:pt idx="57">
                  <c:v>8.4616814515971493E-5</c:v>
                </c:pt>
                <c:pt idx="58">
                  <c:v>8.3633141359062629E-5</c:v>
                </c:pt>
                <c:pt idx="59">
                  <c:v>8.2671257986809902E-5</c:v>
                </c:pt>
                <c:pt idx="60">
                  <c:v>8.1909218277495814E-5</c:v>
                </c:pt>
                <c:pt idx="61">
                  <c:v>8.0683656037035053E-5</c:v>
                </c:pt>
                <c:pt idx="62">
                  <c:v>8.0063347039137467E-5</c:v>
                </c:pt>
                <c:pt idx="63">
                  <c:v>7.918873045029983E-5</c:v>
                </c:pt>
                <c:pt idx="64">
                  <c:v>7.8233775396199947E-5</c:v>
                </c:pt>
                <c:pt idx="65">
                  <c:v>7.729937217321276E-5</c:v>
                </c:pt>
                <c:pt idx="66">
                  <c:v>7.6741945843009061E-5</c:v>
                </c:pt>
                <c:pt idx="67">
                  <c:v>7.557335567046708E-5</c:v>
                </c:pt>
                <c:pt idx="68">
                  <c:v>7.4722375529888619E-5</c:v>
                </c:pt>
                <c:pt idx="69">
                  <c:v>7.3573725786302323E-5</c:v>
                </c:pt>
                <c:pt idx="70">
                  <c:v>7.2958910462468982E-5</c:v>
                </c:pt>
                <c:pt idx="71">
                  <c:v>7.1794317309983963E-5</c:v>
                </c:pt>
                <c:pt idx="72">
                  <c:v>7.0916102591157286E-5</c:v>
                </c:pt>
                <c:pt idx="73">
                  <c:v>7.0000519256747294E-5</c:v>
                </c:pt>
                <c:pt idx="74">
                  <c:v>6.9020979000887533E-5</c:v>
                </c:pt>
                <c:pt idx="75">
                  <c:v>6.8241768350662459E-5</c:v>
                </c:pt>
                <c:pt idx="76">
                  <c:v>6.7315299912790676E-5</c:v>
                </c:pt>
                <c:pt idx="77">
                  <c:v>6.6361089826306899E-5</c:v>
                </c:pt>
                <c:pt idx="78">
                  <c:v>6.5684461128528621E-5</c:v>
                </c:pt>
                <c:pt idx="79">
                  <c:v>6.4650772629935209E-5</c:v>
                </c:pt>
                <c:pt idx="80">
                  <c:v>6.4283952720556412E-5</c:v>
                </c:pt>
                <c:pt idx="81">
                  <c:v>6.3059944979134989E-5</c:v>
                </c:pt>
                <c:pt idx="82">
                  <c:v>6.1829153468032709E-5</c:v>
                </c:pt>
                <c:pt idx="83">
                  <c:v>6.1388019305767518E-5</c:v>
                </c:pt>
                <c:pt idx="84">
                  <c:v>6.0637741906853202E-5</c:v>
                </c:pt>
                <c:pt idx="85">
                  <c:v>5.9538509475911964E-5</c:v>
                </c:pt>
                <c:pt idx="86">
                  <c:v>5.8868437096664269E-5</c:v>
                </c:pt>
                <c:pt idx="87">
                  <c:v>5.7998903473794614E-5</c:v>
                </c:pt>
                <c:pt idx="88">
                  <c:v>5.677011885809909E-5</c:v>
                </c:pt>
                <c:pt idx="89">
                  <c:v>5.6199925237781473E-5</c:v>
                </c:pt>
                <c:pt idx="90">
                  <c:v>5.6206763490729864E-5</c:v>
                </c:pt>
                <c:pt idx="91">
                  <c:v>5.5001562412165366E-5</c:v>
                </c:pt>
                <c:pt idx="92">
                  <c:v>5.42690237964176E-5</c:v>
                </c:pt>
                <c:pt idx="93">
                  <c:v>5.3684833200243029E-5</c:v>
                </c:pt>
                <c:pt idx="94">
                  <c:v>5.2808703730425692E-5</c:v>
                </c:pt>
                <c:pt idx="95">
                  <c:v>5.2223789133791012E-5</c:v>
                </c:pt>
                <c:pt idx="96">
                  <c:v>5.1422513516342259E-5</c:v>
                </c:pt>
                <c:pt idx="97">
                  <c:v>5.0555096102430064E-5</c:v>
                </c:pt>
                <c:pt idx="98">
                  <c:v>4.9031341109829211E-5</c:v>
                </c:pt>
                <c:pt idx="99">
                  <c:v>5.0027190083176725E-5</c:v>
                </c:pt>
                <c:pt idx="100">
                  <c:v>4.8009202410622274E-5</c:v>
                </c:pt>
                <c:pt idx="101">
                  <c:v>4.8382900930733911E-5</c:v>
                </c:pt>
                <c:pt idx="102">
                  <c:v>4.8325934167625608E-5</c:v>
                </c:pt>
                <c:pt idx="103">
                  <c:v>4.7656631854057485E-5</c:v>
                </c:pt>
                <c:pt idx="104">
                  <c:v>4.6223768027722042E-5</c:v>
                </c:pt>
                <c:pt idx="105">
                  <c:v>4.5585859315944504E-5</c:v>
                </c:pt>
                <c:pt idx="106">
                  <c:v>4.5958394700124455E-5</c:v>
                </c:pt>
                <c:pt idx="107">
                  <c:v>4.2921435072206077E-5</c:v>
                </c:pt>
                <c:pt idx="108">
                  <c:v>4.3237819407642703E-5</c:v>
                </c:pt>
                <c:pt idx="109">
                  <c:v>4.4437513304273227E-5</c:v>
                </c:pt>
                <c:pt idx="110">
                  <c:v>4.5292189542521333E-5</c:v>
                </c:pt>
                <c:pt idx="111">
                  <c:v>4.110826143798503E-5</c:v>
                </c:pt>
                <c:pt idx="112">
                  <c:v>4.2065476888239433E-5</c:v>
                </c:pt>
                <c:pt idx="113">
                  <c:v>4.3541454052730143E-5</c:v>
                </c:pt>
                <c:pt idx="114">
                  <c:v>3.9257554989241704E-5</c:v>
                </c:pt>
                <c:pt idx="115">
                  <c:v>3.8693817777987563E-5</c:v>
                </c:pt>
                <c:pt idx="116">
                  <c:v>3.9869026855520656E-5</c:v>
                </c:pt>
                <c:pt idx="117">
                  <c:v>4.1448477494225197E-5</c:v>
                </c:pt>
                <c:pt idx="118">
                  <c:v>4.0727248138701147E-5</c:v>
                </c:pt>
                <c:pt idx="119">
                  <c:v>4.1696843989662448E-5</c:v>
                </c:pt>
                <c:pt idx="120">
                  <c:v>3.8810438819384892E-5</c:v>
                </c:pt>
                <c:pt idx="121">
                  <c:v>3.3636999487472971E-5</c:v>
                </c:pt>
                <c:pt idx="122">
                  <c:v>3.5114613606295782E-5</c:v>
                </c:pt>
                <c:pt idx="123">
                  <c:v>0</c:v>
                </c:pt>
                <c:pt idx="124">
                  <c:v>0</c:v>
                </c:pt>
              </c:numCache>
            </c:numRef>
          </c:yVal>
          <c:smooth val="0"/>
        </c:ser>
        <c:ser>
          <c:idx val="9"/>
          <c:order val="9"/>
          <c:tx>
            <c:strRef>
              <c:f>Plots!$R$1</c:f>
              <c:strCache>
                <c:ptCount val="1"/>
                <c:pt idx="0">
                  <c:v>105</c:v>
                </c:pt>
              </c:strCache>
            </c:strRef>
          </c:tx>
          <c:spPr>
            <a:ln w="28575">
              <a:noFill/>
            </a:ln>
          </c:spPr>
          <c:marker>
            <c:spPr>
              <a:solidFill>
                <a:srgbClr val="92D050"/>
              </a:solidFill>
              <a:ln>
                <a:noFill/>
              </a:ln>
            </c:spPr>
          </c:marker>
          <c:xVal>
            <c:numRef>
              <c:f>Plots!$R$3:$R$127</c:f>
              <c:numCache>
                <c:formatCode>General</c:formatCode>
                <c:ptCount val="125"/>
                <c:pt idx="0">
                  <c:v>8182873324811949</c:v>
                </c:pt>
                <c:pt idx="1">
                  <c:v>2.8136571936278488E+16</c:v>
                </c:pt>
                <c:pt idx="2">
                  <c:v>3.8543132062459784E+16</c:v>
                </c:pt>
                <c:pt idx="3">
                  <c:v>4.2478863067702448E+16</c:v>
                </c:pt>
                <c:pt idx="4">
                  <c:v>4.2270689952140424E+16</c:v>
                </c:pt>
                <c:pt idx="5">
                  <c:v>4.0997726910531688E+16</c:v>
                </c:pt>
                <c:pt idx="6">
                  <c:v>3.9410700377268752E+16</c:v>
                </c:pt>
                <c:pt idx="7">
                  <c:v>3.7799434634481592E+16</c:v>
                </c:pt>
                <c:pt idx="8">
                  <c:v>3.6189315953190416E+16</c:v>
                </c:pt>
                <c:pt idx="9">
                  <c:v>3.4619472681072692E+16</c:v>
                </c:pt>
                <c:pt idx="10">
                  <c:v>3.3062564306871396E+16</c:v>
                </c:pt>
                <c:pt idx="11">
                  <c:v>3.153765351517456E+16</c:v>
                </c:pt>
                <c:pt idx="12">
                  <c:v>3.0055628636895832E+16</c:v>
                </c:pt>
                <c:pt idx="13">
                  <c:v>2.862331297389846E+16</c:v>
                </c:pt>
                <c:pt idx="14">
                  <c:v>2.7239811216930796E+16</c:v>
                </c:pt>
                <c:pt idx="15">
                  <c:v>2.591019528897032E+16</c:v>
                </c:pt>
                <c:pt idx="16">
                  <c:v>2.4622026156101492E+16</c:v>
                </c:pt>
                <c:pt idx="17">
                  <c:v>2.3376976156696796E+16</c:v>
                </c:pt>
                <c:pt idx="18">
                  <c:v>2.21773959196633E+16</c:v>
                </c:pt>
                <c:pt idx="19">
                  <c:v>2.1030068898755016E+16</c:v>
                </c:pt>
                <c:pt idx="20">
                  <c:v>1.993247559100482E+16</c:v>
                </c:pt>
                <c:pt idx="21">
                  <c:v>1.888335454391444E+16</c:v>
                </c:pt>
                <c:pt idx="22">
                  <c:v>1.7884137423651344E+16</c:v>
                </c:pt>
                <c:pt idx="23">
                  <c:v>1.6930193913255864E+16</c:v>
                </c:pt>
                <c:pt idx="24">
                  <c:v>1.601895057163778E+16</c:v>
                </c:pt>
                <c:pt idx="25">
                  <c:v>1.5153173726118888E+16</c:v>
                </c:pt>
                <c:pt idx="26">
                  <c:v>1.433405329390636E+16</c:v>
                </c:pt>
                <c:pt idx="27">
                  <c:v>1.3551188857962134E+16</c:v>
                </c:pt>
                <c:pt idx="28">
                  <c:v>1.280992380803371E+16</c:v>
                </c:pt>
                <c:pt idx="29">
                  <c:v>1.2100121082920104E+16</c:v>
                </c:pt>
                <c:pt idx="30">
                  <c:v>1.1439606348797798E+16</c:v>
                </c:pt>
                <c:pt idx="31">
                  <c:v>1.0809777529374878E+16</c:v>
                </c:pt>
                <c:pt idx="32">
                  <c:v>1.0205972939407134E+16</c:v>
                </c:pt>
                <c:pt idx="33">
                  <c:v>9639008575988310</c:v>
                </c:pt>
                <c:pt idx="34">
                  <c:v>9098124819424566</c:v>
                </c:pt>
                <c:pt idx="35">
                  <c:v>8590131613968402</c:v>
                </c:pt>
                <c:pt idx="36">
                  <c:v>8104394881496200</c:v>
                </c:pt>
                <c:pt idx="37">
                  <c:v>7644401439804290</c:v>
                </c:pt>
                <c:pt idx="38">
                  <c:v>7210736447019500</c:v>
                </c:pt>
                <c:pt idx="39">
                  <c:v>6803836095979495</c:v>
                </c:pt>
                <c:pt idx="40">
                  <c:v>6418170509199850</c:v>
                </c:pt>
                <c:pt idx="41">
                  <c:v>6051971576714228</c:v>
                </c:pt>
                <c:pt idx="42">
                  <c:v>5704840925070162</c:v>
                </c:pt>
                <c:pt idx="43">
                  <c:v>5384337682492519</c:v>
                </c:pt>
                <c:pt idx="44">
                  <c:v>5074170343827394</c:v>
                </c:pt>
                <c:pt idx="45">
                  <c:v>4781015270690878</c:v>
                </c:pt>
                <c:pt idx="46">
                  <c:v>4511924087190440</c:v>
                </c:pt>
                <c:pt idx="47">
                  <c:v>4251039315689199</c:v>
                </c:pt>
                <c:pt idx="48">
                  <c:v>4005836155224582.5</c:v>
                </c:pt>
                <c:pt idx="49">
                  <c:v>3776830064397516</c:v>
                </c:pt>
                <c:pt idx="50">
                  <c:v>3559318146531886.5</c:v>
                </c:pt>
                <c:pt idx="51">
                  <c:v>3350929887615551.5</c:v>
                </c:pt>
                <c:pt idx="52">
                  <c:v>3157012108314344</c:v>
                </c:pt>
                <c:pt idx="53">
                  <c:v>2977252084493025</c:v>
                </c:pt>
                <c:pt idx="54">
                  <c:v>2799834677756710</c:v>
                </c:pt>
                <c:pt idx="55">
                  <c:v>2635049087391095.5</c:v>
                </c:pt>
                <c:pt idx="56">
                  <c:v>2481677092406900.5</c:v>
                </c:pt>
                <c:pt idx="57">
                  <c:v>2337330650989459</c:v>
                </c:pt>
                <c:pt idx="58">
                  <c:v>2201245668395876</c:v>
                </c:pt>
                <c:pt idx="59">
                  <c:v>2072276024863253.7</c:v>
                </c:pt>
                <c:pt idx="60">
                  <c:v>1950532093504443.2</c:v>
                </c:pt>
                <c:pt idx="61">
                  <c:v>1833864441839866.7</c:v>
                </c:pt>
                <c:pt idx="62">
                  <c:v>1722977656446163.5</c:v>
                </c:pt>
                <c:pt idx="63">
                  <c:v>1623205516072987.7</c:v>
                </c:pt>
                <c:pt idx="64">
                  <c:v>1526626599421671</c:v>
                </c:pt>
                <c:pt idx="65">
                  <c:v>1439849835821890.7</c:v>
                </c:pt>
                <c:pt idx="66">
                  <c:v>1353101860053761.5</c:v>
                </c:pt>
                <c:pt idx="67">
                  <c:v>1272192346210899</c:v>
                </c:pt>
                <c:pt idx="68">
                  <c:v>1193538161482858.2</c:v>
                </c:pt>
                <c:pt idx="69">
                  <c:v>1120992211128670.4</c:v>
                </c:pt>
                <c:pt idx="70">
                  <c:v>1056417531400092.9</c:v>
                </c:pt>
                <c:pt idx="71">
                  <c:v>993441909469592.5</c:v>
                </c:pt>
                <c:pt idx="72">
                  <c:v>932132934026564.87</c:v>
                </c:pt>
                <c:pt idx="73">
                  <c:v>875092046729687.62</c:v>
                </c:pt>
                <c:pt idx="74">
                  <c:v>822103173577821</c:v>
                </c:pt>
                <c:pt idx="75">
                  <c:v>771475276150096.12</c:v>
                </c:pt>
                <c:pt idx="76">
                  <c:v>722835942017404.62</c:v>
                </c:pt>
                <c:pt idx="77">
                  <c:v>682585623114555.62</c:v>
                </c:pt>
                <c:pt idx="78">
                  <c:v>640005490929977</c:v>
                </c:pt>
                <c:pt idx="79">
                  <c:v>601858777021438.25</c:v>
                </c:pt>
                <c:pt idx="80">
                  <c:v>563497884746136.75</c:v>
                </c:pt>
                <c:pt idx="81">
                  <c:v>525373637494344.31</c:v>
                </c:pt>
                <c:pt idx="82">
                  <c:v>493759656674302.81</c:v>
                </c:pt>
                <c:pt idx="83">
                  <c:v>463215986848637.75</c:v>
                </c:pt>
                <c:pt idx="84">
                  <c:v>435885499284911.12</c:v>
                </c:pt>
                <c:pt idx="85">
                  <c:v>408765453393795.75</c:v>
                </c:pt>
                <c:pt idx="86">
                  <c:v>379448439312282.25</c:v>
                </c:pt>
                <c:pt idx="87">
                  <c:v>361663367712325.75</c:v>
                </c:pt>
                <c:pt idx="88">
                  <c:v>333744725805753.12</c:v>
                </c:pt>
                <c:pt idx="89">
                  <c:v>311284598297501.5</c:v>
                </c:pt>
                <c:pt idx="90">
                  <c:v>295378333528043.75</c:v>
                </c:pt>
                <c:pt idx="91">
                  <c:v>274070543857209.41</c:v>
                </c:pt>
                <c:pt idx="92">
                  <c:v>258903644942013.59</c:v>
                </c:pt>
                <c:pt idx="93">
                  <c:v>244944681543806.91</c:v>
                </c:pt>
                <c:pt idx="94">
                  <c:v>226526989835521.59</c:v>
                </c:pt>
                <c:pt idx="95">
                  <c:v>211841595552781.44</c:v>
                </c:pt>
                <c:pt idx="96">
                  <c:v>197124469069274.72</c:v>
                </c:pt>
                <c:pt idx="97">
                  <c:v>189219164150330.12</c:v>
                </c:pt>
                <c:pt idx="98">
                  <c:v>175007489545925.94</c:v>
                </c:pt>
                <c:pt idx="99">
                  <c:v>165216931363086.69</c:v>
                </c:pt>
                <c:pt idx="100">
                  <c:v>151248330633722.09</c:v>
                </c:pt>
                <c:pt idx="101">
                  <c:v>146315825178104.28</c:v>
                </c:pt>
                <c:pt idx="102">
                  <c:v>138612464685275.66</c:v>
                </c:pt>
                <c:pt idx="103">
                  <c:v>126032118295258.56</c:v>
                </c:pt>
                <c:pt idx="104">
                  <c:v>114781537693291.09</c:v>
                </c:pt>
                <c:pt idx="105">
                  <c:v>109863173377755.89</c:v>
                </c:pt>
                <c:pt idx="106">
                  <c:v>103980415776882.67</c:v>
                </c:pt>
                <c:pt idx="107">
                  <c:v>101478203463669.58</c:v>
                </c:pt>
                <c:pt idx="108">
                  <c:v>100074532247901.81</c:v>
                </c:pt>
                <c:pt idx="109">
                  <c:v>87751749826056.937</c:v>
                </c:pt>
                <c:pt idx="110">
                  <c:v>81485959269836.953</c:v>
                </c:pt>
                <c:pt idx="111">
                  <c:v>79033181738688</c:v>
                </c:pt>
                <c:pt idx="112">
                  <c:v>74742286051217.844</c:v>
                </c:pt>
                <c:pt idx="113">
                  <c:v>65072443623522.664</c:v>
                </c:pt>
                <c:pt idx="114">
                  <c:v>63192101263440.258</c:v>
                </c:pt>
                <c:pt idx="115">
                  <c:v>60131843365371.258</c:v>
                </c:pt>
                <c:pt idx="116">
                  <c:v>58602095699748.648</c:v>
                </c:pt>
                <c:pt idx="117">
                  <c:v>53883454206008.562</c:v>
                </c:pt>
                <c:pt idx="118">
                  <c:v>52442080172573.852</c:v>
                </c:pt>
                <c:pt idx="119">
                  <c:v>48774454159830.227</c:v>
                </c:pt>
                <c:pt idx="120">
                  <c:v>51001038984731.289</c:v>
                </c:pt>
                <c:pt idx="121">
                  <c:v>41705712198602.82</c:v>
                </c:pt>
                <c:pt idx="122">
                  <c:v>42752546273283.484</c:v>
                </c:pt>
                <c:pt idx="123">
                  <c:v>39002163191644.68</c:v>
                </c:pt>
                <c:pt idx="124">
                  <c:v>38827783331530.031</c:v>
                </c:pt>
              </c:numCache>
            </c:numRef>
          </c:xVal>
          <c:yVal>
            <c:numRef>
              <c:f>Plots!$S$3:$S$127</c:f>
              <c:numCache>
                <c:formatCode>General</c:formatCode>
                <c:ptCount val="125"/>
                <c:pt idx="0">
                  <c:v>0</c:v>
                </c:pt>
                <c:pt idx="1">
                  <c:v>0</c:v>
                </c:pt>
                <c:pt idx="2">
                  <c:v>9.5812933382035816E-5</c:v>
                </c:pt>
                <c:pt idx="3">
                  <c:v>9.04470362637936E-5</c:v>
                </c:pt>
                <c:pt idx="4">
                  <c:v>8.6504372217000424E-5</c:v>
                </c:pt>
                <c:pt idx="5">
                  <c:v>8.5459503989937006E-5</c:v>
                </c:pt>
                <c:pt idx="6">
                  <c:v>8.6473063078221517E-5</c:v>
                </c:pt>
                <c:pt idx="7">
                  <c:v>8.788090584592837E-5</c:v>
                </c:pt>
                <c:pt idx="8">
                  <c:v>8.9124628705386332E-5</c:v>
                </c:pt>
                <c:pt idx="9">
                  <c:v>9.0337793928539569E-5</c:v>
                </c:pt>
                <c:pt idx="10">
                  <c:v>9.1439387142073827E-5</c:v>
                </c:pt>
                <c:pt idx="11">
                  <c:v>9.2443877641098531E-5</c:v>
                </c:pt>
                <c:pt idx="12">
                  <c:v>9.3375156191529687E-5</c:v>
                </c:pt>
                <c:pt idx="13">
                  <c:v>9.4209849278928032E-5</c:v>
                </c:pt>
                <c:pt idx="14">
                  <c:v>9.4945497316884742E-5</c:v>
                </c:pt>
                <c:pt idx="15">
                  <c:v>9.5617880711096692E-5</c:v>
                </c:pt>
                <c:pt idx="16">
                  <c:v>9.6211905373790266E-5</c:v>
                </c:pt>
                <c:pt idx="17">
                  <c:v>9.6704677105546397E-5</c:v>
                </c:pt>
                <c:pt idx="18">
                  <c:v>9.7142161913141924E-5</c:v>
                </c:pt>
                <c:pt idx="19">
                  <c:v>9.7499713525587989E-5</c:v>
                </c:pt>
                <c:pt idx="20">
                  <c:v>9.7786198290863847E-5</c:v>
                </c:pt>
                <c:pt idx="21">
                  <c:v>9.7997262136750949E-5</c:v>
                </c:pt>
                <c:pt idx="22">
                  <c:v>9.8149890093783698E-5</c:v>
                </c:pt>
                <c:pt idx="23">
                  <c:v>9.8257118831136681E-5</c:v>
                </c:pt>
                <c:pt idx="24">
                  <c:v>9.8264910361999184E-5</c:v>
                </c:pt>
                <c:pt idx="25">
                  <c:v>9.8224544076346652E-5</c:v>
                </c:pt>
                <c:pt idx="26">
                  <c:v>9.8173463700368911E-5</c:v>
                </c:pt>
                <c:pt idx="27">
                  <c:v>9.8005992866897484E-5</c:v>
                </c:pt>
                <c:pt idx="28">
                  <c:v>9.8013800802610081E-5</c:v>
                </c:pt>
                <c:pt idx="29">
                  <c:v>9.7771011966068811E-5</c:v>
                </c:pt>
                <c:pt idx="30">
                  <c:v>9.7559190507905165E-5</c:v>
                </c:pt>
                <c:pt idx="31">
                  <c:v>9.7251420929557006E-5</c:v>
                </c:pt>
                <c:pt idx="32">
                  <c:v>9.6818033528948098E-5</c:v>
                </c:pt>
                <c:pt idx="33">
                  <c:v>9.6427535372535885E-5</c:v>
                </c:pt>
                <c:pt idx="34">
                  <c:v>9.5959582488447728E-5</c:v>
                </c:pt>
                <c:pt idx="35">
                  <c:v>9.5478700038324261E-5</c:v>
                </c:pt>
                <c:pt idx="36">
                  <c:v>9.4904571867634232E-5</c:v>
                </c:pt>
                <c:pt idx="37">
                  <c:v>9.4265549947099829E-5</c:v>
                </c:pt>
                <c:pt idx="38">
                  <c:v>9.3729034007565085E-5</c:v>
                </c:pt>
                <c:pt idx="39">
                  <c:v>9.3135232499870331E-5</c:v>
                </c:pt>
                <c:pt idx="40">
                  <c:v>9.2514929019496127E-5</c:v>
                </c:pt>
                <c:pt idx="41">
                  <c:v>9.1846720399413125E-5</c:v>
                </c:pt>
                <c:pt idx="42">
                  <c:v>9.1126349147676924E-5</c:v>
                </c:pt>
                <c:pt idx="43">
                  <c:v>9.0501192999549833E-5</c:v>
                </c:pt>
                <c:pt idx="44">
                  <c:v>8.9709501883811519E-5</c:v>
                </c:pt>
                <c:pt idx="45">
                  <c:v>8.8865386710795422E-5</c:v>
                </c:pt>
                <c:pt idx="46">
                  <c:v>8.8181859845835403E-5</c:v>
                </c:pt>
                <c:pt idx="47">
                  <c:v>8.7382710649995703E-5</c:v>
                </c:pt>
                <c:pt idx="48">
                  <c:v>8.652237842535672E-5</c:v>
                </c:pt>
                <c:pt idx="49">
                  <c:v>8.5733143231499172E-5</c:v>
                </c:pt>
                <c:pt idx="50">
                  <c:v>8.4902606954199677E-5</c:v>
                </c:pt>
                <c:pt idx="51">
                  <c:v>8.394126373917266E-5</c:v>
                </c:pt>
                <c:pt idx="52">
                  <c:v>8.3074331067728067E-5</c:v>
                </c:pt>
                <c:pt idx="53">
                  <c:v>8.2341641056624549E-5</c:v>
                </c:pt>
                <c:pt idx="54">
                  <c:v>8.1287794574529568E-5</c:v>
                </c:pt>
                <c:pt idx="55">
                  <c:v>8.0344758292625525E-5</c:v>
                </c:pt>
                <c:pt idx="56">
                  <c:v>7.9510675582735536E-5</c:v>
                </c:pt>
                <c:pt idx="57">
                  <c:v>7.8585333426397814E-5</c:v>
                </c:pt>
                <c:pt idx="58">
                  <c:v>7.7817071068254746E-5</c:v>
                </c:pt>
                <c:pt idx="59">
                  <c:v>7.689179718613509E-5</c:v>
                </c:pt>
                <c:pt idx="60">
                  <c:v>7.5991320255915237E-5</c:v>
                </c:pt>
                <c:pt idx="61">
                  <c:v>7.507946913134452E-5</c:v>
                </c:pt>
                <c:pt idx="62">
                  <c:v>7.4156479530671085E-5</c:v>
                </c:pt>
                <c:pt idx="63">
                  <c:v>7.3318600102728908E-5</c:v>
                </c:pt>
                <c:pt idx="64">
                  <c:v>7.2422456868655773E-5</c:v>
                </c:pt>
                <c:pt idx="65">
                  <c:v>7.1616295565970841E-5</c:v>
                </c:pt>
                <c:pt idx="66">
                  <c:v>7.0667208768765329E-5</c:v>
                </c:pt>
                <c:pt idx="67">
                  <c:v>6.9687486167531023E-5</c:v>
                </c:pt>
                <c:pt idx="68">
                  <c:v>6.8729261950001755E-5</c:v>
                </c:pt>
                <c:pt idx="69">
                  <c:v>6.7803947063019914E-5</c:v>
                </c:pt>
                <c:pt idx="70">
                  <c:v>6.7105941642897488E-5</c:v>
                </c:pt>
                <c:pt idx="71">
                  <c:v>6.6260576740817111E-5</c:v>
                </c:pt>
                <c:pt idx="72">
                  <c:v>6.5182350783004993E-5</c:v>
                </c:pt>
                <c:pt idx="73">
                  <c:v>6.4285799511097584E-5</c:v>
                </c:pt>
                <c:pt idx="74">
                  <c:v>6.3319952678776533E-5</c:v>
                </c:pt>
                <c:pt idx="75">
                  <c:v>6.2442255368703447E-5</c:v>
                </c:pt>
                <c:pt idx="76">
                  <c:v>6.1452501245834316E-5</c:v>
                </c:pt>
                <c:pt idx="77">
                  <c:v>6.1034373034010039E-5</c:v>
                </c:pt>
                <c:pt idx="78">
                  <c:v>6.0076888323055494E-5</c:v>
                </c:pt>
                <c:pt idx="79">
                  <c:v>5.9144118410659643E-5</c:v>
                </c:pt>
                <c:pt idx="80">
                  <c:v>5.8183239204972035E-5</c:v>
                </c:pt>
                <c:pt idx="81">
                  <c:v>5.7018593296340058E-5</c:v>
                </c:pt>
                <c:pt idx="82">
                  <c:v>5.6315250250287918E-5</c:v>
                </c:pt>
                <c:pt idx="83">
                  <c:v>5.5647960675306359E-5</c:v>
                </c:pt>
                <c:pt idx="84">
                  <c:v>5.49173747239735E-5</c:v>
                </c:pt>
                <c:pt idx="85">
                  <c:v>5.4251190059229632E-5</c:v>
                </c:pt>
                <c:pt idx="86">
                  <c:v>5.2849060239453089E-5</c:v>
                </c:pt>
                <c:pt idx="87">
                  <c:v>5.3022936891777973E-5</c:v>
                </c:pt>
                <c:pt idx="88">
                  <c:v>5.1632477064459391E-5</c:v>
                </c:pt>
                <c:pt idx="89">
                  <c:v>5.0486716658779017E-5</c:v>
                </c:pt>
                <c:pt idx="90">
                  <c:v>5.0460509255665152E-5</c:v>
                </c:pt>
                <c:pt idx="91">
                  <c:v>4.9342214207018588E-5</c:v>
                </c:pt>
                <c:pt idx="92">
                  <c:v>4.8894901641130833E-5</c:v>
                </c:pt>
                <c:pt idx="93">
                  <c:v>4.8937520681339471E-5</c:v>
                </c:pt>
                <c:pt idx="94">
                  <c:v>4.7427076676824007E-5</c:v>
                </c:pt>
                <c:pt idx="95">
                  <c:v>4.6900567234665178E-5</c:v>
                </c:pt>
                <c:pt idx="96">
                  <c:v>4.6278662450962927E-5</c:v>
                </c:pt>
                <c:pt idx="97">
                  <c:v>4.6871605995816352E-5</c:v>
                </c:pt>
                <c:pt idx="98">
                  <c:v>4.5667919333170587E-5</c:v>
                </c:pt>
                <c:pt idx="99">
                  <c:v>4.5393215571673384E-5</c:v>
                </c:pt>
                <c:pt idx="100">
                  <c:v>4.4401052223677318E-5</c:v>
                </c:pt>
                <c:pt idx="101">
                  <c:v>4.5062821910611554E-5</c:v>
                </c:pt>
                <c:pt idx="102">
                  <c:v>4.4864743525079087E-5</c:v>
                </c:pt>
                <c:pt idx="103">
                  <c:v>4.3101615570324131E-5</c:v>
                </c:pt>
                <c:pt idx="104">
                  <c:v>4.1571782483217543E-5</c:v>
                </c:pt>
                <c:pt idx="105">
                  <c:v>4.2198975148393259E-5</c:v>
                </c:pt>
                <c:pt idx="106">
                  <c:v>4.2921772470017325E-5</c:v>
                </c:pt>
                <c:pt idx="107">
                  <c:v>4.4120326124301038E-5</c:v>
                </c:pt>
                <c:pt idx="108">
                  <c:v>4.5952832660178034E-5</c:v>
                </c:pt>
                <c:pt idx="109">
                  <c:v>4.2697959041456338E-5</c:v>
                </c:pt>
                <c:pt idx="110">
                  <c:v>4.2203050653771747E-5</c:v>
                </c:pt>
                <c:pt idx="111">
                  <c:v>4.3581185031373844E-5</c:v>
                </c:pt>
                <c:pt idx="112">
                  <c:v>4.3655753753582595E-5</c:v>
                </c:pt>
                <c:pt idx="113">
                  <c:v>4.06093360094877E-5</c:v>
                </c:pt>
                <c:pt idx="114">
                  <c:v>4.2398397662700826E-5</c:v>
                </c:pt>
                <c:pt idx="115">
                  <c:v>4.3096544088477982E-5</c:v>
                </c:pt>
                <c:pt idx="116">
                  <c:v>4.4138987707364563E-5</c:v>
                </c:pt>
                <c:pt idx="117">
                  <c:v>4.3844573277961061E-5</c:v>
                </c:pt>
                <c:pt idx="118">
                  <c:v>4.4788935064969849E-5</c:v>
                </c:pt>
                <c:pt idx="119">
                  <c:v>4.4209840011359905E-5</c:v>
                </c:pt>
                <c:pt idx="120">
                  <c:v>4.9704979934203163E-5</c:v>
                </c:pt>
                <c:pt idx="121">
                  <c:v>4.2751429389712166E-5</c:v>
                </c:pt>
                <c:pt idx="122">
                  <c:v>4.7455385011412751E-5</c:v>
                </c:pt>
                <c:pt idx="123">
                  <c:v>0</c:v>
                </c:pt>
                <c:pt idx="124">
                  <c:v>0</c:v>
                </c:pt>
              </c:numCache>
            </c:numRef>
          </c:yVal>
          <c:smooth val="0"/>
        </c:ser>
        <c:ser>
          <c:idx val="10"/>
          <c:order val="10"/>
          <c:tx>
            <c:strRef>
              <c:f>Plots!$T$1</c:f>
              <c:strCache>
                <c:ptCount val="1"/>
                <c:pt idx="0">
                  <c:v>95</c:v>
                </c:pt>
              </c:strCache>
            </c:strRef>
          </c:tx>
          <c:spPr>
            <a:ln w="28575">
              <a:noFill/>
            </a:ln>
          </c:spPr>
          <c:marker>
            <c:symbol val="diamond"/>
            <c:size val="7"/>
            <c:spPr>
              <a:solidFill>
                <a:srgbClr val="00B050"/>
              </a:solidFill>
              <a:ln>
                <a:noFill/>
              </a:ln>
            </c:spPr>
          </c:marker>
          <c:xVal>
            <c:numRef>
              <c:f>Plots!$T$3:$T$127</c:f>
              <c:numCache>
                <c:formatCode>General</c:formatCode>
                <c:ptCount val="125"/>
                <c:pt idx="0">
                  <c:v>2156104833874546.2</c:v>
                </c:pt>
                <c:pt idx="1">
                  <c:v>2.0758459686787416E+16</c:v>
                </c:pt>
                <c:pt idx="2">
                  <c:v>3.4930070688403332E+16</c:v>
                </c:pt>
                <c:pt idx="3">
                  <c:v>4.1477166443989296E+16</c:v>
                </c:pt>
                <c:pt idx="4">
                  <c:v>4.2381342864076512E+16</c:v>
                </c:pt>
                <c:pt idx="5">
                  <c:v>4.1376826445736872E+16</c:v>
                </c:pt>
                <c:pt idx="6">
                  <c:v>3.9838664919933712E+16</c:v>
                </c:pt>
                <c:pt idx="7">
                  <c:v>3.8191862281188232E+16</c:v>
                </c:pt>
                <c:pt idx="8">
                  <c:v>3.655505605424E+16</c:v>
                </c:pt>
                <c:pt idx="9">
                  <c:v>3.4919628885756636E+16</c:v>
                </c:pt>
                <c:pt idx="10">
                  <c:v>3.3295775591479484E+16</c:v>
                </c:pt>
                <c:pt idx="11">
                  <c:v>3.1715337394387764E+16</c:v>
                </c:pt>
                <c:pt idx="12">
                  <c:v>3.0180265548162356E+16</c:v>
                </c:pt>
                <c:pt idx="13">
                  <c:v>2.8705891692185264E+16</c:v>
                </c:pt>
                <c:pt idx="14">
                  <c:v>2.7273923610372116E+16</c:v>
                </c:pt>
                <c:pt idx="15">
                  <c:v>2.5914292678127508E+16</c:v>
                </c:pt>
                <c:pt idx="16">
                  <c:v>2.4597159754849108E+16</c:v>
                </c:pt>
                <c:pt idx="17">
                  <c:v>2.33310758001842E+16</c:v>
                </c:pt>
                <c:pt idx="18">
                  <c:v>2.2117910129433592E+16</c:v>
                </c:pt>
                <c:pt idx="19">
                  <c:v>2.0949025692203156E+16</c:v>
                </c:pt>
                <c:pt idx="20">
                  <c:v>1.983443949353214E+16</c:v>
                </c:pt>
                <c:pt idx="21">
                  <c:v>1.8771172423130972E+16</c:v>
                </c:pt>
                <c:pt idx="22">
                  <c:v>1.7758324998017128E+16</c:v>
                </c:pt>
                <c:pt idx="23">
                  <c:v>1.6793109976250972E+16</c:v>
                </c:pt>
                <c:pt idx="24">
                  <c:v>1.5875350953354008E+16</c:v>
                </c:pt>
                <c:pt idx="25">
                  <c:v>1.500615354662345E+16</c:v>
                </c:pt>
                <c:pt idx="26">
                  <c:v>1.4181138018581158E+16</c:v>
                </c:pt>
                <c:pt idx="27">
                  <c:v>1.3391106435407008E+16</c:v>
                </c:pt>
                <c:pt idx="28">
                  <c:v>1.2645097493802188E+16</c:v>
                </c:pt>
                <c:pt idx="29">
                  <c:v>1.193612485419789E+16</c:v>
                </c:pt>
                <c:pt idx="30">
                  <c:v>1.1264348531857468E+16</c:v>
                </c:pt>
                <c:pt idx="31">
                  <c:v>1.0639753927528148E+16</c:v>
                </c:pt>
                <c:pt idx="32">
                  <c:v>1.0042732249639162E+16</c:v>
                </c:pt>
                <c:pt idx="33">
                  <c:v>9472970302585536</c:v>
                </c:pt>
                <c:pt idx="34">
                  <c:v>8937413266103268</c:v>
                </c:pt>
                <c:pt idx="35">
                  <c:v>8429620822742672</c:v>
                </c:pt>
                <c:pt idx="36">
                  <c:v>7947287900907357</c:v>
                </c:pt>
                <c:pt idx="37">
                  <c:v>7495552693784851</c:v>
                </c:pt>
                <c:pt idx="38">
                  <c:v>7065928561391971</c:v>
                </c:pt>
                <c:pt idx="39">
                  <c:v>6658794219463292</c:v>
                </c:pt>
                <c:pt idx="40">
                  <c:v>6274440139334526</c:v>
                </c:pt>
                <c:pt idx="41">
                  <c:v>5918316364349387</c:v>
                </c:pt>
                <c:pt idx="42">
                  <c:v>5575682845151930</c:v>
                </c:pt>
                <c:pt idx="43">
                  <c:v>5251204240640904</c:v>
                </c:pt>
                <c:pt idx="44">
                  <c:v>4943421762305037</c:v>
                </c:pt>
                <c:pt idx="45">
                  <c:v>4655525468224939</c:v>
                </c:pt>
                <c:pt idx="46">
                  <c:v>4388014375818824.5</c:v>
                </c:pt>
                <c:pt idx="47">
                  <c:v>4135800986592487.5</c:v>
                </c:pt>
                <c:pt idx="48">
                  <c:v>3896031004162035</c:v>
                </c:pt>
                <c:pt idx="49">
                  <c:v>3665133764900417</c:v>
                </c:pt>
                <c:pt idx="50">
                  <c:v>3451662998770521</c:v>
                </c:pt>
                <c:pt idx="51">
                  <c:v>3246847642261549.5</c:v>
                </c:pt>
                <c:pt idx="52">
                  <c:v>3058480780351258</c:v>
                </c:pt>
                <c:pt idx="53">
                  <c:v>2876336641854324.5</c:v>
                </c:pt>
                <c:pt idx="54">
                  <c:v>2709044006291939</c:v>
                </c:pt>
                <c:pt idx="55">
                  <c:v>2547313216531134</c:v>
                </c:pt>
                <c:pt idx="56">
                  <c:v>2397735826035987.5</c:v>
                </c:pt>
                <c:pt idx="57">
                  <c:v>2254323189801044</c:v>
                </c:pt>
                <c:pt idx="58">
                  <c:v>2121493787578083.7</c:v>
                </c:pt>
                <c:pt idx="59">
                  <c:v>1995859953328363</c:v>
                </c:pt>
                <c:pt idx="60">
                  <c:v>1871186212756153.7</c:v>
                </c:pt>
                <c:pt idx="61">
                  <c:v>1761684595697817.7</c:v>
                </c:pt>
                <c:pt idx="62">
                  <c:v>1660091120350788</c:v>
                </c:pt>
                <c:pt idx="63">
                  <c:v>1561266304737276.5</c:v>
                </c:pt>
                <c:pt idx="64">
                  <c:v>1466785400578162.2</c:v>
                </c:pt>
                <c:pt idx="65">
                  <c:v>1379625001428590.7</c:v>
                </c:pt>
                <c:pt idx="66">
                  <c:v>1297823202596460.2</c:v>
                </c:pt>
                <c:pt idx="67">
                  <c:v>1220333511620023</c:v>
                </c:pt>
                <c:pt idx="68">
                  <c:v>1147609302203745</c:v>
                </c:pt>
                <c:pt idx="69">
                  <c:v>1078739962363670.9</c:v>
                </c:pt>
                <c:pt idx="70">
                  <c:v>1013116807180116.6</c:v>
                </c:pt>
                <c:pt idx="71">
                  <c:v>952341892257997.37</c:v>
                </c:pt>
                <c:pt idx="72">
                  <c:v>890882171240831.12</c:v>
                </c:pt>
                <c:pt idx="73">
                  <c:v>839715820442129.75</c:v>
                </c:pt>
                <c:pt idx="74">
                  <c:v>789417863837255.62</c:v>
                </c:pt>
                <c:pt idx="75">
                  <c:v>740843232332281.37</c:v>
                </c:pt>
                <c:pt idx="76">
                  <c:v>696726898331835.12</c:v>
                </c:pt>
                <c:pt idx="77">
                  <c:v>651445281527072.5</c:v>
                </c:pt>
                <c:pt idx="78">
                  <c:v>608762969353430.12</c:v>
                </c:pt>
                <c:pt idx="79">
                  <c:v>572205569049020.37</c:v>
                </c:pt>
                <c:pt idx="80">
                  <c:v>543195250773942.69</c:v>
                </c:pt>
                <c:pt idx="81">
                  <c:v>508480433517967.94</c:v>
                </c:pt>
                <c:pt idx="82">
                  <c:v>471186249021530.5</c:v>
                </c:pt>
                <c:pt idx="83">
                  <c:v>444888281354204.06</c:v>
                </c:pt>
                <c:pt idx="84">
                  <c:v>417986041202790.94</c:v>
                </c:pt>
                <c:pt idx="85">
                  <c:v>392217258714919.62</c:v>
                </c:pt>
                <c:pt idx="86">
                  <c:v>366732665121102.81</c:v>
                </c:pt>
                <c:pt idx="87">
                  <c:v>348579404516133.69</c:v>
                </c:pt>
                <c:pt idx="88">
                  <c:v>325763408990372.94</c:v>
                </c:pt>
                <c:pt idx="89">
                  <c:v>304910739234007.87</c:v>
                </c:pt>
                <c:pt idx="90">
                  <c:v>287362088743873</c:v>
                </c:pt>
                <c:pt idx="91">
                  <c:v>267812905799758.72</c:v>
                </c:pt>
                <c:pt idx="92">
                  <c:v>254918062908351</c:v>
                </c:pt>
                <c:pt idx="93">
                  <c:v>234398056726096.44</c:v>
                </c:pt>
                <c:pt idx="94">
                  <c:v>221947095567188.41</c:v>
                </c:pt>
                <c:pt idx="95">
                  <c:v>207495495609922.78</c:v>
                </c:pt>
                <c:pt idx="96">
                  <c:v>195107184827274.5</c:v>
                </c:pt>
                <c:pt idx="97">
                  <c:v>182979613341318.66</c:v>
                </c:pt>
                <c:pt idx="98">
                  <c:v>174077710098709.69</c:v>
                </c:pt>
                <c:pt idx="99">
                  <c:v>161049153757449.16</c:v>
                </c:pt>
                <c:pt idx="100">
                  <c:v>157125981914647.34</c:v>
                </c:pt>
                <c:pt idx="101">
                  <c:v>145696983569731.19</c:v>
                </c:pt>
                <c:pt idx="102">
                  <c:v>135903023706866.25</c:v>
                </c:pt>
                <c:pt idx="103">
                  <c:v>126448936835128</c:v>
                </c:pt>
                <c:pt idx="104">
                  <c:v>118582473599747.72</c:v>
                </c:pt>
                <c:pt idx="105">
                  <c:v>110680208555374.22</c:v>
                </c:pt>
                <c:pt idx="106">
                  <c:v>101536668256186.2</c:v>
                </c:pt>
                <c:pt idx="107">
                  <c:v>98088680114853.516</c:v>
                </c:pt>
                <c:pt idx="108">
                  <c:v>94060155728197.266</c:v>
                </c:pt>
                <c:pt idx="109">
                  <c:v>85884425992388.266</c:v>
                </c:pt>
                <c:pt idx="110">
                  <c:v>83271391106090.437</c:v>
                </c:pt>
                <c:pt idx="111">
                  <c:v>78461474803072.719</c:v>
                </c:pt>
                <c:pt idx="112">
                  <c:v>72659405848736.219</c:v>
                </c:pt>
                <c:pt idx="113">
                  <c:v>64170078742218.172</c:v>
                </c:pt>
                <c:pt idx="114">
                  <c:v>63880334380333.984</c:v>
                </c:pt>
                <c:pt idx="115">
                  <c:v>59163033319593.195</c:v>
                </c:pt>
                <c:pt idx="116">
                  <c:v>56557187185201.82</c:v>
                </c:pt>
                <c:pt idx="117">
                  <c:v>54737760859577.328</c:v>
                </c:pt>
                <c:pt idx="118">
                  <c:v>51637268947523.422</c:v>
                </c:pt>
                <c:pt idx="119">
                  <c:v>42054499322299.711</c:v>
                </c:pt>
                <c:pt idx="120">
                  <c:v>40857538692614.055</c:v>
                </c:pt>
                <c:pt idx="121">
                  <c:v>37762877910808.758</c:v>
                </c:pt>
                <c:pt idx="122">
                  <c:v>38092888129970.844</c:v>
                </c:pt>
                <c:pt idx="123">
                  <c:v>36195424673612.891</c:v>
                </c:pt>
                <c:pt idx="124">
                  <c:v>33185413988282.121</c:v>
                </c:pt>
              </c:numCache>
            </c:numRef>
          </c:xVal>
          <c:yVal>
            <c:numRef>
              <c:f>Plots!$U$3:$U$127</c:f>
              <c:numCache>
                <c:formatCode>General</c:formatCode>
                <c:ptCount val="125"/>
                <c:pt idx="0">
                  <c:v>0</c:v>
                </c:pt>
                <c:pt idx="1">
                  <c:v>0</c:v>
                </c:pt>
                <c:pt idx="2">
                  <c:v>9.4192227120944145E-5</c:v>
                </c:pt>
                <c:pt idx="3">
                  <c:v>9.1118315267976795E-5</c:v>
                </c:pt>
                <c:pt idx="4">
                  <c:v>8.6102388893738986E-5</c:v>
                </c:pt>
                <c:pt idx="5">
                  <c:v>8.3491652861535684E-5</c:v>
                </c:pt>
                <c:pt idx="6">
                  <c:v>8.3617708116440697E-5</c:v>
                </c:pt>
                <c:pt idx="7">
                  <c:v>8.4838259112352143E-5</c:v>
                </c:pt>
                <c:pt idx="8">
                  <c:v>8.6132121389681437E-5</c:v>
                </c:pt>
                <c:pt idx="9">
                  <c:v>8.7284860638835426E-5</c:v>
                </c:pt>
                <c:pt idx="10">
                  <c:v>8.8343717360146523E-5</c:v>
                </c:pt>
                <c:pt idx="11">
                  <c:v>8.929672333123419E-5</c:v>
                </c:pt>
                <c:pt idx="12">
                  <c:v>9.0169941472747036E-5</c:v>
                </c:pt>
                <c:pt idx="13">
                  <c:v>9.0956321411320439E-5</c:v>
                </c:pt>
                <c:pt idx="14">
                  <c:v>9.1601416536248167E-5</c:v>
                </c:pt>
                <c:pt idx="15">
                  <c:v>9.2219433444583562E-5</c:v>
                </c:pt>
                <c:pt idx="16">
                  <c:v>9.2735511992740331E-5</c:v>
                </c:pt>
                <c:pt idx="17">
                  <c:v>9.3171281506540646E-5</c:v>
                </c:pt>
                <c:pt idx="18">
                  <c:v>9.355469063948483E-5</c:v>
                </c:pt>
                <c:pt idx="19">
                  <c:v>9.3857428347449408E-5</c:v>
                </c:pt>
                <c:pt idx="20">
                  <c:v>9.4073338830969147E-5</c:v>
                </c:pt>
                <c:pt idx="21">
                  <c:v>9.4237033167561904E-5</c:v>
                </c:pt>
                <c:pt idx="22">
                  <c:v>9.430271267850385E-5</c:v>
                </c:pt>
                <c:pt idx="23">
                  <c:v>9.4339508296537082E-5</c:v>
                </c:pt>
                <c:pt idx="24">
                  <c:v>9.4325432562128046E-5</c:v>
                </c:pt>
                <c:pt idx="25">
                  <c:v>9.4254404369229571E-5</c:v>
                </c:pt>
                <c:pt idx="26">
                  <c:v>9.4131198399320421E-5</c:v>
                </c:pt>
                <c:pt idx="27">
                  <c:v>9.3896352675947037E-5</c:v>
                </c:pt>
                <c:pt idx="28">
                  <c:v>9.3731933457959069E-5</c:v>
                </c:pt>
                <c:pt idx="29">
                  <c:v>9.3568631259437229E-5</c:v>
                </c:pt>
                <c:pt idx="30">
                  <c:v>9.3225830997339709E-5</c:v>
                </c:pt>
                <c:pt idx="31">
                  <c:v>9.2945744836355759E-5</c:v>
                </c:pt>
                <c:pt idx="32">
                  <c:v>9.2552045549238065E-5</c:v>
                </c:pt>
                <c:pt idx="33">
                  <c:v>9.2061847422315491E-5</c:v>
                </c:pt>
                <c:pt idx="34">
                  <c:v>9.1589609429602723E-5</c:v>
                </c:pt>
                <c:pt idx="35">
                  <c:v>9.1051220117312865E-5</c:v>
                </c:pt>
                <c:pt idx="36">
                  <c:v>9.0469706011633058E-5</c:v>
                </c:pt>
                <c:pt idx="37">
                  <c:v>8.9881053518298072E-5</c:v>
                </c:pt>
                <c:pt idx="38">
                  <c:v>8.9278044760183876E-5</c:v>
                </c:pt>
                <c:pt idx="39">
                  <c:v>8.8635060573362048E-5</c:v>
                </c:pt>
                <c:pt idx="40">
                  <c:v>8.7972664922836562E-5</c:v>
                </c:pt>
                <c:pt idx="41">
                  <c:v>8.7358993070191522E-5</c:v>
                </c:pt>
                <c:pt idx="42">
                  <c:v>8.6654285933536248E-5</c:v>
                </c:pt>
                <c:pt idx="43">
                  <c:v>8.5853124051239027E-5</c:v>
                </c:pt>
                <c:pt idx="44">
                  <c:v>8.5038353720042712E-5</c:v>
                </c:pt>
                <c:pt idx="45">
                  <c:v>8.4244185905642174E-5</c:v>
                </c:pt>
                <c:pt idx="46">
                  <c:v>8.3531796619931909E-5</c:v>
                </c:pt>
                <c:pt idx="47">
                  <c:v>8.2792266282392257E-5</c:v>
                </c:pt>
                <c:pt idx="48">
                  <c:v>8.1966095773742745E-5</c:v>
                </c:pt>
                <c:pt idx="49">
                  <c:v>8.1032439123569097E-5</c:v>
                </c:pt>
                <c:pt idx="50">
                  <c:v>8.0212047035322113E-5</c:v>
                </c:pt>
                <c:pt idx="51">
                  <c:v>7.9269462808601192E-5</c:v>
                </c:pt>
                <c:pt idx="52">
                  <c:v>7.8461457136789881E-5</c:v>
                </c:pt>
                <c:pt idx="53">
                  <c:v>7.7562123148412963E-5</c:v>
                </c:pt>
                <c:pt idx="54">
                  <c:v>7.6671512422203517E-5</c:v>
                </c:pt>
                <c:pt idx="55">
                  <c:v>7.575522420232429E-5</c:v>
                </c:pt>
                <c:pt idx="56">
                  <c:v>7.4830173556409397E-5</c:v>
                </c:pt>
                <c:pt idx="57">
                  <c:v>7.3931455652517935E-5</c:v>
                </c:pt>
                <c:pt idx="58">
                  <c:v>7.3065721579109905E-5</c:v>
                </c:pt>
                <c:pt idx="59">
                  <c:v>7.2208262742510376E-5</c:v>
                </c:pt>
                <c:pt idx="60">
                  <c:v>7.111575953117065E-5</c:v>
                </c:pt>
                <c:pt idx="61">
                  <c:v>7.0332008024168383E-5</c:v>
                </c:pt>
                <c:pt idx="62">
                  <c:v>6.9762517418009955E-5</c:v>
                </c:pt>
                <c:pt idx="63">
                  <c:v>6.8867183854596589E-5</c:v>
                </c:pt>
                <c:pt idx="64">
                  <c:v>6.7884921917414631E-5</c:v>
                </c:pt>
                <c:pt idx="65">
                  <c:v>6.7042468438623353E-5</c:v>
                </c:pt>
                <c:pt idx="66">
                  <c:v>6.6154503935075002E-5</c:v>
                </c:pt>
                <c:pt idx="67">
                  <c:v>6.54049864596491E-5</c:v>
                </c:pt>
                <c:pt idx="68">
                  <c:v>6.452524047132037E-5</c:v>
                </c:pt>
                <c:pt idx="69">
                  <c:v>6.3766076558093739E-5</c:v>
                </c:pt>
                <c:pt idx="70">
                  <c:v>6.2786892834538335E-5</c:v>
                </c:pt>
                <c:pt idx="71">
                  <c:v>6.1898266437715419E-5</c:v>
                </c:pt>
                <c:pt idx="72">
                  <c:v>6.0829112123501737E-5</c:v>
                </c:pt>
                <c:pt idx="73">
                  <c:v>6.0195672524828228E-5</c:v>
                </c:pt>
                <c:pt idx="74">
                  <c:v>5.9445457144671616E-5</c:v>
                </c:pt>
                <c:pt idx="75">
                  <c:v>5.8465868279706838E-5</c:v>
                </c:pt>
                <c:pt idx="76">
                  <c:v>5.7778701943879346E-5</c:v>
                </c:pt>
                <c:pt idx="77">
                  <c:v>5.6701303484647194E-5</c:v>
                </c:pt>
                <c:pt idx="78">
                  <c:v>5.5741888284032207E-5</c:v>
                </c:pt>
                <c:pt idx="79">
                  <c:v>5.5075543934296886E-5</c:v>
                </c:pt>
                <c:pt idx="80">
                  <c:v>5.4970222153089473E-5</c:v>
                </c:pt>
                <c:pt idx="81">
                  <c:v>5.4038994221810118E-5</c:v>
                </c:pt>
                <c:pt idx="82">
                  <c:v>5.2524424013856077E-5</c:v>
                </c:pt>
                <c:pt idx="83">
                  <c:v>5.2161817969398971E-5</c:v>
                </c:pt>
                <c:pt idx="84">
                  <c:v>5.1603012266634825E-5</c:v>
                </c:pt>
                <c:pt idx="85">
                  <c:v>5.0831706518378207E-5</c:v>
                </c:pt>
                <c:pt idx="86">
                  <c:v>5.0010652900942299E-5</c:v>
                </c:pt>
                <c:pt idx="87">
                  <c:v>4.9994540182595008E-5</c:v>
                </c:pt>
                <c:pt idx="88">
                  <c:v>4.9008440954663533E-5</c:v>
                </c:pt>
                <c:pt idx="89">
                  <c:v>4.8215787233594636E-5</c:v>
                </c:pt>
                <c:pt idx="90">
                  <c:v>4.789300267547142E-5</c:v>
                </c:pt>
                <c:pt idx="91">
                  <c:v>4.7017390675001966E-5</c:v>
                </c:pt>
                <c:pt idx="92">
                  <c:v>4.7064120370388673E-5</c:v>
                </c:pt>
                <c:pt idx="93">
                  <c:v>4.5588336647086629E-5</c:v>
                </c:pt>
                <c:pt idx="94">
                  <c:v>4.563678721036024E-5</c:v>
                </c:pt>
                <c:pt idx="95">
                  <c:v>4.4623041553524608E-5</c:v>
                </c:pt>
                <c:pt idx="96">
                  <c:v>4.4541638610639046E-5</c:v>
                </c:pt>
                <c:pt idx="97">
                  <c:v>4.4066863439228761E-5</c:v>
                </c:pt>
                <c:pt idx="98">
                  <c:v>4.4061767201667725E-5</c:v>
                </c:pt>
                <c:pt idx="99">
                  <c:v>4.3052211036540376E-5</c:v>
                </c:pt>
                <c:pt idx="100">
                  <c:v>4.4320345958728762E-5</c:v>
                </c:pt>
                <c:pt idx="101">
                  <c:v>4.3730424811099339E-5</c:v>
                </c:pt>
                <c:pt idx="102">
                  <c:v>4.2742036229501683E-5</c:v>
                </c:pt>
                <c:pt idx="103">
                  <c:v>4.1951210471312239E-5</c:v>
                </c:pt>
                <c:pt idx="104">
                  <c:v>4.1628043422858457E-5</c:v>
                </c:pt>
                <c:pt idx="105">
                  <c:v>4.133687616350704E-5</c:v>
                </c:pt>
                <c:pt idx="106">
                  <c:v>4.0130286539677731E-5</c:v>
                </c:pt>
                <c:pt idx="107">
                  <c:v>4.1224269533322104E-5</c:v>
                </c:pt>
                <c:pt idx="108">
                  <c:v>4.2069147249162028E-5</c:v>
                </c:pt>
                <c:pt idx="109">
                  <c:v>4.061657343166123E-5</c:v>
                </c:pt>
                <c:pt idx="110">
                  <c:v>4.183444452367047E-5</c:v>
                </c:pt>
                <c:pt idx="111">
                  <c:v>4.131311403758517E-5</c:v>
                </c:pt>
                <c:pt idx="112">
                  <c:v>4.1066603094545471E-5</c:v>
                </c:pt>
                <c:pt idx="113">
                  <c:v>3.8225871117143752E-5</c:v>
                </c:pt>
                <c:pt idx="114">
                  <c:v>4.0538912972150656E-5</c:v>
                </c:pt>
                <c:pt idx="115">
                  <c:v>4.0538859981688716E-5</c:v>
                </c:pt>
                <c:pt idx="116">
                  <c:v>4.1065416100013244E-5</c:v>
                </c:pt>
                <c:pt idx="117">
                  <c:v>4.2022863552849642E-5</c:v>
                </c:pt>
                <c:pt idx="118">
                  <c:v>4.231671202571195E-5</c:v>
                </c:pt>
                <c:pt idx="119">
                  <c:v>3.5805649502975254E-5</c:v>
                </c:pt>
                <c:pt idx="120">
                  <c:v>3.7604916417100321E-5</c:v>
                </c:pt>
                <c:pt idx="121">
                  <c:v>3.8258137864250383E-5</c:v>
                </c:pt>
                <c:pt idx="122">
                  <c:v>4.111079407897785E-5</c:v>
                </c:pt>
                <c:pt idx="123">
                  <c:v>0</c:v>
                </c:pt>
                <c:pt idx="124">
                  <c:v>0</c:v>
                </c:pt>
              </c:numCache>
            </c:numRef>
          </c:yVal>
          <c:smooth val="0"/>
        </c:ser>
        <c:ser>
          <c:idx val="11"/>
          <c:order val="11"/>
          <c:tx>
            <c:strRef>
              <c:f>Plots!$V$1</c:f>
              <c:strCache>
                <c:ptCount val="1"/>
                <c:pt idx="0">
                  <c:v>80</c:v>
                </c:pt>
              </c:strCache>
            </c:strRef>
          </c:tx>
          <c:spPr>
            <a:ln w="28575">
              <a:noFill/>
            </a:ln>
          </c:spPr>
          <c:marker>
            <c:symbol val="diamond"/>
            <c:size val="7"/>
            <c:spPr>
              <a:solidFill>
                <a:srgbClr val="00B0F0"/>
              </a:solidFill>
              <a:ln>
                <a:noFill/>
              </a:ln>
            </c:spPr>
          </c:marker>
          <c:xVal>
            <c:numRef>
              <c:f>Plots!$V$3:$V$127</c:f>
              <c:numCache>
                <c:formatCode>General</c:formatCode>
                <c:ptCount val="125"/>
                <c:pt idx="0">
                  <c:v>2084456420118041</c:v>
                </c:pt>
                <c:pt idx="1">
                  <c:v>2.0809424491698296E+16</c:v>
                </c:pt>
                <c:pt idx="2">
                  <c:v>3.4624316065849332E+16</c:v>
                </c:pt>
                <c:pt idx="3">
                  <c:v>4.0733454949186808E+16</c:v>
                </c:pt>
                <c:pt idx="4">
                  <c:v>4.1474616231598336E+16</c:v>
                </c:pt>
                <c:pt idx="5">
                  <c:v>4.043870680006536E+16</c:v>
                </c:pt>
                <c:pt idx="6">
                  <c:v>3.891455065080532E+16</c:v>
                </c:pt>
                <c:pt idx="7">
                  <c:v>3.7313657177330064E+16</c:v>
                </c:pt>
                <c:pt idx="8">
                  <c:v>3.5660057122936336E+16</c:v>
                </c:pt>
                <c:pt idx="9">
                  <c:v>3.401311809362368E+16</c:v>
                </c:pt>
                <c:pt idx="10">
                  <c:v>3.2391527892385116E+16</c:v>
                </c:pt>
                <c:pt idx="11">
                  <c:v>3.0809249316539764E+16</c:v>
                </c:pt>
                <c:pt idx="12">
                  <c:v>2.9266946553086916E+16</c:v>
                </c:pt>
                <c:pt idx="13">
                  <c:v>2.779054330836924E+16</c:v>
                </c:pt>
                <c:pt idx="14">
                  <c:v>2.6360660394420948E+16</c:v>
                </c:pt>
                <c:pt idx="15">
                  <c:v>2.4985914748963128E+16</c:v>
                </c:pt>
                <c:pt idx="16">
                  <c:v>2.3673452404677384E+16</c:v>
                </c:pt>
                <c:pt idx="17">
                  <c:v>2.2410213123178152E+16</c:v>
                </c:pt>
                <c:pt idx="18">
                  <c:v>2.1201617407001052E+16</c:v>
                </c:pt>
                <c:pt idx="19">
                  <c:v>2.005271364239324E+16</c:v>
                </c:pt>
                <c:pt idx="20">
                  <c:v>1.8949507831661412E+16</c:v>
                </c:pt>
                <c:pt idx="21">
                  <c:v>1.790321609848074E+16</c:v>
                </c:pt>
                <c:pt idx="22">
                  <c:v>1.691098277931598E+16</c:v>
                </c:pt>
                <c:pt idx="23">
                  <c:v>1.5962477496204032E+16</c:v>
                </c:pt>
                <c:pt idx="24">
                  <c:v>1.5063158422648574E+16</c:v>
                </c:pt>
                <c:pt idx="25">
                  <c:v>1.4213379220447532E+16</c:v>
                </c:pt>
                <c:pt idx="26">
                  <c:v>1.340518049244273E+16</c:v>
                </c:pt>
                <c:pt idx="27">
                  <c:v>1.2646192985099334E+16</c:v>
                </c:pt>
                <c:pt idx="28">
                  <c:v>1.192655790060874E+16</c:v>
                </c:pt>
                <c:pt idx="29">
                  <c:v>1.124238387430122E+16</c:v>
                </c:pt>
                <c:pt idx="30">
                  <c:v>1.0592622547689316E+16</c:v>
                </c:pt>
                <c:pt idx="31">
                  <c:v>9988547603940930</c:v>
                </c:pt>
                <c:pt idx="32">
                  <c:v>9411236125637696</c:v>
                </c:pt>
                <c:pt idx="33">
                  <c:v>8869630486243882</c:v>
                </c:pt>
                <c:pt idx="34">
                  <c:v>8354347988692718</c:v>
                </c:pt>
                <c:pt idx="35">
                  <c:v>7868169555266792</c:v>
                </c:pt>
                <c:pt idx="36">
                  <c:v>7411225866474894</c:v>
                </c:pt>
                <c:pt idx="37">
                  <c:v>6979583640128380</c:v>
                </c:pt>
                <c:pt idx="38">
                  <c:v>6571191550837821</c:v>
                </c:pt>
                <c:pt idx="39">
                  <c:v>6186040196449880</c:v>
                </c:pt>
                <c:pt idx="40">
                  <c:v>5820252344660825</c:v>
                </c:pt>
                <c:pt idx="41">
                  <c:v>5478082098885287</c:v>
                </c:pt>
                <c:pt idx="42">
                  <c:v>5158475976075800</c:v>
                </c:pt>
                <c:pt idx="43">
                  <c:v>4852669106447705</c:v>
                </c:pt>
                <c:pt idx="44">
                  <c:v>4563129798216842</c:v>
                </c:pt>
                <c:pt idx="45">
                  <c:v>4294848354188092.5</c:v>
                </c:pt>
                <c:pt idx="46">
                  <c:v>4043661263347345.5</c:v>
                </c:pt>
                <c:pt idx="47">
                  <c:v>3805553014311285.5</c:v>
                </c:pt>
                <c:pt idx="48">
                  <c:v>3582528994189904.5</c:v>
                </c:pt>
                <c:pt idx="49">
                  <c:v>3371009422307241.5</c:v>
                </c:pt>
                <c:pt idx="50">
                  <c:v>3173485681096838</c:v>
                </c:pt>
                <c:pt idx="51">
                  <c:v>2978403690955917</c:v>
                </c:pt>
                <c:pt idx="52">
                  <c:v>2805681248625018</c:v>
                </c:pt>
                <c:pt idx="53">
                  <c:v>2636060460403697</c:v>
                </c:pt>
                <c:pt idx="54">
                  <c:v>2478824540363647.5</c:v>
                </c:pt>
                <c:pt idx="55">
                  <c:v>2328469909083446</c:v>
                </c:pt>
                <c:pt idx="56">
                  <c:v>2190916795716438.5</c:v>
                </c:pt>
                <c:pt idx="57">
                  <c:v>2058395017224834.2</c:v>
                </c:pt>
                <c:pt idx="58">
                  <c:v>1934777182922812</c:v>
                </c:pt>
                <c:pt idx="59">
                  <c:v>1817884528387517.5</c:v>
                </c:pt>
                <c:pt idx="60">
                  <c:v>1708047464173778.7</c:v>
                </c:pt>
                <c:pt idx="61">
                  <c:v>1606480424116368.5</c:v>
                </c:pt>
                <c:pt idx="62">
                  <c:v>1509524341297980.7</c:v>
                </c:pt>
                <c:pt idx="63">
                  <c:v>1417382933160686.7</c:v>
                </c:pt>
                <c:pt idx="64">
                  <c:v>1330374309707249.2</c:v>
                </c:pt>
                <c:pt idx="65">
                  <c:v>1255532932567874</c:v>
                </c:pt>
                <c:pt idx="66">
                  <c:v>1178792936803018.5</c:v>
                </c:pt>
                <c:pt idx="67">
                  <c:v>1108247185670458.7</c:v>
                </c:pt>
                <c:pt idx="68">
                  <c:v>1039316751333479.2</c:v>
                </c:pt>
                <c:pt idx="69">
                  <c:v>977761442270398.37</c:v>
                </c:pt>
                <c:pt idx="70">
                  <c:v>915222170182501.25</c:v>
                </c:pt>
                <c:pt idx="71">
                  <c:v>863421750243230</c:v>
                </c:pt>
                <c:pt idx="72">
                  <c:v>809458234998436.12</c:v>
                </c:pt>
                <c:pt idx="73">
                  <c:v>758741669855640.75</c:v>
                </c:pt>
                <c:pt idx="74">
                  <c:v>713862656081837.37</c:v>
                </c:pt>
                <c:pt idx="75">
                  <c:v>669462124133101.12</c:v>
                </c:pt>
                <c:pt idx="76">
                  <c:v>630857824444013.5</c:v>
                </c:pt>
                <c:pt idx="77">
                  <c:v>592515827106164.12</c:v>
                </c:pt>
                <c:pt idx="78">
                  <c:v>552040139438012.25</c:v>
                </c:pt>
                <c:pt idx="79">
                  <c:v>520183440104236.25</c:v>
                </c:pt>
                <c:pt idx="80">
                  <c:v>484774232688579.37</c:v>
                </c:pt>
                <c:pt idx="81">
                  <c:v>459077275998428.81</c:v>
                </c:pt>
                <c:pt idx="82">
                  <c:v>427050454976884.81</c:v>
                </c:pt>
                <c:pt idx="83">
                  <c:v>399399899638741.5</c:v>
                </c:pt>
                <c:pt idx="84">
                  <c:v>373268971615273.31</c:v>
                </c:pt>
                <c:pt idx="85">
                  <c:v>349582956495803.62</c:v>
                </c:pt>
                <c:pt idx="86">
                  <c:v>329460786047385.69</c:v>
                </c:pt>
                <c:pt idx="87">
                  <c:v>309749697995037.81</c:v>
                </c:pt>
                <c:pt idx="88">
                  <c:v>292965548127635.25</c:v>
                </c:pt>
                <c:pt idx="89">
                  <c:v>269388135973939.12</c:v>
                </c:pt>
                <c:pt idx="90">
                  <c:v>255620973461937.12</c:v>
                </c:pt>
                <c:pt idx="91">
                  <c:v>242638464174166.87</c:v>
                </c:pt>
                <c:pt idx="92">
                  <c:v>225036101239396.62</c:v>
                </c:pt>
                <c:pt idx="93">
                  <c:v>208186629323720.56</c:v>
                </c:pt>
                <c:pt idx="94">
                  <c:v>198979662040849.69</c:v>
                </c:pt>
                <c:pt idx="95">
                  <c:v>184930633943074.37</c:v>
                </c:pt>
                <c:pt idx="96">
                  <c:v>172163981785259.53</c:v>
                </c:pt>
                <c:pt idx="97">
                  <c:v>164056392256688.81</c:v>
                </c:pt>
                <c:pt idx="98">
                  <c:v>150159492255185.62</c:v>
                </c:pt>
                <c:pt idx="99">
                  <c:v>144213091376755.28</c:v>
                </c:pt>
                <c:pt idx="100">
                  <c:v>133441717449558.44</c:v>
                </c:pt>
                <c:pt idx="101">
                  <c:v>126967912693068.8</c:v>
                </c:pt>
                <c:pt idx="102">
                  <c:v>117857289238881.02</c:v>
                </c:pt>
                <c:pt idx="103">
                  <c:v>110550523699399.41</c:v>
                </c:pt>
                <c:pt idx="104">
                  <c:v>102218113576065.7</c:v>
                </c:pt>
                <c:pt idx="105">
                  <c:v>95304595157069.344</c:v>
                </c:pt>
                <c:pt idx="106">
                  <c:v>90303534202923.516</c:v>
                </c:pt>
                <c:pt idx="107">
                  <c:v>86679240012540.594</c:v>
                </c:pt>
                <c:pt idx="108">
                  <c:v>79776781494781.984</c:v>
                </c:pt>
                <c:pt idx="109">
                  <c:v>73831887527411.406</c:v>
                </c:pt>
                <c:pt idx="110">
                  <c:v>70518222040753.391</c:v>
                </c:pt>
                <c:pt idx="111">
                  <c:v>68119559962794.32</c:v>
                </c:pt>
                <c:pt idx="112">
                  <c:v>60927516702317.172</c:v>
                </c:pt>
                <c:pt idx="113">
                  <c:v>56554653964575.047</c:v>
                </c:pt>
                <c:pt idx="114">
                  <c:v>54692165285733.781</c:v>
                </c:pt>
                <c:pt idx="115">
                  <c:v>54008113275386.648</c:v>
                </c:pt>
                <c:pt idx="116">
                  <c:v>51120603694055.07</c:v>
                </c:pt>
                <c:pt idx="117">
                  <c:v>49981059057026.687</c:v>
                </c:pt>
                <c:pt idx="118">
                  <c:v>47436901931521.469</c:v>
                </c:pt>
                <c:pt idx="119">
                  <c:v>39354895727998.961</c:v>
                </c:pt>
                <c:pt idx="120">
                  <c:v>37155872060269.102</c:v>
                </c:pt>
                <c:pt idx="121">
                  <c:v>38520648261681.18</c:v>
                </c:pt>
                <c:pt idx="122">
                  <c:v>35980941112614.937</c:v>
                </c:pt>
                <c:pt idx="123">
                  <c:v>34351511861396.184</c:v>
                </c:pt>
                <c:pt idx="124">
                  <c:v>33972623524081.035</c:v>
                </c:pt>
              </c:numCache>
            </c:numRef>
          </c:xVal>
          <c:yVal>
            <c:numRef>
              <c:f>Plots!$W$3:$W$127</c:f>
              <c:numCache>
                <c:formatCode>General</c:formatCode>
                <c:ptCount val="125"/>
                <c:pt idx="0">
                  <c:v>0</c:v>
                </c:pt>
                <c:pt idx="1">
                  <c:v>0</c:v>
                </c:pt>
                <c:pt idx="2">
                  <c:v>9.1283990964583232E-5</c:v>
                </c:pt>
                <c:pt idx="3">
                  <c:v>8.8338804659388118E-5</c:v>
                </c:pt>
                <c:pt idx="4">
                  <c:v>8.3471678899917458E-5</c:v>
                </c:pt>
                <c:pt idx="5">
                  <c:v>8.0945126512481879E-5</c:v>
                </c:pt>
                <c:pt idx="6">
                  <c:v>8.0911508889922198E-5</c:v>
                </c:pt>
                <c:pt idx="7">
                  <c:v>8.1927537655192981E-5</c:v>
                </c:pt>
                <c:pt idx="8">
                  <c:v>8.3045020590829946E-5</c:v>
                </c:pt>
                <c:pt idx="9">
                  <c:v>8.3999652191829303E-5</c:v>
                </c:pt>
                <c:pt idx="10">
                  <c:v>8.4886924211295101E-5</c:v>
                </c:pt>
                <c:pt idx="11">
                  <c:v>8.5639549232987809E-5</c:v>
                </c:pt>
                <c:pt idx="12">
                  <c:v>8.6307465901153458E-5</c:v>
                </c:pt>
                <c:pt idx="13">
                  <c:v>8.6929341179509199E-5</c:v>
                </c:pt>
                <c:pt idx="14">
                  <c:v>8.7436828308107278E-5</c:v>
                </c:pt>
                <c:pt idx="15">
                  <c:v>8.7833836810098344E-5</c:v>
                </c:pt>
                <c:pt idx="16">
                  <c:v>8.8204643607190178E-5</c:v>
                </c:pt>
                <c:pt idx="17">
                  <c:v>8.8482376274432955E-5</c:v>
                </c:pt>
                <c:pt idx="18">
                  <c:v>8.8673185561055545E-5</c:v>
                </c:pt>
                <c:pt idx="19">
                  <c:v>8.8851658453158785E-5</c:v>
                </c:pt>
                <c:pt idx="20">
                  <c:v>8.889817816631463E-5</c:v>
                </c:pt>
                <c:pt idx="21">
                  <c:v>8.8897737434658151E-5</c:v>
                </c:pt>
                <c:pt idx="22">
                  <c:v>8.8847882204869661E-5</c:v>
                </c:pt>
                <c:pt idx="23">
                  <c:v>8.8729667709544634E-5</c:v>
                </c:pt>
                <c:pt idx="24">
                  <c:v>8.8577554831224668E-5</c:v>
                </c:pt>
                <c:pt idx="25">
                  <c:v>8.8375022434594377E-5</c:v>
                </c:pt>
                <c:pt idx="26">
                  <c:v>8.81143307872056E-5</c:v>
                </c:pt>
                <c:pt idx="27">
                  <c:v>8.7822206683037967E-5</c:v>
                </c:pt>
                <c:pt idx="28">
                  <c:v>8.753326527965083E-5</c:v>
                </c:pt>
                <c:pt idx="29">
                  <c:v>8.7288109022405207E-5</c:v>
                </c:pt>
                <c:pt idx="30">
                  <c:v>8.6857600300732922E-5</c:v>
                </c:pt>
                <c:pt idx="31">
                  <c:v>8.6456661693769967E-5</c:v>
                </c:pt>
                <c:pt idx="32">
                  <c:v>8.5964934261017472E-5</c:v>
                </c:pt>
                <c:pt idx="33">
                  <c:v>8.5450443867197964E-5</c:v>
                </c:pt>
                <c:pt idx="34">
                  <c:v>8.4900845131198236E-5</c:v>
                </c:pt>
                <c:pt idx="35">
                  <c:v>8.4298882565523537E-5</c:v>
                </c:pt>
                <c:pt idx="36">
                  <c:v>8.3696202231640972E-5</c:v>
                </c:pt>
                <c:pt idx="37">
                  <c:v>8.306334430449762E-5</c:v>
                </c:pt>
                <c:pt idx="38">
                  <c:v>8.2350284163173348E-5</c:v>
                </c:pt>
                <c:pt idx="39">
                  <c:v>8.1710060804462013E-5</c:v>
                </c:pt>
                <c:pt idx="40">
                  <c:v>8.0977191666329137E-5</c:v>
                </c:pt>
                <c:pt idx="41">
                  <c:v>8.0322263431007701E-5</c:v>
                </c:pt>
                <c:pt idx="42">
                  <c:v>7.9624986899109589E-5</c:v>
                </c:pt>
                <c:pt idx="43">
                  <c:v>7.8823490189014814E-5</c:v>
                </c:pt>
                <c:pt idx="44">
                  <c:v>7.796499340010923E-5</c:v>
                </c:pt>
                <c:pt idx="45">
                  <c:v>7.7215350100345414E-5</c:v>
                </c:pt>
                <c:pt idx="46">
                  <c:v>7.649240316234136E-5</c:v>
                </c:pt>
                <c:pt idx="47">
                  <c:v>7.5686870459860096E-5</c:v>
                </c:pt>
                <c:pt idx="48">
                  <c:v>7.4904332531267387E-5</c:v>
                </c:pt>
                <c:pt idx="49">
                  <c:v>7.4026030344015155E-5</c:v>
                </c:pt>
                <c:pt idx="50">
                  <c:v>7.3245028766799836E-5</c:v>
                </c:pt>
                <c:pt idx="51">
                  <c:v>7.2217588713208096E-5</c:v>
                </c:pt>
                <c:pt idx="52">
                  <c:v>7.1500680188642718E-5</c:v>
                </c:pt>
                <c:pt idx="53">
                  <c:v>7.0580698699944613E-5</c:v>
                </c:pt>
                <c:pt idx="54">
                  <c:v>6.9741078470644596E-5</c:v>
                </c:pt>
                <c:pt idx="55">
                  <c:v>6.8785345619668857E-5</c:v>
                </c:pt>
                <c:pt idx="56">
                  <c:v>6.7974070817868466E-5</c:v>
                </c:pt>
                <c:pt idx="57">
                  <c:v>6.7059802580442815E-5</c:v>
                </c:pt>
                <c:pt idx="58">
                  <c:v>6.625179122770083E-5</c:v>
                </c:pt>
                <c:pt idx="59">
                  <c:v>6.544521404318508E-5</c:v>
                </c:pt>
                <c:pt idx="60">
                  <c:v>6.4553558727618754E-5</c:v>
                </c:pt>
                <c:pt idx="61">
                  <c:v>6.3751864879223435E-5</c:v>
                </c:pt>
                <c:pt idx="62">
                  <c:v>6.3028756507985576E-5</c:v>
                </c:pt>
                <c:pt idx="63">
                  <c:v>6.2155226581754732E-5</c:v>
                </c:pt>
                <c:pt idx="64">
                  <c:v>6.1241341713432092E-5</c:v>
                </c:pt>
                <c:pt idx="65">
                  <c:v>6.067236985784203E-5</c:v>
                </c:pt>
                <c:pt idx="66">
                  <c:v>5.9766784318265699E-5</c:v>
                </c:pt>
                <c:pt idx="67">
                  <c:v>5.8942581033496177E-5</c:v>
                </c:pt>
                <c:pt idx="68">
                  <c:v>5.8062481366218832E-5</c:v>
                </c:pt>
                <c:pt idx="69">
                  <c:v>5.7374658171132453E-5</c:v>
                </c:pt>
                <c:pt idx="70">
                  <c:v>5.6387851398029668E-5</c:v>
                </c:pt>
                <c:pt idx="71">
                  <c:v>5.5740757919584838E-5</c:v>
                </c:pt>
                <c:pt idx="72">
                  <c:v>5.4907890294189365E-5</c:v>
                </c:pt>
                <c:pt idx="73">
                  <c:v>5.3954369742166407E-5</c:v>
                </c:pt>
                <c:pt idx="74">
                  <c:v>5.3317881979247873E-5</c:v>
                </c:pt>
                <c:pt idx="75">
                  <c:v>5.2619691935564406E-5</c:v>
                </c:pt>
                <c:pt idx="76">
                  <c:v>5.1981256925271777E-5</c:v>
                </c:pt>
                <c:pt idx="77">
                  <c:v>5.1260956014063223E-5</c:v>
                </c:pt>
                <c:pt idx="78">
                  <c:v>5.0094172213661258E-5</c:v>
                </c:pt>
                <c:pt idx="79">
                  <c:v>4.9731417945662503E-5</c:v>
                </c:pt>
                <c:pt idx="80">
                  <c:v>4.8712216709342485E-5</c:v>
                </c:pt>
                <c:pt idx="81">
                  <c:v>4.8368980238626687E-5</c:v>
                </c:pt>
                <c:pt idx="82">
                  <c:v>4.7232831653076312E-5</c:v>
                </c:pt>
                <c:pt idx="83">
                  <c:v>4.6417055998006911E-5</c:v>
                </c:pt>
                <c:pt idx="84">
                  <c:v>4.5769194088320097E-5</c:v>
                </c:pt>
                <c:pt idx="85">
                  <c:v>4.4893700767936171E-5</c:v>
                </c:pt>
                <c:pt idx="86">
                  <c:v>4.4662473541406269E-5</c:v>
                </c:pt>
                <c:pt idx="87">
                  <c:v>4.4019312936793849E-5</c:v>
                </c:pt>
                <c:pt idx="88">
                  <c:v>4.3787707436012209E-5</c:v>
                </c:pt>
                <c:pt idx="89">
                  <c:v>4.2442757023098767E-5</c:v>
                </c:pt>
                <c:pt idx="90">
                  <c:v>4.2430408738464955E-5</c:v>
                </c:pt>
                <c:pt idx="91">
                  <c:v>4.2238898982411019E-5</c:v>
                </c:pt>
                <c:pt idx="92">
                  <c:v>4.1333590935953341E-5</c:v>
                </c:pt>
                <c:pt idx="93">
                  <c:v>4.0237100551866605E-5</c:v>
                </c:pt>
                <c:pt idx="94">
                  <c:v>4.0422122332329373E-5</c:v>
                </c:pt>
                <c:pt idx="95">
                  <c:v>3.97499621080276E-5</c:v>
                </c:pt>
                <c:pt idx="96">
                  <c:v>3.8916891039255615E-5</c:v>
                </c:pt>
                <c:pt idx="97">
                  <c:v>3.9137007071808357E-5</c:v>
                </c:pt>
                <c:pt idx="98">
                  <c:v>3.7828198694543895E-5</c:v>
                </c:pt>
                <c:pt idx="99">
                  <c:v>3.8247529337454242E-5</c:v>
                </c:pt>
                <c:pt idx="100">
                  <c:v>3.7705922552065705E-5</c:v>
                </c:pt>
                <c:pt idx="101">
                  <c:v>3.7716876441011044E-5</c:v>
                </c:pt>
                <c:pt idx="102">
                  <c:v>3.7063045053785105E-5</c:v>
                </c:pt>
                <c:pt idx="103">
                  <c:v>3.6715523097246017E-5</c:v>
                </c:pt>
                <c:pt idx="104">
                  <c:v>3.5857498572912419E-5</c:v>
                </c:pt>
                <c:pt idx="105">
                  <c:v>3.5266527457980305E-5</c:v>
                </c:pt>
                <c:pt idx="106">
                  <c:v>3.5555074871447449E-5</c:v>
                </c:pt>
                <c:pt idx="107">
                  <c:v>3.6189523712831831E-5</c:v>
                </c:pt>
                <c:pt idx="108">
                  <c:v>3.4988274811006468E-5</c:v>
                </c:pt>
                <c:pt idx="109">
                  <c:v>3.4342638548922665E-5</c:v>
                </c:pt>
                <c:pt idx="110">
                  <c:v>3.486365601980572E-5</c:v>
                </c:pt>
                <c:pt idx="111">
                  <c:v>3.5763586588914394E-5</c:v>
                </c:pt>
                <c:pt idx="112">
                  <c:v>3.3745008441625724E-5</c:v>
                </c:pt>
                <c:pt idx="113">
                  <c:v>3.3529532086277908E-5</c:v>
                </c:pt>
                <c:pt idx="114">
                  <c:v>3.4561980154408534E-5</c:v>
                </c:pt>
                <c:pt idx="115">
                  <c:v>3.6757769042343249E-5</c:v>
                </c:pt>
                <c:pt idx="116">
                  <c:v>3.6649024717275977E-5</c:v>
                </c:pt>
                <c:pt idx="117">
                  <c:v>3.776053204098499E-5</c:v>
                </c:pt>
                <c:pt idx="118">
                  <c:v>3.8003234288942083E-5</c:v>
                </c:pt>
                <c:pt idx="119">
                  <c:v>3.355318165853346E-5</c:v>
                </c:pt>
                <c:pt idx="120">
                  <c:v>3.444969369672524E-5</c:v>
                </c:pt>
                <c:pt idx="121">
                  <c:v>3.8311319709457746E-5</c:v>
                </c:pt>
                <c:pt idx="122">
                  <c:v>3.7914553671716537E-5</c:v>
                </c:pt>
                <c:pt idx="123">
                  <c:v>0</c:v>
                </c:pt>
                <c:pt idx="124">
                  <c:v>0</c:v>
                </c:pt>
              </c:numCache>
            </c:numRef>
          </c:yVal>
          <c:smooth val="0"/>
        </c:ser>
        <c:ser>
          <c:idx val="12"/>
          <c:order val="12"/>
          <c:tx>
            <c:strRef>
              <c:f>Plots!$X$1</c:f>
              <c:strCache>
                <c:ptCount val="1"/>
                <c:pt idx="0">
                  <c:v>70</c:v>
                </c:pt>
              </c:strCache>
            </c:strRef>
          </c:tx>
          <c:spPr>
            <a:ln w="28575">
              <a:noFill/>
            </a:ln>
          </c:spPr>
          <c:marker>
            <c:symbol val="diamond"/>
            <c:size val="7"/>
            <c:spPr>
              <a:solidFill>
                <a:schemeClr val="tx2">
                  <a:lumMod val="60000"/>
                  <a:lumOff val="40000"/>
                </a:schemeClr>
              </a:solidFill>
              <a:ln>
                <a:noFill/>
              </a:ln>
            </c:spPr>
          </c:marker>
          <c:xVal>
            <c:numRef>
              <c:f>Plots!$X$3:$X$127</c:f>
              <c:numCache>
                <c:formatCode>General</c:formatCode>
                <c:ptCount val="125"/>
                <c:pt idx="0">
                  <c:v>7642329850515713</c:v>
                </c:pt>
                <c:pt idx="1">
                  <c:v>2.595726033404838E+16</c:v>
                </c:pt>
                <c:pt idx="2">
                  <c:v>3.53824872606754E+16</c:v>
                </c:pt>
                <c:pt idx="3">
                  <c:v>3.9392054932886336E+16</c:v>
                </c:pt>
                <c:pt idx="4">
                  <c:v>3.9247807699374312E+16</c:v>
                </c:pt>
                <c:pt idx="5">
                  <c:v>3.7930589076913728E+16</c:v>
                </c:pt>
                <c:pt idx="6">
                  <c:v>3.6331337698649808E+16</c:v>
                </c:pt>
                <c:pt idx="7">
                  <c:v>3.4719616037102292E+16</c:v>
                </c:pt>
                <c:pt idx="8">
                  <c:v>3.311452917180172E+16</c:v>
                </c:pt>
                <c:pt idx="9">
                  <c:v>3.1520625817221948E+16</c:v>
                </c:pt>
                <c:pt idx="10">
                  <c:v>2.9963899990492484E+16</c:v>
                </c:pt>
                <c:pt idx="11">
                  <c:v>2.8452974790108376E+16</c:v>
                </c:pt>
                <c:pt idx="12">
                  <c:v>2.69863016182753E+16</c:v>
                </c:pt>
                <c:pt idx="13">
                  <c:v>2.5582741795572048E+16</c:v>
                </c:pt>
                <c:pt idx="14">
                  <c:v>2.422999562441314E+16</c:v>
                </c:pt>
                <c:pt idx="15">
                  <c:v>2.293763192220832E+16</c:v>
                </c:pt>
                <c:pt idx="16">
                  <c:v>2.1703396701172996E+16</c:v>
                </c:pt>
                <c:pt idx="17">
                  <c:v>2.0513708194746088E+16</c:v>
                </c:pt>
                <c:pt idx="18">
                  <c:v>1.9379650644705004E+16</c:v>
                </c:pt>
                <c:pt idx="19">
                  <c:v>1.8298047327131084E+16</c:v>
                </c:pt>
                <c:pt idx="20">
                  <c:v>1.7267641146252656E+16</c:v>
                </c:pt>
                <c:pt idx="21">
                  <c:v>1.6294049616911106E+16</c:v>
                </c:pt>
                <c:pt idx="22">
                  <c:v>1.5368217290536608E+16</c:v>
                </c:pt>
                <c:pt idx="23">
                  <c:v>1.4490435163664754E+16</c:v>
                </c:pt>
                <c:pt idx="24">
                  <c:v>1.3656907523612092E+16</c:v>
                </c:pt>
                <c:pt idx="25">
                  <c:v>1.287202635368219E+16</c:v>
                </c:pt>
                <c:pt idx="26">
                  <c:v>1.2130432722618308E+16</c:v>
                </c:pt>
                <c:pt idx="27">
                  <c:v>1.142533830874366E+16</c:v>
                </c:pt>
                <c:pt idx="28">
                  <c:v>1.075916876797711E+16</c:v>
                </c:pt>
                <c:pt idx="29">
                  <c:v>1.0133546730513608E+16</c:v>
                </c:pt>
                <c:pt idx="30">
                  <c:v>9542211368883510</c:v>
                </c:pt>
                <c:pt idx="31">
                  <c:v>8990061271690213</c:v>
                </c:pt>
                <c:pt idx="32">
                  <c:v>8462093245241405</c:v>
                </c:pt>
                <c:pt idx="33">
                  <c:v>7968933164219967</c:v>
                </c:pt>
                <c:pt idx="34">
                  <c:v>7492200420056623</c:v>
                </c:pt>
                <c:pt idx="35">
                  <c:v>7054944722881337</c:v>
                </c:pt>
                <c:pt idx="36">
                  <c:v>6642050723389790</c:v>
                </c:pt>
                <c:pt idx="37">
                  <c:v>6248258415925561</c:v>
                </c:pt>
                <c:pt idx="38">
                  <c:v>5877807845587627</c:v>
                </c:pt>
                <c:pt idx="39">
                  <c:v>5526890852581299</c:v>
                </c:pt>
                <c:pt idx="40">
                  <c:v>5197753808317487</c:v>
                </c:pt>
                <c:pt idx="41">
                  <c:v>4887727897801579</c:v>
                </c:pt>
                <c:pt idx="42">
                  <c:v>4598772328853184</c:v>
                </c:pt>
                <c:pt idx="43">
                  <c:v>4324117198287774.5</c:v>
                </c:pt>
                <c:pt idx="44">
                  <c:v>4066884397860256.5</c:v>
                </c:pt>
                <c:pt idx="45">
                  <c:v>3824041983063729</c:v>
                </c:pt>
                <c:pt idx="46">
                  <c:v>3595151405554067.5</c:v>
                </c:pt>
                <c:pt idx="47">
                  <c:v>3378600855517458</c:v>
                </c:pt>
                <c:pt idx="48">
                  <c:v>3176558773402421.5</c:v>
                </c:pt>
                <c:pt idx="49">
                  <c:v>2985453864802418</c:v>
                </c:pt>
                <c:pt idx="50">
                  <c:v>2805882270059691.5</c:v>
                </c:pt>
                <c:pt idx="51">
                  <c:v>2635784705960776</c:v>
                </c:pt>
                <c:pt idx="52">
                  <c:v>2478455873284850</c:v>
                </c:pt>
                <c:pt idx="53">
                  <c:v>2329964105196126</c:v>
                </c:pt>
                <c:pt idx="54">
                  <c:v>2187916517456756.2</c:v>
                </c:pt>
                <c:pt idx="55">
                  <c:v>2053497331801239.5</c:v>
                </c:pt>
                <c:pt idx="56">
                  <c:v>1930806314092958.7</c:v>
                </c:pt>
                <c:pt idx="57">
                  <c:v>1811265324570438.2</c:v>
                </c:pt>
                <c:pt idx="58">
                  <c:v>1703844808336981.7</c:v>
                </c:pt>
                <c:pt idx="59">
                  <c:v>1598138524465449.5</c:v>
                </c:pt>
                <c:pt idx="60">
                  <c:v>1500645665821128</c:v>
                </c:pt>
                <c:pt idx="61">
                  <c:v>1410053578008005.2</c:v>
                </c:pt>
                <c:pt idx="62">
                  <c:v>1327660474443308.5</c:v>
                </c:pt>
                <c:pt idx="63">
                  <c:v>1248184007997225.7</c:v>
                </c:pt>
                <c:pt idx="64">
                  <c:v>1172719933687467.7</c:v>
                </c:pt>
                <c:pt idx="65">
                  <c:v>1100849649034120.6</c:v>
                </c:pt>
                <c:pt idx="66">
                  <c:v>1029372527837523.1</c:v>
                </c:pt>
                <c:pt idx="67">
                  <c:v>969509905040581.5</c:v>
                </c:pt>
                <c:pt idx="68">
                  <c:v>909149777381016.37</c:v>
                </c:pt>
                <c:pt idx="69">
                  <c:v>857710695161194.75</c:v>
                </c:pt>
                <c:pt idx="70">
                  <c:v>806305137303445.75</c:v>
                </c:pt>
                <c:pt idx="71">
                  <c:v>755465036902864.37</c:v>
                </c:pt>
                <c:pt idx="72">
                  <c:v>709336298650713.62</c:v>
                </c:pt>
                <c:pt idx="73">
                  <c:v>667109528968412.5</c:v>
                </c:pt>
                <c:pt idx="74">
                  <c:v>627311243809504.5</c:v>
                </c:pt>
                <c:pt idx="75">
                  <c:v>588554010729674.5</c:v>
                </c:pt>
                <c:pt idx="76">
                  <c:v>550425560222142.56</c:v>
                </c:pt>
                <c:pt idx="77">
                  <c:v>518111834469048.62</c:v>
                </c:pt>
                <c:pt idx="78">
                  <c:v>486184419628941.31</c:v>
                </c:pt>
                <c:pt idx="79">
                  <c:v>458446416571199.44</c:v>
                </c:pt>
                <c:pt idx="80">
                  <c:v>429937701424652.06</c:v>
                </c:pt>
                <c:pt idx="81">
                  <c:v>402135800042601.69</c:v>
                </c:pt>
                <c:pt idx="82">
                  <c:v>378201935268277.62</c:v>
                </c:pt>
                <c:pt idx="83">
                  <c:v>354338016240197.87</c:v>
                </c:pt>
                <c:pt idx="84">
                  <c:v>333662925071139.12</c:v>
                </c:pt>
                <c:pt idx="85">
                  <c:v>315835367788391.5</c:v>
                </c:pt>
                <c:pt idx="86">
                  <c:v>296635942988175.06</c:v>
                </c:pt>
                <c:pt idx="87">
                  <c:v>273839166316261.44</c:v>
                </c:pt>
                <c:pt idx="88">
                  <c:v>254472589091607.69</c:v>
                </c:pt>
                <c:pt idx="89">
                  <c:v>240857326441556.37</c:v>
                </c:pt>
                <c:pt idx="90">
                  <c:v>228311856087887.44</c:v>
                </c:pt>
                <c:pt idx="91">
                  <c:v>215631984732606.75</c:v>
                </c:pt>
                <c:pt idx="92">
                  <c:v>203909386380241.28</c:v>
                </c:pt>
                <c:pt idx="93">
                  <c:v>188889128651656.66</c:v>
                </c:pt>
                <c:pt idx="94">
                  <c:v>176318493342888.16</c:v>
                </c:pt>
                <c:pt idx="95">
                  <c:v>165611134925887.25</c:v>
                </c:pt>
                <c:pt idx="96">
                  <c:v>156979349314769.47</c:v>
                </c:pt>
                <c:pt idx="97">
                  <c:v>149042363215839.34</c:v>
                </c:pt>
                <c:pt idx="98">
                  <c:v>138793099736426.02</c:v>
                </c:pt>
                <c:pt idx="99">
                  <c:v>131085774223679</c:v>
                </c:pt>
                <c:pt idx="100">
                  <c:v>122480007968317.67</c:v>
                </c:pt>
                <c:pt idx="101">
                  <c:v>112544825274337.91</c:v>
                </c:pt>
                <c:pt idx="102">
                  <c:v>105181088889312.44</c:v>
                </c:pt>
                <c:pt idx="103">
                  <c:v>99697910816997.562</c:v>
                </c:pt>
                <c:pt idx="104">
                  <c:v>95011410713487.844</c:v>
                </c:pt>
                <c:pt idx="105">
                  <c:v>86904436115765.984</c:v>
                </c:pt>
                <c:pt idx="106">
                  <c:v>83519782400382.578</c:v>
                </c:pt>
                <c:pt idx="107">
                  <c:v>80317001747463.203</c:v>
                </c:pt>
                <c:pt idx="108">
                  <c:v>73482066326493.187</c:v>
                </c:pt>
                <c:pt idx="109">
                  <c:v>67408064957185.18</c:v>
                </c:pt>
                <c:pt idx="110">
                  <c:v>65396306560187.367</c:v>
                </c:pt>
                <c:pt idx="111">
                  <c:v>61266742615300.937</c:v>
                </c:pt>
                <c:pt idx="112">
                  <c:v>59543800234447.344</c:v>
                </c:pt>
                <c:pt idx="113">
                  <c:v>50827537263551.711</c:v>
                </c:pt>
                <c:pt idx="114">
                  <c:v>49035452155007.742</c:v>
                </c:pt>
                <c:pt idx="115">
                  <c:v>46957261799316.258</c:v>
                </c:pt>
                <c:pt idx="116">
                  <c:v>43268301288016.492</c:v>
                </c:pt>
                <c:pt idx="117">
                  <c:v>40511946602714.289</c:v>
                </c:pt>
                <c:pt idx="118">
                  <c:v>33180064603657.254</c:v>
                </c:pt>
                <c:pt idx="119">
                  <c:v>32286520753808.262</c:v>
                </c:pt>
                <c:pt idx="120">
                  <c:v>30857298112463.957</c:v>
                </c:pt>
                <c:pt idx="121">
                  <c:v>31428983989500.652</c:v>
                </c:pt>
                <c:pt idx="122">
                  <c:v>29749961425173.836</c:v>
                </c:pt>
                <c:pt idx="123">
                  <c:v>26108012693420.336</c:v>
                </c:pt>
                <c:pt idx="124">
                  <c:v>28999925399937.73</c:v>
                </c:pt>
              </c:numCache>
            </c:numRef>
          </c:xVal>
          <c:yVal>
            <c:numRef>
              <c:f>Plots!$Y$3:$Y$127</c:f>
              <c:numCache>
                <c:formatCode>General</c:formatCode>
                <c:ptCount val="125"/>
                <c:pt idx="0">
                  <c:v>0</c:v>
                </c:pt>
                <c:pt idx="1">
                  <c:v>0</c:v>
                </c:pt>
                <c:pt idx="2">
                  <c:v>8.7349504956801314E-5</c:v>
                </c:pt>
                <c:pt idx="3">
                  <c:v>8.3466849546105857E-5</c:v>
                </c:pt>
                <c:pt idx="4">
                  <c:v>8.0137422140010863E-5</c:v>
                </c:pt>
                <c:pt idx="5">
                  <c:v>7.8915145744145918E-5</c:v>
                </c:pt>
                <c:pt idx="6">
                  <c:v>7.9598137815511084E-5</c:v>
                </c:pt>
                <c:pt idx="7">
                  <c:v>8.056298003950172E-5</c:v>
                </c:pt>
                <c:pt idx="8">
                  <c:v>8.1470267789062386E-5</c:v>
                </c:pt>
                <c:pt idx="9">
                  <c:v>8.2256217470780634E-5</c:v>
                </c:pt>
                <c:pt idx="10">
                  <c:v>8.2888427899055811E-5</c:v>
                </c:pt>
                <c:pt idx="11">
                  <c:v>8.3458758903531176E-5</c:v>
                </c:pt>
                <c:pt idx="12">
                  <c:v>8.3953871813318424E-5</c:v>
                </c:pt>
                <c:pt idx="13">
                  <c:v>8.43731075821762E-5</c:v>
                </c:pt>
                <c:pt idx="14">
                  <c:v>8.4684400291413803E-5</c:v>
                </c:pt>
                <c:pt idx="15">
                  <c:v>8.4949066226068347E-5</c:v>
                </c:pt>
                <c:pt idx="16">
                  <c:v>8.5146451563413453E-5</c:v>
                </c:pt>
                <c:pt idx="17">
                  <c:v>8.5251766527959447E-5</c:v>
                </c:pt>
                <c:pt idx="18">
                  <c:v>8.5306266383559091E-5</c:v>
                </c:pt>
                <c:pt idx="19">
                  <c:v>8.5285721700301701E-5</c:v>
                </c:pt>
                <c:pt idx="20">
                  <c:v>8.5199551429278103E-5</c:v>
                </c:pt>
                <c:pt idx="21">
                  <c:v>8.5080521788949876E-5</c:v>
                </c:pt>
                <c:pt idx="22">
                  <c:v>8.4894370286636115E-5</c:v>
                </c:pt>
                <c:pt idx="23">
                  <c:v>8.4688600297246264E-5</c:v>
                </c:pt>
                <c:pt idx="24">
                  <c:v>8.4391347381238764E-5</c:v>
                </c:pt>
                <c:pt idx="25">
                  <c:v>8.4082719864479535E-5</c:v>
                </c:pt>
                <c:pt idx="26">
                  <c:v>8.3734323613099813E-5</c:v>
                </c:pt>
                <c:pt idx="27">
                  <c:v>8.333789379623454E-5</c:v>
                </c:pt>
                <c:pt idx="28">
                  <c:v>8.3054532418664205E-5</c:v>
                </c:pt>
                <c:pt idx="29">
                  <c:v>8.2625697159862692E-5</c:v>
                </c:pt>
                <c:pt idx="30">
                  <c:v>8.215096815307334E-5</c:v>
                </c:pt>
                <c:pt idx="31">
                  <c:v>8.167413088915412E-5</c:v>
                </c:pt>
                <c:pt idx="32">
                  <c:v>8.1085445631366783E-5</c:v>
                </c:pt>
                <c:pt idx="33">
                  <c:v>8.0518025272983349E-5</c:v>
                </c:pt>
                <c:pt idx="34">
                  <c:v>7.9852832837463172E-5</c:v>
                </c:pt>
                <c:pt idx="35">
                  <c:v>7.9265522393957337E-5</c:v>
                </c:pt>
                <c:pt idx="36">
                  <c:v>7.8630980933875507E-5</c:v>
                </c:pt>
                <c:pt idx="37">
                  <c:v>7.7876710478270994E-5</c:v>
                </c:pt>
                <c:pt idx="38">
                  <c:v>7.7200811567911933E-5</c:v>
                </c:pt>
                <c:pt idx="39">
                  <c:v>7.646397449535571E-5</c:v>
                </c:pt>
                <c:pt idx="40">
                  <c:v>7.573327759766644E-5</c:v>
                </c:pt>
                <c:pt idx="41">
                  <c:v>7.5016610193202689E-5</c:v>
                </c:pt>
                <c:pt idx="42">
                  <c:v>7.4300096243491506E-5</c:v>
                </c:pt>
                <c:pt idx="43">
                  <c:v>7.3506733983495223E-5</c:v>
                </c:pt>
                <c:pt idx="44">
                  <c:v>7.2751796677714272E-5</c:v>
                </c:pt>
                <c:pt idx="45">
                  <c:v>7.190195176306711E-5</c:v>
                </c:pt>
                <c:pt idx="46">
                  <c:v>7.1121821649470059E-5</c:v>
                </c:pt>
                <c:pt idx="47">
                  <c:v>7.0270133256186606E-5</c:v>
                </c:pt>
                <c:pt idx="48">
                  <c:v>6.9465884669551631E-5</c:v>
                </c:pt>
                <c:pt idx="49">
                  <c:v>6.8599180258434398E-5</c:v>
                </c:pt>
                <c:pt idx="50">
                  <c:v>6.77482621506566E-5</c:v>
                </c:pt>
                <c:pt idx="51">
                  <c:v>6.6913827301217835E-5</c:v>
                </c:pt>
                <c:pt idx="52">
                  <c:v>6.6129296846649749E-5</c:v>
                </c:pt>
                <c:pt idx="53">
                  <c:v>6.5321513029782848E-5</c:v>
                </c:pt>
                <c:pt idx="54">
                  <c:v>6.4399241448957349E-5</c:v>
                </c:pt>
                <c:pt idx="55">
                  <c:v>6.3488410626623279E-5</c:v>
                </c:pt>
                <c:pt idx="56">
                  <c:v>6.2700306096864848E-5</c:v>
                </c:pt>
                <c:pt idx="57">
                  <c:v>6.1764465817575282E-5</c:v>
                </c:pt>
                <c:pt idx="58">
                  <c:v>6.1049984595356653E-5</c:v>
                </c:pt>
                <c:pt idx="59">
                  <c:v>6.0160513083991289E-5</c:v>
                </c:pt>
                <c:pt idx="60">
                  <c:v>5.9310866719895418E-5</c:v>
                </c:pt>
                <c:pt idx="61">
                  <c:v>5.8651277792928483E-5</c:v>
                </c:pt>
                <c:pt idx="62">
                  <c:v>5.8026864350835327E-5</c:v>
                </c:pt>
                <c:pt idx="63">
                  <c:v>5.7203643301710798E-5</c:v>
                </c:pt>
                <c:pt idx="64">
                  <c:v>5.6371909833970296E-5</c:v>
                </c:pt>
                <c:pt idx="65">
                  <c:v>5.5518681723265173E-5</c:v>
                </c:pt>
                <c:pt idx="66">
                  <c:v>5.4526741118023456E-5</c:v>
                </c:pt>
                <c:pt idx="67">
                  <c:v>5.3939035547562669E-5</c:v>
                </c:pt>
                <c:pt idx="68">
                  <c:v>5.3192854452600167E-5</c:v>
                </c:pt>
                <c:pt idx="69">
                  <c:v>5.2723098646215901E-5</c:v>
                </c:pt>
                <c:pt idx="70">
                  <c:v>5.1937337492101263E-5</c:v>
                </c:pt>
                <c:pt idx="71">
                  <c:v>5.1064995090427929E-5</c:v>
                </c:pt>
                <c:pt idx="72">
                  <c:v>5.0325554155659108E-5</c:v>
                </c:pt>
                <c:pt idx="73">
                  <c:v>4.9707741107382999E-5</c:v>
                </c:pt>
                <c:pt idx="74">
                  <c:v>4.9060793802086239E-5</c:v>
                </c:pt>
                <c:pt idx="75">
                  <c:v>4.8327356956904471E-5</c:v>
                </c:pt>
                <c:pt idx="76">
                  <c:v>4.7499669739566717E-5</c:v>
                </c:pt>
                <c:pt idx="77">
                  <c:v>4.6963401182793452E-5</c:v>
                </c:pt>
                <c:pt idx="78">
                  <c:v>4.6345876063367281E-5</c:v>
                </c:pt>
                <c:pt idx="79">
                  <c:v>4.5895290101337924E-5</c:v>
                </c:pt>
                <c:pt idx="80">
                  <c:v>4.5201269450248975E-5</c:v>
                </c:pt>
                <c:pt idx="81">
                  <c:v>4.4390433327565996E-5</c:v>
                </c:pt>
                <c:pt idx="82">
                  <c:v>4.3784641184758485E-5</c:v>
                </c:pt>
                <c:pt idx="83">
                  <c:v>4.3173310331186389E-5</c:v>
                </c:pt>
                <c:pt idx="84">
                  <c:v>4.2620731006083263E-5</c:v>
                </c:pt>
                <c:pt idx="85">
                  <c:v>4.2447366941848077E-5</c:v>
                </c:pt>
                <c:pt idx="86">
                  <c:v>4.1912841496020991E-5</c:v>
                </c:pt>
                <c:pt idx="87">
                  <c:v>4.0668035677828277E-5</c:v>
                </c:pt>
                <c:pt idx="88">
                  <c:v>3.9841324729408707E-5</c:v>
                </c:pt>
                <c:pt idx="89">
                  <c:v>3.9695223461713365E-5</c:v>
                </c:pt>
                <c:pt idx="90">
                  <c:v>3.9655096170353838E-5</c:v>
                </c:pt>
                <c:pt idx="91">
                  <c:v>3.9380224193969297E-5</c:v>
                </c:pt>
                <c:pt idx="92">
                  <c:v>3.9191552315764777E-5</c:v>
                </c:pt>
                <c:pt idx="93">
                  <c:v>3.82824819930029E-5</c:v>
                </c:pt>
                <c:pt idx="94">
                  <c:v>3.758729285398989E-5</c:v>
                </c:pt>
                <c:pt idx="95">
                  <c:v>3.7082159801726398E-5</c:v>
                </c:pt>
                <c:pt idx="96">
                  <c:v>3.7236514685088989E-5</c:v>
                </c:pt>
                <c:pt idx="97">
                  <c:v>3.7210420309525639E-5</c:v>
                </c:pt>
                <c:pt idx="98">
                  <c:v>3.6753207478709288E-5</c:v>
                </c:pt>
                <c:pt idx="99">
                  <c:v>3.6529749130241505E-5</c:v>
                </c:pt>
                <c:pt idx="100">
                  <c:v>3.6013257322987085E-5</c:v>
                </c:pt>
                <c:pt idx="101">
                  <c:v>3.5020401234327779E-5</c:v>
                </c:pt>
                <c:pt idx="102">
                  <c:v>3.4785045555816145E-5</c:v>
                </c:pt>
                <c:pt idx="103">
                  <c:v>3.4895482334894908E-5</c:v>
                </c:pt>
                <c:pt idx="104">
                  <c:v>3.5128204869032546E-5</c:v>
                </c:pt>
                <c:pt idx="105">
                  <c:v>3.3992799975959115E-5</c:v>
                </c:pt>
                <c:pt idx="106">
                  <c:v>3.4412340494359801E-5</c:v>
                </c:pt>
                <c:pt idx="107">
                  <c:v>3.50425766556024E-5</c:v>
                </c:pt>
                <c:pt idx="108">
                  <c:v>3.3895364420573477E-5</c:v>
                </c:pt>
                <c:pt idx="109">
                  <c:v>3.3261978463100845E-5</c:v>
                </c:pt>
                <c:pt idx="110">
                  <c:v>3.4539973570289019E-5</c:v>
                </c:pt>
                <c:pt idx="111">
                  <c:v>3.4365599410415909E-5</c:v>
                </c:pt>
                <c:pt idx="112">
                  <c:v>3.4935387032000236E-5</c:v>
                </c:pt>
                <c:pt idx="113">
                  <c:v>3.2008285231736399E-5</c:v>
                </c:pt>
                <c:pt idx="114">
                  <c:v>3.2478608824669359E-5</c:v>
                </c:pt>
                <c:pt idx="115">
                  <c:v>3.3599406944348785E-5</c:v>
                </c:pt>
                <c:pt idx="116">
                  <c:v>3.2747466762410044E-5</c:v>
                </c:pt>
                <c:pt idx="117">
                  <c:v>3.2650071445411098E-5</c:v>
                </c:pt>
                <c:pt idx="118">
                  <c:v>2.8152275107002453E-5</c:v>
                </c:pt>
                <c:pt idx="119">
                  <c:v>2.984182000923269E-5</c:v>
                </c:pt>
                <c:pt idx="120">
                  <c:v>3.0077808736262143E-5</c:v>
                </c:pt>
                <c:pt idx="121">
                  <c:v>3.2547640087317912E-5</c:v>
                </c:pt>
                <c:pt idx="122">
                  <c:v>3.2944747220007374E-5</c:v>
                </c:pt>
                <c:pt idx="123">
                  <c:v>0</c:v>
                </c:pt>
                <c:pt idx="124">
                  <c:v>0</c:v>
                </c:pt>
              </c:numCache>
            </c:numRef>
          </c:yVal>
          <c:smooth val="0"/>
        </c:ser>
        <c:ser>
          <c:idx val="13"/>
          <c:order val="13"/>
          <c:tx>
            <c:strRef>
              <c:f>Plots!$Z$1</c:f>
              <c:strCache>
                <c:ptCount val="1"/>
                <c:pt idx="0">
                  <c:v>60</c:v>
                </c:pt>
              </c:strCache>
            </c:strRef>
          </c:tx>
          <c:spPr>
            <a:ln w="28575">
              <a:noFill/>
            </a:ln>
          </c:spPr>
          <c:marker>
            <c:symbol val="diamond"/>
            <c:size val="7"/>
            <c:spPr>
              <a:solidFill>
                <a:srgbClr val="0070C0"/>
              </a:solidFill>
              <a:ln>
                <a:noFill/>
              </a:ln>
            </c:spPr>
          </c:marker>
          <c:xVal>
            <c:numRef>
              <c:f>Plots!$Z$3:$Z$127</c:f>
              <c:numCache>
                <c:formatCode>General</c:formatCode>
                <c:ptCount val="125"/>
                <c:pt idx="0">
                  <c:v>7783256336065213</c:v>
                </c:pt>
                <c:pt idx="1">
                  <c:v>2.6845035783280008E+16</c:v>
                </c:pt>
                <c:pt idx="2">
                  <c:v>3.6126305491217408E+16</c:v>
                </c:pt>
                <c:pt idx="3">
                  <c:v>3.9630879794741008E+16</c:v>
                </c:pt>
                <c:pt idx="4">
                  <c:v>3.9211290162413592E+16</c:v>
                </c:pt>
                <c:pt idx="5">
                  <c:v>3.7843901497485888E+16</c:v>
                </c:pt>
                <c:pt idx="6">
                  <c:v>3.6244723427761864E+16</c:v>
                </c:pt>
                <c:pt idx="7">
                  <c:v>3.4628337339729864E+16</c:v>
                </c:pt>
                <c:pt idx="8">
                  <c:v>3.3003513642253456E+16</c:v>
                </c:pt>
                <c:pt idx="9">
                  <c:v>3.1400519642118308E+16</c:v>
                </c:pt>
                <c:pt idx="10">
                  <c:v>2.981649562310164E+16</c:v>
                </c:pt>
                <c:pt idx="11">
                  <c:v>2.8273802391880868E+16</c:v>
                </c:pt>
                <c:pt idx="12">
                  <c:v>2.6779548662975384E+16</c:v>
                </c:pt>
                <c:pt idx="13">
                  <c:v>2.53506457774191E+16</c:v>
                </c:pt>
                <c:pt idx="14">
                  <c:v>2.3984223295483936E+16</c:v>
                </c:pt>
                <c:pt idx="15">
                  <c:v>2.2680419705951652E+16</c:v>
                </c:pt>
                <c:pt idx="16">
                  <c:v>2.1431727320027716E+16</c:v>
                </c:pt>
                <c:pt idx="17">
                  <c:v>2.022865009749434E+16</c:v>
                </c:pt>
                <c:pt idx="18">
                  <c:v>1.9083574976637228E+16</c:v>
                </c:pt>
                <c:pt idx="19">
                  <c:v>1.7994699470131662E+16</c:v>
                </c:pt>
                <c:pt idx="20">
                  <c:v>1.6960717257106652E+16</c:v>
                </c:pt>
                <c:pt idx="21">
                  <c:v>1.5978495563184404E+16</c:v>
                </c:pt>
                <c:pt idx="22">
                  <c:v>1.504813471036264E+16</c:v>
                </c:pt>
                <c:pt idx="23">
                  <c:v>1.4168390774585242E+16</c:v>
                </c:pt>
                <c:pt idx="24">
                  <c:v>1.3338171764520906E+16</c:v>
                </c:pt>
                <c:pt idx="25">
                  <c:v>1.2554473923966942E+16</c:v>
                </c:pt>
                <c:pt idx="26">
                  <c:v>1.1818122093944224E+16</c:v>
                </c:pt>
                <c:pt idx="27">
                  <c:v>1.1123312219854128E+16</c:v>
                </c:pt>
                <c:pt idx="28">
                  <c:v>1.0462185714733276E+16</c:v>
                </c:pt>
                <c:pt idx="29">
                  <c:v>9841964060004832</c:v>
                </c:pt>
                <c:pt idx="30">
                  <c:v>9256653873902626</c:v>
                </c:pt>
                <c:pt idx="31">
                  <c:v>8710264173418587</c:v>
                </c:pt>
                <c:pt idx="32">
                  <c:v>8191184385357167</c:v>
                </c:pt>
                <c:pt idx="33">
                  <c:v>7706750884812707</c:v>
                </c:pt>
                <c:pt idx="34">
                  <c:v>7248645667740305</c:v>
                </c:pt>
                <c:pt idx="35">
                  <c:v>6810725345664035</c:v>
                </c:pt>
                <c:pt idx="36">
                  <c:v>6403665324180784</c:v>
                </c:pt>
                <c:pt idx="37">
                  <c:v>6019807573538920</c:v>
                </c:pt>
                <c:pt idx="38">
                  <c:v>5656541441218455</c:v>
                </c:pt>
                <c:pt idx="39">
                  <c:v>5318595300208506</c:v>
                </c:pt>
                <c:pt idx="40">
                  <c:v>4995807414916578</c:v>
                </c:pt>
                <c:pt idx="41">
                  <c:v>4697764338239955</c:v>
                </c:pt>
                <c:pt idx="42">
                  <c:v>4411588024612304</c:v>
                </c:pt>
                <c:pt idx="43">
                  <c:v>4147984429243829.5</c:v>
                </c:pt>
                <c:pt idx="44">
                  <c:v>3896000897858519.5</c:v>
                </c:pt>
                <c:pt idx="45">
                  <c:v>3658570276550308</c:v>
                </c:pt>
                <c:pt idx="46">
                  <c:v>3442409403709007</c:v>
                </c:pt>
                <c:pt idx="47">
                  <c:v>3233760419649640</c:v>
                </c:pt>
                <c:pt idx="48">
                  <c:v>3038401190614003</c:v>
                </c:pt>
                <c:pt idx="49">
                  <c:v>2854755862121411</c:v>
                </c:pt>
                <c:pt idx="50">
                  <c:v>2678126295065896</c:v>
                </c:pt>
                <c:pt idx="51">
                  <c:v>2514998887243250.5</c:v>
                </c:pt>
                <c:pt idx="52">
                  <c:v>2363040449961226.5</c:v>
                </c:pt>
                <c:pt idx="53">
                  <c:v>2221650993332700.7</c:v>
                </c:pt>
                <c:pt idx="54">
                  <c:v>2088650190782077.7</c:v>
                </c:pt>
                <c:pt idx="55">
                  <c:v>1959739898145813.7</c:v>
                </c:pt>
                <c:pt idx="56">
                  <c:v>1837575482821786.5</c:v>
                </c:pt>
                <c:pt idx="57">
                  <c:v>1727982417584766.7</c:v>
                </c:pt>
                <c:pt idx="58">
                  <c:v>1621164204159435.7</c:v>
                </c:pt>
                <c:pt idx="59">
                  <c:v>1516371803626894</c:v>
                </c:pt>
                <c:pt idx="60">
                  <c:v>1426779827960811</c:v>
                </c:pt>
                <c:pt idx="61">
                  <c:v>1340793784517641.5</c:v>
                </c:pt>
                <c:pt idx="62">
                  <c:v>1257264985840888.5</c:v>
                </c:pt>
                <c:pt idx="63">
                  <c:v>1181082192574683.5</c:v>
                </c:pt>
                <c:pt idx="64">
                  <c:v>1111469055930206.7</c:v>
                </c:pt>
                <c:pt idx="65">
                  <c:v>1046029760899890.6</c:v>
                </c:pt>
                <c:pt idx="66">
                  <c:v>976943456157116.25</c:v>
                </c:pt>
                <c:pt idx="67">
                  <c:v>916873337999137.25</c:v>
                </c:pt>
                <c:pt idx="68">
                  <c:v>862369715475035.12</c:v>
                </c:pt>
                <c:pt idx="69">
                  <c:v>810274656777833.12</c:v>
                </c:pt>
                <c:pt idx="70">
                  <c:v>759928168608902.5</c:v>
                </c:pt>
                <c:pt idx="71">
                  <c:v>712457836195338.25</c:v>
                </c:pt>
                <c:pt idx="72">
                  <c:v>668060251893561.62</c:v>
                </c:pt>
                <c:pt idx="73">
                  <c:v>627383080970369.12</c:v>
                </c:pt>
                <c:pt idx="74">
                  <c:v>589318461200266.12</c:v>
                </c:pt>
                <c:pt idx="75">
                  <c:v>553397019870856.69</c:v>
                </c:pt>
                <c:pt idx="76">
                  <c:v>519818727491663.31</c:v>
                </c:pt>
                <c:pt idx="77">
                  <c:v>486859404381272.31</c:v>
                </c:pt>
                <c:pt idx="78">
                  <c:v>455843056904075</c:v>
                </c:pt>
                <c:pt idx="79">
                  <c:v>425055206078414.5</c:v>
                </c:pt>
                <c:pt idx="80">
                  <c:v>398564755654290.75</c:v>
                </c:pt>
                <c:pt idx="81">
                  <c:v>371524605232267.75</c:v>
                </c:pt>
                <c:pt idx="82">
                  <c:v>351534019756677.06</c:v>
                </c:pt>
                <c:pt idx="83">
                  <c:v>332018726670924.87</c:v>
                </c:pt>
                <c:pt idx="84">
                  <c:v>307892103991467.25</c:v>
                </c:pt>
                <c:pt idx="85">
                  <c:v>289882797168302.94</c:v>
                </c:pt>
                <c:pt idx="86">
                  <c:v>272308724822337.59</c:v>
                </c:pt>
                <c:pt idx="87">
                  <c:v>255411020847325.16</c:v>
                </c:pt>
                <c:pt idx="88">
                  <c:v>239153328275594.31</c:v>
                </c:pt>
                <c:pt idx="89">
                  <c:v>226250976381345.84</c:v>
                </c:pt>
                <c:pt idx="90">
                  <c:v>212639243413736.22</c:v>
                </c:pt>
                <c:pt idx="91">
                  <c:v>198458508249436.78</c:v>
                </c:pt>
                <c:pt idx="92">
                  <c:v>183951274468051.37</c:v>
                </c:pt>
                <c:pt idx="93">
                  <c:v>170042711412659.94</c:v>
                </c:pt>
                <c:pt idx="94">
                  <c:v>158100579194869.94</c:v>
                </c:pt>
                <c:pt idx="95">
                  <c:v>150749997132874.31</c:v>
                </c:pt>
                <c:pt idx="96">
                  <c:v>142243262764837.78</c:v>
                </c:pt>
                <c:pt idx="97">
                  <c:v>133777555782481.23</c:v>
                </c:pt>
                <c:pt idx="98">
                  <c:v>125113486599790.12</c:v>
                </c:pt>
                <c:pt idx="99">
                  <c:v>117070851143208.98</c:v>
                </c:pt>
                <c:pt idx="100">
                  <c:v>108285554690459.61</c:v>
                </c:pt>
                <c:pt idx="101">
                  <c:v>102909520223568.73</c:v>
                </c:pt>
                <c:pt idx="102">
                  <c:v>97911237121938.375</c:v>
                </c:pt>
                <c:pt idx="103">
                  <c:v>86665974175966.234</c:v>
                </c:pt>
                <c:pt idx="104">
                  <c:v>83678709229895.141</c:v>
                </c:pt>
                <c:pt idx="105">
                  <c:v>81506901541466.406</c:v>
                </c:pt>
                <c:pt idx="106">
                  <c:v>75978231979228.234</c:v>
                </c:pt>
                <c:pt idx="107">
                  <c:v>66964302299966.352</c:v>
                </c:pt>
                <c:pt idx="108">
                  <c:v>66490195195647.914</c:v>
                </c:pt>
                <c:pt idx="109">
                  <c:v>64797229486570.617</c:v>
                </c:pt>
                <c:pt idx="110">
                  <c:v>60972587866905.492</c:v>
                </c:pt>
                <c:pt idx="111">
                  <c:v>58672065446955.937</c:v>
                </c:pt>
                <c:pt idx="112">
                  <c:v>50221086299523.266</c:v>
                </c:pt>
                <c:pt idx="113">
                  <c:v>48532231175033.344</c:v>
                </c:pt>
                <c:pt idx="114">
                  <c:v>44919651505753.609</c:v>
                </c:pt>
                <c:pt idx="115">
                  <c:v>45695972399757.391</c:v>
                </c:pt>
                <c:pt idx="116">
                  <c:v>43738430271932.93</c:v>
                </c:pt>
                <c:pt idx="117">
                  <c:v>39555520283487.195</c:v>
                </c:pt>
                <c:pt idx="118">
                  <c:v>36285640089836.031</c:v>
                </c:pt>
                <c:pt idx="119">
                  <c:v>33859826518472.742</c:v>
                </c:pt>
                <c:pt idx="120">
                  <c:v>32411624770957.855</c:v>
                </c:pt>
                <c:pt idx="121">
                  <c:v>31064783404136.852</c:v>
                </c:pt>
                <c:pt idx="122">
                  <c:v>30694488180460.227</c:v>
                </c:pt>
                <c:pt idx="123">
                  <c:v>28978034873310.527</c:v>
                </c:pt>
                <c:pt idx="124">
                  <c:v>28910704673927.914</c:v>
                </c:pt>
              </c:numCache>
            </c:numRef>
          </c:xVal>
          <c:yVal>
            <c:numRef>
              <c:f>Plots!$AA$3:$AA$127</c:f>
              <c:numCache>
                <c:formatCode>General</c:formatCode>
                <c:ptCount val="125"/>
                <c:pt idx="0">
                  <c:v>0</c:v>
                </c:pt>
                <c:pt idx="1">
                  <c:v>0</c:v>
                </c:pt>
                <c:pt idx="2">
                  <c:v>8.6454549294838004E-5</c:v>
                </c:pt>
                <c:pt idx="3">
                  <c:v>8.2102479376989894E-5</c:v>
                </c:pt>
                <c:pt idx="4">
                  <c:v>7.8489786718661679E-5</c:v>
                </c:pt>
                <c:pt idx="5">
                  <c:v>7.7137091602721505E-5</c:v>
                </c:pt>
                <c:pt idx="6">
                  <c:v>7.7685532564430096E-5</c:v>
                </c:pt>
                <c:pt idx="7">
                  <c:v>7.858227679588374E-5</c:v>
                </c:pt>
                <c:pt idx="8">
                  <c:v>7.9364632042181024E-5</c:v>
                </c:pt>
                <c:pt idx="9">
                  <c:v>8.003495773474508E-5</c:v>
                </c:pt>
                <c:pt idx="10">
                  <c:v>8.062355075927772E-5</c:v>
                </c:pt>
                <c:pt idx="11">
                  <c:v>8.1086027465260347E-5</c:v>
                </c:pt>
                <c:pt idx="12">
                  <c:v>8.147513581118874E-5</c:v>
                </c:pt>
                <c:pt idx="13">
                  <c:v>8.1775020162748894E-5</c:v>
                </c:pt>
                <c:pt idx="14">
                  <c:v>8.2001365963071157E-5</c:v>
                </c:pt>
                <c:pt idx="15">
                  <c:v>8.2180141304989061E-5</c:v>
                </c:pt>
                <c:pt idx="16">
                  <c:v>8.2291209721621961E-5</c:v>
                </c:pt>
                <c:pt idx="17">
                  <c:v>8.2290938365271851E-5</c:v>
                </c:pt>
                <c:pt idx="18">
                  <c:v>8.2263567401108935E-5</c:v>
                </c:pt>
                <c:pt idx="19">
                  <c:v>8.2176316619708012E-5</c:v>
                </c:pt>
                <c:pt idx="20">
                  <c:v>8.2011613698480175E-5</c:v>
                </c:pt>
                <c:pt idx="21">
                  <c:v>8.1802099862389815E-5</c:v>
                </c:pt>
                <c:pt idx="22">
                  <c:v>8.1523419126894268E-5</c:v>
                </c:pt>
                <c:pt idx="23">
                  <c:v>8.1225793484157892E-5</c:v>
                </c:pt>
                <c:pt idx="24">
                  <c:v>8.0895032080490219E-5</c:v>
                </c:pt>
                <c:pt idx="25">
                  <c:v>8.0520461558914727E-5</c:v>
                </c:pt>
                <c:pt idx="26">
                  <c:v>8.011580775671899E-5</c:v>
                </c:pt>
                <c:pt idx="27">
                  <c:v>7.9692535077275546E-5</c:v>
                </c:pt>
                <c:pt idx="28">
                  <c:v>7.9291465847389849E-5</c:v>
                </c:pt>
                <c:pt idx="29">
                  <c:v>7.8844474677216444E-5</c:v>
                </c:pt>
                <c:pt idx="30">
                  <c:v>7.832489490749875E-5</c:v>
                </c:pt>
                <c:pt idx="31">
                  <c:v>7.7788635679659066E-5</c:v>
                </c:pt>
                <c:pt idx="32">
                  <c:v>7.7185244778404225E-5</c:v>
                </c:pt>
                <c:pt idx="33">
                  <c:v>7.6606813677288407E-5</c:v>
                </c:pt>
                <c:pt idx="34">
                  <c:v>7.5985182414734222E-5</c:v>
                </c:pt>
                <c:pt idx="35">
                  <c:v>7.5255783312602197E-5</c:v>
                </c:pt>
                <c:pt idx="36">
                  <c:v>7.4596188708029172E-5</c:v>
                </c:pt>
                <c:pt idx="37">
                  <c:v>7.3876138586553795E-5</c:v>
                </c:pt>
                <c:pt idx="38">
                  <c:v>7.3133995925973492E-5</c:v>
                </c:pt>
                <c:pt idx="39">
                  <c:v>7.2461662304511645E-5</c:v>
                </c:pt>
                <c:pt idx="40">
                  <c:v>7.1686993913994148E-5</c:v>
                </c:pt>
                <c:pt idx="41">
                  <c:v>7.1002993512459214E-5</c:v>
                </c:pt>
                <c:pt idx="42">
                  <c:v>7.0218382598778747E-5</c:v>
                </c:pt>
                <c:pt idx="43">
                  <c:v>6.9453297279742924E-5</c:v>
                </c:pt>
                <c:pt idx="44">
                  <c:v>6.8649215905459634E-5</c:v>
                </c:pt>
                <c:pt idx="45">
                  <c:v>6.7789934979391758E-5</c:v>
                </c:pt>
                <c:pt idx="46">
                  <c:v>6.7120173332670815E-5</c:v>
                </c:pt>
                <c:pt idx="47">
                  <c:v>6.6296885614349884E-5</c:v>
                </c:pt>
                <c:pt idx="48">
                  <c:v>6.5472388355268353E-5</c:v>
                </c:pt>
                <c:pt idx="49">
                  <c:v>6.463516353264334E-5</c:v>
                </c:pt>
                <c:pt idx="50">
                  <c:v>6.3726357349124012E-5</c:v>
                </c:pt>
                <c:pt idx="51">
                  <c:v>6.2902596927064312E-5</c:v>
                </c:pt>
                <c:pt idx="52">
                  <c:v>6.2142595370357062E-5</c:v>
                </c:pt>
                <c:pt idx="53">
                  <c:v>6.1381199314170475E-5</c:v>
                </c:pt>
                <c:pt idx="54">
                  <c:v>6.0585275936748294E-5</c:v>
                </c:pt>
                <c:pt idx="55">
                  <c:v>5.9681687002503971E-5</c:v>
                </c:pt>
                <c:pt idx="56">
                  <c:v>5.8811258765997775E-5</c:v>
                </c:pt>
                <c:pt idx="57">
                  <c:v>5.8035412684929221E-5</c:v>
                </c:pt>
                <c:pt idx="58">
                  <c:v>5.7182011733957253E-5</c:v>
                </c:pt>
                <c:pt idx="59">
                  <c:v>5.62592140687462E-5</c:v>
                </c:pt>
                <c:pt idx="60">
                  <c:v>5.5594698699352535E-5</c:v>
                </c:pt>
                <c:pt idx="61">
                  <c:v>5.4912769395665918E-5</c:v>
                </c:pt>
                <c:pt idx="62">
                  <c:v>5.4107085070502518E-5</c:v>
                </c:pt>
                <c:pt idx="63">
                  <c:v>5.3384030763792185E-5</c:v>
                </c:pt>
                <c:pt idx="64">
                  <c:v>5.2730208730903769E-5</c:v>
                </c:pt>
                <c:pt idx="65">
                  <c:v>5.2033222238731237E-5</c:v>
                </c:pt>
                <c:pt idx="66">
                  <c:v>5.1008641351972585E-5</c:v>
                </c:pt>
                <c:pt idx="67">
                  <c:v>5.0299110391665909E-5</c:v>
                </c:pt>
                <c:pt idx="68">
                  <c:v>4.9666811991410737E-5</c:v>
                </c:pt>
                <c:pt idx="69">
                  <c:v>4.9038571633747614E-5</c:v>
                </c:pt>
                <c:pt idx="70">
                  <c:v>4.8225289991979912E-5</c:v>
                </c:pt>
                <c:pt idx="71">
                  <c:v>4.7508582334922836E-5</c:v>
                </c:pt>
                <c:pt idx="72">
                  <c:v>4.6717319722813214E-5</c:v>
                </c:pt>
                <c:pt idx="73">
                  <c:v>4.6096188734410919E-5</c:v>
                </c:pt>
                <c:pt idx="74">
                  <c:v>4.5415222339286506E-5</c:v>
                </c:pt>
                <c:pt idx="75">
                  <c:v>4.4768906946448094E-5</c:v>
                </c:pt>
                <c:pt idx="76">
                  <c:v>4.4154663369519964E-5</c:v>
                </c:pt>
                <c:pt idx="77">
                  <c:v>4.3432480465470801E-5</c:v>
                </c:pt>
                <c:pt idx="78">
                  <c:v>4.2694927886184752E-5</c:v>
                </c:pt>
                <c:pt idx="79">
                  <c:v>4.1841064068178722E-5</c:v>
                </c:pt>
                <c:pt idx="80">
                  <c:v>4.1159817325370398E-5</c:v>
                </c:pt>
                <c:pt idx="81">
                  <c:v>4.0383229304041002E-5</c:v>
                </c:pt>
                <c:pt idx="82">
                  <c:v>4.0150686781482358E-5</c:v>
                </c:pt>
                <c:pt idx="83">
                  <c:v>3.9913256832591716E-5</c:v>
                </c:pt>
                <c:pt idx="84">
                  <c:v>3.8768126636121849E-5</c:v>
                </c:pt>
                <c:pt idx="85">
                  <c:v>3.8337120880815566E-5</c:v>
                </c:pt>
                <c:pt idx="86">
                  <c:v>3.7947800839880448E-5</c:v>
                </c:pt>
                <c:pt idx="87">
                  <c:v>3.7424226681137293E-5</c:v>
                </c:pt>
                <c:pt idx="88">
                  <c:v>3.6815337025458545E-5</c:v>
                </c:pt>
                <c:pt idx="89">
                  <c:v>3.6737616091547642E-5</c:v>
                </c:pt>
                <c:pt idx="90">
                  <c:v>3.6364749597818488E-5</c:v>
                </c:pt>
                <c:pt idx="91">
                  <c:v>3.5581766108704169E-5</c:v>
                </c:pt>
                <c:pt idx="92">
                  <c:v>3.4726054350832773E-5</c:v>
                </c:pt>
                <c:pt idx="93">
                  <c:v>3.3931504781068769E-5</c:v>
                </c:pt>
                <c:pt idx="94">
                  <c:v>3.3312756668127111E-5</c:v>
                </c:pt>
                <c:pt idx="95">
                  <c:v>3.3601806440769786E-5</c:v>
                </c:pt>
                <c:pt idx="96">
                  <c:v>3.3451948171206272E-5</c:v>
                </c:pt>
                <c:pt idx="97">
                  <c:v>3.3198163915502322E-5</c:v>
                </c:pt>
                <c:pt idx="98">
                  <c:v>3.2679015801920343E-5</c:v>
                </c:pt>
                <c:pt idx="99">
                  <c:v>3.2196043070948604E-5</c:v>
                </c:pt>
                <c:pt idx="100">
                  <c:v>3.1457835240802161E-5</c:v>
                </c:pt>
                <c:pt idx="101">
                  <c:v>3.185030900338862E-5</c:v>
                </c:pt>
                <c:pt idx="102">
                  <c:v>3.2027635031528417E-5</c:v>
                </c:pt>
                <c:pt idx="103">
                  <c:v>2.9908192364270287E-5</c:v>
                </c:pt>
                <c:pt idx="104">
                  <c:v>3.0526901411017083E-5</c:v>
                </c:pt>
                <c:pt idx="105">
                  <c:v>3.1347781664015439E-5</c:v>
                </c:pt>
                <c:pt idx="106">
                  <c:v>3.0989403339426268E-5</c:v>
                </c:pt>
                <c:pt idx="107">
                  <c:v>2.8796090281212563E-5</c:v>
                </c:pt>
                <c:pt idx="108">
                  <c:v>3.0550865846009125E-5</c:v>
                </c:pt>
                <c:pt idx="109">
                  <c:v>3.1657544546385101E-5</c:v>
                </c:pt>
                <c:pt idx="110">
                  <c:v>3.1366297585227095E-5</c:v>
                </c:pt>
                <c:pt idx="111">
                  <c:v>3.1832193220609396E-5</c:v>
                </c:pt>
                <c:pt idx="112">
                  <c:v>2.9166896579946155E-5</c:v>
                </c:pt>
                <c:pt idx="113">
                  <c:v>3.0022417749764182E-5</c:v>
                </c:pt>
                <c:pt idx="114">
                  <c:v>3.0031687003125338E-5</c:v>
                </c:pt>
                <c:pt idx="115">
                  <c:v>3.2134308264007793E-5</c:v>
                </c:pt>
                <c:pt idx="116">
                  <c:v>3.2303470814351283E-5</c:v>
                </c:pt>
                <c:pt idx="117">
                  <c:v>3.099912751716403E-5</c:v>
                </c:pt>
                <c:pt idx="118">
                  <c:v>3.0214929834215171E-5</c:v>
                </c:pt>
                <c:pt idx="119">
                  <c:v>3.0719214612638013E-5</c:v>
                </c:pt>
                <c:pt idx="120">
                  <c:v>3.1657550881856528E-5</c:v>
                </c:pt>
                <c:pt idx="121">
                  <c:v>3.1888804568881371E-5</c:v>
                </c:pt>
                <c:pt idx="122">
                  <c:v>3.3742683481324288E-5</c:v>
                </c:pt>
                <c:pt idx="123">
                  <c:v>0</c:v>
                </c:pt>
                <c:pt idx="124">
                  <c:v>0</c:v>
                </c:pt>
              </c:numCache>
            </c:numRef>
          </c:yVal>
          <c:smooth val="0"/>
        </c:ser>
        <c:ser>
          <c:idx val="14"/>
          <c:order val="14"/>
          <c:tx>
            <c:strRef>
              <c:f>Plots!$AB$1</c:f>
              <c:strCache>
                <c:ptCount val="1"/>
                <c:pt idx="0">
                  <c:v>50</c:v>
                </c:pt>
              </c:strCache>
            </c:strRef>
          </c:tx>
          <c:spPr>
            <a:ln w="28575">
              <a:noFill/>
            </a:ln>
          </c:spPr>
          <c:marker>
            <c:symbol val="diamond"/>
            <c:size val="7"/>
            <c:spPr>
              <a:solidFill>
                <a:srgbClr val="7030A0"/>
              </a:solidFill>
              <a:ln>
                <a:noFill/>
              </a:ln>
            </c:spPr>
          </c:marker>
          <c:xVal>
            <c:numRef>
              <c:f>Plots!$AB$3:$AB$127</c:f>
              <c:numCache>
                <c:formatCode>General</c:formatCode>
                <c:ptCount val="125"/>
                <c:pt idx="0">
                  <c:v>1848004577806583.2</c:v>
                </c:pt>
                <c:pt idx="1">
                  <c:v>1.8518142398048528E+16</c:v>
                </c:pt>
                <c:pt idx="2">
                  <c:v>3.1256443189243764E+16</c:v>
                </c:pt>
                <c:pt idx="3">
                  <c:v>3.7399982467007208E+16</c:v>
                </c:pt>
                <c:pt idx="4">
                  <c:v>3.80798281918064E+16</c:v>
                </c:pt>
                <c:pt idx="5">
                  <c:v>3.6988080229799192E+16</c:v>
                </c:pt>
                <c:pt idx="6">
                  <c:v>3.538946128656236E+16</c:v>
                </c:pt>
                <c:pt idx="7">
                  <c:v>3.374535495664932E+16</c:v>
                </c:pt>
                <c:pt idx="8">
                  <c:v>3.2104516843175508E+16</c:v>
                </c:pt>
                <c:pt idx="9">
                  <c:v>3.0509528649830492E+16</c:v>
                </c:pt>
                <c:pt idx="10">
                  <c:v>2.8939264816283852E+16</c:v>
                </c:pt>
                <c:pt idx="11">
                  <c:v>2.7407464430583272E+16</c:v>
                </c:pt>
                <c:pt idx="12">
                  <c:v>2.5920033648842796E+16</c:v>
                </c:pt>
                <c:pt idx="13">
                  <c:v>2.4497117549265288E+16</c:v>
                </c:pt>
                <c:pt idx="14">
                  <c:v>2.3150311639353712E+16</c:v>
                </c:pt>
                <c:pt idx="15">
                  <c:v>2.1850434812651596E+16</c:v>
                </c:pt>
                <c:pt idx="16">
                  <c:v>2.062135413928166E+16</c:v>
                </c:pt>
                <c:pt idx="17">
                  <c:v>1.9436251102525744E+16</c:v>
                </c:pt>
                <c:pt idx="18">
                  <c:v>1.8311301911227128E+16</c:v>
                </c:pt>
                <c:pt idx="19">
                  <c:v>1.7243890566863968E+16</c:v>
                </c:pt>
                <c:pt idx="20">
                  <c:v>1.6227907372666882E+16</c:v>
                </c:pt>
                <c:pt idx="21">
                  <c:v>1.5263445159540254E+16</c:v>
                </c:pt>
                <c:pt idx="22">
                  <c:v>1.4356977444679188E+16</c:v>
                </c:pt>
                <c:pt idx="23">
                  <c:v>1.350342225875928E+16</c:v>
                </c:pt>
                <c:pt idx="24">
                  <c:v>1.269185584178592E+16</c:v>
                </c:pt>
                <c:pt idx="25">
                  <c:v>1.1929562771204978E+16</c:v>
                </c:pt>
                <c:pt idx="26">
                  <c:v>1.1214590222491748E+16</c:v>
                </c:pt>
                <c:pt idx="27">
                  <c:v>1.0542650157378102E+16</c:v>
                </c:pt>
                <c:pt idx="28">
                  <c:v>9901745107527586</c:v>
                </c:pt>
                <c:pt idx="29">
                  <c:v>9302513182066820</c:v>
                </c:pt>
                <c:pt idx="30">
                  <c:v>8743310261735323</c:v>
                </c:pt>
                <c:pt idx="31">
                  <c:v>8220779070231905</c:v>
                </c:pt>
                <c:pt idx="32">
                  <c:v>7724085273555206</c:v>
                </c:pt>
                <c:pt idx="33">
                  <c:v>7257000870150837</c:v>
                </c:pt>
                <c:pt idx="34">
                  <c:v>6816735483126457</c:v>
                </c:pt>
                <c:pt idx="35">
                  <c:v>6400926301522713</c:v>
                </c:pt>
                <c:pt idx="36">
                  <c:v>6006619173308158</c:v>
                </c:pt>
                <c:pt idx="37">
                  <c:v>5645397745008993</c:v>
                </c:pt>
                <c:pt idx="38">
                  <c:v>5301958460732436</c:v>
                </c:pt>
                <c:pt idx="39">
                  <c:v>4976531765420547</c:v>
                </c:pt>
                <c:pt idx="40">
                  <c:v>4671140933507161</c:v>
                </c:pt>
                <c:pt idx="41">
                  <c:v>4387147557871673.5</c:v>
                </c:pt>
                <c:pt idx="42">
                  <c:v>4117656485628454.5</c:v>
                </c:pt>
                <c:pt idx="43">
                  <c:v>3868787194593086.5</c:v>
                </c:pt>
                <c:pt idx="44">
                  <c:v>3629494866202210.5</c:v>
                </c:pt>
                <c:pt idx="45">
                  <c:v>3408787070535180.5</c:v>
                </c:pt>
                <c:pt idx="46">
                  <c:v>3201110278595012</c:v>
                </c:pt>
                <c:pt idx="47">
                  <c:v>3007194118668382.5</c:v>
                </c:pt>
                <c:pt idx="48">
                  <c:v>2820399797749110.5</c:v>
                </c:pt>
                <c:pt idx="49">
                  <c:v>2649061000179024.5</c:v>
                </c:pt>
                <c:pt idx="50">
                  <c:v>2483535710409955.5</c:v>
                </c:pt>
                <c:pt idx="51">
                  <c:v>2328004532627930.5</c:v>
                </c:pt>
                <c:pt idx="52">
                  <c:v>2187716037755218.2</c:v>
                </c:pt>
                <c:pt idx="53">
                  <c:v>2051335600834649.2</c:v>
                </c:pt>
                <c:pt idx="54">
                  <c:v>1923734761341163.7</c:v>
                </c:pt>
                <c:pt idx="55">
                  <c:v>1806359099753208.3</c:v>
                </c:pt>
                <c:pt idx="56">
                  <c:v>1691134376194305.7</c:v>
                </c:pt>
                <c:pt idx="57">
                  <c:v>1587097966301779.2</c:v>
                </c:pt>
                <c:pt idx="58">
                  <c:v>1491046685870612.2</c:v>
                </c:pt>
                <c:pt idx="59">
                  <c:v>1396948568980258.7</c:v>
                </c:pt>
                <c:pt idx="60">
                  <c:v>1308694126633820.5</c:v>
                </c:pt>
                <c:pt idx="61">
                  <c:v>1227354270732420.7</c:v>
                </c:pt>
                <c:pt idx="62">
                  <c:v>1151846359480757.2</c:v>
                </c:pt>
                <c:pt idx="63">
                  <c:v>1083009947963932</c:v>
                </c:pt>
                <c:pt idx="64">
                  <c:v>1015865676234585.2</c:v>
                </c:pt>
                <c:pt idx="65">
                  <c:v>954123136784631.25</c:v>
                </c:pt>
                <c:pt idx="66">
                  <c:v>894541012587193.87</c:v>
                </c:pt>
                <c:pt idx="67">
                  <c:v>838584060604274.12</c:v>
                </c:pt>
                <c:pt idx="68">
                  <c:v>786892607908908.25</c:v>
                </c:pt>
                <c:pt idx="69">
                  <c:v>736241683635041.25</c:v>
                </c:pt>
                <c:pt idx="70">
                  <c:v>693549839739455.37</c:v>
                </c:pt>
                <c:pt idx="71">
                  <c:v>650015402091358.25</c:v>
                </c:pt>
                <c:pt idx="72">
                  <c:v>611495943398193.62</c:v>
                </c:pt>
                <c:pt idx="73">
                  <c:v>570305674542891.37</c:v>
                </c:pt>
                <c:pt idx="74">
                  <c:v>537275261219521.69</c:v>
                </c:pt>
                <c:pt idx="75">
                  <c:v>504866931913714.81</c:v>
                </c:pt>
                <c:pt idx="76">
                  <c:v>471431210436411</c:v>
                </c:pt>
                <c:pt idx="77">
                  <c:v>442072598942729.12</c:v>
                </c:pt>
                <c:pt idx="78">
                  <c:v>417231076745967.62</c:v>
                </c:pt>
                <c:pt idx="79">
                  <c:v>391968432935059.56</c:v>
                </c:pt>
                <c:pt idx="80">
                  <c:v>367564659912309.31</c:v>
                </c:pt>
                <c:pt idx="81">
                  <c:v>340389695524286</c:v>
                </c:pt>
                <c:pt idx="82">
                  <c:v>320832097749965.69</c:v>
                </c:pt>
                <c:pt idx="83">
                  <c:v>300258524949193.56</c:v>
                </c:pt>
                <c:pt idx="84">
                  <c:v>280755727612294.87</c:v>
                </c:pt>
                <c:pt idx="85">
                  <c:v>264399668111817.16</c:v>
                </c:pt>
                <c:pt idx="86">
                  <c:v>251245325972267.16</c:v>
                </c:pt>
                <c:pt idx="87">
                  <c:v>235963753421469.59</c:v>
                </c:pt>
                <c:pt idx="88">
                  <c:v>217850885398783.62</c:v>
                </c:pt>
                <c:pt idx="89">
                  <c:v>205714753123805.78</c:v>
                </c:pt>
                <c:pt idx="90">
                  <c:v>193785557611597.81</c:v>
                </c:pt>
                <c:pt idx="91">
                  <c:v>182642809274247.37</c:v>
                </c:pt>
                <c:pt idx="92">
                  <c:v>169931392521201</c:v>
                </c:pt>
                <c:pt idx="93">
                  <c:v>160520048195757.44</c:v>
                </c:pt>
                <c:pt idx="94">
                  <c:v>151792769022589.78</c:v>
                </c:pt>
                <c:pt idx="95">
                  <c:v>141883411822677.37</c:v>
                </c:pt>
                <c:pt idx="96">
                  <c:v>134040133929521.98</c:v>
                </c:pt>
                <c:pt idx="97">
                  <c:v>124790963277199.16</c:v>
                </c:pt>
                <c:pt idx="98">
                  <c:v>117314513787467.56</c:v>
                </c:pt>
                <c:pt idx="99">
                  <c:v>114204036603635.47</c:v>
                </c:pt>
                <c:pt idx="100">
                  <c:v>103533235624894.95</c:v>
                </c:pt>
                <c:pt idx="101">
                  <c:v>94666820262537.156</c:v>
                </c:pt>
                <c:pt idx="102">
                  <c:v>90157981764877.828</c:v>
                </c:pt>
                <c:pt idx="103">
                  <c:v>86929225221450.672</c:v>
                </c:pt>
                <c:pt idx="104">
                  <c:v>81945363452840.969</c:v>
                </c:pt>
                <c:pt idx="105">
                  <c:v>77890427719598.422</c:v>
                </c:pt>
                <c:pt idx="106">
                  <c:v>73199413506250.344</c:v>
                </c:pt>
                <c:pt idx="107">
                  <c:v>68702787251078.937</c:v>
                </c:pt>
                <c:pt idx="108">
                  <c:v>60514799283316.586</c:v>
                </c:pt>
                <c:pt idx="109">
                  <c:v>57586146124002.133</c:v>
                </c:pt>
                <c:pt idx="110">
                  <c:v>56345063881124.375</c:v>
                </c:pt>
                <c:pt idx="111">
                  <c:v>51383248226792.422</c:v>
                </c:pt>
                <c:pt idx="112">
                  <c:v>49475951375918.516</c:v>
                </c:pt>
                <c:pt idx="113">
                  <c:v>45504477284762.367</c:v>
                </c:pt>
                <c:pt idx="114">
                  <c:v>41567572218515.969</c:v>
                </c:pt>
                <c:pt idx="115">
                  <c:v>40710702920633.836</c:v>
                </c:pt>
                <c:pt idx="116">
                  <c:v>38331333548012.531</c:v>
                </c:pt>
                <c:pt idx="117">
                  <c:v>36016519135700.234</c:v>
                </c:pt>
                <c:pt idx="118">
                  <c:v>30725094151871.32</c:v>
                </c:pt>
                <c:pt idx="119">
                  <c:v>31548491451777.145</c:v>
                </c:pt>
                <c:pt idx="120">
                  <c:v>27970890474342.332</c:v>
                </c:pt>
                <c:pt idx="121">
                  <c:v>25756225181762.121</c:v>
                </c:pt>
                <c:pt idx="122">
                  <c:v>24396360068788.125</c:v>
                </c:pt>
                <c:pt idx="123">
                  <c:v>23353007757137.75</c:v>
                </c:pt>
                <c:pt idx="124">
                  <c:v>23005307515587.473</c:v>
                </c:pt>
              </c:numCache>
            </c:numRef>
          </c:xVal>
          <c:yVal>
            <c:numRef>
              <c:f>Plots!$AC$3:$AC$127</c:f>
              <c:numCache>
                <c:formatCode>General</c:formatCode>
                <c:ptCount val="125"/>
                <c:pt idx="0">
                  <c:v>0</c:v>
                </c:pt>
                <c:pt idx="1">
                  <c:v>0</c:v>
                </c:pt>
                <c:pt idx="2">
                  <c:v>8.2665284826142593E-5</c:v>
                </c:pt>
                <c:pt idx="3">
                  <c:v>8.1561727029525667E-5</c:v>
                </c:pt>
                <c:pt idx="4">
                  <c:v>7.7622605038941891E-5</c:v>
                </c:pt>
                <c:pt idx="5">
                  <c:v>7.5424240507400984E-5</c:v>
                </c:pt>
                <c:pt idx="6">
                  <c:v>7.5513367039670935E-5</c:v>
                </c:pt>
                <c:pt idx="7">
                  <c:v>7.6262462631355136E-5</c:v>
                </c:pt>
                <c:pt idx="8">
                  <c:v>7.6951412241043225E-5</c:v>
                </c:pt>
                <c:pt idx="9">
                  <c:v>7.7531139346093204E-5</c:v>
                </c:pt>
                <c:pt idx="10">
                  <c:v>7.7995636619035281E-5</c:v>
                </c:pt>
                <c:pt idx="11">
                  <c:v>7.8343575244209002E-5</c:v>
                </c:pt>
                <c:pt idx="12">
                  <c:v>7.861569643815204E-5</c:v>
                </c:pt>
                <c:pt idx="13">
                  <c:v>7.8802824077439475E-5</c:v>
                </c:pt>
                <c:pt idx="14">
                  <c:v>7.8947165991929513E-5</c:v>
                </c:pt>
                <c:pt idx="15">
                  <c:v>7.8983666782638908E-5</c:v>
                </c:pt>
                <c:pt idx="16">
                  <c:v>7.8985501301068368E-5</c:v>
                </c:pt>
                <c:pt idx="17">
                  <c:v>7.8899242101342884E-5</c:v>
                </c:pt>
                <c:pt idx="18">
                  <c:v>7.8768722346041138E-5</c:v>
                </c:pt>
                <c:pt idx="19">
                  <c:v>7.8588187804006572E-5</c:v>
                </c:pt>
                <c:pt idx="20">
                  <c:v>7.8329762888211006E-5</c:v>
                </c:pt>
                <c:pt idx="21">
                  <c:v>7.8023070043526136E-5</c:v>
                </c:pt>
                <c:pt idx="22">
                  <c:v>7.767680502190197E-5</c:v>
                </c:pt>
                <c:pt idx="23">
                  <c:v>7.7343524566531442E-5</c:v>
                </c:pt>
                <c:pt idx="24">
                  <c:v>7.6920522408902611E-5</c:v>
                </c:pt>
                <c:pt idx="25">
                  <c:v>7.6474026335535423E-5</c:v>
                </c:pt>
                <c:pt idx="26">
                  <c:v>7.5991803401117807E-5</c:v>
                </c:pt>
                <c:pt idx="27">
                  <c:v>7.5509698964455703E-5</c:v>
                </c:pt>
                <c:pt idx="28">
                  <c:v>7.502349164692741E-5</c:v>
                </c:pt>
                <c:pt idx="29">
                  <c:v>7.4519081400378526E-5</c:v>
                </c:pt>
                <c:pt idx="30">
                  <c:v>7.3969656647951274E-5</c:v>
                </c:pt>
                <c:pt idx="31">
                  <c:v>7.3404698736446826E-5</c:v>
                </c:pt>
                <c:pt idx="32">
                  <c:v>7.2776436955184054E-5</c:v>
                </c:pt>
                <c:pt idx="33">
                  <c:v>7.2140642337920481E-5</c:v>
                </c:pt>
                <c:pt idx="34">
                  <c:v>7.1441742142391848E-5</c:v>
                </c:pt>
                <c:pt idx="35">
                  <c:v>7.0752524374963877E-5</c:v>
                </c:pt>
                <c:pt idx="36">
                  <c:v>7.0007167071749917E-5</c:v>
                </c:pt>
                <c:pt idx="37">
                  <c:v>6.9329766694717709E-5</c:v>
                </c:pt>
                <c:pt idx="38">
                  <c:v>6.8595185418198146E-5</c:v>
                </c:pt>
                <c:pt idx="39">
                  <c:v>6.7845262372203308E-5</c:v>
                </c:pt>
                <c:pt idx="40">
                  <c:v>6.7058855037339197E-5</c:v>
                </c:pt>
                <c:pt idx="41">
                  <c:v>6.6338351861155894E-5</c:v>
                </c:pt>
                <c:pt idx="42">
                  <c:v>6.5555583290274376E-5</c:v>
                </c:pt>
                <c:pt idx="43">
                  <c:v>6.482092912188504E-5</c:v>
                </c:pt>
                <c:pt idx="44">
                  <c:v>6.396424985849083E-5</c:v>
                </c:pt>
                <c:pt idx="45">
                  <c:v>6.3192199852103617E-5</c:v>
                </c:pt>
                <c:pt idx="46">
                  <c:v>6.2371415659517266E-5</c:v>
                </c:pt>
                <c:pt idx="47">
                  <c:v>6.1649886864449018E-5</c:v>
                </c:pt>
                <c:pt idx="48">
                  <c:v>6.0749725307859397E-5</c:v>
                </c:pt>
                <c:pt idx="49">
                  <c:v>5.9989352148048458E-5</c:v>
                </c:pt>
                <c:pt idx="50">
                  <c:v>5.9123074944424252E-5</c:v>
                </c:pt>
                <c:pt idx="51">
                  <c:v>5.8259741842176995E-5</c:v>
                </c:pt>
                <c:pt idx="52">
                  <c:v>5.7549686418008026E-5</c:v>
                </c:pt>
                <c:pt idx="53">
                  <c:v>5.669029883344768E-5</c:v>
                </c:pt>
                <c:pt idx="54">
                  <c:v>5.5860414375977945E-5</c:v>
                </c:pt>
                <c:pt idx="55">
                  <c:v>5.5079877955088498E-5</c:v>
                </c:pt>
                <c:pt idx="56">
                  <c:v>5.4193383709062158E-5</c:v>
                </c:pt>
                <c:pt idx="57">
                  <c:v>5.3371892264696659E-5</c:v>
                </c:pt>
                <c:pt idx="58">
                  <c:v>5.2733692060337529E-5</c:v>
                </c:pt>
                <c:pt idx="59">
                  <c:v>5.1878878228016786E-5</c:v>
                </c:pt>
                <c:pt idx="60">
                  <c:v>5.1072605276263038E-5</c:v>
                </c:pt>
                <c:pt idx="61">
                  <c:v>5.0363413865013128E-5</c:v>
                </c:pt>
                <c:pt idx="62">
                  <c:v>4.9714917856706457E-5</c:v>
                </c:pt>
                <c:pt idx="63">
                  <c:v>4.9070490115529876E-5</c:v>
                </c:pt>
                <c:pt idx="64">
                  <c:v>4.8334416318470483E-5</c:v>
                </c:pt>
                <c:pt idx="65">
                  <c:v>4.7610833487026271E-5</c:v>
                </c:pt>
                <c:pt idx="66">
                  <c:v>4.689229743722866E-5</c:v>
                </c:pt>
                <c:pt idx="67">
                  <c:v>4.6128491543766901E-5</c:v>
                </c:pt>
                <c:pt idx="68">
                  <c:v>4.5520526561433268E-5</c:v>
                </c:pt>
                <c:pt idx="69">
                  <c:v>4.4634516478114305E-5</c:v>
                </c:pt>
                <c:pt idx="70">
                  <c:v>4.4189399786927189E-5</c:v>
                </c:pt>
                <c:pt idx="71">
                  <c:v>4.3419379364273792E-5</c:v>
                </c:pt>
                <c:pt idx="72">
                  <c:v>4.2859455166151844E-5</c:v>
                </c:pt>
                <c:pt idx="73">
                  <c:v>4.1939661255054259E-5</c:v>
                </c:pt>
                <c:pt idx="74">
                  <c:v>4.1492167710767862E-5</c:v>
                </c:pt>
                <c:pt idx="75">
                  <c:v>4.0999569478188386E-5</c:v>
                </c:pt>
                <c:pt idx="76">
                  <c:v>4.0195179998878877E-5</c:v>
                </c:pt>
                <c:pt idx="77">
                  <c:v>3.9595203236989727E-5</c:v>
                </c:pt>
                <c:pt idx="78">
                  <c:v>3.9354818752163543E-5</c:v>
                </c:pt>
                <c:pt idx="79">
                  <c:v>3.8771745475781852E-5</c:v>
                </c:pt>
                <c:pt idx="80">
                  <c:v>3.811870546827248E-5</c:v>
                </c:pt>
                <c:pt idx="81">
                  <c:v>3.7043285278567219E-5</c:v>
                </c:pt>
                <c:pt idx="82">
                  <c:v>3.675699814871813E-5</c:v>
                </c:pt>
                <c:pt idx="83">
                  <c:v>3.6170744895971559E-5</c:v>
                </c:pt>
                <c:pt idx="84">
                  <c:v>3.5589648756617757E-5</c:v>
                </c:pt>
                <c:pt idx="85">
                  <c:v>3.521671884707246E-5</c:v>
                </c:pt>
                <c:pt idx="86">
                  <c:v>3.5180824256302818E-5</c:v>
                </c:pt>
                <c:pt idx="87">
                  <c:v>3.4708426829400946E-5</c:v>
                </c:pt>
                <c:pt idx="88">
                  <c:v>3.3729499686230112E-5</c:v>
                </c:pt>
                <c:pt idx="89">
                  <c:v>3.3494997246176054E-5</c:v>
                </c:pt>
                <c:pt idx="90">
                  <c:v>3.320156513497189E-5</c:v>
                </c:pt>
                <c:pt idx="91">
                  <c:v>3.2961412496989818E-5</c:v>
                </c:pt>
                <c:pt idx="92">
                  <c:v>3.2247329791763375E-5</c:v>
                </c:pt>
                <c:pt idx="93">
                  <c:v>3.2145534591173376E-5</c:v>
                </c:pt>
                <c:pt idx="94">
                  <c:v>3.2120884758409444E-5</c:v>
                </c:pt>
                <c:pt idx="95">
                  <c:v>3.1581818317433497E-5</c:v>
                </c:pt>
                <c:pt idx="96">
                  <c:v>3.1442641060645812E-5</c:v>
                </c:pt>
                <c:pt idx="97">
                  <c:v>3.0955619191480279E-5</c:v>
                </c:pt>
                <c:pt idx="98">
                  <c:v>3.0552454415087449E-5</c:v>
                </c:pt>
                <c:pt idx="99">
                  <c:v>3.1475171271093973E-5</c:v>
                </c:pt>
                <c:pt idx="100">
                  <c:v>3.0121591718310114E-5</c:v>
                </c:pt>
                <c:pt idx="101">
                  <c:v>2.9237357246985912E-5</c:v>
                </c:pt>
                <c:pt idx="102">
                  <c:v>2.956494618114273E-5</c:v>
                </c:pt>
                <c:pt idx="103">
                  <c:v>2.9866064656941234E-5</c:v>
                </c:pt>
                <c:pt idx="104">
                  <c:v>2.9859304246577774E-5</c:v>
                </c:pt>
                <c:pt idx="105">
                  <c:v>2.9710605686580326E-5</c:v>
                </c:pt>
                <c:pt idx="106">
                  <c:v>2.9828997140508252E-5</c:v>
                </c:pt>
                <c:pt idx="107">
                  <c:v>2.9683706980934567E-5</c:v>
                </c:pt>
                <c:pt idx="108">
                  <c:v>2.7705883652956762E-5</c:v>
                </c:pt>
                <c:pt idx="109">
                  <c:v>2.805806627589949E-5</c:v>
                </c:pt>
                <c:pt idx="110">
                  <c:v>2.9394353135618505E-5</c:v>
                </c:pt>
                <c:pt idx="111">
                  <c:v>2.8757688885677942E-5</c:v>
                </c:pt>
                <c:pt idx="112">
                  <c:v>2.8797586583401642E-5</c:v>
                </c:pt>
                <c:pt idx="113">
                  <c:v>2.8435808176372011E-5</c:v>
                </c:pt>
                <c:pt idx="114">
                  <c:v>2.747031720701286E-5</c:v>
                </c:pt>
                <c:pt idx="115">
                  <c:v>2.8632408057744207E-5</c:v>
                </c:pt>
                <c:pt idx="116">
                  <c:v>2.8531700414323639E-5</c:v>
                </c:pt>
                <c:pt idx="117">
                  <c:v>2.8449515263724352E-5</c:v>
                </c:pt>
                <c:pt idx="118">
                  <c:v>2.5554296244350915E-5</c:v>
                </c:pt>
                <c:pt idx="119">
                  <c:v>2.8891807265831766E-5</c:v>
                </c:pt>
                <c:pt idx="120">
                  <c:v>2.7183858394171892E-5</c:v>
                </c:pt>
                <c:pt idx="121">
                  <c:v>2.668417692382474E-5</c:v>
                </c:pt>
                <c:pt idx="122">
                  <c:v>2.7533676140345927E-5</c:v>
                </c:pt>
                <c:pt idx="123">
                  <c:v>0</c:v>
                </c:pt>
                <c:pt idx="124">
                  <c:v>0</c:v>
                </c:pt>
              </c:numCache>
            </c:numRef>
          </c:yVal>
          <c:smooth val="0"/>
        </c:ser>
        <c:ser>
          <c:idx val="0"/>
          <c:order val="0"/>
          <c:tx>
            <c:strRef>
              <c:f>Plots!$AD$1</c:f>
              <c:strCache>
                <c:ptCount val="1"/>
                <c:pt idx="0">
                  <c:v>36</c:v>
                </c:pt>
              </c:strCache>
            </c:strRef>
          </c:tx>
          <c:spPr>
            <a:ln w="28575">
              <a:noFill/>
            </a:ln>
          </c:spPr>
          <c:marker>
            <c:spPr>
              <a:solidFill>
                <a:schemeClr val="accent4">
                  <a:lumMod val="50000"/>
                </a:schemeClr>
              </a:solidFill>
              <a:ln>
                <a:noFill/>
              </a:ln>
            </c:spPr>
          </c:marker>
          <c:xVal>
            <c:numRef>
              <c:f>Plots!$AD$3:$AD$127</c:f>
              <c:numCache>
                <c:formatCode>General</c:formatCode>
                <c:ptCount val="125"/>
                <c:pt idx="0">
                  <c:v>7132943842282825</c:v>
                </c:pt>
                <c:pt idx="1">
                  <c:v>2.4227357978840676E+16</c:v>
                </c:pt>
                <c:pt idx="2">
                  <c:v>3.3156920272910068E+16</c:v>
                </c:pt>
                <c:pt idx="3">
                  <c:v>3.64271604372292E+16</c:v>
                </c:pt>
                <c:pt idx="4">
                  <c:v>3.596063917555602E+16</c:v>
                </c:pt>
                <c:pt idx="5">
                  <c:v>3.4640506713742128E+16</c:v>
                </c:pt>
                <c:pt idx="6">
                  <c:v>3.3094189745940248E+16</c:v>
                </c:pt>
                <c:pt idx="7">
                  <c:v>3.1509624705700252E+16</c:v>
                </c:pt>
                <c:pt idx="8">
                  <c:v>2.9891736272606904E+16</c:v>
                </c:pt>
                <c:pt idx="9">
                  <c:v>2.82978795561635E+16</c:v>
                </c:pt>
                <c:pt idx="10">
                  <c:v>2.6752924575107012E+16</c:v>
                </c:pt>
                <c:pt idx="11">
                  <c:v>2.5263397175589036E+16</c:v>
                </c:pt>
                <c:pt idx="12">
                  <c:v>2.3827630108026112E+16</c:v>
                </c:pt>
                <c:pt idx="13">
                  <c:v>2.2456291055661492E+16</c:v>
                </c:pt>
                <c:pt idx="14">
                  <c:v>2.1155974638805236E+16</c:v>
                </c:pt>
                <c:pt idx="15">
                  <c:v>1.9908759707753328E+16</c:v>
                </c:pt>
                <c:pt idx="16">
                  <c:v>1.8728247707966444E+16</c:v>
                </c:pt>
                <c:pt idx="17">
                  <c:v>1.7605699975024138E+16</c:v>
                </c:pt>
                <c:pt idx="18">
                  <c:v>1.6539968009497458E+16</c:v>
                </c:pt>
                <c:pt idx="19">
                  <c:v>1.5535100296297956E+16</c:v>
                </c:pt>
                <c:pt idx="20">
                  <c:v>1.4583243862017522E+16</c:v>
                </c:pt>
                <c:pt idx="21">
                  <c:v>1.368958434920649E+16</c:v>
                </c:pt>
                <c:pt idx="22">
                  <c:v>1.2845970111505322E+16</c:v>
                </c:pt>
                <c:pt idx="23">
                  <c:v>1.2051435426874354E+16</c:v>
                </c:pt>
                <c:pt idx="24">
                  <c:v>1.1304792156430936E+16</c:v>
                </c:pt>
                <c:pt idx="25">
                  <c:v>1.060261174799888E+16</c:v>
                </c:pt>
                <c:pt idx="26">
                  <c:v>9949873671104586</c:v>
                </c:pt>
                <c:pt idx="27">
                  <c:v>9332678772147270</c:v>
                </c:pt>
                <c:pt idx="28">
                  <c:v>8754445669875415</c:v>
                </c:pt>
                <c:pt idx="29">
                  <c:v>8211088727205681</c:v>
                </c:pt>
                <c:pt idx="30">
                  <c:v>7702864378172585</c:v>
                </c:pt>
                <c:pt idx="31">
                  <c:v>7226807255739606</c:v>
                </c:pt>
                <c:pt idx="32">
                  <c:v>6777655477861600</c:v>
                </c:pt>
                <c:pt idx="33">
                  <c:v>6355404294101230</c:v>
                </c:pt>
                <c:pt idx="34">
                  <c:v>5958129488975963</c:v>
                </c:pt>
                <c:pt idx="35">
                  <c:v>5589119782351897</c:v>
                </c:pt>
                <c:pt idx="36">
                  <c:v>5240117478900220</c:v>
                </c:pt>
                <c:pt idx="37">
                  <c:v>4912154763705846</c:v>
                </c:pt>
                <c:pt idx="38">
                  <c:v>4608586025899594</c:v>
                </c:pt>
                <c:pt idx="39">
                  <c:v>4320303762359763.5</c:v>
                </c:pt>
                <c:pt idx="40">
                  <c:v>4047128628949139</c:v>
                </c:pt>
                <c:pt idx="41">
                  <c:v>3792086185908158</c:v>
                </c:pt>
                <c:pt idx="42">
                  <c:v>3558946252789221</c:v>
                </c:pt>
                <c:pt idx="43">
                  <c:v>3334347137827984.5</c:v>
                </c:pt>
                <c:pt idx="44">
                  <c:v>3126622200397877.5</c:v>
                </c:pt>
                <c:pt idx="45">
                  <c:v>2931046234871819.5</c:v>
                </c:pt>
                <c:pt idx="46">
                  <c:v>2748983842134609.5</c:v>
                </c:pt>
                <c:pt idx="47">
                  <c:v>2574693173309647</c:v>
                </c:pt>
                <c:pt idx="48">
                  <c:v>2414878703535606</c:v>
                </c:pt>
                <c:pt idx="49">
                  <c:v>2266083458860126</c:v>
                </c:pt>
                <c:pt idx="50">
                  <c:v>2125971438414307.2</c:v>
                </c:pt>
                <c:pt idx="51">
                  <c:v>1989964370513321.7</c:v>
                </c:pt>
                <c:pt idx="52">
                  <c:v>1864797110184122.7</c:v>
                </c:pt>
                <c:pt idx="53">
                  <c:v>1746876132224575.2</c:v>
                </c:pt>
                <c:pt idx="54">
                  <c:v>1638419307940451.7</c:v>
                </c:pt>
                <c:pt idx="55">
                  <c:v>1535491452734925.7</c:v>
                </c:pt>
                <c:pt idx="56">
                  <c:v>1439826951286905</c:v>
                </c:pt>
                <c:pt idx="57">
                  <c:v>1350685112988696.7</c:v>
                </c:pt>
                <c:pt idx="58">
                  <c:v>1264012780965972.5</c:v>
                </c:pt>
                <c:pt idx="59">
                  <c:v>1184160970027498.7</c:v>
                </c:pt>
                <c:pt idx="60">
                  <c:v>1110287849279556</c:v>
                </c:pt>
                <c:pt idx="61">
                  <c:v>1037141572389604.9</c:v>
                </c:pt>
                <c:pt idx="62">
                  <c:v>977772529288657.12</c:v>
                </c:pt>
                <c:pt idx="63">
                  <c:v>916903108915604.37</c:v>
                </c:pt>
                <c:pt idx="64">
                  <c:v>858506603042324.75</c:v>
                </c:pt>
                <c:pt idx="65">
                  <c:v>805968056995728.62</c:v>
                </c:pt>
                <c:pt idx="66">
                  <c:v>755879257963518.75</c:v>
                </c:pt>
                <c:pt idx="67">
                  <c:v>707967165894605.37</c:v>
                </c:pt>
                <c:pt idx="68">
                  <c:v>661500068404725.5</c:v>
                </c:pt>
                <c:pt idx="69">
                  <c:v>620802574185446.37</c:v>
                </c:pt>
                <c:pt idx="70">
                  <c:v>582300309816828.12</c:v>
                </c:pt>
                <c:pt idx="71">
                  <c:v>545005614705632.69</c:v>
                </c:pt>
                <c:pt idx="72">
                  <c:v>510151221833608</c:v>
                </c:pt>
                <c:pt idx="73">
                  <c:v>479049614787834.69</c:v>
                </c:pt>
                <c:pt idx="74">
                  <c:v>447499320366370.12</c:v>
                </c:pt>
                <c:pt idx="75">
                  <c:v>421958337673397.69</c:v>
                </c:pt>
                <c:pt idx="76">
                  <c:v>395562562247333.37</c:v>
                </c:pt>
                <c:pt idx="77">
                  <c:v>369634442045838.12</c:v>
                </c:pt>
                <c:pt idx="78">
                  <c:v>346770608412038.75</c:v>
                </c:pt>
                <c:pt idx="79">
                  <c:v>324034467606479.87</c:v>
                </c:pt>
                <c:pt idx="80">
                  <c:v>301783714180183.19</c:v>
                </c:pt>
                <c:pt idx="81">
                  <c:v>284296418020692.37</c:v>
                </c:pt>
                <c:pt idx="82">
                  <c:v>264637960521095.53</c:v>
                </c:pt>
                <c:pt idx="83">
                  <c:v>248774139642154.78</c:v>
                </c:pt>
                <c:pt idx="84">
                  <c:v>234293024261246.03</c:v>
                </c:pt>
                <c:pt idx="85">
                  <c:v>218706869289315.84</c:v>
                </c:pt>
                <c:pt idx="86">
                  <c:v>204618740201941.09</c:v>
                </c:pt>
                <c:pt idx="87">
                  <c:v>192789613599166.78</c:v>
                </c:pt>
                <c:pt idx="88">
                  <c:v>180885870525468.53</c:v>
                </c:pt>
                <c:pt idx="89">
                  <c:v>168995550058679.34</c:v>
                </c:pt>
                <c:pt idx="90">
                  <c:v>159441084468022.37</c:v>
                </c:pt>
                <c:pt idx="91">
                  <c:v>151539967661566.34</c:v>
                </c:pt>
                <c:pt idx="92">
                  <c:v>140420087935484.69</c:v>
                </c:pt>
                <c:pt idx="93">
                  <c:v>133209306812886.22</c:v>
                </c:pt>
                <c:pt idx="94">
                  <c:v>122082574445884.41</c:v>
                </c:pt>
                <c:pt idx="95">
                  <c:v>113806058023587.89</c:v>
                </c:pt>
                <c:pt idx="96">
                  <c:v>105129014300299.64</c:v>
                </c:pt>
                <c:pt idx="97">
                  <c:v>100312421108554.37</c:v>
                </c:pt>
                <c:pt idx="98">
                  <c:v>92904360815706.812</c:v>
                </c:pt>
                <c:pt idx="99">
                  <c:v>84717255660120.922</c:v>
                </c:pt>
                <c:pt idx="100">
                  <c:v>81107387371609.891</c:v>
                </c:pt>
                <c:pt idx="101">
                  <c:v>73690460933525.922</c:v>
                </c:pt>
                <c:pt idx="102">
                  <c:v>70755458155712.453</c:v>
                </c:pt>
                <c:pt idx="103">
                  <c:v>69709400525523.984</c:v>
                </c:pt>
                <c:pt idx="104">
                  <c:v>64163141544923.742</c:v>
                </c:pt>
                <c:pt idx="105">
                  <c:v>59549733263458.203</c:v>
                </c:pt>
                <c:pt idx="106">
                  <c:v>56389325825649.625</c:v>
                </c:pt>
                <c:pt idx="107">
                  <c:v>54099898148273.883</c:v>
                </c:pt>
                <c:pt idx="108">
                  <c:v>45501501107646.414</c:v>
                </c:pt>
                <c:pt idx="109">
                  <c:v>43939725689345.164</c:v>
                </c:pt>
                <c:pt idx="110">
                  <c:v>41800301029689.781</c:v>
                </c:pt>
                <c:pt idx="111">
                  <c:v>41019918286339.937</c:v>
                </c:pt>
                <c:pt idx="112">
                  <c:v>38073114983681.875</c:v>
                </c:pt>
                <c:pt idx="113">
                  <c:v>33310224587328.258</c:v>
                </c:pt>
                <c:pt idx="114">
                  <c:v>32646757858004.84</c:v>
                </c:pt>
                <c:pt idx="115">
                  <c:v>29186774225621.66</c:v>
                </c:pt>
                <c:pt idx="116">
                  <c:v>27342694042775.578</c:v>
                </c:pt>
                <c:pt idx="117">
                  <c:v>26449772194609.785</c:v>
                </c:pt>
                <c:pt idx="118">
                  <c:v>26881842656070.645</c:v>
                </c:pt>
                <c:pt idx="119">
                  <c:v>26132991744537.996</c:v>
                </c:pt>
                <c:pt idx="120">
                  <c:v>25960251382945.242</c:v>
                </c:pt>
                <c:pt idx="121">
                  <c:v>24952516219816.461</c:v>
                </c:pt>
                <c:pt idx="122">
                  <c:v>20061967632947.187</c:v>
                </c:pt>
                <c:pt idx="123">
                  <c:v>19832016491441.141</c:v>
                </c:pt>
                <c:pt idx="124">
                  <c:v>16183594725932.227</c:v>
                </c:pt>
              </c:numCache>
            </c:numRef>
          </c:xVal>
          <c:yVal>
            <c:numRef>
              <c:f>Plots!$AE$3:$AE$127</c:f>
              <c:numCache>
                <c:formatCode>General</c:formatCode>
                <c:ptCount val="125"/>
                <c:pt idx="0">
                  <c:v>0</c:v>
                </c:pt>
                <c:pt idx="1">
                  <c:v>0</c:v>
                </c:pt>
                <c:pt idx="2">
                  <c:v>7.8800350524997812E-5</c:v>
                </c:pt>
                <c:pt idx="3">
                  <c:v>7.5985619882014166E-5</c:v>
                </c:pt>
                <c:pt idx="4">
                  <c:v>7.2952152926643261E-5</c:v>
                </c:pt>
                <c:pt idx="5">
                  <c:v>7.1954296767007408E-5</c:v>
                </c:pt>
                <c:pt idx="6">
                  <c:v>7.2323926949031521E-5</c:v>
                </c:pt>
                <c:pt idx="7">
                  <c:v>7.2873509075320939E-5</c:v>
                </c:pt>
                <c:pt idx="8">
                  <c:v>7.3301428388467977E-5</c:v>
                </c:pt>
                <c:pt idx="9">
                  <c:v>7.3612239120730906E-5</c:v>
                </c:pt>
                <c:pt idx="10">
                  <c:v>7.3823267401736781E-5</c:v>
                </c:pt>
                <c:pt idx="11">
                  <c:v>7.3948025886738544E-5</c:v>
                </c:pt>
                <c:pt idx="12">
                  <c:v>7.4007521307416327E-5</c:v>
                </c:pt>
                <c:pt idx="13">
                  <c:v>7.3981089190724652E-5</c:v>
                </c:pt>
                <c:pt idx="14">
                  <c:v>7.3925689777481601E-5</c:v>
                </c:pt>
                <c:pt idx="15">
                  <c:v>7.3760626649134071E-5</c:v>
                </c:pt>
                <c:pt idx="16">
                  <c:v>7.3552058572983137E-5</c:v>
                </c:pt>
                <c:pt idx="17">
                  <c:v>7.3297230498405803E-5</c:v>
                </c:pt>
                <c:pt idx="18">
                  <c:v>7.2988642676767354E-5</c:v>
                </c:pt>
                <c:pt idx="19">
                  <c:v>7.2640346347184882E-5</c:v>
                </c:pt>
                <c:pt idx="20">
                  <c:v>7.2225827840122523E-5</c:v>
                </c:pt>
                <c:pt idx="21">
                  <c:v>7.1787479429067039E-5</c:v>
                </c:pt>
                <c:pt idx="22">
                  <c:v>7.1314089797917801E-5</c:v>
                </c:pt>
                <c:pt idx="23">
                  <c:v>7.0819079407196287E-5</c:v>
                </c:pt>
                <c:pt idx="24">
                  <c:v>7.0281687841031854E-5</c:v>
                </c:pt>
                <c:pt idx="25">
                  <c:v>6.9719485059645459E-5</c:v>
                </c:pt>
                <c:pt idx="26">
                  <c:v>6.9173012027657729E-5</c:v>
                </c:pt>
                <c:pt idx="27">
                  <c:v>6.8582954581034554E-5</c:v>
                </c:pt>
                <c:pt idx="28">
                  <c:v>6.8091286704411726E-5</c:v>
                </c:pt>
                <c:pt idx="29">
                  <c:v>6.7481587150321581E-5</c:v>
                </c:pt>
                <c:pt idx="30">
                  <c:v>6.6856119768421578E-5</c:v>
                </c:pt>
                <c:pt idx="31">
                  <c:v>6.618020029284483E-5</c:v>
                </c:pt>
                <c:pt idx="32">
                  <c:v>6.5482999822837499E-5</c:v>
                </c:pt>
                <c:pt idx="33">
                  <c:v>6.4782833334324104E-5</c:v>
                </c:pt>
                <c:pt idx="34">
                  <c:v>6.4055583920332614E-5</c:v>
                </c:pt>
                <c:pt idx="35">
                  <c:v>6.3351763578345949E-5</c:v>
                </c:pt>
                <c:pt idx="36">
                  <c:v>6.2623878895806949E-5</c:v>
                </c:pt>
                <c:pt idx="37">
                  <c:v>6.1827765900437042E-5</c:v>
                </c:pt>
                <c:pt idx="38">
                  <c:v>6.1161213609152264E-5</c:v>
                </c:pt>
                <c:pt idx="39">
                  <c:v>6.0368627545122782E-5</c:v>
                </c:pt>
                <c:pt idx="40">
                  <c:v>5.9577180743649128E-5</c:v>
                </c:pt>
                <c:pt idx="41">
                  <c:v>5.8780299087138712E-5</c:v>
                </c:pt>
                <c:pt idx="42">
                  <c:v>5.8080321885644522E-5</c:v>
                </c:pt>
                <c:pt idx="43">
                  <c:v>5.7268245663096088E-5</c:v>
                </c:pt>
                <c:pt idx="44">
                  <c:v>5.6500052121065477E-5</c:v>
                </c:pt>
                <c:pt idx="45">
                  <c:v>5.5698455928878223E-5</c:v>
                </c:pt>
                <c:pt idx="46">
                  <c:v>5.4934489272811095E-5</c:v>
                </c:pt>
                <c:pt idx="47">
                  <c:v>5.4128655764039676E-5</c:v>
                </c:pt>
                <c:pt idx="48">
                  <c:v>5.3369076990854234E-5</c:v>
                </c:pt>
                <c:pt idx="49">
                  <c:v>5.2615945732990514E-5</c:v>
                </c:pt>
                <c:pt idx="50">
                  <c:v>5.188900403556043E-5</c:v>
                </c:pt>
                <c:pt idx="51">
                  <c:v>5.1002732032281774E-5</c:v>
                </c:pt>
                <c:pt idx="52">
                  <c:v>5.0215374517870092E-5</c:v>
                </c:pt>
                <c:pt idx="53">
                  <c:v>4.9454500476555006E-5</c:v>
                </c:pt>
                <c:pt idx="54">
                  <c:v>4.8693441625452404E-5</c:v>
                </c:pt>
                <c:pt idx="55">
                  <c:v>4.7923563242418697E-5</c:v>
                </c:pt>
                <c:pt idx="56">
                  <c:v>4.7186044370645936E-5</c:v>
                </c:pt>
                <c:pt idx="57">
                  <c:v>4.6482725709094387E-5</c:v>
                </c:pt>
                <c:pt idx="58">
                  <c:v>4.5741284560727027E-5</c:v>
                </c:pt>
                <c:pt idx="59">
                  <c:v>4.4974062928430147E-5</c:v>
                </c:pt>
                <c:pt idx="60">
                  <c:v>4.4310231866003307E-5</c:v>
                </c:pt>
                <c:pt idx="61">
                  <c:v>4.3500670361067797E-5</c:v>
                </c:pt>
                <c:pt idx="62">
                  <c:v>4.3127770621977596E-5</c:v>
                </c:pt>
                <c:pt idx="63">
                  <c:v>4.2482586811034942E-5</c:v>
                </c:pt>
                <c:pt idx="64">
                  <c:v>4.1696927550949224E-5</c:v>
                </c:pt>
                <c:pt idx="65">
                  <c:v>4.1071649007390893E-5</c:v>
                </c:pt>
                <c:pt idx="66">
                  <c:v>4.0430733383183884E-5</c:v>
                </c:pt>
                <c:pt idx="67">
                  <c:v>3.9747846744576457E-5</c:v>
                </c:pt>
                <c:pt idx="68">
                  <c:v>3.9087777527470231E-5</c:v>
                </c:pt>
                <c:pt idx="69">
                  <c:v>3.8488971057092363E-5</c:v>
                </c:pt>
                <c:pt idx="70">
                  <c:v>3.7883415511231782E-5</c:v>
                </c:pt>
                <c:pt idx="71">
                  <c:v>3.7251856390144657E-5</c:v>
                </c:pt>
                <c:pt idx="72">
                  <c:v>3.658677467503713E-5</c:v>
                </c:pt>
                <c:pt idx="73">
                  <c:v>3.6100671115626264E-5</c:v>
                </c:pt>
                <c:pt idx="74">
                  <c:v>3.5384516403462389E-5</c:v>
                </c:pt>
                <c:pt idx="75">
                  <c:v>3.5041456703028055E-5</c:v>
                </c:pt>
                <c:pt idx="76">
                  <c:v>3.4475837941602333E-5</c:v>
                </c:pt>
                <c:pt idx="77">
                  <c:v>3.3845347979318705E-5</c:v>
                </c:pt>
                <c:pt idx="78">
                  <c:v>3.33219067889578E-5</c:v>
                </c:pt>
                <c:pt idx="79">
                  <c:v>3.2756033618681789E-5</c:v>
                </c:pt>
                <c:pt idx="80">
                  <c:v>3.2063022739196025E-5</c:v>
                </c:pt>
                <c:pt idx="81">
                  <c:v>3.1708811747640936E-5</c:v>
                </c:pt>
                <c:pt idx="82">
                  <c:v>3.1102976420042877E-5</c:v>
                </c:pt>
                <c:pt idx="83">
                  <c:v>3.0655840378894922E-5</c:v>
                </c:pt>
                <c:pt idx="84">
                  <c:v>3.0330197002660512E-5</c:v>
                </c:pt>
                <c:pt idx="85">
                  <c:v>2.985520021461563E-5</c:v>
                </c:pt>
                <c:pt idx="86">
                  <c:v>2.9284398756713158E-5</c:v>
                </c:pt>
                <c:pt idx="87">
                  <c:v>2.9046273031622281E-5</c:v>
                </c:pt>
                <c:pt idx="88">
                  <c:v>2.8641798254748159E-5</c:v>
                </c:pt>
                <c:pt idx="89">
                  <c:v>2.8249957372712869E-5</c:v>
                </c:pt>
                <c:pt idx="90">
                  <c:v>2.8007412969014763E-5</c:v>
                </c:pt>
                <c:pt idx="91">
                  <c:v>2.8007607202986731E-5</c:v>
                </c:pt>
                <c:pt idx="92">
                  <c:v>2.722567603838444E-5</c:v>
                </c:pt>
                <c:pt idx="93">
                  <c:v>2.7371309926174147E-5</c:v>
                </c:pt>
                <c:pt idx="94">
                  <c:v>2.627712274195254E-5</c:v>
                </c:pt>
                <c:pt idx="95">
                  <c:v>2.5778973923627116E-5</c:v>
                </c:pt>
                <c:pt idx="96">
                  <c:v>2.5237450444371655E-5</c:v>
                </c:pt>
                <c:pt idx="97">
                  <c:v>2.5423838109209516E-5</c:v>
                </c:pt>
                <c:pt idx="98">
                  <c:v>2.4846219943700885E-5</c:v>
                </c:pt>
                <c:pt idx="99">
                  <c:v>2.3856447268106053E-5</c:v>
                </c:pt>
                <c:pt idx="100">
                  <c:v>2.4185685716869791E-5</c:v>
                </c:pt>
                <c:pt idx="101">
                  <c:v>2.3289896170337693E-5</c:v>
                </c:pt>
                <c:pt idx="102">
                  <c:v>2.3569626126153333E-5</c:v>
                </c:pt>
                <c:pt idx="103">
                  <c:v>2.4557555541944087E-5</c:v>
                </c:pt>
                <c:pt idx="104">
                  <c:v>2.3949365470356897E-5</c:v>
                </c:pt>
                <c:pt idx="105">
                  <c:v>2.3560691568028194E-5</c:v>
                </c:pt>
                <c:pt idx="106">
                  <c:v>2.3342642894798732E-5</c:v>
                </c:pt>
                <c:pt idx="107">
                  <c:v>2.3919330709544442E-5</c:v>
                </c:pt>
                <c:pt idx="108">
                  <c:v>2.1189418079018345E-5</c:v>
                </c:pt>
                <c:pt idx="109">
                  <c:v>2.1727194945369543E-5</c:v>
                </c:pt>
                <c:pt idx="110">
                  <c:v>2.2274355540546826E-5</c:v>
                </c:pt>
                <c:pt idx="111">
                  <c:v>2.3034027284591141E-5</c:v>
                </c:pt>
                <c:pt idx="112">
                  <c:v>2.2529882382603827E-5</c:v>
                </c:pt>
                <c:pt idx="113">
                  <c:v>2.1012305832193346E-5</c:v>
                </c:pt>
                <c:pt idx="114">
                  <c:v>2.2064998747490964E-5</c:v>
                </c:pt>
                <c:pt idx="115">
                  <c:v>2.08608674088052E-5</c:v>
                </c:pt>
                <c:pt idx="116">
                  <c:v>2.1032342951573018E-5</c:v>
                </c:pt>
                <c:pt idx="117">
                  <c:v>2.1215171298544051E-5</c:v>
                </c:pt>
                <c:pt idx="118">
                  <c:v>2.342956686139181E-5</c:v>
                </c:pt>
                <c:pt idx="119">
                  <c:v>2.4237320617022005E-5</c:v>
                </c:pt>
                <c:pt idx="120">
                  <c:v>2.5710289750521434E-5</c:v>
                </c:pt>
                <c:pt idx="121">
                  <c:v>2.6122090082508596E-5</c:v>
                </c:pt>
                <c:pt idx="122">
                  <c:v>2.2192111241382683E-5</c:v>
                </c:pt>
                <c:pt idx="123">
                  <c:v>0</c:v>
                </c:pt>
                <c:pt idx="124">
                  <c:v>0</c:v>
                </c:pt>
              </c:numCache>
            </c:numRef>
          </c:yVal>
          <c:smooth val="0"/>
        </c:ser>
        <c:dLbls>
          <c:showLegendKey val="0"/>
          <c:showVal val="0"/>
          <c:showCatName val="0"/>
          <c:showSerName val="0"/>
          <c:showPercent val="0"/>
          <c:showBubbleSize val="0"/>
        </c:dLbls>
        <c:axId val="143778944"/>
        <c:axId val="143781248"/>
      </c:scatterChart>
      <c:valAx>
        <c:axId val="143778944"/>
        <c:scaling>
          <c:logBase val="10"/>
          <c:orientation val="minMax"/>
          <c:min val="10000000000000"/>
        </c:scaling>
        <c:delete val="0"/>
        <c:axPos val="b"/>
        <c:title>
          <c:tx>
            <c:rich>
              <a:bodyPr/>
              <a:lstStyle/>
              <a:p>
                <a:pPr>
                  <a:defRPr/>
                </a:pPr>
                <a:r>
                  <a:rPr lang="en-US"/>
                  <a:t>Minority</a:t>
                </a:r>
                <a:r>
                  <a:rPr lang="en-US" baseline="0"/>
                  <a:t> Carrier Density (cm</a:t>
                </a:r>
                <a:r>
                  <a:rPr lang="en-US" baseline="30000"/>
                  <a:t>-3</a:t>
                </a:r>
                <a:r>
                  <a:rPr lang="en-US" baseline="0"/>
                  <a:t>)</a:t>
                </a:r>
                <a:endParaRPr lang="en-US"/>
              </a:p>
            </c:rich>
          </c:tx>
          <c:layout/>
          <c:overlay val="0"/>
        </c:title>
        <c:numFmt formatCode="General" sourceLinked="1"/>
        <c:majorTickMark val="none"/>
        <c:minorTickMark val="none"/>
        <c:tickLblPos val="nextTo"/>
        <c:crossAx val="143781248"/>
        <c:crosses val="autoZero"/>
        <c:crossBetween val="midCat"/>
      </c:valAx>
      <c:valAx>
        <c:axId val="143781248"/>
        <c:scaling>
          <c:orientation val="minMax"/>
        </c:scaling>
        <c:delete val="0"/>
        <c:axPos val="l"/>
        <c:majorGridlines/>
        <c:title>
          <c:tx>
            <c:rich>
              <a:bodyPr/>
              <a:lstStyle/>
              <a:p>
                <a:pPr>
                  <a:defRPr/>
                </a:pPr>
                <a:r>
                  <a:rPr lang="en-US"/>
                  <a:t>Lifetime (s)</a:t>
                </a:r>
              </a:p>
            </c:rich>
          </c:tx>
          <c:layout/>
          <c:overlay val="0"/>
        </c:title>
        <c:numFmt formatCode="0.00E+00" sourceLinked="0"/>
        <c:majorTickMark val="none"/>
        <c:minorTickMark val="none"/>
        <c:tickLblPos val="nextTo"/>
        <c:crossAx val="143778944"/>
        <c:crosses val="autoZero"/>
        <c:crossBetween val="midCat"/>
      </c:valAx>
    </c:plotArea>
    <c:legend>
      <c:legendPos val="r"/>
      <c:layout/>
      <c:overlay val="0"/>
    </c:legend>
    <c:plotVisOnly val="1"/>
    <c:dispBlanksAs val="gap"/>
    <c:showDLblsOverMax val="0"/>
  </c:chart>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16" fmlaLink="ViewPoint" max="34" min="1" page="10" val="34"/>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10</xdr:row>
      <xdr:rowOff>140074</xdr:rowOff>
    </xdr:from>
    <xdr:to>
      <xdr:col>5</xdr:col>
      <xdr:colOff>823912</xdr:colOff>
      <xdr:row>32</xdr:row>
      <xdr:rowOff>141755</xdr:rowOff>
    </xdr:to>
    <xdr:graphicFrame macro="">
      <xdr:nvGraphicFramePr>
        <xdr:cNvPr id="6" name="LightandPC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822388</xdr:colOff>
      <xdr:row>11</xdr:row>
      <xdr:rowOff>2802</xdr:rowOff>
    </xdr:from>
    <xdr:to>
      <xdr:col>12</xdr:col>
      <xdr:colOff>15639</xdr:colOff>
      <xdr:row>32</xdr:row>
      <xdr:rowOff>150895</xdr:rowOff>
    </xdr:to>
    <xdr:graphicFrame macro="">
      <xdr:nvGraphicFramePr>
        <xdr:cNvPr id="7" name="InvLifetime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32</xdr:row>
      <xdr:rowOff>147156</xdr:rowOff>
    </xdr:from>
    <xdr:to>
      <xdr:col>5</xdr:col>
      <xdr:colOff>823912</xdr:colOff>
      <xdr:row>54</xdr:row>
      <xdr:rowOff>137630</xdr:rowOff>
    </xdr:to>
    <xdr:graphicFrame macro="">
      <xdr:nvGraphicFramePr>
        <xdr:cNvPr id="8" name="ImpliedV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813822</xdr:colOff>
      <xdr:row>32</xdr:row>
      <xdr:rowOff>142178</xdr:rowOff>
    </xdr:from>
    <xdr:to>
      <xdr:col>12</xdr:col>
      <xdr:colOff>5878</xdr:colOff>
      <xdr:row>54</xdr:row>
      <xdr:rowOff>132652</xdr:rowOff>
    </xdr:to>
    <xdr:graphicFrame macro="">
      <xdr:nvGraphicFramePr>
        <xdr:cNvPr id="10" name="Lifetime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724693</xdr:colOff>
      <xdr:row>11</xdr:row>
      <xdr:rowOff>2644</xdr:rowOff>
    </xdr:from>
    <xdr:to>
      <xdr:col>8</xdr:col>
      <xdr:colOff>438943</xdr:colOff>
      <xdr:row>32</xdr:row>
      <xdr:rowOff>10847</xdr:rowOff>
    </xdr:to>
    <xdr:graphicFrame macro="">
      <xdr:nvGraphicFramePr>
        <xdr:cNvPr id="51287" name="RawVoltageGraph"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mc:AlternateContent xmlns:mc="http://schemas.openxmlformats.org/markup-compatibility/2006">
    <mc:Choice xmlns:a14="http://schemas.microsoft.com/office/drawing/2010/main" Requires="a14">
      <xdr:twoCellAnchor editAs="absolute">
        <xdr:from>
          <xdr:col>12</xdr:col>
          <xdr:colOff>104775</xdr:colOff>
          <xdr:row>11</xdr:row>
          <xdr:rowOff>28575</xdr:rowOff>
        </xdr:from>
        <xdr:to>
          <xdr:col>13</xdr:col>
          <xdr:colOff>0</xdr:colOff>
          <xdr:row>13</xdr:row>
          <xdr:rowOff>104775</xdr:rowOff>
        </xdr:to>
        <xdr:sp macro="" textlink="">
          <xdr:nvSpPr>
            <xdr:cNvPr id="51299" name="Button 99" hidden="1">
              <a:extLst>
                <a:ext uri="{63B3BB69-23CF-44E3-9099-C40C66FF867C}">
                  <a14:compatExt spid="_x0000_s512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Rescale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85725</xdr:colOff>
          <xdr:row>33</xdr:row>
          <xdr:rowOff>28575</xdr:rowOff>
        </xdr:from>
        <xdr:to>
          <xdr:col>12</xdr:col>
          <xdr:colOff>733425</xdr:colOff>
          <xdr:row>35</xdr:row>
          <xdr:rowOff>114300</xdr:rowOff>
        </xdr:to>
        <xdr:sp macro="" textlink="">
          <xdr:nvSpPr>
            <xdr:cNvPr id="51300" name="Button 100" hidden="1">
              <a:extLst>
                <a:ext uri="{63B3BB69-23CF-44E3-9099-C40C66FF867C}">
                  <a14:compatExt spid="_x0000_s513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Rescale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0</xdr:row>
          <xdr:rowOff>104775</xdr:rowOff>
        </xdr:from>
        <xdr:to>
          <xdr:col>9</xdr:col>
          <xdr:colOff>381000</xdr:colOff>
          <xdr:row>2</xdr:row>
          <xdr:rowOff>85725</xdr:rowOff>
        </xdr:to>
        <xdr:sp macro="" textlink="">
          <xdr:nvSpPr>
            <xdr:cNvPr id="51322" name="Spinner 122" hidden="1">
              <a:extLst>
                <a:ext uri="{63B3BB69-23CF-44E3-9099-C40C66FF867C}">
                  <a14:compatExt spid="_x0000_s51322"/>
                </a:ext>
              </a:extLst>
            </xdr:cNvPr>
            <xdr:cNvSpPr/>
          </xdr:nvSpPr>
          <xdr:spPr>
            <a:xfrm>
              <a:off x="0" y="0"/>
              <a:ext cx="0" cy="0"/>
            </a:xfrm>
            <a:prstGeom prst="rect">
              <a:avLst/>
            </a:prstGeom>
          </xdr:spPr>
        </xdr:sp>
        <xdr:clientData/>
      </xdr:twoCellAnchor>
    </mc:Choice>
    <mc:Fallback/>
  </mc:AlternateContent>
  <xdr:twoCellAnchor editAs="oneCell">
    <xdr:from>
      <xdr:col>9</xdr:col>
      <xdr:colOff>448235</xdr:colOff>
      <xdr:row>0</xdr:row>
      <xdr:rowOff>67236</xdr:rowOff>
    </xdr:from>
    <xdr:to>
      <xdr:col>11</xdr:col>
      <xdr:colOff>124722</xdr:colOff>
      <xdr:row>3</xdr:row>
      <xdr:rowOff>22411</xdr:rowOff>
    </xdr:to>
    <xdr:pic>
      <xdr:nvPicPr>
        <xdr:cNvPr id="16" name="Picture 15"/>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603441" y="67236"/>
          <a:ext cx="1559075" cy="537881"/>
        </a:xfrm>
        <a:prstGeom prst="rect">
          <a:avLst/>
        </a:prstGeom>
      </xdr:spPr>
    </xdr:pic>
    <xdr:clientData/>
  </xdr:twoCellAnchor>
  <xdr:twoCellAnchor>
    <xdr:from>
      <xdr:col>0</xdr:col>
      <xdr:colOff>33618</xdr:colOff>
      <xdr:row>0</xdr:row>
      <xdr:rowOff>44817</xdr:rowOff>
    </xdr:from>
    <xdr:to>
      <xdr:col>1</xdr:col>
      <xdr:colOff>488756</xdr:colOff>
      <xdr:row>2</xdr:row>
      <xdr:rowOff>182963</xdr:rowOff>
    </xdr:to>
    <xdr:sp macro="[0]!ZeroInstrumentButton_Click" textlink="">
      <xdr:nvSpPr>
        <xdr:cNvPr id="17" name="Rectangle 16"/>
        <xdr:cNvSpPr/>
      </xdr:nvSpPr>
      <xdr:spPr>
        <a:xfrm>
          <a:off x="33618"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Zero Instrument</a:t>
          </a:r>
          <a:endParaRPr lang="en-US" sz="1200" b="1">
            <a:solidFill>
              <a:sysClr val="windowText" lastClr="000000"/>
            </a:solidFill>
          </a:endParaRPr>
        </a:p>
      </xdr:txBody>
    </xdr:sp>
    <xdr:clientData/>
  </xdr:twoCellAnchor>
  <xdr:twoCellAnchor>
    <xdr:from>
      <xdr:col>1</xdr:col>
      <xdr:colOff>560295</xdr:colOff>
      <xdr:row>0</xdr:row>
      <xdr:rowOff>44817</xdr:rowOff>
    </xdr:from>
    <xdr:to>
      <xdr:col>3</xdr:col>
      <xdr:colOff>118963</xdr:colOff>
      <xdr:row>2</xdr:row>
      <xdr:rowOff>182963</xdr:rowOff>
    </xdr:to>
    <xdr:sp macro="[0]!MeasureButton_Click" textlink="">
      <xdr:nvSpPr>
        <xdr:cNvPr id="18" name="Rectangle 17"/>
        <xdr:cNvSpPr/>
      </xdr:nvSpPr>
      <xdr:spPr>
        <a:xfrm>
          <a:off x="1714501"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Measure Wafer</a:t>
          </a:r>
          <a:endParaRPr lang="en-US" sz="1200" b="1">
            <a:solidFill>
              <a:sysClr val="windowText" lastClr="000000"/>
            </a:solidFill>
          </a:endParaRPr>
        </a:p>
      </xdr:txBody>
    </xdr:sp>
    <xdr:clientData/>
  </xdr:twoCellAnchor>
  <xdr:twoCellAnchor>
    <xdr:from>
      <xdr:col>3</xdr:col>
      <xdr:colOff>190502</xdr:colOff>
      <xdr:row>0</xdr:row>
      <xdr:rowOff>44817</xdr:rowOff>
    </xdr:from>
    <xdr:to>
      <xdr:col>4</xdr:col>
      <xdr:colOff>813728</xdr:colOff>
      <xdr:row>2</xdr:row>
      <xdr:rowOff>182963</xdr:rowOff>
    </xdr:to>
    <xdr:sp macro="[0]!LogToSummaryButton_Click" textlink="">
      <xdr:nvSpPr>
        <xdr:cNvPr id="19" name="Rectangle 18"/>
        <xdr:cNvSpPr/>
      </xdr:nvSpPr>
      <xdr:spPr>
        <a:xfrm>
          <a:off x="3395384"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Log To Summary</a:t>
          </a:r>
          <a:endParaRPr lang="en-US" sz="1200" b="1">
            <a:solidFill>
              <a:sysClr val="windowText" lastClr="000000"/>
            </a:solidFill>
          </a:endParaRPr>
        </a:p>
      </xdr:txBody>
    </xdr:sp>
    <xdr:clientData/>
  </xdr:twoCellAnchor>
  <xdr:twoCellAnchor>
    <xdr:from>
      <xdr:col>4</xdr:col>
      <xdr:colOff>885267</xdr:colOff>
      <xdr:row>0</xdr:row>
      <xdr:rowOff>44817</xdr:rowOff>
    </xdr:from>
    <xdr:to>
      <xdr:col>6</xdr:col>
      <xdr:colOff>656846</xdr:colOff>
      <xdr:row>2</xdr:row>
      <xdr:rowOff>182963</xdr:rowOff>
    </xdr:to>
    <xdr:sp macro="[0]!SaveGraphtoTextButton_Click" textlink="">
      <xdr:nvSpPr>
        <xdr:cNvPr id="20" name="Rectangle 19"/>
        <xdr:cNvSpPr/>
      </xdr:nvSpPr>
      <xdr:spPr>
        <a:xfrm>
          <a:off x="5076267"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Save Graph Data to .txt File</a:t>
          </a:r>
          <a:endParaRPr lang="en-US" sz="1200" b="1">
            <a:solidFill>
              <a:sysClr val="windowText" lastClr="000000"/>
            </a:solidFill>
          </a:endParaRPr>
        </a:p>
      </xdr:txBody>
    </xdr:sp>
    <xdr:clientData/>
  </xdr:twoCellAnchor>
  <xdr:twoCellAnchor>
    <xdr:from>
      <xdr:col>6</xdr:col>
      <xdr:colOff>728383</xdr:colOff>
      <xdr:row>0</xdr:row>
      <xdr:rowOff>44817</xdr:rowOff>
    </xdr:from>
    <xdr:to>
      <xdr:col>8</xdr:col>
      <xdr:colOff>264639</xdr:colOff>
      <xdr:row>2</xdr:row>
      <xdr:rowOff>182963</xdr:rowOff>
    </xdr:to>
    <xdr:sp macro="[0]!TempScanButton_Click" textlink="">
      <xdr:nvSpPr>
        <xdr:cNvPr id="21" name="Rectangle 20"/>
        <xdr:cNvSpPr/>
      </xdr:nvSpPr>
      <xdr:spPr>
        <a:xfrm>
          <a:off x="6757148" y="44817"/>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Temperature Scan</a:t>
          </a:r>
          <a:endParaRPr lang="en-US" sz="1200" b="1">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707571</xdr:colOff>
      <xdr:row>20</xdr:row>
      <xdr:rowOff>77560</xdr:rowOff>
    </xdr:from>
    <xdr:to>
      <xdr:col>30</xdr:col>
      <xdr:colOff>326572</xdr:colOff>
      <xdr:row>37</xdr:row>
      <xdr:rowOff>44903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171450</xdr:colOff>
      <xdr:row>8</xdr:row>
      <xdr:rowOff>147637</xdr:rowOff>
    </xdr:from>
    <xdr:to>
      <xdr:col>12</xdr:col>
      <xdr:colOff>476250</xdr:colOff>
      <xdr:row>37</xdr:row>
      <xdr:rowOff>23812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0.6627</cdr:x>
      <cdr:y>0.74861</cdr:y>
    </cdr:from>
    <cdr:to>
      <cdr:x>0.87882</cdr:x>
      <cdr:y>0.86193</cdr:y>
    </cdr:to>
    <cdr:pic>
      <cdr:nvPicPr>
        <cdr:cNvPr id="2" name="SintonLogo"/>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cstate="print"/>
        <a:srcRect xmlns:a="http://schemas.openxmlformats.org/drawingml/2006/main"/>
        <a:stretch xmlns:a="http://schemas.openxmlformats.org/drawingml/2006/main">
          <a:fillRect/>
        </a:stretch>
      </cdr:blipFill>
      <cdr:spPr bwMode="auto">
        <a:xfrm xmlns:a="http://schemas.openxmlformats.org/drawingml/2006/main">
          <a:off x="4241800" y="3422650"/>
          <a:ext cx="1383324" cy="518094"/>
        </a:xfrm>
        <a:prstGeom xmlns:a="http://schemas.openxmlformats.org/drawingml/2006/main" prst="rect">
          <a:avLst/>
        </a:prstGeom>
        <a:noFill xmlns:a="http://schemas.openxmlformats.org/drawingml/2006/main"/>
      </cdr:spPr>
    </cdr:pic>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T136"/>
  <sheetViews>
    <sheetView showGridLines="0" tabSelected="1" zoomScale="85" zoomScaleNormal="85" workbookViewId="0">
      <selection activeCell="A6" sqref="A6"/>
    </sheetView>
  </sheetViews>
  <sheetFormatPr defaultRowHeight="12.75" x14ac:dyDescent="0.2"/>
  <cols>
    <col min="1" max="1" width="17.28515625" style="39" customWidth="1"/>
    <col min="2" max="2" width="14.85546875" style="39" customWidth="1"/>
    <col min="3" max="3" width="16" style="39" customWidth="1"/>
    <col min="4" max="4" width="14.85546875" style="39" customWidth="1"/>
    <col min="5" max="6" width="13.7109375" style="39" customWidth="1"/>
    <col min="7" max="7" width="13.42578125" style="39" customWidth="1"/>
    <col min="8" max="8" width="17.7109375" style="39" customWidth="1"/>
    <col min="9" max="9" width="15.7109375" style="39" customWidth="1"/>
    <col min="10" max="11" width="14.140625" style="39" customWidth="1"/>
    <col min="12" max="12" width="12.42578125" style="39" customWidth="1"/>
    <col min="13" max="13" width="11.28515625" style="39" customWidth="1"/>
    <col min="14" max="14" width="9.28515625" style="39" bestFit="1" customWidth="1"/>
    <col min="15" max="15" width="10.5703125" style="39" bestFit="1" customWidth="1"/>
    <col min="16" max="16384" width="9.140625" style="39"/>
  </cols>
  <sheetData>
    <row r="1" spans="1:20" ht="15.75" customHeight="1" x14ac:dyDescent="0.25">
      <c r="C1" s="40"/>
      <c r="E1" s="41"/>
      <c r="L1" s="42" t="s">
        <v>158</v>
      </c>
      <c r="R1" s="41"/>
    </row>
    <row r="2" spans="1:20" s="46" customFormat="1" ht="15" customHeight="1" x14ac:dyDescent="0.25">
      <c r="A2" s="43"/>
      <c r="B2" s="43"/>
      <c r="C2" s="44"/>
      <c r="D2" s="43"/>
      <c r="E2" s="43"/>
      <c r="F2" s="43"/>
      <c r="G2" s="43"/>
      <c r="H2" s="43"/>
      <c r="I2" s="45">
        <v>34</v>
      </c>
      <c r="L2" s="47" t="s">
        <v>48</v>
      </c>
      <c r="M2" s="48" t="s">
        <v>335</v>
      </c>
      <c r="N2" s="49" t="s">
        <v>336</v>
      </c>
      <c r="P2" s="50"/>
      <c r="Q2" s="43"/>
      <c r="R2" s="43"/>
      <c r="S2" s="43"/>
    </row>
    <row r="3" spans="1:20" s="46" customFormat="1" ht="15" customHeight="1" x14ac:dyDescent="0.2">
      <c r="A3" s="51"/>
      <c r="B3" s="52"/>
      <c r="C3" s="53"/>
      <c r="D3" s="54"/>
      <c r="E3" s="54"/>
      <c r="F3" s="54"/>
      <c r="G3" s="55"/>
      <c r="H3" s="43"/>
      <c r="M3" s="43"/>
      <c r="N3" s="43"/>
      <c r="P3" s="43"/>
      <c r="Q3" s="43"/>
      <c r="R3" s="43"/>
      <c r="S3" s="43"/>
    </row>
    <row r="4" spans="1:20" s="46" customFormat="1" ht="15" customHeight="1" x14ac:dyDescent="0.25">
      <c r="A4" s="56" t="s">
        <v>156</v>
      </c>
      <c r="B4" s="56"/>
      <c r="C4" s="57"/>
      <c r="D4" s="56"/>
      <c r="E4" s="56" t="s">
        <v>13</v>
      </c>
      <c r="F4" s="56"/>
      <c r="G4" s="56"/>
      <c r="I4" s="56" t="s">
        <v>159</v>
      </c>
      <c r="J4" s="58"/>
      <c r="K4" s="58"/>
      <c r="L4" s="56" t="s">
        <v>320</v>
      </c>
      <c r="M4" s="50"/>
      <c r="O4" s="50"/>
      <c r="P4" s="50"/>
      <c r="Q4" s="59"/>
      <c r="R4" s="43"/>
      <c r="S4" s="43"/>
    </row>
    <row r="5" spans="1:20" ht="35.25" customHeight="1" x14ac:dyDescent="0.25">
      <c r="A5" s="60" t="s">
        <v>14</v>
      </c>
      <c r="B5" s="61" t="s">
        <v>157</v>
      </c>
      <c r="C5" s="61" t="s">
        <v>161</v>
      </c>
      <c r="D5" s="62" t="s">
        <v>261</v>
      </c>
      <c r="E5" s="60" t="s">
        <v>20</v>
      </c>
      <c r="F5" s="61" t="s">
        <v>337</v>
      </c>
      <c r="G5" s="63" t="s">
        <v>170</v>
      </c>
      <c r="H5" s="64" t="s">
        <v>155</v>
      </c>
      <c r="I5" s="61" t="s">
        <v>15</v>
      </c>
      <c r="J5" s="61" t="s">
        <v>19</v>
      </c>
      <c r="K5" s="61" t="s">
        <v>22</v>
      </c>
      <c r="L5" s="65" t="s">
        <v>321</v>
      </c>
      <c r="M5" s="66" t="s">
        <v>322</v>
      </c>
      <c r="N5" s="66" t="s">
        <v>323</v>
      </c>
      <c r="O5" s="67" t="s">
        <v>324</v>
      </c>
      <c r="P5" s="46"/>
      <c r="Q5" s="59"/>
      <c r="R5" s="43"/>
      <c r="S5" s="43"/>
      <c r="T5" s="46"/>
    </row>
    <row r="6" spans="1:20" s="83" customFormat="1" ht="15.75" customHeight="1" x14ac:dyDescent="0.25">
      <c r="A6" s="68" t="s">
        <v>389</v>
      </c>
      <c r="B6" s="69">
        <v>1.9599999999999999E-2</v>
      </c>
      <c r="C6" s="70">
        <v>4.0999999999999996</v>
      </c>
      <c r="D6" s="71" t="s">
        <v>224</v>
      </c>
      <c r="E6" s="72">
        <v>0.7</v>
      </c>
      <c r="F6" s="73">
        <v>1000000000000000</v>
      </c>
      <c r="G6" s="74">
        <v>0</v>
      </c>
      <c r="H6" s="75" t="s">
        <v>287</v>
      </c>
      <c r="I6" s="76">
        <f>MeasDate</f>
        <v>42055</v>
      </c>
      <c r="J6" s="77">
        <f>MeasTime</f>
        <v>0.72800925925925919</v>
      </c>
      <c r="K6" s="78" t="s">
        <v>355</v>
      </c>
      <c r="L6" s="79">
        <v>35</v>
      </c>
      <c r="M6" s="74">
        <v>200</v>
      </c>
      <c r="N6" s="74">
        <v>5</v>
      </c>
      <c r="O6" s="80">
        <v>0.5</v>
      </c>
      <c r="P6" s="81"/>
      <c r="Q6" s="46"/>
      <c r="R6" s="81"/>
      <c r="S6" s="82"/>
      <c r="T6" s="81"/>
    </row>
    <row r="7" spans="1:20" ht="18.75" customHeight="1" x14ac:dyDescent="0.25">
      <c r="A7" s="56" t="s">
        <v>23</v>
      </c>
      <c r="B7" s="56"/>
      <c r="C7" s="50"/>
      <c r="D7" s="49"/>
      <c r="E7" s="84"/>
      <c r="F7" s="85"/>
      <c r="G7" s="49" t="s">
        <v>258</v>
      </c>
      <c r="H7" s="50"/>
      <c r="I7" s="50"/>
      <c r="J7" s="49"/>
      <c r="K7" s="86"/>
      <c r="M7" s="56" t="s">
        <v>254</v>
      </c>
      <c r="O7" s="50"/>
      <c r="P7" s="43"/>
      <c r="Q7" s="43"/>
      <c r="R7" s="43"/>
      <c r="S7" s="43"/>
      <c r="T7" s="46"/>
    </row>
    <row r="8" spans="1:20" ht="49.5" customHeight="1" x14ac:dyDescent="0.25">
      <c r="A8" s="60" t="s">
        <v>25</v>
      </c>
      <c r="B8" s="87" t="s">
        <v>338</v>
      </c>
      <c r="C8" s="61" t="s">
        <v>339</v>
      </c>
      <c r="D8" s="61" t="s">
        <v>340</v>
      </c>
      <c r="E8" s="61" t="s">
        <v>262</v>
      </c>
      <c r="F8" s="61" t="s">
        <v>341</v>
      </c>
      <c r="G8" s="61" t="s">
        <v>342</v>
      </c>
      <c r="H8" s="61" t="s">
        <v>343</v>
      </c>
      <c r="I8" s="61" t="s">
        <v>344</v>
      </c>
      <c r="J8" s="61" t="s">
        <v>345</v>
      </c>
      <c r="K8" s="88" t="s">
        <v>266</v>
      </c>
      <c r="L8" s="88" t="s">
        <v>346</v>
      </c>
      <c r="M8" s="283" t="str">
        <f ca="1">RefCellErrorMsg&amp;MCDErrorMsg&amp;LightBiasErrorMsg&amp;AirVoltageError&amp;AnalysisModeErrorMsg&amp;mobilitymodelerror</f>
        <v xml:space="preserve">  Saturated Reference Cell  - Data for MCD&gt; 3.3E+16 not valid </v>
      </c>
      <c r="N8" s="284"/>
      <c r="O8" s="285"/>
      <c r="P8" s="43"/>
      <c r="Q8" s="43"/>
      <c r="R8" s="43"/>
      <c r="S8" s="43"/>
      <c r="T8" s="46"/>
    </row>
    <row r="9" spans="1:20" s="83" customFormat="1" ht="17.25" customHeight="1" x14ac:dyDescent="0.25">
      <c r="A9" s="89">
        <f>MeasuredLifetime</f>
        <v>43.032066979476134</v>
      </c>
      <c r="B9" s="90">
        <f>CorrectedSheetRho</f>
        <v>163.04586336460596</v>
      </c>
      <c r="C9" s="91">
        <f>CorrectedResistivity</f>
        <v>3.1956989219462768</v>
      </c>
      <c r="D9" s="92">
        <f>Jo</f>
        <v>-1.3508933916621358E-12</v>
      </c>
      <c r="E9" s="90">
        <f>TauFitIntercept</f>
        <v>20.440248783173143</v>
      </c>
      <c r="F9" s="93">
        <f>MinApparentCD</f>
        <v>16183594725932.227</v>
      </c>
      <c r="G9" s="93">
        <f>MaxApparentCD</f>
        <v>3.64271604372292E+16</v>
      </c>
      <c r="H9" s="93">
        <f>BiasPtCD</f>
        <v>0</v>
      </c>
      <c r="I9" s="93">
        <f>Traps</f>
        <v>0</v>
      </c>
      <c r="J9" s="93">
        <f>SampleDoping</f>
        <v>3416264639614550.5</v>
      </c>
      <c r="K9" s="94">
        <f ca="1">ImpliedVoc1sun</f>
        <v>0.59843619625620392</v>
      </c>
      <c r="L9" s="95">
        <f>Temperature</f>
        <v>35.519899000000002</v>
      </c>
      <c r="M9" s="286"/>
      <c r="N9" s="287"/>
      <c r="O9" s="288"/>
      <c r="P9" s="43"/>
      <c r="Q9" s="82"/>
      <c r="R9" s="82"/>
      <c r="S9" s="82"/>
      <c r="T9" s="81"/>
    </row>
    <row r="10" spans="1:20" s="83" customFormat="1" ht="18" customHeight="1" x14ac:dyDescent="0.2">
      <c r="A10" s="275" t="str">
        <f>LifetimeTextLabel</f>
        <v>Lifetime = 43.03 µs @ 1.0E+15 cm-3</v>
      </c>
      <c r="B10" s="276"/>
      <c r="C10" s="276"/>
      <c r="D10" s="276"/>
      <c r="E10" s="276"/>
      <c r="F10" s="276"/>
      <c r="G10" s="276"/>
      <c r="H10" s="276"/>
      <c r="I10" s="277"/>
      <c r="J10" s="281" t="str">
        <f>PassFailMsg</f>
        <v/>
      </c>
      <c r="K10" s="96"/>
      <c r="M10" s="286"/>
      <c r="N10" s="287"/>
      <c r="O10" s="288"/>
      <c r="P10" s="96"/>
      <c r="Q10" s="97"/>
      <c r="R10" s="97"/>
      <c r="S10" s="97"/>
    </row>
    <row r="11" spans="1:20" ht="11.25" customHeight="1" x14ac:dyDescent="0.2">
      <c r="A11" s="278"/>
      <c r="B11" s="279"/>
      <c r="C11" s="279"/>
      <c r="D11" s="279"/>
      <c r="E11" s="279"/>
      <c r="F11" s="279"/>
      <c r="G11" s="279"/>
      <c r="H11" s="279"/>
      <c r="I11" s="280"/>
      <c r="J11" s="282"/>
      <c r="K11" s="41"/>
      <c r="M11" s="289"/>
      <c r="N11" s="290"/>
      <c r="O11" s="291"/>
      <c r="P11" s="41"/>
      <c r="Q11" s="41"/>
      <c r="R11" s="41"/>
      <c r="S11" s="41"/>
    </row>
    <row r="12" spans="1:20" x14ac:dyDescent="0.2">
      <c r="A12" s="98"/>
      <c r="B12" s="98"/>
      <c r="C12" s="98"/>
      <c r="D12" s="98"/>
      <c r="E12" s="43"/>
      <c r="F12" s="41"/>
      <c r="G12" s="41"/>
      <c r="H12" s="41"/>
      <c r="I12" s="41"/>
      <c r="J12" s="41"/>
      <c r="K12" s="41"/>
      <c r="L12" s="41"/>
      <c r="M12" s="41"/>
      <c r="N12" s="41"/>
      <c r="O12" s="41"/>
      <c r="P12" s="41"/>
      <c r="Q12" s="41"/>
      <c r="R12" s="41"/>
      <c r="S12" s="41"/>
    </row>
    <row r="13" spans="1:20" x14ac:dyDescent="0.2">
      <c r="A13" s="99"/>
      <c r="B13" s="82"/>
      <c r="C13" s="100"/>
      <c r="D13" s="101"/>
      <c r="E13" s="43"/>
      <c r="F13" s="41"/>
      <c r="G13" s="41"/>
      <c r="H13" s="41"/>
      <c r="I13" s="41"/>
      <c r="J13" s="41"/>
      <c r="K13" s="41"/>
      <c r="L13" s="41"/>
      <c r="M13" s="41"/>
      <c r="N13" s="41"/>
      <c r="O13" s="41"/>
      <c r="P13" s="41"/>
      <c r="Q13" s="41"/>
      <c r="R13" s="41"/>
      <c r="S13" s="41"/>
    </row>
    <row r="14" spans="1:20" x14ac:dyDescent="0.2">
      <c r="A14" s="43"/>
      <c r="B14" s="43"/>
      <c r="C14" s="43"/>
      <c r="D14" s="43"/>
      <c r="E14" s="43"/>
      <c r="F14" s="41"/>
      <c r="G14" s="41"/>
      <c r="H14" s="41"/>
      <c r="I14" s="41"/>
      <c r="J14" s="41"/>
      <c r="K14" s="41"/>
      <c r="L14" s="41"/>
      <c r="M14" s="41"/>
      <c r="N14" s="41"/>
      <c r="O14" s="41"/>
      <c r="P14" s="41"/>
      <c r="Q14" s="41"/>
      <c r="R14" s="41"/>
      <c r="S14" s="41"/>
    </row>
    <row r="15" spans="1:20" x14ac:dyDescent="0.2">
      <c r="A15" s="98"/>
      <c r="B15" s="98"/>
      <c r="C15" s="98"/>
      <c r="D15" s="98"/>
      <c r="E15" s="43"/>
      <c r="F15" s="41"/>
      <c r="G15" s="41"/>
      <c r="H15" s="41"/>
      <c r="I15" s="41"/>
      <c r="J15" s="41"/>
      <c r="K15" s="41"/>
      <c r="L15" s="41"/>
      <c r="M15" s="41"/>
      <c r="N15" s="41"/>
      <c r="O15" s="41"/>
      <c r="P15" s="41"/>
      <c r="Q15" s="41"/>
      <c r="R15" s="41"/>
      <c r="S15" s="41"/>
    </row>
    <row r="16" spans="1:20" x14ac:dyDescent="0.2">
      <c r="A16" s="99"/>
      <c r="B16" s="43"/>
      <c r="C16" s="102"/>
      <c r="D16" s="103"/>
      <c r="E16" s="43"/>
      <c r="F16" s="41"/>
      <c r="G16" s="41"/>
      <c r="H16" s="41"/>
      <c r="I16" s="41"/>
      <c r="J16" s="41"/>
      <c r="K16" s="41"/>
      <c r="L16" s="41"/>
      <c r="M16" s="41"/>
      <c r="N16" s="41"/>
      <c r="O16" s="41"/>
      <c r="P16" s="41"/>
      <c r="Q16" s="41"/>
      <c r="R16" s="41"/>
      <c r="S16" s="41"/>
    </row>
    <row r="17" spans="1:19" x14ac:dyDescent="0.2">
      <c r="A17" s="99"/>
      <c r="B17" s="43"/>
      <c r="C17" s="102"/>
      <c r="D17" s="103"/>
      <c r="E17" s="43"/>
      <c r="F17" s="41"/>
      <c r="G17" s="41"/>
      <c r="H17" s="41"/>
      <c r="I17" s="41"/>
      <c r="J17" s="41"/>
      <c r="K17" s="41"/>
      <c r="L17" s="41"/>
      <c r="M17" s="41"/>
      <c r="N17" s="41"/>
      <c r="O17" s="41"/>
      <c r="P17" s="41"/>
      <c r="Q17" s="41"/>
      <c r="R17" s="41"/>
      <c r="S17" s="41"/>
    </row>
    <row r="18" spans="1:19" x14ac:dyDescent="0.2">
      <c r="A18" s="43"/>
      <c r="B18" s="43"/>
      <c r="C18" s="43"/>
      <c r="D18" s="43"/>
      <c r="E18" s="43"/>
      <c r="F18" s="41"/>
      <c r="G18" s="41"/>
      <c r="H18" s="41"/>
      <c r="I18" s="41"/>
      <c r="J18" s="41"/>
      <c r="K18" s="41"/>
      <c r="L18" s="41"/>
      <c r="M18" s="41"/>
      <c r="N18" s="41"/>
      <c r="O18" s="41"/>
      <c r="P18" s="41"/>
      <c r="Q18" s="41"/>
      <c r="R18" s="41"/>
      <c r="S18" s="41"/>
    </row>
    <row r="19" spans="1:19" x14ac:dyDescent="0.2">
      <c r="A19" s="43"/>
      <c r="B19" s="43"/>
      <c r="C19" s="43"/>
      <c r="D19" s="43"/>
      <c r="E19" s="43"/>
      <c r="F19" s="41"/>
      <c r="G19" s="41"/>
      <c r="H19" s="41"/>
      <c r="I19" s="41"/>
      <c r="J19" s="41"/>
      <c r="K19" s="41"/>
      <c r="L19" s="41"/>
      <c r="M19" s="41"/>
      <c r="N19" s="41"/>
      <c r="O19" s="41"/>
      <c r="P19" s="41"/>
      <c r="Q19" s="41"/>
      <c r="R19" s="41"/>
      <c r="S19" s="41"/>
    </row>
    <row r="20" spans="1:19" x14ac:dyDescent="0.2">
      <c r="A20" s="41"/>
      <c r="B20" s="41"/>
      <c r="C20" s="41"/>
      <c r="D20" s="41"/>
      <c r="E20" s="41"/>
      <c r="F20" s="41"/>
      <c r="G20" s="41"/>
      <c r="H20" s="41"/>
      <c r="I20" s="41"/>
      <c r="J20" s="41"/>
      <c r="K20" s="41"/>
      <c r="L20" s="41"/>
      <c r="M20" s="41"/>
      <c r="N20" s="41"/>
      <c r="O20" s="41"/>
      <c r="P20" s="41"/>
      <c r="Q20" s="41"/>
      <c r="R20" s="41"/>
      <c r="S20" s="41"/>
    </row>
    <row r="21" spans="1:19" x14ac:dyDescent="0.2">
      <c r="A21" s="41"/>
      <c r="B21" s="41"/>
      <c r="C21" s="41"/>
      <c r="D21" s="41"/>
      <c r="E21" s="41"/>
      <c r="F21" s="41"/>
      <c r="G21" s="41"/>
      <c r="H21" s="41"/>
      <c r="I21" s="41"/>
      <c r="J21" s="41"/>
      <c r="K21" s="41"/>
      <c r="L21" s="41"/>
      <c r="M21" s="41"/>
      <c r="N21" s="41"/>
      <c r="O21" s="41"/>
      <c r="P21" s="41"/>
      <c r="Q21" s="41"/>
      <c r="R21" s="41"/>
      <c r="S21" s="41"/>
    </row>
    <row r="22" spans="1:19" x14ac:dyDescent="0.2">
      <c r="A22" s="41"/>
      <c r="B22" s="41"/>
      <c r="C22" s="41"/>
      <c r="D22" s="41"/>
      <c r="E22" s="41"/>
      <c r="F22" s="41"/>
      <c r="G22" s="41"/>
      <c r="H22" s="41"/>
      <c r="I22" s="41"/>
      <c r="J22" s="41"/>
      <c r="K22" s="41"/>
      <c r="L22" s="41"/>
      <c r="M22" s="41"/>
      <c r="N22" s="41"/>
      <c r="O22" s="41"/>
      <c r="P22" s="41"/>
      <c r="Q22" s="41"/>
      <c r="R22" s="41"/>
      <c r="S22" s="41"/>
    </row>
    <row r="23" spans="1:19" x14ac:dyDescent="0.2">
      <c r="A23" s="41"/>
      <c r="B23" s="41"/>
      <c r="C23" s="41"/>
      <c r="D23" s="41"/>
      <c r="E23" s="41"/>
      <c r="F23" s="41"/>
      <c r="G23" s="41"/>
      <c r="H23" s="41"/>
      <c r="I23" s="41"/>
      <c r="J23" s="41"/>
      <c r="K23" s="41"/>
      <c r="L23" s="41"/>
      <c r="M23" s="41"/>
      <c r="N23" s="41"/>
      <c r="O23" s="41"/>
      <c r="P23" s="41"/>
      <c r="Q23" s="41"/>
      <c r="R23" s="41"/>
      <c r="S23" s="41"/>
    </row>
    <row r="24" spans="1:19" x14ac:dyDescent="0.2">
      <c r="A24" s="41"/>
      <c r="B24" s="41"/>
      <c r="C24" s="41"/>
      <c r="D24" s="41"/>
      <c r="E24" s="41"/>
      <c r="F24" s="41"/>
      <c r="G24" s="41"/>
      <c r="H24" s="41"/>
      <c r="I24" s="41"/>
      <c r="J24" s="41"/>
      <c r="K24" s="41"/>
      <c r="L24" s="41"/>
      <c r="M24" s="41"/>
      <c r="N24" s="41"/>
      <c r="O24" s="41"/>
      <c r="P24" s="41"/>
      <c r="Q24" s="41"/>
      <c r="R24" s="41"/>
      <c r="S24" s="41"/>
    </row>
    <row r="25" spans="1:19" x14ac:dyDescent="0.2">
      <c r="A25" s="41"/>
      <c r="B25" s="41"/>
      <c r="C25" s="41"/>
      <c r="D25" s="41"/>
      <c r="E25" s="41"/>
      <c r="F25" s="41"/>
      <c r="G25" s="41"/>
      <c r="H25" s="41"/>
      <c r="I25" s="41"/>
      <c r="J25" s="41"/>
      <c r="K25" s="41"/>
      <c r="L25" s="41"/>
      <c r="M25" s="41"/>
      <c r="N25" s="41"/>
      <c r="O25" s="41"/>
      <c r="P25" s="41"/>
      <c r="Q25" s="41"/>
      <c r="R25" s="41"/>
      <c r="S25" s="41"/>
    </row>
    <row r="26" spans="1:19" x14ac:dyDescent="0.2">
      <c r="A26" s="41"/>
      <c r="B26" s="41"/>
      <c r="C26" s="41"/>
      <c r="D26" s="41"/>
      <c r="E26" s="41"/>
      <c r="F26" s="41"/>
      <c r="G26" s="41"/>
      <c r="H26" s="41"/>
      <c r="I26" s="41"/>
      <c r="J26" s="41"/>
      <c r="K26" s="41"/>
      <c r="L26" s="41"/>
      <c r="M26" s="41"/>
      <c r="N26" s="41"/>
      <c r="O26" s="41"/>
      <c r="P26" s="41"/>
      <c r="Q26" s="41"/>
      <c r="R26" s="41"/>
      <c r="S26" s="41"/>
    </row>
    <row r="27" spans="1:19" x14ac:dyDescent="0.2">
      <c r="A27" s="41"/>
      <c r="B27" s="41"/>
      <c r="C27" s="41"/>
      <c r="D27" s="41"/>
      <c r="E27" s="41"/>
      <c r="F27" s="41"/>
      <c r="G27" s="41"/>
      <c r="H27" s="41"/>
      <c r="I27" s="41"/>
      <c r="J27" s="41"/>
      <c r="K27" s="41"/>
      <c r="L27" s="41"/>
      <c r="M27" s="41"/>
      <c r="N27" s="41"/>
      <c r="O27" s="41"/>
      <c r="P27" s="41"/>
      <c r="Q27" s="41"/>
      <c r="R27" s="41"/>
      <c r="S27" s="41"/>
    </row>
    <row r="28" spans="1:19" x14ac:dyDescent="0.2">
      <c r="A28" s="41"/>
      <c r="B28" s="41"/>
      <c r="C28" s="41"/>
      <c r="D28" s="41"/>
      <c r="E28" s="41"/>
      <c r="F28" s="41"/>
      <c r="G28" s="41"/>
      <c r="H28" s="41"/>
      <c r="I28" s="41"/>
      <c r="J28" s="41"/>
      <c r="K28" s="41"/>
      <c r="L28" s="41"/>
      <c r="M28" s="41"/>
      <c r="N28" s="41"/>
      <c r="O28" s="41"/>
      <c r="P28" s="41"/>
      <c r="Q28" s="41"/>
      <c r="R28" s="41"/>
      <c r="S28" s="41"/>
    </row>
    <row r="29" spans="1:19" x14ac:dyDescent="0.2">
      <c r="A29" s="41"/>
      <c r="B29" s="41"/>
      <c r="C29" s="41"/>
      <c r="D29" s="41"/>
      <c r="E29" s="41"/>
      <c r="F29" s="41"/>
      <c r="G29" s="41"/>
      <c r="H29" s="41"/>
      <c r="I29" s="41"/>
      <c r="J29" s="41"/>
      <c r="K29" s="41"/>
      <c r="L29" s="41"/>
      <c r="M29" s="41"/>
      <c r="N29" s="41"/>
      <c r="O29" s="41"/>
      <c r="P29" s="41"/>
      <c r="Q29" s="41"/>
      <c r="R29" s="41"/>
      <c r="S29" s="41"/>
    </row>
    <row r="30" spans="1:19" x14ac:dyDescent="0.2">
      <c r="A30" s="41"/>
      <c r="B30" s="41"/>
      <c r="C30" s="41"/>
      <c r="D30" s="41"/>
      <c r="E30" s="41"/>
      <c r="F30" s="41"/>
      <c r="G30" s="41"/>
      <c r="H30" s="41"/>
      <c r="I30" s="41"/>
      <c r="J30" s="41"/>
      <c r="K30" s="41"/>
      <c r="L30" s="41"/>
      <c r="M30" s="41"/>
      <c r="N30" s="41"/>
      <c r="O30" s="41"/>
      <c r="P30" s="41"/>
      <c r="Q30" s="41"/>
      <c r="R30" s="41"/>
      <c r="S30" s="41"/>
    </row>
    <row r="31" spans="1:19" x14ac:dyDescent="0.2">
      <c r="A31" s="41"/>
      <c r="B31" s="41"/>
      <c r="C31" s="41"/>
      <c r="D31" s="41"/>
      <c r="E31" s="41"/>
      <c r="F31" s="41"/>
      <c r="G31" s="41"/>
      <c r="H31" s="41"/>
      <c r="I31" s="41"/>
      <c r="J31" s="41"/>
      <c r="K31" s="41"/>
      <c r="L31" s="41"/>
      <c r="M31" s="41"/>
      <c r="N31" s="41"/>
      <c r="O31" s="41"/>
      <c r="P31" s="41"/>
      <c r="Q31" s="41"/>
      <c r="R31" s="41"/>
      <c r="S31" s="41"/>
    </row>
    <row r="32" spans="1:19" x14ac:dyDescent="0.2">
      <c r="A32" s="41"/>
      <c r="B32" s="41"/>
      <c r="C32" s="41"/>
      <c r="D32" s="41"/>
      <c r="E32" s="41"/>
      <c r="F32" s="41"/>
      <c r="G32" s="41"/>
      <c r="H32" s="41"/>
      <c r="I32" s="41"/>
      <c r="J32" s="41"/>
      <c r="K32" s="41"/>
      <c r="L32" s="41"/>
      <c r="M32" s="41"/>
      <c r="N32" s="41"/>
      <c r="O32" s="41"/>
      <c r="P32" s="41"/>
      <c r="Q32" s="41"/>
      <c r="R32" s="41"/>
      <c r="S32" s="41"/>
    </row>
    <row r="33" spans="1:19" x14ac:dyDescent="0.2">
      <c r="A33" s="41"/>
      <c r="B33" s="41"/>
      <c r="C33" s="41"/>
      <c r="D33" s="41"/>
      <c r="E33" s="41"/>
      <c r="F33" s="41"/>
      <c r="G33" s="41"/>
      <c r="H33" s="41"/>
      <c r="I33" s="41"/>
      <c r="J33" s="41"/>
      <c r="K33" s="41"/>
      <c r="L33" s="41"/>
      <c r="M33" s="41"/>
      <c r="N33" s="41"/>
      <c r="O33" s="41"/>
      <c r="P33" s="41"/>
      <c r="Q33" s="41"/>
      <c r="R33" s="41"/>
      <c r="S33" s="41"/>
    </row>
    <row r="34" spans="1:19" x14ac:dyDescent="0.2">
      <c r="A34" s="41"/>
      <c r="B34" s="41"/>
      <c r="C34" s="41"/>
      <c r="D34" s="41"/>
      <c r="E34" s="41"/>
      <c r="F34" s="41"/>
      <c r="G34" s="41"/>
      <c r="H34" s="41"/>
      <c r="I34" s="41"/>
      <c r="J34" s="41"/>
      <c r="K34" s="41"/>
      <c r="L34" s="41"/>
      <c r="M34" s="41"/>
      <c r="N34" s="41"/>
      <c r="O34" s="41"/>
      <c r="P34" s="41"/>
      <c r="Q34" s="41"/>
      <c r="R34" s="41"/>
      <c r="S34" s="41"/>
    </row>
    <row r="35" spans="1:19" x14ac:dyDescent="0.2">
      <c r="A35" s="41"/>
      <c r="B35" s="41"/>
      <c r="C35" s="41"/>
      <c r="D35" s="41"/>
      <c r="E35" s="41"/>
      <c r="F35" s="41"/>
      <c r="G35" s="41"/>
      <c r="H35" s="41"/>
      <c r="I35" s="41"/>
      <c r="J35" s="41"/>
      <c r="K35" s="41"/>
      <c r="L35" s="41"/>
      <c r="M35" s="41"/>
      <c r="N35" s="41"/>
      <c r="O35" s="41"/>
      <c r="P35" s="41"/>
      <c r="Q35" s="41"/>
      <c r="R35" s="41"/>
      <c r="S35" s="41"/>
    </row>
    <row r="36" spans="1:19" x14ac:dyDescent="0.2">
      <c r="A36" s="41"/>
      <c r="B36" s="41"/>
      <c r="C36" s="41"/>
      <c r="D36" s="41"/>
      <c r="E36" s="41"/>
      <c r="F36" s="41"/>
      <c r="G36" s="41"/>
      <c r="H36" s="41"/>
      <c r="I36" s="41"/>
      <c r="J36" s="41"/>
      <c r="K36" s="41"/>
      <c r="L36" s="41"/>
      <c r="M36" s="41"/>
      <c r="N36" s="41"/>
      <c r="O36" s="41"/>
      <c r="P36" s="41"/>
      <c r="Q36" s="41"/>
      <c r="R36" s="41"/>
      <c r="S36" s="41"/>
    </row>
    <row r="37" spans="1:19" x14ac:dyDescent="0.2">
      <c r="A37" s="41"/>
      <c r="B37" s="41"/>
      <c r="C37" s="41"/>
      <c r="D37" s="41"/>
      <c r="E37" s="41"/>
      <c r="F37" s="41"/>
      <c r="G37" s="41"/>
      <c r="H37" s="41"/>
      <c r="I37" s="41"/>
      <c r="J37" s="41"/>
      <c r="K37" s="41"/>
      <c r="L37" s="41"/>
      <c r="M37" s="41"/>
      <c r="N37" s="41"/>
      <c r="O37" s="41"/>
      <c r="P37" s="41"/>
      <c r="Q37" s="41"/>
      <c r="R37" s="41"/>
      <c r="S37" s="41"/>
    </row>
    <row r="38" spans="1:19" x14ac:dyDescent="0.2">
      <c r="A38" s="41"/>
      <c r="B38" s="41"/>
      <c r="C38" s="41"/>
      <c r="D38" s="41"/>
      <c r="E38" s="41"/>
      <c r="F38" s="41"/>
      <c r="G38" s="41"/>
      <c r="H38" s="41"/>
      <c r="I38" s="41"/>
      <c r="J38" s="41"/>
      <c r="K38" s="41"/>
      <c r="L38" s="41"/>
      <c r="M38" s="41"/>
      <c r="N38" s="41"/>
      <c r="O38" s="41"/>
      <c r="P38" s="41"/>
      <c r="Q38" s="41"/>
      <c r="R38" s="41"/>
      <c r="S38" s="41"/>
    </row>
    <row r="39" spans="1:19" x14ac:dyDescent="0.2">
      <c r="A39" s="41"/>
      <c r="B39" s="41"/>
      <c r="C39" s="41"/>
      <c r="D39" s="41"/>
      <c r="E39" s="41"/>
      <c r="F39" s="41"/>
      <c r="G39" s="41"/>
      <c r="H39" s="41"/>
      <c r="I39" s="41"/>
      <c r="J39" s="41"/>
      <c r="K39" s="41"/>
      <c r="L39" s="41"/>
      <c r="M39" s="41"/>
      <c r="N39" s="41"/>
      <c r="O39" s="41"/>
      <c r="P39" s="41"/>
      <c r="Q39" s="41"/>
      <c r="R39" s="41"/>
      <c r="S39" s="41"/>
    </row>
    <row r="40" spans="1:19" x14ac:dyDescent="0.2">
      <c r="A40" s="41"/>
      <c r="B40" s="41"/>
      <c r="C40" s="41"/>
      <c r="D40" s="41"/>
      <c r="E40" s="41"/>
      <c r="F40" s="41"/>
      <c r="G40" s="41"/>
      <c r="H40" s="41"/>
      <c r="I40" s="41"/>
      <c r="J40" s="41"/>
      <c r="K40" s="41"/>
      <c r="L40" s="41"/>
      <c r="M40" s="41"/>
      <c r="N40" s="41"/>
      <c r="O40" s="41"/>
      <c r="P40" s="41"/>
      <c r="Q40" s="41"/>
      <c r="R40" s="41"/>
      <c r="S40" s="41"/>
    </row>
    <row r="41" spans="1:19" x14ac:dyDescent="0.2">
      <c r="A41" s="41"/>
      <c r="B41" s="41"/>
      <c r="C41" s="41"/>
      <c r="D41" s="41"/>
      <c r="E41" s="41"/>
      <c r="F41" s="41"/>
      <c r="G41" s="41"/>
      <c r="H41" s="41"/>
      <c r="I41" s="41"/>
      <c r="J41" s="41"/>
      <c r="K41" s="41"/>
      <c r="L41" s="41"/>
      <c r="M41" s="41"/>
      <c r="N41" s="41"/>
      <c r="O41" s="41"/>
      <c r="P41" s="41"/>
      <c r="Q41" s="41"/>
      <c r="R41" s="41"/>
      <c r="S41" s="41"/>
    </row>
    <row r="42" spans="1:19" x14ac:dyDescent="0.2">
      <c r="A42" s="41"/>
      <c r="B42" s="41"/>
      <c r="C42" s="41"/>
      <c r="D42" s="41"/>
      <c r="E42" s="41"/>
      <c r="F42" s="41"/>
      <c r="G42" s="41"/>
      <c r="H42" s="41"/>
      <c r="I42" s="41"/>
      <c r="J42" s="41"/>
      <c r="K42" s="41"/>
      <c r="L42" s="41"/>
      <c r="M42" s="41"/>
      <c r="N42" s="41"/>
      <c r="O42" s="41"/>
      <c r="P42" s="41"/>
      <c r="Q42" s="41"/>
      <c r="R42" s="41"/>
      <c r="S42" s="41"/>
    </row>
    <row r="43" spans="1:19" x14ac:dyDescent="0.2">
      <c r="A43" s="41"/>
      <c r="B43" s="41"/>
      <c r="C43" s="41"/>
      <c r="D43" s="41"/>
      <c r="E43" s="41"/>
      <c r="F43" s="41"/>
      <c r="G43" s="41"/>
      <c r="H43" s="41"/>
      <c r="I43" s="41"/>
      <c r="J43" s="41"/>
      <c r="K43" s="41"/>
      <c r="L43" s="41"/>
      <c r="M43" s="41"/>
      <c r="N43" s="41"/>
      <c r="O43" s="41"/>
      <c r="P43" s="41"/>
      <c r="Q43" s="41"/>
      <c r="R43" s="41"/>
      <c r="S43" s="41"/>
    </row>
    <row r="44" spans="1:19" x14ac:dyDescent="0.2">
      <c r="A44" s="41"/>
      <c r="B44" s="41"/>
      <c r="C44" s="41"/>
      <c r="D44" s="41"/>
      <c r="E44" s="41"/>
      <c r="F44" s="41"/>
      <c r="G44" s="41"/>
      <c r="H44" s="41"/>
      <c r="I44" s="41"/>
      <c r="J44" s="41"/>
      <c r="K44" s="41"/>
      <c r="L44" s="41"/>
      <c r="M44" s="41"/>
      <c r="N44" s="41"/>
      <c r="O44" s="41"/>
      <c r="P44" s="41"/>
      <c r="Q44" s="41"/>
      <c r="R44" s="41"/>
      <c r="S44" s="41"/>
    </row>
    <row r="45" spans="1:19" x14ac:dyDescent="0.2">
      <c r="A45" s="41"/>
      <c r="B45" s="41"/>
      <c r="C45" s="41"/>
      <c r="D45" s="41"/>
      <c r="E45" s="41"/>
      <c r="F45" s="41"/>
      <c r="G45" s="41"/>
      <c r="H45" s="41"/>
      <c r="I45" s="41"/>
      <c r="J45" s="41"/>
      <c r="K45" s="41"/>
      <c r="L45" s="41"/>
      <c r="M45" s="41"/>
      <c r="N45" s="41"/>
      <c r="O45" s="41"/>
      <c r="P45" s="41"/>
      <c r="Q45" s="41"/>
      <c r="R45" s="41"/>
      <c r="S45" s="41"/>
    </row>
    <row r="46" spans="1:19" x14ac:dyDescent="0.2">
      <c r="A46" s="41"/>
      <c r="B46" s="41"/>
      <c r="C46" s="41"/>
      <c r="D46" s="41"/>
      <c r="E46" s="41"/>
      <c r="F46" s="41"/>
      <c r="G46" s="41"/>
      <c r="H46" s="41"/>
      <c r="I46" s="41"/>
      <c r="J46" s="41"/>
      <c r="K46" s="41"/>
      <c r="L46" s="41"/>
      <c r="M46" s="41"/>
      <c r="N46" s="41"/>
      <c r="O46" s="41"/>
      <c r="P46" s="41"/>
      <c r="Q46" s="41"/>
      <c r="R46" s="41"/>
      <c r="S46" s="41"/>
    </row>
    <row r="47" spans="1:19" x14ac:dyDescent="0.2">
      <c r="A47" s="41"/>
      <c r="B47" s="41"/>
      <c r="C47" s="41"/>
      <c r="D47" s="41"/>
      <c r="E47" s="41"/>
      <c r="F47" s="41"/>
      <c r="G47" s="41"/>
      <c r="H47" s="41"/>
      <c r="I47" s="41"/>
      <c r="J47" s="41"/>
      <c r="K47" s="41"/>
      <c r="L47" s="41"/>
      <c r="M47" s="41"/>
      <c r="N47" s="41"/>
      <c r="O47" s="41"/>
      <c r="P47" s="41"/>
      <c r="Q47" s="41"/>
      <c r="R47" s="41"/>
      <c r="S47" s="41"/>
    </row>
    <row r="48" spans="1:19" x14ac:dyDescent="0.2">
      <c r="A48" s="41"/>
      <c r="B48" s="41"/>
      <c r="C48" s="41"/>
      <c r="D48" s="41"/>
      <c r="E48" s="41"/>
      <c r="F48" s="41"/>
      <c r="G48" s="41"/>
      <c r="H48" s="41"/>
      <c r="I48" s="41"/>
      <c r="J48" s="41"/>
      <c r="K48" s="41"/>
      <c r="L48" s="41"/>
      <c r="M48" s="41"/>
      <c r="N48" s="41"/>
      <c r="O48" s="41"/>
      <c r="P48" s="41"/>
      <c r="Q48" s="41"/>
      <c r="R48" s="41"/>
      <c r="S48" s="41"/>
    </row>
    <row r="49" spans="1:19" x14ac:dyDescent="0.2">
      <c r="A49" s="41"/>
      <c r="B49" s="41"/>
      <c r="C49" s="41"/>
      <c r="D49" s="41"/>
      <c r="E49" s="41"/>
      <c r="F49" s="41"/>
      <c r="G49" s="41"/>
      <c r="H49" s="41"/>
      <c r="I49" s="41"/>
      <c r="J49" s="41"/>
      <c r="K49" s="41"/>
      <c r="L49" s="41"/>
      <c r="M49" s="41"/>
      <c r="N49" s="41"/>
      <c r="O49" s="41"/>
      <c r="P49" s="41"/>
      <c r="Q49" s="41"/>
      <c r="R49" s="41"/>
      <c r="S49" s="41"/>
    </row>
    <row r="50" spans="1:19" x14ac:dyDescent="0.2">
      <c r="A50" s="41"/>
      <c r="B50" s="41"/>
      <c r="C50" s="41"/>
      <c r="D50" s="41"/>
      <c r="E50" s="41"/>
      <c r="F50" s="41"/>
      <c r="G50" s="41"/>
      <c r="H50" s="41"/>
      <c r="I50" s="41"/>
      <c r="J50" s="41"/>
      <c r="K50" s="41"/>
      <c r="L50" s="41"/>
      <c r="M50" s="41"/>
      <c r="N50" s="41"/>
      <c r="O50" s="41"/>
      <c r="P50" s="41"/>
      <c r="Q50" s="41"/>
      <c r="R50" s="41"/>
      <c r="S50" s="41"/>
    </row>
    <row r="51" spans="1:19" x14ac:dyDescent="0.2">
      <c r="A51" s="41"/>
      <c r="B51" s="41"/>
      <c r="C51" s="41"/>
      <c r="D51" s="41"/>
      <c r="E51" s="41"/>
      <c r="F51" s="41"/>
      <c r="G51" s="41"/>
      <c r="H51" s="41"/>
      <c r="I51" s="41"/>
      <c r="J51" s="41"/>
      <c r="K51" s="41"/>
      <c r="L51" s="41"/>
      <c r="M51" s="41"/>
      <c r="N51" s="41"/>
      <c r="O51" s="41"/>
      <c r="P51" s="41"/>
      <c r="Q51" s="41"/>
      <c r="R51" s="41"/>
      <c r="S51" s="41"/>
    </row>
    <row r="52" spans="1:19" x14ac:dyDescent="0.2">
      <c r="A52" s="41"/>
      <c r="B52" s="41"/>
      <c r="C52" s="41"/>
      <c r="D52" s="41"/>
      <c r="E52" s="41"/>
      <c r="F52" s="41"/>
      <c r="G52" s="41"/>
      <c r="H52" s="41"/>
      <c r="I52" s="41"/>
      <c r="J52" s="41"/>
      <c r="K52" s="41"/>
      <c r="L52" s="41"/>
      <c r="M52" s="41"/>
      <c r="N52" s="41"/>
      <c r="O52" s="41"/>
      <c r="P52" s="41"/>
      <c r="Q52" s="41"/>
      <c r="R52" s="41"/>
      <c r="S52" s="41"/>
    </row>
    <row r="53" spans="1:19" x14ac:dyDescent="0.2">
      <c r="A53" s="41"/>
      <c r="B53" s="41"/>
      <c r="C53" s="41"/>
      <c r="D53" s="41"/>
      <c r="E53" s="41"/>
      <c r="F53" s="41"/>
      <c r="G53" s="41"/>
      <c r="H53" s="41"/>
      <c r="I53" s="41"/>
      <c r="J53" s="41"/>
      <c r="K53" s="41"/>
      <c r="L53" s="41"/>
      <c r="M53" s="41"/>
      <c r="N53" s="41"/>
      <c r="O53" s="41"/>
      <c r="P53" s="41"/>
      <c r="Q53" s="41"/>
      <c r="R53" s="41"/>
      <c r="S53" s="41"/>
    </row>
    <row r="54" spans="1:19" x14ac:dyDescent="0.2">
      <c r="A54" s="41"/>
      <c r="B54" s="41"/>
      <c r="C54" s="41"/>
      <c r="D54" s="41"/>
      <c r="E54" s="41"/>
      <c r="F54" s="41"/>
      <c r="G54" s="41"/>
      <c r="H54" s="41"/>
      <c r="I54" s="41"/>
      <c r="J54" s="41"/>
      <c r="K54" s="41"/>
      <c r="L54" s="41"/>
      <c r="M54" s="41"/>
      <c r="N54" s="41"/>
      <c r="O54" s="41"/>
      <c r="P54" s="41"/>
      <c r="Q54" s="41"/>
      <c r="R54" s="41"/>
      <c r="S54" s="41"/>
    </row>
    <row r="55" spans="1:19" x14ac:dyDescent="0.2">
      <c r="A55" s="41"/>
      <c r="B55" s="41"/>
      <c r="C55" s="41"/>
      <c r="D55" s="41"/>
      <c r="E55" s="41"/>
      <c r="F55" s="41"/>
      <c r="G55" s="41"/>
      <c r="H55" s="41"/>
      <c r="I55" s="41"/>
      <c r="J55" s="41"/>
      <c r="K55" s="41"/>
      <c r="L55" s="41"/>
      <c r="M55" s="41"/>
      <c r="N55" s="41"/>
      <c r="O55" s="41"/>
      <c r="P55" s="41"/>
      <c r="Q55" s="41"/>
      <c r="R55" s="41"/>
      <c r="S55" s="41"/>
    </row>
    <row r="56" spans="1:19" x14ac:dyDescent="0.2">
      <c r="A56" s="41"/>
      <c r="B56" s="41"/>
      <c r="C56" s="41"/>
      <c r="D56" s="41"/>
      <c r="E56" s="41"/>
      <c r="F56" s="41"/>
      <c r="G56" s="41"/>
      <c r="H56" s="41"/>
      <c r="I56" s="41"/>
      <c r="J56" s="41"/>
      <c r="K56" s="41"/>
      <c r="L56" s="41"/>
      <c r="M56" s="41"/>
      <c r="N56" s="41"/>
      <c r="O56" s="41"/>
      <c r="P56" s="41"/>
      <c r="Q56" s="41"/>
      <c r="R56" s="41"/>
      <c r="S56" s="41"/>
    </row>
    <row r="57" spans="1:19" x14ac:dyDescent="0.2">
      <c r="A57" s="41"/>
      <c r="B57" s="41"/>
      <c r="C57" s="41"/>
      <c r="D57" s="41"/>
      <c r="E57" s="41"/>
      <c r="F57" s="41"/>
      <c r="G57" s="41"/>
      <c r="H57" s="41"/>
      <c r="I57" s="41"/>
      <c r="J57" s="41"/>
      <c r="K57" s="41"/>
      <c r="L57" s="41"/>
      <c r="M57" s="41"/>
      <c r="N57" s="41"/>
      <c r="O57" s="41"/>
      <c r="P57" s="41"/>
      <c r="Q57" s="41"/>
      <c r="R57" s="41"/>
      <c r="S57" s="41"/>
    </row>
    <row r="66" spans="2:2" x14ac:dyDescent="0.2">
      <c r="B66" s="104"/>
    </row>
    <row r="67" spans="2:2" x14ac:dyDescent="0.2">
      <c r="B67" s="104"/>
    </row>
    <row r="68" spans="2:2" x14ac:dyDescent="0.2">
      <c r="B68" s="104"/>
    </row>
    <row r="69" spans="2:2" x14ac:dyDescent="0.2">
      <c r="B69" s="104"/>
    </row>
    <row r="70" spans="2:2" x14ac:dyDescent="0.2">
      <c r="B70" s="104"/>
    </row>
    <row r="71" spans="2:2" x14ac:dyDescent="0.2">
      <c r="B71" s="104"/>
    </row>
    <row r="72" spans="2:2" x14ac:dyDescent="0.2">
      <c r="B72" s="104"/>
    </row>
    <row r="73" spans="2:2" x14ac:dyDescent="0.2">
      <c r="B73" s="104"/>
    </row>
    <row r="74" spans="2:2" x14ac:dyDescent="0.2">
      <c r="B74" s="104"/>
    </row>
    <row r="75" spans="2:2" x14ac:dyDescent="0.2">
      <c r="B75" s="104"/>
    </row>
    <row r="76" spans="2:2" x14ac:dyDescent="0.2">
      <c r="B76" s="104"/>
    </row>
    <row r="135" spans="1:3" x14ac:dyDescent="0.2">
      <c r="A135" s="39" t="s">
        <v>9</v>
      </c>
    </row>
    <row r="136" spans="1:3" x14ac:dyDescent="0.2">
      <c r="C136" s="105">
        <v>1.46738701E-2</v>
      </c>
    </row>
  </sheetData>
  <sheetProtection sheet="1" objects="1" scenarios="1" selectLockedCells="1"/>
  <mergeCells count="3">
    <mergeCell ref="A10:I11"/>
    <mergeCell ref="J10:J11"/>
    <mergeCell ref="M8:O11"/>
  </mergeCells>
  <phoneticPr fontId="3" type="noConversion"/>
  <conditionalFormatting sqref="J10:J11">
    <cfRule type="containsText" dxfId="1" priority="1" operator="containsText" text="FAIL">
      <formula>NOT(ISERROR(SEARCH("FAIL",J10)))</formula>
    </cfRule>
    <cfRule type="containsText" dxfId="0" priority="2" operator="containsText" text="PASS">
      <formula>NOT(ISERROR(SEARCH("PASS",J10)))</formula>
    </cfRule>
  </conditionalFormatting>
  <dataValidations count="2">
    <dataValidation type="list" allowBlank="1" showInputMessage="1" showErrorMessage="1" sqref="D6">
      <formula1>type_list</formula1>
    </dataValidation>
    <dataValidation type="list" allowBlank="1" showInputMessage="1" showErrorMessage="1" sqref="H6">
      <formula1>Mode_List</formula1>
    </dataValidation>
  </dataValidations>
  <pageMargins left="0.79" right="0.52" top="0.66" bottom="0.53" header="0.43" footer="0.3"/>
  <pageSetup scale="29" orientation="landscape" r:id="rId1"/>
  <headerFooter alignWithMargins="0">
    <oddHeader>&amp;L&amp;"Arial,Bold"Minority Carrier Lifetime Measurement&amp;C&amp;"Arial,Bold"&amp;F</oddHeader>
    <oddFooter>&amp;LFilename: &amp;F&amp;CPrinted:&amp;D &amp;T&amp;RSinton Lifetime Tester Copyright 2001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99" r:id="rId4" name="Button 99">
              <controlPr defaultSize="0" print="0" autoFill="0" autoPict="0" macro="[0]!RescaleInverse">
                <anchor>
                  <from>
                    <xdr:col>12</xdr:col>
                    <xdr:colOff>104775</xdr:colOff>
                    <xdr:row>11</xdr:row>
                    <xdr:rowOff>28575</xdr:rowOff>
                  </from>
                  <to>
                    <xdr:col>13</xdr:col>
                    <xdr:colOff>0</xdr:colOff>
                    <xdr:row>13</xdr:row>
                    <xdr:rowOff>104775</xdr:rowOff>
                  </to>
                </anchor>
              </controlPr>
            </control>
          </mc:Choice>
        </mc:AlternateContent>
        <mc:AlternateContent xmlns:mc="http://schemas.openxmlformats.org/markup-compatibility/2006">
          <mc:Choice Requires="x14">
            <control shapeId="51300" r:id="rId5" name="Button 100">
              <controlPr defaultSize="0" print="0" autoFill="0" autoPict="0" macro="[0]!RescaleLifetime">
                <anchor>
                  <from>
                    <xdr:col>12</xdr:col>
                    <xdr:colOff>85725</xdr:colOff>
                    <xdr:row>33</xdr:row>
                    <xdr:rowOff>28575</xdr:rowOff>
                  </from>
                  <to>
                    <xdr:col>12</xdr:col>
                    <xdr:colOff>733425</xdr:colOff>
                    <xdr:row>35</xdr:row>
                    <xdr:rowOff>114300</xdr:rowOff>
                  </to>
                </anchor>
              </controlPr>
            </control>
          </mc:Choice>
        </mc:AlternateContent>
        <mc:AlternateContent xmlns:mc="http://schemas.openxmlformats.org/markup-compatibility/2006">
          <mc:Choice Requires="x14">
            <control shapeId="51322" r:id="rId6" name="Spinner 122">
              <controlPr defaultSize="0" autoPict="0" macro="[0]!Spinner122_Change">
                <anchor>
                  <from>
                    <xdr:col>9</xdr:col>
                    <xdr:colOff>0</xdr:colOff>
                    <xdr:row>0</xdr:row>
                    <xdr:rowOff>104775</xdr:rowOff>
                  </from>
                  <to>
                    <xdr:col>9</xdr:col>
                    <xdr:colOff>381000</xdr:colOff>
                    <xdr:row>2</xdr:row>
                    <xdr:rowOff>85725</xdr:rowOff>
                  </to>
                </anchor>
              </controlPr>
            </control>
          </mc:Choice>
        </mc:AlternateContent>
      </controls>
    </mc:Choice>
  </mc:AlternateContent>
  <webPublishItems count="1">
    <webPublishItem id="5403" divId="QSS2PC99f_5403" sourceType="sheet" destinationFile="C:\Stu\Consulting\New XL Files\PCfiles\Page.htm"/>
  </webPublishItem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508"/>
  <sheetViews>
    <sheetView zoomScale="85" zoomScaleNormal="85" workbookViewId="0">
      <selection activeCell="F3" sqref="F3"/>
    </sheetView>
  </sheetViews>
  <sheetFormatPr defaultColWidth="11.42578125" defaultRowHeight="12.75" x14ac:dyDescent="0.2"/>
  <cols>
    <col min="1" max="1" width="11.7109375" style="200" customWidth="1"/>
    <col min="2" max="2" width="13.85546875" style="200" customWidth="1"/>
    <col min="3" max="3" width="12" style="200" customWidth="1"/>
    <col min="4" max="4" width="11" style="200" customWidth="1"/>
    <col min="5" max="5" width="11.85546875" style="200" customWidth="1"/>
    <col min="6" max="6" width="13.42578125" style="200" customWidth="1"/>
    <col min="7" max="7" width="12" style="200" customWidth="1"/>
    <col min="8" max="8" width="13.85546875" style="200" customWidth="1"/>
    <col min="9" max="9" width="14" style="200" customWidth="1"/>
    <col min="10" max="10" width="14.5703125" style="200" customWidth="1"/>
    <col min="11" max="11" width="13.85546875" style="200" customWidth="1"/>
    <col min="12" max="12" width="14.5703125" style="200" customWidth="1"/>
    <col min="13" max="13" width="13.7109375" style="200" customWidth="1"/>
    <col min="14" max="14" width="13.28515625" style="200" customWidth="1"/>
    <col min="15" max="15" width="14.5703125" style="200" customWidth="1"/>
    <col min="16" max="16" width="12.85546875" style="200" customWidth="1"/>
    <col min="17" max="17" width="15.7109375" style="200" customWidth="1"/>
    <col min="18" max="18" width="13.42578125" style="200" customWidth="1"/>
    <col min="19" max="19" width="14" style="200" customWidth="1"/>
    <col min="20" max="20" width="15.42578125" style="200" customWidth="1"/>
    <col min="21" max="21" width="16.85546875" style="200" customWidth="1"/>
    <col min="22" max="22" width="17.5703125" style="200" customWidth="1"/>
    <col min="23" max="23" width="15.140625" style="200" customWidth="1"/>
    <col min="24" max="24" width="13.7109375" style="200" customWidth="1"/>
    <col min="25" max="25" width="13.140625" style="200" customWidth="1"/>
    <col min="26" max="26" width="12.42578125" style="200" customWidth="1"/>
    <col min="27" max="27" width="10.5703125" style="200" customWidth="1"/>
    <col min="28" max="28" width="14.85546875" style="200" customWidth="1"/>
    <col min="29" max="29" width="10.42578125" style="200" customWidth="1"/>
    <col min="30" max="30" width="13" style="200" bestFit="1" customWidth="1"/>
    <col min="31" max="31" width="12.85546875" style="200" customWidth="1"/>
    <col min="32" max="33" width="11.42578125" style="200"/>
    <col min="34" max="34" width="13" style="200" bestFit="1" customWidth="1"/>
    <col min="35" max="16384" width="11.42578125" style="200"/>
  </cols>
  <sheetData>
    <row r="1" spans="1:31" ht="19.5" customHeight="1" x14ac:dyDescent="0.25">
      <c r="A1" s="195" t="s">
        <v>160</v>
      </c>
      <c r="B1" s="196"/>
      <c r="C1" s="196"/>
      <c r="D1" s="196"/>
      <c r="E1" s="197" t="s">
        <v>15</v>
      </c>
      <c r="F1" s="198">
        <v>42055</v>
      </c>
      <c r="G1" s="199"/>
      <c r="H1" s="196"/>
      <c r="J1" s="196" t="s">
        <v>191</v>
      </c>
      <c r="K1" s="200" t="s">
        <v>36</v>
      </c>
      <c r="L1" s="201" t="s">
        <v>192</v>
      </c>
      <c r="M1" s="292" t="str">
        <f>"Lifetime = "&amp;K2&amp;" "&amp;L1&amp;" @ "&amp;J2&amp;" "&amp;L2</f>
        <v>Lifetime = 43.03 µs @ 1.0E+15 cm-3</v>
      </c>
      <c r="N1" s="292"/>
      <c r="O1" s="292"/>
      <c r="P1" s="196"/>
      <c r="Q1" s="202" t="s">
        <v>255</v>
      </c>
      <c r="R1" s="203" t="str">
        <f>IF(MAX(C9:C133)&gt;0.6,"  Saturated Reference Cell  - Data for MCD&gt; "&amp;J4&amp; " not valid ","")</f>
        <v xml:space="preserve">  Saturated Reference Cell  - Data for MCD&gt; 3.3E+16 not valid </v>
      </c>
      <c r="S1" s="201" t="s">
        <v>155</v>
      </c>
      <c r="T1" s="204" t="str">
        <f>IF(AND(PCRefRatio&gt;1000,AnalysisMode&lt;&gt;"Transient"),"Recommended Analysis Mode is Transient for this sample",IF(AND(PCRefRatio&lt;1000,AnalysisMode="Transient"),"Recommended Analysis Mode is Generalized for this sample",""))</f>
        <v/>
      </c>
      <c r="U1" s="196"/>
      <c r="V1" s="196"/>
      <c r="W1" s="201"/>
      <c r="X1" s="201"/>
      <c r="Y1" s="201"/>
      <c r="Z1" s="201"/>
    </row>
    <row r="2" spans="1:31" ht="15" x14ac:dyDescent="0.2">
      <c r="A2" s="202" t="s">
        <v>336</v>
      </c>
      <c r="B2" s="121"/>
      <c r="C2" s="205"/>
      <c r="D2" s="121"/>
      <c r="E2" s="206" t="s">
        <v>19</v>
      </c>
      <c r="F2" s="207">
        <v>0.72800925925925919</v>
      </c>
      <c r="G2" s="201"/>
      <c r="H2" s="208"/>
      <c r="I2" s="196" t="s">
        <v>190</v>
      </c>
      <c r="J2" s="208" t="str">
        <f>TEXT(SpecMCD,"0.0E+00")</f>
        <v>1.0E+15</v>
      </c>
      <c r="K2" s="201" t="str">
        <f>TEXT(MeasuredLifetime,"0.00")</f>
        <v>43.03</v>
      </c>
      <c r="L2" s="201" t="s">
        <v>349</v>
      </c>
      <c r="M2" s="201"/>
      <c r="N2" s="208"/>
      <c r="O2" s="201"/>
      <c r="P2" s="121"/>
      <c r="Q2" s="209" t="s">
        <v>256</v>
      </c>
      <c r="R2" s="203" t="str">
        <f>IF(OR(SpecMCD&gt;MaxApparentCD,SpecMCD&lt;MinApparentCD),"  Choose Specificed MCD within Data, Min MCD &lt; Spec MCD &lt; Max MCD","")</f>
        <v/>
      </c>
      <c r="S2" s="201" t="s">
        <v>317</v>
      </c>
      <c r="T2" s="196" t="str">
        <f>IF(AND(Temperature&gt;30,MobilityModel=DK),"Use Dorkel/ Leturqc mobility model for this analysis","")</f>
        <v/>
      </c>
      <c r="U2" s="196"/>
      <c r="V2" s="196"/>
      <c r="W2" s="210"/>
      <c r="X2" s="210"/>
      <c r="Y2" s="210"/>
      <c r="Z2" s="210"/>
    </row>
    <row r="3" spans="1:31" x14ac:dyDescent="0.2">
      <c r="A3" s="199"/>
      <c r="B3" s="211"/>
      <c r="C3" s="196"/>
      <c r="D3" s="196"/>
      <c r="E3" s="206" t="s">
        <v>313</v>
      </c>
      <c r="F3" s="212">
        <v>35.519899000000002</v>
      </c>
      <c r="G3" s="201"/>
      <c r="H3" s="201"/>
      <c r="I3" s="201"/>
      <c r="J3" s="196" t="s">
        <v>269</v>
      </c>
      <c r="K3" s="201"/>
      <c r="L3" s="208"/>
      <c r="M3" s="201"/>
      <c r="N3" s="208"/>
      <c r="O3" s="201"/>
      <c r="P3" s="213"/>
      <c r="Q3" s="214" t="s">
        <v>257</v>
      </c>
      <c r="R3" s="203" t="str">
        <f>IF(BiasLight=0,"",IF(MAX(M9:M133)=0,"  Choose Bias Light within data  ",""))</f>
        <v/>
      </c>
      <c r="S3" s="201"/>
      <c r="T3" s="196"/>
      <c r="U3" s="196"/>
      <c r="V3" s="196"/>
      <c r="W3" s="210"/>
      <c r="X3" s="210"/>
      <c r="Y3" s="210"/>
      <c r="Z3" s="210"/>
    </row>
    <row r="4" spans="1:31" ht="15.75" customHeight="1" x14ac:dyDescent="0.2">
      <c r="A4" s="215"/>
      <c r="B4" s="196"/>
      <c r="C4" s="201"/>
      <c r="D4" s="215"/>
      <c r="E4" s="201"/>
      <c r="F4" s="196"/>
      <c r="G4" s="201"/>
      <c r="H4" s="201"/>
      <c r="I4" s="201"/>
      <c r="J4" s="196" t="str">
        <f>TEXT(AC6,"0.0E+00")</f>
        <v>3.3E+16</v>
      </c>
      <c r="K4" s="196"/>
      <c r="L4" s="205"/>
      <c r="M4" s="201"/>
      <c r="N4" s="121"/>
      <c r="O4" s="201"/>
      <c r="P4" s="215"/>
      <c r="Q4" s="202" t="s">
        <v>163</v>
      </c>
      <c r="R4" s="216" t="str">
        <f ca="1">IF(OR(Air_Voltage&lt;-0.95,Air_Voltage&gt;-0.5,(NOW()-ZeroInstTime)&gt;0.5,AirVStdev&gt;0.01),"  Remove Sample From Stage and Re-Zero Instrument  ","")</f>
        <v/>
      </c>
      <c r="S4" s="208"/>
      <c r="T4" s="208"/>
      <c r="U4" s="215"/>
      <c r="V4" s="196"/>
      <c r="W4" s="217"/>
      <c r="X4" s="201"/>
      <c r="Y4" s="201"/>
      <c r="Z4" s="201"/>
    </row>
    <row r="5" spans="1:31" ht="43.5" customHeight="1" x14ac:dyDescent="0.25">
      <c r="A5" s="218" t="s">
        <v>173</v>
      </c>
      <c r="B5" s="219" t="s">
        <v>174</v>
      </c>
      <c r="C5" s="219" t="s">
        <v>303</v>
      </c>
      <c r="D5" s="219" t="s">
        <v>16</v>
      </c>
      <c r="E5" s="219" t="s">
        <v>296</v>
      </c>
      <c r="F5" s="219" t="s">
        <v>31</v>
      </c>
      <c r="G5" s="219" t="s">
        <v>183</v>
      </c>
      <c r="H5" s="219" t="s">
        <v>184</v>
      </c>
      <c r="I5" s="219" t="s">
        <v>186</v>
      </c>
      <c r="J5" s="219" t="s">
        <v>182</v>
      </c>
      <c r="K5" s="220" t="s">
        <v>185</v>
      </c>
      <c r="L5" s="220" t="s">
        <v>187</v>
      </c>
      <c r="M5" s="219" t="s">
        <v>3</v>
      </c>
      <c r="N5" s="219" t="s">
        <v>17</v>
      </c>
      <c r="O5" s="219" t="s">
        <v>188</v>
      </c>
      <c r="P5" s="219" t="s">
        <v>177</v>
      </c>
      <c r="Q5" s="219" t="s">
        <v>178</v>
      </c>
      <c r="R5" s="219" t="s">
        <v>350</v>
      </c>
      <c r="S5" s="219" t="s">
        <v>302</v>
      </c>
      <c r="T5" s="219" t="s">
        <v>279</v>
      </c>
      <c r="U5" s="220" t="s">
        <v>280</v>
      </c>
      <c r="V5" s="219" t="s">
        <v>314</v>
      </c>
      <c r="W5" s="219" t="s">
        <v>315</v>
      </c>
      <c r="X5" s="219" t="s">
        <v>316</v>
      </c>
      <c r="Y5" s="219" t="s">
        <v>351</v>
      </c>
      <c r="Z5" s="220" t="s">
        <v>352</v>
      </c>
      <c r="AA5" s="219" t="s">
        <v>18</v>
      </c>
      <c r="AB5" s="219" t="s">
        <v>189</v>
      </c>
      <c r="AC5" s="220" t="s">
        <v>267</v>
      </c>
      <c r="AD5" s="219" t="s">
        <v>311</v>
      </c>
      <c r="AE5" s="221" t="s">
        <v>312</v>
      </c>
    </row>
    <row r="6" spans="1:31" x14ac:dyDescent="0.2">
      <c r="A6" s="222">
        <f>B166</f>
        <v>-0.53424499999999997</v>
      </c>
      <c r="B6" s="154">
        <f>CalcDarkSheetResistance(Dark_Voltage,A_cal,B_cal,C_cal)</f>
        <v>129.97421312933147</v>
      </c>
      <c r="C6" s="223">
        <f>SheetResistance*Thickness</f>
        <v>2.5474945773348967</v>
      </c>
      <c r="D6" s="224">
        <f>calcdoping(InputResistivity,SampleType)</f>
        <v>3416264639614550.5</v>
      </c>
      <c r="E6" s="225">
        <f>SUMSQ(B9:B133)/SUMSQ(C9:C133)</f>
        <v>45.948736784316218</v>
      </c>
      <c r="F6" s="154">
        <f>MAX(E9:E133)</f>
        <v>59.378185052148169</v>
      </c>
      <c r="G6" s="226">
        <f>SpecMCD*(1-Fit_Range)</f>
        <v>700000000000000</v>
      </c>
      <c r="H6" s="226">
        <f>SpecMCD*(1+Fit_Range)</f>
        <v>1300000000000000</v>
      </c>
      <c r="I6" s="227">
        <f>MIN($I$14:$I$133)</f>
        <v>16183594725932.227</v>
      </c>
      <c r="J6" s="226">
        <f>MAX($I$9:$I$132)</f>
        <v>3.64271604372292E+16</v>
      </c>
      <c r="K6" s="227">
        <f>LOOKUP(2,1/(I9:I133=MaxApparentCD),A9:A133)</f>
        <v>3.4989999999999999E-4</v>
      </c>
      <c r="L6" s="227">
        <f>LOOKUP(2,1/(I9:I133=MaxApparentCD),H9:H133)</f>
        <v>0.12268770781405848</v>
      </c>
      <c r="M6" s="226">
        <f>IF(BiasLight=0,0,INTERCEPT($N18:$N130,$M18:$M130)+BiasLight*SLOPE($N18:$N130,$M18:$M130))</f>
        <v>0</v>
      </c>
      <c r="N6" s="226">
        <f>BiasPtCD-(BiasLight*0.038*OptConst)*MeasuredLifetimeAuger*0.000001/(1.6E-19*Thickness)</f>
        <v>0</v>
      </c>
      <c r="O6" s="227">
        <f>SpecMCD-Traps</f>
        <v>1000000000000000</v>
      </c>
      <c r="P6" s="156">
        <f>IF(MAX(R10:R131)=0,0,SLOPE(R10:R131,J10:J131))</f>
        <v>-5.8130400016101523E-12</v>
      </c>
      <c r="Q6" s="154">
        <f>IF(MAX(R10:R131)=0,0,INTERCEPT(R10:R130,J10:J130))</f>
        <v>29051.524001854516</v>
      </c>
      <c r="R6" s="156">
        <f>IF(MaxSuns&gt;0.1,1000000*1/(Q6+(SpecMCD)*P6),0)</f>
        <v>43.032066979476134</v>
      </c>
      <c r="S6" s="156">
        <f>R6/1000000</f>
        <v>4.3032066979476135E-5</v>
      </c>
      <c r="T6" s="228">
        <f>IF(MAX(T10:T131)=0,0,SLOPE(T10:T131,J10:J131))</f>
        <v>-5.816298078283543E-12</v>
      </c>
      <c r="U6" s="156">
        <f>IF(MAX(T10:T131)=0,0,INTERCEPT(T10:T130,J10:J130))</f>
        <v>29053.070140528798</v>
      </c>
      <c r="V6" s="229">
        <f>IF(MaxSuns&gt;0.1,1000000*1/(FitInterceptAuger+(SpecMCD)*FitSlopeAuger),0)</f>
        <v>43.035237309263984</v>
      </c>
      <c r="W6" s="227">
        <f>MeasuredLifetimeAuger/1000000</f>
        <v>4.3035237309263986E-5</v>
      </c>
      <c r="X6" s="227">
        <f>IF(MeasuredLifetimeAuger&gt;0,1000000/MeasuredLifetimeAuger,0)</f>
        <v>23236.772062245254</v>
      </c>
      <c r="Y6" s="230">
        <f>IF(MaxSuns&gt;0.1,1000000/(FitInterceptAuger-(FitSlopeAuger*(SampleDoping-Traps))),0)</f>
        <v>20.440248783173143</v>
      </c>
      <c r="Z6" s="156" t="str">
        <f>IF(AugerModel="Richter",SLOPE(W10:W131,J10:J131),"")</f>
        <v/>
      </c>
      <c r="AA6" s="228">
        <f>IF(AugerModel="Sinton",calcjo(FitSlopeAuger,Thickness),calcJoRichter(Thickness,Z6))</f>
        <v>-1.3508933916621358E-12</v>
      </c>
      <c r="AB6" s="231">
        <f ca="1">FORECAST(1,OFFSET(X9,MATCH(1,Y9:Y133,-1)-1,0,2),OFFSET(Y9,MATCH(1,Y9:Y133,-1)-1,0,2))</f>
        <v>0.59843619625620392</v>
      </c>
      <c r="AC6" s="232">
        <f>MIN(Z9:Z133)</f>
        <v>3.3156920272910068E+16</v>
      </c>
      <c r="AD6" s="233">
        <f>1/((1/SheetResistance)-(AD9*Temperature^3+AD10*Temperature^2+AD11*Temperature+AD12))</f>
        <v>163.04586336460596</v>
      </c>
      <c r="AE6" s="234">
        <f>AD6*Thickness</f>
        <v>3.1956989219462768</v>
      </c>
    </row>
    <row r="7" spans="1:31" s="201" customFormat="1" x14ac:dyDescent="0.2">
      <c r="A7" s="235"/>
      <c r="B7" s="196"/>
      <c r="C7" s="196"/>
      <c r="D7" s="235"/>
      <c r="K7" s="236"/>
      <c r="L7" s="237"/>
      <c r="M7" s="208"/>
      <c r="O7" s="208"/>
      <c r="S7" s="238"/>
      <c r="T7" s="235"/>
      <c r="U7" s="239"/>
      <c r="V7" s="196"/>
      <c r="W7" s="240"/>
    </row>
    <row r="8" spans="1:31" ht="42" customHeight="1" x14ac:dyDescent="0.2">
      <c r="A8" s="241" t="s">
        <v>276</v>
      </c>
      <c r="B8" s="242" t="s">
        <v>55</v>
      </c>
      <c r="C8" s="219" t="s">
        <v>56</v>
      </c>
      <c r="D8" s="219" t="s">
        <v>6</v>
      </c>
      <c r="E8" s="219" t="s">
        <v>4</v>
      </c>
      <c r="F8" s="219" t="s">
        <v>10</v>
      </c>
      <c r="G8" s="219" t="s">
        <v>5</v>
      </c>
      <c r="H8" s="220" t="s">
        <v>47</v>
      </c>
      <c r="I8" s="219" t="s">
        <v>180</v>
      </c>
      <c r="J8" s="219" t="s">
        <v>175</v>
      </c>
      <c r="K8" s="219" t="s">
        <v>8</v>
      </c>
      <c r="L8" s="219" t="s">
        <v>12</v>
      </c>
      <c r="M8" s="219" t="s">
        <v>7</v>
      </c>
      <c r="N8" s="219" t="s">
        <v>179</v>
      </c>
      <c r="O8" s="219" t="s">
        <v>11</v>
      </c>
      <c r="P8" s="219" t="s">
        <v>181</v>
      </c>
      <c r="Q8" s="220" t="s">
        <v>176</v>
      </c>
      <c r="R8" s="220" t="s">
        <v>281</v>
      </c>
      <c r="S8" s="219" t="s">
        <v>299</v>
      </c>
      <c r="T8" s="220" t="s">
        <v>300</v>
      </c>
      <c r="U8" s="219" t="s">
        <v>294</v>
      </c>
      <c r="V8" s="220" t="s">
        <v>295</v>
      </c>
      <c r="W8" s="220" t="s">
        <v>332</v>
      </c>
      <c r="X8" s="219" t="s">
        <v>278</v>
      </c>
      <c r="Y8" s="220" t="s">
        <v>277</v>
      </c>
      <c r="Z8" s="220" t="s">
        <v>268</v>
      </c>
      <c r="AA8" s="220" t="s">
        <v>304</v>
      </c>
      <c r="AB8" s="220" t="s">
        <v>305</v>
      </c>
      <c r="AC8" s="220" t="s">
        <v>306</v>
      </c>
      <c r="AD8" s="220" t="s">
        <v>307</v>
      </c>
      <c r="AE8" s="243" t="s">
        <v>308</v>
      </c>
    </row>
    <row r="9" spans="1:31" x14ac:dyDescent="0.2">
      <c r="A9" s="244">
        <v>4.99E-5</v>
      </c>
      <c r="B9" s="244">
        <v>1.02528</v>
      </c>
      <c r="C9" s="245">
        <v>0.36129</v>
      </c>
      <c r="D9" s="246">
        <f>IF(CouplingMode="AC",B9-(A$11-A$10)*SUM(B$9:B9)/0.21,B9)</f>
        <v>1.02528</v>
      </c>
      <c r="E9" s="247">
        <f>IF(C9&gt;0,C9/RefCellCal,0.00001)</f>
        <v>34.330158630634926</v>
      </c>
      <c r="F9" s="247">
        <f t="shared" ref="F9:F40" si="0">E9-BiasLight</f>
        <v>34.330158630634926</v>
      </c>
      <c r="G9" s="248">
        <f t="shared" ref="G9:G40" si="1">F9*0.038*OptConst/1.602E-19</f>
        <v>5.7002635429144136E+18</v>
      </c>
      <c r="H9" s="249">
        <f>CalcConductance(B9,Dark_Voltage,A_cal,B_cal,C_cal)</f>
        <v>3.1025818226236929E-2</v>
      </c>
      <c r="I9" s="248">
        <f>IF(MobilityModel=DK,CalcDeltaN(H9,SampleDoping,Thickness,AreaFrac),CalcDeltaNDL(H9,AreaFrac,Thickness,SampleType,SampleDoping,Temperature))</f>
        <v>7132943842282825</v>
      </c>
      <c r="J9" s="248" t="str">
        <f t="shared" ref="J9:J40" si="2">IF(AND(AND(I9&gt;=FitRangeMin,I9&lt;=FitRangeMax),A9&gt;TimeofMaxCD),I9,"")</f>
        <v/>
      </c>
      <c r="K9" s="248">
        <f>IF(I9-BiasPtCD=0,0.00001,I9-BiasPtCD)</f>
        <v>7132943842282825</v>
      </c>
      <c r="L9" s="250"/>
      <c r="M9" s="196" t="str">
        <f t="shared" ref="M9:M40" si="3">IF(E9&gt;0.85*BiasLight,IF( E9&lt;1.15*BiasLight,E9,""),"")</f>
        <v/>
      </c>
      <c r="N9" s="196" t="str">
        <f t="shared" ref="N9:N40" si="4">IF(E9&gt;0.85*BiasLight,IF(E9&lt;1.15*BiasLight,I9,""),"")</f>
        <v/>
      </c>
      <c r="O9" s="250">
        <f t="shared" ref="O9:O40" si="5">I9-Traps</f>
        <v>7132943842282825</v>
      </c>
      <c r="P9" s="248"/>
      <c r="Q9" s="250"/>
      <c r="R9" s="251"/>
      <c r="S9" s="252"/>
      <c r="T9" s="201"/>
      <c r="U9" s="252">
        <f>FitInterceptAuger+FitSlopeAuger*(I9+Traps)</f>
        <v>-12434.257421845228</v>
      </c>
      <c r="V9" s="251" t="str">
        <f>IF(AugerModel="Sinton","",IF(SampleType="n-type",n_intr_boltzmann(SampleDoping,0,K9,Temperature+273.15),n_intr_boltzmann(0,SampleDoping,K9,Temperature+273.15)))</f>
        <v/>
      </c>
      <c r="W9" s="251" t="str">
        <f>IF(V9="","",IF(T9="","",(V9^2)*T9))</f>
        <v/>
      </c>
      <c r="X9" s="246" t="str">
        <f>IF(AND(A9&gt;TimeofMaxCD,I9&gt;Traps),IF(AugerModel="Sinton",CalcImpliedV(SampleDoping,O9),CalcImpliedVRichter(O9,SampleDoping,V9)),"")</f>
        <v/>
      </c>
      <c r="Y9" s="253" t="str">
        <f t="shared" ref="Y9:Y40" si="6">IF(OR(P9="",P9&lt;0,A9&lt;=TimeofMaxCD),"",(O9*Thickness*1.602E-19/(0.038*OptConst*P9)))</f>
        <v/>
      </c>
      <c r="Z9" s="200" t="str">
        <f t="shared" ref="Z9:Z40" si="7">IF(C9&gt;0.6,O9,"")</f>
        <v/>
      </c>
      <c r="AA9" s="254">
        <v>25.574943999999999</v>
      </c>
      <c r="AB9" s="254">
        <v>4293.71516748875</v>
      </c>
      <c r="AC9" s="251">
        <f>1/AB9</f>
        <v>2.328985414709906E-4</v>
      </c>
      <c r="AD9" s="251">
        <f>INDEX(LINEST(AC9:AC44,AA9:AA44^{1,2,3}),1)</f>
        <v>-1.0460341881812718E-9</v>
      </c>
      <c r="AE9" s="251">
        <f t="shared" ref="AE9:AE40" si="8">H9/(K9*AreaFrac*Thickness*1.602E-19)</f>
        <v>1385.2745508581866</v>
      </c>
    </row>
    <row r="10" spans="1:31" x14ac:dyDescent="0.2">
      <c r="A10" s="244">
        <v>1.4990000000000001E-4</v>
      </c>
      <c r="B10" s="244">
        <v>2.8582900000000002</v>
      </c>
      <c r="C10" s="245">
        <v>0.54188499999999995</v>
      </c>
      <c r="D10" s="246">
        <f>IF(CouplingMode="AC",B10-(A$11-A$10)*SUM(B$9:B10)/0.21,B10)</f>
        <v>2.8582900000000002</v>
      </c>
      <c r="E10" s="247">
        <f t="shared" ref="E10:E40" si="9">IF(C10&gt;0,C10/RefCellCal,0.00001)</f>
        <v>51.490486892971312</v>
      </c>
      <c r="F10" s="247">
        <f t="shared" si="0"/>
        <v>51.490486892971312</v>
      </c>
      <c r="G10" s="248">
        <f t="shared" si="1"/>
        <v>8.5496064379090934E+18</v>
      </c>
      <c r="H10" s="249">
        <f t="shared" ref="H10:H40" si="10">CalcConductance(B10,Dark_Voltage,A_cal,B_cal,C_cal)</f>
        <v>8.8818102192099208E-2</v>
      </c>
      <c r="I10" s="248">
        <f>IF(MobilityModel=DK,CalcDeltaN(H10,SampleDoping,Thickness,AreaFrac),CalcDeltaNDL(H10,AreaFrac,Thickness,SampleType,SampleDoping,Temperature))</f>
        <v>2.4227357978840676E+16</v>
      </c>
      <c r="J10" s="248" t="str">
        <f t="shared" si="2"/>
        <v/>
      </c>
      <c r="K10" s="248">
        <f t="shared" ref="K10:K40" si="11">IF(I10-BiasPtCD=0,0.00001,I10-BiasPtCD)</f>
        <v>2.4227357978840676E+16</v>
      </c>
      <c r="L10" s="250"/>
      <c r="M10" s="196" t="str">
        <f t="shared" si="3"/>
        <v/>
      </c>
      <c r="N10" s="196" t="str">
        <f t="shared" si="4"/>
        <v/>
      </c>
      <c r="O10" s="250">
        <f t="shared" si="5"/>
        <v>2.4227357978840676E+16</v>
      </c>
      <c r="P10" s="248"/>
      <c r="Q10" s="250"/>
      <c r="R10" s="251"/>
      <c r="S10" s="252"/>
      <c r="T10" s="201"/>
      <c r="U10" s="252">
        <f t="shared" ref="U10:U40" si="12">FitInterceptAuger+FitSlopeAuger*(I10+Traps)</f>
        <v>-111860.46551368969</v>
      </c>
      <c r="V10" s="251" t="str">
        <f>IF(AugerModel="Sinton","",IF(SampleType="n-type",n_intr_boltzmann(SampleDoping,0,K10,Temperature+273.15),n_intr_boltzmann(0,SampleDoping,K10,Temperature+273.15)))</f>
        <v/>
      </c>
      <c r="W10" s="251" t="str">
        <f t="shared" ref="W10:W73" si="13">IF(V10="","",IF(T10="","",(V10^2)*T10))</f>
        <v/>
      </c>
      <c r="X10" s="246" t="str">
        <f>IF(AND(A10&gt;TimeofMaxCD,I10&gt;Traps),IF(AugerModel="Sinton",CalcImpliedV(SampleDoping,O10),CalcImpliedVRichter(O10,SampleDoping,V10)),"")</f>
        <v/>
      </c>
      <c r="Y10" s="253" t="str">
        <f t="shared" si="6"/>
        <v/>
      </c>
      <c r="Z10" s="200" t="str">
        <f t="shared" si="7"/>
        <v/>
      </c>
      <c r="AA10" s="254">
        <v>30.514984999999999</v>
      </c>
      <c r="AB10" s="254">
        <v>950.53301340631413</v>
      </c>
      <c r="AC10" s="251">
        <f t="shared" ref="AC10:AC44" si="14">1/AB10</f>
        <v>1.0520413135535576E-3</v>
      </c>
      <c r="AD10" s="251">
        <f>INDEX(LINEST(AC9:AC44,AA9:AA44^{1,2,3}),1,2)</f>
        <v>9.461477656792033E-8</v>
      </c>
      <c r="AE10" s="251">
        <f t="shared" si="8"/>
        <v>1167.5536603038588</v>
      </c>
    </row>
    <row r="11" spans="1:31" x14ac:dyDescent="0.2">
      <c r="A11" s="244">
        <v>2.499E-4</v>
      </c>
      <c r="B11" s="244">
        <v>3.6298499999999998</v>
      </c>
      <c r="C11" s="245">
        <v>0.60949200000000003</v>
      </c>
      <c r="D11" s="246">
        <f>IF(CouplingMode="AC",B11-(A$11-A$10)*SUM(B$9:B11)/0.21,B11)</f>
        <v>3.6298499999999998</v>
      </c>
      <c r="E11" s="247">
        <f t="shared" si="9"/>
        <v>57.914575670798925</v>
      </c>
      <c r="F11" s="247">
        <f t="shared" si="0"/>
        <v>57.914575670798925</v>
      </c>
      <c r="G11" s="248">
        <f t="shared" si="1"/>
        <v>9.6162778579478856E+18</v>
      </c>
      <c r="H11" s="249">
        <f t="shared" si="10"/>
        <v>0.11403568158645562</v>
      </c>
      <c r="I11" s="248">
        <f>IF(MobilityModel=DK,CalcDeltaN(H11,SampleDoping,Thickness,AreaFrac),CalcDeltaNDL(H11,AreaFrac,Thickness,SampleType,SampleDoping,Temperature))</f>
        <v>3.3156920272910068E+16</v>
      </c>
      <c r="J11" s="248" t="str">
        <f t="shared" si="2"/>
        <v/>
      </c>
      <c r="K11" s="248">
        <f t="shared" si="11"/>
        <v>3.3156920272910068E+16</v>
      </c>
      <c r="L11" s="250">
        <f t="shared" ref="L11:L42" si="15">IF(ABS(SLOPE(K9:K13,A9:A13))&lt;1000000000000,-1000000000000,(SLOPE(K9:K13,A9:A13)))</f>
        <v>6.9855193124934926E+19</v>
      </c>
      <c r="M11" s="196" t="str">
        <f t="shared" si="3"/>
        <v/>
      </c>
      <c r="N11" s="196" t="str">
        <f t="shared" si="4"/>
        <v/>
      </c>
      <c r="O11" s="250">
        <f t="shared" si="5"/>
        <v>3.3156920272910068E+16</v>
      </c>
      <c r="P11" s="248">
        <f>calclifetime(AnalysisMode,K11,Thickness,G11,L11)</f>
        <v>7.8800350524997812E-5</v>
      </c>
      <c r="Q11" s="250"/>
      <c r="R11" s="251"/>
      <c r="S11" s="252">
        <f>IF(AND(E11&gt;0.95*BiasLight,E11&lt;1.05*BiasLight),"",IF(AugerModel="Sinton",calclifetimeauger(Auger_Coefficient,I11,P11),calclifetimerichter(SampleType,I11,SampleDoping,P11)))</f>
        <v>10865.32581896694</v>
      </c>
      <c r="T11" s="201"/>
      <c r="U11" s="252">
        <f t="shared" si="12"/>
        <v>-163797.46152459865</v>
      </c>
      <c r="V11" s="251" t="str">
        <f>IF(AugerModel="Sinton","",IF(SampleType="n-type",n_intr_boltzmann(SampleDoping,0,K11,Temperature+273.15),n_intr_boltzmann(0,SampleDoping,K11,Temperature+273.15)))</f>
        <v/>
      </c>
      <c r="W11" s="251" t="str">
        <f t="shared" si="13"/>
        <v/>
      </c>
      <c r="X11" s="246" t="str">
        <f>IF(AND(A11&gt;TimeofMaxCD,I11&gt;Traps),IF(AugerModel="Sinton",CalcImpliedV(SampleDoping,O11),CalcImpliedVRichter(O11,SampleDoping,V11)),"")</f>
        <v/>
      </c>
      <c r="Y11" s="253" t="str">
        <f t="shared" si="6"/>
        <v/>
      </c>
      <c r="Z11" s="200">
        <f t="shared" si="7"/>
        <v>3.3156920272910068E+16</v>
      </c>
      <c r="AA11" s="254">
        <v>35.505572999999998</v>
      </c>
      <c r="AB11" s="254">
        <v>579.01823372252954</v>
      </c>
      <c r="AC11" s="251">
        <f t="shared" si="14"/>
        <v>1.7270613285715775E-3</v>
      </c>
      <c r="AD11" s="251">
        <f>INDEX(LINEST(AC9:AC44,AA9:AA44^{1,2,3}),1,3)</f>
        <v>1.3220590164630849E-4</v>
      </c>
      <c r="AE11" s="251">
        <f t="shared" si="8"/>
        <v>1095.3375961223232</v>
      </c>
    </row>
    <row r="12" spans="1:31" x14ac:dyDescent="0.2">
      <c r="A12" s="244">
        <v>3.4989999999999999E-4</v>
      </c>
      <c r="B12" s="244">
        <v>3.8909099999999999</v>
      </c>
      <c r="C12" s="245">
        <v>0.62489499999999998</v>
      </c>
      <c r="D12" s="246">
        <f>IF(CouplingMode="AC",B12-(A$11-A$10)*SUM(B$9:B12)/0.21,B12)</f>
        <v>3.8909099999999999</v>
      </c>
      <c r="E12" s="247">
        <f t="shared" si="9"/>
        <v>59.378185052148169</v>
      </c>
      <c r="F12" s="247">
        <f t="shared" si="0"/>
        <v>59.378185052148169</v>
      </c>
      <c r="G12" s="248">
        <f t="shared" si="1"/>
        <v>9.8592991409933906E+18</v>
      </c>
      <c r="H12" s="249">
        <f t="shared" si="10"/>
        <v>0.12268770781405848</v>
      </c>
      <c r="I12" s="248">
        <f>IF(MobilityModel=DK,CalcDeltaN(H12,SampleDoping,Thickness,AreaFrac),CalcDeltaNDL(H12,AreaFrac,Thickness,SampleType,SampleDoping,Temperature))</f>
        <v>3.64271604372292E+16</v>
      </c>
      <c r="J12" s="248" t="str">
        <f t="shared" si="2"/>
        <v/>
      </c>
      <c r="K12" s="248">
        <f t="shared" si="11"/>
        <v>3.64271604372292E+16</v>
      </c>
      <c r="L12" s="250">
        <f t="shared" si="15"/>
        <v>2.3630016372448858E+19</v>
      </c>
      <c r="M12" s="196" t="str">
        <f t="shared" si="3"/>
        <v/>
      </c>
      <c r="N12" s="196" t="str">
        <f t="shared" si="4"/>
        <v/>
      </c>
      <c r="O12" s="250">
        <f t="shared" si="5"/>
        <v>3.64271604372292E+16</v>
      </c>
      <c r="P12" s="248">
        <f t="shared" ref="P12:P42" si="16">calclifetime(AnalysisMode,K12,Thickness,G12,L12)</f>
        <v>7.5985619882014166E-5</v>
      </c>
      <c r="Q12" s="250" t="str">
        <f t="shared" ref="Q12:Q43" si="17">IF($J12="","",P12)</f>
        <v/>
      </c>
      <c r="R12" s="251" t="str">
        <f t="shared" ref="R12:R43" si="18">IF(Q12="","",1/Q12)</f>
        <v/>
      </c>
      <c r="S12" s="252">
        <f>IF(AND(E12&gt;0.95*BiasLight,E12&lt;1.05*BiasLight),"",IF(AugerModel="Sinton",calclifetimeauger(Auger_Coefficient,I12,P12),calclifetimerichter(SampleType,I12,SampleDoping,P12)))</f>
        <v>10957.667731532496</v>
      </c>
      <c r="T12" s="201" t="str">
        <f t="shared" ref="T12:T43" si="19">IF($J12="","",S12)</f>
        <v/>
      </c>
      <c r="U12" s="252">
        <f t="shared" si="12"/>
        <v>-182818.15310785372</v>
      </c>
      <c r="V12" s="251" t="str">
        <f>IF(AugerModel="Sinton","",IF(SampleType="n-type",n_intr_boltzmann(SampleDoping,0,K12,Temperature+273.15),n_intr_boltzmann(0,SampleDoping,K12,Temperature+273.15)))</f>
        <v/>
      </c>
      <c r="W12" s="251" t="str">
        <f t="shared" si="13"/>
        <v/>
      </c>
      <c r="X12" s="246" t="str">
        <f>IF(AND(A12&gt;TimeofMaxCD,I12&gt;Traps),IF(AugerModel="Sinton",CalcImpliedV(SampleDoping,O12),CalcImpliedVRichter(O12,SampleDoping,V12)),"")</f>
        <v/>
      </c>
      <c r="Y12" s="253" t="str">
        <f t="shared" si="6"/>
        <v/>
      </c>
      <c r="Z12" s="200">
        <f t="shared" si="7"/>
        <v>3.64271604372292E+16</v>
      </c>
      <c r="AA12" s="254">
        <v>40.471617000000002</v>
      </c>
      <c r="AB12" s="254">
        <v>480.02527736007789</v>
      </c>
      <c r="AC12" s="251">
        <f t="shared" si="14"/>
        <v>2.083223628346299E-3</v>
      </c>
      <c r="AD12" s="251">
        <f>INDEX(LINEST(AC9:AC44,AA9:AA44^{1,2,3}),1,4)</f>
        <v>-3.2078448914350591E-3</v>
      </c>
      <c r="AE12" s="251">
        <f t="shared" si="8"/>
        <v>1072.6478113217404</v>
      </c>
    </row>
    <row r="13" spans="1:31" x14ac:dyDescent="0.2">
      <c r="A13" s="244">
        <v>4.4989999999999999E-4</v>
      </c>
      <c r="B13" s="244">
        <v>3.8542900000000002</v>
      </c>
      <c r="C13" s="245">
        <v>0.60998399999999997</v>
      </c>
      <c r="D13" s="246">
        <f>IF(CouplingMode="AC",B13-(A$11-A$10)*SUM(B$9:B13)/0.21,B13)</f>
        <v>3.8542900000000002</v>
      </c>
      <c r="E13" s="247">
        <f t="shared" si="9"/>
        <v>57.961326032132675</v>
      </c>
      <c r="F13" s="247">
        <f t="shared" si="0"/>
        <v>57.961326032132675</v>
      </c>
      <c r="G13" s="248">
        <f t="shared" si="1"/>
        <v>9.6240404023391334E+18</v>
      </c>
      <c r="H13" s="249">
        <f t="shared" si="10"/>
        <v>0.12147040563194759</v>
      </c>
      <c r="I13" s="248">
        <f>IF(MobilityModel=DK,CalcDeltaN(H13,SampleDoping,Thickness,AreaFrac),CalcDeltaNDL(H13,AreaFrac,Thickness,SampleType,SampleDoping,Temperature))</f>
        <v>3.596063917555602E+16</v>
      </c>
      <c r="J13" s="248" t="str">
        <f t="shared" si="2"/>
        <v/>
      </c>
      <c r="K13" s="248">
        <f t="shared" si="11"/>
        <v>3.596063917555602E+16</v>
      </c>
      <c r="L13" s="250">
        <f t="shared" si="15"/>
        <v>-1.9121147774267128E+18</v>
      </c>
      <c r="M13" s="196" t="str">
        <f t="shared" si="3"/>
        <v/>
      </c>
      <c r="N13" s="196" t="str">
        <f t="shared" si="4"/>
        <v/>
      </c>
      <c r="O13" s="250">
        <f t="shared" si="5"/>
        <v>3.596063917555602E+16</v>
      </c>
      <c r="P13" s="248">
        <f t="shared" si="16"/>
        <v>7.2952152926643261E-5</v>
      </c>
      <c r="Q13" s="250" t="str">
        <f t="shared" si="17"/>
        <v/>
      </c>
      <c r="R13" s="251" t="str">
        <f t="shared" si="18"/>
        <v/>
      </c>
      <c r="S13" s="252">
        <f>IF(AND(E13&gt;0.95*BiasLight,E13&lt;1.05*BiasLight),"",IF(AugerModel="Sinton",calclifetimeauger(Auger_Coefficient,I13,P13),calclifetimerichter(SampleType,I13,SampleDoping,P13)))</f>
        <v>11560.956481114054</v>
      </c>
      <c r="T13" s="201" t="str">
        <f t="shared" si="19"/>
        <v/>
      </c>
      <c r="U13" s="252">
        <f t="shared" si="12"/>
        <v>-180104.72639010556</v>
      </c>
      <c r="V13" s="251" t="str">
        <f>IF(AugerModel="Sinton","",IF(SampleType="n-type",n_intr_boltzmann(SampleDoping,0,K13,Temperature+273.15),n_intr_boltzmann(0,SampleDoping,K13,Temperature+273.15)))</f>
        <v/>
      </c>
      <c r="W13" s="251" t="str">
        <f t="shared" si="13"/>
        <v/>
      </c>
      <c r="X13" s="246">
        <f>IF(AND(A13&gt;TimeofMaxCD,I13&gt;Traps),IF(AugerModel="Sinton",CalcImpliedV(SampleDoping,O13),CalcImpliedVRichter(O13,SampleDoping,V13)),"")</f>
        <v>0.78566597805386718</v>
      </c>
      <c r="Y13" s="253">
        <f t="shared" si="6"/>
        <v>58.187036085964927</v>
      </c>
      <c r="Z13" s="200">
        <f t="shared" si="7"/>
        <v>3.596063917555602E+16</v>
      </c>
      <c r="AA13" s="254">
        <v>45.471893999999999</v>
      </c>
      <c r="AB13" s="254">
        <v>370.16472897680944</v>
      </c>
      <c r="AC13" s="251">
        <f t="shared" si="14"/>
        <v>2.7014999585837076E-3</v>
      </c>
      <c r="AE13" s="251">
        <f t="shared" si="8"/>
        <v>1075.7825520086215</v>
      </c>
    </row>
    <row r="14" spans="1:31" x14ac:dyDescent="0.2">
      <c r="A14" s="244">
        <v>5.4989999999999998E-4</v>
      </c>
      <c r="B14" s="244">
        <v>3.7495599999999998</v>
      </c>
      <c r="C14" s="245">
        <v>0.58228100000000005</v>
      </c>
      <c r="D14" s="246">
        <f>IF(CouplingMode="AC",B14-(A$11-A$10)*SUM(B$9:B14)/0.21,B14)</f>
        <v>3.7495599999999998</v>
      </c>
      <c r="E14" s="247">
        <f t="shared" si="9"/>
        <v>55.328957617439556</v>
      </c>
      <c r="F14" s="247">
        <f t="shared" si="0"/>
        <v>55.328957617439556</v>
      </c>
      <c r="G14" s="248">
        <f t="shared" si="1"/>
        <v>9.1869555095124347E+18</v>
      </c>
      <c r="H14" s="249">
        <f t="shared" si="10"/>
        <v>0.11799559392195615</v>
      </c>
      <c r="I14" s="248">
        <f>IF(MobilityModel=DK,CalcDeltaN(H14,SampleDoping,Thickness,AreaFrac),CalcDeltaNDL(H14,AreaFrac,Thickness,SampleType,SampleDoping,Temperature))</f>
        <v>3.4640506713742128E+16</v>
      </c>
      <c r="J14" s="248" t="str">
        <f t="shared" si="2"/>
        <v/>
      </c>
      <c r="K14" s="248">
        <f t="shared" si="11"/>
        <v>3.4640506713742128E+16</v>
      </c>
      <c r="L14" s="250">
        <f t="shared" si="15"/>
        <v>-1.2701520892673669E+19</v>
      </c>
      <c r="M14" s="196" t="str">
        <f t="shared" si="3"/>
        <v/>
      </c>
      <c r="N14" s="196" t="str">
        <f t="shared" si="4"/>
        <v/>
      </c>
      <c r="O14" s="250">
        <f t="shared" si="5"/>
        <v>3.4640506713742128E+16</v>
      </c>
      <c r="P14" s="248">
        <f t="shared" si="16"/>
        <v>7.1954296767007408E-5</v>
      </c>
      <c r="Q14" s="250" t="str">
        <f t="shared" si="17"/>
        <v/>
      </c>
      <c r="R14" s="251" t="str">
        <f t="shared" si="18"/>
        <v/>
      </c>
      <c r="S14" s="252">
        <f>IF(AND(E14&gt;0.95*BiasLight,E14&lt;1.05*BiasLight),"",IF(AugerModel="Sinton",calclifetimeauger(Auger_Coefficient,I14,P14),calclifetimerichter(SampleType,I14,SampleDoping,P14)))</f>
        <v>11905.769287812996</v>
      </c>
      <c r="T14" s="201" t="str">
        <f t="shared" si="19"/>
        <v/>
      </c>
      <c r="U14" s="252">
        <f t="shared" si="12"/>
        <v>-172426.44248937769</v>
      </c>
      <c r="V14" s="251" t="str">
        <f>IF(AugerModel="Sinton","",IF(SampleType="n-type",n_intr_boltzmann(SampleDoping,0,K14,Temperature+273.15),n_intr_boltzmann(0,SampleDoping,K14,Temperature+273.15)))</f>
        <v/>
      </c>
      <c r="W14" s="251" t="str">
        <f t="shared" si="13"/>
        <v/>
      </c>
      <c r="X14" s="246">
        <f>IF(AND(A14&gt;TimeofMaxCD,I14&gt;Traps),IF(AugerModel="Sinton",CalcImpliedV(SampleDoping,O14),CalcImpliedVRichter(O14,SampleDoping,V14)),"")</f>
        <v>0.78382909959921321</v>
      </c>
      <c r="Y14" s="253">
        <f t="shared" si="6"/>
        <v>56.828271883654729</v>
      </c>
      <c r="Z14" s="200" t="str">
        <f t="shared" si="7"/>
        <v/>
      </c>
      <c r="AA14" s="254">
        <v>50.503872000000001</v>
      </c>
      <c r="AB14" s="254">
        <v>277.34000992042826</v>
      </c>
      <c r="AC14" s="251">
        <f t="shared" si="14"/>
        <v>3.6056824267328411E-3</v>
      </c>
      <c r="AE14" s="251">
        <f t="shared" si="8"/>
        <v>1084.8332088933928</v>
      </c>
    </row>
    <row r="15" spans="1:31" x14ac:dyDescent="0.2">
      <c r="A15" s="244">
        <v>6.4990000000000002E-4</v>
      </c>
      <c r="B15" s="244">
        <v>3.6247400000000001</v>
      </c>
      <c r="C15" s="245">
        <v>0.54947500000000005</v>
      </c>
      <c r="D15" s="246">
        <f>IF(CouplingMode="AC",B15-(A$11-A$10)*SUM(B$9:B15)/0.21,B15)</f>
        <v>3.6247400000000001</v>
      </c>
      <c r="E15" s="247">
        <f t="shared" si="9"/>
        <v>52.211696735498151</v>
      </c>
      <c r="F15" s="247">
        <f t="shared" si="0"/>
        <v>52.211696735498151</v>
      </c>
      <c r="G15" s="248">
        <f t="shared" si="1"/>
        <v>8.6693578849204163E+18</v>
      </c>
      <c r="H15" s="249">
        <f t="shared" si="10"/>
        <v>0.11386692972959818</v>
      </c>
      <c r="I15" s="248">
        <f>IF(MobilityModel=DK,CalcDeltaN(H15,SampleDoping,Thickness,AreaFrac),CalcDeltaNDL(H15,AreaFrac,Thickness,SampleType,SampleDoping,Temperature))</f>
        <v>3.3094189745940248E+16</v>
      </c>
      <c r="J15" s="248" t="str">
        <f t="shared" si="2"/>
        <v/>
      </c>
      <c r="K15" s="248">
        <f t="shared" si="11"/>
        <v>3.3094189745940248E+16</v>
      </c>
      <c r="L15" s="250">
        <f t="shared" si="15"/>
        <v>-1.5268687813940107E+19</v>
      </c>
      <c r="M15" s="196" t="str">
        <f t="shared" si="3"/>
        <v/>
      </c>
      <c r="N15" s="196" t="str">
        <f t="shared" si="4"/>
        <v/>
      </c>
      <c r="O15" s="250">
        <f t="shared" si="5"/>
        <v>3.3094189745940248E+16</v>
      </c>
      <c r="P15" s="248">
        <f t="shared" si="16"/>
        <v>7.2323926949031521E-5</v>
      </c>
      <c r="Q15" s="250" t="str">
        <f t="shared" si="17"/>
        <v/>
      </c>
      <c r="R15" s="251" t="str">
        <f t="shared" si="18"/>
        <v/>
      </c>
      <c r="S15" s="252">
        <f>IF(AND(E15&gt;0.95*BiasLight,E15&lt;1.05*BiasLight),"",IF(AugerModel="Sinton",calclifetimeauger(Auger_Coefficient,I15,P15),calclifetimerichter(SampleType,I15,SampleDoping,P15)))</f>
        <v>12008.608688995268</v>
      </c>
      <c r="T15" s="201" t="str">
        <f t="shared" si="19"/>
        <v/>
      </c>
      <c r="U15" s="252">
        <f t="shared" si="12"/>
        <v>-163432.60208113439</v>
      </c>
      <c r="V15" s="251" t="str">
        <f>IF(AugerModel="Sinton","",IF(SampleType="n-type",n_intr_boltzmann(SampleDoping,0,K15,Temperature+273.15),n_intr_boltzmann(0,SampleDoping,K15,Temperature+273.15)))</f>
        <v/>
      </c>
      <c r="W15" s="251" t="str">
        <f t="shared" si="13"/>
        <v/>
      </c>
      <c r="X15" s="246">
        <f>IF(AND(A15&gt;TimeofMaxCD,I15&gt;Traps),IF(AugerModel="Sinton",CalcImpliedV(SampleDoping,O15),CalcImpliedVRichter(O15,SampleDoping,V15)),"")</f>
        <v>0.7815903094127099</v>
      </c>
      <c r="Y15" s="253">
        <f t="shared" si="6"/>
        <v>54.014044789661568</v>
      </c>
      <c r="Z15" s="200" t="str">
        <f t="shared" si="7"/>
        <v/>
      </c>
      <c r="AA15" s="254">
        <v>55.478293000000001</v>
      </c>
      <c r="AB15" s="254">
        <v>235.07848136567836</v>
      </c>
      <c r="AC15" s="251">
        <f t="shared" si="14"/>
        <v>4.2538985031319873E-3</v>
      </c>
      <c r="AE15" s="251">
        <f t="shared" si="8"/>
        <v>1095.7898539320238</v>
      </c>
    </row>
    <row r="16" spans="1:31" x14ac:dyDescent="0.2">
      <c r="A16" s="244">
        <v>7.4989999999999996E-4</v>
      </c>
      <c r="B16" s="244">
        <v>3.4943200000000001</v>
      </c>
      <c r="C16" s="245">
        <v>0.51740699999999995</v>
      </c>
      <c r="D16" s="246">
        <f>IF(CouplingMode="AC",B16-(A$11-A$10)*SUM(B$9:B16)/0.21,B16)</f>
        <v>3.4943200000000001</v>
      </c>
      <c r="E16" s="247">
        <f t="shared" si="9"/>
        <v>49.164561395557371</v>
      </c>
      <c r="F16" s="247">
        <f t="shared" si="0"/>
        <v>49.164561395557371</v>
      </c>
      <c r="G16" s="248">
        <f t="shared" si="1"/>
        <v>8.1634040769152686E+18</v>
      </c>
      <c r="H16" s="249">
        <f t="shared" si="10"/>
        <v>0.10956779978170424</v>
      </c>
      <c r="I16" s="248">
        <f>IF(MobilityModel=DK,CalcDeltaN(H16,SampleDoping,Thickness,AreaFrac),CalcDeltaNDL(H16,AreaFrac,Thickness,SampleType,SampleDoping,Temperature))</f>
        <v>3.1509624705700252E+16</v>
      </c>
      <c r="J16" s="248" t="str">
        <f t="shared" si="2"/>
        <v/>
      </c>
      <c r="K16" s="248">
        <f t="shared" si="11"/>
        <v>3.1509624705700252E+16</v>
      </c>
      <c r="L16" s="250">
        <f t="shared" si="15"/>
        <v>-1.5887707788490596E+19</v>
      </c>
      <c r="M16" s="196" t="str">
        <f t="shared" si="3"/>
        <v/>
      </c>
      <c r="N16" s="196" t="str">
        <f t="shared" si="4"/>
        <v/>
      </c>
      <c r="O16" s="250">
        <f t="shared" si="5"/>
        <v>3.1509624705700252E+16</v>
      </c>
      <c r="P16" s="248">
        <f t="shared" si="16"/>
        <v>7.2873509075320939E-5</v>
      </c>
      <c r="Q16" s="250" t="str">
        <f t="shared" si="17"/>
        <v/>
      </c>
      <c r="R16" s="251" t="str">
        <f t="shared" si="18"/>
        <v/>
      </c>
      <c r="S16" s="252">
        <f>IF(AND(E16&gt;0.95*BiasLight,E16&lt;1.05*BiasLight),"",IF(AugerModel="Sinton",calclifetimeauger(Auger_Coefficient,I16,P16),calclifetimerichter(SampleType,I16,SampleDoping,P16)))</f>
        <v>12074.265966219155</v>
      </c>
      <c r="T16" s="201" t="str">
        <f t="shared" si="19"/>
        <v/>
      </c>
      <c r="U16" s="252">
        <f t="shared" si="12"/>
        <v>-154216.29948267125</v>
      </c>
      <c r="V16" s="251" t="str">
        <f>IF(AugerModel="Sinton","",IF(SampleType="n-type",n_intr_boltzmann(SampleDoping,0,K16,Temperature+273.15),n_intr_boltzmann(0,SampleDoping,K16,Temperature+273.15)))</f>
        <v/>
      </c>
      <c r="W16" s="251" t="str">
        <f t="shared" si="13"/>
        <v/>
      </c>
      <c r="X16" s="246">
        <f>IF(AND(A16&gt;TimeofMaxCD,I16&gt;Traps),IF(AugerModel="Sinton",CalcImpliedV(SampleDoping,O16),CalcImpliedVRichter(O16,SampleDoping,V16)),"")</f>
        <v>0.77918996536553509</v>
      </c>
      <c r="Y16" s="253">
        <f t="shared" si="6"/>
        <v>51.039979870716671</v>
      </c>
      <c r="Z16" s="200" t="str">
        <f t="shared" si="7"/>
        <v/>
      </c>
      <c r="AA16" s="254">
        <v>60.477620000000002</v>
      </c>
      <c r="AB16" s="254">
        <v>211.94597692788435</v>
      </c>
      <c r="AC16" s="251">
        <f t="shared" si="14"/>
        <v>4.7181834470028886E-3</v>
      </c>
      <c r="AE16" s="251">
        <f t="shared" si="8"/>
        <v>1107.4423489649723</v>
      </c>
    </row>
    <row r="17" spans="1:31" x14ac:dyDescent="0.2">
      <c r="A17" s="244">
        <v>8.499E-4</v>
      </c>
      <c r="B17" s="244">
        <v>3.3584000000000001</v>
      </c>
      <c r="C17" s="245">
        <v>0.486844</v>
      </c>
      <c r="D17" s="246">
        <f>IF(CouplingMode="AC",B17-(A$11-A$10)*SUM(B$9:B17)/0.21,B17)</f>
        <v>3.3584000000000001</v>
      </c>
      <c r="E17" s="247">
        <f t="shared" si="9"/>
        <v>46.260432750346894</v>
      </c>
      <c r="F17" s="247">
        <f t="shared" si="0"/>
        <v>46.260432750346894</v>
      </c>
      <c r="G17" s="248">
        <f t="shared" si="1"/>
        <v>7.6811954504321311E+18</v>
      </c>
      <c r="H17" s="249">
        <f t="shared" si="10"/>
        <v>0.10510342629875299</v>
      </c>
      <c r="I17" s="248">
        <f>IF(MobilityModel=DK,CalcDeltaN(H17,SampleDoping,Thickness,AreaFrac),CalcDeltaNDL(H17,AreaFrac,Thickness,SampleType,SampleDoping,Temperature))</f>
        <v>2.9891736272606904E+16</v>
      </c>
      <c r="J17" s="248" t="str">
        <f t="shared" si="2"/>
        <v/>
      </c>
      <c r="K17" s="248">
        <f t="shared" si="11"/>
        <v>2.9891736272606904E+16</v>
      </c>
      <c r="L17" s="250">
        <f t="shared" si="15"/>
        <v>-1.5894275491203219E+19</v>
      </c>
      <c r="M17" s="196" t="str">
        <f t="shared" si="3"/>
        <v/>
      </c>
      <c r="N17" s="196" t="str">
        <f t="shared" si="4"/>
        <v/>
      </c>
      <c r="O17" s="250">
        <f t="shared" si="5"/>
        <v>2.9891736272606904E+16</v>
      </c>
      <c r="P17" s="248">
        <f t="shared" si="16"/>
        <v>7.3301428388467977E-5</v>
      </c>
      <c r="Q17" s="250" t="str">
        <f t="shared" si="17"/>
        <v/>
      </c>
      <c r="R17" s="251" t="str">
        <f t="shared" si="18"/>
        <v/>
      </c>
      <c r="S17" s="252">
        <f>IF(AND(E17&gt;0.95*BiasLight,E17&lt;1.05*BiasLight),"",IF(AugerModel="Sinton",calclifetimeauger(Auger_Coefficient,I17,P17),calclifetimerichter(SampleType,I17,SampleDoping,P17)))</f>
        <v>12159.062566640407</v>
      </c>
      <c r="T17" s="201" t="str">
        <f t="shared" si="19"/>
        <v/>
      </c>
      <c r="U17" s="252">
        <f t="shared" si="12"/>
        <v>-144806.1780983932</v>
      </c>
      <c r="V17" s="251" t="str">
        <f>IF(AugerModel="Sinton","",IF(SampleType="n-type",n_intr_boltzmann(SampleDoping,0,K17,Temperature+273.15),n_intr_boltzmann(0,SampleDoping,K17,Temperature+273.15)))</f>
        <v/>
      </c>
      <c r="W17" s="251" t="str">
        <f t="shared" si="13"/>
        <v/>
      </c>
      <c r="X17" s="246">
        <f>IF(AND(A17&gt;TimeofMaxCD,I17&gt;Traps),IF(AugerModel="Sinton",CalcImpliedV(SampleDoping,O17),CalcImpliedVRichter(O17,SampleDoping,V17)),"")</f>
        <v>0.77661732469406453</v>
      </c>
      <c r="Y17" s="253">
        <f t="shared" si="6"/>
        <v>48.136626490961149</v>
      </c>
      <c r="Z17" s="200" t="str">
        <f t="shared" si="7"/>
        <v/>
      </c>
      <c r="AA17" s="254">
        <v>65.476241999999999</v>
      </c>
      <c r="AB17" s="254">
        <v>177.12104469091474</v>
      </c>
      <c r="AC17" s="251">
        <f t="shared" si="14"/>
        <v>5.6458564917853272E-3</v>
      </c>
      <c r="AE17" s="251">
        <f t="shared" si="8"/>
        <v>1119.8172389437461</v>
      </c>
    </row>
    <row r="18" spans="1:31" x14ac:dyDescent="0.2">
      <c r="A18" s="244">
        <v>9.4990000000000005E-4</v>
      </c>
      <c r="B18" s="244">
        <v>3.2216300000000002</v>
      </c>
      <c r="C18" s="245">
        <v>0.45813399999999999</v>
      </c>
      <c r="D18" s="246">
        <f>IF(CouplingMode="AC",B18-(A$11-A$10)*SUM(B$9:B18)/0.21,B18)</f>
        <v>3.2216300000000002</v>
      </c>
      <c r="E18" s="247">
        <f t="shared" si="9"/>
        <v>43.532378128614965</v>
      </c>
      <c r="F18" s="247">
        <f t="shared" si="0"/>
        <v>43.532378128614965</v>
      </c>
      <c r="G18" s="248">
        <f t="shared" si="1"/>
        <v>7.228222585650175E+18</v>
      </c>
      <c r="H18" s="249">
        <f t="shared" si="10"/>
        <v>0.10062767668595755</v>
      </c>
      <c r="I18" s="248">
        <f>IF(MobilityModel=DK,CalcDeltaN(H18,SampleDoping,Thickness,AreaFrac),CalcDeltaNDL(H18,AreaFrac,Thickness,SampleType,SampleDoping,Temperature))</f>
        <v>2.82978795561635E+16</v>
      </c>
      <c r="J18" s="248" t="str">
        <f t="shared" si="2"/>
        <v/>
      </c>
      <c r="K18" s="248">
        <f t="shared" si="11"/>
        <v>2.82978795561635E+16</v>
      </c>
      <c r="L18" s="250">
        <f t="shared" si="15"/>
        <v>-1.5631266757722325E+19</v>
      </c>
      <c r="M18" s="196" t="str">
        <f t="shared" si="3"/>
        <v/>
      </c>
      <c r="N18" s="196" t="str">
        <f t="shared" si="4"/>
        <v/>
      </c>
      <c r="O18" s="250">
        <f t="shared" si="5"/>
        <v>2.82978795561635E+16</v>
      </c>
      <c r="P18" s="248">
        <f t="shared" si="16"/>
        <v>7.3612239120730906E-5</v>
      </c>
      <c r="Q18" s="250" t="str">
        <f t="shared" si="17"/>
        <v/>
      </c>
      <c r="R18" s="251" t="str">
        <f t="shared" si="18"/>
        <v/>
      </c>
      <c r="S18" s="252">
        <f>IF(AND(E18&gt;0.95*BiasLight,E18&lt;1.05*BiasLight),"",IF(AugerModel="Sinton",calclifetimeauger(Auger_Coefficient,I18,P18),calclifetimerichter(SampleType,I18,SampleDoping,P18)))</f>
        <v>12255.419310730776</v>
      </c>
      <c r="T18" s="201" t="str">
        <f t="shared" si="19"/>
        <v/>
      </c>
      <c r="U18" s="252">
        <f t="shared" si="12"/>
        <v>-135535.83234148414</v>
      </c>
      <c r="V18" s="251" t="str">
        <f>IF(AugerModel="Sinton","",IF(SampleType="n-type",n_intr_boltzmann(SampleDoping,0,K18,Temperature+273.15),n_intr_boltzmann(0,SampleDoping,K18,Temperature+273.15)))</f>
        <v/>
      </c>
      <c r="W18" s="251" t="str">
        <f t="shared" si="13"/>
        <v/>
      </c>
      <c r="X18" s="246">
        <f>IF(AND(A18&gt;TimeofMaxCD,I18&gt;Traps),IF(AugerModel="Sinton",CalcImpliedV(SampleDoping,O18),CalcImpliedVRichter(O18,SampleDoping,V18)),"")</f>
        <v>0.7739499306040879</v>
      </c>
      <c r="Y18" s="253">
        <f t="shared" si="6"/>
        <v>45.377525764626533</v>
      </c>
      <c r="Z18" s="200" t="str">
        <f t="shared" si="7"/>
        <v/>
      </c>
      <c r="AA18" s="254">
        <v>70.471900000000005</v>
      </c>
      <c r="AB18" s="254">
        <v>163.55334972624357</v>
      </c>
      <c r="AC18" s="251">
        <f t="shared" si="14"/>
        <v>6.1142128955096612E-3</v>
      </c>
      <c r="AE18" s="251">
        <f t="shared" si="8"/>
        <v>1132.517623229108</v>
      </c>
    </row>
    <row r="19" spans="1:31" x14ac:dyDescent="0.2">
      <c r="A19" s="244">
        <v>1.0499000000000001E-3</v>
      </c>
      <c r="B19" s="244">
        <v>3.0861900000000002</v>
      </c>
      <c r="C19" s="245">
        <v>0.43135299999999999</v>
      </c>
      <c r="D19" s="246">
        <f>IF(CouplingMode="AC",B19-(A$11-A$10)*SUM(B$9:B19)/0.21,B19)</f>
        <v>3.0861900000000002</v>
      </c>
      <c r="E19" s="247">
        <f t="shared" si="9"/>
        <v>40.987619130892817</v>
      </c>
      <c r="F19" s="247">
        <f t="shared" si="0"/>
        <v>40.987619130892817</v>
      </c>
      <c r="G19" s="248">
        <f t="shared" si="1"/>
        <v>6.8056845747924408E+18</v>
      </c>
      <c r="H19" s="249">
        <f t="shared" si="10"/>
        <v>9.6211803775203442E-2</v>
      </c>
      <c r="I19" s="248">
        <f>IF(MobilityModel=DK,CalcDeltaN(H19,SampleDoping,Thickness,AreaFrac),CalcDeltaNDL(H19,AreaFrac,Thickness,SampleType,SampleDoping,Temperature))</f>
        <v>2.6752924575107012E+16</v>
      </c>
      <c r="J19" s="248" t="str">
        <f t="shared" si="2"/>
        <v/>
      </c>
      <c r="K19" s="248">
        <f t="shared" si="11"/>
        <v>2.6752924575107012E+16</v>
      </c>
      <c r="L19" s="250">
        <f t="shared" si="15"/>
        <v>-1.5162694709736053E+19</v>
      </c>
      <c r="M19" s="196" t="str">
        <f t="shared" si="3"/>
        <v/>
      </c>
      <c r="N19" s="196" t="str">
        <f t="shared" si="4"/>
        <v/>
      </c>
      <c r="O19" s="250">
        <f t="shared" si="5"/>
        <v>2.6752924575107012E+16</v>
      </c>
      <c r="P19" s="248">
        <f t="shared" si="16"/>
        <v>7.3823267401736781E-5</v>
      </c>
      <c r="Q19" s="250" t="str">
        <f t="shared" si="17"/>
        <v/>
      </c>
      <c r="R19" s="251" t="str">
        <f t="shared" si="18"/>
        <v/>
      </c>
      <c r="S19" s="252">
        <f>IF(AND(E19&gt;0.95*BiasLight,E19&lt;1.05*BiasLight),"",IF(AugerModel="Sinton",calclifetimeauger(Auger_Coefficient,I19,P19),calclifetimerichter(SampleType,I19,SampleDoping,P19)))</f>
        <v>12357.771313522462</v>
      </c>
      <c r="T19" s="201" t="str">
        <f t="shared" si="19"/>
        <v/>
      </c>
      <c r="U19" s="252">
        <f t="shared" si="12"/>
        <v>-126549.91365413069</v>
      </c>
      <c r="V19" s="251" t="str">
        <f>IF(AugerModel="Sinton","",IF(SampleType="n-type",n_intr_boltzmann(SampleDoping,0,K19,Temperature+273.15),n_intr_boltzmann(0,SampleDoping,K19,Temperature+273.15)))</f>
        <v/>
      </c>
      <c r="W19" s="251" t="str">
        <f t="shared" si="13"/>
        <v/>
      </c>
      <c r="X19" s="246">
        <f>IF(AND(A19&gt;TimeofMaxCD,I19&gt;Traps),IF(AugerModel="Sinton",CalcImpliedV(SampleDoping,O19),CalcImpliedVRichter(O19,SampleDoping,V19)),"")</f>
        <v>0.77122461546225862</v>
      </c>
      <c r="Y19" s="253">
        <f t="shared" si="6"/>
        <v>42.777455535892614</v>
      </c>
      <c r="Z19" s="200" t="str">
        <f t="shared" si="7"/>
        <v/>
      </c>
      <c r="AA19" s="254">
        <v>75.441408999999993</v>
      </c>
      <c r="AB19" s="254">
        <v>148.09635600709825</v>
      </c>
      <c r="AC19" s="251">
        <f t="shared" si="14"/>
        <v>6.7523606046867891E-3</v>
      </c>
      <c r="AE19" s="251">
        <f t="shared" si="8"/>
        <v>1145.3507607337142</v>
      </c>
    </row>
    <row r="20" spans="1:31" x14ac:dyDescent="0.2">
      <c r="A20" s="244">
        <v>1.1498999999999999E-3</v>
      </c>
      <c r="B20" s="244">
        <v>2.9527899999999998</v>
      </c>
      <c r="C20" s="245">
        <v>0.40625899999999998</v>
      </c>
      <c r="D20" s="246">
        <f>IF(CouplingMode="AC",B20-(A$11-A$10)*SUM(B$9:B20)/0.21,B20)</f>
        <v>2.9527899999999998</v>
      </c>
      <c r="E20" s="247">
        <f t="shared" si="9"/>
        <v>38.603160660752067</v>
      </c>
      <c r="F20" s="247">
        <f t="shared" si="0"/>
        <v>38.603160660752067</v>
      </c>
      <c r="G20" s="248">
        <f t="shared" si="1"/>
        <v>6.4097632557803059E+18</v>
      </c>
      <c r="H20" s="249">
        <f t="shared" si="10"/>
        <v>9.18783500455395E-2</v>
      </c>
      <c r="I20" s="248">
        <f>IF(MobilityModel=DK,CalcDeltaN(H20,SampleDoping,Thickness,AreaFrac),CalcDeltaNDL(H20,AreaFrac,Thickness,SampleType,SampleDoping,Temperature))</f>
        <v>2.5263397175589036E+16</v>
      </c>
      <c r="J20" s="248" t="str">
        <f t="shared" si="2"/>
        <v/>
      </c>
      <c r="K20" s="248">
        <f t="shared" si="11"/>
        <v>2.5263397175589036E+16</v>
      </c>
      <c r="L20" s="250">
        <f t="shared" si="15"/>
        <v>-1.4608471468084918E+19</v>
      </c>
      <c r="M20" s="196" t="str">
        <f t="shared" si="3"/>
        <v/>
      </c>
      <c r="N20" s="196" t="str">
        <f t="shared" si="4"/>
        <v/>
      </c>
      <c r="O20" s="250">
        <f t="shared" si="5"/>
        <v>2.5263397175589036E+16</v>
      </c>
      <c r="P20" s="248">
        <f t="shared" si="16"/>
        <v>7.3948025886738544E-5</v>
      </c>
      <c r="Q20" s="250" t="str">
        <f t="shared" si="17"/>
        <v/>
      </c>
      <c r="R20" s="251" t="str">
        <f t="shared" si="18"/>
        <v/>
      </c>
      <c r="S20" s="252">
        <f>IF(AND(E20&gt;0.95*BiasLight,E20&lt;1.05*BiasLight),"",IF(AugerModel="Sinton",calclifetimeauger(Auger_Coefficient,I20,P20),calclifetimerichter(SampleType,I20,SampleDoping,P20)))</f>
        <v>12463.534306396628</v>
      </c>
      <c r="T20" s="201" t="str">
        <f t="shared" si="19"/>
        <v/>
      </c>
      <c r="U20" s="252">
        <f t="shared" si="12"/>
        <v>-117886.37830276361</v>
      </c>
      <c r="V20" s="251" t="str">
        <f>IF(AugerModel="Sinton","",IF(SampleType="n-type",n_intr_boltzmann(SampleDoping,0,K20,Temperature+273.15),n_intr_boltzmann(0,SampleDoping,K20,Temperature+273.15)))</f>
        <v/>
      </c>
      <c r="W20" s="251" t="str">
        <f t="shared" si="13"/>
        <v/>
      </c>
      <c r="X20" s="246">
        <f>IF(AND(A20&gt;TimeofMaxCD,I20&gt;Traps),IF(AugerModel="Sinton",CalcImpliedV(SampleDoping,O20),CalcImpliedVRichter(O20,SampleDoping,V20)),"")</f>
        <v>0.76845214665541339</v>
      </c>
      <c r="Y20" s="253">
        <f t="shared" si="6"/>
        <v>40.327575387521591</v>
      </c>
      <c r="Z20" s="200" t="str">
        <f t="shared" si="7"/>
        <v/>
      </c>
      <c r="AA20" s="254">
        <v>80.439930000000004</v>
      </c>
      <c r="AB20" s="254">
        <v>134.50246490751914</v>
      </c>
      <c r="AC20" s="251">
        <f t="shared" si="14"/>
        <v>7.4348079842817558E-3</v>
      </c>
      <c r="AE20" s="251">
        <f t="shared" si="8"/>
        <v>1158.2514553667711</v>
      </c>
    </row>
    <row r="21" spans="1:31" x14ac:dyDescent="0.2">
      <c r="A21" s="244">
        <v>1.2499E-3</v>
      </c>
      <c r="B21" s="244">
        <v>2.8214399999999999</v>
      </c>
      <c r="C21" s="245">
        <v>0.38257200000000002</v>
      </c>
      <c r="D21" s="246">
        <f>IF(CouplingMode="AC",B21-(A$11-A$10)*SUM(B$9:B21)/0.21,B21)</f>
        <v>2.8214399999999999</v>
      </c>
      <c r="E21" s="247">
        <f t="shared" si="9"/>
        <v>36.352396821498701</v>
      </c>
      <c r="F21" s="247">
        <f t="shared" si="0"/>
        <v>36.352396821498701</v>
      </c>
      <c r="G21" s="248">
        <f t="shared" si="1"/>
        <v>6.0360409204236288E+18</v>
      </c>
      <c r="H21" s="249">
        <f t="shared" si="10"/>
        <v>8.7626914348012161E-2</v>
      </c>
      <c r="I21" s="248">
        <f>IF(MobilityModel=DK,CalcDeltaN(H21,SampleDoping,Thickness,AreaFrac),CalcDeltaNDL(H21,AreaFrac,Thickness,SampleType,SampleDoping,Temperature))</f>
        <v>2.3827630108026112E+16</v>
      </c>
      <c r="J21" s="248" t="str">
        <f t="shared" si="2"/>
        <v/>
      </c>
      <c r="K21" s="248">
        <f t="shared" si="11"/>
        <v>2.3827630108026112E+16</v>
      </c>
      <c r="L21" s="250">
        <f t="shared" si="15"/>
        <v>-1.4001005992531098E+19</v>
      </c>
      <c r="M21" s="196" t="str">
        <f t="shared" si="3"/>
        <v/>
      </c>
      <c r="N21" s="196" t="str">
        <f t="shared" si="4"/>
        <v/>
      </c>
      <c r="O21" s="250">
        <f t="shared" si="5"/>
        <v>2.3827630108026112E+16</v>
      </c>
      <c r="P21" s="248">
        <f t="shared" si="16"/>
        <v>7.4007521307416327E-5</v>
      </c>
      <c r="Q21" s="250" t="str">
        <f t="shared" si="17"/>
        <v/>
      </c>
      <c r="R21" s="251" t="str">
        <f t="shared" si="18"/>
        <v/>
      </c>
      <c r="S21" s="252">
        <f>IF(AND(E21&gt;0.95*BiasLight,E21&lt;1.05*BiasLight),"",IF(AugerModel="Sinton",calclifetimeauger(Auger_Coefficient,I21,P21),calclifetimerichter(SampleType,I21,SampleDoping,P21)))</f>
        <v>12569.665261292588</v>
      </c>
      <c r="T21" s="201" t="str">
        <f t="shared" si="19"/>
        <v/>
      </c>
      <c r="U21" s="252">
        <f t="shared" si="12"/>
        <v>-109535.52906683456</v>
      </c>
      <c r="V21" s="251" t="str">
        <f>IF(AugerModel="Sinton","",IF(SampleType="n-type",n_intr_boltzmann(SampleDoping,0,K21,Temperature+273.15),n_intr_boltzmann(0,SampleDoping,K21,Temperature+273.15)))</f>
        <v/>
      </c>
      <c r="W21" s="251" t="str">
        <f t="shared" si="13"/>
        <v/>
      </c>
      <c r="X21" s="246">
        <f>IF(AND(A21&gt;TimeofMaxCD,I21&gt;Traps),IF(AugerModel="Sinton",CalcImpliedV(SampleDoping,O21),CalcImpliedVRichter(O21,SampleDoping,V21)),"")</f>
        <v>0.76562959832827859</v>
      </c>
      <c r="Y21" s="253">
        <f t="shared" si="6"/>
        <v>38.005105044659153</v>
      </c>
      <c r="Z21" s="200" t="str">
        <f t="shared" si="7"/>
        <v/>
      </c>
      <c r="AA21" s="254">
        <v>85.464177000000007</v>
      </c>
      <c r="AB21" s="254">
        <v>123.36174290106487</v>
      </c>
      <c r="AC21" s="251">
        <f t="shared" si="14"/>
        <v>8.1062408529846402E-3</v>
      </c>
      <c r="AE21" s="251">
        <f t="shared" si="8"/>
        <v>1171.218938253686</v>
      </c>
    </row>
    <row r="22" spans="1:31" x14ac:dyDescent="0.2">
      <c r="A22" s="244">
        <v>1.3499E-3</v>
      </c>
      <c r="B22" s="244">
        <v>2.6933099999999999</v>
      </c>
      <c r="C22" s="245">
        <v>0.360458</v>
      </c>
      <c r="D22" s="246">
        <f>IF(CouplingMode="AC",B22-(A$11-A$10)*SUM(B$9:B22)/0.21,B22)</f>
        <v>2.6933099999999999</v>
      </c>
      <c r="E22" s="247">
        <f t="shared" si="9"/>
        <v>34.251101109029875</v>
      </c>
      <c r="F22" s="247">
        <f t="shared" si="0"/>
        <v>34.251101109029875</v>
      </c>
      <c r="G22" s="248">
        <f t="shared" si="1"/>
        <v>5.6871366385779948E+18</v>
      </c>
      <c r="H22" s="249">
        <f t="shared" si="10"/>
        <v>8.3494447977818992E-2</v>
      </c>
      <c r="I22" s="248">
        <f>IF(MobilityModel=DK,CalcDeltaN(H22,SampleDoping,Thickness,AreaFrac),CalcDeltaNDL(H22,AreaFrac,Thickness,SampleType,SampleDoping,Temperature))</f>
        <v>2.2456291055661492E+16</v>
      </c>
      <c r="J22" s="248" t="str">
        <f t="shared" si="2"/>
        <v/>
      </c>
      <c r="K22" s="248">
        <f t="shared" si="11"/>
        <v>2.2456291055661492E+16</v>
      </c>
      <c r="L22" s="250">
        <f t="shared" si="15"/>
        <v>-1.3380930404892287E+19</v>
      </c>
      <c r="M22" s="196" t="str">
        <f t="shared" si="3"/>
        <v/>
      </c>
      <c r="N22" s="196" t="str">
        <f t="shared" si="4"/>
        <v/>
      </c>
      <c r="O22" s="250">
        <f t="shared" si="5"/>
        <v>2.2456291055661492E+16</v>
      </c>
      <c r="P22" s="248">
        <f t="shared" si="16"/>
        <v>7.3981089190724652E-5</v>
      </c>
      <c r="Q22" s="250" t="str">
        <f t="shared" si="17"/>
        <v/>
      </c>
      <c r="R22" s="251" t="str">
        <f t="shared" si="18"/>
        <v/>
      </c>
      <c r="S22" s="252">
        <f>IF(AND(E22&gt;0.95*BiasLight,E22&lt;1.05*BiasLight),"",IF(AugerModel="Sinton",calclifetimeauger(Auger_Coefficient,I22,P22),calclifetimerichter(SampleType,I22,SampleDoping,P22)))</f>
        <v>12679.854681352719</v>
      </c>
      <c r="T22" s="201" t="str">
        <f t="shared" si="19"/>
        <v/>
      </c>
      <c r="U22" s="252">
        <f t="shared" si="12"/>
        <v>-101559.41237189106</v>
      </c>
      <c r="V22" s="251" t="str">
        <f>IF(AugerModel="Sinton","",IF(SampleType="n-type",n_intr_boltzmann(SampleDoping,0,K22,Temperature+273.15),n_intr_boltzmann(0,SampleDoping,K22,Temperature+273.15)))</f>
        <v/>
      </c>
      <c r="W22" s="251" t="str">
        <f t="shared" si="13"/>
        <v/>
      </c>
      <c r="X22" s="246">
        <f>IF(AND(A22&gt;TimeofMaxCD,I22&gt;Traps),IF(AugerModel="Sinton",CalcImpliedV(SampleDoping,O22),CalcImpliedVRichter(O22,SampleDoping,V22)),"")</f>
        <v>0.76278001972916709</v>
      </c>
      <c r="Y22" s="253">
        <f t="shared" si="6"/>
        <v>35.830614304403163</v>
      </c>
      <c r="Z22" s="200" t="str">
        <f t="shared" si="7"/>
        <v/>
      </c>
      <c r="AA22" s="254">
        <v>90.457423000000006</v>
      </c>
      <c r="AB22" s="254">
        <v>114.31083543570352</v>
      </c>
      <c r="AC22" s="251">
        <f t="shared" si="14"/>
        <v>8.7480770846300963E-3</v>
      </c>
      <c r="AE22" s="251">
        <f t="shared" si="8"/>
        <v>1184.1343678055089</v>
      </c>
    </row>
    <row r="23" spans="1:31" x14ac:dyDescent="0.2">
      <c r="A23" s="244">
        <v>1.4499000000000001E-3</v>
      </c>
      <c r="B23" s="244">
        <v>2.5692699999999999</v>
      </c>
      <c r="C23" s="245">
        <v>0.33967799999999998</v>
      </c>
      <c r="D23" s="246">
        <f>IF(CouplingMode="AC",B23-(A$11-A$10)*SUM(B$9:B23)/0.21,B23)</f>
        <v>2.5692699999999999</v>
      </c>
      <c r="E23" s="247">
        <f t="shared" si="9"/>
        <v>32.276563490096073</v>
      </c>
      <c r="F23" s="247">
        <f t="shared" si="0"/>
        <v>32.276563490096073</v>
      </c>
      <c r="G23" s="248">
        <f t="shared" si="1"/>
        <v>5.3592795807525304E+18</v>
      </c>
      <c r="H23" s="249">
        <f t="shared" si="10"/>
        <v>7.9507766782998146E-2</v>
      </c>
      <c r="I23" s="248">
        <f>IF(MobilityModel=DK,CalcDeltaN(H23,SampleDoping,Thickness,AreaFrac),CalcDeltaNDL(H23,AreaFrac,Thickness,SampleType,SampleDoping,Temperature))</f>
        <v>2.1155974638805236E+16</v>
      </c>
      <c r="J23" s="248" t="str">
        <f t="shared" si="2"/>
        <v/>
      </c>
      <c r="K23" s="248">
        <f t="shared" si="11"/>
        <v>2.1155974638805236E+16</v>
      </c>
      <c r="L23" s="250">
        <f t="shared" si="15"/>
        <v>-1.2746296148027501E+19</v>
      </c>
      <c r="M23" s="196" t="str">
        <f t="shared" si="3"/>
        <v/>
      </c>
      <c r="N23" s="196" t="str">
        <f t="shared" si="4"/>
        <v/>
      </c>
      <c r="O23" s="250">
        <f t="shared" si="5"/>
        <v>2.1155974638805236E+16</v>
      </c>
      <c r="P23" s="248">
        <f t="shared" si="16"/>
        <v>7.3925689777481601E-5</v>
      </c>
      <c r="Q23" s="250" t="str">
        <f t="shared" si="17"/>
        <v/>
      </c>
      <c r="R23" s="251" t="str">
        <f t="shared" si="18"/>
        <v/>
      </c>
      <c r="S23" s="252">
        <f>IF(AND(E23&gt;0.95*BiasLight,E23&lt;1.05*BiasLight),"",IF(AugerModel="Sinton",calclifetimeauger(Auger_Coefficient,I23,P23),calclifetimerichter(SampleType,I23,SampleDoping,P23)))</f>
        <v>12784.122382634998</v>
      </c>
      <c r="T23" s="201" t="str">
        <f t="shared" si="19"/>
        <v/>
      </c>
      <c r="U23" s="252">
        <f t="shared" si="12"/>
        <v>-93996.384495369464</v>
      </c>
      <c r="V23" s="251" t="str">
        <f>IF(AugerModel="Sinton","",IF(SampleType="n-type",n_intr_boltzmann(SampleDoping,0,K23,Temperature+273.15),n_intr_boltzmann(0,SampleDoping,K23,Temperature+273.15)))</f>
        <v/>
      </c>
      <c r="W23" s="251" t="str">
        <f t="shared" si="13"/>
        <v/>
      </c>
      <c r="X23" s="246">
        <f>IF(AND(A23&gt;TimeofMaxCD,I23&gt;Traps),IF(AugerModel="Sinton",CalcImpliedV(SampleDoping,O23),CalcImpliedVRichter(O23,SampleDoping,V23)),"")</f>
        <v>0.75992293448829007</v>
      </c>
      <c r="Y23" s="253">
        <f t="shared" si="6"/>
        <v>33.781163121716915</v>
      </c>
      <c r="Z23" s="200" t="str">
        <f t="shared" si="7"/>
        <v/>
      </c>
      <c r="AA23" s="254">
        <v>95.445974000000007</v>
      </c>
      <c r="AB23" s="254">
        <v>106.56239300774862</v>
      </c>
      <c r="AC23" s="251">
        <f t="shared" si="14"/>
        <v>9.3841736448925794E-3</v>
      </c>
      <c r="AE23" s="251">
        <f t="shared" si="8"/>
        <v>1196.9001855841689</v>
      </c>
    </row>
    <row r="24" spans="1:31" x14ac:dyDescent="0.2">
      <c r="A24" s="244">
        <v>1.5499000000000001E-3</v>
      </c>
      <c r="B24" s="244">
        <v>2.4478399999999998</v>
      </c>
      <c r="C24" s="245">
        <v>0.32023499999999999</v>
      </c>
      <c r="D24" s="246">
        <f>IF(CouplingMode="AC",B24-(A$11-A$10)*SUM(B$9:B24)/0.21,B24)</f>
        <v>2.4478399999999998</v>
      </c>
      <c r="E24" s="247">
        <f t="shared" si="9"/>
        <v>30.429069027876153</v>
      </c>
      <c r="F24" s="247">
        <f t="shared" si="0"/>
        <v>30.429069027876153</v>
      </c>
      <c r="G24" s="248">
        <f t="shared" si="1"/>
        <v>5.0525170795349903E+18</v>
      </c>
      <c r="H24" s="249">
        <f t="shared" si="10"/>
        <v>7.5618192875263057E-2</v>
      </c>
      <c r="I24" s="248">
        <f>IF(MobilityModel=DK,CalcDeltaN(H24,SampleDoping,Thickness,AreaFrac),CalcDeltaNDL(H24,AreaFrac,Thickness,SampleType,SampleDoping,Temperature))</f>
        <v>1.9908759707753328E+16</v>
      </c>
      <c r="J24" s="248" t="str">
        <f t="shared" si="2"/>
        <v/>
      </c>
      <c r="K24" s="248">
        <f t="shared" si="11"/>
        <v>1.9908759707753328E+16</v>
      </c>
      <c r="L24" s="250">
        <f t="shared" si="15"/>
        <v>-1.2128909092113506E+19</v>
      </c>
      <c r="M24" s="196" t="str">
        <f t="shared" si="3"/>
        <v/>
      </c>
      <c r="N24" s="196" t="str">
        <f t="shared" si="4"/>
        <v/>
      </c>
      <c r="O24" s="250">
        <f t="shared" si="5"/>
        <v>1.9908759707753328E+16</v>
      </c>
      <c r="P24" s="248">
        <f t="shared" si="16"/>
        <v>7.3760626649134071E-5</v>
      </c>
      <c r="Q24" s="250" t="str">
        <f t="shared" si="17"/>
        <v/>
      </c>
      <c r="R24" s="251" t="str">
        <f t="shared" si="18"/>
        <v/>
      </c>
      <c r="S24" s="252">
        <f>IF(AND(E24&gt;0.95*BiasLight,E24&lt;1.05*BiasLight),"",IF(AugerModel="Sinton",calclifetimeauger(Auger_Coefficient,I24,P24),calclifetimerichter(SampleType,I24,SampleDoping,P24)))</f>
        <v>12899.41308677742</v>
      </c>
      <c r="T24" s="201" t="str">
        <f t="shared" si="19"/>
        <v/>
      </c>
      <c r="U24" s="252">
        <f t="shared" si="12"/>
        <v>-86742.210688685707</v>
      </c>
      <c r="V24" s="251" t="str">
        <f>IF(AugerModel="Sinton","",IF(SampleType="n-type",n_intr_boltzmann(SampleDoping,0,K24,Temperature+273.15),n_intr_boltzmann(0,SampleDoping,K24,Temperature+273.15)))</f>
        <v/>
      </c>
      <c r="W24" s="251" t="str">
        <f t="shared" si="13"/>
        <v/>
      </c>
      <c r="X24" s="246">
        <f>IF(AND(A24&gt;TimeofMaxCD,I24&gt;Traps),IF(AugerModel="Sinton",CalcImpliedV(SampleDoping,O24),CalcImpliedVRichter(O24,SampleDoping,V24)),"")</f>
        <v>0.7570237392799144</v>
      </c>
      <c r="Y24" s="253">
        <f t="shared" si="6"/>
        <v>31.860790991654678</v>
      </c>
      <c r="Z24" s="200" t="str">
        <f t="shared" si="7"/>
        <v/>
      </c>
      <c r="AA24" s="254">
        <v>100.439252</v>
      </c>
      <c r="AB24" s="254">
        <v>99.557426474107885</v>
      </c>
      <c r="AC24" s="251">
        <f t="shared" si="14"/>
        <v>1.0044454094643277E-2</v>
      </c>
      <c r="AE24" s="251">
        <f t="shared" si="8"/>
        <v>1209.660519259595</v>
      </c>
    </row>
    <row r="25" spans="1:31" x14ac:dyDescent="0.2">
      <c r="A25" s="244">
        <v>1.6498999999999999E-3</v>
      </c>
      <c r="B25" s="244">
        <v>2.3305699999999998</v>
      </c>
      <c r="C25" s="245">
        <v>0.301985</v>
      </c>
      <c r="D25" s="246">
        <f>IF(CouplingMode="AC",B25-(A$11-A$10)*SUM(B$9:B25)/0.21,B25)</f>
        <v>2.3305699999999998</v>
      </c>
      <c r="E25" s="247">
        <f t="shared" si="9"/>
        <v>28.694934689784628</v>
      </c>
      <c r="F25" s="247">
        <f t="shared" si="0"/>
        <v>28.694934689784628</v>
      </c>
      <c r="G25" s="248">
        <f t="shared" si="1"/>
        <v>4.764577170713302E+18</v>
      </c>
      <c r="H25" s="249">
        <f t="shared" si="10"/>
        <v>7.1874285685010614E-2</v>
      </c>
      <c r="I25" s="248">
        <f>IF(MobilityModel=DK,CalcDeltaN(H25,SampleDoping,Thickness,AreaFrac),CalcDeltaNDL(H25,AreaFrac,Thickness,SampleType,SampleDoping,Temperature))</f>
        <v>1.8728247707966444E+16</v>
      </c>
      <c r="J25" s="248" t="str">
        <f t="shared" si="2"/>
        <v/>
      </c>
      <c r="K25" s="248">
        <f t="shared" si="11"/>
        <v>1.8728247707966444E+16</v>
      </c>
      <c r="L25" s="250">
        <f t="shared" si="15"/>
        <v>-1.1535072991344751E+19</v>
      </c>
      <c r="M25" s="196" t="str">
        <f t="shared" si="3"/>
        <v/>
      </c>
      <c r="N25" s="196" t="str">
        <f t="shared" si="4"/>
        <v/>
      </c>
      <c r="O25" s="250">
        <f t="shared" si="5"/>
        <v>1.8728247707966444E+16</v>
      </c>
      <c r="P25" s="248">
        <f t="shared" si="16"/>
        <v>7.3552058572983137E-5</v>
      </c>
      <c r="Q25" s="250" t="str">
        <f t="shared" si="17"/>
        <v/>
      </c>
      <c r="R25" s="251" t="str">
        <f t="shared" si="18"/>
        <v/>
      </c>
      <c r="S25" s="252">
        <f>IF(AND(E25&gt;0.95*BiasLight,E25&lt;1.05*BiasLight),"",IF(AugerModel="Sinton",calclifetimeauger(Auger_Coefficient,I25,P25),calclifetimerichter(SampleType,I25,SampleDoping,P25)))</f>
        <v>13013.572080795486</v>
      </c>
      <c r="T25" s="201" t="str">
        <f t="shared" si="19"/>
        <v/>
      </c>
      <c r="U25" s="252">
        <f t="shared" si="12"/>
        <v>-79876.001012934605</v>
      </c>
      <c r="V25" s="251" t="str">
        <f>IF(AugerModel="Sinton","",IF(SampleType="n-type",n_intr_boltzmann(SampleDoping,0,K25,Temperature+273.15),n_intr_boltzmann(0,SampleDoping,K25,Temperature+273.15)))</f>
        <v/>
      </c>
      <c r="W25" s="251" t="str">
        <f t="shared" si="13"/>
        <v/>
      </c>
      <c r="X25" s="246">
        <f>IF(AND(A25&gt;TimeofMaxCD,I25&gt;Traps),IF(AugerModel="Sinton",CalcImpliedV(SampleDoping,O25),CalcImpliedVRichter(O25,SampleDoping,V25)),"")</f>
        <v>0.75411912669221359</v>
      </c>
      <c r="Y25" s="253">
        <f t="shared" si="6"/>
        <v>30.056558990047144</v>
      </c>
      <c r="Z25" s="200" t="str">
        <f t="shared" si="7"/>
        <v/>
      </c>
      <c r="AA25" s="254">
        <v>105.532697</v>
      </c>
      <c r="AB25" s="254">
        <v>93.924023141841204</v>
      </c>
      <c r="AC25" s="251">
        <f t="shared" si="14"/>
        <v>1.0646903385833786E-2</v>
      </c>
      <c r="AE25" s="251">
        <f t="shared" si="8"/>
        <v>1222.2437172789821</v>
      </c>
    </row>
    <row r="26" spans="1:31" x14ac:dyDescent="0.2">
      <c r="A26" s="244">
        <v>1.7499E-3</v>
      </c>
      <c r="B26" s="244">
        <v>2.2168399999999999</v>
      </c>
      <c r="C26" s="245">
        <v>0.284804</v>
      </c>
      <c r="D26" s="246">
        <f>IF(CouplingMode="AC",B26-(A$11-A$10)*SUM(B$9:B26)/0.21,B26)</f>
        <v>2.2168399999999999</v>
      </c>
      <c r="E26" s="247">
        <f t="shared" si="9"/>
        <v>27.062377864428434</v>
      </c>
      <c r="F26" s="247">
        <f t="shared" si="0"/>
        <v>27.062377864428434</v>
      </c>
      <c r="G26" s="248">
        <f t="shared" si="1"/>
        <v>4.4935034406604012E+18</v>
      </c>
      <c r="H26" s="249">
        <f t="shared" si="10"/>
        <v>6.82550477105065E-2</v>
      </c>
      <c r="I26" s="248">
        <f>IF(MobilityModel=DK,CalcDeltaN(H26,SampleDoping,Thickness,AreaFrac),CalcDeltaNDL(H26,AreaFrac,Thickness,SampleType,SampleDoping,Temperature))</f>
        <v>1.7605699975024138E+16</v>
      </c>
      <c r="J26" s="248" t="str">
        <f t="shared" si="2"/>
        <v/>
      </c>
      <c r="K26" s="248">
        <f t="shared" si="11"/>
        <v>1.7605699975024138E+16</v>
      </c>
      <c r="L26" s="250">
        <f t="shared" si="15"/>
        <v>-1.0935598521379731E+19</v>
      </c>
      <c r="M26" s="196" t="str">
        <f t="shared" si="3"/>
        <v/>
      </c>
      <c r="N26" s="196" t="str">
        <f t="shared" si="4"/>
        <v/>
      </c>
      <c r="O26" s="250">
        <f t="shared" si="5"/>
        <v>1.7605699975024138E+16</v>
      </c>
      <c r="P26" s="248">
        <f t="shared" si="16"/>
        <v>7.3297230498405803E-5</v>
      </c>
      <c r="Q26" s="250" t="str">
        <f t="shared" si="17"/>
        <v/>
      </c>
      <c r="R26" s="251" t="str">
        <f t="shared" si="18"/>
        <v/>
      </c>
      <c r="S26" s="252">
        <f>IF(AND(E26&gt;0.95*BiasLight,E26&lt;1.05*BiasLight),"",IF(AugerModel="Sinton",calclifetimeauger(Auger_Coefficient,I26,P26),calclifetimerichter(SampleType,I26,SampleDoping,P26)))</f>
        <v>13128.54556524359</v>
      </c>
      <c r="T26" s="201" t="str">
        <f t="shared" si="19"/>
        <v/>
      </c>
      <c r="U26" s="252">
        <f t="shared" si="12"/>
        <v>-73346.928791040715</v>
      </c>
      <c r="V26" s="251" t="str">
        <f>IF(AugerModel="Sinton","",IF(SampleType="n-type",n_intr_boltzmann(SampleDoping,0,K26,Temperature+273.15),n_intr_boltzmann(0,SampleDoping,K26,Temperature+273.15)))</f>
        <v/>
      </c>
      <c r="W26" s="251" t="str">
        <f t="shared" si="13"/>
        <v/>
      </c>
      <c r="X26" s="246">
        <f>IF(AND(A26&gt;TimeofMaxCD,I26&gt;Traps),IF(AugerModel="Sinton",CalcImpliedV(SampleDoping,O26),CalcImpliedVRichter(O26,SampleDoping,V26)),"")</f>
        <v>0.75119477911868449</v>
      </c>
      <c r="Y26" s="253">
        <f t="shared" si="6"/>
        <v>28.353238936204775</v>
      </c>
      <c r="Z26" s="200" t="str">
        <f t="shared" si="7"/>
        <v/>
      </c>
      <c r="AA26" s="254">
        <v>110.37857200000001</v>
      </c>
      <c r="AB26" s="254">
        <v>89.146194899335541</v>
      </c>
      <c r="AC26" s="251">
        <f t="shared" si="14"/>
        <v>1.1217528702478064E-2</v>
      </c>
      <c r="AE26" s="251">
        <f t="shared" si="8"/>
        <v>1234.7041129765639</v>
      </c>
    </row>
    <row r="27" spans="1:31" x14ac:dyDescent="0.2">
      <c r="A27" s="244">
        <v>1.8499E-3</v>
      </c>
      <c r="B27" s="244">
        <v>2.10676</v>
      </c>
      <c r="C27" s="245">
        <v>0.26864100000000002</v>
      </c>
      <c r="D27" s="246">
        <f>IF(CouplingMode="AC",B27-(A$11-A$10)*SUM(B$9:B27)/0.21,B27)</f>
        <v>2.10676</v>
      </c>
      <c r="E27" s="247">
        <f t="shared" si="9"/>
        <v>25.526552477766884</v>
      </c>
      <c r="F27" s="247">
        <f t="shared" si="0"/>
        <v>25.526552477766884</v>
      </c>
      <c r="G27" s="248">
        <f t="shared" si="1"/>
        <v>4.2384912353845135E+18</v>
      </c>
      <c r="H27" s="249">
        <f t="shared" si="10"/>
        <v>6.4762891738471634E-2</v>
      </c>
      <c r="I27" s="248">
        <f>IF(MobilityModel=DK,CalcDeltaN(H27,SampleDoping,Thickness,AreaFrac),CalcDeltaNDL(H27,AreaFrac,Thickness,SampleType,SampleDoping,Temperature))</f>
        <v>1.6539968009497458E+16</v>
      </c>
      <c r="J27" s="248" t="str">
        <f t="shared" si="2"/>
        <v/>
      </c>
      <c r="K27" s="248">
        <f t="shared" si="11"/>
        <v>1.6539968009497458E+16</v>
      </c>
      <c r="L27" s="250">
        <f t="shared" si="15"/>
        <v>-1.0360607370624027E+19</v>
      </c>
      <c r="M27" s="196" t="str">
        <f t="shared" si="3"/>
        <v/>
      </c>
      <c r="N27" s="196" t="str">
        <f t="shared" si="4"/>
        <v/>
      </c>
      <c r="O27" s="250">
        <f t="shared" si="5"/>
        <v>1.6539968009497458E+16</v>
      </c>
      <c r="P27" s="248">
        <f t="shared" si="16"/>
        <v>7.2988642676767354E-5</v>
      </c>
      <c r="Q27" s="250" t="str">
        <f t="shared" si="17"/>
        <v/>
      </c>
      <c r="R27" s="251" t="str">
        <f t="shared" si="18"/>
        <v/>
      </c>
      <c r="S27" s="252">
        <f>IF(AND(E27&gt;0.95*BiasLight,E27&lt;1.05*BiasLight),"",IF(AugerModel="Sinton",calclifetimeauger(Auger_Coefficient,I27,P27),calclifetimerichter(SampleType,I27,SampleDoping,P27)))</f>
        <v>13246.634599030773</v>
      </c>
      <c r="T27" s="201" t="str">
        <f t="shared" si="19"/>
        <v/>
      </c>
      <c r="U27" s="252">
        <f t="shared" si="12"/>
        <v>-67148.314007982539</v>
      </c>
      <c r="V27" s="251" t="str">
        <f>IF(AugerModel="Sinton","",IF(SampleType="n-type",n_intr_boltzmann(SampleDoping,0,K27,Temperature+273.15),n_intr_boltzmann(0,SampleDoping,K27,Temperature+273.15)))</f>
        <v/>
      </c>
      <c r="W27" s="251" t="str">
        <f t="shared" si="13"/>
        <v/>
      </c>
      <c r="X27" s="246">
        <f>IF(AND(A27&gt;TimeofMaxCD,I27&gt;Traps),IF(AugerModel="Sinton",CalcImpliedV(SampleDoping,O27),CalcImpliedVRichter(O27,SampleDoping,V27)),"")</f>
        <v>0.74825406348306323</v>
      </c>
      <c r="Y27" s="253">
        <f t="shared" si="6"/>
        <v>26.749540383600337</v>
      </c>
      <c r="Z27" s="200" t="str">
        <f t="shared" si="7"/>
        <v/>
      </c>
      <c r="AA27" s="254">
        <v>115.414168</v>
      </c>
      <c r="AB27" s="254">
        <v>84.784474294357636</v>
      </c>
      <c r="AC27" s="251">
        <f t="shared" si="14"/>
        <v>1.179461226035519E-2</v>
      </c>
      <c r="AE27" s="251">
        <f t="shared" si="8"/>
        <v>1247.0187511792926</v>
      </c>
    </row>
    <row r="28" spans="1:31" x14ac:dyDescent="0.2">
      <c r="A28" s="244">
        <v>1.9499000000000001E-3</v>
      </c>
      <c r="B28" s="244">
        <v>2.0009899999999998</v>
      </c>
      <c r="C28" s="245">
        <v>0.25351600000000002</v>
      </c>
      <c r="D28" s="246">
        <f>IF(CouplingMode="AC",B28-(A$11-A$10)*SUM(B$9:B28)/0.21,B28)</f>
        <v>2.0009899999999998</v>
      </c>
      <c r="E28" s="247">
        <f t="shared" si="9"/>
        <v>24.089358950992402</v>
      </c>
      <c r="F28" s="247">
        <f t="shared" si="0"/>
        <v>24.089358950992402</v>
      </c>
      <c r="G28" s="248">
        <f t="shared" si="1"/>
        <v>3.9998561054706483E+18</v>
      </c>
      <c r="H28" s="249">
        <f t="shared" si="10"/>
        <v>6.1417591838117874E-2</v>
      </c>
      <c r="I28" s="248">
        <f>IF(MobilityModel=DK,CalcDeltaN(H28,SampleDoping,Thickness,AreaFrac),CalcDeltaNDL(H28,AreaFrac,Thickness,SampleType,SampleDoping,Temperature))</f>
        <v>1.5535100296297956E+16</v>
      </c>
      <c r="J28" s="248" t="str">
        <f t="shared" si="2"/>
        <v/>
      </c>
      <c r="K28" s="248">
        <f t="shared" si="11"/>
        <v>1.5535100296297956E+16</v>
      </c>
      <c r="L28" s="250">
        <f t="shared" si="15"/>
        <v>-9.7889553991152312E+18</v>
      </c>
      <c r="M28" s="196" t="str">
        <f t="shared" si="3"/>
        <v/>
      </c>
      <c r="N28" s="196" t="str">
        <f t="shared" si="4"/>
        <v/>
      </c>
      <c r="O28" s="250">
        <f t="shared" si="5"/>
        <v>1.5535100296297956E+16</v>
      </c>
      <c r="P28" s="248">
        <f t="shared" si="16"/>
        <v>7.2640346347184882E-5</v>
      </c>
      <c r="Q28" s="250" t="str">
        <f t="shared" si="17"/>
        <v/>
      </c>
      <c r="R28" s="251" t="str">
        <f t="shared" si="18"/>
        <v/>
      </c>
      <c r="S28" s="252">
        <f>IF(AND(E28&gt;0.95*BiasLight,E28&lt;1.05*BiasLight),"",IF(AugerModel="Sinton",calclifetimeauger(Auger_Coefficient,I28,P28),calclifetimerichter(SampleType,I28,SampleDoping,P28)))</f>
        <v>13365.830878979879</v>
      </c>
      <c r="T28" s="201" t="str">
        <f t="shared" si="19"/>
        <v/>
      </c>
      <c r="U28" s="252">
        <f t="shared" si="12"/>
        <v>-61303.703858771099</v>
      </c>
      <c r="V28" s="251" t="str">
        <f>IF(AugerModel="Sinton","",IF(SampleType="n-type",n_intr_boltzmann(SampleDoping,0,K28,Temperature+273.15),n_intr_boltzmann(0,SampleDoping,K28,Temperature+273.15)))</f>
        <v/>
      </c>
      <c r="W28" s="251" t="str">
        <f t="shared" si="13"/>
        <v/>
      </c>
      <c r="X28" s="246">
        <f>IF(AND(A28&gt;TimeofMaxCD,I28&gt;Traps),IF(AugerModel="Sinton",CalcImpliedV(SampleDoping,O28),CalcImpliedVRichter(O28,SampleDoping,V28)),"")</f>
        <v>0.74531658391829847</v>
      </c>
      <c r="Y28" s="253">
        <f t="shared" si="6"/>
        <v>25.244867854631117</v>
      </c>
      <c r="Z28" s="200" t="str">
        <f t="shared" si="7"/>
        <v/>
      </c>
      <c r="AA28" s="254">
        <v>120.43200899999999</v>
      </c>
      <c r="AB28" s="254">
        <v>81.005726711876193</v>
      </c>
      <c r="AC28" s="251">
        <f t="shared" si="14"/>
        <v>1.2344806232735032E-2</v>
      </c>
      <c r="AE28" s="251">
        <f t="shared" si="8"/>
        <v>1259.0997547891059</v>
      </c>
    </row>
    <row r="29" spans="1:31" x14ac:dyDescent="0.2">
      <c r="A29" s="244">
        <v>2.0498999999999999E-3</v>
      </c>
      <c r="B29" s="244">
        <v>1.8989400000000001</v>
      </c>
      <c r="C29" s="245">
        <v>0.23935899999999999</v>
      </c>
      <c r="D29" s="246">
        <f>IF(CouplingMode="AC",B29-(A$11-A$10)*SUM(B$9:B29)/0.21,B29)</f>
        <v>1.8989400000000001</v>
      </c>
      <c r="E29" s="247">
        <f t="shared" si="9"/>
        <v>22.744145809931481</v>
      </c>
      <c r="F29" s="247">
        <f t="shared" si="0"/>
        <v>22.744145809931481</v>
      </c>
      <c r="G29" s="248">
        <f t="shared" si="1"/>
        <v>3.7764936238712694E+18</v>
      </c>
      <c r="H29" s="249">
        <f t="shared" si="10"/>
        <v>5.8199355182782062E-2</v>
      </c>
      <c r="I29" s="248">
        <f>IF(MobilityModel=DK,CalcDeltaN(H29,SampleDoping,Thickness,AreaFrac),CalcDeltaNDL(H29,AreaFrac,Thickness,SampleType,SampleDoping,Temperature))</f>
        <v>1.4583243862017522E+16</v>
      </c>
      <c r="J29" s="248" t="str">
        <f t="shared" si="2"/>
        <v/>
      </c>
      <c r="K29" s="248">
        <f t="shared" si="11"/>
        <v>1.4583243862017522E+16</v>
      </c>
      <c r="L29" s="250">
        <f t="shared" si="15"/>
        <v>-9.2335117430757356E+18</v>
      </c>
      <c r="M29" s="196" t="str">
        <f t="shared" si="3"/>
        <v/>
      </c>
      <c r="N29" s="196" t="str">
        <f t="shared" si="4"/>
        <v/>
      </c>
      <c r="O29" s="250">
        <f t="shared" si="5"/>
        <v>1.4583243862017522E+16</v>
      </c>
      <c r="P29" s="248">
        <f t="shared" si="16"/>
        <v>7.2225827840122523E-5</v>
      </c>
      <c r="Q29" s="250" t="str">
        <f t="shared" si="17"/>
        <v/>
      </c>
      <c r="R29" s="251" t="str">
        <f t="shared" si="18"/>
        <v/>
      </c>
      <c r="S29" s="252">
        <f>IF(AND(E29&gt;0.95*BiasLight,E29&lt;1.05*BiasLight),"",IF(AugerModel="Sinton",calclifetimeauger(Auger_Coefficient,I29,P29),calclifetimerichter(SampleType,I29,SampleDoping,P29)))</f>
        <v>13492.428763551381</v>
      </c>
      <c r="T29" s="201" t="str">
        <f t="shared" si="19"/>
        <v/>
      </c>
      <c r="U29" s="252">
        <f t="shared" si="12"/>
        <v>-55767.423109263982</v>
      </c>
      <c r="V29" s="251" t="str">
        <f>IF(AugerModel="Sinton","",IF(SampleType="n-type",n_intr_boltzmann(SampleDoping,0,K29,Temperature+273.15),n_intr_boltzmann(0,SampleDoping,K29,Temperature+273.15)))</f>
        <v/>
      </c>
      <c r="W29" s="251" t="str">
        <f t="shared" si="13"/>
        <v/>
      </c>
      <c r="X29" s="246">
        <f>IF(AND(A29&gt;TimeofMaxCD,I29&gt;Traps),IF(AugerModel="Sinton",CalcImpliedV(SampleDoping,O29),CalcImpliedVRichter(O29,SampleDoping,V29)),"")</f>
        <v>0.74236839142105959</v>
      </c>
      <c r="Y29" s="253">
        <f t="shared" si="6"/>
        <v>23.834088975056229</v>
      </c>
      <c r="Z29" s="200" t="str">
        <f t="shared" si="7"/>
        <v/>
      </c>
      <c r="AA29" s="254">
        <v>125.43118</v>
      </c>
      <c r="AB29" s="254">
        <v>77.809397610286311</v>
      </c>
      <c r="AC29" s="251">
        <f t="shared" si="14"/>
        <v>1.2851918029343556E-2</v>
      </c>
      <c r="AE29" s="251">
        <f t="shared" si="8"/>
        <v>1270.9997106005928</v>
      </c>
    </row>
    <row r="30" spans="1:31" x14ac:dyDescent="0.2">
      <c r="A30" s="244">
        <v>2.1499000000000002E-3</v>
      </c>
      <c r="B30" s="244">
        <v>1.8013999999999999</v>
      </c>
      <c r="C30" s="245">
        <v>0.22608300000000001</v>
      </c>
      <c r="D30" s="246">
        <f>IF(CouplingMode="AC",B30-(A$11-A$10)*SUM(B$9:B30)/0.21,B30)</f>
        <v>1.8013999999999999</v>
      </c>
      <c r="E30" s="247">
        <f t="shared" si="9"/>
        <v>21.482646222397065</v>
      </c>
      <c r="F30" s="247">
        <f t="shared" si="0"/>
        <v>21.482646222397065</v>
      </c>
      <c r="G30" s="248">
        <f t="shared" si="1"/>
        <v>3.5670311455415849E+18</v>
      </c>
      <c r="H30" s="249">
        <f t="shared" si="10"/>
        <v>5.5131980422541263E-2</v>
      </c>
      <c r="I30" s="248">
        <f>IF(MobilityModel=DK,CalcDeltaN(H30,SampleDoping,Thickness,AreaFrac),CalcDeltaNDL(H30,AreaFrac,Thickness,SampleType,SampleDoping,Temperature))</f>
        <v>1.368958434920649E+16</v>
      </c>
      <c r="J30" s="248" t="str">
        <f t="shared" si="2"/>
        <v/>
      </c>
      <c r="K30" s="248">
        <f t="shared" si="11"/>
        <v>1.368958434920649E+16</v>
      </c>
      <c r="L30" s="250">
        <f t="shared" si="15"/>
        <v>-8.7046034893594071E+18</v>
      </c>
      <c r="M30" s="196" t="str">
        <f t="shared" si="3"/>
        <v/>
      </c>
      <c r="N30" s="196" t="str">
        <f t="shared" si="4"/>
        <v/>
      </c>
      <c r="O30" s="250">
        <f t="shared" si="5"/>
        <v>1.368958434920649E+16</v>
      </c>
      <c r="P30" s="248">
        <f t="shared" si="16"/>
        <v>7.1787479429067039E-5</v>
      </c>
      <c r="Q30" s="250" t="str">
        <f t="shared" si="17"/>
        <v/>
      </c>
      <c r="R30" s="251" t="str">
        <f t="shared" si="18"/>
        <v/>
      </c>
      <c r="S30" s="252">
        <f>IF(AND(E30&gt;0.95*BiasLight,E30&lt;1.05*BiasLight),"",IF(AugerModel="Sinton",calclifetimeauger(Auger_Coefficient,I30,P30),calclifetimerichter(SampleType,I30,SampleDoping,P30)))</f>
        <v>13618.913898311283</v>
      </c>
      <c r="T30" s="201" t="str">
        <f t="shared" si="19"/>
        <v/>
      </c>
      <c r="U30" s="252">
        <f t="shared" si="12"/>
        <v>-50569.633002261369</v>
      </c>
      <c r="V30" s="251" t="str">
        <f>IF(AugerModel="Sinton","",IF(SampleType="n-type",n_intr_boltzmann(SampleDoping,0,K30,Temperature+273.15),n_intr_boltzmann(0,SampleDoping,K30,Temperature+273.15)))</f>
        <v/>
      </c>
      <c r="W30" s="251" t="str">
        <f t="shared" si="13"/>
        <v/>
      </c>
      <c r="X30" s="246">
        <f>IF(AND(A30&gt;TimeofMaxCD,I30&gt;Traps),IF(AugerModel="Sinton",CalcImpliedV(SampleDoping,O30),CalcImpliedVRichter(O30,SampleDoping,V30)),"")</f>
        <v>0.73943557188529951</v>
      </c>
      <c r="Y30" s="253">
        <f t="shared" si="6"/>
        <v>22.510155943762079</v>
      </c>
      <c r="Z30" s="200" t="str">
        <f t="shared" si="7"/>
        <v/>
      </c>
      <c r="AA30" s="254">
        <v>130.38081299999999</v>
      </c>
      <c r="AB30" s="254">
        <v>74.589379511139683</v>
      </c>
      <c r="AC30" s="251">
        <f t="shared" si="14"/>
        <v>1.3406734397765747E-2</v>
      </c>
      <c r="AE30" s="251">
        <f t="shared" si="8"/>
        <v>1282.610373589778</v>
      </c>
    </row>
    <row r="31" spans="1:31" x14ac:dyDescent="0.2">
      <c r="A31" s="244">
        <v>2.2499E-3</v>
      </c>
      <c r="B31" s="244">
        <v>1.7077100000000001</v>
      </c>
      <c r="C31" s="245">
        <v>0.21359300000000001</v>
      </c>
      <c r="D31" s="246">
        <f>IF(CouplingMode="AC",B31-(A$11-A$10)*SUM(B$9:B31)/0.21,B31)</f>
        <v>1.7077100000000001</v>
      </c>
      <c r="E31" s="247">
        <f t="shared" si="9"/>
        <v>20.295833187725112</v>
      </c>
      <c r="F31" s="247">
        <f t="shared" si="0"/>
        <v>20.295833187725112</v>
      </c>
      <c r="G31" s="248">
        <f t="shared" si="1"/>
        <v>3.3699698052027955E+18</v>
      </c>
      <c r="H31" s="249">
        <f t="shared" si="10"/>
        <v>5.2193624795037641E-2</v>
      </c>
      <c r="I31" s="248">
        <f>IF(MobilityModel=DK,CalcDeltaN(H31,SampleDoping,Thickness,AreaFrac),CalcDeltaNDL(H31,AreaFrac,Thickness,SampleType,SampleDoping,Temperature))</f>
        <v>1.2845970111505322E+16</v>
      </c>
      <c r="J31" s="248" t="str">
        <f t="shared" si="2"/>
        <v/>
      </c>
      <c r="K31" s="248">
        <f t="shared" si="11"/>
        <v>1.2845970111505322E+16</v>
      </c>
      <c r="L31" s="250">
        <f t="shared" si="15"/>
        <v>-8.1950523335053076E+18</v>
      </c>
      <c r="M31" s="196" t="str">
        <f t="shared" si="3"/>
        <v/>
      </c>
      <c r="N31" s="196" t="str">
        <f t="shared" si="4"/>
        <v/>
      </c>
      <c r="O31" s="250">
        <f t="shared" si="5"/>
        <v>1.2845970111505322E+16</v>
      </c>
      <c r="P31" s="248">
        <f t="shared" si="16"/>
        <v>7.1314089797917801E-5</v>
      </c>
      <c r="Q31" s="250" t="str">
        <f t="shared" si="17"/>
        <v/>
      </c>
      <c r="R31" s="251" t="str">
        <f t="shared" si="18"/>
        <v/>
      </c>
      <c r="S31" s="252">
        <f>IF(AND(E31&gt;0.95*BiasLight,E31&lt;1.05*BiasLight),"",IF(AugerModel="Sinton",calclifetimeauger(Auger_Coefficient,I31,P31),calclifetimerichter(SampleType,I31,SampleDoping,P31)))</f>
        <v>13748.542966468682</v>
      </c>
      <c r="T31" s="201" t="str">
        <f t="shared" si="19"/>
        <v/>
      </c>
      <c r="U31" s="252">
        <f t="shared" si="12"/>
        <v>-45662.92113270743</v>
      </c>
      <c r="V31" s="251" t="str">
        <f>IF(AugerModel="Sinton","",IF(SampleType="n-type",n_intr_boltzmann(SampleDoping,0,K31,Temperature+273.15),n_intr_boltzmann(0,SampleDoping,K31,Temperature+273.15)))</f>
        <v/>
      </c>
      <c r="W31" s="251" t="str">
        <f t="shared" si="13"/>
        <v/>
      </c>
      <c r="X31" s="246">
        <f>IF(AND(A31&gt;TimeofMaxCD,I31&gt;Traps),IF(AugerModel="Sinton",CalcImpliedV(SampleDoping,O31),CalcImpliedVRichter(O31,SampleDoping,V31)),"")</f>
        <v>0.73650228658171146</v>
      </c>
      <c r="Y31" s="253">
        <f t="shared" si="6"/>
        <v>21.26319441791383</v>
      </c>
      <c r="Z31" s="200" t="str">
        <f t="shared" si="7"/>
        <v/>
      </c>
      <c r="AA31" s="254">
        <v>135.37871899999999</v>
      </c>
      <c r="AB31" s="254">
        <v>72.14800624853477</v>
      </c>
      <c r="AC31" s="251">
        <f t="shared" si="14"/>
        <v>1.3860396870222712E-2</v>
      </c>
      <c r="AE31" s="251">
        <f t="shared" si="8"/>
        <v>1293.9931249234942</v>
      </c>
    </row>
    <row r="32" spans="1:31" x14ac:dyDescent="0.2">
      <c r="A32" s="244">
        <v>2.3498999999999998E-3</v>
      </c>
      <c r="B32" s="244">
        <v>1.6179699999999999</v>
      </c>
      <c r="C32" s="245">
        <v>0.201816</v>
      </c>
      <c r="D32" s="246">
        <f>IF(CouplingMode="AC",B32-(A$11-A$10)*SUM(B$9:B32)/0.21,B32)</f>
        <v>1.6179699999999999</v>
      </c>
      <c r="E32" s="247">
        <f t="shared" si="9"/>
        <v>19.176770168563255</v>
      </c>
      <c r="F32" s="247">
        <f t="shared" si="0"/>
        <v>19.176770168563255</v>
      </c>
      <c r="G32" s="248">
        <f t="shared" si="1"/>
        <v>3.1841578432196163E+18</v>
      </c>
      <c r="H32" s="249">
        <f t="shared" si="10"/>
        <v>4.9386452480256166E-2</v>
      </c>
      <c r="I32" s="248">
        <f>IF(MobilityModel=DK,CalcDeltaN(H32,SampleDoping,Thickness,AreaFrac),CalcDeltaNDL(H32,AreaFrac,Thickness,SampleType,SampleDoping,Temperature))</f>
        <v>1.2051435426874354E+16</v>
      </c>
      <c r="J32" s="248" t="str">
        <f t="shared" si="2"/>
        <v/>
      </c>
      <c r="K32" s="248">
        <f t="shared" si="11"/>
        <v>1.2051435426874354E+16</v>
      </c>
      <c r="L32" s="250">
        <f t="shared" si="15"/>
        <v>-7.7151231574896087E+18</v>
      </c>
      <c r="M32" s="196" t="str">
        <f t="shared" si="3"/>
        <v/>
      </c>
      <c r="N32" s="196" t="str">
        <f t="shared" si="4"/>
        <v/>
      </c>
      <c r="O32" s="250">
        <f t="shared" si="5"/>
        <v>1.2051435426874354E+16</v>
      </c>
      <c r="P32" s="248">
        <f t="shared" si="16"/>
        <v>7.0819079407196287E-5</v>
      </c>
      <c r="Q32" s="250" t="str">
        <f t="shared" si="17"/>
        <v/>
      </c>
      <c r="R32" s="251" t="str">
        <f t="shared" si="18"/>
        <v/>
      </c>
      <c r="S32" s="252">
        <f>IF(AND(E32&gt;0.95*BiasLight,E32&lt;1.05*BiasLight),"",IF(AugerModel="Sinton",calclifetimeauger(Auger_Coefficient,I32,P32),calclifetimerichter(SampleType,I32,SampleDoping,P32)))</f>
        <v>13879.394972433285</v>
      </c>
      <c r="T32" s="201" t="str">
        <f t="shared" si="19"/>
        <v/>
      </c>
      <c r="U32" s="252">
        <f t="shared" si="12"/>
        <v>-41041.670573358715</v>
      </c>
      <c r="V32" s="251" t="str">
        <f>IF(AugerModel="Sinton","",IF(SampleType="n-type",n_intr_boltzmann(SampleDoping,0,K32,Temperature+273.15),n_intr_boltzmann(0,SampleDoping,K32,Temperature+273.15)))</f>
        <v/>
      </c>
      <c r="W32" s="251" t="str">
        <f t="shared" si="13"/>
        <v/>
      </c>
      <c r="X32" s="246">
        <f>IF(AND(A32&gt;TimeofMaxCD,I32&gt;Traps),IF(AugerModel="Sinton",CalcImpliedV(SampleDoping,O32),CalcImpliedVRichter(O32,SampleDoping,V32)),"")</f>
        <v>0.73357522123657415</v>
      </c>
      <c r="Y32" s="253">
        <f t="shared" si="6"/>
        <v>20.087479548437866</v>
      </c>
      <c r="Z32" s="200" t="str">
        <f t="shared" si="7"/>
        <v/>
      </c>
      <c r="AA32" s="254">
        <v>140.399551</v>
      </c>
      <c r="AB32" s="254">
        <v>69.778635882549878</v>
      </c>
      <c r="AC32" s="251">
        <f t="shared" si="14"/>
        <v>1.4331033952615263E-2</v>
      </c>
      <c r="AE32" s="251">
        <f t="shared" si="8"/>
        <v>1305.1200749523234</v>
      </c>
    </row>
    <row r="33" spans="1:31" x14ac:dyDescent="0.2">
      <c r="A33" s="244">
        <v>2.4499000000000001E-3</v>
      </c>
      <c r="B33" s="244">
        <v>1.5322499999999999</v>
      </c>
      <c r="C33" s="245">
        <v>0.19082399999999999</v>
      </c>
      <c r="D33" s="246">
        <f>IF(CouplingMode="AC",B33-(A$11-A$10)*SUM(B$9:B33)/0.21,B33)</f>
        <v>1.5322499999999999</v>
      </c>
      <c r="E33" s="247">
        <f t="shared" si="9"/>
        <v>18.132298681204237</v>
      </c>
      <c r="F33" s="247">
        <f t="shared" si="0"/>
        <v>18.132298681204237</v>
      </c>
      <c r="G33" s="248">
        <f t="shared" si="1"/>
        <v>3.0107312416980813E+18</v>
      </c>
      <c r="H33" s="249">
        <f t="shared" si="10"/>
        <v>4.6711701685741076E-2</v>
      </c>
      <c r="I33" s="248">
        <f>IF(MobilityModel=DK,CalcDeltaN(H33,SampleDoping,Thickness,AreaFrac),CalcDeltaNDL(H33,AreaFrac,Thickness,SampleType,SampleDoping,Temperature))</f>
        <v>1.1304792156430936E+16</v>
      </c>
      <c r="J33" s="248" t="str">
        <f t="shared" si="2"/>
        <v/>
      </c>
      <c r="K33" s="248">
        <f t="shared" si="11"/>
        <v>1.1304792156430936E+16</v>
      </c>
      <c r="L33" s="250">
        <f t="shared" si="15"/>
        <v>-7.2410165596769413E+18</v>
      </c>
      <c r="M33" s="196" t="str">
        <f t="shared" si="3"/>
        <v/>
      </c>
      <c r="N33" s="196" t="str">
        <f t="shared" si="4"/>
        <v/>
      </c>
      <c r="O33" s="250">
        <f t="shared" si="5"/>
        <v>1.1304792156430936E+16</v>
      </c>
      <c r="P33" s="248">
        <f t="shared" si="16"/>
        <v>7.0281687841031854E-5</v>
      </c>
      <c r="Q33" s="250" t="str">
        <f t="shared" si="17"/>
        <v/>
      </c>
      <c r="R33" s="251" t="str">
        <f t="shared" si="18"/>
        <v/>
      </c>
      <c r="S33" s="252">
        <f>IF(AND(E33&gt;0.95*BiasLight,E33&lt;1.05*BiasLight),"",IF(AugerModel="Sinton",calclifetimeauger(Auger_Coefficient,I33,P33),calclifetimerichter(SampleType,I33,SampleDoping,P33)))</f>
        <v>14016.312158760355</v>
      </c>
      <c r="T33" s="201" t="str">
        <f t="shared" si="19"/>
        <v/>
      </c>
      <c r="U33" s="252">
        <f t="shared" si="12"/>
        <v>-36698.97075431532</v>
      </c>
      <c r="V33" s="251" t="str">
        <f>IF(AugerModel="Sinton","",IF(SampleType="n-type",n_intr_boltzmann(SampleDoping,0,K33,Temperature+273.15),n_intr_boltzmann(0,SampleDoping,K33,Temperature+273.15)))</f>
        <v/>
      </c>
      <c r="W33" s="251" t="str">
        <f t="shared" si="13"/>
        <v/>
      </c>
      <c r="X33" s="246">
        <f>IF(AND(A33&gt;TimeofMaxCD,I33&gt;Traps),IF(AugerModel="Sinton",CalcImpliedV(SampleDoping,O33),CalcImpliedVRichter(O33,SampleDoping,V33)),"")</f>
        <v>0.73066114971444696</v>
      </c>
      <c r="Y33" s="253">
        <f t="shared" si="6"/>
        <v>18.98704352015389</v>
      </c>
      <c r="Z33" s="200" t="str">
        <f t="shared" si="7"/>
        <v/>
      </c>
      <c r="AA33" s="254">
        <v>145.42892699999999</v>
      </c>
      <c r="AB33" s="254">
        <v>67.451837995844173</v>
      </c>
      <c r="AC33" s="251">
        <f t="shared" si="14"/>
        <v>1.4825392898287097E-2</v>
      </c>
      <c r="AE33" s="251">
        <f t="shared" si="8"/>
        <v>1315.9655600263025</v>
      </c>
    </row>
    <row r="34" spans="1:31" x14ac:dyDescent="0.2">
      <c r="A34" s="244">
        <v>2.5498999999999999E-3</v>
      </c>
      <c r="B34" s="244">
        <v>1.45035</v>
      </c>
      <c r="C34" s="245">
        <v>0.180481</v>
      </c>
      <c r="D34" s="246">
        <f>IF(CouplingMode="AC",B34-(A$11-A$10)*SUM(B$9:B34)/0.21,B34)</f>
        <v>1.45035</v>
      </c>
      <c r="E34" s="247">
        <f t="shared" si="9"/>
        <v>17.149495861539545</v>
      </c>
      <c r="F34" s="247">
        <f t="shared" si="0"/>
        <v>17.149495861539545</v>
      </c>
      <c r="G34" s="248">
        <f t="shared" si="1"/>
        <v>2.8475442566601242E+18</v>
      </c>
      <c r="H34" s="249">
        <f t="shared" si="10"/>
        <v>4.4162236786656761E-2</v>
      </c>
      <c r="I34" s="248">
        <f>IF(MobilityModel=DK,CalcDeltaN(H34,SampleDoping,Thickness,AreaFrac),CalcDeltaNDL(H34,AreaFrac,Thickness,SampleType,SampleDoping,Temperature))</f>
        <v>1.060261174799888E+16</v>
      </c>
      <c r="J34" s="248" t="str">
        <f t="shared" si="2"/>
        <v/>
      </c>
      <c r="K34" s="248">
        <f t="shared" si="11"/>
        <v>1.060261174799888E+16</v>
      </c>
      <c r="L34" s="250">
        <f t="shared" si="15"/>
        <v>-6.7924317947805164E+18</v>
      </c>
      <c r="M34" s="196" t="str">
        <f t="shared" si="3"/>
        <v/>
      </c>
      <c r="N34" s="196" t="str">
        <f t="shared" si="4"/>
        <v/>
      </c>
      <c r="O34" s="250">
        <f t="shared" si="5"/>
        <v>1.060261174799888E+16</v>
      </c>
      <c r="P34" s="248">
        <f t="shared" si="16"/>
        <v>6.9719485059645459E-5</v>
      </c>
      <c r="Q34" s="250" t="str">
        <f t="shared" si="17"/>
        <v/>
      </c>
      <c r="R34" s="251" t="str">
        <f t="shared" si="18"/>
        <v/>
      </c>
      <c r="S34" s="252">
        <f>IF(AND(E34&gt;0.95*BiasLight,E34&lt;1.05*BiasLight),"",IF(AugerModel="Sinton",calclifetimeauger(Auger_Coefficient,I34,P34),calclifetimerichter(SampleType,I34,SampleDoping,P34)))</f>
        <v>14156.583044725445</v>
      </c>
      <c r="T34" s="201" t="str">
        <f t="shared" si="19"/>
        <v/>
      </c>
      <c r="U34" s="252">
        <f t="shared" si="12"/>
        <v>-32614.880194143603</v>
      </c>
      <c r="V34" s="251" t="str">
        <f>IF(AugerModel="Sinton","",IF(SampleType="n-type",n_intr_boltzmann(SampleDoping,0,K34,Temperature+273.15),n_intr_boltzmann(0,SampleDoping,K34,Temperature+273.15)))</f>
        <v/>
      </c>
      <c r="W34" s="251" t="str">
        <f t="shared" si="13"/>
        <v/>
      </c>
      <c r="X34" s="246">
        <f>IF(AND(A34&gt;TimeofMaxCD,I34&gt;Traps),IF(AugerModel="Sinton",CalcImpliedV(SampleDoping,O34),CalcImpliedVRichter(O34,SampleDoping,V34)),"")</f>
        <v>0.72775816616436406</v>
      </c>
      <c r="Y34" s="253">
        <f t="shared" si="6"/>
        <v>17.95128881045185</v>
      </c>
      <c r="Z34" s="200" t="str">
        <f t="shared" si="7"/>
        <v/>
      </c>
      <c r="AA34" s="254">
        <v>150.45680400000001</v>
      </c>
      <c r="AB34" s="254">
        <v>65.353998089210194</v>
      </c>
      <c r="AC34" s="251">
        <f t="shared" si="14"/>
        <v>1.5301282694824113E-2</v>
      </c>
      <c r="AE34" s="251">
        <f t="shared" si="8"/>
        <v>1326.5377712778793</v>
      </c>
    </row>
    <row r="35" spans="1:31" x14ac:dyDescent="0.2">
      <c r="A35" s="244">
        <v>2.6499000000000002E-3</v>
      </c>
      <c r="B35" s="244">
        <v>1.3730500000000001</v>
      </c>
      <c r="C35" s="245">
        <v>0.17077500000000001</v>
      </c>
      <c r="D35" s="246">
        <f>IF(CouplingMode="AC",B35-(A$11-A$10)*SUM(B$9:B35)/0.21,B35)</f>
        <v>1.3730500000000001</v>
      </c>
      <c r="E35" s="247">
        <f t="shared" si="9"/>
        <v>16.227221456853719</v>
      </c>
      <c r="F35" s="247">
        <f t="shared" si="0"/>
        <v>16.227221456853719</v>
      </c>
      <c r="G35" s="248">
        <f t="shared" si="1"/>
        <v>2.6944075577547372E+18</v>
      </c>
      <c r="H35" s="249">
        <f t="shared" si="10"/>
        <v>4.1761423696692772E-2</v>
      </c>
      <c r="I35" s="248">
        <f>IF(MobilityModel=DK,CalcDeltaN(H35,SampleDoping,Thickness,AreaFrac),CalcDeltaNDL(H35,AreaFrac,Thickness,SampleType,SampleDoping,Temperature))</f>
        <v>9949873671104586</v>
      </c>
      <c r="J35" s="248" t="str">
        <f t="shared" si="2"/>
        <v/>
      </c>
      <c r="K35" s="248">
        <f t="shared" si="11"/>
        <v>9949873671104586</v>
      </c>
      <c r="L35" s="250">
        <f t="shared" si="15"/>
        <v>-6.3706259489626542E+18</v>
      </c>
      <c r="M35" s="196" t="str">
        <f t="shared" si="3"/>
        <v/>
      </c>
      <c r="N35" s="196" t="str">
        <f t="shared" si="4"/>
        <v/>
      </c>
      <c r="O35" s="250">
        <f t="shared" si="5"/>
        <v>9949873671104586</v>
      </c>
      <c r="P35" s="248">
        <f t="shared" si="16"/>
        <v>6.9173012027657729E-5</v>
      </c>
      <c r="Q35" s="250" t="str">
        <f t="shared" si="17"/>
        <v/>
      </c>
      <c r="R35" s="251" t="str">
        <f t="shared" si="18"/>
        <v/>
      </c>
      <c r="S35" s="252">
        <f>IF(AND(E35&gt;0.95*BiasLight,E35&lt;1.05*BiasLight),"",IF(AugerModel="Sinton",calclifetimeauger(Auger_Coefficient,I35,P35),calclifetimerichter(SampleType,I35,SampleDoping,P35)))</f>
        <v>14292.165106349868</v>
      </c>
      <c r="T35" s="201" t="str">
        <f t="shared" si="19"/>
        <v/>
      </c>
      <c r="U35" s="252">
        <f t="shared" si="12"/>
        <v>-28818.360971880829</v>
      </c>
      <c r="V35" s="251" t="str">
        <f>IF(AugerModel="Sinton","",IF(SampleType="n-type",n_intr_boltzmann(SampleDoping,0,K35,Temperature+273.15),n_intr_boltzmann(0,SampleDoping,K35,Temperature+273.15)))</f>
        <v/>
      </c>
      <c r="W35" s="251" t="str">
        <f t="shared" si="13"/>
        <v/>
      </c>
      <c r="X35" s="246">
        <f>IF(AND(A35&gt;TimeofMaxCD,I35&gt;Traps),IF(AugerModel="Sinton",CalcImpliedV(SampleDoping,O35),CalcImpliedVRichter(O35,SampleDoping,V35)),"")</f>
        <v>0.72490090573289834</v>
      </c>
      <c r="Y35" s="253">
        <f t="shared" si="6"/>
        <v>16.979223555713375</v>
      </c>
      <c r="Z35" s="200" t="str">
        <f t="shared" si="7"/>
        <v/>
      </c>
      <c r="AA35" s="254">
        <v>155.38770099999999</v>
      </c>
      <c r="AB35" s="254">
        <v>63.892573017993726</v>
      </c>
      <c r="AC35" s="251">
        <f t="shared" si="14"/>
        <v>1.5651271388278185E-2</v>
      </c>
      <c r="AE35" s="251">
        <f t="shared" si="8"/>
        <v>1336.7159987166747</v>
      </c>
    </row>
    <row r="36" spans="1:31" x14ac:dyDescent="0.2">
      <c r="A36" s="244">
        <v>2.7499E-3</v>
      </c>
      <c r="B36" s="244">
        <v>1.29888</v>
      </c>
      <c r="C36" s="245">
        <v>0.16162000000000001</v>
      </c>
      <c r="D36" s="246">
        <f>IF(CouplingMode="AC",B36-(A$11-A$10)*SUM(B$9:B36)/0.21,B36)</f>
        <v>1.29888</v>
      </c>
      <c r="E36" s="247">
        <f t="shared" si="9"/>
        <v>15.357303656019312</v>
      </c>
      <c r="F36" s="247">
        <f t="shared" si="0"/>
        <v>15.357303656019312</v>
      </c>
      <c r="G36" s="248">
        <f t="shared" si="1"/>
        <v>2.5499642774663777E+18</v>
      </c>
      <c r="H36" s="249">
        <f t="shared" si="10"/>
        <v>3.9462806445781998E-2</v>
      </c>
      <c r="I36" s="248">
        <f>IF(MobilityModel=DK,CalcDeltaN(H36,SampleDoping,Thickness,AreaFrac),CalcDeltaNDL(H36,AreaFrac,Thickness,SampleType,SampleDoping,Temperature))</f>
        <v>9332678772147270</v>
      </c>
      <c r="J36" s="248" t="str">
        <f t="shared" si="2"/>
        <v/>
      </c>
      <c r="K36" s="248">
        <f t="shared" si="11"/>
        <v>9332678772147270</v>
      </c>
      <c r="L36" s="250">
        <f t="shared" si="15"/>
        <v>-5.9784740428155689E+18</v>
      </c>
      <c r="M36" s="196" t="str">
        <f t="shared" si="3"/>
        <v/>
      </c>
      <c r="N36" s="196" t="str">
        <f t="shared" si="4"/>
        <v/>
      </c>
      <c r="O36" s="250">
        <f t="shared" si="5"/>
        <v>9332678772147270</v>
      </c>
      <c r="P36" s="248">
        <f t="shared" si="16"/>
        <v>6.8582954581034554E-5</v>
      </c>
      <c r="Q36" s="250" t="str">
        <f t="shared" si="17"/>
        <v/>
      </c>
      <c r="R36" s="251" t="str">
        <f t="shared" si="18"/>
        <v/>
      </c>
      <c r="S36" s="252">
        <f>IF(AND(E36&gt;0.95*BiasLight,E36&lt;1.05*BiasLight),"",IF(AugerModel="Sinton",calclifetimeauger(Auger_Coefficient,I36,P36),calclifetimerichter(SampleType,I36,SampleDoping,P36)))</f>
        <v>14436.298304722644</v>
      </c>
      <c r="T36" s="201" t="str">
        <f t="shared" si="19"/>
        <v/>
      </c>
      <c r="U36" s="252">
        <f t="shared" si="12"/>
        <v>-25228.571467148984</v>
      </c>
      <c r="V36" s="251" t="str">
        <f>IF(AugerModel="Sinton","",IF(SampleType="n-type",n_intr_boltzmann(SampleDoping,0,K36,Temperature+273.15),n_intr_boltzmann(0,SampleDoping,K36,Temperature+273.15)))</f>
        <v/>
      </c>
      <c r="W36" s="251" t="str">
        <f t="shared" si="13"/>
        <v/>
      </c>
      <c r="X36" s="246">
        <f>IF(AND(A36&gt;TimeofMaxCD,I36&gt;Traps),IF(AugerModel="Sinton",CalcImpliedV(SampleDoping,O36),CalcImpliedVRichter(O36,SampleDoping,V36)),"")</f>
        <v>0.72204125200905045</v>
      </c>
      <c r="Y36" s="253">
        <f t="shared" si="6"/>
        <v>16.063015318294401</v>
      </c>
      <c r="Z36" s="200" t="str">
        <f t="shared" si="7"/>
        <v/>
      </c>
      <c r="AA36" s="254">
        <v>160.34243699999999</v>
      </c>
      <c r="AB36" s="254">
        <v>62.267960240370883</v>
      </c>
      <c r="AC36" s="251">
        <f t="shared" si="14"/>
        <v>1.6059623538971474E-2</v>
      </c>
      <c r="AE36" s="251">
        <f t="shared" si="8"/>
        <v>1346.6758330022469</v>
      </c>
    </row>
    <row r="37" spans="1:31" x14ac:dyDescent="0.2">
      <c r="A37" s="244">
        <v>2.8498999999999998E-3</v>
      </c>
      <c r="B37" s="244">
        <v>1.2283999999999999</v>
      </c>
      <c r="C37" s="245">
        <v>0.15274199999999999</v>
      </c>
      <c r="D37" s="246">
        <f>IF(CouplingMode="AC",B37-(A$11-A$10)*SUM(B$9:B37)/0.21,B37)</f>
        <v>1.2283999999999999</v>
      </c>
      <c r="E37" s="247">
        <f t="shared" si="9"/>
        <v>14.513706688700045</v>
      </c>
      <c r="F37" s="247">
        <f t="shared" si="0"/>
        <v>14.513706688700045</v>
      </c>
      <c r="G37" s="248">
        <f t="shared" si="1"/>
        <v>2.4098913727804068E+18</v>
      </c>
      <c r="H37" s="249">
        <f t="shared" si="10"/>
        <v>3.728306870148624E-2</v>
      </c>
      <c r="I37" s="248">
        <f>IF(MobilityModel=DK,CalcDeltaN(H37,SampleDoping,Thickness,AreaFrac),CalcDeltaNDL(H37,AreaFrac,Thickness,SampleType,SampleDoping,Temperature))</f>
        <v>8754445669875415</v>
      </c>
      <c r="J37" s="248" t="str">
        <f t="shared" si="2"/>
        <v/>
      </c>
      <c r="K37" s="248">
        <f t="shared" si="11"/>
        <v>8754445669875415</v>
      </c>
      <c r="L37" s="250">
        <f t="shared" si="15"/>
        <v>-5.6156086308055931E+18</v>
      </c>
      <c r="M37" s="196" t="str">
        <f t="shared" si="3"/>
        <v/>
      </c>
      <c r="N37" s="196" t="str">
        <f t="shared" si="4"/>
        <v/>
      </c>
      <c r="O37" s="250">
        <f t="shared" si="5"/>
        <v>8754445669875415</v>
      </c>
      <c r="P37" s="248">
        <f t="shared" si="16"/>
        <v>6.8091286704411726E-5</v>
      </c>
      <c r="Q37" s="250" t="str">
        <f t="shared" si="17"/>
        <v/>
      </c>
      <c r="R37" s="251" t="str">
        <f t="shared" si="18"/>
        <v/>
      </c>
      <c r="S37" s="252">
        <f>IF(AND(E37&gt;0.95*BiasLight,E37&lt;1.05*BiasLight),"",IF(AugerModel="Sinton",calclifetimeauger(Auger_Coefficient,I37,P37),calclifetimerichter(SampleType,I37,SampleDoping,P37)))</f>
        <v>14558.943956137322</v>
      </c>
      <c r="T37" s="201" t="str">
        <f t="shared" si="19"/>
        <v/>
      </c>
      <c r="U37" s="252">
        <f t="shared" si="12"/>
        <v>-21865.395385605261</v>
      </c>
      <c r="V37" s="251" t="str">
        <f>IF(AugerModel="Sinton","",IF(SampleType="n-type",n_intr_boltzmann(SampleDoping,0,K37,Temperature+273.15),n_intr_boltzmann(0,SampleDoping,K37,Temperature+273.15)))</f>
        <v/>
      </c>
      <c r="W37" s="251" t="str">
        <f t="shared" si="13"/>
        <v/>
      </c>
      <c r="X37" s="246">
        <f>IF(AND(A37&gt;TimeofMaxCD,I37&gt;Traps),IF(AugerModel="Sinton",CalcImpliedV(SampleDoping,O37),CalcImpliedVRichter(O37,SampleDoping,V37)),"")</f>
        <v>0.71920567799794333</v>
      </c>
      <c r="Y37" s="253">
        <f t="shared" si="6"/>
        <v>15.176584953814297</v>
      </c>
      <c r="Z37" s="200" t="str">
        <f t="shared" si="7"/>
        <v/>
      </c>
      <c r="AA37" s="254">
        <v>165.35217</v>
      </c>
      <c r="AB37" s="254">
        <v>60.81068744931104</v>
      </c>
      <c r="AC37" s="251">
        <f t="shared" si="14"/>
        <v>1.6444477803898426E-2</v>
      </c>
      <c r="AE37" s="251">
        <f t="shared" si="8"/>
        <v>1356.3270280855022</v>
      </c>
    </row>
    <row r="38" spans="1:31" x14ac:dyDescent="0.2">
      <c r="A38" s="244">
        <v>2.9499000000000001E-3</v>
      </c>
      <c r="B38" s="244">
        <v>1.16126</v>
      </c>
      <c r="C38" s="245">
        <v>0.14462</v>
      </c>
      <c r="D38" s="246">
        <f>IF(CouplingMode="AC",B38-(A$11-A$10)*SUM(B$9:B38)/0.21,B38)</f>
        <v>1.16126</v>
      </c>
      <c r="E38" s="247">
        <f t="shared" si="9"/>
        <v>13.741945642454601</v>
      </c>
      <c r="F38" s="247">
        <f t="shared" si="0"/>
        <v>13.741945642454601</v>
      </c>
      <c r="G38" s="248">
        <f t="shared" si="1"/>
        <v>2.2817462802078175E+18</v>
      </c>
      <c r="H38" s="249">
        <f t="shared" si="10"/>
        <v>3.5210725602814415E-2</v>
      </c>
      <c r="I38" s="248">
        <f>IF(MobilityModel=DK,CalcDeltaN(H38,SampleDoping,Thickness,AreaFrac),CalcDeltaNDL(H38,AreaFrac,Thickness,SampleType,SampleDoping,Temperature))</f>
        <v>8211088727205681</v>
      </c>
      <c r="J38" s="248" t="str">
        <f t="shared" si="2"/>
        <v/>
      </c>
      <c r="K38" s="248">
        <f t="shared" si="11"/>
        <v>8211088727205681</v>
      </c>
      <c r="L38" s="250">
        <f t="shared" si="15"/>
        <v>-5.2633243245181553E+18</v>
      </c>
      <c r="M38" s="196" t="str">
        <f t="shared" si="3"/>
        <v/>
      </c>
      <c r="N38" s="196" t="str">
        <f t="shared" si="4"/>
        <v/>
      </c>
      <c r="O38" s="250">
        <f t="shared" si="5"/>
        <v>8211088727205681</v>
      </c>
      <c r="P38" s="248">
        <f t="shared" si="16"/>
        <v>6.7481587150321581E-5</v>
      </c>
      <c r="Q38" s="250" t="str">
        <f t="shared" si="17"/>
        <v/>
      </c>
      <c r="R38" s="251" t="str">
        <f t="shared" si="18"/>
        <v/>
      </c>
      <c r="S38" s="252">
        <f>IF(AND(E38&gt;0.95*BiasLight,E38&lt;1.05*BiasLight),"",IF(AugerModel="Sinton",calclifetimeauger(Auger_Coefficient,I38,P38),calclifetimerichter(SampleType,I38,SampleDoping,P38)))</f>
        <v>14706.936662881531</v>
      </c>
      <c r="T38" s="201" t="str">
        <f t="shared" si="19"/>
        <v/>
      </c>
      <c r="U38" s="252">
        <f t="shared" si="12"/>
        <v>-18705.069444133267</v>
      </c>
      <c r="V38" s="251" t="str">
        <f>IF(AugerModel="Sinton","",IF(SampleType="n-type",n_intr_boltzmann(SampleDoping,0,K38,Temperature+273.15),n_intr_boltzmann(0,SampleDoping,K38,Temperature+273.15)))</f>
        <v/>
      </c>
      <c r="W38" s="251" t="str">
        <f t="shared" si="13"/>
        <v/>
      </c>
      <c r="X38" s="246">
        <f>IF(AND(A38&gt;TimeofMaxCD,I38&gt;Traps),IF(AugerModel="Sinton",CalcImpliedV(SampleDoping,O38),CalcImpliedVRichter(O38,SampleDoping,V38)),"")</f>
        <v>0.7163862512844571</v>
      </c>
      <c r="Y38" s="253">
        <f t="shared" si="6"/>
        <v>14.363239526403511</v>
      </c>
      <c r="Z38" s="200" t="str">
        <f t="shared" si="7"/>
        <v/>
      </c>
      <c r="AA38" s="254">
        <v>170.34768399999999</v>
      </c>
      <c r="AB38" s="254">
        <v>59.644777195860506</v>
      </c>
      <c r="AC38" s="251">
        <f t="shared" si="14"/>
        <v>1.6765927328661435E-2</v>
      </c>
      <c r="AE38" s="251">
        <f t="shared" si="8"/>
        <v>1365.7010606878519</v>
      </c>
    </row>
    <row r="39" spans="1:31" x14ac:dyDescent="0.2">
      <c r="A39" s="244">
        <v>3.0498999999999999E-3</v>
      </c>
      <c r="B39" s="244">
        <v>1.0976300000000001</v>
      </c>
      <c r="C39" s="245">
        <v>0.13699500000000001</v>
      </c>
      <c r="D39" s="246">
        <f>IF(CouplingMode="AC",B39-(A$11-A$10)*SUM(B$9:B39)/0.21,B39)</f>
        <v>1.0976300000000001</v>
      </c>
      <c r="E39" s="247">
        <f t="shared" si="9"/>
        <v>13.017410062841019</v>
      </c>
      <c r="F39" s="247">
        <f t="shared" si="0"/>
        <v>13.017410062841019</v>
      </c>
      <c r="G39" s="248">
        <f t="shared" si="1"/>
        <v>2.1614426196727283E+18</v>
      </c>
      <c r="H39" s="249">
        <f t="shared" si="10"/>
        <v>3.3250412905419954E-2</v>
      </c>
      <c r="I39" s="248">
        <f>IF(MobilityModel=DK,CalcDeltaN(H39,SampleDoping,Thickness,AreaFrac),CalcDeltaNDL(H39,AreaFrac,Thickness,SampleType,SampleDoping,Temperature))</f>
        <v>7702864378172585</v>
      </c>
      <c r="J39" s="248" t="str">
        <f t="shared" si="2"/>
        <v/>
      </c>
      <c r="K39" s="248">
        <f t="shared" si="11"/>
        <v>7702864378172585</v>
      </c>
      <c r="L39" s="250">
        <f t="shared" si="15"/>
        <v>-4.9378618554937027E+18</v>
      </c>
      <c r="M39" s="196" t="str">
        <f t="shared" si="3"/>
        <v/>
      </c>
      <c r="N39" s="196" t="str">
        <f t="shared" si="4"/>
        <v/>
      </c>
      <c r="O39" s="250">
        <f t="shared" si="5"/>
        <v>7702864378172585</v>
      </c>
      <c r="P39" s="248">
        <f t="shared" si="16"/>
        <v>6.6856119768421578E-5</v>
      </c>
      <c r="Q39" s="250" t="str">
        <f t="shared" si="17"/>
        <v/>
      </c>
      <c r="R39" s="251" t="str">
        <f t="shared" si="18"/>
        <v/>
      </c>
      <c r="S39" s="252">
        <f>IF(AND(E39&gt;0.95*BiasLight,E39&lt;1.05*BiasLight),"",IF(AugerModel="Sinton",calclifetimeauger(Auger_Coefficient,I39,P39),calclifetimerichter(SampleType,I39,SampleDoping,P39)))</f>
        <v>14858.99920736274</v>
      </c>
      <c r="T39" s="201" t="str">
        <f t="shared" si="19"/>
        <v/>
      </c>
      <c r="U39" s="252">
        <f t="shared" si="12"/>
        <v>-15749.085139515169</v>
      </c>
      <c r="V39" s="251" t="str">
        <f>IF(AugerModel="Sinton","",IF(SampleType="n-type",n_intr_boltzmann(SampleDoping,0,K39,Temperature+273.15),n_intr_boltzmann(0,SampleDoping,K39,Temperature+273.15)))</f>
        <v/>
      </c>
      <c r="W39" s="251" t="str">
        <f t="shared" si="13"/>
        <v/>
      </c>
      <c r="X39" s="246">
        <f>IF(AND(A39&gt;TimeofMaxCD,I39&gt;Traps),IF(AugerModel="Sinton",CalcImpliedV(SampleDoping,O39),CalcImpliedVRichter(O39,SampleDoping,V39)),"")</f>
        <v>0.71359665950511197</v>
      </c>
      <c r="Y39" s="253">
        <f t="shared" si="6"/>
        <v>13.600285671762141</v>
      </c>
      <c r="Z39" s="200" t="str">
        <f t="shared" si="7"/>
        <v/>
      </c>
      <c r="AA39" s="254">
        <v>175.25808599999999</v>
      </c>
      <c r="AB39" s="254">
        <v>58.524343925683908</v>
      </c>
      <c r="AC39" s="251">
        <f t="shared" si="14"/>
        <v>1.7086906625896261E-2</v>
      </c>
      <c r="AE39" s="251">
        <f t="shared" si="8"/>
        <v>1374.7578499650358</v>
      </c>
    </row>
    <row r="40" spans="1:31" x14ac:dyDescent="0.2">
      <c r="A40" s="244">
        <v>3.1499000000000002E-3</v>
      </c>
      <c r="B40" s="244">
        <v>1.0372699999999999</v>
      </c>
      <c r="C40" s="245">
        <v>0.12989500000000001</v>
      </c>
      <c r="D40" s="246">
        <f>IF(CouplingMode="AC",B40-(A$11-A$10)*SUM(B$9:B40)/0.21,B40)</f>
        <v>1.0372699999999999</v>
      </c>
      <c r="E40" s="247">
        <f t="shared" si="9"/>
        <v>12.342760539528701</v>
      </c>
      <c r="F40" s="247">
        <f t="shared" si="0"/>
        <v>12.342760539528701</v>
      </c>
      <c r="G40" s="248">
        <f t="shared" si="1"/>
        <v>2.0494221619941537E+18</v>
      </c>
      <c r="H40" s="249">
        <f t="shared" si="10"/>
        <v>3.1394161908834754E-2</v>
      </c>
      <c r="I40" s="248">
        <f>IF(MobilityModel=DK,CalcDeltaN(H40,SampleDoping,Thickness,AreaFrac),CalcDeltaNDL(H40,AreaFrac,Thickness,SampleType,SampleDoping,Temperature))</f>
        <v>7226807255739606</v>
      </c>
      <c r="J40" s="248" t="str">
        <f t="shared" si="2"/>
        <v/>
      </c>
      <c r="K40" s="248">
        <f t="shared" si="11"/>
        <v>7226807255739606</v>
      </c>
      <c r="L40" s="250">
        <f t="shared" si="15"/>
        <v>-4.6365777665198889E+18</v>
      </c>
      <c r="M40" s="196" t="str">
        <f t="shared" si="3"/>
        <v/>
      </c>
      <c r="N40" s="196" t="str">
        <f t="shared" si="4"/>
        <v/>
      </c>
      <c r="O40" s="250">
        <f t="shared" si="5"/>
        <v>7226807255739606</v>
      </c>
      <c r="P40" s="248">
        <f t="shared" si="16"/>
        <v>6.618020029284483E-5</v>
      </c>
      <c r="Q40" s="250" t="str">
        <f t="shared" si="17"/>
        <v/>
      </c>
      <c r="R40" s="251" t="str">
        <f t="shared" si="18"/>
        <v/>
      </c>
      <c r="S40" s="252">
        <f>IF(AND(E40&gt;0.95*BiasLight,E40&lt;1.05*BiasLight),"",IF(AugerModel="Sinton",calclifetimeauger(Auger_Coefficient,I40,P40),calclifetimerichter(SampleType,I40,SampleDoping,P40)))</f>
        <v>15023.563103611203</v>
      </c>
      <c r="T40" s="201" t="str">
        <f t="shared" si="19"/>
        <v/>
      </c>
      <c r="U40" s="252">
        <f t="shared" si="12"/>
        <v>-12980.19501315504</v>
      </c>
      <c r="V40" s="251" t="str">
        <f>IF(AugerModel="Sinton","",IF(SampleType="n-type",n_intr_boltzmann(SampleDoping,0,K40,Temperature+273.15),n_intr_boltzmann(0,SampleDoping,K40,Temperature+273.15)))</f>
        <v/>
      </c>
      <c r="W40" s="251" t="str">
        <f t="shared" si="13"/>
        <v/>
      </c>
      <c r="X40" s="246">
        <f>IF(AND(A40&gt;TimeofMaxCD,I40&gt;Traps),IF(AugerModel="Sinton",CalcImpliedV(SampleDoping,O40),CalcImpliedVRichter(O40,SampleDoping,V40)),"")</f>
        <v>0.71083363010950273</v>
      </c>
      <c r="Y40" s="253">
        <f t="shared" si="6"/>
        <v>12.890071940305059</v>
      </c>
      <c r="Z40" s="200" t="str">
        <f t="shared" si="7"/>
        <v/>
      </c>
      <c r="AA40" s="254">
        <v>180.42495400000001</v>
      </c>
      <c r="AB40" s="254">
        <v>57.237296527056941</v>
      </c>
      <c r="AC40" s="251">
        <f t="shared" si="14"/>
        <v>1.7471125658901181E-2</v>
      </c>
      <c r="AE40" s="251">
        <f t="shared" si="8"/>
        <v>1383.5148935994134</v>
      </c>
    </row>
    <row r="41" spans="1:31" x14ac:dyDescent="0.2">
      <c r="A41" s="244">
        <v>3.2499E-3</v>
      </c>
      <c r="B41" s="244">
        <v>0.97962400000000005</v>
      </c>
      <c r="C41" s="245">
        <v>0.12316100000000001</v>
      </c>
      <c r="D41" s="246">
        <f>IF(CouplingMode="AC",B41-(A$11-A$10)*SUM(B$9:B41)/0.21,B41)</f>
        <v>0.97962400000000005</v>
      </c>
      <c r="E41" s="247">
        <f t="shared" ref="E41:E72" si="20">IF(C41&gt;0,C41/RefCellCal,0.00001)</f>
        <v>11.702888724037832</v>
      </c>
      <c r="F41" s="247">
        <f t="shared" ref="F41:F72" si="21">E41-BiasLight</f>
        <v>11.702888724037832</v>
      </c>
      <c r="G41" s="248">
        <f t="shared" ref="G41:G72" si="22">F41*0.038*OptConst/1.602E-19</f>
        <v>1.9431762800212626E+18</v>
      </c>
      <c r="H41" s="249">
        <f t="shared" ref="H41:H72" si="23">CalcConductance(B41,Dark_Voltage,A_cal,B_cal,C_cal)</f>
        <v>2.9624391844931257E-2</v>
      </c>
      <c r="I41" s="248">
        <f>IF(MobilityModel=DK,CalcDeltaN(H41,SampleDoping,Thickness,AreaFrac),CalcDeltaNDL(H41,AreaFrac,Thickness,SampleType,SampleDoping,Temperature))</f>
        <v>6777655477861600</v>
      </c>
      <c r="J41" s="248" t="str">
        <f t="shared" ref="J41:J72" si="24">IF(AND(AND(I41&gt;=FitRangeMin,I41&lt;=FitRangeMax),A41&gt;TimeofMaxCD),I41,"")</f>
        <v/>
      </c>
      <c r="K41" s="248">
        <f t="shared" ref="K41:K72" si="25">IF(I41-BiasPtCD=0,0.00001,I41-BiasPtCD)</f>
        <v>6777655477861600</v>
      </c>
      <c r="L41" s="250">
        <f t="shared" si="15"/>
        <v>-4.3608727400316201E+18</v>
      </c>
      <c r="M41" s="196" t="str">
        <f t="shared" ref="M41:M72" si="26">IF(E41&gt;0.85*BiasLight,IF( E41&lt;1.15*BiasLight,E41,""),"")</f>
        <v/>
      </c>
      <c r="N41" s="196" t="str">
        <f t="shared" ref="N41:N72" si="27">IF(E41&gt;0.85*BiasLight,IF(E41&lt;1.15*BiasLight,I41,""),"")</f>
        <v/>
      </c>
      <c r="O41" s="250">
        <f t="shared" ref="O41:O72" si="28">I41-Traps</f>
        <v>6777655477861600</v>
      </c>
      <c r="P41" s="248">
        <f t="shared" si="16"/>
        <v>6.5482999822837499E-5</v>
      </c>
      <c r="Q41" s="250" t="str">
        <f t="shared" si="17"/>
        <v/>
      </c>
      <c r="R41" s="251" t="str">
        <f t="shared" si="18"/>
        <v/>
      </c>
      <c r="S41" s="252">
        <f>IF(AND(E41&gt;0.95*BiasLight,E41&lt;1.05*BiasLight),"",IF(AugerModel="Sinton",calclifetimeauger(Auger_Coefficient,I41,P41),calclifetimerichter(SampleType,I41,SampleDoping,P41)))</f>
        <v>15194.884336710071</v>
      </c>
      <c r="T41" s="201" t="str">
        <f t="shared" si="19"/>
        <v/>
      </c>
      <c r="U41" s="252">
        <f t="shared" ref="U41:U72" si="29">FitInterceptAuger+FitSlopeAuger*(I41+Traps)</f>
        <v>-10367.794390625553</v>
      </c>
      <c r="V41" s="251" t="str">
        <f>IF(AugerModel="Sinton","",IF(SampleType="n-type",n_intr_boltzmann(SampleDoping,0,K41,Temperature+273.15),n_intr_boltzmann(0,SampleDoping,K41,Temperature+273.15)))</f>
        <v/>
      </c>
      <c r="W41" s="251" t="str">
        <f t="shared" si="13"/>
        <v/>
      </c>
      <c r="X41" s="246">
        <f>IF(AND(A41&gt;TimeofMaxCD,I41&gt;Traps),IF(AugerModel="Sinton",CalcImpliedV(SampleDoping,O41),CalcImpliedVRichter(O41,SampleDoping,V41)),"")</f>
        <v>0.70807750985131535</v>
      </c>
      <c r="Y41" s="253">
        <f t="shared" ref="Y41:Y72" si="30">IF(OR(P41="",P41&lt;0,A41&lt;=TimeofMaxCD),"",(O41*Thickness*1.602E-19/(0.038*OptConst*P41)))</f>
        <v>12.21765532305588</v>
      </c>
      <c r="Z41" s="200" t="str">
        <f t="shared" ref="Z41:Z72" si="31">IF(C41&gt;0.6,O41,"")</f>
        <v/>
      </c>
      <c r="AA41" s="254">
        <v>185.40361999999999</v>
      </c>
      <c r="AB41" s="254">
        <v>56.123379453491729</v>
      </c>
      <c r="AC41" s="251">
        <f t="shared" si="14"/>
        <v>1.7817886409151093E-2</v>
      </c>
      <c r="AE41" s="251">
        <f t="shared" ref="AE41:AE72" si="32">H41/(K41*AreaFrac*Thickness*1.602E-19)</f>
        <v>1392.0388993964477</v>
      </c>
    </row>
    <row r="42" spans="1:31" x14ac:dyDescent="0.2">
      <c r="A42" s="244">
        <v>3.3498999999999998E-3</v>
      </c>
      <c r="B42" s="244">
        <v>0.92479</v>
      </c>
      <c r="C42" s="245">
        <v>0.116784</v>
      </c>
      <c r="D42" s="246">
        <f>IF(CouplingMode="AC",B42-(A$11-A$10)*SUM(B$9:B42)/0.21,B42)</f>
        <v>0.92479</v>
      </c>
      <c r="E42" s="247">
        <f t="shared" si="20"/>
        <v>11.096939426831822</v>
      </c>
      <c r="F42" s="247">
        <f t="shared" si="21"/>
        <v>11.096939426831822</v>
      </c>
      <c r="G42" s="248">
        <f t="shared" si="22"/>
        <v>1.8425629759908017E+18</v>
      </c>
      <c r="H42" s="249">
        <f t="shared" si="23"/>
        <v>2.7943687735539798E-2</v>
      </c>
      <c r="I42" s="248">
        <f>IF(MobilityModel=DK,CalcDeltaN(H42,SampleDoping,Thickness,AreaFrac),CalcDeltaNDL(H42,AreaFrac,Thickness,SampleType,SampleDoping,Temperature))</f>
        <v>6355404294101230</v>
      </c>
      <c r="J42" s="248" t="str">
        <f t="shared" si="24"/>
        <v/>
      </c>
      <c r="K42" s="248">
        <f t="shared" si="25"/>
        <v>6355404294101230</v>
      </c>
      <c r="L42" s="250">
        <f t="shared" si="15"/>
        <v>-4.094900935661057E+18</v>
      </c>
      <c r="M42" s="196" t="str">
        <f t="shared" si="26"/>
        <v/>
      </c>
      <c r="N42" s="196" t="str">
        <f t="shared" si="27"/>
        <v/>
      </c>
      <c r="O42" s="250">
        <f t="shared" si="28"/>
        <v>6355404294101230</v>
      </c>
      <c r="P42" s="248">
        <f t="shared" si="16"/>
        <v>6.4782833334324104E-5</v>
      </c>
      <c r="Q42" s="250" t="str">
        <f t="shared" si="17"/>
        <v/>
      </c>
      <c r="R42" s="251" t="str">
        <f t="shared" si="18"/>
        <v/>
      </c>
      <c r="S42" s="252">
        <f>IF(AND(E42&gt;0.95*BiasLight,E42&lt;1.05*BiasLight),"",IF(AugerModel="Sinton",calclifetimeauger(Auger_Coefficient,I42,P42),calclifetimerichter(SampleType,I42,SampleDoping,P42)))</f>
        <v>15369.138752759483</v>
      </c>
      <c r="T42" s="201" t="str">
        <f t="shared" si="19"/>
        <v/>
      </c>
      <c r="U42" s="252">
        <f t="shared" si="29"/>
        <v>-7911.8556419671659</v>
      </c>
      <c r="V42" s="251" t="str">
        <f>IF(AugerModel="Sinton","",IF(SampleType="n-type",n_intr_boltzmann(SampleDoping,0,K42,Temperature+273.15),n_intr_boltzmann(0,SampleDoping,K42,Temperature+273.15)))</f>
        <v/>
      </c>
      <c r="W42" s="251" t="str">
        <f t="shared" si="13"/>
        <v/>
      </c>
      <c r="X42" s="246">
        <f>IF(AND(A42&gt;TimeofMaxCD,I42&gt;Traps),IF(AugerModel="Sinton",CalcImpliedV(SampleDoping,O42),CalcImpliedVRichter(O42,SampleDoping,V42)),"")</f>
        <v>0.70533818711802598</v>
      </c>
      <c r="Y42" s="253">
        <f t="shared" si="30"/>
        <v>11.580310154121328</v>
      </c>
      <c r="Z42" s="200" t="str">
        <f t="shared" si="31"/>
        <v/>
      </c>
      <c r="AA42" s="254">
        <v>190.424297</v>
      </c>
      <c r="AB42" s="254">
        <v>55.128683927355013</v>
      </c>
      <c r="AC42" s="251">
        <f t="shared" si="14"/>
        <v>1.8139377339711844E-2</v>
      </c>
      <c r="AE42" s="251">
        <f t="shared" si="32"/>
        <v>1400.3027874894119</v>
      </c>
    </row>
    <row r="43" spans="1:31" x14ac:dyDescent="0.2">
      <c r="A43" s="244">
        <v>3.4499000000000001E-3</v>
      </c>
      <c r="B43" s="244">
        <v>0.87261200000000005</v>
      </c>
      <c r="C43" s="245">
        <v>0.110778</v>
      </c>
      <c r="D43" s="246">
        <f>IF(CouplingMode="AC",B43-(A$11-A$10)*SUM(B$9:B43)/0.21,B43)</f>
        <v>0.87261200000000005</v>
      </c>
      <c r="E43" s="247">
        <f t="shared" si="20"/>
        <v>10.526242942745373</v>
      </c>
      <c r="F43" s="247">
        <f t="shared" si="21"/>
        <v>10.526242942745373</v>
      </c>
      <c r="G43" s="248">
        <f t="shared" si="22"/>
        <v>1.7478031353122778E+18</v>
      </c>
      <c r="H43" s="249">
        <f t="shared" si="23"/>
        <v>2.6346868709235333E-2</v>
      </c>
      <c r="I43" s="248">
        <f>IF(MobilityModel=DK,CalcDeltaN(H43,SampleDoping,Thickness,AreaFrac),CalcDeltaNDL(H43,AreaFrac,Thickness,SampleType,SampleDoping,Temperature))</f>
        <v>5958129488975963</v>
      </c>
      <c r="J43" s="248" t="str">
        <f t="shared" si="24"/>
        <v/>
      </c>
      <c r="K43" s="248">
        <f t="shared" si="25"/>
        <v>5958129488975963</v>
      </c>
      <c r="L43" s="250">
        <f t="shared" ref="L43:L74" si="33">IF(ABS(SLOPE(K41:K45,A41:A45))&lt;1000000000000,-1000000000000,(SLOPE(K41:K45,A41:A45)))</f>
        <v>-3.8413605096720906E+18</v>
      </c>
      <c r="M43" s="196" t="str">
        <f t="shared" si="26"/>
        <v/>
      </c>
      <c r="N43" s="196" t="str">
        <f t="shared" si="27"/>
        <v/>
      </c>
      <c r="O43" s="250">
        <f t="shared" si="28"/>
        <v>5958129488975963</v>
      </c>
      <c r="P43" s="248">
        <f t="shared" ref="P43:P74" si="34">calclifetime(AnalysisMode,K43,Thickness,G43,L43)</f>
        <v>6.4055583920332614E-5</v>
      </c>
      <c r="Q43" s="250" t="str">
        <f t="shared" si="17"/>
        <v/>
      </c>
      <c r="R43" s="251" t="str">
        <f t="shared" si="18"/>
        <v/>
      </c>
      <c r="S43" s="252">
        <f>IF(AND(E43&gt;0.95*BiasLight,E43&lt;1.05*BiasLight),"",IF(AugerModel="Sinton",calclifetimeauger(Auger_Coefficient,I43,P43),calclifetimerichter(SampleType,I43,SampleDoping,P43)))</f>
        <v>15552.51263287332</v>
      </c>
      <c r="T43" s="201" t="str">
        <f t="shared" si="19"/>
        <v/>
      </c>
      <c r="U43" s="252">
        <f t="shared" si="29"/>
        <v>-5601.1869563666041</v>
      </c>
      <c r="V43" s="251" t="str">
        <f>IF(AugerModel="Sinton","",IF(SampleType="n-type",n_intr_boltzmann(SampleDoping,0,K43,Temperature+273.15),n_intr_boltzmann(0,SampleDoping,K43,Temperature+273.15)))</f>
        <v/>
      </c>
      <c r="W43" s="251" t="str">
        <f t="shared" si="13"/>
        <v/>
      </c>
      <c r="X43" s="246">
        <f>IF(AND(A43&gt;TimeofMaxCD,I43&gt;Traps),IF(AugerModel="Sinton",CalcImpliedV(SampleDoping,O43),CalcImpliedVRichter(O43,SampleDoping,V43)),"")</f>
        <v>0.70261365308956614</v>
      </c>
      <c r="Y43" s="253">
        <f t="shared" si="30"/>
        <v>10.979685224381821</v>
      </c>
      <c r="Z43" s="200" t="str">
        <f t="shared" si="31"/>
        <v/>
      </c>
      <c r="AA43" s="254">
        <v>195.404594</v>
      </c>
      <c r="AB43" s="254">
        <v>54.035804574498634</v>
      </c>
      <c r="AC43" s="251">
        <f t="shared" si="14"/>
        <v>1.850624799379659E-2</v>
      </c>
      <c r="AE43" s="251">
        <f t="shared" si="32"/>
        <v>1408.3172103269449</v>
      </c>
    </row>
    <row r="44" spans="1:31" x14ac:dyDescent="0.2">
      <c r="A44" s="244">
        <v>3.5498999999999999E-3</v>
      </c>
      <c r="B44" s="244">
        <v>0.82361799999999996</v>
      </c>
      <c r="C44" s="245">
        <v>0.10512000000000001</v>
      </c>
      <c r="D44" s="246">
        <f>IF(CouplingMode="AC",B44-(A$11-A$10)*SUM(B$9:B44)/0.21,B44)</f>
        <v>0.82361799999999996</v>
      </c>
      <c r="E44" s="247">
        <f t="shared" si="20"/>
        <v>9.9886137874071892</v>
      </c>
      <c r="F44" s="247">
        <f t="shared" si="21"/>
        <v>9.9886137874071892</v>
      </c>
      <c r="G44" s="248">
        <f t="shared" si="22"/>
        <v>1.658533874812929E+18</v>
      </c>
      <c r="H44" s="249">
        <f t="shared" si="23"/>
        <v>2.4849689199764637E-2</v>
      </c>
      <c r="I44" s="248">
        <f>IF(MobilityModel=DK,CalcDeltaN(H44,SampleDoping,Thickness,AreaFrac),CalcDeltaNDL(H44,AreaFrac,Thickness,SampleType,SampleDoping,Temperature))</f>
        <v>5589119782351897</v>
      </c>
      <c r="J44" s="248" t="str">
        <f t="shared" si="24"/>
        <v/>
      </c>
      <c r="K44" s="248">
        <f t="shared" si="25"/>
        <v>5589119782351897</v>
      </c>
      <c r="L44" s="250">
        <f t="shared" si="33"/>
        <v>-3.6045110708665093E+18</v>
      </c>
      <c r="M44" s="196" t="str">
        <f t="shared" si="26"/>
        <v/>
      </c>
      <c r="N44" s="196" t="str">
        <f t="shared" si="27"/>
        <v/>
      </c>
      <c r="O44" s="250">
        <f t="shared" si="28"/>
        <v>5589119782351897</v>
      </c>
      <c r="P44" s="248">
        <f t="shared" si="34"/>
        <v>6.3351763578345949E-5</v>
      </c>
      <c r="Q44" s="250" t="str">
        <f t="shared" ref="Q44:Q75" si="35">IF($J44="","",P44)</f>
        <v/>
      </c>
      <c r="R44" s="251" t="str">
        <f t="shared" ref="R44:R75" si="36">IF(Q44="","",1/Q44)</f>
        <v/>
      </c>
      <c r="S44" s="252">
        <f>IF(AND(E44&gt;0.95*BiasLight,E44&lt;1.05*BiasLight),"",IF(AugerModel="Sinton",calclifetimeauger(Auger_Coefficient,I44,P44),calclifetimerichter(SampleType,I44,SampleDoping,P44)))</f>
        <v>15733.024711497073</v>
      </c>
      <c r="T44" s="201" t="str">
        <f t="shared" ref="T44:T75" si="37">IF($J44="","",S44)</f>
        <v/>
      </c>
      <c r="U44" s="252">
        <f t="shared" si="29"/>
        <v>-3454.9165088610753</v>
      </c>
      <c r="V44" s="251" t="str">
        <f>IF(AugerModel="Sinton","",IF(SampleType="n-type",n_intr_boltzmann(SampleDoping,0,K44,Temperature+273.15),n_intr_boltzmann(0,SampleDoping,K44,Temperature+273.15)))</f>
        <v/>
      </c>
      <c r="W44" s="251" t="str">
        <f t="shared" si="13"/>
        <v/>
      </c>
      <c r="X44" s="246">
        <f>IF(AND(A44&gt;TimeofMaxCD,I44&gt;Traps),IF(AugerModel="Sinton",CalcImpliedV(SampleDoping,O44),CalcImpliedVRichter(O44,SampleDoping,V44)),"")</f>
        <v>0.69993947689992908</v>
      </c>
      <c r="Y44" s="253">
        <f t="shared" si="30"/>
        <v>10.414097862656631</v>
      </c>
      <c r="Z44" s="200" t="str">
        <f t="shared" si="31"/>
        <v/>
      </c>
      <c r="AA44" s="200">
        <v>200.29631699999999</v>
      </c>
      <c r="AB44" s="200">
        <v>52.927235684808402</v>
      </c>
      <c r="AC44" s="251">
        <f t="shared" si="14"/>
        <v>1.8893864133679439E-2</v>
      </c>
      <c r="AE44" s="251">
        <f t="shared" si="32"/>
        <v>1415.9860048785233</v>
      </c>
    </row>
    <row r="45" spans="1:31" x14ac:dyDescent="0.2">
      <c r="A45" s="244">
        <v>3.6499000000000002E-3</v>
      </c>
      <c r="B45" s="244">
        <v>0.77679600000000004</v>
      </c>
      <c r="C45" s="245">
        <v>9.9754499999999996E-2</v>
      </c>
      <c r="D45" s="246">
        <f>IF(CouplingMode="AC",B45-(A$11-A$10)*SUM(B$9:B45)/0.21,B45)</f>
        <v>0.77679600000000004</v>
      </c>
      <c r="E45" s="247">
        <f t="shared" si="20"/>
        <v>9.4787782920082808</v>
      </c>
      <c r="F45" s="247">
        <f t="shared" si="21"/>
        <v>9.4787782920082808</v>
      </c>
      <c r="G45" s="248">
        <f t="shared" si="22"/>
        <v>1.5738795416193523E+18</v>
      </c>
      <c r="H45" s="249">
        <f t="shared" si="23"/>
        <v>2.3420872496305568E-2</v>
      </c>
      <c r="I45" s="248">
        <f>IF(MobilityModel=DK,CalcDeltaN(H45,SampleDoping,Thickness,AreaFrac),CalcDeltaNDL(H45,AreaFrac,Thickness,SampleType,SampleDoping,Temperature))</f>
        <v>5240117478900220</v>
      </c>
      <c r="J45" s="248" t="str">
        <f t="shared" si="24"/>
        <v/>
      </c>
      <c r="K45" s="248">
        <f t="shared" si="25"/>
        <v>5240117478900220</v>
      </c>
      <c r="L45" s="250">
        <f t="shared" si="33"/>
        <v>-3.3760519447987907E+18</v>
      </c>
      <c r="M45" s="196" t="str">
        <f t="shared" si="26"/>
        <v/>
      </c>
      <c r="N45" s="196" t="str">
        <f t="shared" si="27"/>
        <v/>
      </c>
      <c r="O45" s="250">
        <f t="shared" si="28"/>
        <v>5240117478900220</v>
      </c>
      <c r="P45" s="248">
        <f t="shared" si="34"/>
        <v>6.2623878895806949E-5</v>
      </c>
      <c r="Q45" s="250" t="str">
        <f t="shared" si="35"/>
        <v/>
      </c>
      <c r="R45" s="251" t="str">
        <f t="shared" si="36"/>
        <v/>
      </c>
      <c r="S45" s="252">
        <f>IF(AND(E45&gt;0.95*BiasLight,E45&lt;1.05*BiasLight),"",IF(AugerModel="Sinton",calclifetimeauger(Auger_Coefficient,I45,P45),calclifetimerichter(SampleType,I45,SampleDoping,P45)))</f>
        <v>15922.76807569073</v>
      </c>
      <c r="T45" s="201" t="str">
        <f t="shared" si="37"/>
        <v/>
      </c>
      <c r="U45" s="252">
        <f t="shared" si="29"/>
        <v>-1425.0150819785558</v>
      </c>
      <c r="V45" s="251" t="str">
        <f>IF(AugerModel="Sinton","",IF(SampleType="n-type",n_intr_boltzmann(SampleDoping,0,K45,Temperature+273.15),n_intr_boltzmann(0,SampleDoping,K45,Temperature+273.15)))</f>
        <v/>
      </c>
      <c r="W45" s="251" t="str">
        <f t="shared" si="13"/>
        <v/>
      </c>
      <c r="X45" s="246">
        <f>IF(AND(A45&gt;TimeofMaxCD,I45&gt;Traps),IF(AugerModel="Sinton",CalcImpliedV(SampleDoping,O45),CalcImpliedVRichter(O45,SampleDoping,V45)),"")</f>
        <v>0.69726762195906988</v>
      </c>
      <c r="Y45" s="253">
        <f t="shared" si="30"/>
        <v>9.8772945710501077</v>
      </c>
      <c r="Z45" s="200" t="str">
        <f t="shared" si="31"/>
        <v/>
      </c>
      <c r="AE45" s="251">
        <f t="shared" si="32"/>
        <v>1423.4540849759292</v>
      </c>
    </row>
    <row r="46" spans="1:31" x14ac:dyDescent="0.2">
      <c r="A46" s="244">
        <v>3.7499E-3</v>
      </c>
      <c r="B46" s="244">
        <v>0.73235300000000003</v>
      </c>
      <c r="C46" s="245">
        <v>9.4760399999999995E-2</v>
      </c>
      <c r="D46" s="246">
        <f>IF(CouplingMode="AC",B46-(A$11-A$10)*SUM(B$9:B46)/0.21,B46)</f>
        <v>0.73235300000000003</v>
      </c>
      <c r="E46" s="247">
        <f t="shared" si="20"/>
        <v>9.0042336181527798</v>
      </c>
      <c r="F46" s="247">
        <f t="shared" si="21"/>
        <v>9.0042336181527798</v>
      </c>
      <c r="G46" s="248">
        <f t="shared" si="22"/>
        <v>1.4950849827894126E+18</v>
      </c>
      <c r="H46" s="249">
        <f t="shared" si="23"/>
        <v>2.206645226814866E-2</v>
      </c>
      <c r="I46" s="248">
        <f>IF(MobilityModel=DK,CalcDeltaN(H46,SampleDoping,Thickness,AreaFrac),CalcDeltaNDL(H46,AreaFrac,Thickness,SampleType,SampleDoping,Temperature))</f>
        <v>4912154763705846</v>
      </c>
      <c r="J46" s="248" t="str">
        <f t="shared" si="24"/>
        <v/>
      </c>
      <c r="K46" s="248">
        <f t="shared" si="25"/>
        <v>4912154763705846</v>
      </c>
      <c r="L46" s="250">
        <f t="shared" si="33"/>
        <v>-3.1691634929848924E+18</v>
      </c>
      <c r="M46" s="196" t="str">
        <f t="shared" si="26"/>
        <v/>
      </c>
      <c r="N46" s="196" t="str">
        <f t="shared" si="27"/>
        <v/>
      </c>
      <c r="O46" s="250">
        <f t="shared" si="28"/>
        <v>4912154763705846</v>
      </c>
      <c r="P46" s="248">
        <f t="shared" si="34"/>
        <v>6.1827765900437042E-5</v>
      </c>
      <c r="Q46" s="250" t="str">
        <f t="shared" si="35"/>
        <v/>
      </c>
      <c r="R46" s="251" t="str">
        <f t="shared" si="36"/>
        <v/>
      </c>
      <c r="S46" s="252">
        <f>IF(AND(E46&gt;0.95*BiasLight,E46&lt;1.05*BiasLight),"",IF(AugerModel="Sinton",calclifetimeauger(Auger_Coefficient,I46,P46),calclifetimerichter(SampleType,I46,SampleDoping,P46)))</f>
        <v>16133.908452657068</v>
      </c>
      <c r="T46" s="201" t="str">
        <f t="shared" si="37"/>
        <v/>
      </c>
      <c r="U46" s="252">
        <f t="shared" si="29"/>
        <v>482.51382815513352</v>
      </c>
      <c r="V46" s="251" t="str">
        <f>IF(AugerModel="Sinton","",IF(SampleType="n-type",n_intr_boltzmann(SampleDoping,0,K46,Temperature+273.15),n_intr_boltzmann(0,SampleDoping,K46,Temperature+273.15)))</f>
        <v/>
      </c>
      <c r="W46" s="251" t="str">
        <f t="shared" si="13"/>
        <v/>
      </c>
      <c r="X46" s="246">
        <f>IF(AND(A46&gt;TimeofMaxCD,I46&gt;Traps),IF(AugerModel="Sinton",CalcImpliedV(SampleDoping,O46),CalcImpliedVRichter(O46,SampleDoping,V46)),"")</f>
        <v>0.69461501653899715</v>
      </c>
      <c r="Y46" s="253">
        <f t="shared" si="30"/>
        <v>9.3783283487878588</v>
      </c>
      <c r="Z46" s="200" t="str">
        <f t="shared" si="31"/>
        <v/>
      </c>
      <c r="AE46" s="251">
        <f t="shared" si="32"/>
        <v>1430.6779728067422</v>
      </c>
    </row>
    <row r="47" spans="1:31" x14ac:dyDescent="0.2">
      <c r="A47" s="244">
        <v>3.8498999999999999E-3</v>
      </c>
      <c r="B47" s="244">
        <v>0.69081999999999999</v>
      </c>
      <c r="C47" s="245">
        <v>8.9907799999999996E-2</v>
      </c>
      <c r="D47" s="246">
        <f>IF(CouplingMode="AC",B47-(A$11-A$10)*SUM(B$9:B47)/0.21,B47)</f>
        <v>0.69081999999999999</v>
      </c>
      <c r="E47" s="247">
        <f t="shared" si="20"/>
        <v>8.5431344242337151</v>
      </c>
      <c r="F47" s="247">
        <f t="shared" si="21"/>
        <v>8.5431344242337151</v>
      </c>
      <c r="G47" s="248">
        <f t="shared" si="22"/>
        <v>1.4185229443484193E+18</v>
      </c>
      <c r="H47" s="249">
        <f t="shared" si="23"/>
        <v>2.0802299439976978E-2</v>
      </c>
      <c r="I47" s="248">
        <f>IF(MobilityModel=DK,CalcDeltaN(H47,SampleDoping,Thickness,AreaFrac),CalcDeltaNDL(H47,AreaFrac,Thickness,SampleType,SampleDoping,Temperature))</f>
        <v>4608586025899594</v>
      </c>
      <c r="J47" s="248" t="str">
        <f t="shared" si="24"/>
        <v/>
      </c>
      <c r="K47" s="248">
        <f t="shared" si="25"/>
        <v>4608586025899594</v>
      </c>
      <c r="L47" s="250">
        <f t="shared" si="33"/>
        <v>-2.9778287012482427E+18</v>
      </c>
      <c r="M47" s="196" t="str">
        <f t="shared" si="26"/>
        <v/>
      </c>
      <c r="N47" s="196" t="str">
        <f t="shared" si="27"/>
        <v/>
      </c>
      <c r="O47" s="250">
        <f t="shared" si="28"/>
        <v>4608586025899594</v>
      </c>
      <c r="P47" s="248">
        <f t="shared" si="34"/>
        <v>6.1161213609152264E-5</v>
      </c>
      <c r="Q47" s="250" t="str">
        <f t="shared" si="35"/>
        <v/>
      </c>
      <c r="R47" s="251" t="str">
        <f t="shared" si="36"/>
        <v/>
      </c>
      <c r="S47" s="252">
        <f>IF(AND(E47&gt;0.95*BiasLight,E47&lt;1.05*BiasLight),"",IF(AugerModel="Sinton",calclifetimeauger(Auger_Coefficient,I47,P47),calclifetimerichter(SampleType,I47,SampleDoping,P47)))</f>
        <v>16314.97463008207</v>
      </c>
      <c r="T47" s="201" t="str">
        <f t="shared" si="37"/>
        <v/>
      </c>
      <c r="U47" s="252">
        <f t="shared" si="29"/>
        <v>2248.1600944845995</v>
      </c>
      <c r="V47" s="251" t="str">
        <f>IF(AugerModel="Sinton","",IF(SampleType="n-type",n_intr_boltzmann(SampleDoping,0,K47,Temperature+273.15),n_intr_boltzmann(0,SampleDoping,K47,Temperature+273.15)))</f>
        <v/>
      </c>
      <c r="W47" s="251" t="str">
        <f t="shared" si="13"/>
        <v/>
      </c>
      <c r="X47" s="246">
        <f>IF(AND(A47&gt;TimeofMaxCD,I47&gt;Traps),IF(AugerModel="Sinton",CalcImpliedV(SampleDoping,O47),CalcImpliedVRichter(O47,SampleDoping,V47)),"")</f>
        <v>0.69202232426943167</v>
      </c>
      <c r="Y47" s="253">
        <f t="shared" si="30"/>
        <v>8.8946435932421117</v>
      </c>
      <c r="Z47" s="200" t="str">
        <f t="shared" si="31"/>
        <v/>
      </c>
      <c r="AE47" s="251">
        <f t="shared" si="32"/>
        <v>1437.556960558205</v>
      </c>
    </row>
    <row r="48" spans="1:31" x14ac:dyDescent="0.2">
      <c r="A48" s="244">
        <v>3.9499000000000001E-3</v>
      </c>
      <c r="B48" s="244">
        <v>0.65101500000000001</v>
      </c>
      <c r="C48" s="245">
        <v>8.5423399999999997E-2</v>
      </c>
      <c r="D48" s="246">
        <f>IF(CouplingMode="AC",B48-(A$11-A$10)*SUM(B$9:B48)/0.21,B48)</f>
        <v>0.65101500000000001</v>
      </c>
      <c r="E48" s="247">
        <f t="shared" si="20"/>
        <v>8.117021984467268</v>
      </c>
      <c r="F48" s="247">
        <f t="shared" si="21"/>
        <v>8.117021984467268</v>
      </c>
      <c r="G48" s="248">
        <f t="shared" si="22"/>
        <v>1.3477701921774612E+18</v>
      </c>
      <c r="H48" s="249">
        <f t="shared" si="23"/>
        <v>1.9592178354590782E-2</v>
      </c>
      <c r="I48" s="248">
        <f>IF(MobilityModel=DK,CalcDeltaN(H48,SampleDoping,Thickness,AreaFrac),CalcDeltaNDL(H48,AreaFrac,Thickness,SampleType,SampleDoping,Temperature))</f>
        <v>4320303762359763.5</v>
      </c>
      <c r="J48" s="248" t="str">
        <f t="shared" si="24"/>
        <v/>
      </c>
      <c r="K48" s="248">
        <f t="shared" si="25"/>
        <v>4320303762359763.5</v>
      </c>
      <c r="L48" s="250">
        <f t="shared" si="33"/>
        <v>-2.8015945525458314E+18</v>
      </c>
      <c r="M48" s="196" t="str">
        <f t="shared" si="26"/>
        <v/>
      </c>
      <c r="N48" s="196" t="str">
        <f t="shared" si="27"/>
        <v/>
      </c>
      <c r="O48" s="250">
        <f t="shared" si="28"/>
        <v>4320303762359763.5</v>
      </c>
      <c r="P48" s="248">
        <f t="shared" si="34"/>
        <v>6.0368627545122782E-5</v>
      </c>
      <c r="Q48" s="250" t="str">
        <f t="shared" si="35"/>
        <v/>
      </c>
      <c r="R48" s="251" t="str">
        <f t="shared" si="36"/>
        <v/>
      </c>
      <c r="S48" s="252">
        <f>IF(AND(E48&gt;0.95*BiasLight,E48&lt;1.05*BiasLight),"",IF(AugerModel="Sinton",calclifetimeauger(Auger_Coefficient,I48,P48),calclifetimerichter(SampleType,I48,SampleDoping,P48)))</f>
        <v>16533.911447130875</v>
      </c>
      <c r="T48" s="201" t="str">
        <f t="shared" si="37"/>
        <v/>
      </c>
      <c r="U48" s="252">
        <f t="shared" si="29"/>
        <v>3924.8956699145456</v>
      </c>
      <c r="V48" s="251" t="str">
        <f>IF(AugerModel="Sinton","",IF(SampleType="n-type",n_intr_boltzmann(SampleDoping,0,K48,Temperature+273.15),n_intr_boltzmann(0,SampleDoping,K48,Temperature+273.15)))</f>
        <v/>
      </c>
      <c r="W48" s="251" t="str">
        <f t="shared" si="13"/>
        <v/>
      </c>
      <c r="X48" s="246">
        <f>IF(AND(A48&gt;TimeofMaxCD,I48&gt;Traps),IF(AugerModel="Sinton",CalcImpliedV(SampleDoping,O48),CalcImpliedVRichter(O48,SampleDoping,V48)),"")</f>
        <v>0.68942300478409613</v>
      </c>
      <c r="Y48" s="253">
        <f t="shared" si="30"/>
        <v>8.4477281035435716</v>
      </c>
      <c r="Z48" s="200" t="str">
        <f t="shared" si="31"/>
        <v/>
      </c>
      <c r="AE48" s="251">
        <f t="shared" si="32"/>
        <v>1444.2748851260628</v>
      </c>
    </row>
    <row r="49" spans="1:31" x14ac:dyDescent="0.2">
      <c r="A49" s="244">
        <v>4.0499000000000004E-3</v>
      </c>
      <c r="B49" s="244">
        <v>0.61295900000000003</v>
      </c>
      <c r="C49" s="245">
        <v>8.1124600000000005E-2</v>
      </c>
      <c r="D49" s="246">
        <f>IF(CouplingMode="AC",B49-(A$11-A$10)*SUM(B$9:B49)/0.21,B49)</f>
        <v>0.61295900000000003</v>
      </c>
      <c r="E49" s="247">
        <f t="shared" si="20"/>
        <v>7.7085454533665647</v>
      </c>
      <c r="F49" s="247">
        <f t="shared" si="21"/>
        <v>7.7085454533665647</v>
      </c>
      <c r="G49" s="248">
        <f t="shared" si="22"/>
        <v>1.2799457494353971E+18</v>
      </c>
      <c r="H49" s="249">
        <f t="shared" si="23"/>
        <v>1.8436543304891001E-2</v>
      </c>
      <c r="I49" s="248">
        <f>IF(MobilityModel=DK,CalcDeltaN(H49,SampleDoping,Thickness,AreaFrac),CalcDeltaNDL(H49,AreaFrac,Thickness,SampleType,SampleDoping,Temperature))</f>
        <v>4047128628949139</v>
      </c>
      <c r="J49" s="248" t="str">
        <f t="shared" si="24"/>
        <v/>
      </c>
      <c r="K49" s="248">
        <f t="shared" si="25"/>
        <v>4047128628949139</v>
      </c>
      <c r="L49" s="250">
        <f t="shared" si="33"/>
        <v>-2.6274971226723517E+18</v>
      </c>
      <c r="M49" s="196" t="str">
        <f t="shared" si="26"/>
        <v/>
      </c>
      <c r="N49" s="196" t="str">
        <f t="shared" si="27"/>
        <v/>
      </c>
      <c r="O49" s="250">
        <f t="shared" si="28"/>
        <v>4047128628949139</v>
      </c>
      <c r="P49" s="248">
        <f t="shared" si="34"/>
        <v>5.9577180743649128E-5</v>
      </c>
      <c r="Q49" s="250" t="str">
        <f t="shared" si="35"/>
        <v/>
      </c>
      <c r="R49" s="251" t="str">
        <f t="shared" si="36"/>
        <v/>
      </c>
      <c r="S49" s="252">
        <f>IF(AND(E49&gt;0.95*BiasLight,E49&lt;1.05*BiasLight),"",IF(AugerModel="Sinton",calclifetimeauger(Auger_Coefficient,I49,P49),calclifetimerichter(SampleType,I49,SampleDoping,P49)))</f>
        <v>16757.760446059365</v>
      </c>
      <c r="T49" s="201" t="str">
        <f t="shared" si="37"/>
        <v/>
      </c>
      <c r="U49" s="252">
        <f t="shared" si="29"/>
        <v>5513.7636734056105</v>
      </c>
      <c r="V49" s="251" t="str">
        <f>IF(AugerModel="Sinton","",IF(SampleType="n-type",n_intr_boltzmann(SampleDoping,0,K49,Temperature+273.15),n_intr_boltzmann(0,SampleDoping,K49,Temperature+273.15)))</f>
        <v/>
      </c>
      <c r="W49" s="251" t="str">
        <f t="shared" si="13"/>
        <v/>
      </c>
      <c r="X49" s="246">
        <f>IF(AND(A49&gt;TimeofMaxCD,I49&gt;Traps),IF(AugerModel="Sinton",CalcImpliedV(SampleDoping,O49),CalcImpliedVRichter(O49,SampleDoping,V49)),"")</f>
        <v>0.68682147806330651</v>
      </c>
      <c r="Y49" s="253">
        <f t="shared" si="30"/>
        <v>8.0187007452997001</v>
      </c>
      <c r="Z49" s="200" t="str">
        <f t="shared" si="31"/>
        <v/>
      </c>
      <c r="AE49" s="251">
        <f t="shared" si="32"/>
        <v>1450.821246720812</v>
      </c>
    </row>
    <row r="50" spans="1:31" x14ac:dyDescent="0.2">
      <c r="A50" s="244">
        <v>4.1498999999999998E-3</v>
      </c>
      <c r="B50" s="244">
        <v>0.57712399999999997</v>
      </c>
      <c r="C50" s="245">
        <v>7.7086500000000002E-2</v>
      </c>
      <c r="D50" s="246">
        <f>IF(CouplingMode="AC",B50-(A$11-A$10)*SUM(B$9:B50)/0.21,B50)</f>
        <v>0.57712399999999997</v>
      </c>
      <c r="E50" s="247">
        <f t="shared" si="20"/>
        <v>7.3248409125091731</v>
      </c>
      <c r="F50" s="247">
        <f t="shared" si="21"/>
        <v>7.3248409125091731</v>
      </c>
      <c r="G50" s="248">
        <f t="shared" si="22"/>
        <v>1.2162345085689388E+18</v>
      </c>
      <c r="H50" s="249">
        <f t="shared" si="23"/>
        <v>1.7349527164821174E-2</v>
      </c>
      <c r="I50" s="248">
        <f>IF(MobilityModel=DK,CalcDeltaN(H50,SampleDoping,Thickness,AreaFrac),CalcDeltaNDL(H50,AreaFrac,Thickness,SampleType,SampleDoping,Temperature))</f>
        <v>3792086185908158</v>
      </c>
      <c r="J50" s="248" t="str">
        <f t="shared" si="24"/>
        <v/>
      </c>
      <c r="K50" s="248">
        <f t="shared" si="25"/>
        <v>3792086185908158</v>
      </c>
      <c r="L50" s="250">
        <f t="shared" si="33"/>
        <v>-2.4600956252234757E+18</v>
      </c>
      <c r="M50" s="196" t="str">
        <f t="shared" si="26"/>
        <v/>
      </c>
      <c r="N50" s="196" t="str">
        <f t="shared" si="27"/>
        <v/>
      </c>
      <c r="O50" s="250">
        <f t="shared" si="28"/>
        <v>3792086185908158</v>
      </c>
      <c r="P50" s="248">
        <f t="shared" si="34"/>
        <v>5.8780299087138712E-5</v>
      </c>
      <c r="Q50" s="250" t="str">
        <f t="shared" si="35"/>
        <v/>
      </c>
      <c r="R50" s="251" t="str">
        <f t="shared" si="36"/>
        <v/>
      </c>
      <c r="S50" s="252">
        <f>IF(AND(E50&gt;0.95*BiasLight,E50&lt;1.05*BiasLight),"",IF(AugerModel="Sinton",calclifetimeauger(Auger_Coefficient,I50,P50),calclifetimerichter(SampleType,I50,SampleDoping,P50)))</f>
        <v>16988.63208899894</v>
      </c>
      <c r="T50" s="201" t="str">
        <f t="shared" si="37"/>
        <v/>
      </c>
      <c r="U50" s="252">
        <f t="shared" si="29"/>
        <v>6997.1665447456071</v>
      </c>
      <c r="V50" s="251" t="str">
        <f>IF(AugerModel="Sinton","",IF(SampleType="n-type",n_intr_boltzmann(SampleDoping,0,K50,Temperature+273.15),n_intr_boltzmann(0,SampleDoping,K50,Temperature+273.15)))</f>
        <v/>
      </c>
      <c r="W50" s="251" t="str">
        <f t="shared" si="13"/>
        <v/>
      </c>
      <c r="X50" s="246">
        <f>IF(AND(A50&gt;TimeofMaxCD,I50&gt;Traps),IF(AugerModel="Sinton",CalcImpliedV(SampleDoping,O50),CalcImpliedVRichter(O50,SampleDoping,V50)),"")</f>
        <v>0.68425604079343261</v>
      </c>
      <c r="Y50" s="253">
        <f t="shared" si="30"/>
        <v>7.615235779259236</v>
      </c>
      <c r="Z50" s="200" t="str">
        <f t="shared" si="31"/>
        <v/>
      </c>
      <c r="AE50" s="251">
        <f t="shared" si="32"/>
        <v>1457.105041372743</v>
      </c>
    </row>
    <row r="51" spans="1:31" x14ac:dyDescent="0.2">
      <c r="A51" s="244">
        <v>4.2499E-3</v>
      </c>
      <c r="B51" s="244">
        <v>0.54410099999999995</v>
      </c>
      <c r="C51" s="245">
        <v>7.3266200000000004E-2</v>
      </c>
      <c r="D51" s="246">
        <f>IF(CouplingMode="AC",B51-(A$11-A$10)*SUM(B$9:B51)/0.21,B51)</f>
        <v>0.54410099999999995</v>
      </c>
      <c r="E51" s="247">
        <f t="shared" si="20"/>
        <v>6.9618319584373349</v>
      </c>
      <c r="F51" s="247">
        <f t="shared" si="21"/>
        <v>6.9618319584373349</v>
      </c>
      <c r="G51" s="248">
        <f t="shared" si="22"/>
        <v>1.1559596135732401E+18</v>
      </c>
      <c r="H51" s="249">
        <f t="shared" si="23"/>
        <v>1.6348818608577315E-2</v>
      </c>
      <c r="I51" s="248">
        <f>IF(MobilityModel=DK,CalcDeltaN(H51,SampleDoping,Thickness,AreaFrac),CalcDeltaNDL(H51,AreaFrac,Thickness,SampleType,SampleDoping,Temperature))</f>
        <v>3558946252789221</v>
      </c>
      <c r="J51" s="248" t="str">
        <f t="shared" si="24"/>
        <v/>
      </c>
      <c r="K51" s="248">
        <f t="shared" si="25"/>
        <v>3558946252789221</v>
      </c>
      <c r="L51" s="250">
        <f t="shared" si="33"/>
        <v>-2.2987519051826982E+18</v>
      </c>
      <c r="M51" s="196" t="str">
        <f t="shared" si="26"/>
        <v/>
      </c>
      <c r="N51" s="196" t="str">
        <f t="shared" si="27"/>
        <v/>
      </c>
      <c r="O51" s="250">
        <f t="shared" si="28"/>
        <v>3558946252789221</v>
      </c>
      <c r="P51" s="248">
        <f t="shared" si="34"/>
        <v>5.8080321885644522E-5</v>
      </c>
      <c r="Q51" s="250" t="str">
        <f t="shared" si="35"/>
        <v/>
      </c>
      <c r="R51" s="251" t="str">
        <f t="shared" si="36"/>
        <v/>
      </c>
      <c r="S51" s="252">
        <f>IF(AND(E51&gt;0.95*BiasLight,E51&lt;1.05*BiasLight),"",IF(AugerModel="Sinton",calclifetimeauger(Auger_Coefficient,I51,P51),calclifetimerichter(SampleType,I51,SampleDoping,P51)))</f>
        <v>17196.509709155904</v>
      </c>
      <c r="T51" s="201" t="str">
        <f t="shared" si="37"/>
        <v/>
      </c>
      <c r="U51" s="252">
        <f t="shared" si="29"/>
        <v>8353.1778897164368</v>
      </c>
      <c r="V51" s="251" t="str">
        <f>IF(AugerModel="Sinton","",IF(SampleType="n-type",n_intr_boltzmann(SampleDoping,0,K51,Temperature+273.15),n_intr_boltzmann(0,SampleDoping,K51,Temperature+273.15)))</f>
        <v/>
      </c>
      <c r="W51" s="251" t="str">
        <f t="shared" si="13"/>
        <v/>
      </c>
      <c r="X51" s="246">
        <f>IF(AND(A51&gt;TimeofMaxCD,I51&gt;Traps),IF(AugerModel="Sinton",CalcImpliedV(SampleDoping,O51),CalcImpliedVRichter(O51,SampleDoping,V51)),"")</f>
        <v>0.68178133758429993</v>
      </c>
      <c r="Y51" s="253">
        <f t="shared" si="30"/>
        <v>7.2331814728027943</v>
      </c>
      <c r="Z51" s="200" t="str">
        <f t="shared" si="31"/>
        <v/>
      </c>
      <c r="AE51" s="251">
        <f t="shared" si="32"/>
        <v>1463.0068612068083</v>
      </c>
    </row>
    <row r="52" spans="1:31" x14ac:dyDescent="0.2">
      <c r="A52" s="244">
        <v>4.3499000000000003E-3</v>
      </c>
      <c r="B52" s="244">
        <v>0.51204099999999997</v>
      </c>
      <c r="C52" s="245">
        <v>6.9652900000000004E-2</v>
      </c>
      <c r="D52" s="246">
        <f>IF(CouplingMode="AC",B52-(A$11-A$10)*SUM(B$9:B52)/0.21,B52)</f>
        <v>0.51204099999999997</v>
      </c>
      <c r="E52" s="247">
        <f t="shared" si="20"/>
        <v>6.6184923637071371</v>
      </c>
      <c r="F52" s="247">
        <f t="shared" si="21"/>
        <v>6.6184923637071371</v>
      </c>
      <c r="G52" s="248">
        <f t="shared" si="22"/>
        <v>1.0989506671323959E+18</v>
      </c>
      <c r="H52" s="249">
        <f t="shared" si="23"/>
        <v>1.5378217706441936E-2</v>
      </c>
      <c r="I52" s="248">
        <f>IF(MobilityModel=DK,CalcDeltaN(H52,SampleDoping,Thickness,AreaFrac),CalcDeltaNDL(H52,AreaFrac,Thickness,SampleType,SampleDoping,Temperature))</f>
        <v>3334347137827984.5</v>
      </c>
      <c r="J52" s="248" t="str">
        <f t="shared" si="24"/>
        <v/>
      </c>
      <c r="K52" s="248">
        <f t="shared" si="25"/>
        <v>3334347137827984.5</v>
      </c>
      <c r="L52" s="250">
        <f t="shared" si="33"/>
        <v>-2.1544039544640202E+18</v>
      </c>
      <c r="M52" s="196" t="str">
        <f t="shared" si="26"/>
        <v/>
      </c>
      <c r="N52" s="196" t="str">
        <f t="shared" si="27"/>
        <v/>
      </c>
      <c r="O52" s="250">
        <f t="shared" si="28"/>
        <v>3334347137827984.5</v>
      </c>
      <c r="P52" s="248">
        <f t="shared" si="34"/>
        <v>5.7268245663096088E-5</v>
      </c>
      <c r="Q52" s="250" t="str">
        <f t="shared" si="35"/>
        <v/>
      </c>
      <c r="R52" s="251" t="str">
        <f t="shared" si="36"/>
        <v/>
      </c>
      <c r="S52" s="252">
        <f>IF(AND(E52&gt;0.95*BiasLight,E52&lt;1.05*BiasLight),"",IF(AugerModel="Sinton",calclifetimeauger(Auger_Coefficient,I52,P52),calclifetimerichter(SampleType,I52,SampleDoping,P52)))</f>
        <v>17443.228177199271</v>
      </c>
      <c r="T52" s="201" t="str">
        <f t="shared" si="37"/>
        <v/>
      </c>
      <c r="U52" s="252">
        <f t="shared" si="29"/>
        <v>9659.5132904496604</v>
      </c>
      <c r="V52" s="251" t="str">
        <f>IF(AugerModel="Sinton","",IF(SampleType="n-type",n_intr_boltzmann(SampleDoping,0,K52,Temperature+273.15),n_intr_boltzmann(0,SampleDoping,K52,Temperature+273.15)))</f>
        <v/>
      </c>
      <c r="W52" s="251" t="str">
        <f t="shared" si="13"/>
        <v/>
      </c>
      <c r="X52" s="246">
        <f>IF(AND(A52&gt;TimeofMaxCD,I52&gt;Traps),IF(AugerModel="Sinton",CalcImpliedV(SampleDoping,O52),CalcImpliedVRichter(O52,SampleDoping,V52)),"")</f>
        <v>0.67926584899481823</v>
      </c>
      <c r="Y52" s="253">
        <f t="shared" si="30"/>
        <v>6.8728027420793412</v>
      </c>
      <c r="Z52" s="200" t="str">
        <f t="shared" si="31"/>
        <v/>
      </c>
      <c r="AE52" s="251">
        <f t="shared" si="32"/>
        <v>1468.8471658502967</v>
      </c>
    </row>
    <row r="53" spans="1:31" x14ac:dyDescent="0.2">
      <c r="A53" s="244">
        <v>4.4498999999999997E-3</v>
      </c>
      <c r="B53" s="244">
        <v>0.48216799999999999</v>
      </c>
      <c r="C53" s="245">
        <v>6.6231999999999999E-2</v>
      </c>
      <c r="D53" s="246">
        <f>IF(CouplingMode="AC",B53-(A$11-A$10)*SUM(B$9:B53)/0.21,B53)</f>
        <v>0.48216799999999999</v>
      </c>
      <c r="E53" s="247">
        <f t="shared" si="20"/>
        <v>6.2934348208481063</v>
      </c>
      <c r="F53" s="247">
        <f t="shared" si="21"/>
        <v>6.2934348208481063</v>
      </c>
      <c r="G53" s="248">
        <f t="shared" si="22"/>
        <v>1.0449773173193485E+18</v>
      </c>
      <c r="H53" s="249">
        <f t="shared" si="23"/>
        <v>1.4474647791489451E-2</v>
      </c>
      <c r="I53" s="248">
        <f>IF(MobilityModel=DK,CalcDeltaN(H53,SampleDoping,Thickness,AreaFrac),CalcDeltaNDL(H53,AreaFrac,Thickness,SampleType,SampleDoping,Temperature))</f>
        <v>3126622200397877.5</v>
      </c>
      <c r="J53" s="248" t="str">
        <f t="shared" si="24"/>
        <v/>
      </c>
      <c r="K53" s="248">
        <f t="shared" si="25"/>
        <v>3126622200397877.5</v>
      </c>
      <c r="L53" s="250">
        <f t="shared" si="33"/>
        <v>-2.0232257242653878E+18</v>
      </c>
      <c r="M53" s="196" t="str">
        <f t="shared" si="26"/>
        <v/>
      </c>
      <c r="N53" s="196" t="str">
        <f t="shared" si="27"/>
        <v/>
      </c>
      <c r="O53" s="250">
        <f t="shared" si="28"/>
        <v>3126622200397877.5</v>
      </c>
      <c r="P53" s="248">
        <f t="shared" si="34"/>
        <v>5.6500052121065477E-5</v>
      </c>
      <c r="Q53" s="250" t="str">
        <f t="shared" si="35"/>
        <v/>
      </c>
      <c r="R53" s="251" t="str">
        <f t="shared" si="36"/>
        <v/>
      </c>
      <c r="S53" s="252">
        <f>IF(AND(E53&gt;0.95*BiasLight,E53&lt;1.05*BiasLight),"",IF(AugerModel="Sinton",calclifetimeauger(Auger_Coefficient,I53,P53),calclifetimerichter(SampleType,I53,SampleDoping,P53)))</f>
        <v>17682.870944689548</v>
      </c>
      <c r="T53" s="201" t="str">
        <f t="shared" si="37"/>
        <v/>
      </c>
      <c r="U53" s="252">
        <f t="shared" si="29"/>
        <v>10867.703444835959</v>
      </c>
      <c r="V53" s="251" t="str">
        <f>IF(AugerModel="Sinton","",IF(SampleType="n-type",n_intr_boltzmann(SampleDoping,0,K53,Temperature+273.15),n_intr_boltzmann(0,SampleDoping,K53,Temperature+273.15)))</f>
        <v/>
      </c>
      <c r="W53" s="251" t="str">
        <f t="shared" si="13"/>
        <v/>
      </c>
      <c r="X53" s="246">
        <f>IF(AND(A53&gt;TimeofMaxCD,I53&gt;Traps),IF(AugerModel="Sinton",CalcImpliedV(SampleDoping,O53),CalcImpliedVRichter(O53,SampleDoping,V53)),"")</f>
        <v>0.67681044245865807</v>
      </c>
      <c r="Y53" s="253">
        <f t="shared" si="30"/>
        <v>6.532260644762971</v>
      </c>
      <c r="Z53" s="200" t="str">
        <f t="shared" si="31"/>
        <v/>
      </c>
      <c r="AE53" s="251">
        <f t="shared" si="32"/>
        <v>1474.3955607048244</v>
      </c>
    </row>
    <row r="54" spans="1:31" x14ac:dyDescent="0.2">
      <c r="A54" s="244">
        <v>4.5499E-3</v>
      </c>
      <c r="B54" s="244">
        <v>0.45384200000000002</v>
      </c>
      <c r="C54" s="245">
        <v>6.3016199999999994E-2</v>
      </c>
      <c r="D54" s="246">
        <f>IF(CouplingMode="AC",B54-(A$11-A$10)*SUM(B$9:B54)/0.21,B54)</f>
        <v>0.45384200000000002</v>
      </c>
      <c r="E54" s="247">
        <f t="shared" si="20"/>
        <v>5.9878660973174362</v>
      </c>
      <c r="F54" s="247">
        <f t="shared" si="21"/>
        <v>5.9878660973174362</v>
      </c>
      <c r="G54" s="248">
        <f t="shared" si="22"/>
        <v>9.9423993875557914E+17</v>
      </c>
      <c r="H54" s="249">
        <f t="shared" si="23"/>
        <v>1.3618601267205904E-2</v>
      </c>
      <c r="I54" s="248">
        <f>IF(MobilityModel=DK,CalcDeltaN(H54,SampleDoping,Thickness,AreaFrac),CalcDeltaNDL(H54,AreaFrac,Thickness,SampleType,SampleDoping,Temperature))</f>
        <v>2931046234871819.5</v>
      </c>
      <c r="J54" s="248" t="str">
        <f t="shared" si="24"/>
        <v/>
      </c>
      <c r="K54" s="248">
        <f t="shared" si="25"/>
        <v>2931046234871819.5</v>
      </c>
      <c r="L54" s="250">
        <f t="shared" si="33"/>
        <v>-1.8969462872999444E+18</v>
      </c>
      <c r="M54" s="196" t="str">
        <f t="shared" si="26"/>
        <v/>
      </c>
      <c r="N54" s="196" t="str">
        <f t="shared" si="27"/>
        <v/>
      </c>
      <c r="O54" s="250">
        <f t="shared" si="28"/>
        <v>2931046234871819.5</v>
      </c>
      <c r="P54" s="248">
        <f t="shared" si="34"/>
        <v>5.5698455928878223E-5</v>
      </c>
      <c r="Q54" s="250" t="str">
        <f t="shared" si="35"/>
        <v/>
      </c>
      <c r="R54" s="251" t="str">
        <f t="shared" si="36"/>
        <v/>
      </c>
      <c r="S54" s="252">
        <f>IF(AND(E54&gt;0.95*BiasLight,E54&lt;1.05*BiasLight),"",IF(AugerModel="Sinton",calclifetimeauger(Auger_Coefficient,I54,P54),calclifetimerichter(SampleType,I54,SampleDoping,P54)))</f>
        <v>17939.557952780953</v>
      </c>
      <c r="T54" s="201" t="str">
        <f t="shared" si="37"/>
        <v/>
      </c>
      <c r="U54" s="252">
        <f t="shared" si="29"/>
        <v>12005.23155728362</v>
      </c>
      <c r="V54" s="251" t="str">
        <f>IF(AugerModel="Sinton","",IF(SampleType="n-type",n_intr_boltzmann(SampleDoping,0,K54,Temperature+273.15),n_intr_boltzmann(0,SampleDoping,K54,Temperature+273.15)))</f>
        <v/>
      </c>
      <c r="W54" s="251" t="str">
        <f t="shared" si="13"/>
        <v/>
      </c>
      <c r="X54" s="246">
        <f>IF(AND(A54&gt;TimeofMaxCD,I54&gt;Traps),IF(AugerModel="Sinton",CalcImpliedV(SampleDoping,O54),CalcImpliedVRichter(O54,SampleDoping,V54)),"")</f>
        <v>0.67437140666241324</v>
      </c>
      <c r="Y54" s="253">
        <f t="shared" si="30"/>
        <v>6.2117856306414527</v>
      </c>
      <c r="Z54" s="200" t="str">
        <f t="shared" si="31"/>
        <v/>
      </c>
      <c r="AE54" s="251">
        <f t="shared" si="32"/>
        <v>1479.7598935756801</v>
      </c>
    </row>
    <row r="55" spans="1:31" x14ac:dyDescent="0.2">
      <c r="A55" s="244">
        <v>4.6499000000000002E-3</v>
      </c>
      <c r="B55" s="244">
        <v>0.42729400000000001</v>
      </c>
      <c r="C55" s="245">
        <v>5.9953699999999999E-2</v>
      </c>
      <c r="D55" s="246">
        <f>IF(CouplingMode="AC",B55-(A$11-A$10)*SUM(B$9:B55)/0.21,B55)</f>
        <v>0.42729400000000001</v>
      </c>
      <c r="E55" s="247">
        <f t="shared" si="20"/>
        <v>5.6968641022267352</v>
      </c>
      <c r="F55" s="247">
        <f t="shared" si="21"/>
        <v>5.6968641022267352</v>
      </c>
      <c r="G55" s="248">
        <f t="shared" si="22"/>
        <v>9.4592125542591232E+17</v>
      </c>
      <c r="H55" s="249">
        <f t="shared" si="23"/>
        <v>1.2816934251698851E-2</v>
      </c>
      <c r="I55" s="248">
        <f>IF(MobilityModel=DK,CalcDeltaN(H55,SampleDoping,Thickness,AreaFrac),CalcDeltaNDL(H55,AreaFrac,Thickness,SampleType,SampleDoping,Temperature))</f>
        <v>2748983842134609.5</v>
      </c>
      <c r="J55" s="248" t="str">
        <f t="shared" si="24"/>
        <v/>
      </c>
      <c r="K55" s="248">
        <f t="shared" si="25"/>
        <v>2748983842134609.5</v>
      </c>
      <c r="L55" s="250">
        <f t="shared" si="33"/>
        <v>-1.7798400552867159E+18</v>
      </c>
      <c r="M55" s="196" t="str">
        <f t="shared" si="26"/>
        <v/>
      </c>
      <c r="N55" s="196" t="str">
        <f t="shared" si="27"/>
        <v/>
      </c>
      <c r="O55" s="250">
        <f t="shared" si="28"/>
        <v>2748983842134609.5</v>
      </c>
      <c r="P55" s="248">
        <f t="shared" si="34"/>
        <v>5.4934489272811095E-5</v>
      </c>
      <c r="Q55" s="250" t="str">
        <f t="shared" si="35"/>
        <v/>
      </c>
      <c r="R55" s="251" t="str">
        <f t="shared" si="36"/>
        <v/>
      </c>
      <c r="S55" s="252">
        <f>IF(AND(E55&gt;0.95*BiasLight,E55&lt;1.05*BiasLight),"",IF(AugerModel="Sinton",calclifetimeauger(Auger_Coefficient,I55,P55),calclifetimerichter(SampleType,I55,SampleDoping,P55)))</f>
        <v>18190.955972200445</v>
      </c>
      <c r="T55" s="201" t="str">
        <f t="shared" si="37"/>
        <v/>
      </c>
      <c r="U55" s="252">
        <f t="shared" si="29"/>
        <v>13064.160702288758</v>
      </c>
      <c r="V55" s="251" t="str">
        <f>IF(AugerModel="Sinton","",IF(SampleType="n-type",n_intr_boltzmann(SampleDoping,0,K55,Temperature+273.15),n_intr_boltzmann(0,SampleDoping,K55,Temperature+273.15)))</f>
        <v/>
      </c>
      <c r="W55" s="251" t="str">
        <f t="shared" si="13"/>
        <v/>
      </c>
      <c r="X55" s="246">
        <f>IF(AND(A55&gt;TimeofMaxCD,I55&gt;Traps),IF(AugerModel="Sinton",CalcImpliedV(SampleDoping,O55),CalcImpliedVRichter(O55,SampleDoping,V55)),"")</f>
        <v>0.67197630477870152</v>
      </c>
      <c r="Y55" s="253">
        <f t="shared" si="30"/>
        <v>5.9069601693844733</v>
      </c>
      <c r="Z55" s="200" t="str">
        <f t="shared" si="31"/>
        <v/>
      </c>
      <c r="AE55" s="251">
        <f t="shared" si="32"/>
        <v>1484.8869354795393</v>
      </c>
    </row>
    <row r="56" spans="1:31" x14ac:dyDescent="0.2">
      <c r="A56" s="244">
        <v>4.7498999999999996E-3</v>
      </c>
      <c r="B56" s="244">
        <v>0.40171299999999999</v>
      </c>
      <c r="C56" s="245">
        <v>5.7022999999999997E-2</v>
      </c>
      <c r="D56" s="246">
        <f>IF(CouplingMode="AC",B56-(A$11-A$10)*SUM(B$9:B56)/0.21,B56)</f>
        <v>0.40171299999999999</v>
      </c>
      <c r="E56" s="247">
        <f t="shared" si="20"/>
        <v>5.4183858827941416</v>
      </c>
      <c r="F56" s="247">
        <f t="shared" si="21"/>
        <v>5.4183858827941416</v>
      </c>
      <c r="G56" s="248">
        <f t="shared" si="22"/>
        <v>8.9968205045146163E+17</v>
      </c>
      <c r="H56" s="249">
        <f t="shared" si="23"/>
        <v>1.2045059109817683E-2</v>
      </c>
      <c r="I56" s="248">
        <f>IF(MobilityModel=DK,CalcDeltaN(H56,SampleDoping,Thickness,AreaFrac),CalcDeltaNDL(H56,AreaFrac,Thickness,SampleType,SampleDoping,Temperature))</f>
        <v>2574693173309647</v>
      </c>
      <c r="J56" s="248" t="str">
        <f t="shared" si="24"/>
        <v/>
      </c>
      <c r="K56" s="248">
        <f t="shared" si="25"/>
        <v>2574693173309647</v>
      </c>
      <c r="L56" s="250">
        <f t="shared" si="33"/>
        <v>-1.6640306906223903E+18</v>
      </c>
      <c r="M56" s="196" t="str">
        <f t="shared" si="26"/>
        <v/>
      </c>
      <c r="N56" s="196" t="str">
        <f t="shared" si="27"/>
        <v/>
      </c>
      <c r="O56" s="250">
        <f t="shared" si="28"/>
        <v>2574693173309647</v>
      </c>
      <c r="P56" s="248">
        <f t="shared" si="34"/>
        <v>5.4128655764039676E-5</v>
      </c>
      <c r="Q56" s="250" t="str">
        <f t="shared" si="35"/>
        <v/>
      </c>
      <c r="R56" s="251" t="str">
        <f t="shared" si="36"/>
        <v/>
      </c>
      <c r="S56" s="252">
        <f>IF(AND(E56&gt;0.95*BiasLight,E56&lt;1.05*BiasLight),"",IF(AugerModel="Sinton",calclifetimeauger(Auger_Coefficient,I56,P56),calclifetimerichter(SampleType,I56,SampleDoping,P56)))</f>
        <v>18463.49853971789</v>
      </c>
      <c r="T56" s="201" t="str">
        <f t="shared" si="37"/>
        <v/>
      </c>
      <c r="U56" s="252">
        <f t="shared" si="29"/>
        <v>14077.887184438141</v>
      </c>
      <c r="V56" s="251" t="str">
        <f>IF(AugerModel="Sinton","",IF(SampleType="n-type",n_intr_boltzmann(SampleDoping,0,K56,Temperature+273.15),n_intr_boltzmann(0,SampleDoping,K56,Temperature+273.15)))</f>
        <v/>
      </c>
      <c r="W56" s="251" t="str">
        <f t="shared" si="13"/>
        <v/>
      </c>
      <c r="X56" s="246">
        <f>IF(AND(A56&gt;TimeofMaxCD,I56&gt;Traps),IF(AugerModel="Sinton",CalcImpliedV(SampleDoping,O56),CalcImpliedVRichter(O56,SampleDoping,V56)),"")</f>
        <v>0.66955686938658643</v>
      </c>
      <c r="Y56" s="253">
        <f t="shared" si="30"/>
        <v>5.6148115687377151</v>
      </c>
      <c r="Z56" s="200" t="str">
        <f t="shared" si="31"/>
        <v/>
      </c>
      <c r="AE56" s="251">
        <f t="shared" si="32"/>
        <v>1489.9265904089327</v>
      </c>
    </row>
    <row r="57" spans="1:31" x14ac:dyDescent="0.2">
      <c r="A57" s="244">
        <v>4.8498999999999999E-3</v>
      </c>
      <c r="B57" s="244">
        <v>0.37811</v>
      </c>
      <c r="C57" s="245">
        <v>5.4279899999999999E-2</v>
      </c>
      <c r="D57" s="246">
        <f>IF(CouplingMode="AC",B57-(A$11-A$10)*SUM(B$9:B57)/0.21,B57)</f>
        <v>0.37811</v>
      </c>
      <c r="E57" s="247">
        <f t="shared" si="20"/>
        <v>5.1577336141465322</v>
      </c>
      <c r="F57" s="247">
        <f t="shared" si="21"/>
        <v>5.1577336141465322</v>
      </c>
      <c r="G57" s="248">
        <f t="shared" si="22"/>
        <v>8.5640270996440538E+17</v>
      </c>
      <c r="H57" s="249">
        <f t="shared" si="23"/>
        <v>1.1333382594621567E-2</v>
      </c>
      <c r="I57" s="248">
        <f>IF(MobilityModel=DK,CalcDeltaN(H57,SampleDoping,Thickness,AreaFrac),CalcDeltaNDL(H57,AreaFrac,Thickness,SampleType,SampleDoping,Temperature))</f>
        <v>2414878703535606</v>
      </c>
      <c r="J57" s="248" t="str">
        <f t="shared" si="24"/>
        <v/>
      </c>
      <c r="K57" s="248">
        <f t="shared" si="25"/>
        <v>2414878703535606</v>
      </c>
      <c r="L57" s="250">
        <f t="shared" si="33"/>
        <v>-1.554634521890124E+18</v>
      </c>
      <c r="M57" s="196" t="str">
        <f t="shared" si="26"/>
        <v/>
      </c>
      <c r="N57" s="196" t="str">
        <f t="shared" si="27"/>
        <v/>
      </c>
      <c r="O57" s="250">
        <f t="shared" si="28"/>
        <v>2414878703535606</v>
      </c>
      <c r="P57" s="248">
        <f t="shared" si="34"/>
        <v>5.3369076990854234E-5</v>
      </c>
      <c r="Q57" s="250" t="str">
        <f t="shared" si="35"/>
        <v/>
      </c>
      <c r="R57" s="251" t="str">
        <f t="shared" si="36"/>
        <v/>
      </c>
      <c r="S57" s="252">
        <f>IF(AND(E57&gt;0.95*BiasLight,E57&lt;1.05*BiasLight),"",IF(AugerModel="Sinton",calclifetimeauger(Auger_Coefficient,I57,P57),calclifetimerichter(SampleType,I57,SampleDoping,P57)))</f>
        <v>18727.761765508123</v>
      </c>
      <c r="T57" s="201" t="str">
        <f t="shared" si="37"/>
        <v/>
      </c>
      <c r="U57" s="252">
        <f t="shared" si="29"/>
        <v>15007.4157778668</v>
      </c>
      <c r="V57" s="251" t="str">
        <f>IF(AugerModel="Sinton","",IF(SampleType="n-type",n_intr_boltzmann(SampleDoping,0,K57,Temperature+273.15),n_intr_boltzmann(0,SampleDoping,K57,Temperature+273.15)))</f>
        <v/>
      </c>
      <c r="W57" s="251" t="str">
        <f t="shared" si="13"/>
        <v/>
      </c>
      <c r="X57" s="246">
        <f>IF(AND(A57&gt;TimeofMaxCD,I57&gt;Traps),IF(AugerModel="Sinton",CalcImpliedV(SampleDoping,O57),CalcImpliedVRichter(O57,SampleDoping,V57)),"")</f>
        <v>0.66721600897151734</v>
      </c>
      <c r="Y57" s="253">
        <f t="shared" si="30"/>
        <v>5.3412459460252251</v>
      </c>
      <c r="Z57" s="200" t="str">
        <f t="shared" si="31"/>
        <v/>
      </c>
      <c r="AE57" s="251">
        <f t="shared" si="32"/>
        <v>1494.6711275486809</v>
      </c>
    </row>
    <row r="58" spans="1:31" x14ac:dyDescent="0.2">
      <c r="A58" s="244">
        <v>4.9499000000000001E-3</v>
      </c>
      <c r="B58" s="244">
        <v>0.35600500000000002</v>
      </c>
      <c r="C58" s="245">
        <v>5.1691000000000001E-2</v>
      </c>
      <c r="D58" s="246">
        <f>IF(CouplingMode="AC",B58-(A$11-A$10)*SUM(B$9:B58)/0.21,B58)</f>
        <v>0.35600500000000002</v>
      </c>
      <c r="E58" s="247">
        <f t="shared" si="20"/>
        <v>4.9117335928925518</v>
      </c>
      <c r="F58" s="247">
        <f t="shared" si="21"/>
        <v>4.9117335928925518</v>
      </c>
      <c r="G58" s="248">
        <f t="shared" si="22"/>
        <v>8.155562644877769E+17</v>
      </c>
      <c r="H58" s="249">
        <f t="shared" si="23"/>
        <v>1.0667321856904288E-2</v>
      </c>
      <c r="I58" s="248">
        <f>IF(MobilityModel=DK,CalcDeltaN(H58,SampleDoping,Thickness,AreaFrac),CalcDeltaNDL(H58,AreaFrac,Thickness,SampleType,SampleDoping,Temperature))</f>
        <v>2266083458860126</v>
      </c>
      <c r="J58" s="248" t="str">
        <f t="shared" si="24"/>
        <v/>
      </c>
      <c r="K58" s="248">
        <f t="shared" si="25"/>
        <v>2266083458860126</v>
      </c>
      <c r="L58" s="250">
        <f t="shared" si="33"/>
        <v>-1.4583648707139479E+18</v>
      </c>
      <c r="M58" s="196" t="str">
        <f t="shared" si="26"/>
        <v/>
      </c>
      <c r="N58" s="196" t="str">
        <f t="shared" si="27"/>
        <v/>
      </c>
      <c r="O58" s="250">
        <f t="shared" si="28"/>
        <v>2266083458860126</v>
      </c>
      <c r="P58" s="248">
        <f t="shared" si="34"/>
        <v>5.2615945732990514E-5</v>
      </c>
      <c r="Q58" s="250" t="str">
        <f t="shared" si="35"/>
        <v/>
      </c>
      <c r="R58" s="251" t="str">
        <f t="shared" si="36"/>
        <v/>
      </c>
      <c r="S58" s="252">
        <f>IF(AND(E58&gt;0.95*BiasLight,E58&lt;1.05*BiasLight),"",IF(AugerModel="Sinton",calclifetimeauger(Auger_Coefficient,I58,P58),calclifetimerichter(SampleType,I58,SampleDoping,P58)))</f>
        <v>18997.12094436762</v>
      </c>
      <c r="T58" s="201" t="str">
        <f t="shared" si="37"/>
        <v/>
      </c>
      <c r="U58" s="252">
        <f t="shared" si="29"/>
        <v>15872.853273530523</v>
      </c>
      <c r="V58" s="251" t="str">
        <f>IF(AugerModel="Sinton","",IF(SampleType="n-type",n_intr_boltzmann(SampleDoping,0,K58,Temperature+273.15),n_intr_boltzmann(0,SampleDoping,K58,Temperature+273.15)))</f>
        <v/>
      </c>
      <c r="W58" s="251" t="str">
        <f t="shared" si="13"/>
        <v/>
      </c>
      <c r="X58" s="246">
        <f>IF(AND(A58&gt;TimeofMaxCD,I58&gt;Traps),IF(AugerModel="Sinton",CalcImpliedV(SampleDoping,O58),CalcImpliedVRichter(O58,SampleDoping,V58)),"")</f>
        <v>0.66491817676915543</v>
      </c>
      <c r="Y58" s="253">
        <f t="shared" si="30"/>
        <v>5.0838820524734585</v>
      </c>
      <c r="Z58" s="200" t="str">
        <f t="shared" si="31"/>
        <v/>
      </c>
      <c r="AE58" s="251">
        <f t="shared" si="32"/>
        <v>1499.2046311766564</v>
      </c>
    </row>
    <row r="59" spans="1:31" x14ac:dyDescent="0.2">
      <c r="A59" s="244">
        <v>5.0499000000000004E-3</v>
      </c>
      <c r="B59" s="244">
        <v>0.33507300000000001</v>
      </c>
      <c r="C59" s="245">
        <v>4.9188099999999998E-2</v>
      </c>
      <c r="D59" s="246">
        <f>IF(CouplingMode="AC",B59-(A$11-A$10)*SUM(B$9:B59)/0.21,B59)</f>
        <v>0.33507300000000001</v>
      </c>
      <c r="E59" s="247">
        <f t="shared" si="20"/>
        <v>4.6739053827660157</v>
      </c>
      <c r="F59" s="247">
        <f t="shared" si="21"/>
        <v>4.6739053827660157</v>
      </c>
      <c r="G59" s="248">
        <f t="shared" si="22"/>
        <v>7.7606668652669171E+17</v>
      </c>
      <c r="H59" s="249">
        <f t="shared" si="23"/>
        <v>1.0037005151169544E-2</v>
      </c>
      <c r="I59" s="248">
        <f>IF(MobilityModel=DK,CalcDeltaN(H59,SampleDoping,Thickness,AreaFrac),CalcDeltaNDL(H59,AreaFrac,Thickness,SampleType,SampleDoping,Temperature))</f>
        <v>2125971438414307.2</v>
      </c>
      <c r="J59" s="248" t="str">
        <f t="shared" si="24"/>
        <v/>
      </c>
      <c r="K59" s="248">
        <f t="shared" si="25"/>
        <v>2125971438414307.2</v>
      </c>
      <c r="L59" s="250">
        <f t="shared" si="33"/>
        <v>-1.3762822750497708E+18</v>
      </c>
      <c r="M59" s="196" t="str">
        <f t="shared" si="26"/>
        <v/>
      </c>
      <c r="N59" s="196" t="str">
        <f t="shared" si="27"/>
        <v/>
      </c>
      <c r="O59" s="250">
        <f t="shared" si="28"/>
        <v>2125971438414307.2</v>
      </c>
      <c r="P59" s="248">
        <f t="shared" si="34"/>
        <v>5.188900403556043E-5</v>
      </c>
      <c r="Q59" s="250" t="str">
        <f t="shared" si="35"/>
        <v/>
      </c>
      <c r="R59" s="251" t="str">
        <f t="shared" si="36"/>
        <v/>
      </c>
      <c r="S59" s="252">
        <f>IF(AND(E59&gt;0.95*BiasLight,E59&lt;1.05*BiasLight),"",IF(AugerModel="Sinton",calclifetimeauger(Auger_Coefficient,I59,P59),calclifetimerichter(SampleType,I59,SampleDoping,P59)))</f>
        <v>19264.403049272059</v>
      </c>
      <c r="T59" s="201" t="str">
        <f t="shared" si="37"/>
        <v/>
      </c>
      <c r="U59" s="252">
        <f t="shared" si="29"/>
        <v>16687.786548793963</v>
      </c>
      <c r="V59" s="251" t="str">
        <f>IF(AugerModel="Sinton","",IF(SampleType="n-type",n_intr_boltzmann(SampleDoping,0,K59,Temperature+273.15),n_intr_boltzmann(0,SampleDoping,K59,Temperature+273.15)))</f>
        <v/>
      </c>
      <c r="W59" s="251" t="str">
        <f t="shared" si="13"/>
        <v/>
      </c>
      <c r="X59" s="246">
        <f>IF(AND(A59&gt;TimeofMaxCD,I59&gt;Traps),IF(AugerModel="Sinton",CalcImpliedV(SampleDoping,O59),CalcImpliedVRichter(O59,SampleDoping,V59)),"")</f>
        <v>0.66263714500022575</v>
      </c>
      <c r="Y59" s="253">
        <f t="shared" si="30"/>
        <v>4.8363646399492586</v>
      </c>
      <c r="Z59" s="200" t="str">
        <f t="shared" si="31"/>
        <v/>
      </c>
      <c r="AE59" s="251">
        <f t="shared" si="32"/>
        <v>1503.5855325021441</v>
      </c>
    </row>
    <row r="60" spans="1:31" x14ac:dyDescent="0.2">
      <c r="A60" s="244">
        <v>5.1498999999999998E-3</v>
      </c>
      <c r="B60" s="244">
        <v>0.31464300000000001</v>
      </c>
      <c r="C60" s="245">
        <v>4.6855099999999997E-2</v>
      </c>
      <c r="D60" s="246">
        <f>IF(CouplingMode="AC",B60-(A$11-A$10)*SUM(B$9:B60)/0.21,B60)</f>
        <v>0.31464300000000001</v>
      </c>
      <c r="E60" s="247">
        <f t="shared" si="20"/>
        <v>4.4522212506691643</v>
      </c>
      <c r="F60" s="247">
        <f t="shared" si="21"/>
        <v>4.4522212506691643</v>
      </c>
      <c r="G60" s="248">
        <f t="shared" si="22"/>
        <v>7.3925771078526694E+17</v>
      </c>
      <c r="H60" s="249">
        <f t="shared" si="23"/>
        <v>9.4221797776600433E-3</v>
      </c>
      <c r="I60" s="248">
        <f>IF(MobilityModel=DK,CalcDeltaN(H60,SampleDoping,Thickness,AreaFrac),CalcDeltaNDL(H60,AreaFrac,Thickness,SampleType,SampleDoping,Temperature))</f>
        <v>1989964370513321.7</v>
      </c>
      <c r="J60" s="248" t="str">
        <f t="shared" si="24"/>
        <v/>
      </c>
      <c r="K60" s="248">
        <f t="shared" si="25"/>
        <v>1989964370513321.7</v>
      </c>
      <c r="L60" s="250">
        <f t="shared" si="33"/>
        <v>-1.2995889815012859E+18</v>
      </c>
      <c r="M60" s="196" t="str">
        <f t="shared" si="26"/>
        <v/>
      </c>
      <c r="N60" s="196" t="str">
        <f t="shared" si="27"/>
        <v/>
      </c>
      <c r="O60" s="250">
        <f t="shared" si="28"/>
        <v>1989964370513321.7</v>
      </c>
      <c r="P60" s="248">
        <f t="shared" si="34"/>
        <v>5.1002732032281774E-5</v>
      </c>
      <c r="Q60" s="250" t="str">
        <f t="shared" si="35"/>
        <v/>
      </c>
      <c r="R60" s="251" t="str">
        <f t="shared" si="36"/>
        <v/>
      </c>
      <c r="S60" s="252">
        <f>IF(AND(E60&gt;0.95*BiasLight,E60&lt;1.05*BiasLight),"",IF(AugerModel="Sinton",calclifetimeauger(Auger_Coefficient,I60,P60),calclifetimerichter(SampleType,I60,SampleDoping,P60)))</f>
        <v>19600.219285259198</v>
      </c>
      <c r="T60" s="201" t="str">
        <f t="shared" si="37"/>
        <v/>
      </c>
      <c r="U60" s="252">
        <f t="shared" si="29"/>
        <v>17478.844196459446</v>
      </c>
      <c r="V60" s="251" t="str">
        <f>IF(AugerModel="Sinton","",IF(SampleType="n-type",n_intr_boltzmann(SampleDoping,0,K60,Temperature+273.15),n_intr_boltzmann(0,SampleDoping,K60,Temperature+273.15)))</f>
        <v/>
      </c>
      <c r="W60" s="251" t="str">
        <f t="shared" si="13"/>
        <v/>
      </c>
      <c r="X60" s="246">
        <f>IF(AND(A60&gt;TimeofMaxCD,I60&gt;Traps),IF(AugerModel="Sinton",CalcImpliedV(SampleDoping,O60),CalcImpliedVRichter(O60,SampleDoping,V60)),"")</f>
        <v>0.66030042510584885</v>
      </c>
      <c r="Y60" s="253">
        <f t="shared" si="30"/>
        <v>4.6056274700223785</v>
      </c>
      <c r="Z60" s="200" t="str">
        <f t="shared" si="31"/>
        <v/>
      </c>
      <c r="AE60" s="251">
        <f t="shared" si="32"/>
        <v>1507.9519482493831</v>
      </c>
    </row>
    <row r="61" spans="1:31" x14ac:dyDescent="0.2">
      <c r="A61" s="244">
        <v>5.2499000000000001E-3</v>
      </c>
      <c r="B61" s="244">
        <v>0.295742</v>
      </c>
      <c r="C61" s="245">
        <v>4.4619699999999998E-2</v>
      </c>
      <c r="D61" s="246">
        <f>IF(CouplingMode="AC",B61-(A$11-A$10)*SUM(B$9:B61)/0.21,B61)</f>
        <v>0.295742</v>
      </c>
      <c r="E61" s="247">
        <f t="shared" si="20"/>
        <v>4.2398111739913675</v>
      </c>
      <c r="F61" s="247">
        <f t="shared" si="21"/>
        <v>4.2398111739913675</v>
      </c>
      <c r="G61" s="248">
        <f t="shared" si="22"/>
        <v>7.0398862189869146E+17</v>
      </c>
      <c r="H61" s="249">
        <f t="shared" si="23"/>
        <v>8.8536982352281322E-3</v>
      </c>
      <c r="I61" s="248">
        <f>IF(MobilityModel=DK,CalcDeltaN(H61,SampleDoping,Thickness,AreaFrac),CalcDeltaNDL(H61,AreaFrac,Thickness,SampleType,SampleDoping,Temperature))</f>
        <v>1864797110184122.7</v>
      </c>
      <c r="J61" s="248" t="str">
        <f t="shared" si="24"/>
        <v/>
      </c>
      <c r="K61" s="248">
        <f t="shared" si="25"/>
        <v>1864797110184122.7</v>
      </c>
      <c r="L61" s="250">
        <f t="shared" si="33"/>
        <v>-1.2181924992364585E+18</v>
      </c>
      <c r="M61" s="196" t="str">
        <f t="shared" si="26"/>
        <v/>
      </c>
      <c r="N61" s="196" t="str">
        <f t="shared" si="27"/>
        <v/>
      </c>
      <c r="O61" s="250">
        <f t="shared" si="28"/>
        <v>1864797110184122.7</v>
      </c>
      <c r="P61" s="248">
        <f t="shared" si="34"/>
        <v>5.0215374517870092E-5</v>
      </c>
      <c r="Q61" s="250" t="str">
        <f t="shared" si="35"/>
        <v/>
      </c>
      <c r="R61" s="251" t="str">
        <f t="shared" si="36"/>
        <v/>
      </c>
      <c r="S61" s="252">
        <f>IF(AND(E61&gt;0.95*BiasLight,E61&lt;1.05*BiasLight),"",IF(AugerModel="Sinton",calclifetimeauger(Auger_Coefficient,I61,P61),calclifetimerichter(SampleType,I61,SampleDoping,P61)))</f>
        <v>19908.447093391926</v>
      </c>
      <c r="T61" s="201" t="str">
        <f t="shared" si="37"/>
        <v/>
      </c>
      <c r="U61" s="252">
        <f t="shared" si="29"/>
        <v>18206.85429217618</v>
      </c>
      <c r="V61" s="251" t="str">
        <f>IF(AugerModel="Sinton","",IF(SampleType="n-type",n_intr_boltzmann(SampleDoping,0,K61,Temperature+273.15),n_intr_boltzmann(0,SampleDoping,K61,Temperature+273.15)))</f>
        <v/>
      </c>
      <c r="W61" s="251" t="str">
        <f t="shared" si="13"/>
        <v/>
      </c>
      <c r="X61" s="246">
        <f>IF(AND(A61&gt;TimeofMaxCD,I61&gt;Traps),IF(AugerModel="Sinton",CalcImpliedV(SampleDoping,O61),CalcImpliedVRichter(O61,SampleDoping,V61)),"")</f>
        <v>0.65802970866623067</v>
      </c>
      <c r="Y61" s="253">
        <f t="shared" si="30"/>
        <v>4.383609181217027</v>
      </c>
      <c r="Z61" s="200" t="str">
        <f t="shared" si="31"/>
        <v/>
      </c>
      <c r="AE61" s="251">
        <f t="shared" si="32"/>
        <v>1512.079219838261</v>
      </c>
    </row>
    <row r="62" spans="1:31" x14ac:dyDescent="0.2">
      <c r="A62" s="244">
        <v>5.3499000000000003E-3</v>
      </c>
      <c r="B62" s="244">
        <v>0.27784599999999998</v>
      </c>
      <c r="C62" s="245">
        <v>4.2470300000000002E-2</v>
      </c>
      <c r="D62" s="246">
        <f>IF(CouplingMode="AC",B62-(A$11-A$10)*SUM(B$9:B62)/0.21,B62)</f>
        <v>0.27784599999999998</v>
      </c>
      <c r="E62" s="247">
        <f t="shared" si="20"/>
        <v>4.0355729084410159</v>
      </c>
      <c r="F62" s="247">
        <f t="shared" si="21"/>
        <v>4.0355729084410159</v>
      </c>
      <c r="G62" s="248">
        <f t="shared" si="22"/>
        <v>6.7007640052765926E+17</v>
      </c>
      <c r="H62" s="249">
        <f t="shared" si="23"/>
        <v>8.315735961295586E-3</v>
      </c>
      <c r="I62" s="248">
        <f>IF(MobilityModel=DK,CalcDeltaN(H62,SampleDoping,Thickness,AreaFrac),CalcDeltaNDL(H62,AreaFrac,Thickness,SampleType,SampleDoping,Temperature))</f>
        <v>1746876132224575.2</v>
      </c>
      <c r="J62" s="248" t="str">
        <f t="shared" si="24"/>
        <v/>
      </c>
      <c r="K62" s="248">
        <f t="shared" si="25"/>
        <v>1746876132224575.2</v>
      </c>
      <c r="L62" s="250">
        <f t="shared" si="33"/>
        <v>-1.1353236378004631E+18</v>
      </c>
      <c r="M62" s="196" t="str">
        <f t="shared" si="26"/>
        <v/>
      </c>
      <c r="N62" s="196" t="str">
        <f t="shared" si="27"/>
        <v/>
      </c>
      <c r="O62" s="250">
        <f t="shared" si="28"/>
        <v>1746876132224575.2</v>
      </c>
      <c r="P62" s="248">
        <f t="shared" si="34"/>
        <v>4.9454500476555006E-5</v>
      </c>
      <c r="Q62" s="250" t="str">
        <f t="shared" si="35"/>
        <v/>
      </c>
      <c r="R62" s="251" t="str">
        <f t="shared" si="36"/>
        <v/>
      </c>
      <c r="S62" s="252">
        <f>IF(AND(E62&gt;0.95*BiasLight,E62&lt;1.05*BiasLight),"",IF(AugerModel="Sinton",calclifetimeauger(Auger_Coefficient,I62,P62),calclifetimerichter(SampleType,I62,SampleDoping,P62)))</f>
        <v>20215.541009032819</v>
      </c>
      <c r="T62" s="201" t="str">
        <f t="shared" si="37"/>
        <v/>
      </c>
      <c r="U62" s="252">
        <f t="shared" si="29"/>
        <v>18892.717849671615</v>
      </c>
      <c r="V62" s="251" t="str">
        <f>IF(AugerModel="Sinton","",IF(SampleType="n-type",n_intr_boltzmann(SampleDoping,0,K62,Temperature+273.15),n_intr_boltzmann(0,SampleDoping,K62,Temperature+273.15)))</f>
        <v/>
      </c>
      <c r="W62" s="251" t="str">
        <f t="shared" si="13"/>
        <v/>
      </c>
      <c r="X62" s="246">
        <f>IF(AND(A62&gt;TimeofMaxCD,I62&gt;Traps),IF(AugerModel="Sinton",CalcImpliedV(SampleDoping,O62),CalcImpliedVRichter(O62,SampleDoping,V62)),"")</f>
        <v>0.65577142333295158</v>
      </c>
      <c r="Y62" s="253">
        <f t="shared" si="30"/>
        <v>4.1695889008020091</v>
      </c>
      <c r="Z62" s="200" t="str">
        <f t="shared" si="31"/>
        <v/>
      </c>
      <c r="AE62" s="251">
        <f t="shared" si="32"/>
        <v>1516.0725941746109</v>
      </c>
    </row>
    <row r="63" spans="1:31" x14ac:dyDescent="0.2">
      <c r="A63" s="244">
        <v>5.4498999999999997E-3</v>
      </c>
      <c r="B63" s="244">
        <v>0.26130799999999998</v>
      </c>
      <c r="C63" s="245">
        <v>4.0481099999999999E-2</v>
      </c>
      <c r="D63" s="246">
        <f>IF(CouplingMode="AC",B63-(A$11-A$10)*SUM(B$9:B63)/0.21,B63)</f>
        <v>0.26130799999999998</v>
      </c>
      <c r="E63" s="247">
        <f t="shared" si="20"/>
        <v>3.84655701664202</v>
      </c>
      <c r="F63" s="247">
        <f t="shared" si="21"/>
        <v>3.84655701664202</v>
      </c>
      <c r="G63" s="248">
        <f t="shared" si="22"/>
        <v>6.3869173934255757E+17</v>
      </c>
      <c r="H63" s="249">
        <f t="shared" si="23"/>
        <v>7.818848402688601E-3</v>
      </c>
      <c r="I63" s="248">
        <f>IF(MobilityModel=DK,CalcDeltaN(H63,SampleDoping,Thickness,AreaFrac),CalcDeltaNDL(H63,AreaFrac,Thickness,SampleType,SampleDoping,Temperature))</f>
        <v>1638419307940451.7</v>
      </c>
      <c r="J63" s="248" t="str">
        <f t="shared" si="24"/>
        <v/>
      </c>
      <c r="K63" s="248">
        <f t="shared" si="25"/>
        <v>1638419307940451.7</v>
      </c>
      <c r="L63" s="250">
        <f t="shared" si="33"/>
        <v>-1.0613249972840849E+18</v>
      </c>
      <c r="M63" s="196" t="str">
        <f t="shared" si="26"/>
        <v/>
      </c>
      <c r="N63" s="196" t="str">
        <f t="shared" si="27"/>
        <v/>
      </c>
      <c r="O63" s="250">
        <f t="shared" si="28"/>
        <v>1638419307940451.7</v>
      </c>
      <c r="P63" s="248">
        <f t="shared" si="34"/>
        <v>4.8693441625452404E-5</v>
      </c>
      <c r="Q63" s="250" t="str">
        <f t="shared" si="35"/>
        <v/>
      </c>
      <c r="R63" s="251" t="str">
        <f t="shared" si="36"/>
        <v/>
      </c>
      <c r="S63" s="252">
        <f>IF(AND(E63&gt;0.95*BiasLight,E63&lt;1.05*BiasLight),"",IF(AugerModel="Sinton",calclifetimeauger(Auger_Coefficient,I63,P63),calclifetimerichter(SampleType,I63,SampleDoping,P63)))</f>
        <v>20532.190417123798</v>
      </c>
      <c r="T63" s="201" t="str">
        <f t="shared" si="37"/>
        <v/>
      </c>
      <c r="U63" s="252">
        <f t="shared" si="29"/>
        <v>19523.535068332094</v>
      </c>
      <c r="V63" s="251" t="str">
        <f>IF(AugerModel="Sinton","",IF(SampleType="n-type",n_intr_boltzmann(SampleDoping,0,K63,Temperature+273.15),n_intr_boltzmann(0,SampleDoping,K63,Temperature+273.15)))</f>
        <v/>
      </c>
      <c r="W63" s="251" t="str">
        <f t="shared" si="13"/>
        <v/>
      </c>
      <c r="X63" s="246">
        <f>IF(AND(A63&gt;TimeofMaxCD,I63&gt;Traps),IF(AugerModel="Sinton",CalcImpliedV(SampleDoping,O63),CalcImpliedVRichter(O63,SampleDoping,V63)),"")</f>
        <v>0.65357937454395443</v>
      </c>
      <c r="Y63" s="253">
        <f t="shared" si="30"/>
        <v>3.9718380536898481</v>
      </c>
      <c r="Z63" s="200" t="str">
        <f t="shared" si="31"/>
        <v/>
      </c>
      <c r="AE63" s="251">
        <f t="shared" si="32"/>
        <v>1519.8444868115237</v>
      </c>
    </row>
    <row r="64" spans="1:31" x14ac:dyDescent="0.2">
      <c r="A64" s="244">
        <v>5.5499E-3</v>
      </c>
      <c r="B64" s="244">
        <v>0.24554200000000001</v>
      </c>
      <c r="C64" s="245">
        <v>3.8571899999999999E-2</v>
      </c>
      <c r="D64" s="246">
        <f>IF(CouplingMode="AC",B64-(A$11-A$10)*SUM(B$9:B64)/0.21,B64)</f>
        <v>0.24554200000000001</v>
      </c>
      <c r="E64" s="247">
        <f t="shared" si="20"/>
        <v>3.6651428096127412</v>
      </c>
      <c r="F64" s="247">
        <f t="shared" si="21"/>
        <v>3.6651428096127412</v>
      </c>
      <c r="G64" s="248">
        <f t="shared" si="22"/>
        <v>6.0856928049749619E+17</v>
      </c>
      <c r="H64" s="249">
        <f t="shared" si="23"/>
        <v>7.3453816435258166E-3</v>
      </c>
      <c r="I64" s="248">
        <f>IF(MobilityModel=DK,CalcDeltaN(H64,SampleDoping,Thickness,AreaFrac),CalcDeltaNDL(H64,AreaFrac,Thickness,SampleType,SampleDoping,Temperature))</f>
        <v>1535491452734925.7</v>
      </c>
      <c r="J64" s="248" t="str">
        <f t="shared" si="24"/>
        <v/>
      </c>
      <c r="K64" s="248">
        <f t="shared" si="25"/>
        <v>1535491452734925.7</v>
      </c>
      <c r="L64" s="250">
        <f t="shared" si="33"/>
        <v>-9.9097439512530445E+17</v>
      </c>
      <c r="M64" s="196" t="str">
        <f t="shared" si="26"/>
        <v/>
      </c>
      <c r="N64" s="196" t="str">
        <f t="shared" si="27"/>
        <v/>
      </c>
      <c r="O64" s="250">
        <f t="shared" si="28"/>
        <v>1535491452734925.7</v>
      </c>
      <c r="P64" s="248">
        <f t="shared" si="34"/>
        <v>4.7923563242418697E-5</v>
      </c>
      <c r="Q64" s="250" t="str">
        <f t="shared" si="35"/>
        <v/>
      </c>
      <c r="R64" s="251" t="str">
        <f t="shared" si="36"/>
        <v/>
      </c>
      <c r="S64" s="252">
        <f>IF(AND(E64&gt;0.95*BiasLight,E64&lt;1.05*BiasLight),"",IF(AugerModel="Sinton",calclifetimeauger(Auger_Coefficient,I64,P64),calclifetimerichter(SampleType,I64,SampleDoping,P64)))</f>
        <v>20862.648085210003</v>
      </c>
      <c r="T64" s="201" t="str">
        <f t="shared" si="37"/>
        <v/>
      </c>
      <c r="U64" s="252">
        <f t="shared" si="29"/>
        <v>20122.194154765843</v>
      </c>
      <c r="V64" s="251" t="str">
        <f>IF(AugerModel="Sinton","",IF(SampleType="n-type",n_intr_boltzmann(SampleDoping,0,K64,Temperature+273.15),n_intr_boltzmann(0,SampleDoping,K64,Temperature+273.15)))</f>
        <v/>
      </c>
      <c r="W64" s="251" t="str">
        <f t="shared" si="13"/>
        <v/>
      </c>
      <c r="X64" s="246">
        <f>IF(AND(A64&gt;TimeofMaxCD,I64&gt;Traps),IF(AugerModel="Sinton",CalcImpliedV(SampleDoping,O64),CalcImpliedVRichter(O64,SampleDoping,V64)),"")</f>
        <v>0.65138404859408527</v>
      </c>
      <c r="Y64" s="253">
        <f t="shared" si="30"/>
        <v>3.7821195134752159</v>
      </c>
      <c r="Z64" s="200" t="str">
        <f t="shared" si="31"/>
        <v/>
      </c>
      <c r="AE64" s="251">
        <f t="shared" si="32"/>
        <v>1523.5207686979029</v>
      </c>
    </row>
    <row r="65" spans="1:31" x14ac:dyDescent="0.2">
      <c r="A65" s="244">
        <v>5.6499000000000002E-3</v>
      </c>
      <c r="B65" s="244">
        <v>0.230825</v>
      </c>
      <c r="C65" s="245">
        <v>3.67467E-2</v>
      </c>
      <c r="D65" s="246">
        <f>IF(CouplingMode="AC",B65-(A$11-A$10)*SUM(B$9:B65)/0.21,B65)</f>
        <v>0.230825</v>
      </c>
      <c r="E65" s="247">
        <f t="shared" si="20"/>
        <v>3.4917103715916644</v>
      </c>
      <c r="F65" s="247">
        <f t="shared" si="21"/>
        <v>3.4917103715916644</v>
      </c>
      <c r="G65" s="248">
        <f t="shared" si="22"/>
        <v>5.7977213410947725E+17</v>
      </c>
      <c r="H65" s="249">
        <f t="shared" si="23"/>
        <v>6.9036162566629517E-3</v>
      </c>
      <c r="I65" s="248">
        <f>IF(MobilityModel=DK,CalcDeltaN(H65,SampleDoping,Thickness,AreaFrac),CalcDeltaNDL(H65,AreaFrac,Thickness,SampleType,SampleDoping,Temperature))</f>
        <v>1439826951286905</v>
      </c>
      <c r="J65" s="248" t="str">
        <f t="shared" si="24"/>
        <v/>
      </c>
      <c r="K65" s="248">
        <f t="shared" si="25"/>
        <v>1439826951286905</v>
      </c>
      <c r="L65" s="250">
        <f t="shared" si="33"/>
        <v>-9.3361939369518758E+17</v>
      </c>
      <c r="M65" s="196" t="str">
        <f t="shared" si="26"/>
        <v/>
      </c>
      <c r="N65" s="196" t="str">
        <f t="shared" si="27"/>
        <v/>
      </c>
      <c r="O65" s="250">
        <f t="shared" si="28"/>
        <v>1439826951286905</v>
      </c>
      <c r="P65" s="248">
        <f t="shared" si="34"/>
        <v>4.7186044370645936E-5</v>
      </c>
      <c r="Q65" s="250" t="str">
        <f t="shared" si="35"/>
        <v/>
      </c>
      <c r="R65" s="251" t="str">
        <f t="shared" si="36"/>
        <v/>
      </c>
      <c r="S65" s="252">
        <f>IF(AND(E65&gt;0.95*BiasLight,E65&lt;1.05*BiasLight),"",IF(AugerModel="Sinton",calclifetimeauger(Auger_Coefficient,I65,P65),calclifetimerichter(SampleType,I65,SampleDoping,P65)))</f>
        <v>21189.265379229902</v>
      </c>
      <c r="T65" s="201" t="str">
        <f t="shared" si="37"/>
        <v/>
      </c>
      <c r="U65" s="252">
        <f t="shared" si="29"/>
        <v>20678.607410697921</v>
      </c>
      <c r="V65" s="251" t="str">
        <f>IF(AugerModel="Sinton","",IF(SampleType="n-type",n_intr_boltzmann(SampleDoping,0,K65,Temperature+273.15),n_intr_boltzmann(0,SampleDoping,K65,Temperature+273.15)))</f>
        <v/>
      </c>
      <c r="W65" s="251" t="str">
        <f t="shared" si="13"/>
        <v/>
      </c>
      <c r="X65" s="246">
        <f>IF(AND(A65&gt;TimeofMaxCD,I65&gt;Traps),IF(AugerModel="Sinton",CalcImpliedV(SampleDoping,O65),CalcImpliedVRichter(O65,SampleDoping,V65)),"")</f>
        <v>0.64923030366475387</v>
      </c>
      <c r="Y65" s="253">
        <f t="shared" si="30"/>
        <v>3.6019167703379567</v>
      </c>
      <c r="Z65" s="200" t="str">
        <f t="shared" si="31"/>
        <v/>
      </c>
      <c r="AE65" s="251">
        <f t="shared" si="32"/>
        <v>1527.0306742375917</v>
      </c>
    </row>
    <row r="66" spans="1:31" x14ac:dyDescent="0.2">
      <c r="A66" s="244">
        <v>5.7498999999999996E-3</v>
      </c>
      <c r="B66" s="244">
        <v>0.217055</v>
      </c>
      <c r="C66" s="245">
        <v>3.50064E-2</v>
      </c>
      <c r="D66" s="246">
        <f>IF(CouplingMode="AC",B66-(A$11-A$10)*SUM(B$9:B66)/0.21,B66)</f>
        <v>0.217055</v>
      </c>
      <c r="E66" s="247">
        <f t="shared" si="20"/>
        <v>3.3263452215324487</v>
      </c>
      <c r="F66" s="247">
        <f t="shared" si="21"/>
        <v>3.3263452215324487</v>
      </c>
      <c r="G66" s="248">
        <f t="shared" si="22"/>
        <v>5.5231449995482598E+17</v>
      </c>
      <c r="H66" s="249">
        <f t="shared" si="23"/>
        <v>6.4904512935861783E-3</v>
      </c>
      <c r="I66" s="248">
        <f>IF(MobilityModel=DK,CalcDeltaN(H66,SampleDoping,Thickness,AreaFrac),CalcDeltaNDL(H66,AreaFrac,Thickness,SampleType,SampleDoping,Temperature))</f>
        <v>1350685112988696.7</v>
      </c>
      <c r="J66" s="248" t="str">
        <f t="shared" si="24"/>
        <v/>
      </c>
      <c r="K66" s="248">
        <f t="shared" si="25"/>
        <v>1350685112988696.7</v>
      </c>
      <c r="L66" s="250">
        <f t="shared" si="33"/>
        <v>-8.7847513573578637E+17</v>
      </c>
      <c r="M66" s="196" t="str">
        <f t="shared" si="26"/>
        <v/>
      </c>
      <c r="N66" s="196" t="str">
        <f t="shared" si="27"/>
        <v/>
      </c>
      <c r="O66" s="250">
        <f t="shared" si="28"/>
        <v>1350685112988696.7</v>
      </c>
      <c r="P66" s="248">
        <f t="shared" si="34"/>
        <v>4.6482725709094387E-5</v>
      </c>
      <c r="Q66" s="250" t="str">
        <f t="shared" si="35"/>
        <v/>
      </c>
      <c r="R66" s="251" t="str">
        <f t="shared" si="36"/>
        <v/>
      </c>
      <c r="S66" s="252">
        <f>IF(AND(E66&gt;0.95*BiasLight,E66&lt;1.05*BiasLight),"",IF(AugerModel="Sinton",calclifetimeauger(Auger_Coefficient,I66,P66),calclifetimerichter(SampleType,I66,SampleDoping,P66)))</f>
        <v>21510.339926570294</v>
      </c>
      <c r="T66" s="201" t="str">
        <f t="shared" si="37"/>
        <v/>
      </c>
      <c r="U66" s="252">
        <f t="shared" si="29"/>
        <v>21197.082913486451</v>
      </c>
      <c r="V66" s="251" t="str">
        <f>IF(AugerModel="Sinton","",IF(SampleType="n-type",n_intr_boltzmann(SampleDoping,0,K66,Temperature+273.15),n_intr_boltzmann(0,SampleDoping,K66,Temperature+273.15)))</f>
        <v/>
      </c>
      <c r="W66" s="251" t="str">
        <f t="shared" si="13"/>
        <v/>
      </c>
      <c r="X66" s="246">
        <f>IF(AND(A66&gt;TimeofMaxCD,I66&gt;Traps),IF(AugerModel="Sinton",CalcImpliedV(SampleDoping,O66),CalcImpliedVRichter(O66,SampleDoping,V66)),"")</f>
        <v>0.64711246480899087</v>
      </c>
      <c r="Y66" s="253">
        <f t="shared" si="30"/>
        <v>3.4300422759760392</v>
      </c>
      <c r="Z66" s="200" t="str">
        <f t="shared" si="31"/>
        <v/>
      </c>
      <c r="AE66" s="251">
        <f t="shared" si="32"/>
        <v>1530.3902807742493</v>
      </c>
    </row>
    <row r="67" spans="1:31" x14ac:dyDescent="0.2">
      <c r="A67" s="244">
        <v>5.8498999999999999E-3</v>
      </c>
      <c r="B67" s="244">
        <v>0.20361299999999999</v>
      </c>
      <c r="C67" s="245">
        <v>3.3303300000000001E-2</v>
      </c>
      <c r="D67" s="246">
        <f>IF(CouplingMode="AC",B67-(A$11-A$10)*SUM(B$9:B67)/0.21,B67)</f>
        <v>0.20361299999999999</v>
      </c>
      <c r="E67" s="247">
        <f t="shared" si="20"/>
        <v>3.1645148548911517</v>
      </c>
      <c r="F67" s="247">
        <f t="shared" si="21"/>
        <v>3.1645148548911517</v>
      </c>
      <c r="G67" s="248">
        <f t="shared" si="22"/>
        <v>5.2544378988829357E+17</v>
      </c>
      <c r="H67" s="249">
        <f t="shared" si="23"/>
        <v>6.0872901219729105E-3</v>
      </c>
      <c r="I67" s="248">
        <f>IF(MobilityModel=DK,CalcDeltaN(H67,SampleDoping,Thickness,AreaFrac),CalcDeltaNDL(H67,AreaFrac,Thickness,SampleType,SampleDoping,Temperature))</f>
        <v>1264012780965972.5</v>
      </c>
      <c r="J67" s="248">
        <f t="shared" si="24"/>
        <v>1264012780965972.5</v>
      </c>
      <c r="K67" s="248">
        <f t="shared" si="25"/>
        <v>1264012780965972.5</v>
      </c>
      <c r="L67" s="250">
        <f t="shared" si="33"/>
        <v>-8.256023469758953E+17</v>
      </c>
      <c r="M67" s="196" t="str">
        <f t="shared" si="26"/>
        <v/>
      </c>
      <c r="N67" s="196" t="str">
        <f t="shared" si="27"/>
        <v/>
      </c>
      <c r="O67" s="250">
        <f t="shared" si="28"/>
        <v>1264012780965972.5</v>
      </c>
      <c r="P67" s="248">
        <f t="shared" si="34"/>
        <v>4.5741284560727027E-5</v>
      </c>
      <c r="Q67" s="250">
        <f t="shared" si="35"/>
        <v>4.5741284560727027E-5</v>
      </c>
      <c r="R67" s="251">
        <f t="shared" si="36"/>
        <v>21862.088255793962</v>
      </c>
      <c r="S67" s="252">
        <f>IF(AND(E67&gt;0.95*BiasLight,E67&lt;1.05*BiasLight),"",IF(AugerModel="Sinton",calclifetimeauger(Auger_Coefficient,I67,P67),calclifetimerichter(SampleType,I67,SampleDoping,P67)))</f>
        <v>21859.436026798623</v>
      </c>
      <c r="T67" s="201">
        <f t="shared" si="37"/>
        <v>21859.436026798623</v>
      </c>
      <c r="U67" s="252">
        <f t="shared" si="29"/>
        <v>21701.195031670577</v>
      </c>
      <c r="V67" s="251" t="str">
        <f>IF(AugerModel="Sinton","",IF(SampleType="n-type",n_intr_boltzmann(SampleDoping,0,K67,Temperature+273.15),n_intr_boltzmann(0,SampleDoping,K67,Temperature+273.15)))</f>
        <v/>
      </c>
      <c r="W67" s="251" t="str">
        <f t="shared" si="13"/>
        <v/>
      </c>
      <c r="X67" s="246">
        <f>IF(AND(A67&gt;TimeofMaxCD,I67&gt;Traps),IF(AugerModel="Sinton",CalcImpliedV(SampleDoping,O67),CalcImpliedVRichter(O67,SampleDoping,V67)),"")</f>
        <v>0.64493729772294106</v>
      </c>
      <c r="Y67" s="253">
        <f t="shared" si="30"/>
        <v>3.2619706940383906</v>
      </c>
      <c r="Z67" s="200" t="str">
        <f t="shared" si="31"/>
        <v/>
      </c>
      <c r="AE67" s="251">
        <f t="shared" si="32"/>
        <v>1533.7477987670034</v>
      </c>
    </row>
    <row r="68" spans="1:31" x14ac:dyDescent="0.2">
      <c r="A68" s="244">
        <v>5.9499000000000002E-3</v>
      </c>
      <c r="B68" s="244">
        <v>0.19118099999999999</v>
      </c>
      <c r="C68" s="245">
        <v>3.17389E-2</v>
      </c>
      <c r="D68" s="246">
        <f>IF(CouplingMode="AC",B68-(A$11-A$10)*SUM(B$9:B68)/0.21,B68)</f>
        <v>0.19118099999999999</v>
      </c>
      <c r="E68" s="247">
        <f t="shared" si="20"/>
        <v>3.0158639092193495</v>
      </c>
      <c r="F68" s="247">
        <f t="shared" si="21"/>
        <v>3.0158639092193495</v>
      </c>
      <c r="G68" s="248">
        <f t="shared" si="22"/>
        <v>5.0076142312880589E+17</v>
      </c>
      <c r="H68" s="249">
        <f t="shared" si="23"/>
        <v>5.7145641999965082E-3</v>
      </c>
      <c r="I68" s="248">
        <f>IF(MobilityModel=DK,CalcDeltaN(H68,SampleDoping,Thickness,AreaFrac),CalcDeltaNDL(H68,AreaFrac,Thickness,SampleType,SampleDoping,Temperature))</f>
        <v>1184160970027498.7</v>
      </c>
      <c r="J68" s="248">
        <f t="shared" si="24"/>
        <v>1184160970027498.7</v>
      </c>
      <c r="K68" s="248">
        <f t="shared" si="25"/>
        <v>1184160970027498.7</v>
      </c>
      <c r="L68" s="250">
        <f t="shared" si="33"/>
        <v>-7.8081201288459955E+17</v>
      </c>
      <c r="M68" s="196" t="str">
        <f t="shared" si="26"/>
        <v/>
      </c>
      <c r="N68" s="196" t="str">
        <f t="shared" si="27"/>
        <v/>
      </c>
      <c r="O68" s="250">
        <f t="shared" si="28"/>
        <v>1184160970027498.7</v>
      </c>
      <c r="P68" s="248">
        <f t="shared" si="34"/>
        <v>4.4974062928430147E-5</v>
      </c>
      <c r="Q68" s="250">
        <f t="shared" si="35"/>
        <v>4.4974062928430147E-5</v>
      </c>
      <c r="R68" s="251">
        <f t="shared" si="36"/>
        <v>22235.038039399697</v>
      </c>
      <c r="S68" s="252">
        <f>IF(AND(E68&gt;0.95*BiasLight,E68&lt;1.05*BiasLight),"",IF(AugerModel="Sinton",calclifetimeauger(Auger_Coefficient,I68,P68),calclifetimerichter(SampleType,I68,SampleDoping,P68)))</f>
        <v>22232.710325642824</v>
      </c>
      <c r="T68" s="201">
        <f t="shared" si="37"/>
        <v>22232.710325642824</v>
      </c>
      <c r="U68" s="252">
        <f t="shared" si="29"/>
        <v>22165.636966179482</v>
      </c>
      <c r="V68" s="251" t="str">
        <f>IF(AugerModel="Sinton","",IF(SampleType="n-type",n_intr_boltzmann(SampleDoping,0,K68,Temperature+273.15),n_intr_boltzmann(0,SampleDoping,K68,Temperature+273.15)))</f>
        <v/>
      </c>
      <c r="W68" s="251" t="str">
        <f t="shared" si="13"/>
        <v/>
      </c>
      <c r="X68" s="246">
        <f>IF(AND(A68&gt;TimeofMaxCD,I68&gt;Traps),IF(AugerModel="Sinton",CalcImpliedV(SampleDoping,O68),CalcImpliedVRichter(O68,SampleDoping,V68)),"")</f>
        <v>0.64281875932117727</v>
      </c>
      <c r="Y68" s="253">
        <f t="shared" si="30"/>
        <v>3.1080326030350118</v>
      </c>
      <c r="Z68" s="200" t="str">
        <f t="shared" si="31"/>
        <v/>
      </c>
      <c r="AE68" s="251">
        <f t="shared" si="32"/>
        <v>1536.9289473457991</v>
      </c>
    </row>
    <row r="69" spans="1:31" x14ac:dyDescent="0.2">
      <c r="A69" s="244">
        <v>6.0499000000000004E-3</v>
      </c>
      <c r="B69" s="244">
        <v>0.17963799999999999</v>
      </c>
      <c r="C69" s="245">
        <v>3.0234E-2</v>
      </c>
      <c r="D69" s="246">
        <f>IF(CouplingMode="AC",B69-(A$11-A$10)*SUM(B$9:B69)/0.21,B69)</f>
        <v>0.17963799999999999</v>
      </c>
      <c r="E69" s="247">
        <f t="shared" si="20"/>
        <v>2.8728667165950244</v>
      </c>
      <c r="F69" s="247">
        <f t="shared" si="21"/>
        <v>2.8728667165950244</v>
      </c>
      <c r="G69" s="248">
        <f t="shared" si="22"/>
        <v>4.7701781935972307E+17</v>
      </c>
      <c r="H69" s="249">
        <f t="shared" si="23"/>
        <v>5.368614289399074E-3</v>
      </c>
      <c r="I69" s="248">
        <f>IF(MobilityModel=DK,CalcDeltaN(H69,SampleDoping,Thickness,AreaFrac),CalcDeltaNDL(H69,AreaFrac,Thickness,SampleType,SampleDoping,Temperature))</f>
        <v>1110287849279556</v>
      </c>
      <c r="J69" s="248">
        <f t="shared" si="24"/>
        <v>1110287849279556</v>
      </c>
      <c r="K69" s="248">
        <f t="shared" si="25"/>
        <v>1110287849279556</v>
      </c>
      <c r="L69" s="250">
        <f t="shared" si="33"/>
        <v>-7.1949990099252467E+17</v>
      </c>
      <c r="M69" s="196" t="str">
        <f t="shared" si="26"/>
        <v/>
      </c>
      <c r="N69" s="196" t="str">
        <f t="shared" si="27"/>
        <v/>
      </c>
      <c r="O69" s="250">
        <f t="shared" si="28"/>
        <v>1110287849279556</v>
      </c>
      <c r="P69" s="248">
        <f t="shared" si="34"/>
        <v>4.4310231866003307E-5</v>
      </c>
      <c r="Q69" s="250">
        <f t="shared" si="35"/>
        <v>4.4310231866003307E-5</v>
      </c>
      <c r="R69" s="251">
        <f t="shared" si="36"/>
        <v>22568.150918822939</v>
      </c>
      <c r="S69" s="252">
        <f>IF(AND(E69&gt;0.95*BiasLight,E69&lt;1.05*BiasLight),"",IF(AugerModel="Sinton",calclifetimeauger(Auger_Coefficient,I69,P69),calclifetimerichter(SampleType,I69,SampleDoping,P69)))</f>
        <v>22566.10457190323</v>
      </c>
      <c r="T69" s="201">
        <f t="shared" si="37"/>
        <v>22566.10457190323</v>
      </c>
      <c r="U69" s="252">
        <f t="shared" si="29"/>
        <v>22595.305056422549</v>
      </c>
      <c r="V69" s="251" t="str">
        <f>IF(AugerModel="Sinton","",IF(SampleType="n-type",n_intr_boltzmann(SampleDoping,0,K69,Temperature+273.15),n_intr_boltzmann(0,SampleDoping,K69,Temperature+273.15)))</f>
        <v/>
      </c>
      <c r="W69" s="251" t="str">
        <f t="shared" si="13"/>
        <v/>
      </c>
      <c r="X69" s="246">
        <f>IF(AND(A69&gt;TimeofMaxCD,I69&gt;Traps),IF(AugerModel="Sinton",CalcImpliedV(SampleDoping,O69),CalcImpliedVRichter(O69,SampleDoping,V69)),"")</f>
        <v>0.64074805824421699</v>
      </c>
      <c r="Y69" s="253">
        <f t="shared" si="30"/>
        <v>2.9577979996448152</v>
      </c>
      <c r="Z69" s="200" t="str">
        <f t="shared" si="31"/>
        <v/>
      </c>
      <c r="AE69" s="251">
        <f t="shared" si="32"/>
        <v>1539.9550093402017</v>
      </c>
    </row>
    <row r="70" spans="1:31" x14ac:dyDescent="0.2">
      <c r="A70" s="244">
        <v>6.1498999999999998E-3</v>
      </c>
      <c r="B70" s="244">
        <v>0.16816800000000001</v>
      </c>
      <c r="C70" s="245">
        <v>2.8789599999999999E-2</v>
      </c>
      <c r="D70" s="246">
        <f>IF(CouplingMode="AC",B70-(A$11-A$10)*SUM(B$9:B70)/0.21,B70)</f>
        <v>0.16816800000000001</v>
      </c>
      <c r="E70" s="247">
        <f t="shared" si="20"/>
        <v>2.7356182980777968</v>
      </c>
      <c r="F70" s="247">
        <f t="shared" si="21"/>
        <v>2.7356182980777968</v>
      </c>
      <c r="G70" s="248">
        <f t="shared" si="22"/>
        <v>4.5422875611029574E+17</v>
      </c>
      <c r="H70" s="249">
        <f t="shared" si="23"/>
        <v>5.0249693075748439E-3</v>
      </c>
      <c r="I70" s="248">
        <f>IF(MobilityModel=DK,CalcDeltaN(H70,SampleDoping,Thickness,AreaFrac),CalcDeltaNDL(H70,AreaFrac,Thickness,SampleType,SampleDoping,Temperature))</f>
        <v>1037141572389604.9</v>
      </c>
      <c r="J70" s="248">
        <f t="shared" si="24"/>
        <v>1037141572389604.9</v>
      </c>
      <c r="K70" s="248">
        <f t="shared" si="25"/>
        <v>1037141572389604.9</v>
      </c>
      <c r="L70" s="250">
        <f t="shared" si="33"/>
        <v>-6.6703104221468762E+17</v>
      </c>
      <c r="M70" s="196" t="str">
        <f t="shared" si="26"/>
        <v/>
      </c>
      <c r="N70" s="196" t="str">
        <f t="shared" si="27"/>
        <v/>
      </c>
      <c r="O70" s="250">
        <f t="shared" si="28"/>
        <v>1037141572389604.9</v>
      </c>
      <c r="P70" s="248">
        <f t="shared" si="34"/>
        <v>4.3500670361067797E-5</v>
      </c>
      <c r="Q70" s="250">
        <f t="shared" si="35"/>
        <v>4.3500670361067797E-5</v>
      </c>
      <c r="R70" s="251">
        <f t="shared" si="36"/>
        <v>22988.151485936167</v>
      </c>
      <c r="S70" s="252">
        <f>IF(AND(E70&gt;0.95*BiasLight,E70&lt;1.05*BiasLight),"",IF(AugerModel="Sinton",calclifetimeauger(Auger_Coefficient,I70,P70),calclifetimerichter(SampleType,I70,SampleDoping,P70)))</f>
        <v>22986.365885951811</v>
      </c>
      <c r="T70" s="201">
        <f t="shared" si="37"/>
        <v>22986.365885951811</v>
      </c>
      <c r="U70" s="252">
        <f t="shared" si="29"/>
        <v>23020.745606131168</v>
      </c>
      <c r="V70" s="251" t="str">
        <f>IF(AugerModel="Sinton","",IF(SampleType="n-type",n_intr_boltzmann(SampleDoping,0,K70,Temperature+273.15),n_intr_boltzmann(0,SampleDoping,K70,Temperature+273.15)))</f>
        <v/>
      </c>
      <c r="W70" s="251" t="str">
        <f t="shared" si="13"/>
        <v/>
      </c>
      <c r="X70" s="246">
        <f>IF(AND(A70&gt;TimeofMaxCD,I70&gt;Traps),IF(AugerModel="Sinton",CalcImpliedV(SampleDoping,O70),CalcImpliedVRichter(O70,SampleDoping,V70)),"")</f>
        <v>0.63857873735953929</v>
      </c>
      <c r="Y70" s="253">
        <f t="shared" si="30"/>
        <v>2.8143560465766959</v>
      </c>
      <c r="Z70" s="200" t="str">
        <f t="shared" si="31"/>
        <v/>
      </c>
      <c r="AE70" s="251">
        <f t="shared" si="32"/>
        <v>1543.0385904091536</v>
      </c>
    </row>
    <row r="71" spans="1:31" x14ac:dyDescent="0.2">
      <c r="A71" s="244">
        <v>6.2499000000000001E-3</v>
      </c>
      <c r="B71" s="244">
        <v>0.158828</v>
      </c>
      <c r="C71" s="245">
        <v>2.7389299999999998E-2</v>
      </c>
      <c r="D71" s="246">
        <f>IF(CouplingMode="AC",B71-(A$11-A$10)*SUM(B$9:B71)/0.21,B71)</f>
        <v>0.158828</v>
      </c>
      <c r="E71" s="247">
        <f t="shared" si="20"/>
        <v>2.6025603082898754</v>
      </c>
      <c r="F71" s="247">
        <f t="shared" si="21"/>
        <v>2.6025603082898754</v>
      </c>
      <c r="G71" s="248">
        <f t="shared" si="22"/>
        <v>4.3213548190081574E+17</v>
      </c>
      <c r="H71" s="249">
        <f t="shared" si="23"/>
        <v>4.7452260391808955E-3</v>
      </c>
      <c r="I71" s="248">
        <f>IF(MobilityModel=DK,CalcDeltaN(H71,SampleDoping,Thickness,AreaFrac),CalcDeltaNDL(H71,AreaFrac,Thickness,SampleType,SampleDoping,Temperature))</f>
        <v>977772529288657.12</v>
      </c>
      <c r="J71" s="248">
        <f t="shared" si="24"/>
        <v>977772529288657.12</v>
      </c>
      <c r="K71" s="248">
        <f t="shared" si="25"/>
        <v>977772529288657.12</v>
      </c>
      <c r="L71" s="250">
        <f t="shared" si="33"/>
        <v>-6.2380095594846349E+17</v>
      </c>
      <c r="M71" s="196" t="str">
        <f t="shared" si="26"/>
        <v/>
      </c>
      <c r="N71" s="196" t="str">
        <f t="shared" si="27"/>
        <v/>
      </c>
      <c r="O71" s="250">
        <f t="shared" si="28"/>
        <v>977772529288657.12</v>
      </c>
      <c r="P71" s="248">
        <f t="shared" si="34"/>
        <v>4.3127770621977596E-5</v>
      </c>
      <c r="Q71" s="250">
        <f t="shared" si="35"/>
        <v>4.3127770621977596E-5</v>
      </c>
      <c r="R71" s="251">
        <f t="shared" si="36"/>
        <v>23186.916123376137</v>
      </c>
      <c r="S71" s="252">
        <f>IF(AND(E71&gt;0.95*BiasLight,E71&lt;1.05*BiasLight),"",IF(AugerModel="Sinton",calclifetimeauger(Auger_Coefficient,I71,P71),calclifetimerichter(SampleType,I71,SampleDoping,P71)))</f>
        <v>23185.329098438546</v>
      </c>
      <c r="T71" s="201">
        <f t="shared" si="37"/>
        <v>23185.329098438546</v>
      </c>
      <c r="U71" s="252">
        <f t="shared" si="29"/>
        <v>23366.053657428743</v>
      </c>
      <c r="V71" s="251" t="str">
        <f>IF(AugerModel="Sinton","",IF(SampleType="n-type",n_intr_boltzmann(SampleDoping,0,K71,Temperature+273.15),n_intr_boltzmann(0,SampleDoping,K71,Temperature+273.15)))</f>
        <v/>
      </c>
      <c r="W71" s="251" t="str">
        <f t="shared" si="13"/>
        <v/>
      </c>
      <c r="X71" s="246">
        <f>IF(AND(A71&gt;TimeofMaxCD,I71&gt;Traps),IF(AugerModel="Sinton",CalcImpliedV(SampleDoping,O71),CalcImpliedVRichter(O71,SampleDoping,V71)),"")</f>
        <v>0.63671961690071222</v>
      </c>
      <c r="Y71" s="253">
        <f t="shared" si="30"/>
        <v>2.6761950863952024</v>
      </c>
      <c r="Z71" s="200" t="str">
        <f t="shared" si="31"/>
        <v/>
      </c>
      <c r="AE71" s="251">
        <f t="shared" si="32"/>
        <v>1545.6120333813865</v>
      </c>
    </row>
    <row r="72" spans="1:31" x14ac:dyDescent="0.2">
      <c r="A72" s="244">
        <v>6.3499000000000003E-3</v>
      </c>
      <c r="B72" s="244">
        <v>0.14922299999999999</v>
      </c>
      <c r="C72" s="245">
        <v>2.6089500000000002E-2</v>
      </c>
      <c r="D72" s="246">
        <f>IF(CouplingMode="AC",B72-(A$11-A$10)*SUM(B$9:B72)/0.21,B72)</f>
        <v>0.14922299999999999</v>
      </c>
      <c r="E72" s="247">
        <f t="shared" si="20"/>
        <v>2.4790519349939104</v>
      </c>
      <c r="F72" s="247">
        <f t="shared" si="21"/>
        <v>2.4790519349939104</v>
      </c>
      <c r="G72" s="248">
        <f t="shared" si="22"/>
        <v>4.1162784938101126E+17</v>
      </c>
      <c r="H72" s="249">
        <f t="shared" si="23"/>
        <v>4.4576264411289998E-3</v>
      </c>
      <c r="I72" s="248">
        <f>IF(MobilityModel=DK,CalcDeltaN(H72,SampleDoping,Thickness,AreaFrac),CalcDeltaNDL(H72,AreaFrac,Thickness,SampleType,SampleDoping,Temperature))</f>
        <v>916903108915604.37</v>
      </c>
      <c r="J72" s="248">
        <f t="shared" si="24"/>
        <v>916903108915604.37</v>
      </c>
      <c r="K72" s="248">
        <f t="shared" si="25"/>
        <v>916903108915604.37</v>
      </c>
      <c r="L72" s="250">
        <f t="shared" si="33"/>
        <v>-5.8161295703408499E+17</v>
      </c>
      <c r="M72" s="196" t="str">
        <f t="shared" si="26"/>
        <v/>
      </c>
      <c r="N72" s="196" t="str">
        <f t="shared" si="27"/>
        <v/>
      </c>
      <c r="O72" s="250">
        <f t="shared" si="28"/>
        <v>916903108915604.37</v>
      </c>
      <c r="P72" s="248">
        <f t="shared" si="34"/>
        <v>4.2482586811034942E-5</v>
      </c>
      <c r="Q72" s="250">
        <f t="shared" si="35"/>
        <v>4.2482586811034942E-5</v>
      </c>
      <c r="R72" s="251">
        <f t="shared" si="36"/>
        <v>23539.056236101136</v>
      </c>
      <c r="S72" s="252">
        <f>IF(AND(E72&gt;0.95*BiasLight,E72&lt;1.05*BiasLight),"",IF(AugerModel="Sinton",calclifetimeauger(Auger_Coefficient,I72,P72),calclifetimerichter(SampleType,I72,SampleDoping,P72)))</f>
        <v>23537.660655324646</v>
      </c>
      <c r="T72" s="201">
        <f t="shared" si="37"/>
        <v>23537.660655324646</v>
      </c>
      <c r="U72" s="252">
        <f t="shared" si="29"/>
        <v>23720.088350170761</v>
      </c>
      <c r="V72" s="251" t="str">
        <f>IF(AugerModel="Sinton","",IF(SampleType="n-type",n_intr_boltzmann(SampleDoping,0,K72,Temperature+273.15),n_intr_boltzmann(0,SampleDoping,K72,Temperature+273.15)))</f>
        <v/>
      </c>
      <c r="W72" s="251" t="str">
        <f t="shared" si="13"/>
        <v/>
      </c>
      <c r="X72" s="246">
        <f>IF(AND(A72&gt;TimeofMaxCD,I72&gt;Traps),IF(AugerModel="Sinton",CalcImpliedV(SampleDoping,O72),CalcImpliedVRichter(O72,SampleDoping,V72)),"")</f>
        <v>0.63471002111138586</v>
      </c>
      <c r="Y72" s="253">
        <f t="shared" si="30"/>
        <v>2.5477067528905444</v>
      </c>
      <c r="Z72" s="200" t="str">
        <f t="shared" si="31"/>
        <v/>
      </c>
      <c r="AE72" s="251">
        <f t="shared" si="32"/>
        <v>1548.3232754646544</v>
      </c>
    </row>
    <row r="73" spans="1:31" x14ac:dyDescent="0.2">
      <c r="A73" s="244">
        <v>6.4498999999999997E-3</v>
      </c>
      <c r="B73" s="244">
        <v>0.13997999999999999</v>
      </c>
      <c r="C73" s="245">
        <v>2.4888299999999999E-2</v>
      </c>
      <c r="D73" s="246">
        <f>IF(CouplingMode="AC",B73-(A$11-A$10)*SUM(B$9:B73)/0.21,B73)</f>
        <v>0.13997999999999999</v>
      </c>
      <c r="E73" s="247">
        <f t="shared" ref="E73:E104" si="38">IF(C73&gt;0,C73/RefCellCal,0.00001)</f>
        <v>2.3649126381766203</v>
      </c>
      <c r="F73" s="247">
        <f t="shared" ref="F73:F104" si="39">E73-BiasLight</f>
        <v>2.3649126381766203</v>
      </c>
      <c r="G73" s="248">
        <f t="shared" ref="G73:G104" si="40">F73*0.038*OptConst/1.602E-19</f>
        <v>3.926758812453065E+17</v>
      </c>
      <c r="H73" s="249">
        <f t="shared" ref="H73:H104" si="41">CalcConductance(B73,Dark_Voltage,A_cal,B_cal,C_cal)</f>
        <v>4.1809433712296324E-3</v>
      </c>
      <c r="I73" s="248">
        <f>IF(MobilityModel=DK,CalcDeltaN(H73,SampleDoping,Thickness,AreaFrac),CalcDeltaNDL(H73,AreaFrac,Thickness,SampleType,SampleDoping,Temperature))</f>
        <v>858506603042324.75</v>
      </c>
      <c r="J73" s="248">
        <f t="shared" ref="J73:J104" si="42">IF(AND(AND(I73&gt;=FitRangeMin,I73&lt;=FitRangeMax),A73&gt;TimeofMaxCD),I73,"")</f>
        <v>858506603042324.75</v>
      </c>
      <c r="K73" s="248">
        <f t="shared" ref="K73:K104" si="43">IF(I73-BiasPtCD=0,0.00001,I73-BiasPtCD)</f>
        <v>858506603042324.75</v>
      </c>
      <c r="L73" s="250">
        <f t="shared" si="33"/>
        <v>-5.5472159457015245E+17</v>
      </c>
      <c r="M73" s="196" t="str">
        <f t="shared" ref="M73:M104" si="44">IF(E73&gt;0.85*BiasLight,IF( E73&lt;1.15*BiasLight,E73,""),"")</f>
        <v/>
      </c>
      <c r="N73" s="196" t="str">
        <f t="shared" ref="N73:N104" si="45">IF(E73&gt;0.85*BiasLight,IF(E73&lt;1.15*BiasLight,I73,""),"")</f>
        <v/>
      </c>
      <c r="O73" s="250">
        <f t="shared" ref="O73:O104" si="46">I73-Traps</f>
        <v>858506603042324.75</v>
      </c>
      <c r="P73" s="248">
        <f t="shared" si="34"/>
        <v>4.1696927550949224E-5</v>
      </c>
      <c r="Q73" s="250">
        <f t="shared" si="35"/>
        <v>4.1696927550949224E-5</v>
      </c>
      <c r="R73" s="251">
        <f t="shared" si="36"/>
        <v>23982.582380394961</v>
      </c>
      <c r="S73" s="252">
        <f>IF(AND(E73&gt;0.95*BiasLight,E73&lt;1.05*BiasLight),"",IF(AugerModel="Sinton",calclifetimeauger(Auger_Coefficient,I73,P73),calclifetimerichter(SampleType,I73,SampleDoping,P73)))</f>
        <v>23981.358904639765</v>
      </c>
      <c r="T73" s="201">
        <f t="shared" si="37"/>
        <v>23981.358904639765</v>
      </c>
      <c r="U73" s="252">
        <f t="shared" ref="U73:U104" si="47">FitInterceptAuger+FitSlopeAuger*(I73+Traps)</f>
        <v>24059.739835059991</v>
      </c>
      <c r="V73" s="251" t="str">
        <f>IF(AugerModel="Sinton","",IF(SampleType="n-type",n_intr_boltzmann(SampleDoping,0,K73,Temperature+273.15),n_intr_boltzmann(0,SampleDoping,K73,Temperature+273.15)))</f>
        <v/>
      </c>
      <c r="W73" s="251" t="str">
        <f t="shared" si="13"/>
        <v/>
      </c>
      <c r="X73" s="246">
        <f>IF(AND(A73&gt;TimeofMaxCD,I73&gt;Traps),IF(AugerModel="Sinton",CalcImpliedV(SampleDoping,O73),CalcImpliedVRichter(O73,SampleDoping,V73)),"")</f>
        <v>0.63267085938428669</v>
      </c>
      <c r="Y73" s="253">
        <f t="shared" ref="Y73:Y104" si="48">IF(OR(P73="",P73&lt;0,A73&lt;=TimeofMaxCD),"",(O73*Thickness*1.602E-19/(0.038*OptConst*P73)))</f>
        <v>2.4303931430346171</v>
      </c>
      <c r="Z73" s="200" t="str">
        <f t="shared" ref="Z73:Z104" si="49">IF(C73&gt;0.6,O73,"")</f>
        <v/>
      </c>
      <c r="AE73" s="251">
        <f t="shared" ref="AE73:AE104" si="50">H73/(K73*AreaFrac*Thickness*1.602E-19)</f>
        <v>1551.0009448540795</v>
      </c>
    </row>
    <row r="74" spans="1:31" x14ac:dyDescent="0.2">
      <c r="A74" s="244">
        <v>6.5499E-3</v>
      </c>
      <c r="B74" s="244">
        <v>0.13164000000000001</v>
      </c>
      <c r="C74" s="245">
        <v>2.3731100000000001E-2</v>
      </c>
      <c r="D74" s="246">
        <f>IF(CouplingMode="AC",B74-(A$11-A$10)*SUM(B$9:B74)/0.21,B74)</f>
        <v>0.13164000000000001</v>
      </c>
      <c r="E74" s="247">
        <f t="shared" si="38"/>
        <v>2.2549542679826748</v>
      </c>
      <c r="F74" s="247">
        <f t="shared" si="39"/>
        <v>2.2549542679826748</v>
      </c>
      <c r="G74" s="248">
        <f t="shared" si="40"/>
        <v>3.7441812439662387E+17</v>
      </c>
      <c r="H74" s="249">
        <f t="shared" si="41"/>
        <v>3.931356050390601E-3</v>
      </c>
      <c r="I74" s="248">
        <f>IF(MobilityModel=DK,CalcDeltaN(H74,SampleDoping,Thickness,AreaFrac),CalcDeltaNDL(H74,AreaFrac,Thickness,SampleType,SampleDoping,Temperature))</f>
        <v>805968056995728.62</v>
      </c>
      <c r="J74" s="248">
        <f t="shared" si="42"/>
        <v>805968056995728.62</v>
      </c>
      <c r="K74" s="248">
        <f t="shared" si="43"/>
        <v>805968056995728.62</v>
      </c>
      <c r="L74" s="250">
        <f t="shared" si="33"/>
        <v>-5.2049923112080448E+17</v>
      </c>
      <c r="M74" s="196" t="str">
        <f t="shared" si="44"/>
        <v/>
      </c>
      <c r="N74" s="196" t="str">
        <f t="shared" si="45"/>
        <v/>
      </c>
      <c r="O74" s="250">
        <f t="shared" si="46"/>
        <v>805968056995728.62</v>
      </c>
      <c r="P74" s="248">
        <f t="shared" si="34"/>
        <v>4.1071649007390893E-5</v>
      </c>
      <c r="Q74" s="250">
        <f t="shared" si="35"/>
        <v>4.1071649007390893E-5</v>
      </c>
      <c r="R74" s="251">
        <f t="shared" si="36"/>
        <v>24347.695409552434</v>
      </c>
      <c r="S74" s="252">
        <f>IF(AND(E74&gt;0.95*BiasLight,E74&lt;1.05*BiasLight),"",IF(AugerModel="Sinton",calclifetimeauger(Auger_Coefficient,I74,P74),calclifetimerichter(SampleType,I74,SampleDoping,P74)))</f>
        <v>24346.617099267663</v>
      </c>
      <c r="T74" s="201">
        <f t="shared" si="37"/>
        <v>24346.617099267663</v>
      </c>
      <c r="U74" s="252">
        <f t="shared" si="47"/>
        <v>24365.319679466622</v>
      </c>
      <c r="V74" s="251" t="str">
        <f>IF(AugerModel="Sinton","",IF(SampleType="n-type",n_intr_boltzmann(SampleDoping,0,K74,Temperature+273.15),n_intr_boltzmann(0,SampleDoping,K74,Temperature+273.15)))</f>
        <v/>
      </c>
      <c r="W74" s="251" t="str">
        <f t="shared" ref="W74:W134" si="51">IF(V74="","",IF(T74="","",(V74^2)*T74))</f>
        <v/>
      </c>
      <c r="X74" s="246">
        <f>IF(AND(A74&gt;TimeofMaxCD,I74&gt;Traps),IF(AugerModel="Sinton",CalcImpliedV(SampleDoping,O74),CalcImpliedVRichter(O74,SampleDoping,V74)),"")</f>
        <v>0.63073083308049893</v>
      </c>
      <c r="Y74" s="253">
        <f t="shared" si="48"/>
        <v>2.3163950930120292</v>
      </c>
      <c r="Z74" s="200" t="str">
        <f t="shared" si="49"/>
        <v/>
      </c>
      <c r="AE74" s="251">
        <f t="shared" si="50"/>
        <v>1553.481069777954</v>
      </c>
    </row>
    <row r="75" spans="1:31" x14ac:dyDescent="0.2">
      <c r="A75" s="244">
        <v>6.6499000000000003E-3</v>
      </c>
      <c r="B75" s="244">
        <v>0.123667</v>
      </c>
      <c r="C75" s="245">
        <v>2.2613899999999999E-2</v>
      </c>
      <c r="D75" s="246">
        <f>IF(CouplingMode="AC",B75-(A$11-A$10)*SUM(B$9:B75)/0.21,B75)</f>
        <v>0.123667</v>
      </c>
      <c r="E75" s="247">
        <f t="shared" si="38"/>
        <v>2.1487967401735868</v>
      </c>
      <c r="F75" s="247">
        <f t="shared" si="39"/>
        <v>2.1487967401735868</v>
      </c>
      <c r="G75" s="248">
        <f t="shared" si="40"/>
        <v>3.5679146871796134E+17</v>
      </c>
      <c r="H75" s="249">
        <f t="shared" si="41"/>
        <v>3.6928094586616703E-3</v>
      </c>
      <c r="I75" s="248">
        <f>IF(MobilityModel=DK,CalcDeltaN(H75,SampleDoping,Thickness,AreaFrac),CalcDeltaNDL(H75,AreaFrac,Thickness,SampleType,SampleDoping,Temperature))</f>
        <v>755879257963518.75</v>
      </c>
      <c r="J75" s="248">
        <f t="shared" si="42"/>
        <v>755879257963518.75</v>
      </c>
      <c r="K75" s="248">
        <f t="shared" si="43"/>
        <v>755879257963518.75</v>
      </c>
      <c r="L75" s="250">
        <f t="shared" ref="L75:L106" si="52">IF(ABS(SLOPE(K73:K77,A73:A77))&lt;1000000000000,-1000000000000,(SLOPE(K73:K77,A73:A77)))</f>
        <v>-4.9201396037632179E+17</v>
      </c>
      <c r="M75" s="196" t="str">
        <f t="shared" si="44"/>
        <v/>
      </c>
      <c r="N75" s="196" t="str">
        <f t="shared" si="45"/>
        <v/>
      </c>
      <c r="O75" s="250">
        <f t="shared" si="46"/>
        <v>755879257963518.75</v>
      </c>
      <c r="P75" s="248">
        <f t="shared" ref="P75:P106" si="53">calclifetime(AnalysisMode,K75,Thickness,G75,L75)</f>
        <v>4.0430733383183884E-5</v>
      </c>
      <c r="Q75" s="250">
        <f t="shared" si="35"/>
        <v>4.0430733383183884E-5</v>
      </c>
      <c r="R75" s="251">
        <f t="shared" si="36"/>
        <v>24733.659677217827</v>
      </c>
      <c r="S75" s="252">
        <f>IF(AND(E75&gt;0.95*BiasLight,E75&lt;1.05*BiasLight),"",IF(AugerModel="Sinton",calclifetimeauger(Auger_Coefficient,I75,P75),calclifetimerichter(SampleType,I75,SampleDoping,P75)))</f>
        <v>24732.711230486479</v>
      </c>
      <c r="T75" s="201">
        <f t="shared" si="37"/>
        <v>24732.711230486479</v>
      </c>
      <c r="U75" s="252">
        <f t="shared" si="47"/>
        <v>24656.651065021193</v>
      </c>
      <c r="V75" s="251" t="str">
        <f>IF(AugerModel="Sinton","",IF(SampleType="n-type",n_intr_boltzmann(SampleDoping,0,K75,Temperature+273.15),n_intr_boltzmann(0,SampleDoping,K75,Temperature+273.15)))</f>
        <v/>
      </c>
      <c r="W75" s="251" t="str">
        <f t="shared" si="51"/>
        <v/>
      </c>
      <c r="X75" s="246">
        <f>IF(AND(A75&gt;TimeofMaxCD,I75&gt;Traps),IF(AugerModel="Sinton",CalcImpliedV(SampleDoping,O75),CalcImpliedVRichter(O75,SampleDoping,V75)),"")</f>
        <v>0.62877591415436285</v>
      </c>
      <c r="Y75" s="253">
        <f t="shared" si="48"/>
        <v>2.2068751038752716</v>
      </c>
      <c r="Z75" s="200" t="str">
        <f t="shared" si="49"/>
        <v/>
      </c>
      <c r="AE75" s="251">
        <f t="shared" si="50"/>
        <v>1555.9150740781856</v>
      </c>
    </row>
    <row r="76" spans="1:31" x14ac:dyDescent="0.2">
      <c r="A76" s="244">
        <v>6.7498999999999997E-3</v>
      </c>
      <c r="B76" s="244">
        <v>0.11602</v>
      </c>
      <c r="C76" s="245">
        <v>2.15494E-2</v>
      </c>
      <c r="D76" s="246">
        <f>IF(CouplingMode="AC",B76-(A$11-A$10)*SUM(B$9:B76)/0.21,B76)</f>
        <v>0.11602</v>
      </c>
      <c r="E76" s="247">
        <f t="shared" si="38"/>
        <v>2.0476468222065494</v>
      </c>
      <c r="F76" s="247">
        <f t="shared" si="39"/>
        <v>2.0476468222065494</v>
      </c>
      <c r="G76" s="248">
        <f t="shared" si="40"/>
        <v>3.3999628883080032E+17</v>
      </c>
      <c r="H76" s="249">
        <f t="shared" si="41"/>
        <v>3.4640695398172579E-3</v>
      </c>
      <c r="I76" s="248">
        <f>IF(MobilityModel=DK,CalcDeltaN(H76,SampleDoping,Thickness,AreaFrac),CalcDeltaNDL(H76,AreaFrac,Thickness,SampleType,SampleDoping,Temperature))</f>
        <v>707967165894605.37</v>
      </c>
      <c r="J76" s="248">
        <f t="shared" si="42"/>
        <v>707967165894605.37</v>
      </c>
      <c r="K76" s="248">
        <f t="shared" si="43"/>
        <v>707967165894605.37</v>
      </c>
      <c r="L76" s="250">
        <f t="shared" si="52"/>
        <v>-4.6471015517935776E+17</v>
      </c>
      <c r="M76" s="196" t="str">
        <f t="shared" si="44"/>
        <v/>
      </c>
      <c r="N76" s="196" t="str">
        <f t="shared" si="45"/>
        <v/>
      </c>
      <c r="O76" s="250">
        <f t="shared" si="46"/>
        <v>707967165894605.37</v>
      </c>
      <c r="P76" s="248">
        <f t="shared" si="53"/>
        <v>3.9747846744576457E-5</v>
      </c>
      <c r="Q76" s="250">
        <f t="shared" ref="Q76:Q107" si="54">IF($J76="","",P76)</f>
        <v>3.9747846744576457E-5</v>
      </c>
      <c r="R76" s="251">
        <f t="shared" ref="R76" si="55">IF(Q76="","",1/Q76)</f>
        <v>25158.595544208914</v>
      </c>
      <c r="S76" s="252">
        <f>IF(AND(E76&gt;0.95*BiasLight,E76&lt;1.05*BiasLight),"",IF(AugerModel="Sinton",calclifetimeauger(Auger_Coefficient,I76,P76),calclifetimerichter(SampleType,I76,SampleDoping,P76)))</f>
        <v>25157.763523145659</v>
      </c>
      <c r="T76" s="201">
        <f t="shared" ref="T76:T107" si="56">IF($J76="","",S76)</f>
        <v>25157.763523145659</v>
      </c>
      <c r="U76" s="252">
        <f t="shared" si="47"/>
        <v>24935.322074048159</v>
      </c>
      <c r="V76" s="251" t="str">
        <f>IF(AugerModel="Sinton","",IF(SampleType="n-type",n_intr_boltzmann(SampleDoping,0,K76,Temperature+273.15),n_intr_boltzmann(0,SampleDoping,K76,Temperature+273.15)))</f>
        <v/>
      </c>
      <c r="W76" s="251" t="str">
        <f t="shared" si="51"/>
        <v/>
      </c>
      <c r="X76" s="246">
        <f>IF(AND(A76&gt;TimeofMaxCD,I76&gt;Traps),IF(AugerModel="Sinton",CalcImpliedV(SampleDoping,O76),CalcImpliedVRichter(O76,SampleDoping,V76)),"")</f>
        <v>0.62679690583099479</v>
      </c>
      <c r="Y76" s="253">
        <f t="shared" si="48"/>
        <v>2.1025021872610901</v>
      </c>
      <c r="Z76" s="200" t="str">
        <f t="shared" si="49"/>
        <v/>
      </c>
      <c r="AE76" s="251">
        <f t="shared" si="50"/>
        <v>1558.3137479512966</v>
      </c>
    </row>
    <row r="77" spans="1:31" x14ac:dyDescent="0.2">
      <c r="A77" s="244">
        <v>6.8498999999999999E-3</v>
      </c>
      <c r="B77" s="244">
        <v>0.108584</v>
      </c>
      <c r="C77" s="245">
        <v>2.0483999999999999E-2</v>
      </c>
      <c r="D77" s="246">
        <f>IF(CouplingMode="AC",B77-(A$11-A$10)*SUM(B$9:B77)/0.21,B77)</f>
        <v>0.108584</v>
      </c>
      <c r="E77" s="247">
        <f t="shared" si="38"/>
        <v>1.9464113852858529</v>
      </c>
      <c r="F77" s="247">
        <f t="shared" si="39"/>
        <v>1.9464113852858529</v>
      </c>
      <c r="G77" s="248">
        <f t="shared" si="40"/>
        <v>3.2318690916731386E+17</v>
      </c>
      <c r="H77" s="249">
        <f t="shared" si="41"/>
        <v>3.2416908792768035E-3</v>
      </c>
      <c r="I77" s="248">
        <f>IF(MobilityModel=DK,CalcDeltaN(H77,SampleDoping,Thickness,AreaFrac),CalcDeltaNDL(H77,AreaFrac,Thickness,SampleType,SampleDoping,Temperature))</f>
        <v>661500068404725.5</v>
      </c>
      <c r="J77" s="248" t="str">
        <f t="shared" si="42"/>
        <v/>
      </c>
      <c r="K77" s="248">
        <f t="shared" si="43"/>
        <v>661500068404725.5</v>
      </c>
      <c r="L77" s="250">
        <f t="shared" si="52"/>
        <v>-4.3432248800254054E+17</v>
      </c>
      <c r="M77" s="196" t="str">
        <f t="shared" si="44"/>
        <v/>
      </c>
      <c r="N77" s="196" t="str">
        <f t="shared" si="45"/>
        <v/>
      </c>
      <c r="O77" s="250">
        <f t="shared" si="46"/>
        <v>661500068404725.5</v>
      </c>
      <c r="P77" s="248">
        <f t="shared" si="53"/>
        <v>3.9087777527470231E-5</v>
      </c>
      <c r="Q77" s="250" t="str">
        <f t="shared" si="54"/>
        <v/>
      </c>
      <c r="R77" s="251" t="str">
        <f t="shared" ref="R77:R108" si="57">IF(Q77="","",1/Q77)</f>
        <v/>
      </c>
      <c r="S77" s="252">
        <f>IF(AND(E77&gt;0.95*BiasLight,E77&lt;1.05*BiasLight),"",IF(AugerModel="Sinton",calclifetimeauger(Auger_Coefficient,I77,P77),calclifetimerichter(SampleType,I77,SampleDoping,P77)))</f>
        <v>25582.718445838615</v>
      </c>
      <c r="T77" s="201" t="str">
        <f t="shared" si="56"/>
        <v/>
      </c>
      <c r="U77" s="252">
        <f t="shared" si="47"/>
        <v>25205.58856388196</v>
      </c>
      <c r="V77" s="251" t="str">
        <f>IF(AugerModel="Sinton","",IF(SampleType="n-type",n_intr_boltzmann(SampleDoping,0,K77,Temperature+273.15),n_intr_boltzmann(0,SampleDoping,K77,Temperature+273.15)))</f>
        <v/>
      </c>
      <c r="W77" s="251" t="str">
        <f t="shared" si="51"/>
        <v/>
      </c>
      <c r="X77" s="246">
        <f>IF(AND(A77&gt;TimeofMaxCD,I77&gt;Traps),IF(AugerModel="Sinton",CalcImpliedV(SampleDoping,O77),CalcImpliedVRichter(O77,SampleDoping,V77)),"")</f>
        <v>0.62476178434695762</v>
      </c>
      <c r="Y77" s="253">
        <f t="shared" si="48"/>
        <v>1.9976797261328052</v>
      </c>
      <c r="Z77" s="200" t="str">
        <f t="shared" si="49"/>
        <v/>
      </c>
      <c r="AE77" s="251">
        <f t="shared" si="50"/>
        <v>1560.7132684376847</v>
      </c>
    </row>
    <row r="78" spans="1:31" x14ac:dyDescent="0.2">
      <c r="A78" s="244">
        <v>6.9499000000000002E-3</v>
      </c>
      <c r="B78" s="244">
        <v>0.10205500000000001</v>
      </c>
      <c r="C78" s="245">
        <v>1.95338E-2</v>
      </c>
      <c r="D78" s="246">
        <f>IF(CouplingMode="AC",B78-(A$11-A$10)*SUM(B$9:B78)/0.21,B78)</f>
        <v>0.10205500000000001</v>
      </c>
      <c r="E78" s="247">
        <f t="shared" si="38"/>
        <v>1.856122374433548</v>
      </c>
      <c r="F78" s="247">
        <f t="shared" si="39"/>
        <v>1.856122374433548</v>
      </c>
      <c r="G78" s="248">
        <f t="shared" si="40"/>
        <v>3.081951008734855E+17</v>
      </c>
      <c r="H78" s="249">
        <f t="shared" si="41"/>
        <v>3.0464771153759984E-3</v>
      </c>
      <c r="I78" s="248">
        <f>IF(MobilityModel=DK,CalcDeltaN(H78,SampleDoping,Thickness,AreaFrac),CalcDeltaNDL(H78,AreaFrac,Thickness,SampleType,SampleDoping,Temperature))</f>
        <v>620802574185446.37</v>
      </c>
      <c r="J78" s="248" t="str">
        <f t="shared" si="42"/>
        <v/>
      </c>
      <c r="K78" s="248">
        <f t="shared" si="43"/>
        <v>620802574185446.37</v>
      </c>
      <c r="L78" s="250">
        <f t="shared" si="52"/>
        <v>-4.0512286096584269E+17</v>
      </c>
      <c r="M78" s="196" t="str">
        <f t="shared" si="44"/>
        <v/>
      </c>
      <c r="N78" s="196" t="str">
        <f t="shared" si="45"/>
        <v/>
      </c>
      <c r="O78" s="250">
        <f t="shared" si="46"/>
        <v>620802574185446.37</v>
      </c>
      <c r="P78" s="248">
        <f t="shared" si="53"/>
        <v>3.8488971057092363E-5</v>
      </c>
      <c r="Q78" s="250" t="str">
        <f t="shared" si="54"/>
        <v/>
      </c>
      <c r="R78" s="251" t="str">
        <f t="shared" si="57"/>
        <v/>
      </c>
      <c r="S78" s="252">
        <f>IF(AND(E78&gt;0.95*BiasLight,E78&lt;1.05*BiasLight),"",IF(AugerModel="Sinton",calclifetimeauger(Auger_Coefficient,I78,P78),calclifetimerichter(SampleType,I78,SampleDoping,P78)))</f>
        <v>25980.829025661697</v>
      </c>
      <c r="T78" s="201" t="str">
        <f t="shared" si="56"/>
        <v/>
      </c>
      <c r="U78" s="252">
        <f t="shared" si="47"/>
        <v>25442.29732130051</v>
      </c>
      <c r="V78" s="251" t="str">
        <f>IF(AugerModel="Sinton","",IF(SampleType="n-type",n_intr_boltzmann(SampleDoping,0,K78,Temperature+273.15),n_intr_boltzmann(0,SampleDoping,K78,Temperature+273.15)))</f>
        <v/>
      </c>
      <c r="W78" s="251" t="str">
        <f t="shared" si="51"/>
        <v/>
      </c>
      <c r="X78" s="246">
        <f>IF(AND(A78&gt;TimeofMaxCD,I78&gt;Traps),IF(AugerModel="Sinton",CalcImpliedV(SampleDoping,O78),CalcImpliedVRichter(O78,SampleDoping,V78)),"")</f>
        <v>0.62287286408021192</v>
      </c>
      <c r="Y78" s="253">
        <f t="shared" si="48"/>
        <v>1.9039439298321899</v>
      </c>
      <c r="Z78" s="200" t="str">
        <f t="shared" si="49"/>
        <v/>
      </c>
      <c r="AE78" s="251">
        <f t="shared" si="50"/>
        <v>1562.8806994110682</v>
      </c>
    </row>
    <row r="79" spans="1:31" x14ac:dyDescent="0.2">
      <c r="A79" s="244">
        <v>7.0498999999999996E-3</v>
      </c>
      <c r="B79" s="244">
        <v>9.5863799999999999E-2</v>
      </c>
      <c r="C79" s="245">
        <v>1.8624600000000002E-2</v>
      </c>
      <c r="D79" s="246">
        <f>IF(CouplingMode="AC",B79-(A$11-A$10)*SUM(B$9:B79)/0.21,B79)</f>
        <v>9.5863799999999999E-2</v>
      </c>
      <c r="E79" s="247">
        <f t="shared" si="38"/>
        <v>1.7697292270257226</v>
      </c>
      <c r="F79" s="247">
        <f t="shared" si="39"/>
        <v>1.7697292270257226</v>
      </c>
      <c r="G79" s="248">
        <f t="shared" si="40"/>
        <v>2.9385017127892774E+17</v>
      </c>
      <c r="H79" s="249">
        <f t="shared" si="41"/>
        <v>2.8613983300460411E-3</v>
      </c>
      <c r="I79" s="248">
        <f>IF(MobilityModel=DK,CalcDeltaN(H79,SampleDoping,Thickness,AreaFrac),CalcDeltaNDL(H79,AreaFrac,Thickness,SampleType,SampleDoping,Temperature))</f>
        <v>582300309816828.12</v>
      </c>
      <c r="J79" s="248" t="str">
        <f t="shared" si="42"/>
        <v/>
      </c>
      <c r="K79" s="248">
        <f t="shared" si="43"/>
        <v>582300309816828.12</v>
      </c>
      <c r="L79" s="250">
        <f t="shared" si="52"/>
        <v>-3.7849465262204877E+17</v>
      </c>
      <c r="M79" s="196" t="str">
        <f t="shared" si="44"/>
        <v/>
      </c>
      <c r="N79" s="196" t="str">
        <f t="shared" si="45"/>
        <v/>
      </c>
      <c r="O79" s="250">
        <f t="shared" si="46"/>
        <v>582300309816828.12</v>
      </c>
      <c r="P79" s="248">
        <f t="shared" si="53"/>
        <v>3.7883415511231782E-5</v>
      </c>
      <c r="Q79" s="250" t="str">
        <f t="shared" si="54"/>
        <v/>
      </c>
      <c r="R79" s="251" t="str">
        <f t="shared" si="57"/>
        <v/>
      </c>
      <c r="S79" s="252">
        <f>IF(AND(E79&gt;0.95*BiasLight,E79&lt;1.05*BiasLight),"",IF(AugerModel="Sinton",calclifetimeauger(Auger_Coefficient,I79,P79),calclifetimerichter(SampleType,I79,SampleDoping,P79)))</f>
        <v>26396.212257013602</v>
      </c>
      <c r="T79" s="201" t="str">
        <f t="shared" si="56"/>
        <v/>
      </c>
      <c r="U79" s="252">
        <f t="shared" si="47"/>
        <v>25666.23796755727</v>
      </c>
      <c r="V79" s="251" t="str">
        <f>IF(AugerModel="Sinton","",IF(SampleType="n-type",n_intr_boltzmann(SampleDoping,0,K79,Temperature+273.15),n_intr_boltzmann(0,SampleDoping,K79,Temperature+273.15)))</f>
        <v/>
      </c>
      <c r="W79" s="251" t="str">
        <f t="shared" si="51"/>
        <v/>
      </c>
      <c r="X79" s="246">
        <f>IF(AND(A79&gt;TimeofMaxCD,I79&gt;Traps),IF(AugerModel="Sinton",CalcImpliedV(SampleDoping,O79),CalcImpliedVRichter(O79,SampleDoping,V79)),"")</f>
        <v>0.62098182930496848</v>
      </c>
      <c r="Y79" s="253">
        <f t="shared" si="48"/>
        <v>1.8144075326520768</v>
      </c>
      <c r="Z79" s="200" t="str">
        <f t="shared" si="49"/>
        <v/>
      </c>
      <c r="AE79" s="251">
        <f t="shared" si="50"/>
        <v>1564.9941377354737</v>
      </c>
    </row>
    <row r="80" spans="1:31" x14ac:dyDescent="0.2">
      <c r="A80" s="244">
        <v>7.1498999999999998E-3</v>
      </c>
      <c r="B80" s="244">
        <v>8.9853100000000005E-2</v>
      </c>
      <c r="C80" s="245">
        <v>1.7732999999999999E-2</v>
      </c>
      <c r="D80" s="246">
        <f>IF(CouplingMode="AC",B80-(A$11-A$10)*SUM(B$9:B80)/0.21,B80)</f>
        <v>8.9853100000000005E-2</v>
      </c>
      <c r="E80" s="247">
        <f t="shared" si="38"/>
        <v>1.6850084502672344</v>
      </c>
      <c r="F80" s="247">
        <f t="shared" si="39"/>
        <v>1.6850084502672344</v>
      </c>
      <c r="G80" s="248">
        <f t="shared" si="40"/>
        <v>2.7978292619917878E+17</v>
      </c>
      <c r="H80" s="249">
        <f t="shared" si="41"/>
        <v>2.6817479150576676E-3</v>
      </c>
      <c r="I80" s="248">
        <f>IF(MobilityModel=DK,CalcDeltaN(H80,SampleDoping,Thickness,AreaFrac),CalcDeltaNDL(H80,AreaFrac,Thickness,SampleType,SampleDoping,Temperature))</f>
        <v>545005614705632.69</v>
      </c>
      <c r="J80" s="248" t="str">
        <f t="shared" si="42"/>
        <v/>
      </c>
      <c r="K80" s="248">
        <f t="shared" si="43"/>
        <v>545005614705632.69</v>
      </c>
      <c r="L80" s="250">
        <f t="shared" si="52"/>
        <v>-3.5565500677844314E+17</v>
      </c>
      <c r="M80" s="196" t="str">
        <f t="shared" si="44"/>
        <v/>
      </c>
      <c r="N80" s="196" t="str">
        <f t="shared" si="45"/>
        <v/>
      </c>
      <c r="O80" s="250">
        <f t="shared" si="46"/>
        <v>545005614705632.69</v>
      </c>
      <c r="P80" s="248">
        <f t="shared" si="53"/>
        <v>3.7251856390144657E-5</v>
      </c>
      <c r="Q80" s="250" t="str">
        <f t="shared" si="54"/>
        <v/>
      </c>
      <c r="R80" s="251" t="str">
        <f t="shared" si="57"/>
        <v/>
      </c>
      <c r="S80" s="252">
        <f>IF(AND(E80&gt;0.95*BiasLight,E80&lt;1.05*BiasLight),"",IF(AugerModel="Sinton",calclifetimeauger(Auger_Coefficient,I80,P80),calclifetimerichter(SampleType,I80,SampleDoping,P80)))</f>
        <v>26843.806700326284</v>
      </c>
      <c r="T80" s="201" t="str">
        <f t="shared" si="56"/>
        <v/>
      </c>
      <c r="U80" s="252">
        <f t="shared" si="47"/>
        <v>25883.155031062684</v>
      </c>
      <c r="V80" s="251" t="str">
        <f>IF(AugerModel="Sinton","",IF(SampleType="n-type",n_intr_boltzmann(SampleDoping,0,K80,Temperature+273.15),n_intr_boltzmann(0,SampleDoping,K80,Temperature+273.15)))</f>
        <v/>
      </c>
      <c r="W80" s="251" t="str">
        <f t="shared" si="51"/>
        <v/>
      </c>
      <c r="X80" s="246">
        <f>IF(AND(A80&gt;TimeofMaxCD,I80&gt;Traps),IF(AugerModel="Sinton",CalcImpliedV(SampleDoping,O80),CalcImpliedVRichter(O80,SampleDoping,V80)),"")</f>
        <v>0.61904066713632067</v>
      </c>
      <c r="Y80" s="253">
        <f t="shared" si="48"/>
        <v>1.7269907160147449</v>
      </c>
      <c r="Z80" s="200" t="str">
        <f t="shared" si="49"/>
        <v/>
      </c>
      <c r="AE80" s="251">
        <f t="shared" si="50"/>
        <v>1567.1060674521282</v>
      </c>
    </row>
    <row r="81" spans="1:31" x14ac:dyDescent="0.2">
      <c r="A81" s="244">
        <v>7.2499000000000001E-3</v>
      </c>
      <c r="B81" s="244">
        <v>8.4223199999999998E-2</v>
      </c>
      <c r="C81" s="245">
        <v>1.69049E-2</v>
      </c>
      <c r="D81" s="246">
        <f>IF(CouplingMode="AC",B81-(A$11-A$10)*SUM(B$9:B81)/0.21,B81)</f>
        <v>8.4223199999999998E-2</v>
      </c>
      <c r="E81" s="247">
        <f t="shared" si="38"/>
        <v>1.6063215107947089</v>
      </c>
      <c r="F81" s="247">
        <f t="shared" si="39"/>
        <v>1.6063215107947089</v>
      </c>
      <c r="G81" s="248">
        <f t="shared" si="40"/>
        <v>2.667175542268368E+17</v>
      </c>
      <c r="H81" s="249">
        <f t="shared" si="41"/>
        <v>2.5135080843931472E-3</v>
      </c>
      <c r="I81" s="248">
        <f>IF(MobilityModel=DK,CalcDeltaN(H81,SampleDoping,Thickness,AreaFrac),CalcDeltaNDL(H81,AreaFrac,Thickness,SampleType,SampleDoping,Temperature))</f>
        <v>510151221833608</v>
      </c>
      <c r="J81" s="248" t="str">
        <f t="shared" si="42"/>
        <v/>
      </c>
      <c r="K81" s="248">
        <f t="shared" si="43"/>
        <v>510151221833608</v>
      </c>
      <c r="L81" s="250">
        <f t="shared" si="52"/>
        <v>-3.3555797881871373E+17</v>
      </c>
      <c r="M81" s="196" t="str">
        <f t="shared" si="44"/>
        <v/>
      </c>
      <c r="N81" s="196" t="str">
        <f t="shared" si="45"/>
        <v/>
      </c>
      <c r="O81" s="250">
        <f t="shared" si="46"/>
        <v>510151221833608</v>
      </c>
      <c r="P81" s="248">
        <f t="shared" si="53"/>
        <v>3.658677467503713E-5</v>
      </c>
      <c r="Q81" s="250" t="str">
        <f t="shared" si="54"/>
        <v/>
      </c>
      <c r="R81" s="251" t="str">
        <f t="shared" si="57"/>
        <v/>
      </c>
      <c r="S81" s="252">
        <f>IF(AND(E81&gt;0.95*BiasLight,E81&lt;1.05*BiasLight),"",IF(AugerModel="Sinton",calclifetimeauger(Auger_Coefficient,I81,P81),calclifetimerichter(SampleType,I81,SampleDoping,P81)))</f>
        <v>27331.848805670703</v>
      </c>
      <c r="T81" s="201" t="str">
        <f t="shared" si="56"/>
        <v/>
      </c>
      <c r="U81" s="252">
        <f t="shared" si="47"/>
        <v>26085.878569343982</v>
      </c>
      <c r="V81" s="251" t="str">
        <f>IF(AugerModel="Sinton","",IF(SampleType="n-type",n_intr_boltzmann(SampleDoping,0,K81,Temperature+273.15),n_intr_boltzmann(0,SampleDoping,K81,Temperature+273.15)))</f>
        <v/>
      </c>
      <c r="W81" s="251" t="str">
        <f t="shared" si="51"/>
        <v/>
      </c>
      <c r="X81" s="246">
        <f>IF(AND(A81&gt;TimeofMaxCD,I81&gt;Traps),IF(AugerModel="Sinton",CalcImpliedV(SampleDoping,O81),CalcImpliedVRichter(O81,SampleDoping,V81)),"")</f>
        <v>0.61711580197152549</v>
      </c>
      <c r="Y81" s="253">
        <f t="shared" si="48"/>
        <v>1.64593148105232</v>
      </c>
      <c r="Z81" s="200" t="str">
        <f t="shared" si="49"/>
        <v/>
      </c>
      <c r="AE81" s="251">
        <f t="shared" si="50"/>
        <v>1569.1438975650592</v>
      </c>
    </row>
    <row r="82" spans="1:31" x14ac:dyDescent="0.2">
      <c r="A82" s="244">
        <v>7.3499000000000004E-3</v>
      </c>
      <c r="B82" s="244">
        <v>7.9188999999999996E-2</v>
      </c>
      <c r="C82" s="245">
        <v>1.61012E-2</v>
      </c>
      <c r="D82" s="246">
        <f>IF(CouplingMode="AC",B82-(A$11-A$10)*SUM(B$9:B82)/0.21,B82)</f>
        <v>7.9188999999999996E-2</v>
      </c>
      <c r="E82" s="247">
        <f t="shared" si="38"/>
        <v>1.5299530851769467</v>
      </c>
      <c r="F82" s="247">
        <f t="shared" si="39"/>
        <v>1.5299530851769467</v>
      </c>
      <c r="G82" s="248">
        <f t="shared" si="40"/>
        <v>2.540371539682071E+17</v>
      </c>
      <c r="H82" s="249">
        <f t="shared" si="41"/>
        <v>2.3630935307852536E-3</v>
      </c>
      <c r="I82" s="248">
        <f>IF(MobilityModel=DK,CalcDeltaN(H82,SampleDoping,Thickness,AreaFrac),CalcDeltaNDL(H82,AreaFrac,Thickness,SampleType,SampleDoping,Temperature))</f>
        <v>479049614787834.69</v>
      </c>
      <c r="J82" s="248" t="str">
        <f t="shared" si="42"/>
        <v/>
      </c>
      <c r="K82" s="248">
        <f t="shared" si="43"/>
        <v>479049614787834.69</v>
      </c>
      <c r="L82" s="250">
        <f t="shared" si="52"/>
        <v>-3.087464555317079E+17</v>
      </c>
      <c r="M82" s="196" t="str">
        <f t="shared" si="44"/>
        <v/>
      </c>
      <c r="N82" s="196" t="str">
        <f t="shared" si="45"/>
        <v/>
      </c>
      <c r="O82" s="250">
        <f t="shared" si="46"/>
        <v>479049614787834.69</v>
      </c>
      <c r="P82" s="248">
        <f t="shared" si="53"/>
        <v>3.6100671115626264E-5</v>
      </c>
      <c r="Q82" s="250" t="str">
        <f t="shared" si="54"/>
        <v/>
      </c>
      <c r="R82" s="251" t="str">
        <f t="shared" si="57"/>
        <v/>
      </c>
      <c r="S82" s="252">
        <f>IF(AND(E82&gt;0.95*BiasLight,E82&lt;1.05*BiasLight),"",IF(AugerModel="Sinton",calclifetimeauger(Auger_Coefficient,I82,P82),calclifetimerichter(SampleType,I82,SampleDoping,P82)))</f>
        <v>27699.935112331947</v>
      </c>
      <c r="T82" s="201" t="str">
        <f t="shared" si="56"/>
        <v/>
      </c>
      <c r="U82" s="252">
        <f t="shared" si="47"/>
        <v>26266.774786635844</v>
      </c>
      <c r="V82" s="251" t="str">
        <f>IF(AugerModel="Sinton","",IF(SampleType="n-type",n_intr_boltzmann(SampleDoping,0,K82,Temperature+273.15),n_intr_boltzmann(0,SampleDoping,K82,Temperature+273.15)))</f>
        <v/>
      </c>
      <c r="W82" s="251" t="str">
        <f t="shared" si="51"/>
        <v/>
      </c>
      <c r="X82" s="246">
        <f>IF(AND(A82&gt;TimeofMaxCD,I82&gt;Traps),IF(AugerModel="Sinton",CalcImpliedV(SampleDoping,O82),CalcImpliedVRichter(O82,SampleDoping,V82)),"")</f>
        <v>0.61529551953055839</v>
      </c>
      <c r="Y82" s="253">
        <f t="shared" si="48"/>
        <v>1.5663981667804474</v>
      </c>
      <c r="Z82" s="200" t="str">
        <f t="shared" si="49"/>
        <v/>
      </c>
      <c r="AE82" s="251">
        <f t="shared" si="50"/>
        <v>1571.0204304146444</v>
      </c>
    </row>
    <row r="83" spans="1:31" x14ac:dyDescent="0.2">
      <c r="A83" s="244">
        <v>7.4498999999999998E-3</v>
      </c>
      <c r="B83" s="244">
        <v>7.4071799999999993E-2</v>
      </c>
      <c r="C83" s="245">
        <v>1.53551E-2</v>
      </c>
      <c r="D83" s="246">
        <f>IF(CouplingMode="AC",B83-(A$11-A$10)*SUM(B$9:B83)/0.21,B83)</f>
        <v>7.4071799999999993E-2</v>
      </c>
      <c r="E83" s="247">
        <f t="shared" si="38"/>
        <v>1.4590578725933803</v>
      </c>
      <c r="F83" s="247">
        <f t="shared" si="39"/>
        <v>1.4590578725933803</v>
      </c>
      <c r="G83" s="248">
        <f t="shared" si="40"/>
        <v>2.4226553939440646E+17</v>
      </c>
      <c r="H83" s="249">
        <f t="shared" si="41"/>
        <v>2.210222099309051E-3</v>
      </c>
      <c r="I83" s="248">
        <f>IF(MobilityModel=DK,CalcDeltaN(H83,SampleDoping,Thickness,AreaFrac),CalcDeltaNDL(H83,AreaFrac,Thickness,SampleType,SampleDoping,Temperature))</f>
        <v>447499320366370.12</v>
      </c>
      <c r="J83" s="248" t="str">
        <f t="shared" si="42"/>
        <v/>
      </c>
      <c r="K83" s="248">
        <f t="shared" si="43"/>
        <v>447499320366370.12</v>
      </c>
      <c r="L83" s="250">
        <f t="shared" si="52"/>
        <v>-2.8626859628698621E+17</v>
      </c>
      <c r="M83" s="196" t="str">
        <f t="shared" si="44"/>
        <v/>
      </c>
      <c r="N83" s="196" t="str">
        <f t="shared" si="45"/>
        <v/>
      </c>
      <c r="O83" s="250">
        <f t="shared" si="46"/>
        <v>447499320366370.12</v>
      </c>
      <c r="P83" s="248">
        <f t="shared" si="53"/>
        <v>3.5384516403462389E-5</v>
      </c>
      <c r="Q83" s="250" t="str">
        <f t="shared" si="54"/>
        <v/>
      </c>
      <c r="R83" s="251" t="str">
        <f t="shared" si="57"/>
        <v/>
      </c>
      <c r="S83" s="252">
        <f>IF(AND(E83&gt;0.95*BiasLight,E83&lt;1.05*BiasLight),"",IF(AugerModel="Sinton",calclifetimeauger(Auger_Coefficient,I83,P83),calclifetimerichter(SampleType,I83,SampleDoping,P83)))</f>
        <v>28260.616195018705</v>
      </c>
      <c r="T83" s="201" t="str">
        <f t="shared" si="56"/>
        <v/>
      </c>
      <c r="U83" s="252">
        <f t="shared" si="47"/>
        <v>26450.280703448687</v>
      </c>
      <c r="V83" s="251" t="str">
        <f>IF(AugerModel="Sinton","",IF(SampleType="n-type",n_intr_boltzmann(SampleDoping,0,K83,Temperature+273.15),n_intr_boltzmann(0,SampleDoping,K83,Temperature+273.15)))</f>
        <v/>
      </c>
      <c r="W83" s="251" t="str">
        <f t="shared" si="51"/>
        <v/>
      </c>
      <c r="X83" s="246">
        <f>IF(AND(A83&gt;TimeofMaxCD,I83&gt;Traps),IF(AugerModel="Sinton",CalcImpliedV(SampleDoping,O83),CalcImpliedVRichter(O83,SampleDoping,V83)),"")</f>
        <v>0.61333635689338273</v>
      </c>
      <c r="Y83" s="253">
        <f t="shared" si="48"/>
        <v>1.4928496203698254</v>
      </c>
      <c r="Z83" s="200" t="str">
        <f t="shared" si="49"/>
        <v/>
      </c>
      <c r="AE83" s="251">
        <f t="shared" si="50"/>
        <v>1572.9863494756605</v>
      </c>
    </row>
    <row r="84" spans="1:31" x14ac:dyDescent="0.2">
      <c r="A84" s="244">
        <v>7.5499E-3</v>
      </c>
      <c r="B84" s="244">
        <v>6.9921399999999995E-2</v>
      </c>
      <c r="C84" s="245">
        <v>1.4622700000000001E-2</v>
      </c>
      <c r="D84" s="246">
        <f>IF(CouplingMode="AC",B84-(A$11-A$10)*SUM(B$9:B84)/0.21,B84)</f>
        <v>6.9921399999999995E-2</v>
      </c>
      <c r="E84" s="247">
        <f t="shared" si="38"/>
        <v>1.3894644485266279</v>
      </c>
      <c r="F84" s="247">
        <f t="shared" si="39"/>
        <v>1.3894644485266279</v>
      </c>
      <c r="G84" s="248">
        <f t="shared" si="40"/>
        <v>2.3071007697133773E+17</v>
      </c>
      <c r="H84" s="249">
        <f t="shared" si="41"/>
        <v>2.0862499494581207E-3</v>
      </c>
      <c r="I84" s="248">
        <f>IF(MobilityModel=DK,CalcDeltaN(H84,SampleDoping,Thickness,AreaFrac),CalcDeltaNDL(H84,AreaFrac,Thickness,SampleType,SampleDoping,Temperature))</f>
        <v>421958337673397.69</v>
      </c>
      <c r="J84" s="248" t="str">
        <f t="shared" si="42"/>
        <v/>
      </c>
      <c r="K84" s="248">
        <f t="shared" si="43"/>
        <v>421958337673397.69</v>
      </c>
      <c r="L84" s="250">
        <f t="shared" si="52"/>
        <v>-2.7076710360303008E+17</v>
      </c>
      <c r="M84" s="196" t="str">
        <f t="shared" si="44"/>
        <v/>
      </c>
      <c r="N84" s="196" t="str">
        <f t="shared" si="45"/>
        <v/>
      </c>
      <c r="O84" s="250">
        <f t="shared" si="46"/>
        <v>421958337673397.69</v>
      </c>
      <c r="P84" s="248">
        <f t="shared" si="53"/>
        <v>3.5041456703028055E-5</v>
      </c>
      <c r="Q84" s="250" t="str">
        <f t="shared" si="54"/>
        <v/>
      </c>
      <c r="R84" s="251" t="str">
        <f t="shared" si="57"/>
        <v/>
      </c>
      <c r="S84" s="252">
        <f>IF(AND(E84&gt;0.95*BiasLight,E84&lt;1.05*BiasLight),"",IF(AugerModel="Sinton",calclifetimeauger(Auger_Coefficient,I84,P84),calclifetimerichter(SampleType,I84,SampleDoping,P84)))</f>
        <v>28537.330841701834</v>
      </c>
      <c r="T84" s="201" t="str">
        <f t="shared" si="56"/>
        <v/>
      </c>
      <c r="U84" s="252">
        <f t="shared" si="47"/>
        <v>26598.834672003297</v>
      </c>
      <c r="V84" s="251" t="str">
        <f>IF(AugerModel="Sinton","",IF(SampleType="n-type",n_intr_boltzmann(SampleDoping,0,K84,Temperature+273.15),n_intr_boltzmann(0,SampleDoping,K84,Temperature+273.15)))</f>
        <v/>
      </c>
      <c r="W84" s="251" t="str">
        <f t="shared" si="51"/>
        <v/>
      </c>
      <c r="X84" s="246">
        <f>IF(AND(A84&gt;TimeofMaxCD,I84&gt;Traps),IF(AugerModel="Sinton",CalcImpliedV(SampleDoping,O84),CalcImpliedVRichter(O84,SampleDoping,V84)),"")</f>
        <v>0.61165621111019541</v>
      </c>
      <c r="Y84" s="253">
        <f t="shared" si="48"/>
        <v>1.4214263674719374</v>
      </c>
      <c r="Z84" s="200" t="str">
        <f t="shared" si="49"/>
        <v/>
      </c>
      <c r="AE84" s="251">
        <f t="shared" si="50"/>
        <v>1574.6287742248678</v>
      </c>
    </row>
    <row r="85" spans="1:31" x14ac:dyDescent="0.2">
      <c r="A85" s="244">
        <v>7.6499000000000003E-3</v>
      </c>
      <c r="B85" s="244">
        <v>6.5624500000000002E-2</v>
      </c>
      <c r="C85" s="245">
        <v>1.39381E-2</v>
      </c>
      <c r="D85" s="246">
        <f>IF(CouplingMode="AC",B85-(A$11-A$10)*SUM(B$9:B85)/0.21,B85)</f>
        <v>6.5624500000000002E-2</v>
      </c>
      <c r="E85" s="247">
        <f t="shared" si="38"/>
        <v>1.3244130311097806</v>
      </c>
      <c r="F85" s="247">
        <f t="shared" si="39"/>
        <v>1.3244130311097806</v>
      </c>
      <c r="G85" s="248">
        <f t="shared" si="40"/>
        <v>2.1990878044644291E+17</v>
      </c>
      <c r="H85" s="249">
        <f t="shared" si="41"/>
        <v>1.9579179548239968E-3</v>
      </c>
      <c r="I85" s="248">
        <f>IF(MobilityModel=DK,CalcDeltaN(H85,SampleDoping,Thickness,AreaFrac),CalcDeltaNDL(H85,AreaFrac,Thickness,SampleType,SampleDoping,Temperature))</f>
        <v>395562562247333.37</v>
      </c>
      <c r="J85" s="248" t="str">
        <f t="shared" si="42"/>
        <v/>
      </c>
      <c r="K85" s="248">
        <f t="shared" si="43"/>
        <v>395562562247333.37</v>
      </c>
      <c r="L85" s="250">
        <f t="shared" si="52"/>
        <v>-2.537813195362223E+17</v>
      </c>
      <c r="M85" s="196" t="str">
        <f t="shared" si="44"/>
        <v/>
      </c>
      <c r="N85" s="196" t="str">
        <f t="shared" si="45"/>
        <v/>
      </c>
      <c r="O85" s="250">
        <f t="shared" si="46"/>
        <v>395562562247333.37</v>
      </c>
      <c r="P85" s="248">
        <f t="shared" si="53"/>
        <v>3.4475837941602333E-5</v>
      </c>
      <c r="Q85" s="250" t="str">
        <f t="shared" si="54"/>
        <v/>
      </c>
      <c r="R85" s="251" t="str">
        <f t="shared" si="57"/>
        <v/>
      </c>
      <c r="S85" s="252">
        <f>IF(AND(E85&gt;0.95*BiasLight,E85&lt;1.05*BiasLight),"",IF(AugerModel="Sinton",calclifetimeauger(Auger_Coefficient,I85,P85),calclifetimerichter(SampleType,I85,SampleDoping,P85)))</f>
        <v>29005.56171970809</v>
      </c>
      <c r="T85" s="201" t="str">
        <f t="shared" si="56"/>
        <v/>
      </c>
      <c r="U85" s="252">
        <f t="shared" si="47"/>
        <v>26752.36036988872</v>
      </c>
      <c r="V85" s="251" t="str">
        <f>IF(AugerModel="Sinton","",IF(SampleType="n-type",n_intr_boltzmann(SampleDoping,0,K85,Temperature+273.15),n_intr_boltzmann(0,SampleDoping,K85,Temperature+273.15)))</f>
        <v/>
      </c>
      <c r="W85" s="251" t="str">
        <f t="shared" si="51"/>
        <v/>
      </c>
      <c r="X85" s="246">
        <f>IF(AND(A85&gt;TimeofMaxCD,I85&gt;Traps),IF(AugerModel="Sinton",CalcImpliedV(SampleDoping,O85),CalcImpliedVRichter(O85,SampleDoping,V85)),"")</f>
        <v>0.60981941562625908</v>
      </c>
      <c r="Y85" s="253">
        <f t="shared" si="48"/>
        <v>1.354369912344298</v>
      </c>
      <c r="Z85" s="200" t="str">
        <f t="shared" si="49"/>
        <v/>
      </c>
      <c r="AE85" s="251">
        <f t="shared" si="50"/>
        <v>1576.3793044381928</v>
      </c>
    </row>
    <row r="86" spans="1:31" x14ac:dyDescent="0.2">
      <c r="A86" s="244">
        <v>7.7498999999999997E-3</v>
      </c>
      <c r="B86" s="244">
        <v>6.1395999999999999E-2</v>
      </c>
      <c r="C86" s="245">
        <v>1.32633E-2</v>
      </c>
      <c r="D86" s="246">
        <f>IF(CouplingMode="AC",B86-(A$11-A$10)*SUM(B$9:B86)/0.21,B86)</f>
        <v>6.1395999999999999E-2</v>
      </c>
      <c r="E86" s="247">
        <f t="shared" si="38"/>
        <v>1.2602928200772239</v>
      </c>
      <c r="F86" s="247">
        <f t="shared" si="39"/>
        <v>1.2602928200772239</v>
      </c>
      <c r="G86" s="248">
        <f t="shared" si="40"/>
        <v>2.092621037082032E+17</v>
      </c>
      <c r="H86" s="249">
        <f t="shared" si="41"/>
        <v>1.8316447968858398E-3</v>
      </c>
      <c r="I86" s="248">
        <f>IF(MobilityModel=DK,CalcDeltaN(H86,SampleDoping,Thickness,AreaFrac),CalcDeltaNDL(H86,AreaFrac,Thickness,SampleType,SampleDoping,Temperature))</f>
        <v>369634442045838.12</v>
      </c>
      <c r="J86" s="248" t="str">
        <f t="shared" si="42"/>
        <v/>
      </c>
      <c r="K86" s="248">
        <f t="shared" si="43"/>
        <v>369634442045838.12</v>
      </c>
      <c r="L86" s="250">
        <f t="shared" si="52"/>
        <v>-2.4463969396913069E+17</v>
      </c>
      <c r="M86" s="196" t="str">
        <f t="shared" si="44"/>
        <v/>
      </c>
      <c r="N86" s="196" t="str">
        <f t="shared" si="45"/>
        <v/>
      </c>
      <c r="O86" s="250">
        <f t="shared" si="46"/>
        <v>369634442045838.12</v>
      </c>
      <c r="P86" s="248">
        <f t="shared" si="53"/>
        <v>3.3845347979318705E-5</v>
      </c>
      <c r="Q86" s="250" t="str">
        <f t="shared" si="54"/>
        <v/>
      </c>
      <c r="R86" s="251" t="str">
        <f t="shared" si="57"/>
        <v/>
      </c>
      <c r="S86" s="252">
        <f>IF(AND(E86&gt;0.95*BiasLight,E86&lt;1.05*BiasLight),"",IF(AugerModel="Sinton",calclifetimeauger(Auger_Coefficient,I86,P86),calclifetimerichter(SampleType,I86,SampleDoping,P86)))</f>
        <v>29545.931225500506</v>
      </c>
      <c r="T86" s="201" t="str">
        <f t="shared" si="56"/>
        <v/>
      </c>
      <c r="U86" s="252">
        <f t="shared" si="47"/>
        <v>26903.16604559018</v>
      </c>
      <c r="V86" s="251" t="str">
        <f>IF(AugerModel="Sinton","",IF(SampleType="n-type",n_intr_boltzmann(SampleDoping,0,K86,Temperature+273.15),n_intr_boltzmann(0,SampleDoping,K86,Temperature+273.15)))</f>
        <v/>
      </c>
      <c r="W86" s="251" t="str">
        <f t="shared" si="51"/>
        <v/>
      </c>
      <c r="X86" s="246">
        <f>IF(AND(A86&gt;TimeofMaxCD,I86&gt;Traps),IF(AugerModel="Sinton",CalcImpliedV(SampleDoping,O86),CalcImpliedVRichter(O86,SampleDoping,V86)),"")</f>
        <v>0.6079024356599344</v>
      </c>
      <c r="Y86" s="253">
        <f t="shared" si="48"/>
        <v>1.2891706045842748</v>
      </c>
      <c r="Z86" s="200" t="str">
        <f t="shared" si="49"/>
        <v/>
      </c>
      <c r="AE86" s="251">
        <f t="shared" si="50"/>
        <v>1578.1571311463447</v>
      </c>
    </row>
    <row r="87" spans="1:31" x14ac:dyDescent="0.2">
      <c r="A87" s="244">
        <v>7.8498999999999999E-3</v>
      </c>
      <c r="B87" s="244">
        <v>5.7660700000000002E-2</v>
      </c>
      <c r="C87" s="245">
        <v>1.26383E-2</v>
      </c>
      <c r="D87" s="246">
        <f>IF(CouplingMode="AC",B87-(A$11-A$10)*SUM(B$9:B87)/0.21,B87)</f>
        <v>5.7660700000000002E-2</v>
      </c>
      <c r="E87" s="247">
        <f t="shared" si="38"/>
        <v>1.2009046578138154</v>
      </c>
      <c r="F87" s="247">
        <f t="shared" si="39"/>
        <v>1.2009046578138154</v>
      </c>
      <c r="G87" s="248">
        <f t="shared" si="40"/>
        <v>1.994011479266385E+17</v>
      </c>
      <c r="H87" s="249">
        <f t="shared" si="41"/>
        <v>1.7201129689923796E-3</v>
      </c>
      <c r="I87" s="248">
        <f>IF(MobilityModel=DK,CalcDeltaN(H87,SampleDoping,Thickness,AreaFrac),CalcDeltaNDL(H87,AreaFrac,Thickness,SampleType,SampleDoping,Temperature))</f>
        <v>346770608412038.75</v>
      </c>
      <c r="J87" s="248" t="str">
        <f t="shared" si="42"/>
        <v/>
      </c>
      <c r="K87" s="248">
        <f t="shared" si="43"/>
        <v>346770608412038.75</v>
      </c>
      <c r="L87" s="250">
        <f t="shared" si="52"/>
        <v>-2.3315767057365859E+17</v>
      </c>
      <c r="M87" s="196" t="str">
        <f t="shared" si="44"/>
        <v/>
      </c>
      <c r="N87" s="196" t="str">
        <f t="shared" si="45"/>
        <v/>
      </c>
      <c r="O87" s="250">
        <f t="shared" si="46"/>
        <v>346770608412038.75</v>
      </c>
      <c r="P87" s="248">
        <f t="shared" si="53"/>
        <v>3.33219067889578E-5</v>
      </c>
      <c r="Q87" s="250" t="str">
        <f t="shared" si="54"/>
        <v/>
      </c>
      <c r="R87" s="251" t="str">
        <f t="shared" si="57"/>
        <v/>
      </c>
      <c r="S87" s="252">
        <f>IF(AND(E87&gt;0.95*BiasLight,E87&lt;1.05*BiasLight),"",IF(AugerModel="Sinton",calclifetimeauger(Auger_Coefficient,I87,P87),calclifetimerichter(SampleType,I87,SampleDoping,P87)))</f>
        <v>30010.087801667523</v>
      </c>
      <c r="T87" s="201" t="str">
        <f t="shared" si="56"/>
        <v/>
      </c>
      <c r="U87" s="252">
        <f t="shared" si="47"/>
        <v>27036.148917216644</v>
      </c>
      <c r="V87" s="251" t="str">
        <f>IF(AugerModel="Sinton","",IF(SampleType="n-type",n_intr_boltzmann(SampleDoping,0,K87,Temperature+273.15),n_intr_boltzmann(0,SampleDoping,K87,Temperature+273.15)))</f>
        <v/>
      </c>
      <c r="W87" s="251" t="str">
        <f t="shared" si="51"/>
        <v/>
      </c>
      <c r="X87" s="246">
        <f>IF(AND(A87&gt;TimeofMaxCD,I87&gt;Traps),IF(AugerModel="Sinton",CalcImpliedV(SampleDoping,O87),CalcImpliedVRichter(O87,SampleDoping,V87)),"")</f>
        <v>0.60610648499772024</v>
      </c>
      <c r="Y87" s="253">
        <f t="shared" si="48"/>
        <v>1.228427080106584</v>
      </c>
      <c r="Z87" s="200" t="str">
        <f t="shared" si="49"/>
        <v/>
      </c>
      <c r="AE87" s="251">
        <f t="shared" si="50"/>
        <v>1579.7781644335832</v>
      </c>
    </row>
    <row r="88" spans="1:31" x14ac:dyDescent="0.2">
      <c r="A88" s="244">
        <v>7.9498999999999993E-3</v>
      </c>
      <c r="B88" s="244">
        <v>5.3940000000000002E-2</v>
      </c>
      <c r="C88" s="245">
        <v>1.20211E-2</v>
      </c>
      <c r="D88" s="246">
        <f>IF(CouplingMode="AC",B88-(A$11-A$10)*SUM(B$9:B88)/0.21,B88)</f>
        <v>5.3940000000000002E-2</v>
      </c>
      <c r="E88" s="247">
        <f t="shared" si="38"/>
        <v>1.1422576598154544</v>
      </c>
      <c r="F88" s="247">
        <f t="shared" si="39"/>
        <v>1.1422576598154544</v>
      </c>
      <c r="G88" s="248">
        <f t="shared" si="40"/>
        <v>1.8966325687322771E+17</v>
      </c>
      <c r="H88" s="249">
        <f t="shared" si="41"/>
        <v>1.6090293853767606E-3</v>
      </c>
      <c r="I88" s="248">
        <f>IF(MobilityModel=DK,CalcDeltaN(H88,SampleDoping,Thickness,AreaFrac),CalcDeltaNDL(H88,AreaFrac,Thickness,SampleType,SampleDoping,Temperature))</f>
        <v>324034467606479.87</v>
      </c>
      <c r="J88" s="248" t="str">
        <f t="shared" si="42"/>
        <v/>
      </c>
      <c r="K88" s="248">
        <f t="shared" si="43"/>
        <v>324034467606479.87</v>
      </c>
      <c r="L88" s="250">
        <f t="shared" si="52"/>
        <v>-2.1566294228214688E+17</v>
      </c>
      <c r="M88" s="196" t="str">
        <f t="shared" si="44"/>
        <v/>
      </c>
      <c r="N88" s="196" t="str">
        <f t="shared" si="45"/>
        <v/>
      </c>
      <c r="O88" s="250">
        <f t="shared" si="46"/>
        <v>324034467606479.87</v>
      </c>
      <c r="P88" s="248">
        <f t="shared" si="53"/>
        <v>3.2756033618681789E-5</v>
      </c>
      <c r="Q88" s="250" t="str">
        <f t="shared" si="54"/>
        <v/>
      </c>
      <c r="R88" s="251" t="str">
        <f t="shared" si="57"/>
        <v/>
      </c>
      <c r="S88" s="252">
        <f>IF(AND(E88&gt;0.95*BiasLight,E88&lt;1.05*BiasLight),"",IF(AugerModel="Sinton",calclifetimeauger(Auger_Coefficient,I88,P88),calclifetimerichter(SampleType,I88,SampleDoping,P88)))</f>
        <v>30528.552460133076</v>
      </c>
      <c r="T88" s="201" t="str">
        <f t="shared" si="56"/>
        <v/>
      </c>
      <c r="U88" s="252">
        <f t="shared" si="47"/>
        <v>27168.389089291599</v>
      </c>
      <c r="V88" s="251" t="str">
        <f>IF(AugerModel="Sinton","",IF(SampleType="n-type",n_intr_boltzmann(SampleDoping,0,K88,Temperature+273.15),n_intr_boltzmann(0,SampleDoping,K88,Temperature+273.15)))</f>
        <v/>
      </c>
      <c r="W88" s="251" t="str">
        <f t="shared" si="51"/>
        <v/>
      </c>
      <c r="X88" s="246">
        <f>IF(AND(A88&gt;TimeofMaxCD,I88&gt;Traps),IF(AugerModel="Sinton",CalcImpliedV(SampleDoping,O88),CalcImpliedVRichter(O88,SampleDoping,V88)),"")</f>
        <v>0.60420866466095469</v>
      </c>
      <c r="Y88" s="253">
        <f t="shared" si="48"/>
        <v>1.1677149675496858</v>
      </c>
      <c r="Z88" s="200" t="str">
        <f t="shared" si="49"/>
        <v/>
      </c>
      <c r="AE88" s="251">
        <f t="shared" si="50"/>
        <v>1581.4453327094911</v>
      </c>
    </row>
    <row r="89" spans="1:31" x14ac:dyDescent="0.2">
      <c r="A89" s="244">
        <v>8.0499000000000005E-3</v>
      </c>
      <c r="B89" s="244">
        <v>5.0292499999999997E-2</v>
      </c>
      <c r="C89" s="245">
        <v>1.1439100000000001E-2</v>
      </c>
      <c r="D89" s="246">
        <f>IF(CouplingMode="AC",B89-(A$11-A$10)*SUM(B$9:B89)/0.21,B89)</f>
        <v>5.0292499999999997E-2</v>
      </c>
      <c r="E89" s="247">
        <f t="shared" si="38"/>
        <v>1.0869554031157684</v>
      </c>
      <c r="F89" s="247">
        <f t="shared" si="39"/>
        <v>1.0869554031157684</v>
      </c>
      <c r="G89" s="248">
        <f t="shared" si="40"/>
        <v>1.8048073484943469E+17</v>
      </c>
      <c r="H89" s="249">
        <f t="shared" si="41"/>
        <v>1.5001431494658874E-3</v>
      </c>
      <c r="I89" s="248">
        <f>IF(MobilityModel=DK,CalcDeltaN(H89,SampleDoping,Thickness,AreaFrac),CalcDeltaNDL(H89,AreaFrac,Thickness,SampleType,SampleDoping,Temperature))</f>
        <v>301783714180183.19</v>
      </c>
      <c r="J89" s="248" t="str">
        <f t="shared" si="42"/>
        <v/>
      </c>
      <c r="K89" s="248">
        <f t="shared" si="43"/>
        <v>301783714180183.19</v>
      </c>
      <c r="L89" s="250">
        <f t="shared" si="52"/>
        <v>-2.0400334536767414E+17</v>
      </c>
      <c r="M89" s="196" t="str">
        <f t="shared" si="44"/>
        <v/>
      </c>
      <c r="N89" s="196" t="str">
        <f t="shared" si="45"/>
        <v/>
      </c>
      <c r="O89" s="250">
        <f t="shared" si="46"/>
        <v>301783714180183.19</v>
      </c>
      <c r="P89" s="248">
        <f t="shared" si="53"/>
        <v>3.2063022739196025E-5</v>
      </c>
      <c r="Q89" s="250" t="str">
        <f t="shared" si="54"/>
        <v/>
      </c>
      <c r="R89" s="251" t="str">
        <f t="shared" si="57"/>
        <v/>
      </c>
      <c r="S89" s="252">
        <f>IF(AND(E89&gt;0.95*BiasLight,E89&lt;1.05*BiasLight),"",IF(AugerModel="Sinton",calclifetimeauger(Auger_Coefficient,I89,P89),calclifetimerichter(SampleType,I89,SampleDoping,P89)))</f>
        <v>31188.424147861013</v>
      </c>
      <c r="T89" s="201" t="str">
        <f t="shared" si="56"/>
        <v/>
      </c>
      <c r="U89" s="252">
        <f t="shared" si="47"/>
        <v>27297.806103685329</v>
      </c>
      <c r="V89" s="251" t="str">
        <f>IF(AugerModel="Sinton","",IF(SampleType="n-type",n_intr_boltzmann(SampleDoping,0,K89,Temperature+273.15),n_intr_boltzmann(0,SampleDoping,K89,Temperature+273.15)))</f>
        <v/>
      </c>
      <c r="W89" s="251" t="str">
        <f t="shared" si="51"/>
        <v/>
      </c>
      <c r="X89" s="246">
        <f>IF(AND(A89&gt;TimeofMaxCD,I89&gt;Traps),IF(AugerModel="Sinton",CalcImpliedV(SampleDoping,O89),CalcImpliedVRichter(O89,SampleDoping,V89)),"")</f>
        <v>0.60222781157405736</v>
      </c>
      <c r="Y89" s="253">
        <f t="shared" si="48"/>
        <v>1.1110363874836955</v>
      </c>
      <c r="Z89" s="200" t="str">
        <f t="shared" si="49"/>
        <v/>
      </c>
      <c r="AE89" s="251">
        <f t="shared" si="50"/>
        <v>1583.1363498853925</v>
      </c>
    </row>
    <row r="90" spans="1:31" x14ac:dyDescent="0.2">
      <c r="A90" s="244">
        <v>8.1498999999999999E-3</v>
      </c>
      <c r="B90" s="244">
        <v>4.7421400000000002E-2</v>
      </c>
      <c r="C90" s="245">
        <v>1.09049E-2</v>
      </c>
      <c r="D90" s="246">
        <f>IF(CouplingMode="AC",B90-(A$11-A$10)*SUM(B$9:B90)/0.21,B90)</f>
        <v>4.7421400000000002E-2</v>
      </c>
      <c r="E90" s="247">
        <f t="shared" si="38"/>
        <v>1.0361951530659881</v>
      </c>
      <c r="F90" s="247">
        <f t="shared" si="39"/>
        <v>1.0361951530659881</v>
      </c>
      <c r="G90" s="248">
        <f t="shared" si="40"/>
        <v>1.7205237872381571E+17</v>
      </c>
      <c r="H90" s="249">
        <f t="shared" si="41"/>
        <v>1.4144425345612799E-3</v>
      </c>
      <c r="I90" s="248">
        <f>IF(MobilityModel=DK,CalcDeltaN(H90,SampleDoping,Thickness,AreaFrac),CalcDeltaNDL(H90,AreaFrac,Thickness,SampleType,SampleDoping,Temperature))</f>
        <v>284296418020692.37</v>
      </c>
      <c r="J90" s="248" t="str">
        <f t="shared" si="42"/>
        <v/>
      </c>
      <c r="K90" s="248">
        <f t="shared" si="43"/>
        <v>284296418020692.37</v>
      </c>
      <c r="L90" s="250">
        <f t="shared" si="52"/>
        <v>-1.876664095877377E+17</v>
      </c>
      <c r="M90" s="196" t="str">
        <f t="shared" si="44"/>
        <v/>
      </c>
      <c r="N90" s="196" t="str">
        <f t="shared" si="45"/>
        <v/>
      </c>
      <c r="O90" s="250">
        <f t="shared" si="46"/>
        <v>284296418020692.37</v>
      </c>
      <c r="P90" s="248">
        <f t="shared" si="53"/>
        <v>3.1708811747640936E-5</v>
      </c>
      <c r="Q90" s="250" t="str">
        <f t="shared" si="54"/>
        <v/>
      </c>
      <c r="R90" s="251" t="str">
        <f t="shared" si="57"/>
        <v/>
      </c>
      <c r="S90" s="252">
        <f>IF(AND(E90&gt;0.95*BiasLight,E90&lt;1.05*BiasLight),"",IF(AugerModel="Sinton",calclifetimeauger(Auger_Coefficient,I90,P90),calclifetimerichter(SampleType,I90,SampleDoping,P90)))</f>
        <v>31536.840725283757</v>
      </c>
      <c r="T90" s="201" t="str">
        <f t="shared" si="56"/>
        <v/>
      </c>
      <c r="U90" s="252">
        <f t="shared" si="47"/>
        <v>27399.51743073215</v>
      </c>
      <c r="V90" s="251" t="str">
        <f>IF(AugerModel="Sinton","",IF(SampleType="n-type",n_intr_boltzmann(SampleDoping,0,K90,Temperature+273.15),n_intr_boltzmann(0,SampleDoping,K90,Temperature+273.15)))</f>
        <v/>
      </c>
      <c r="W90" s="251" t="str">
        <f t="shared" si="51"/>
        <v/>
      </c>
      <c r="X90" s="246">
        <f>IF(AND(A90&gt;TimeofMaxCD,I90&gt;Traps),IF(AugerModel="Sinton",CalcImpliedV(SampleDoping,O90),CalcImpliedVRichter(O90,SampleDoping,V90)),"")</f>
        <v>0.6005731800092533</v>
      </c>
      <c r="Y90" s="253">
        <f t="shared" si="48"/>
        <v>1.0583476911409024</v>
      </c>
      <c r="Z90" s="200" t="str">
        <f t="shared" si="49"/>
        <v/>
      </c>
      <c r="AE90" s="251">
        <f t="shared" si="50"/>
        <v>1584.5112858355367</v>
      </c>
    </row>
    <row r="91" spans="1:31" x14ac:dyDescent="0.2">
      <c r="A91" s="244">
        <v>8.2498999999999992E-3</v>
      </c>
      <c r="B91" s="244">
        <v>4.4188999999999999E-2</v>
      </c>
      <c r="C91" s="245">
        <v>1.0357999999999999E-2</v>
      </c>
      <c r="D91" s="246">
        <f>IF(CouplingMode="AC",B91-(A$11-A$10)*SUM(B$9:B91)/0.21,B91)</f>
        <v>4.4188999999999999E-2</v>
      </c>
      <c r="E91" s="247">
        <f t="shared" si="38"/>
        <v>0.984228135559015</v>
      </c>
      <c r="F91" s="247">
        <f t="shared" si="39"/>
        <v>0.984228135559015</v>
      </c>
      <c r="G91" s="248">
        <f t="shared" si="40"/>
        <v>1.6342364797671536E+17</v>
      </c>
      <c r="H91" s="249">
        <f t="shared" si="41"/>
        <v>1.3179660819283142E-3</v>
      </c>
      <c r="I91" s="248">
        <f>IF(MobilityModel=DK,CalcDeltaN(H91,SampleDoping,Thickness,AreaFrac),CalcDeltaNDL(H91,AreaFrac,Thickness,SampleType,SampleDoping,Temperature))</f>
        <v>264637960521095.53</v>
      </c>
      <c r="J91" s="248" t="str">
        <f t="shared" si="42"/>
        <v/>
      </c>
      <c r="K91" s="248">
        <f t="shared" si="43"/>
        <v>264637960521095.53</v>
      </c>
      <c r="L91" s="250">
        <f t="shared" si="52"/>
        <v>-1.7050365821641203E+17</v>
      </c>
      <c r="M91" s="196" t="str">
        <f t="shared" si="44"/>
        <v/>
      </c>
      <c r="N91" s="196" t="str">
        <f t="shared" si="45"/>
        <v/>
      </c>
      <c r="O91" s="250">
        <f t="shared" si="46"/>
        <v>264637960521095.53</v>
      </c>
      <c r="P91" s="248">
        <f t="shared" si="53"/>
        <v>3.1102976420042877E-5</v>
      </c>
      <c r="Q91" s="250" t="str">
        <f t="shared" si="54"/>
        <v/>
      </c>
      <c r="R91" s="251" t="str">
        <f t="shared" si="57"/>
        <v/>
      </c>
      <c r="S91" s="252">
        <f>IF(AND(E91&gt;0.95*BiasLight,E91&lt;1.05*BiasLight),"",IF(AugerModel="Sinton",calclifetimeauger(Auger_Coefficient,I91,P91),calclifetimerichter(SampleType,I91,SampleDoping,P91)))</f>
        <v>32151.147549756748</v>
      </c>
      <c r="T91" s="201" t="str">
        <f t="shared" si="56"/>
        <v/>
      </c>
      <c r="U91" s="252">
        <f t="shared" si="47"/>
        <v>27513.856879309074</v>
      </c>
      <c r="V91" s="251" t="str">
        <f>IF(AugerModel="Sinton","",IF(SampleType="n-type",n_intr_boltzmann(SampleDoping,0,K91,Temperature+273.15),n_intr_boltzmann(0,SampleDoping,K91,Temperature+273.15)))</f>
        <v/>
      </c>
      <c r="W91" s="251" t="str">
        <f t="shared" si="51"/>
        <v/>
      </c>
      <c r="X91" s="246">
        <f>IF(AND(A91&gt;TimeofMaxCD,I91&gt;Traps),IF(AugerModel="Sinton",CalcImpliedV(SampleDoping,O91),CalcImpliedVRichter(O91,SampleDoping,V91)),"")</f>
        <v>0.59859553386589992</v>
      </c>
      <c r="Y91" s="253">
        <f t="shared" si="48"/>
        <v>1.0043547463299503</v>
      </c>
      <c r="Z91" s="200" t="str">
        <f t="shared" si="49"/>
        <v/>
      </c>
      <c r="AE91" s="251">
        <f t="shared" si="50"/>
        <v>1586.1107541519141</v>
      </c>
    </row>
    <row r="92" spans="1:31" x14ac:dyDescent="0.2">
      <c r="A92" s="244">
        <v>8.3499000000000004E-3</v>
      </c>
      <c r="B92" s="244">
        <v>4.1576700000000001E-2</v>
      </c>
      <c r="C92" s="245">
        <v>9.8804700000000006E-3</v>
      </c>
      <c r="D92" s="246">
        <f>IF(CouplingMode="AC",B92-(A$11-A$10)*SUM(B$9:B92)/0.21,B92)</f>
        <v>4.1576700000000001E-2</v>
      </c>
      <c r="E92" s="247">
        <f t="shared" si="38"/>
        <v>0.93885272895798244</v>
      </c>
      <c r="F92" s="247">
        <f t="shared" si="39"/>
        <v>0.93885272895798244</v>
      </c>
      <c r="G92" s="248">
        <f t="shared" si="40"/>
        <v>1.5588940443372243E+17</v>
      </c>
      <c r="H92" s="249">
        <f t="shared" si="41"/>
        <v>1.2400043362416268E-3</v>
      </c>
      <c r="I92" s="248">
        <f>IF(MobilityModel=DK,CalcDeltaN(H92,SampleDoping,Thickness,AreaFrac),CalcDeltaNDL(H92,AreaFrac,Thickness,SampleType,SampleDoping,Temperature))</f>
        <v>248774139642154.78</v>
      </c>
      <c r="J92" s="248" t="str">
        <f t="shared" si="42"/>
        <v/>
      </c>
      <c r="K92" s="248">
        <f t="shared" si="43"/>
        <v>248774139642154.78</v>
      </c>
      <c r="L92" s="250">
        <f t="shared" si="52"/>
        <v>-1.6152403372260269E+17</v>
      </c>
      <c r="M92" s="196" t="str">
        <f t="shared" si="44"/>
        <v/>
      </c>
      <c r="N92" s="196" t="str">
        <f t="shared" si="45"/>
        <v/>
      </c>
      <c r="O92" s="250">
        <f t="shared" si="46"/>
        <v>248774139642154.78</v>
      </c>
      <c r="P92" s="248">
        <f t="shared" si="53"/>
        <v>3.0655840378894922E-5</v>
      </c>
      <c r="Q92" s="250" t="str">
        <f t="shared" si="54"/>
        <v/>
      </c>
      <c r="R92" s="251" t="str">
        <f t="shared" si="57"/>
        <v/>
      </c>
      <c r="S92" s="252">
        <f>IF(AND(E92&gt;0.95*BiasLight,E92&lt;1.05*BiasLight),"",IF(AugerModel="Sinton",calclifetimeauger(Auger_Coefficient,I92,P92),calclifetimerichter(SampleType,I92,SampleDoping,P92)))</f>
        <v>32620.108867077593</v>
      </c>
      <c r="T92" s="201" t="str">
        <f t="shared" si="56"/>
        <v/>
      </c>
      <c r="U92" s="252">
        <f t="shared" si="47"/>
        <v>27606.125590201493</v>
      </c>
      <c r="V92" s="251" t="str">
        <f>IF(AugerModel="Sinton","",IF(SampleType="n-type",n_intr_boltzmann(SampleDoping,0,K92,Temperature+273.15),n_intr_boltzmann(0,SampleDoping,K92,Temperature+273.15)))</f>
        <v/>
      </c>
      <c r="W92" s="251" t="str">
        <f t="shared" si="51"/>
        <v/>
      </c>
      <c r="X92" s="246">
        <f>IF(AND(A92&gt;TimeofMaxCD,I92&gt;Traps),IF(AugerModel="Sinton",CalcImpliedV(SampleDoping,O92),CalcImpliedVRichter(O92,SampleDoping,V92)),"")</f>
        <v>0.59689649057965677</v>
      </c>
      <c r="Y92" s="253">
        <f t="shared" si="48"/>
        <v>0.95791936594919558</v>
      </c>
      <c r="Z92" s="200" t="str">
        <f t="shared" si="49"/>
        <v/>
      </c>
      <c r="AE92" s="251">
        <f t="shared" si="50"/>
        <v>1587.4475606149358</v>
      </c>
    </row>
    <row r="93" spans="1:31" x14ac:dyDescent="0.2">
      <c r="A93" s="244">
        <v>8.4498999999999998E-3</v>
      </c>
      <c r="B93" s="244">
        <v>3.9189000000000002E-2</v>
      </c>
      <c r="C93" s="245">
        <v>9.4097699999999996E-3</v>
      </c>
      <c r="D93" s="246">
        <f>IF(CouplingMode="AC",B93-(A$11-A$10)*SUM(B$9:B93)/0.21,B93)</f>
        <v>3.9189000000000002E-2</v>
      </c>
      <c r="E93" s="247">
        <f t="shared" si="38"/>
        <v>0.89412631619416427</v>
      </c>
      <c r="F93" s="247">
        <f t="shared" si="39"/>
        <v>0.89412631619416427</v>
      </c>
      <c r="G93" s="248">
        <f t="shared" si="40"/>
        <v>1.4846292141551043E+17</v>
      </c>
      <c r="H93" s="249">
        <f t="shared" si="41"/>
        <v>1.1687508710390626E-3</v>
      </c>
      <c r="I93" s="248">
        <f>IF(MobilityModel=DK,CalcDeltaN(H93,SampleDoping,Thickness,AreaFrac),CalcDeltaNDL(H93,AreaFrac,Thickness,SampleType,SampleDoping,Temperature))</f>
        <v>234293024261246.03</v>
      </c>
      <c r="J93" s="248" t="str">
        <f t="shared" si="42"/>
        <v/>
      </c>
      <c r="K93" s="248">
        <f t="shared" si="43"/>
        <v>234293024261246.03</v>
      </c>
      <c r="L93" s="250">
        <f t="shared" si="52"/>
        <v>-1.5010571099114768E+17</v>
      </c>
      <c r="M93" s="196" t="str">
        <f t="shared" si="44"/>
        <v/>
      </c>
      <c r="N93" s="196" t="str">
        <f t="shared" si="45"/>
        <v/>
      </c>
      <c r="O93" s="250">
        <f t="shared" si="46"/>
        <v>234293024261246.03</v>
      </c>
      <c r="P93" s="248">
        <f t="shared" si="53"/>
        <v>3.0330197002660512E-5</v>
      </c>
      <c r="Q93" s="250" t="str">
        <f t="shared" si="54"/>
        <v/>
      </c>
      <c r="R93" s="251" t="str">
        <f t="shared" si="57"/>
        <v/>
      </c>
      <c r="S93" s="252">
        <f>IF(AND(E93&gt;0.95*BiasLight,E93&lt;1.05*BiasLight),"",IF(AugerModel="Sinton",calclifetimeauger(Auger_Coefficient,I93,P93),calclifetimerichter(SampleType,I93,SampleDoping,P93)))</f>
        <v>32970.350840167877</v>
      </c>
      <c r="T93" s="201" t="str">
        <f t="shared" si="56"/>
        <v/>
      </c>
      <c r="U93" s="252">
        <f t="shared" si="47"/>
        <v>27690.352073762875</v>
      </c>
      <c r="V93" s="251" t="str">
        <f>IF(AugerModel="Sinton","",IF(SampleType="n-type",n_intr_boltzmann(SampleDoping,0,K93,Temperature+273.15),n_intr_boltzmann(0,SampleDoping,K93,Temperature+273.15)))</f>
        <v/>
      </c>
      <c r="W93" s="251" t="str">
        <f t="shared" si="51"/>
        <v/>
      </c>
      <c r="X93" s="246">
        <f>IF(AND(A93&gt;TimeofMaxCD,I93&gt;Traps),IF(AugerModel="Sinton",CalcImpliedV(SampleDoping,O93),CalcImpliedVRichter(O93,SampleDoping,V93)),"")</f>
        <v>0.59525408216413556</v>
      </c>
      <c r="Y93" s="253">
        <f t="shared" si="48"/>
        <v>0.91184511033158255</v>
      </c>
      <c r="Z93" s="200" t="str">
        <f t="shared" si="49"/>
        <v/>
      </c>
      <c r="AE93" s="251">
        <f t="shared" si="50"/>
        <v>1588.7077208672042</v>
      </c>
    </row>
    <row r="94" spans="1:31" x14ac:dyDescent="0.2">
      <c r="A94" s="244">
        <v>8.5498999999999992E-3</v>
      </c>
      <c r="B94" s="244">
        <v>3.6615700000000001E-2</v>
      </c>
      <c r="C94" s="245">
        <v>8.9244200000000006E-3</v>
      </c>
      <c r="D94" s="246">
        <f>IF(CouplingMode="AC",B94-(A$11-A$10)*SUM(B$9:B94)/0.21,B94)</f>
        <v>3.6615700000000001E-2</v>
      </c>
      <c r="E94" s="247">
        <f t="shared" si="38"/>
        <v>0.84800784490689185</v>
      </c>
      <c r="F94" s="247">
        <f t="shared" si="39"/>
        <v>0.84800784490689185</v>
      </c>
      <c r="G94" s="248">
        <f t="shared" si="40"/>
        <v>1.4080529759377853E+17</v>
      </c>
      <c r="H94" s="249">
        <f t="shared" si="41"/>
        <v>1.0919644147072338E-3</v>
      </c>
      <c r="I94" s="248">
        <f>IF(MobilityModel=DK,CalcDeltaN(H94,SampleDoping,Thickness,AreaFrac),CalcDeltaNDL(H94,AreaFrac,Thickness,SampleType,SampleDoping,Temperature))</f>
        <v>218706869289315.84</v>
      </c>
      <c r="J94" s="248" t="str">
        <f t="shared" si="42"/>
        <v/>
      </c>
      <c r="K94" s="248">
        <f t="shared" si="43"/>
        <v>218706869289315.84</v>
      </c>
      <c r="L94" s="250">
        <f t="shared" si="52"/>
        <v>-1.4164333614528106E+17</v>
      </c>
      <c r="M94" s="196" t="str">
        <f t="shared" si="44"/>
        <v/>
      </c>
      <c r="N94" s="196" t="str">
        <f t="shared" si="45"/>
        <v/>
      </c>
      <c r="O94" s="250">
        <f t="shared" si="46"/>
        <v>218706869289315.84</v>
      </c>
      <c r="P94" s="248">
        <f t="shared" si="53"/>
        <v>2.985520021461563E-5</v>
      </c>
      <c r="Q94" s="250" t="str">
        <f t="shared" si="54"/>
        <v/>
      </c>
      <c r="R94" s="251" t="str">
        <f t="shared" si="57"/>
        <v/>
      </c>
      <c r="S94" s="252">
        <f>IF(AND(E94&gt;0.95*BiasLight,E94&lt;1.05*BiasLight),"",IF(AugerModel="Sinton",calclifetimeauger(Auger_Coefficient,I94,P94),calclifetimerichter(SampleType,I94,SampleDoping,P94)))</f>
        <v>33494.922902566504</v>
      </c>
      <c r="T94" s="201" t="str">
        <f t="shared" si="56"/>
        <v/>
      </c>
      <c r="U94" s="252">
        <f t="shared" si="47"/>
        <v>27781.005796973939</v>
      </c>
      <c r="V94" s="251" t="str">
        <f>IF(AugerModel="Sinton","",IF(SampleType="n-type",n_intr_boltzmann(SampleDoping,0,K94,Temperature+273.15),n_intr_boltzmann(0,SampleDoping,K94,Temperature+273.15)))</f>
        <v/>
      </c>
      <c r="W94" s="251" t="str">
        <f t="shared" si="51"/>
        <v/>
      </c>
      <c r="X94" s="246">
        <f>IF(AND(A94&gt;TimeofMaxCD,I94&gt;Traps),IF(AugerModel="Sinton",CalcImpliedV(SampleDoping,O94),CalcImpliedVRichter(O94,SampleDoping,V94)),"")</f>
        <v>0.59337565754245714</v>
      </c>
      <c r="Y94" s="253">
        <f t="shared" si="48"/>
        <v>0.86472772250197794</v>
      </c>
      <c r="Z94" s="200" t="str">
        <f t="shared" si="49"/>
        <v/>
      </c>
      <c r="AE94" s="251">
        <f t="shared" si="50"/>
        <v>1590.1111346353462</v>
      </c>
    </row>
    <row r="95" spans="1:31" x14ac:dyDescent="0.2">
      <c r="A95" s="244">
        <v>8.6499000000000003E-3</v>
      </c>
      <c r="B95" s="244">
        <v>3.42866E-2</v>
      </c>
      <c r="C95" s="245">
        <v>8.5152400000000003E-3</v>
      </c>
      <c r="D95" s="246">
        <f>IF(CouplingMode="AC",B95-(A$11-A$10)*SUM(B$9:B95)/0.21,B95)</f>
        <v>3.42866E-2</v>
      </c>
      <c r="E95" s="247">
        <f t="shared" si="38"/>
        <v>0.8091271277309855</v>
      </c>
      <c r="F95" s="247">
        <f t="shared" si="39"/>
        <v>0.8091271277309855</v>
      </c>
      <c r="G95" s="248">
        <f t="shared" si="40"/>
        <v>1.3434944817505752E+17</v>
      </c>
      <c r="H95" s="249">
        <f t="shared" si="41"/>
        <v>1.0224698735255876E-3</v>
      </c>
      <c r="I95" s="248">
        <f>IF(MobilityModel=DK,CalcDeltaN(H95,SampleDoping,Thickness,AreaFrac),CalcDeltaNDL(H95,AreaFrac,Thickness,SampleType,SampleDoping,Temperature))</f>
        <v>204618740201941.09</v>
      </c>
      <c r="J95" s="248" t="str">
        <f t="shared" si="42"/>
        <v/>
      </c>
      <c r="K95" s="248">
        <f t="shared" si="43"/>
        <v>204618740201941.09</v>
      </c>
      <c r="L95" s="250">
        <f t="shared" si="52"/>
        <v>-1.3273156316170371E+17</v>
      </c>
      <c r="M95" s="196" t="str">
        <f t="shared" si="44"/>
        <v/>
      </c>
      <c r="N95" s="196" t="str">
        <f t="shared" si="45"/>
        <v/>
      </c>
      <c r="O95" s="250">
        <f t="shared" si="46"/>
        <v>204618740201941.09</v>
      </c>
      <c r="P95" s="248">
        <f t="shared" si="53"/>
        <v>2.9284398756713158E-5</v>
      </c>
      <c r="Q95" s="250" t="str">
        <f t="shared" si="54"/>
        <v/>
      </c>
      <c r="R95" s="251" t="str">
        <f t="shared" si="57"/>
        <v/>
      </c>
      <c r="S95" s="252">
        <f>IF(AND(E95&gt;0.95*BiasLight,E95&lt;1.05*BiasLight),"",IF(AugerModel="Sinton",calclifetimeauger(Auger_Coefficient,I95,P95),calclifetimerichter(SampleType,I95,SampleDoping,P95)))</f>
        <v>34147.805900880405</v>
      </c>
      <c r="T95" s="201" t="str">
        <f t="shared" si="56"/>
        <v/>
      </c>
      <c r="U95" s="252">
        <f t="shared" si="47"/>
        <v>27862.946555111448</v>
      </c>
      <c r="V95" s="251" t="str">
        <f>IF(AugerModel="Sinton","",IF(SampleType="n-type",n_intr_boltzmann(SampleDoping,0,K95,Temperature+273.15),n_intr_boltzmann(0,SampleDoping,K95,Temperature+273.15)))</f>
        <v/>
      </c>
      <c r="W95" s="251" t="str">
        <f t="shared" si="51"/>
        <v/>
      </c>
      <c r="X95" s="246">
        <f>IF(AND(A95&gt;TimeofMaxCD,I95&gt;Traps),IF(AugerModel="Sinton",CalcImpliedV(SampleDoping,O95),CalcImpliedVRichter(O95,SampleDoping,V95)),"")</f>
        <v>0.59156535665178611</v>
      </c>
      <c r="Y95" s="253">
        <f t="shared" si="48"/>
        <v>0.82479504088146283</v>
      </c>
      <c r="Z95" s="200" t="str">
        <f t="shared" si="49"/>
        <v/>
      </c>
      <c r="AE95" s="251">
        <f t="shared" si="50"/>
        <v>1591.4263003707717</v>
      </c>
    </row>
    <row r="96" spans="1:31" x14ac:dyDescent="0.2">
      <c r="A96" s="244">
        <v>8.7498999999999997E-3</v>
      </c>
      <c r="B96" s="244">
        <v>3.2328599999999999E-2</v>
      </c>
      <c r="C96" s="245">
        <v>8.0923799999999997E-3</v>
      </c>
      <c r="D96" s="246">
        <f>IF(CouplingMode="AC",B96-(A$11-A$10)*SUM(B$9:B96)/0.21,B96)</f>
        <v>3.2328599999999999E-2</v>
      </c>
      <c r="E96" s="247">
        <f t="shared" si="38"/>
        <v>0.7689465224594576</v>
      </c>
      <c r="F96" s="247">
        <f t="shared" si="39"/>
        <v>0.7689465224594576</v>
      </c>
      <c r="G96" s="248">
        <f t="shared" si="40"/>
        <v>1.2767776215618958E+17</v>
      </c>
      <c r="H96" s="249">
        <f t="shared" si="41"/>
        <v>9.6405175500706691E-4</v>
      </c>
      <c r="I96" s="248">
        <f>IF(MobilityModel=DK,CalcDeltaN(H96,SampleDoping,Thickness,AreaFrac),CalcDeltaNDL(H96,AreaFrac,Thickness,SampleType,SampleDoping,Temperature))</f>
        <v>192789613599166.78</v>
      </c>
      <c r="J96" s="248" t="str">
        <f t="shared" si="42"/>
        <v/>
      </c>
      <c r="K96" s="248">
        <f t="shared" si="43"/>
        <v>192789613599166.78</v>
      </c>
      <c r="L96" s="250">
        <f t="shared" si="52"/>
        <v>-1.2315550813774525E+17</v>
      </c>
      <c r="M96" s="196" t="str">
        <f t="shared" si="44"/>
        <v/>
      </c>
      <c r="N96" s="196" t="str">
        <f t="shared" si="45"/>
        <v/>
      </c>
      <c r="O96" s="250">
        <f t="shared" si="46"/>
        <v>192789613599166.78</v>
      </c>
      <c r="P96" s="248">
        <f t="shared" si="53"/>
        <v>2.9046273031622281E-5</v>
      </c>
      <c r="Q96" s="250" t="str">
        <f t="shared" si="54"/>
        <v/>
      </c>
      <c r="R96" s="251" t="str">
        <f t="shared" si="57"/>
        <v/>
      </c>
      <c r="S96" s="252">
        <f>IF(AND(E96&gt;0.95*BiasLight,E96&lt;1.05*BiasLight),"",IF(AugerModel="Sinton",calclifetimeauger(Auger_Coefficient,I96,P96),calclifetimerichter(SampleType,I96,SampleDoping,P96)))</f>
        <v>34427.763134938228</v>
      </c>
      <c r="T96" s="201" t="str">
        <f t="shared" si="56"/>
        <v/>
      </c>
      <c r="U96" s="252">
        <f t="shared" si="47"/>
        <v>27931.748281438937</v>
      </c>
      <c r="V96" s="251" t="str">
        <f>IF(AugerModel="Sinton","",IF(SampleType="n-type",n_intr_boltzmann(SampleDoping,0,K96,Temperature+273.15),n_intr_boltzmann(0,SampleDoping,K96,Temperature+273.15)))</f>
        <v/>
      </c>
      <c r="W96" s="251" t="str">
        <f t="shared" si="51"/>
        <v/>
      </c>
      <c r="X96" s="246">
        <f>IF(AND(A96&gt;TimeofMaxCD,I96&gt;Traps),IF(AugerModel="Sinton",CalcImpliedV(SampleDoping,O96),CalcImpliedVRichter(O96,SampleDoping,V96)),"")</f>
        <v>0.58995148003278575</v>
      </c>
      <c r="Y96" s="253">
        <f t="shared" si="48"/>
        <v>0.78348405791479103</v>
      </c>
      <c r="Z96" s="200" t="str">
        <f t="shared" si="49"/>
        <v/>
      </c>
      <c r="AE96" s="251">
        <f t="shared" si="50"/>
        <v>1592.5685446364141</v>
      </c>
    </row>
    <row r="97" spans="1:31" x14ac:dyDescent="0.2">
      <c r="A97" s="244">
        <v>8.8499000000000008E-3</v>
      </c>
      <c r="B97" s="244">
        <v>3.0356000000000001E-2</v>
      </c>
      <c r="C97" s="245">
        <v>7.7037099999999999E-3</v>
      </c>
      <c r="D97" s="246">
        <f>IF(CouplingMode="AC",B97-(A$11-A$10)*SUM(B$9:B97)/0.21,B97)</f>
        <v>3.0356000000000001E-2</v>
      </c>
      <c r="E97" s="247">
        <f t="shared" si="38"/>
        <v>0.73201468721638729</v>
      </c>
      <c r="F97" s="247">
        <f t="shared" si="39"/>
        <v>0.73201468721638729</v>
      </c>
      <c r="G97" s="248">
        <f t="shared" si="40"/>
        <v>1.2154550986239638E+17</v>
      </c>
      <c r="H97" s="249">
        <f t="shared" si="41"/>
        <v>9.052014757064469E-4</v>
      </c>
      <c r="I97" s="248">
        <f>IF(MobilityModel=DK,CalcDeltaN(H97,SampleDoping,Thickness,AreaFrac),CalcDeltaNDL(H97,AreaFrac,Thickness,SampleType,SampleDoping,Temperature))</f>
        <v>180885870525468.53</v>
      </c>
      <c r="J97" s="248" t="str">
        <f t="shared" si="42"/>
        <v/>
      </c>
      <c r="K97" s="248">
        <f t="shared" si="43"/>
        <v>180885870525468.53</v>
      </c>
      <c r="L97" s="250">
        <f t="shared" si="52"/>
        <v>-1.1414937500832498E+17</v>
      </c>
      <c r="M97" s="196" t="str">
        <f t="shared" si="44"/>
        <v/>
      </c>
      <c r="N97" s="196" t="str">
        <f t="shared" si="45"/>
        <v/>
      </c>
      <c r="O97" s="250">
        <f t="shared" si="46"/>
        <v>180885870525468.53</v>
      </c>
      <c r="P97" s="248">
        <f t="shared" si="53"/>
        <v>2.8641798254748159E-5</v>
      </c>
      <c r="Q97" s="250" t="str">
        <f t="shared" si="54"/>
        <v/>
      </c>
      <c r="R97" s="251" t="str">
        <f t="shared" si="57"/>
        <v/>
      </c>
      <c r="S97" s="252">
        <f>IF(AND(E97&gt;0.95*BiasLight,E97&lt;1.05*BiasLight),"",IF(AugerModel="Sinton",calclifetimeauger(Auger_Coefficient,I97,P97),calclifetimerichter(SampleType,I97,SampleDoping,P97)))</f>
        <v>34913.954613990543</v>
      </c>
      <c r="T97" s="201" t="str">
        <f t="shared" si="56"/>
        <v/>
      </c>
      <c r="U97" s="252">
        <f t="shared" si="47"/>
        <v>28000.98399940287</v>
      </c>
      <c r="V97" s="251" t="str">
        <f>IF(AugerModel="Sinton","",IF(SampleType="n-type",n_intr_boltzmann(SampleDoping,0,K97,Temperature+273.15),n_intr_boltzmann(0,SampleDoping,K97,Temperature+273.15)))</f>
        <v/>
      </c>
      <c r="W97" s="251" t="str">
        <f t="shared" si="51"/>
        <v/>
      </c>
      <c r="X97" s="246">
        <f>IF(AND(A97&gt;TimeofMaxCD,I97&gt;Traps),IF(AugerModel="Sinton",CalcImpliedV(SampleDoping,O97),CalcImpliedVRichter(O97,SampleDoping,V97)),"")</f>
        <v>0.58822930007381868</v>
      </c>
      <c r="Y97" s="253">
        <f t="shared" si="48"/>
        <v>0.74548911975684373</v>
      </c>
      <c r="Z97" s="200" t="str">
        <f t="shared" si="49"/>
        <v/>
      </c>
      <c r="AE97" s="251">
        <f t="shared" si="50"/>
        <v>1593.7567087400441</v>
      </c>
    </row>
    <row r="98" spans="1:31" x14ac:dyDescent="0.2">
      <c r="A98" s="244">
        <v>8.9499000000000002E-3</v>
      </c>
      <c r="B98" s="244">
        <v>2.83833E-2</v>
      </c>
      <c r="C98" s="245">
        <v>7.30234E-3</v>
      </c>
      <c r="D98" s="246">
        <f>IF(CouplingMode="AC",B98-(A$11-A$10)*SUM(B$9:B98)/0.21,B98)</f>
        <v>2.83833E-2</v>
      </c>
      <c r="E98" s="247">
        <f t="shared" si="38"/>
        <v>0.69387608451612459</v>
      </c>
      <c r="F98" s="247">
        <f t="shared" si="39"/>
        <v>0.69387608451612459</v>
      </c>
      <c r="G98" s="248">
        <f t="shared" si="40"/>
        <v>1.1521288294712181E+17</v>
      </c>
      <c r="H98" s="249">
        <f t="shared" si="41"/>
        <v>8.463516651364281E-4</v>
      </c>
      <c r="I98" s="248">
        <f>IF(MobilityModel=DK,CalcDeltaN(H98,SampleDoping,Thickness,AreaFrac),CalcDeltaNDL(H98,AreaFrac,Thickness,SampleType,SampleDoping,Temperature))</f>
        <v>168995550058679.34</v>
      </c>
      <c r="J98" s="248" t="str">
        <f t="shared" si="42"/>
        <v/>
      </c>
      <c r="K98" s="248">
        <f t="shared" si="43"/>
        <v>168995550058679.34</v>
      </c>
      <c r="L98" s="250">
        <f t="shared" si="52"/>
        <v>-1.0394407793264693E+17</v>
      </c>
      <c r="M98" s="196" t="str">
        <f t="shared" si="44"/>
        <v/>
      </c>
      <c r="N98" s="196" t="str">
        <f t="shared" si="45"/>
        <v/>
      </c>
      <c r="O98" s="250">
        <f t="shared" si="46"/>
        <v>168995550058679.34</v>
      </c>
      <c r="P98" s="248">
        <f t="shared" si="53"/>
        <v>2.8249957372712869E-5</v>
      </c>
      <c r="Q98" s="250" t="str">
        <f t="shared" si="54"/>
        <v/>
      </c>
      <c r="R98" s="251" t="str">
        <f t="shared" si="57"/>
        <v/>
      </c>
      <c r="S98" s="252">
        <f>IF(AND(E98&gt;0.95*BiasLight,E98&lt;1.05*BiasLight),"",IF(AugerModel="Sinton",calclifetimeauger(Auger_Coefficient,I98,P98),calclifetimerichter(SampleType,I98,SampleDoping,P98)))</f>
        <v>35398.236093282576</v>
      </c>
      <c r="T98" s="201" t="str">
        <f t="shared" si="56"/>
        <v/>
      </c>
      <c r="U98" s="252">
        <f t="shared" si="47"/>
        <v>28070.14164748403</v>
      </c>
      <c r="V98" s="251" t="str">
        <f>IF(AugerModel="Sinton","",IF(SampleType="n-type",n_intr_boltzmann(SampleDoping,0,K98,Temperature+273.15),n_intr_boltzmann(0,SampleDoping,K98,Temperature+273.15)))</f>
        <v/>
      </c>
      <c r="W98" s="251" t="str">
        <f t="shared" si="51"/>
        <v/>
      </c>
      <c r="X98" s="246">
        <f>IF(AND(A98&gt;TimeofMaxCD,I98&gt;Traps),IF(AugerModel="Sinton",CalcImpliedV(SampleDoping,O98),CalcImpliedVRichter(O98,SampleDoping,V98)),"")</f>
        <v>0.58639747828240607</v>
      </c>
      <c r="Y98" s="253">
        <f t="shared" si="48"/>
        <v>0.70614586230493193</v>
      </c>
      <c r="Z98" s="200" t="str">
        <f t="shared" si="49"/>
        <v/>
      </c>
      <c r="AE98" s="251">
        <f t="shared" si="50"/>
        <v>1594.9864607046006</v>
      </c>
    </row>
    <row r="99" spans="1:31" x14ac:dyDescent="0.2">
      <c r="A99" s="244">
        <v>9.0498999999999996E-3</v>
      </c>
      <c r="B99" s="244">
        <v>2.6796400000000001E-2</v>
      </c>
      <c r="C99" s="245">
        <v>6.9498099999999998E-3</v>
      </c>
      <c r="D99" s="246">
        <f>IF(CouplingMode="AC",B99-(A$11-A$10)*SUM(B$9:B99)/0.21,B99)</f>
        <v>2.6796400000000001E-2</v>
      </c>
      <c r="E99" s="247">
        <f t="shared" si="38"/>
        <v>0.66037831036777361</v>
      </c>
      <c r="F99" s="247">
        <f t="shared" si="39"/>
        <v>0.66037831036777361</v>
      </c>
      <c r="G99" s="248">
        <f t="shared" si="40"/>
        <v>1.0965083056044181E+17</v>
      </c>
      <c r="H99" s="249">
        <f t="shared" si="41"/>
        <v>7.9901358951171061E-4</v>
      </c>
      <c r="I99" s="248">
        <f>IF(MobilityModel=DK,CalcDeltaN(H99,SampleDoping,Thickness,AreaFrac),CalcDeltaNDL(H99,AreaFrac,Thickness,SampleType,SampleDoping,Temperature))</f>
        <v>159441084468022.37</v>
      </c>
      <c r="J99" s="248" t="str">
        <f t="shared" si="42"/>
        <v/>
      </c>
      <c r="K99" s="248">
        <f t="shared" si="43"/>
        <v>159441084468022.37</v>
      </c>
      <c r="L99" s="250">
        <f t="shared" si="52"/>
        <v>-9.8387147577080752E+16</v>
      </c>
      <c r="M99" s="196" t="str">
        <f t="shared" si="44"/>
        <v/>
      </c>
      <c r="N99" s="196" t="str">
        <f t="shared" si="45"/>
        <v/>
      </c>
      <c r="O99" s="250">
        <f t="shared" si="46"/>
        <v>159441084468022.37</v>
      </c>
      <c r="P99" s="248">
        <f t="shared" si="53"/>
        <v>2.8007412969014763E-5</v>
      </c>
      <c r="Q99" s="250" t="str">
        <f t="shared" si="54"/>
        <v/>
      </c>
      <c r="R99" s="251" t="str">
        <f t="shared" si="57"/>
        <v/>
      </c>
      <c r="S99" s="252">
        <f>IF(AND(E99&gt;0.95*BiasLight,E99&lt;1.05*BiasLight),"",IF(AugerModel="Sinton",calclifetimeauger(Auger_Coefficient,I99,P99),calclifetimerichter(SampleType,I99,SampleDoping,P99)))</f>
        <v>35704.790699664525</v>
      </c>
      <c r="T99" s="201" t="str">
        <f t="shared" si="56"/>
        <v/>
      </c>
      <c r="U99" s="252">
        <f t="shared" si="47"/>
        <v>28125.713267337997</v>
      </c>
      <c r="V99" s="251" t="str">
        <f>IF(AugerModel="Sinton","",IF(SampleType="n-type",n_intr_boltzmann(SampleDoping,0,K99,Temperature+273.15),n_intr_boltzmann(0,SampleDoping,K99,Temperature+273.15)))</f>
        <v/>
      </c>
      <c r="W99" s="251" t="str">
        <f t="shared" si="51"/>
        <v/>
      </c>
      <c r="X99" s="246">
        <f>IF(AND(A99&gt;TimeofMaxCD,I99&gt;Traps),IF(AugerModel="Sinton",CalcImpliedV(SampleDoping,O99),CalcImpliedVRichter(O99,SampleDoping,V99)),"")</f>
        <v>0.58483382065443446</v>
      </c>
      <c r="Y99" s="253">
        <f t="shared" si="48"/>
        <v>0.67199213639860922</v>
      </c>
      <c r="Z99" s="200" t="str">
        <f t="shared" si="49"/>
        <v/>
      </c>
      <c r="AE99" s="251">
        <f t="shared" si="50"/>
        <v>1596.009025792785</v>
      </c>
    </row>
    <row r="100" spans="1:31" x14ac:dyDescent="0.2">
      <c r="A100" s="244">
        <v>9.1499000000000007E-3</v>
      </c>
      <c r="B100" s="244">
        <v>2.5482899999999999E-2</v>
      </c>
      <c r="C100" s="245">
        <v>6.6089900000000004E-3</v>
      </c>
      <c r="D100" s="246">
        <f>IF(CouplingMode="AC",B100-(A$11-A$10)*SUM(B$9:B100)/0.21,B100)</f>
        <v>2.5482899999999999E-2</v>
      </c>
      <c r="E100" s="247">
        <f t="shared" si="38"/>
        <v>0.62799323282758979</v>
      </c>
      <c r="F100" s="247">
        <f t="shared" si="39"/>
        <v>0.62799323282758979</v>
      </c>
      <c r="G100" s="248">
        <f t="shared" si="40"/>
        <v>1.0427353304128518E+17</v>
      </c>
      <c r="H100" s="249">
        <f t="shared" si="41"/>
        <v>7.5983287188148303E-4</v>
      </c>
      <c r="I100" s="248">
        <f>IF(MobilityModel=DK,CalcDeltaN(H100,SampleDoping,Thickness,AreaFrac),CalcDeltaNDL(H100,AreaFrac,Thickness,SampleType,SampleDoping,Temperature))</f>
        <v>151539967661566.34</v>
      </c>
      <c r="J100" s="248" t="str">
        <f t="shared" si="42"/>
        <v/>
      </c>
      <c r="K100" s="248">
        <f t="shared" si="43"/>
        <v>151539967661566.34</v>
      </c>
      <c r="L100" s="250">
        <f t="shared" si="52"/>
        <v>-9.0593483024124E+16</v>
      </c>
      <c r="M100" s="196" t="str">
        <f t="shared" si="44"/>
        <v/>
      </c>
      <c r="N100" s="196" t="str">
        <f t="shared" si="45"/>
        <v/>
      </c>
      <c r="O100" s="250">
        <f t="shared" si="46"/>
        <v>151539967661566.34</v>
      </c>
      <c r="P100" s="248">
        <f t="shared" si="53"/>
        <v>2.8007607202986731E-5</v>
      </c>
      <c r="Q100" s="250" t="str">
        <f t="shared" si="54"/>
        <v/>
      </c>
      <c r="R100" s="251" t="str">
        <f t="shared" si="57"/>
        <v/>
      </c>
      <c r="S100" s="252">
        <f>IF(AND(E100&gt;0.95*BiasLight,E100&lt;1.05*BiasLight),"",IF(AugerModel="Sinton",calclifetimeauger(Auger_Coefficient,I100,P100),calclifetimerichter(SampleType,I100,SampleDoping,P100)))</f>
        <v>35704.547163880197</v>
      </c>
      <c r="T100" s="201" t="str">
        <f t="shared" si="56"/>
        <v/>
      </c>
      <c r="U100" s="252">
        <f t="shared" si="47"/>
        <v>28171.668517835678</v>
      </c>
      <c r="V100" s="251" t="str">
        <f>IF(AugerModel="Sinton","",IF(SampleType="n-type",n_intr_boltzmann(SampleDoping,0,K100,Temperature+273.15),n_intr_boltzmann(0,SampleDoping,K100,Temperature+273.15)))</f>
        <v/>
      </c>
      <c r="W100" s="251" t="str">
        <f t="shared" si="51"/>
        <v/>
      </c>
      <c r="X100" s="246">
        <f>IF(AND(A100&gt;TimeofMaxCD,I100&gt;Traps),IF(AugerModel="Sinton",CalcImpliedV(SampleDoping,O100),CalcImpliedVRichter(O100,SampleDoping,V100)),"")</f>
        <v>0.58347129535055353</v>
      </c>
      <c r="Y100" s="253">
        <f t="shared" si="48"/>
        <v>0.63868707828687954</v>
      </c>
      <c r="Z100" s="200" t="str">
        <f t="shared" si="49"/>
        <v/>
      </c>
      <c r="AE100" s="251">
        <f t="shared" si="50"/>
        <v>1596.880084897984</v>
      </c>
    </row>
    <row r="101" spans="1:31" x14ac:dyDescent="0.2">
      <c r="A101" s="244">
        <v>9.2499000000000001E-3</v>
      </c>
      <c r="B101" s="244">
        <v>2.3632400000000001E-2</v>
      </c>
      <c r="C101" s="245">
        <v>6.2915999999999996E-3</v>
      </c>
      <c r="D101" s="246">
        <f>IF(CouplingMode="AC",B101-(A$11-A$10)*SUM(B$9:B101)/0.21,B101)</f>
        <v>2.3632400000000001E-2</v>
      </c>
      <c r="E101" s="247">
        <f t="shared" si="38"/>
        <v>0.59783449871433669</v>
      </c>
      <c r="F101" s="247">
        <f t="shared" si="39"/>
        <v>0.59783449871433669</v>
      </c>
      <c r="G101" s="248">
        <f t="shared" si="40"/>
        <v>9.9265903032467872E+16</v>
      </c>
      <c r="H101" s="249">
        <f t="shared" si="41"/>
        <v>7.0463644490726968E-4</v>
      </c>
      <c r="I101" s="248">
        <f>IF(MobilityModel=DK,CalcDeltaN(H101,SampleDoping,Thickness,AreaFrac),CalcDeltaNDL(H101,AreaFrac,Thickness,SampleType,SampleDoping,Temperature))</f>
        <v>140420087935484.69</v>
      </c>
      <c r="J101" s="248" t="str">
        <f t="shared" si="42"/>
        <v/>
      </c>
      <c r="K101" s="248">
        <f t="shared" si="43"/>
        <v>140420087935484.69</v>
      </c>
      <c r="L101" s="250">
        <f t="shared" si="52"/>
        <v>-9.3047680892955968E+16</v>
      </c>
      <c r="M101" s="196" t="str">
        <f t="shared" si="44"/>
        <v/>
      </c>
      <c r="N101" s="196" t="str">
        <f t="shared" si="45"/>
        <v/>
      </c>
      <c r="O101" s="250">
        <f t="shared" si="46"/>
        <v>140420087935484.69</v>
      </c>
      <c r="P101" s="248">
        <f t="shared" si="53"/>
        <v>2.722567603838444E-5</v>
      </c>
      <c r="Q101" s="250" t="str">
        <f t="shared" si="54"/>
        <v/>
      </c>
      <c r="R101" s="251" t="str">
        <f t="shared" si="57"/>
        <v/>
      </c>
      <c r="S101" s="252">
        <f>IF(AND(E101&gt;0.95*BiasLight,E101&lt;1.05*BiasLight),"",IF(AugerModel="Sinton",calclifetimeauger(Auger_Coefficient,I101,P101),calclifetimerichter(SampleType,I101,SampleDoping,P101)))</f>
        <v>36730.001027396633</v>
      </c>
      <c r="T101" s="201" t="str">
        <f t="shared" si="56"/>
        <v/>
      </c>
      <c r="U101" s="252">
        <f t="shared" si="47"/>
        <v>28236.345052917233</v>
      </c>
      <c r="V101" s="251" t="str">
        <f>IF(AugerModel="Sinton","",IF(SampleType="n-type",n_intr_boltzmann(SampleDoping,0,K101,Temperature+273.15),n_intr_boltzmann(0,SampleDoping,K101,Temperature+273.15)))</f>
        <v/>
      </c>
      <c r="W101" s="251" t="str">
        <f t="shared" si="51"/>
        <v/>
      </c>
      <c r="X101" s="246">
        <f>IF(AND(A101&gt;TimeofMaxCD,I101&gt;Traps),IF(AugerModel="Sinton",CalcImpliedV(SampleDoping,O101),CalcImpliedVRichter(O101,SampleDoping,V101)),"")</f>
        <v>0.58143324493360726</v>
      </c>
      <c r="Y101" s="253">
        <f t="shared" si="48"/>
        <v>0.60881804285679575</v>
      </c>
      <c r="Z101" s="200" t="str">
        <f t="shared" si="49"/>
        <v/>
      </c>
      <c r="AE101" s="251">
        <f t="shared" si="50"/>
        <v>1598.1490392534115</v>
      </c>
    </row>
    <row r="102" spans="1:31" x14ac:dyDescent="0.2">
      <c r="A102" s="244">
        <v>9.3498999999999995E-3</v>
      </c>
      <c r="B102" s="244">
        <v>2.2431199999999998E-2</v>
      </c>
      <c r="C102" s="245">
        <v>5.9293000000000002E-3</v>
      </c>
      <c r="D102" s="246">
        <f>IF(CouplingMode="AC",B102-(A$11-A$10)*SUM(B$9:B102)/0.21,B102)</f>
        <v>2.2431199999999998E-2</v>
      </c>
      <c r="E102" s="247">
        <f t="shared" si="38"/>
        <v>0.56340836881348411</v>
      </c>
      <c r="F102" s="247">
        <f t="shared" si="39"/>
        <v>0.56340836881348411</v>
      </c>
      <c r="G102" s="248">
        <f t="shared" si="40"/>
        <v>9.3549704185010464E+16</v>
      </c>
      <c r="H102" s="249">
        <f t="shared" si="41"/>
        <v>6.6880886355101098E-4</v>
      </c>
      <c r="I102" s="248">
        <f>IF(MobilityModel=DK,CalcDeltaN(H102,SampleDoping,Thickness,AreaFrac),CalcDeltaNDL(H102,AreaFrac,Thickness,SampleType,SampleDoping,Temperature))</f>
        <v>133209306812886.22</v>
      </c>
      <c r="J102" s="248" t="str">
        <f t="shared" si="42"/>
        <v/>
      </c>
      <c r="K102" s="248">
        <f t="shared" si="43"/>
        <v>133209306812886.22</v>
      </c>
      <c r="L102" s="250">
        <f t="shared" si="52"/>
        <v>-9.3805332765557264E+16</v>
      </c>
      <c r="M102" s="196" t="str">
        <f t="shared" si="44"/>
        <v/>
      </c>
      <c r="N102" s="196" t="str">
        <f t="shared" si="45"/>
        <v/>
      </c>
      <c r="O102" s="250">
        <f t="shared" si="46"/>
        <v>133209306812886.22</v>
      </c>
      <c r="P102" s="248">
        <f t="shared" si="53"/>
        <v>2.7371309926174147E-5</v>
      </c>
      <c r="Q102" s="250" t="str">
        <f t="shared" si="54"/>
        <v/>
      </c>
      <c r="R102" s="251" t="str">
        <f t="shared" si="57"/>
        <v/>
      </c>
      <c r="S102" s="252">
        <f>IF(AND(E102&gt;0.95*BiasLight,E102&lt;1.05*BiasLight),"",IF(AugerModel="Sinton",calclifetimeauger(Auger_Coefficient,I102,P102),calclifetimerichter(SampleType,I102,SampleDoping,P102)))</f>
        <v>36534.575672172054</v>
      </c>
      <c r="T102" s="201" t="str">
        <f t="shared" si="56"/>
        <v/>
      </c>
      <c r="U102" s="252">
        <f t="shared" si="47"/>
        <v>28278.285105303527</v>
      </c>
      <c r="V102" s="251" t="str">
        <f>IF(AugerModel="Sinton","",IF(SampleType="n-type",n_intr_boltzmann(SampleDoping,0,K102,Temperature+273.15),n_intr_boltzmann(0,SampleDoping,K102,Temperature+273.15)))</f>
        <v/>
      </c>
      <c r="W102" s="251" t="str">
        <f t="shared" si="51"/>
        <v/>
      </c>
      <c r="X102" s="246">
        <f>IF(AND(A102&gt;TimeofMaxCD,I102&gt;Traps),IF(AugerModel="Sinton",CalcImpliedV(SampleDoping,O102),CalcImpliedVRichter(O102,SampleDoping,V102)),"")</f>
        <v>0.58002681049678906</v>
      </c>
      <c r="Y102" s="253">
        <f t="shared" si="48"/>
        <v>0.5744813477780415</v>
      </c>
      <c r="Z102" s="200" t="str">
        <f t="shared" si="49"/>
        <v/>
      </c>
      <c r="AE102" s="251">
        <f t="shared" si="50"/>
        <v>1599.0014906307133</v>
      </c>
    </row>
    <row r="103" spans="1:31" x14ac:dyDescent="0.2">
      <c r="A103" s="244">
        <v>9.4499000000000007E-3</v>
      </c>
      <c r="B103" s="244">
        <v>2.0575699999999999E-2</v>
      </c>
      <c r="C103" s="245">
        <v>5.6597699999999997E-3</v>
      </c>
      <c r="D103" s="246">
        <f>IF(CouplingMode="AC",B103-(A$11-A$10)*SUM(B$9:B103)/0.21,B103)</f>
        <v>2.0575699999999999E-2</v>
      </c>
      <c r="E103" s="247">
        <f t="shared" si="38"/>
        <v>0.5377973426137137</v>
      </c>
      <c r="F103" s="247">
        <f t="shared" si="39"/>
        <v>0.5377973426137137</v>
      </c>
      <c r="G103" s="248">
        <f t="shared" si="40"/>
        <v>8.929718672612224E+16</v>
      </c>
      <c r="H103" s="249">
        <f t="shared" si="41"/>
        <v>6.1346832462975346E-4</v>
      </c>
      <c r="I103" s="248">
        <f>IF(MobilityModel=DK,CalcDeltaN(H103,SampleDoping,Thickness,AreaFrac),CalcDeltaNDL(H103,AreaFrac,Thickness,SampleType,SampleDoping,Temperature))</f>
        <v>122082574445884.41</v>
      </c>
      <c r="J103" s="248" t="str">
        <f t="shared" si="42"/>
        <v/>
      </c>
      <c r="K103" s="248">
        <f t="shared" si="43"/>
        <v>122082574445884.41</v>
      </c>
      <c r="L103" s="250">
        <f t="shared" si="52"/>
        <v>-8.9985396059668496E+16</v>
      </c>
      <c r="M103" s="196" t="str">
        <f t="shared" si="44"/>
        <v/>
      </c>
      <c r="N103" s="196" t="str">
        <f t="shared" si="45"/>
        <v/>
      </c>
      <c r="O103" s="250">
        <f t="shared" si="46"/>
        <v>122082574445884.41</v>
      </c>
      <c r="P103" s="248">
        <f t="shared" si="53"/>
        <v>2.627712274195254E-5</v>
      </c>
      <c r="Q103" s="250" t="str">
        <f t="shared" si="54"/>
        <v/>
      </c>
      <c r="R103" s="251" t="str">
        <f t="shared" si="57"/>
        <v/>
      </c>
      <c r="S103" s="252">
        <f>IF(AND(E103&gt;0.95*BiasLight,E103&lt;1.05*BiasLight),"",IF(AugerModel="Sinton",calclifetimeauger(Auger_Coefficient,I103,P103),calclifetimerichter(SampleType,I103,SampleDoping,P103)))</f>
        <v>38055.892180457959</v>
      </c>
      <c r="T103" s="201" t="str">
        <f t="shared" si="56"/>
        <v/>
      </c>
      <c r="U103" s="252">
        <f t="shared" si="47"/>
        <v>28343.001497387293</v>
      </c>
      <c r="V103" s="251" t="str">
        <f>IF(AugerModel="Sinton","",IF(SampleType="n-type",n_intr_boltzmann(SampleDoping,0,K103,Temperature+273.15),n_intr_boltzmann(0,SampleDoping,K103,Temperature+273.15)))</f>
        <v/>
      </c>
      <c r="W103" s="251" t="str">
        <f t="shared" si="51"/>
        <v/>
      </c>
      <c r="X103" s="246">
        <f>IF(AND(A103&gt;TimeofMaxCD,I103&gt;Traps),IF(AugerModel="Sinton",CalcImpliedV(SampleDoping,O103),CalcImpliedVRichter(O103,SampleDoping,V103)),"")</f>
        <v>0.5777053683257608</v>
      </c>
      <c r="Y103" s="253">
        <f t="shared" si="48"/>
        <v>0.54841940820753599</v>
      </c>
      <c r="Z103" s="200" t="str">
        <f t="shared" si="49"/>
        <v/>
      </c>
      <c r="AE103" s="251">
        <f t="shared" si="50"/>
        <v>1600.3680832726027</v>
      </c>
    </row>
    <row r="104" spans="1:31" x14ac:dyDescent="0.2">
      <c r="A104" s="244">
        <v>9.5499000000000001E-3</v>
      </c>
      <c r="B104" s="244">
        <v>1.91939E-2</v>
      </c>
      <c r="C104" s="245">
        <v>5.3814500000000003E-3</v>
      </c>
      <c r="D104" s="246">
        <f>IF(CouplingMode="AC",B104-(A$11-A$10)*SUM(B$9:B104)/0.21,B104)</f>
        <v>1.91939E-2</v>
      </c>
      <c r="E104" s="247">
        <f t="shared" si="38"/>
        <v>0.51135108129987084</v>
      </c>
      <c r="F104" s="247">
        <f t="shared" si="39"/>
        <v>0.51135108129987084</v>
      </c>
      <c r="G104" s="248">
        <f t="shared" si="40"/>
        <v>8.4905984785122112E+16</v>
      </c>
      <c r="H104" s="249">
        <f t="shared" si="41"/>
        <v>5.7225793653623274E-4</v>
      </c>
      <c r="I104" s="248">
        <f>IF(MobilityModel=DK,CalcDeltaN(H104,SampleDoping,Thickness,AreaFrac),CalcDeltaNDL(H104,AreaFrac,Thickness,SampleType,SampleDoping,Temperature))</f>
        <v>113806058023587.89</v>
      </c>
      <c r="J104" s="248" t="str">
        <f t="shared" si="42"/>
        <v/>
      </c>
      <c r="K104" s="248">
        <f t="shared" si="43"/>
        <v>113806058023587.89</v>
      </c>
      <c r="L104" s="250">
        <f t="shared" si="52"/>
        <v>-8.2747331554248368E+16</v>
      </c>
      <c r="M104" s="196" t="str">
        <f t="shared" si="44"/>
        <v/>
      </c>
      <c r="N104" s="196" t="str">
        <f t="shared" si="45"/>
        <v/>
      </c>
      <c r="O104" s="250">
        <f t="shared" si="46"/>
        <v>113806058023587.89</v>
      </c>
      <c r="P104" s="248">
        <f t="shared" si="53"/>
        <v>2.5778973923627116E-5</v>
      </c>
      <c r="Q104" s="250" t="str">
        <f t="shared" si="54"/>
        <v/>
      </c>
      <c r="R104" s="251" t="str">
        <f t="shared" si="57"/>
        <v/>
      </c>
      <c r="S104" s="252">
        <f>IF(AND(E104&gt;0.95*BiasLight,E104&lt;1.05*BiasLight),"",IF(AugerModel="Sinton",calclifetimeauger(Auger_Coefficient,I104,P104),calclifetimerichter(SampleType,I104,SampleDoping,P104)))</f>
        <v>38791.281946060604</v>
      </c>
      <c r="T104" s="201" t="str">
        <f t="shared" si="56"/>
        <v/>
      </c>
      <c r="U104" s="252">
        <f t="shared" si="47"/>
        <v>28391.140183949177</v>
      </c>
      <c r="V104" s="251" t="str">
        <f>IF(AugerModel="Sinton","",IF(SampleType="n-type",n_intr_boltzmann(SampleDoping,0,K104,Temperature+273.15),n_intr_boltzmann(0,SampleDoping,K104,Temperature+273.15)))</f>
        <v/>
      </c>
      <c r="W104" s="251" t="str">
        <f t="shared" si="51"/>
        <v/>
      </c>
      <c r="X104" s="246">
        <f>IF(AND(A104&gt;TimeofMaxCD,I104&gt;Traps),IF(AugerModel="Sinton",CalcImpliedV(SampleDoping,O104),CalcImpliedVRichter(O104,SampleDoping,V104)),"")</f>
        <v>0.57584171984280863</v>
      </c>
      <c r="Y104" s="253">
        <f t="shared" si="48"/>
        <v>0.52111875052144274</v>
      </c>
      <c r="Z104" s="200" t="str">
        <f t="shared" si="49"/>
        <v/>
      </c>
      <c r="AE104" s="251">
        <f t="shared" si="50"/>
        <v>1601.4296341286488</v>
      </c>
    </row>
    <row r="105" spans="1:31" x14ac:dyDescent="0.2">
      <c r="A105" s="244">
        <v>9.6498999999999995E-3</v>
      </c>
      <c r="B105" s="244">
        <v>1.7743700000000001E-2</v>
      </c>
      <c r="C105" s="245">
        <v>5.0855500000000003E-3</v>
      </c>
      <c r="D105" s="246">
        <f>IF(CouplingMode="AC",B105-(A$11-A$10)*SUM(B$9:B105)/0.21,B105)</f>
        <v>1.7743700000000001E-2</v>
      </c>
      <c r="E105" s="247">
        <f t="shared" ref="E105:E133" si="58">IF(C105&gt;0,C105/RefCellCal,0.00001)</f>
        <v>0.48323434975788276</v>
      </c>
      <c r="F105" s="247">
        <f t="shared" ref="F105:F133" si="59">E105-BiasLight</f>
        <v>0.48323434975788276</v>
      </c>
      <c r="G105" s="248">
        <f t="shared" ref="G105:G133" si="60">F105*0.038*OptConst/1.602E-19</f>
        <v>8.0237413879898128E+16</v>
      </c>
      <c r="H105" s="249">
        <f t="shared" ref="H105:H133" si="61">CalcConductance(B105,Dark_Voltage,A_cal,B_cal,C_cal)</f>
        <v>5.2900942904342361E-4</v>
      </c>
      <c r="I105" s="248">
        <f>IF(MobilityModel=DK,CalcDeltaN(H105,SampleDoping,Thickness,AreaFrac),CalcDeltaNDL(H105,AreaFrac,Thickness,SampleType,SampleDoping,Temperature))</f>
        <v>105129014300299.64</v>
      </c>
      <c r="J105" s="248" t="str">
        <f t="shared" ref="J105:J133" si="62">IF(AND(AND(I105&gt;=FitRangeMin,I105&lt;=FitRangeMax),A105&gt;TimeofMaxCD),I105,"")</f>
        <v/>
      </c>
      <c r="K105" s="248">
        <f t="shared" ref="K105:K133" si="63">IF(I105-BiasPtCD=0,0.00001,I105-BiasPtCD)</f>
        <v>105129014300299.64</v>
      </c>
      <c r="L105" s="250">
        <f t="shared" si="52"/>
        <v>-7.1850064175388736E+16</v>
      </c>
      <c r="M105" s="196" t="str">
        <f t="shared" ref="M105:M133" si="64">IF(E105&gt;0.85*BiasLight,IF( E105&lt;1.15*BiasLight,E105,""),"")</f>
        <v/>
      </c>
      <c r="N105" s="196" t="str">
        <f t="shared" ref="N105:N133" si="65">IF(E105&gt;0.85*BiasLight,IF(E105&lt;1.15*BiasLight,I105,""),"")</f>
        <v/>
      </c>
      <c r="O105" s="250">
        <f t="shared" ref="O105:O133" si="66">I105-Traps</f>
        <v>105129014300299.64</v>
      </c>
      <c r="P105" s="248">
        <f t="shared" si="53"/>
        <v>2.5237450444371655E-5</v>
      </c>
      <c r="Q105" s="250" t="str">
        <f t="shared" si="54"/>
        <v/>
      </c>
      <c r="R105" s="251" t="str">
        <f t="shared" si="57"/>
        <v/>
      </c>
      <c r="S105" s="252">
        <f>IF(AND(E105&gt;0.95*BiasLight,E105&lt;1.05*BiasLight),"",IF(AugerModel="Sinton",calclifetimeauger(Auger_Coefficient,I105,P105),calclifetimerichter(SampleType,I105,SampleDoping,P105)))</f>
        <v>39623.635485100283</v>
      </c>
      <c r="T105" s="201" t="str">
        <f t="shared" si="56"/>
        <v/>
      </c>
      <c r="U105" s="252">
        <f t="shared" ref="U105:U133" si="67">FitInterceptAuger+FitSlopeAuger*(I105+Traps)</f>
        <v>28441.608456682123</v>
      </c>
      <c r="V105" s="251" t="str">
        <f>IF(AugerModel="Sinton","",IF(SampleType="n-type",n_intr_boltzmann(SampleDoping,0,K105,Temperature+273.15),n_intr_boltzmann(0,SampleDoping,K105,Temperature+273.15)))</f>
        <v/>
      </c>
      <c r="W105" s="251" t="str">
        <f t="shared" si="51"/>
        <v/>
      </c>
      <c r="X105" s="246">
        <f>IF(AND(A105&gt;TimeofMaxCD,I105&gt;Traps),IF(AugerModel="Sinton",CalcImpliedV(SampleDoping,O105),CalcImpliedVRichter(O105,SampleDoping,V105)),"")</f>
        <v>0.57374108673268931</v>
      </c>
      <c r="Y105" s="253">
        <f t="shared" ref="Y105:Y133" si="68">IF(OR(P105="",P105&lt;0,A105&lt;=TimeofMaxCD),"",(O105*Thickness*1.602E-19/(0.038*OptConst*P105)))</f>
        <v>0.49171568259643861</v>
      </c>
      <c r="Z105" s="200" t="str">
        <f t="shared" ref="Z105:Z133" si="69">IF(C105&gt;0.6,O105,"")</f>
        <v/>
      </c>
      <c r="AE105" s="251">
        <f t="shared" ref="AE105:AE133" si="70">H105/(K105*AreaFrac*Thickness*1.602E-19)</f>
        <v>1602.5892949750121</v>
      </c>
    </row>
    <row r="106" spans="1:31" x14ac:dyDescent="0.2">
      <c r="A106" s="244">
        <v>9.7499000000000006E-3</v>
      </c>
      <c r="B106" s="244">
        <v>1.6938000000000002E-2</v>
      </c>
      <c r="C106" s="245">
        <v>4.8140600000000002E-3</v>
      </c>
      <c r="D106" s="246">
        <f>IF(CouplingMode="AC",B106-(A$11-A$10)*SUM(B$9:B106)/0.21,B106)</f>
        <v>1.6938000000000002E-2</v>
      </c>
      <c r="E106" s="247">
        <f t="shared" si="58"/>
        <v>0.45743708228125435</v>
      </c>
      <c r="F106" s="247">
        <f t="shared" si="59"/>
        <v>0.45743708228125435</v>
      </c>
      <c r="G106" s="248">
        <f t="shared" si="60"/>
        <v>7.5953972463678928E+16</v>
      </c>
      <c r="H106" s="249">
        <f t="shared" si="61"/>
        <v>5.0498229254527464E-4</v>
      </c>
      <c r="I106" s="248">
        <f>IF(MobilityModel=DK,CalcDeltaN(H106,SampleDoping,Thickness,AreaFrac),CalcDeltaNDL(H106,AreaFrac,Thickness,SampleType,SampleDoping,Temperature))</f>
        <v>100312421108554.37</v>
      </c>
      <c r="J106" s="248" t="str">
        <f t="shared" si="62"/>
        <v/>
      </c>
      <c r="K106" s="248">
        <f t="shared" si="63"/>
        <v>100312421108554.37</v>
      </c>
      <c r="L106" s="250">
        <f t="shared" si="52"/>
        <v>-7.0402258211526808E+16</v>
      </c>
      <c r="M106" s="196" t="str">
        <f t="shared" si="64"/>
        <v/>
      </c>
      <c r="N106" s="196" t="str">
        <f t="shared" si="65"/>
        <v/>
      </c>
      <c r="O106" s="250">
        <f t="shared" si="66"/>
        <v>100312421108554.37</v>
      </c>
      <c r="P106" s="248">
        <f t="shared" si="53"/>
        <v>2.5423838109209516E-5</v>
      </c>
      <c r="Q106" s="250" t="str">
        <f t="shared" si="54"/>
        <v/>
      </c>
      <c r="R106" s="251" t="str">
        <f t="shared" si="57"/>
        <v/>
      </c>
      <c r="S106" s="252">
        <f>IF(AND(E106&gt;0.95*BiasLight,E106&lt;1.05*BiasLight),"",IF(AugerModel="Sinton",calclifetimeauger(Auger_Coefficient,I106,P106),calclifetimerichter(SampleType,I106,SampleDoping,P106)))</f>
        <v>39333.147537659606</v>
      </c>
      <c r="T106" s="201" t="str">
        <f t="shared" si="56"/>
        <v/>
      </c>
      <c r="U106" s="252">
        <f t="shared" si="67"/>
        <v>28469.623198407146</v>
      </c>
      <c r="V106" s="251" t="str">
        <f>IF(AugerModel="Sinton","",IF(SampleType="n-type",n_intr_boltzmann(SampleDoping,0,K106,Temperature+273.15),n_intr_boltzmann(0,SampleDoping,K106,Temperature+273.15)))</f>
        <v/>
      </c>
      <c r="W106" s="251" t="str">
        <f t="shared" si="51"/>
        <v/>
      </c>
      <c r="X106" s="246">
        <f>IF(AND(A106&gt;TimeofMaxCD,I106&gt;Traps),IF(AugerModel="Sinton",CalcImpliedV(SampleDoping,O106),CalcImpliedVRichter(O106,SampleDoping,V106)),"")</f>
        <v>0.57250109409860439</v>
      </c>
      <c r="Y106" s="253">
        <f t="shared" si="68"/>
        <v>0.46574751305582335</v>
      </c>
      <c r="Z106" s="200" t="str">
        <f t="shared" si="69"/>
        <v/>
      </c>
      <c r="AE106" s="251">
        <f t="shared" si="70"/>
        <v>1603.2559265706923</v>
      </c>
    </row>
    <row r="107" spans="1:31" x14ac:dyDescent="0.2">
      <c r="A107" s="244">
        <v>9.8499E-3</v>
      </c>
      <c r="B107" s="244">
        <v>1.5697800000000001E-2</v>
      </c>
      <c r="C107" s="245">
        <v>4.5660199999999996E-3</v>
      </c>
      <c r="D107" s="246">
        <f>IF(CouplingMode="AC",B107-(A$11-A$10)*SUM(B$9:B107)/0.21,B107)</f>
        <v>1.5697800000000001E-2</v>
      </c>
      <c r="E107" s="247">
        <f t="shared" si="58"/>
        <v>0.43386805865274897</v>
      </c>
      <c r="F107" s="247">
        <f t="shared" si="59"/>
        <v>0.43386805865274897</v>
      </c>
      <c r="G107" s="248">
        <f t="shared" si="60"/>
        <v>7.2040514108384032E+16</v>
      </c>
      <c r="H107" s="249">
        <f t="shared" si="61"/>
        <v>4.6799886456744526E-4</v>
      </c>
      <c r="I107" s="248">
        <f>IF(MobilityModel=DK,CalcDeltaN(H107,SampleDoping,Thickness,AreaFrac),CalcDeltaNDL(H107,AreaFrac,Thickness,SampleType,SampleDoping,Temperature))</f>
        <v>92904360815706.812</v>
      </c>
      <c r="J107" s="248" t="str">
        <f t="shared" si="62"/>
        <v/>
      </c>
      <c r="K107" s="248">
        <f t="shared" si="63"/>
        <v>92904360815706.812</v>
      </c>
      <c r="L107" s="250">
        <f t="shared" ref="L107:L131" si="71">IF(ABS(SLOPE(K105:K109,A105:A109))&lt;1000000000000,-1000000000000,(SLOPE(K105:K109,A105:A109)))</f>
        <v>-6.3638419305812872E+16</v>
      </c>
      <c r="M107" s="196" t="str">
        <f t="shared" si="64"/>
        <v/>
      </c>
      <c r="N107" s="196" t="str">
        <f t="shared" si="65"/>
        <v/>
      </c>
      <c r="O107" s="250">
        <f t="shared" si="66"/>
        <v>92904360815706.812</v>
      </c>
      <c r="P107" s="248">
        <f t="shared" ref="P107:P131" si="72">calclifetime(AnalysisMode,K107,Thickness,G107,L107)</f>
        <v>2.4846219943700885E-5</v>
      </c>
      <c r="Q107" s="250" t="str">
        <f t="shared" si="54"/>
        <v/>
      </c>
      <c r="R107" s="251" t="str">
        <f t="shared" si="57"/>
        <v/>
      </c>
      <c r="S107" s="252">
        <f>IF(AND(E107&gt;0.95*BiasLight,E107&lt;1.05*BiasLight),"",IF(AugerModel="Sinton",calclifetimeauger(Auger_Coefficient,I107,P107),calclifetimerichter(SampleType,I107,SampleDoping,P107)))</f>
        <v>40247.556621232317</v>
      </c>
      <c r="T107" s="201" t="str">
        <f t="shared" si="56"/>
        <v/>
      </c>
      <c r="U107" s="252">
        <f t="shared" si="67"/>
        <v>28512.710685252241</v>
      </c>
      <c r="V107" s="251" t="str">
        <f>IF(AugerModel="Sinton","",IF(SampleType="n-type",n_intr_boltzmann(SampleDoping,0,K107,Temperature+273.15),n_intr_boltzmann(0,SampleDoping,K107,Temperature+273.15)))</f>
        <v/>
      </c>
      <c r="W107" s="251" t="str">
        <f t="shared" si="51"/>
        <v/>
      </c>
      <c r="X107" s="246">
        <f>IF(AND(A107&gt;TimeofMaxCD,I107&gt;Traps),IF(AugerModel="Sinton",CalcImpliedV(SampleDoping,O107),CalcImpliedVRichter(O107,SampleDoping,V107)),"")</f>
        <v>0.57047600857641778</v>
      </c>
      <c r="Y107" s="253">
        <f t="shared" si="68"/>
        <v>0.44138007164322673</v>
      </c>
      <c r="Z107" s="200" t="str">
        <f t="shared" si="69"/>
        <v/>
      </c>
      <c r="AE107" s="251">
        <f t="shared" si="70"/>
        <v>1604.3167454973434</v>
      </c>
    </row>
    <row r="108" spans="1:31" x14ac:dyDescent="0.2">
      <c r="A108" s="244">
        <v>9.9498999999999994E-3</v>
      </c>
      <c r="B108" s="244">
        <v>1.43257E-2</v>
      </c>
      <c r="C108" s="245">
        <v>4.33067E-3</v>
      </c>
      <c r="D108" s="246">
        <f>IF(CouplingMode="AC",B108-(A$11-A$10)*SUM(B$9:B108)/0.21,B108)</f>
        <v>1.43257E-2</v>
      </c>
      <c r="E108" s="247">
        <f t="shared" si="58"/>
        <v>0.41150485227083994</v>
      </c>
      <c r="F108" s="247">
        <f t="shared" si="59"/>
        <v>0.41150485227083994</v>
      </c>
      <c r="G108" s="248">
        <f t="shared" si="60"/>
        <v>6.832727259927804E+16</v>
      </c>
      <c r="H108" s="249">
        <f t="shared" si="61"/>
        <v>4.2708369781238164E-4</v>
      </c>
      <c r="I108" s="248">
        <f>IF(MobilityModel=DK,CalcDeltaN(H108,SampleDoping,Thickness,AreaFrac),CalcDeltaNDL(H108,AreaFrac,Thickness,SampleType,SampleDoping,Temperature))</f>
        <v>84717255660120.922</v>
      </c>
      <c r="J108" s="248" t="str">
        <f t="shared" si="62"/>
        <v/>
      </c>
      <c r="K108" s="248">
        <f t="shared" si="63"/>
        <v>84717255660120.922</v>
      </c>
      <c r="L108" s="250">
        <f t="shared" si="71"/>
        <v>-6.5040893794153856E+16</v>
      </c>
      <c r="M108" s="196" t="str">
        <f t="shared" si="64"/>
        <v/>
      </c>
      <c r="N108" s="196" t="str">
        <f t="shared" si="65"/>
        <v/>
      </c>
      <c r="O108" s="250">
        <f t="shared" si="66"/>
        <v>84717255660120.922</v>
      </c>
      <c r="P108" s="248">
        <f t="shared" si="72"/>
        <v>2.3856447268106053E-5</v>
      </c>
      <c r="Q108" s="250" t="str">
        <f t="shared" ref="Q108:Q133" si="73">IF($J108="","",P108)</f>
        <v/>
      </c>
      <c r="R108" s="251" t="str">
        <f t="shared" si="57"/>
        <v/>
      </c>
      <c r="S108" s="252">
        <f>IF(AND(E108&gt;0.95*BiasLight,E108&lt;1.05*BiasLight),"",IF(AugerModel="Sinton",calclifetimeauger(Auger_Coefficient,I108,P108),calclifetimerichter(SampleType,I108,SampleDoping,P108)))</f>
        <v>41917.377912132004</v>
      </c>
      <c r="T108" s="201" t="str">
        <f t="shared" ref="T108:T133" si="74">IF($J108="","",S108)</f>
        <v/>
      </c>
      <c r="U108" s="252">
        <f t="shared" si="67"/>
        <v>28560.329329235381</v>
      </c>
      <c r="V108" s="251" t="str">
        <f>IF(AugerModel="Sinton","",IF(SampleType="n-type",n_intr_boltzmann(SampleDoping,0,K108,Temperature+273.15),n_intr_boltzmann(0,SampleDoping,K108,Temperature+273.15)))</f>
        <v/>
      </c>
      <c r="W108" s="251" t="str">
        <f t="shared" si="51"/>
        <v/>
      </c>
      <c r="X108" s="246">
        <f>IF(AND(A108&gt;TimeofMaxCD,I108&gt;Traps),IF(AugerModel="Sinton",CalcImpliedV(SampleDoping,O108),CalcImpliedVRichter(O108,SampleDoping,V108)),"")</f>
        <v>0.56804606688302317</v>
      </c>
      <c r="Y108" s="253">
        <f t="shared" si="68"/>
        <v>0.41918241630249936</v>
      </c>
      <c r="Z108" s="200" t="str">
        <f t="shared" si="69"/>
        <v/>
      </c>
      <c r="AE108" s="251">
        <f t="shared" si="70"/>
        <v>1605.5451850028501</v>
      </c>
    </row>
    <row r="109" spans="1:31" x14ac:dyDescent="0.2">
      <c r="A109" s="244">
        <v>1.00499E-2</v>
      </c>
      <c r="B109" s="244">
        <v>1.37202E-2</v>
      </c>
      <c r="C109" s="245">
        <v>4.0972700000000001E-3</v>
      </c>
      <c r="D109" s="246">
        <f>IF(CouplingMode="AC",B109-(A$11-A$10)*SUM(B$9:B109)/0.21,B109)</f>
        <v>1.37202E-2</v>
      </c>
      <c r="E109" s="247">
        <f t="shared" si="58"/>
        <v>0.38932693695519266</v>
      </c>
      <c r="F109" s="247">
        <f t="shared" si="59"/>
        <v>0.38932693695519266</v>
      </c>
      <c r="G109" s="248">
        <f t="shared" si="60"/>
        <v>6.464479727221052E+16</v>
      </c>
      <c r="H109" s="249">
        <f t="shared" si="61"/>
        <v>4.0902859635249828E-4</v>
      </c>
      <c r="I109" s="248">
        <f>IF(MobilityModel=DK,CalcDeltaN(H109,SampleDoping,Thickness,AreaFrac),CalcDeltaNDL(H109,AreaFrac,Thickness,SampleType,SampleDoping,Temperature))</f>
        <v>81107387371609.891</v>
      </c>
      <c r="J109" s="248" t="str">
        <f t="shared" si="62"/>
        <v/>
      </c>
      <c r="K109" s="248">
        <f t="shared" si="63"/>
        <v>81107387371609.891</v>
      </c>
      <c r="L109" s="250">
        <f t="shared" si="71"/>
        <v>-5.5324600046583752E+16</v>
      </c>
      <c r="M109" s="196" t="str">
        <f t="shared" si="64"/>
        <v/>
      </c>
      <c r="N109" s="196" t="str">
        <f t="shared" si="65"/>
        <v/>
      </c>
      <c r="O109" s="250">
        <f t="shared" si="66"/>
        <v>81107387371609.891</v>
      </c>
      <c r="P109" s="248">
        <f t="shared" si="72"/>
        <v>2.4185685716869791E-5</v>
      </c>
      <c r="Q109" s="250" t="str">
        <f t="shared" si="73"/>
        <v/>
      </c>
      <c r="R109" s="251" t="str">
        <f t="shared" ref="R109:R133" si="75">IF(Q109="","",1/Q109)</f>
        <v/>
      </c>
      <c r="S109" s="252">
        <f>IF(AND(E109&gt;0.95*BiasLight,E109&lt;1.05*BiasLight),"",IF(AugerModel="Sinton",calclifetimeauger(Auger_Coefficient,I109,P109),calclifetimerichter(SampleType,I109,SampleDoping,P109)))</f>
        <v>41346.759715437191</v>
      </c>
      <c r="T109" s="201" t="str">
        <f t="shared" si="74"/>
        <v/>
      </c>
      <c r="U109" s="252">
        <f t="shared" si="67"/>
        <v>28581.325399224705</v>
      </c>
      <c r="V109" s="251" t="str">
        <f>IF(AugerModel="Sinton","",IF(SampleType="n-type",n_intr_boltzmann(SampleDoping,0,K109,Temperature+273.15),n_intr_boltzmann(0,SampleDoping,K109,Temperature+273.15)))</f>
        <v/>
      </c>
      <c r="W109" s="251" t="str">
        <f t="shared" si="51"/>
        <v/>
      </c>
      <c r="X109" s="246">
        <f>IF(AND(A109&gt;TimeofMaxCD,I109&gt;Traps),IF(AugerModel="Sinton",CalcImpliedV(SampleDoping,O109),CalcImpliedVRichter(O109,SampleDoping,V109)),"")</f>
        <v>0.56690088645820635</v>
      </c>
      <c r="Y109" s="253">
        <f t="shared" si="68"/>
        <v>0.39585756921753368</v>
      </c>
      <c r="Z109" s="200" t="str">
        <f t="shared" si="69"/>
        <v/>
      </c>
      <c r="AE109" s="251">
        <f t="shared" si="70"/>
        <v>1606.1077457899275</v>
      </c>
    </row>
    <row r="110" spans="1:31" x14ac:dyDescent="0.2">
      <c r="A110" s="244">
        <v>1.01499E-2</v>
      </c>
      <c r="B110" s="244">
        <v>1.2475099999999999E-2</v>
      </c>
      <c r="C110" s="245">
        <v>3.88047E-3</v>
      </c>
      <c r="D110" s="246">
        <f>IF(CouplingMode="AC",B110-(A$11-A$10)*SUM(B$9:B110)/0.21,B110)</f>
        <v>1.2475099999999999E-2</v>
      </c>
      <c r="E110" s="247">
        <f t="shared" si="58"/>
        <v>0.36872637122926155</v>
      </c>
      <c r="F110" s="247">
        <f t="shared" si="59"/>
        <v>0.36872637122926155</v>
      </c>
      <c r="G110" s="248">
        <f t="shared" si="60"/>
        <v>6.1224228930701352E+16</v>
      </c>
      <c r="H110" s="249">
        <f t="shared" si="61"/>
        <v>3.7190260462335433E-4</v>
      </c>
      <c r="I110" s="248">
        <f>IF(MobilityModel=DK,CalcDeltaN(H110,SampleDoping,Thickness,AreaFrac),CalcDeltaNDL(H110,AreaFrac,Thickness,SampleType,SampleDoping,Temperature))</f>
        <v>73690460933525.922</v>
      </c>
      <c r="J110" s="248" t="str">
        <f t="shared" si="62"/>
        <v/>
      </c>
      <c r="K110" s="248">
        <f t="shared" si="63"/>
        <v>73690460933525.922</v>
      </c>
      <c r="L110" s="250">
        <f t="shared" si="71"/>
        <v>-4.0367639485091248E+16</v>
      </c>
      <c r="M110" s="196" t="str">
        <f t="shared" si="64"/>
        <v/>
      </c>
      <c r="N110" s="196" t="str">
        <f t="shared" si="65"/>
        <v/>
      </c>
      <c r="O110" s="250">
        <f t="shared" si="66"/>
        <v>73690460933525.922</v>
      </c>
      <c r="P110" s="248">
        <f t="shared" si="72"/>
        <v>2.3289896170337693E-5</v>
      </c>
      <c r="Q110" s="250" t="str">
        <f t="shared" si="73"/>
        <v/>
      </c>
      <c r="R110" s="251" t="str">
        <f t="shared" si="75"/>
        <v/>
      </c>
      <c r="S110" s="252">
        <f>IF(AND(E110&gt;0.95*BiasLight,E110&lt;1.05*BiasLight),"",IF(AugerModel="Sinton",calclifetimeauger(Auger_Coefficient,I110,P110),calclifetimerichter(SampleType,I110,SampleDoping,P110)))</f>
        <v>42937.065186755332</v>
      </c>
      <c r="T110" s="201" t="str">
        <f t="shared" si="74"/>
        <v/>
      </c>
      <c r="U110" s="252">
        <f t="shared" si="67"/>
        <v>28624.464454213303</v>
      </c>
      <c r="V110" s="251" t="str">
        <f>IF(AugerModel="Sinton","",IF(SampleType="n-type",n_intr_boltzmann(SampleDoping,0,K110,Temperature+273.15),n_intr_boltzmann(0,SampleDoping,K110,Temperature+273.15)))</f>
        <v/>
      </c>
      <c r="W110" s="251" t="str">
        <f t="shared" si="51"/>
        <v/>
      </c>
      <c r="X110" s="246">
        <f>IF(AND(A110&gt;TimeofMaxCD,I110&gt;Traps),IF(AugerModel="Sinton",CalcImpliedV(SampleDoping,O110),CalcImpliedVRichter(O110,SampleDoping,V110)),"")</f>
        <v>0.56438265881479321</v>
      </c>
      <c r="Y110" s="253">
        <f t="shared" si="68"/>
        <v>0.37349145237858589</v>
      </c>
      <c r="Z110" s="200" t="str">
        <f t="shared" si="69"/>
        <v/>
      </c>
      <c r="AE110" s="251">
        <f t="shared" si="70"/>
        <v>1607.3089529897263</v>
      </c>
    </row>
    <row r="111" spans="1:31" x14ac:dyDescent="0.2">
      <c r="A111" s="244">
        <v>1.0249899999999999E-2</v>
      </c>
      <c r="B111" s="244">
        <v>1.1982E-2</v>
      </c>
      <c r="C111" s="245">
        <v>3.6822299999999999E-3</v>
      </c>
      <c r="D111" s="246">
        <f>IF(CouplingMode="AC",B111-(A$11-A$10)*SUM(B$9:B111)/0.21,B111)</f>
        <v>1.1982E-2</v>
      </c>
      <c r="E111" s="247">
        <f t="shared" si="58"/>
        <v>0.34988939636990463</v>
      </c>
      <c r="F111" s="247">
        <f t="shared" si="59"/>
        <v>0.34988939636990463</v>
      </c>
      <c r="G111" s="248">
        <f t="shared" si="60"/>
        <v>5.8096491532081536E+16</v>
      </c>
      <c r="H111" s="249">
        <f t="shared" si="61"/>
        <v>3.5719988743556069E-4</v>
      </c>
      <c r="I111" s="248">
        <f>IF(MobilityModel=DK,CalcDeltaN(H111,SampleDoping,Thickness,AreaFrac),CalcDeltaNDL(H111,AreaFrac,Thickness,SampleType,SampleDoping,Temperature))</f>
        <v>70755458155712.453</v>
      </c>
      <c r="J111" s="248" t="str">
        <f t="shared" si="62"/>
        <v/>
      </c>
      <c r="K111" s="248">
        <f t="shared" si="63"/>
        <v>70755458155712.453</v>
      </c>
      <c r="L111" s="250">
        <f t="shared" si="71"/>
        <v>-3.786955206137424E+16</v>
      </c>
      <c r="M111" s="196" t="str">
        <f t="shared" si="64"/>
        <v/>
      </c>
      <c r="N111" s="196" t="str">
        <f t="shared" si="65"/>
        <v/>
      </c>
      <c r="O111" s="250">
        <f t="shared" si="66"/>
        <v>70755458155712.453</v>
      </c>
      <c r="P111" s="248">
        <f t="shared" si="72"/>
        <v>2.3569626126153333E-5</v>
      </c>
      <c r="Q111" s="250" t="str">
        <f t="shared" si="73"/>
        <v/>
      </c>
      <c r="R111" s="251" t="str">
        <f t="shared" si="75"/>
        <v/>
      </c>
      <c r="S111" s="252">
        <f>IF(AND(E111&gt;0.95*BiasLight,E111&lt;1.05*BiasLight),"",IF(AugerModel="Sinton",calclifetimeauger(Auger_Coefficient,I111,P111),calclifetimerichter(SampleType,I111,SampleDoping,P111)))</f>
        <v>42427.478432278913</v>
      </c>
      <c r="T111" s="201" t="str">
        <f t="shared" si="74"/>
        <v/>
      </c>
      <c r="U111" s="252">
        <f t="shared" si="67"/>
        <v>28641.535305229656</v>
      </c>
      <c r="V111" s="251" t="str">
        <f>IF(AugerModel="Sinton","",IF(SampleType="n-type",n_intr_boltzmann(SampleDoping,0,K111,Temperature+273.15),n_intr_boltzmann(0,SampleDoping,K111,Temperature+273.15)))</f>
        <v/>
      </c>
      <c r="W111" s="251" t="str">
        <f t="shared" si="51"/>
        <v/>
      </c>
      <c r="X111" s="246">
        <f>IF(AND(A111&gt;TimeofMaxCD,I111&gt;Traps),IF(AugerModel="Sinton",CalcImpliedV(SampleDoping,O111),CalcImpliedVRichter(O111,SampleDoping,V111)),"")</f>
        <v>0.56331690868120998</v>
      </c>
      <c r="Y111" s="253">
        <f t="shared" si="68"/>
        <v>0.35435959802060202</v>
      </c>
      <c r="Z111" s="200" t="str">
        <f t="shared" si="69"/>
        <v/>
      </c>
      <c r="AE111" s="251">
        <f t="shared" si="70"/>
        <v>1607.8028079400933</v>
      </c>
    </row>
    <row r="112" spans="1:31" x14ac:dyDescent="0.2">
      <c r="A112" s="244">
        <v>1.03499E-2</v>
      </c>
      <c r="B112" s="244">
        <v>1.1806199999999999E-2</v>
      </c>
      <c r="C112" s="245">
        <v>3.4830099999999999E-3</v>
      </c>
      <c r="D112" s="246">
        <f>IF(CouplingMode="AC",B112-(A$11-A$10)*SUM(B$9:B112)/0.21,B112)</f>
        <v>1.1806199999999999E-2</v>
      </c>
      <c r="E112" s="247">
        <f t="shared" si="58"/>
        <v>0.33095930087211867</v>
      </c>
      <c r="F112" s="247">
        <f t="shared" si="59"/>
        <v>0.33095930087211867</v>
      </c>
      <c r="G112" s="248">
        <f t="shared" si="60"/>
        <v>5.4953292154796224E+16</v>
      </c>
      <c r="H112" s="249">
        <f t="shared" si="61"/>
        <v>3.5195812721999526E-4</v>
      </c>
      <c r="I112" s="248">
        <f>IF(MobilityModel=DK,CalcDeltaN(H112,SampleDoping,Thickness,AreaFrac),CalcDeltaNDL(H112,AreaFrac,Thickness,SampleType,SampleDoping,Temperature))</f>
        <v>69709400525523.984</v>
      </c>
      <c r="J112" s="248" t="str">
        <f t="shared" si="62"/>
        <v/>
      </c>
      <c r="K112" s="248">
        <f t="shared" si="63"/>
        <v>69709400525523.984</v>
      </c>
      <c r="L112" s="250">
        <f t="shared" si="71"/>
        <v>-3.4873771950924152E+16</v>
      </c>
      <c r="M112" s="196" t="str">
        <f t="shared" si="64"/>
        <v/>
      </c>
      <c r="N112" s="196" t="str">
        <f t="shared" si="65"/>
        <v/>
      </c>
      <c r="O112" s="250">
        <f t="shared" si="66"/>
        <v>69709400525523.984</v>
      </c>
      <c r="P112" s="248">
        <f t="shared" si="72"/>
        <v>2.4557555541944087E-5</v>
      </c>
      <c r="Q112" s="250" t="str">
        <f t="shared" si="73"/>
        <v/>
      </c>
      <c r="R112" s="251" t="str">
        <f t="shared" si="75"/>
        <v/>
      </c>
      <c r="S112" s="252">
        <f>IF(AND(E112&gt;0.95*BiasLight,E112&lt;1.05*BiasLight),"",IF(AugerModel="Sinton",calclifetimeauger(Auger_Coefficient,I112,P112),calclifetimerichter(SampleType,I112,SampleDoping,P112)))</f>
        <v>40720.657241145687</v>
      </c>
      <c r="T112" s="201" t="str">
        <f t="shared" si="74"/>
        <v/>
      </c>
      <c r="U112" s="252">
        <f t="shared" si="67"/>
        <v>28647.619488213895</v>
      </c>
      <c r="V112" s="251" t="str">
        <f>IF(AugerModel="Sinton","",IF(SampleType="n-type",n_intr_boltzmann(SampleDoping,0,K112,Temperature+273.15),n_intr_boltzmann(0,SampleDoping,K112,Temperature+273.15)))</f>
        <v/>
      </c>
      <c r="W112" s="251" t="str">
        <f t="shared" si="51"/>
        <v/>
      </c>
      <c r="X112" s="246">
        <f>IF(AND(A112&gt;TimeofMaxCD,I112&gt;Traps),IF(AugerModel="Sinton",CalcImpliedV(SampleDoping,O112),CalcImpliedVRichter(O112,SampleDoping,V112)),"")</f>
        <v>0.56292656115833384</v>
      </c>
      <c r="Y112" s="253">
        <f t="shared" si="68"/>
        <v>0.33507587433167296</v>
      </c>
      <c r="Z112" s="200" t="str">
        <f t="shared" si="69"/>
        <v/>
      </c>
      <c r="AE112" s="251">
        <f t="shared" si="70"/>
        <v>1607.9815711422414</v>
      </c>
    </row>
    <row r="113" spans="1:31" x14ac:dyDescent="0.2">
      <c r="A113" s="244">
        <v>1.04499E-2</v>
      </c>
      <c r="B113" s="244">
        <v>1.0873600000000001E-2</v>
      </c>
      <c r="C113" s="245">
        <v>3.2798800000000002E-3</v>
      </c>
      <c r="D113" s="246">
        <f>IF(CouplingMode="AC",B113-(A$11-A$10)*SUM(B$9:B113)/0.21,B113)</f>
        <v>1.0873600000000001E-2</v>
      </c>
      <c r="E113" s="247">
        <f t="shared" si="58"/>
        <v>0.31165767303121283</v>
      </c>
      <c r="F113" s="247">
        <f t="shared" si="59"/>
        <v>0.31165767303121283</v>
      </c>
      <c r="G113" s="248">
        <f t="shared" si="60"/>
        <v>5.1748402638141448E+16</v>
      </c>
      <c r="H113" s="249">
        <f t="shared" si="61"/>
        <v>3.2415161428889314E-4</v>
      </c>
      <c r="I113" s="248">
        <f>IF(MobilityModel=DK,CalcDeltaN(H113,SampleDoping,Thickness,AreaFrac),CalcDeltaNDL(H113,AreaFrac,Thickness,SampleType,SampleDoping,Temperature))</f>
        <v>64163141544923.742</v>
      </c>
      <c r="J113" s="248" t="str">
        <f t="shared" si="62"/>
        <v/>
      </c>
      <c r="K113" s="248">
        <f t="shared" si="63"/>
        <v>64163141544923.742</v>
      </c>
      <c r="L113" s="250">
        <f t="shared" si="71"/>
        <v>-3.8891931922191376E+16</v>
      </c>
      <c r="M113" s="196" t="str">
        <f t="shared" si="64"/>
        <v/>
      </c>
      <c r="N113" s="196" t="str">
        <f t="shared" si="65"/>
        <v/>
      </c>
      <c r="O113" s="250">
        <f t="shared" si="66"/>
        <v>64163141544923.742</v>
      </c>
      <c r="P113" s="248">
        <f t="shared" si="72"/>
        <v>2.3949365470356897E-5</v>
      </c>
      <c r="Q113" s="250" t="str">
        <f t="shared" si="73"/>
        <v/>
      </c>
      <c r="R113" s="251" t="str">
        <f t="shared" si="75"/>
        <v/>
      </c>
      <c r="S113" s="252">
        <f>IF(AND(E113&gt;0.95*BiasLight,E113&lt;1.05*BiasLight),"",IF(AugerModel="Sinton",calclifetimeauger(Auger_Coefficient,I113,P113),calclifetimerichter(SampleType,I113,SampleDoping,P113)))</f>
        <v>41754.75285832255</v>
      </c>
      <c r="T113" s="201" t="str">
        <f t="shared" si="74"/>
        <v/>
      </c>
      <c r="U113" s="252">
        <f t="shared" si="67"/>
        <v>28679.878183664423</v>
      </c>
      <c r="V113" s="251" t="str">
        <f>IF(AugerModel="Sinton","",IF(SampleType="n-type",n_intr_boltzmann(SampleDoping,0,K113,Temperature+273.15),n_intr_boltzmann(0,SampleDoping,K113,Temperature+273.15)))</f>
        <v/>
      </c>
      <c r="W113" s="251" t="str">
        <f t="shared" si="51"/>
        <v/>
      </c>
      <c r="X113" s="246">
        <f>IF(AND(A113&gt;TimeofMaxCD,I113&gt;Traps),IF(AugerModel="Sinton",CalcImpliedV(SampleDoping,O113),CalcImpliedVRichter(O113,SampleDoping,V113)),"")</f>
        <v>0.56075579362327721</v>
      </c>
      <c r="Y113" s="253">
        <f t="shared" si="68"/>
        <v>0.31624855855305967</v>
      </c>
      <c r="Z113" s="200" t="str">
        <f t="shared" si="69"/>
        <v/>
      </c>
      <c r="AE113" s="251">
        <f t="shared" si="70"/>
        <v>1608.9553270391002</v>
      </c>
    </row>
    <row r="114" spans="1:31" x14ac:dyDescent="0.2">
      <c r="A114" s="244">
        <v>1.0549899999999999E-2</v>
      </c>
      <c r="B114" s="244">
        <v>1.0097200000000001E-2</v>
      </c>
      <c r="C114" s="245">
        <v>3.0914100000000002E-3</v>
      </c>
      <c r="D114" s="246">
        <f>IF(CouplingMode="AC",B114-(A$11-A$10)*SUM(B$9:B114)/0.21,B114)</f>
        <v>1.0097200000000001E-2</v>
      </c>
      <c r="E114" s="247">
        <f t="shared" si="58"/>
        <v>0.29374905392435752</v>
      </c>
      <c r="F114" s="247">
        <f t="shared" si="59"/>
        <v>0.29374905392435752</v>
      </c>
      <c r="G114" s="248">
        <f t="shared" si="60"/>
        <v>4.8774811700299064E+16</v>
      </c>
      <c r="H114" s="249">
        <f t="shared" si="61"/>
        <v>3.0100296773911527E-4</v>
      </c>
      <c r="I114" s="248">
        <f>IF(MobilityModel=DK,CalcDeltaN(H114,SampleDoping,Thickness,AreaFrac),CalcDeltaNDL(H114,AreaFrac,Thickness,SampleType,SampleDoping,Temperature))</f>
        <v>59549733263458.203</v>
      </c>
      <c r="J114" s="248" t="str">
        <f t="shared" si="62"/>
        <v/>
      </c>
      <c r="K114" s="248">
        <f t="shared" si="63"/>
        <v>59549733263458.203</v>
      </c>
      <c r="L114" s="250">
        <f t="shared" si="71"/>
        <v>-3.8992820473774336E+16</v>
      </c>
      <c r="M114" s="196" t="str">
        <f t="shared" si="64"/>
        <v/>
      </c>
      <c r="N114" s="196" t="str">
        <f t="shared" si="65"/>
        <v/>
      </c>
      <c r="O114" s="250">
        <f t="shared" si="66"/>
        <v>59549733263458.203</v>
      </c>
      <c r="P114" s="248">
        <f t="shared" si="72"/>
        <v>2.3560691568028194E-5</v>
      </c>
      <c r="Q114" s="250" t="str">
        <f t="shared" si="73"/>
        <v/>
      </c>
      <c r="R114" s="251" t="str">
        <f t="shared" si="75"/>
        <v/>
      </c>
      <c r="S114" s="252">
        <f>IF(AND(E114&gt;0.95*BiasLight,E114&lt;1.05*BiasLight),"",IF(AugerModel="Sinton",calclifetimeauger(Auger_Coefficient,I114,P114),calclifetimerichter(SampleType,I114,SampleDoping,P114)))</f>
        <v>42443.569978379062</v>
      </c>
      <c r="T114" s="201" t="str">
        <f t="shared" si="74"/>
        <v/>
      </c>
      <c r="U114" s="252">
        <f t="shared" si="67"/>
        <v>28706.711141386248</v>
      </c>
      <c r="V114" s="251" t="str">
        <f>IF(AugerModel="Sinton","",IF(SampleType="n-type",n_intr_boltzmann(SampleDoping,0,K114,Temperature+273.15),n_intr_boltzmann(0,SampleDoping,K114,Temperature+273.15)))</f>
        <v/>
      </c>
      <c r="W114" s="251" t="str">
        <f t="shared" si="51"/>
        <v/>
      </c>
      <c r="X114" s="246">
        <f>IF(AND(A114&gt;TimeofMaxCD,I114&gt;Traps),IF(AugerModel="Sinton",CalcImpliedV(SampleDoping,O114),CalcImpliedVRichter(O114,SampleDoping,V114)),"")</f>
        <v>0.55880480463598203</v>
      </c>
      <c r="Y114" s="253">
        <f t="shared" si="68"/>
        <v>0.29835184854323016</v>
      </c>
      <c r="Z114" s="200" t="str">
        <f t="shared" si="69"/>
        <v/>
      </c>
      <c r="AE114" s="251">
        <f t="shared" si="70"/>
        <v>1609.8016712056349</v>
      </c>
    </row>
    <row r="115" spans="1:31" x14ac:dyDescent="0.2">
      <c r="A115" s="244">
        <v>1.06499E-2</v>
      </c>
      <c r="B115" s="244">
        <v>9.5649700000000008E-3</v>
      </c>
      <c r="C115" s="245">
        <v>2.9478500000000001E-3</v>
      </c>
      <c r="D115" s="246">
        <f>IF(CouplingMode="AC",B115-(A$11-A$10)*SUM(B$9:B115)/0.21,B115)</f>
        <v>9.5649700000000008E-3</v>
      </c>
      <c r="E115" s="247">
        <f t="shared" si="58"/>
        <v>0.28010783060510164</v>
      </c>
      <c r="F115" s="247">
        <f t="shared" si="59"/>
        <v>0.28010783060510164</v>
      </c>
      <c r="G115" s="248">
        <f t="shared" si="60"/>
        <v>4.6509789601096776E+16</v>
      </c>
      <c r="H115" s="249">
        <f t="shared" si="61"/>
        <v>2.8513464689982389E-4</v>
      </c>
      <c r="I115" s="248">
        <f>IF(MobilityModel=DK,CalcDeltaN(H115,SampleDoping,Thickness,AreaFrac),CalcDeltaNDL(H115,AreaFrac,Thickness,SampleType,SampleDoping,Temperature))</f>
        <v>56389325825649.625</v>
      </c>
      <c r="J115" s="248" t="str">
        <f t="shared" si="62"/>
        <v/>
      </c>
      <c r="K115" s="248">
        <f t="shared" si="63"/>
        <v>56389325825649.625</v>
      </c>
      <c r="L115" s="250">
        <f t="shared" si="71"/>
        <v>-4.277311598973888E+16</v>
      </c>
      <c r="M115" s="196" t="str">
        <f t="shared" si="64"/>
        <v/>
      </c>
      <c r="N115" s="196" t="str">
        <f t="shared" si="65"/>
        <v/>
      </c>
      <c r="O115" s="250">
        <f t="shared" si="66"/>
        <v>56389325825649.625</v>
      </c>
      <c r="P115" s="248">
        <f t="shared" si="72"/>
        <v>2.3342642894798732E-5</v>
      </c>
      <c r="Q115" s="250" t="str">
        <f t="shared" si="73"/>
        <v/>
      </c>
      <c r="R115" s="251" t="str">
        <f t="shared" si="75"/>
        <v/>
      </c>
      <c r="S115" s="252">
        <f>IF(AND(E115&gt;0.95*BiasLight,E115&lt;1.05*BiasLight),"",IF(AugerModel="Sinton",calclifetimeauger(Auger_Coefficient,I115,P115),calclifetimerichter(SampleType,I115,SampleDoping,P115)))</f>
        <v>42840.045203755879</v>
      </c>
      <c r="T115" s="201" t="str">
        <f t="shared" si="74"/>
        <v/>
      </c>
      <c r="U115" s="252">
        <f t="shared" si="67"/>
        <v>28725.093013093367</v>
      </c>
      <c r="V115" s="251" t="str">
        <f>IF(AugerModel="Sinton","",IF(SampleType="n-type",n_intr_boltzmann(SampleDoping,0,K115,Temperature+273.15),n_intr_boltzmann(0,SampleDoping,K115,Temperature+273.15)))</f>
        <v/>
      </c>
      <c r="W115" s="251" t="str">
        <f t="shared" si="51"/>
        <v/>
      </c>
      <c r="X115" s="246">
        <f>IF(AND(A115&gt;TimeofMaxCD,I115&gt;Traps),IF(AugerModel="Sinton",CalcImpliedV(SampleDoping,O115),CalcImpliedVRichter(O115,SampleDoping,V115)),"")</f>
        <v>0.55738050981095255</v>
      </c>
      <c r="Y115" s="253">
        <f t="shared" si="68"/>
        <v>0.28515685926519563</v>
      </c>
      <c r="Z115" s="200" t="str">
        <f t="shared" si="69"/>
        <v/>
      </c>
      <c r="AE115" s="251">
        <f t="shared" si="70"/>
        <v>1610.4027611138722</v>
      </c>
    </row>
    <row r="116" spans="1:31" x14ac:dyDescent="0.2">
      <c r="A116" s="244">
        <v>1.07499E-2</v>
      </c>
      <c r="B116" s="244">
        <v>9.17923E-3</v>
      </c>
      <c r="C116" s="245">
        <v>2.75742E-3</v>
      </c>
      <c r="D116" s="246">
        <f>IF(CouplingMode="AC",B116-(A$11-A$10)*SUM(B$9:B116)/0.21,B116)</f>
        <v>9.17923E-3</v>
      </c>
      <c r="E116" s="247">
        <f t="shared" si="58"/>
        <v>0.26201297022138825</v>
      </c>
      <c r="F116" s="247">
        <f t="shared" si="59"/>
        <v>0.26201297022138825</v>
      </c>
      <c r="G116" s="248">
        <f t="shared" si="60"/>
        <v>4.3505274705923392E+16</v>
      </c>
      <c r="H116" s="249">
        <f t="shared" si="61"/>
        <v>2.7363405037553797E-4</v>
      </c>
      <c r="I116" s="248">
        <f>IF(MobilityModel=DK,CalcDeltaN(H116,SampleDoping,Thickness,AreaFrac),CalcDeltaNDL(H116,AreaFrac,Thickness,SampleType,SampleDoping,Temperature))</f>
        <v>54099898148273.883</v>
      </c>
      <c r="J116" s="248" t="str">
        <f t="shared" si="62"/>
        <v/>
      </c>
      <c r="K116" s="248">
        <f t="shared" si="63"/>
        <v>54099898148273.883</v>
      </c>
      <c r="L116" s="250">
        <f t="shared" si="71"/>
        <v>-4.2107839866229192E+16</v>
      </c>
      <c r="M116" s="196" t="str">
        <f t="shared" si="64"/>
        <v/>
      </c>
      <c r="N116" s="196" t="str">
        <f t="shared" si="65"/>
        <v/>
      </c>
      <c r="O116" s="250">
        <f t="shared" si="66"/>
        <v>54099898148273.883</v>
      </c>
      <c r="P116" s="248">
        <f t="shared" si="72"/>
        <v>2.3919330709544442E-5</v>
      </c>
      <c r="Q116" s="250" t="str">
        <f t="shared" si="73"/>
        <v/>
      </c>
      <c r="R116" s="251" t="str">
        <f t="shared" si="75"/>
        <v/>
      </c>
      <c r="S116" s="252">
        <f>IF(AND(E116&gt;0.95*BiasLight,E116&lt;1.05*BiasLight),"",IF(AugerModel="Sinton",calclifetimeauger(Auger_Coefficient,I116,P116),calclifetimerichter(SampleType,I116,SampleDoping,P116)))</f>
        <v>41807.184989052941</v>
      </c>
      <c r="T116" s="201" t="str">
        <f t="shared" si="74"/>
        <v/>
      </c>
      <c r="U116" s="252">
        <f t="shared" si="67"/>
        <v>28738.409006893657</v>
      </c>
      <c r="V116" s="251" t="str">
        <f>IF(AugerModel="Sinton","",IF(SampleType="n-type",n_intr_boltzmann(SampleDoping,0,K116,Temperature+273.15),n_intr_boltzmann(0,SampleDoping,K116,Temperature+273.15)))</f>
        <v/>
      </c>
      <c r="W116" s="251" t="str">
        <f t="shared" si="51"/>
        <v/>
      </c>
      <c r="X116" s="246">
        <f>IF(AND(A116&gt;TimeofMaxCD,I116&gt;Traps),IF(AugerModel="Sinton",CalcImpliedV(SampleDoping,O116),CalcImpliedVRichter(O116,SampleDoping,V116)),"")</f>
        <v>0.55629877919293458</v>
      </c>
      <c r="Y116" s="253">
        <f t="shared" si="68"/>
        <v>0.26698346828728192</v>
      </c>
      <c r="Z116" s="200" t="str">
        <f t="shared" si="69"/>
        <v/>
      </c>
      <c r="AE116" s="251">
        <f t="shared" si="70"/>
        <v>1610.8500258685333</v>
      </c>
    </row>
    <row r="117" spans="1:31" x14ac:dyDescent="0.2">
      <c r="A117" s="244">
        <v>1.0849900000000001E-2</v>
      </c>
      <c r="B117" s="244">
        <v>7.7290299999999996E-3</v>
      </c>
      <c r="C117" s="245">
        <v>2.61875E-3</v>
      </c>
      <c r="D117" s="246">
        <f>IF(CouplingMode="AC",B117-(A$11-A$10)*SUM(B$9:B117)/0.21,B117)</f>
        <v>7.7290299999999996E-3</v>
      </c>
      <c r="E117" s="247">
        <f t="shared" si="58"/>
        <v>0.24883639988368128</v>
      </c>
      <c r="F117" s="247">
        <f t="shared" si="59"/>
        <v>0.24883639988368128</v>
      </c>
      <c r="G117" s="248">
        <f t="shared" si="60"/>
        <v>4.1317404724756064E+16</v>
      </c>
      <c r="H117" s="249">
        <f t="shared" si="61"/>
        <v>2.3039842653408815E-4</v>
      </c>
      <c r="I117" s="248">
        <f>IF(MobilityModel=DK,CalcDeltaN(H117,SampleDoping,Thickness,AreaFrac),CalcDeltaNDL(H117,AreaFrac,Thickness,SampleType,SampleDoping,Temperature))</f>
        <v>45501501107646.414</v>
      </c>
      <c r="J117" s="248" t="str">
        <f t="shared" si="62"/>
        <v/>
      </c>
      <c r="K117" s="248">
        <f t="shared" si="63"/>
        <v>45501501107646.414</v>
      </c>
      <c r="L117" s="250">
        <f t="shared" si="71"/>
        <v>-3.9338222050848472E+16</v>
      </c>
      <c r="M117" s="196" t="str">
        <f t="shared" si="64"/>
        <v/>
      </c>
      <c r="N117" s="196" t="str">
        <f t="shared" si="65"/>
        <v/>
      </c>
      <c r="O117" s="250">
        <f t="shared" si="66"/>
        <v>45501501107646.414</v>
      </c>
      <c r="P117" s="248">
        <f t="shared" si="72"/>
        <v>2.1189418079018345E-5</v>
      </c>
      <c r="Q117" s="250" t="str">
        <f t="shared" si="73"/>
        <v/>
      </c>
      <c r="R117" s="251" t="str">
        <f t="shared" si="75"/>
        <v/>
      </c>
      <c r="S117" s="252">
        <f>IF(AND(E117&gt;0.95*BiasLight,E117&lt;1.05*BiasLight),"",IF(AugerModel="Sinton",calclifetimeauger(Auger_Coefficient,I117,P117),calclifetimerichter(SampleType,I117,SampleDoping,P117)))</f>
        <v>47193.364322048932</v>
      </c>
      <c r="T117" s="201" t="str">
        <f t="shared" si="74"/>
        <v/>
      </c>
      <c r="U117" s="252">
        <f t="shared" si="67"/>
        <v>28788.419847077377</v>
      </c>
      <c r="V117" s="251" t="str">
        <f>IF(AugerModel="Sinton","",IF(SampleType="n-type",n_intr_boltzmann(SampleDoping,0,K117,Temperature+273.15),n_intr_boltzmann(0,SampleDoping,K117,Temperature+273.15)))</f>
        <v/>
      </c>
      <c r="W117" s="251" t="str">
        <f t="shared" si="51"/>
        <v/>
      </c>
      <c r="X117" s="246">
        <f>IF(AND(A117&gt;TimeofMaxCD,I117&gt;Traps),IF(AugerModel="Sinton",CalcImpliedV(SampleDoping,O117),CalcImpliedVRichter(O117,SampleDoping,V117)),"")</f>
        <v>0.55178844434221741</v>
      </c>
      <c r="Y117" s="253">
        <f t="shared" si="68"/>
        <v>0.25347996643187304</v>
      </c>
      <c r="Z117" s="200" t="str">
        <f t="shared" si="69"/>
        <v/>
      </c>
      <c r="AE117" s="251">
        <f t="shared" si="70"/>
        <v>1612.6317323653977</v>
      </c>
    </row>
    <row r="118" spans="1:31" x14ac:dyDescent="0.2">
      <c r="A118" s="244">
        <v>1.09499E-2</v>
      </c>
      <c r="B118" s="244">
        <v>7.4653599999999999E-3</v>
      </c>
      <c r="C118" s="245">
        <v>2.4751999999999999E-3</v>
      </c>
      <c r="D118" s="246">
        <f>IF(CouplingMode="AC",B118-(A$11-A$10)*SUM(B$9:B118)/0.21,B118)</f>
        <v>7.4653599999999999E-3</v>
      </c>
      <c r="E118" s="247">
        <f t="shared" si="58"/>
        <v>0.23519612677502164</v>
      </c>
      <c r="F118" s="247">
        <f t="shared" si="59"/>
        <v>0.23519612677502164</v>
      </c>
      <c r="G118" s="248">
        <f t="shared" si="60"/>
        <v>3.9052540400846288E+16</v>
      </c>
      <c r="H118" s="249">
        <f t="shared" si="61"/>
        <v>2.2253768576653305E-4</v>
      </c>
      <c r="I118" s="248">
        <f>IF(MobilityModel=DK,CalcDeltaN(H118,SampleDoping,Thickness,AreaFrac),CalcDeltaNDL(H118,AreaFrac,Thickness,SampleType,SampleDoping,Temperature))</f>
        <v>43939725689345.164</v>
      </c>
      <c r="J118" s="248" t="str">
        <f t="shared" si="62"/>
        <v/>
      </c>
      <c r="K118" s="248">
        <f t="shared" si="63"/>
        <v>43939725689345.164</v>
      </c>
      <c r="L118" s="250">
        <f t="shared" si="71"/>
        <v>-2.9861159801824516E+16</v>
      </c>
      <c r="M118" s="196" t="str">
        <f t="shared" si="64"/>
        <v/>
      </c>
      <c r="N118" s="196" t="str">
        <f t="shared" si="65"/>
        <v/>
      </c>
      <c r="O118" s="250">
        <f t="shared" si="66"/>
        <v>43939725689345.164</v>
      </c>
      <c r="P118" s="248">
        <f t="shared" si="72"/>
        <v>2.1727194945369543E-5</v>
      </c>
      <c r="Q118" s="250" t="str">
        <f t="shared" si="73"/>
        <v/>
      </c>
      <c r="R118" s="251" t="str">
        <f t="shared" si="75"/>
        <v/>
      </c>
      <c r="S118" s="252">
        <f>IF(AND(E118&gt;0.95*BiasLight,E118&lt;1.05*BiasLight),"",IF(AugerModel="Sinton",calclifetimeauger(Auger_Coefficient,I118,P118),calclifetimerichter(SampleType,I118,SampleDoping,P118)))</f>
        <v>46025.266164342218</v>
      </c>
      <c r="T118" s="201" t="str">
        <f t="shared" si="74"/>
        <v/>
      </c>
      <c r="U118" s="252">
        <f t="shared" si="67"/>
        <v>28797.503598441555</v>
      </c>
      <c r="V118" s="251" t="str">
        <f>IF(AugerModel="Sinton","",IF(SampleType="n-type",n_intr_boltzmann(SampleDoping,0,K118,Temperature+273.15),n_intr_boltzmann(0,SampleDoping,K118,Temperature+273.15)))</f>
        <v/>
      </c>
      <c r="W118" s="251" t="str">
        <f t="shared" si="51"/>
        <v/>
      </c>
      <c r="X118" s="246">
        <f>IF(AND(A118&gt;TimeofMaxCD,I118&gt;Traps),IF(AugerModel="Sinton",CalcImpliedV(SampleDoping,O118),CalcImpliedVRichter(O118,SampleDoping,V118)),"")</f>
        <v>0.55087959008887177</v>
      </c>
      <c r="Y118" s="253">
        <f t="shared" si="68"/>
        <v>0.23872100094362858</v>
      </c>
      <c r="Z118" s="200" t="str">
        <f t="shared" si="69"/>
        <v/>
      </c>
      <c r="AE118" s="251">
        <f t="shared" si="70"/>
        <v>1612.9750251031653</v>
      </c>
    </row>
    <row r="119" spans="1:31" x14ac:dyDescent="0.2">
      <c r="A119" s="244">
        <v>1.10499E-2</v>
      </c>
      <c r="B119" s="244">
        <v>7.1040299999999999E-3</v>
      </c>
      <c r="C119" s="245">
        <v>2.3091800000000001E-3</v>
      </c>
      <c r="D119" s="246">
        <f>IF(CouplingMode="AC",B119-(A$11-A$10)*SUM(B$9:B119)/0.21,B119)</f>
        <v>7.1040299999999999E-3</v>
      </c>
      <c r="E119" s="247">
        <f t="shared" si="58"/>
        <v>0.21942073045666793</v>
      </c>
      <c r="F119" s="247">
        <f t="shared" si="59"/>
        <v>0.21942073045666793</v>
      </c>
      <c r="G119" s="248">
        <f t="shared" si="60"/>
        <v>3.6433154994677696E+16</v>
      </c>
      <c r="H119" s="249">
        <f t="shared" si="61"/>
        <v>2.1176552719606289E-4</v>
      </c>
      <c r="I119" s="248">
        <f>IF(MobilityModel=DK,CalcDeltaN(H119,SampleDoping,Thickness,AreaFrac),CalcDeltaNDL(H119,AreaFrac,Thickness,SampleType,SampleDoping,Temperature))</f>
        <v>41800301029689.781</v>
      </c>
      <c r="J119" s="248" t="str">
        <f t="shared" si="62"/>
        <v/>
      </c>
      <c r="K119" s="248">
        <f t="shared" si="63"/>
        <v>41800301029689.781</v>
      </c>
      <c r="L119" s="250">
        <f t="shared" si="71"/>
        <v>-1.7776579650934316E+16</v>
      </c>
      <c r="M119" s="196" t="str">
        <f t="shared" si="64"/>
        <v/>
      </c>
      <c r="N119" s="196" t="str">
        <f t="shared" si="65"/>
        <v/>
      </c>
      <c r="O119" s="250">
        <f t="shared" si="66"/>
        <v>41800301029689.781</v>
      </c>
      <c r="P119" s="248">
        <f t="shared" si="72"/>
        <v>2.2274355540546826E-5</v>
      </c>
      <c r="Q119" s="250" t="str">
        <f t="shared" si="73"/>
        <v/>
      </c>
      <c r="R119" s="251" t="str">
        <f t="shared" si="75"/>
        <v/>
      </c>
      <c r="S119" s="252">
        <f>IF(AND(E119&gt;0.95*BiasLight,E119&lt;1.05*BiasLight),"",IF(AugerModel="Sinton",calclifetimeauger(Auger_Coefficient,I119,P119),calclifetimerichter(SampleType,I119,SampleDoping,P119)))</f>
        <v>44894.674217343003</v>
      </c>
      <c r="T119" s="201" t="str">
        <f t="shared" si="74"/>
        <v/>
      </c>
      <c r="U119" s="252">
        <f t="shared" si="67"/>
        <v>28809.94712997814</v>
      </c>
      <c r="V119" s="251" t="str">
        <f>IF(AugerModel="Sinton","",IF(SampleType="n-type",n_intr_boltzmann(SampleDoping,0,K119,Temperature+273.15),n_intr_boltzmann(0,SampleDoping,K119,Temperature+273.15)))</f>
        <v/>
      </c>
      <c r="W119" s="251" t="str">
        <f t="shared" si="51"/>
        <v/>
      </c>
      <c r="X119" s="246">
        <f>IF(AND(A119&gt;TimeofMaxCD,I119&gt;Traps),IF(AugerModel="Sinton",CalcImpliedV(SampleDoping,O119),CalcImpliedVRichter(O119,SampleDoping,V119)),"")</f>
        <v>0.54958137757742831</v>
      </c>
      <c r="Y119" s="253">
        <f t="shared" si="68"/>
        <v>0.22151911534304239</v>
      </c>
      <c r="Z119" s="200" t="str">
        <f t="shared" si="69"/>
        <v/>
      </c>
      <c r="AE119" s="251">
        <f t="shared" si="70"/>
        <v>1613.4565381164009</v>
      </c>
    </row>
    <row r="120" spans="1:31" x14ac:dyDescent="0.2">
      <c r="A120" s="244">
        <v>1.1149900000000001E-2</v>
      </c>
      <c r="B120" s="244">
        <v>6.9721899999999996E-3</v>
      </c>
      <c r="C120" s="245">
        <v>2.18125E-3</v>
      </c>
      <c r="D120" s="246">
        <f>IF(CouplingMode="AC",B120-(A$11-A$10)*SUM(B$9:B120)/0.21,B120)</f>
        <v>6.9721899999999996E-3</v>
      </c>
      <c r="E120" s="247">
        <f t="shared" si="58"/>
        <v>0.2072646862992954</v>
      </c>
      <c r="F120" s="247">
        <f t="shared" si="59"/>
        <v>0.2072646862992954</v>
      </c>
      <c r="G120" s="248">
        <f t="shared" si="60"/>
        <v>3.441473567766078E+16</v>
      </c>
      <c r="H120" s="249">
        <f t="shared" si="61"/>
        <v>2.0783507313650289E-4</v>
      </c>
      <c r="I120" s="248">
        <f>IF(MobilityModel=DK,CalcDeltaN(H120,SampleDoping,Thickness,AreaFrac),CalcDeltaNDL(H120,AreaFrac,Thickness,SampleType,SampleDoping,Temperature))</f>
        <v>41019918286339.937</v>
      </c>
      <c r="J120" s="248" t="str">
        <f t="shared" si="62"/>
        <v/>
      </c>
      <c r="K120" s="248">
        <f t="shared" si="63"/>
        <v>41019918286339.937</v>
      </c>
      <c r="L120" s="250">
        <f t="shared" si="71"/>
        <v>-2.498618825004172E+16</v>
      </c>
      <c r="M120" s="196" t="str">
        <f t="shared" si="64"/>
        <v/>
      </c>
      <c r="N120" s="196" t="str">
        <f t="shared" si="65"/>
        <v/>
      </c>
      <c r="O120" s="250">
        <f t="shared" si="66"/>
        <v>41019918286339.937</v>
      </c>
      <c r="P120" s="248">
        <f t="shared" si="72"/>
        <v>2.3034027284591141E-5</v>
      </c>
      <c r="Q120" s="250" t="str">
        <f t="shared" si="73"/>
        <v/>
      </c>
      <c r="R120" s="251" t="str">
        <f t="shared" si="75"/>
        <v/>
      </c>
      <c r="S120" s="252">
        <f>IF(AND(E120&gt;0.95*BiasLight,E120&lt;1.05*BiasLight),"",IF(AugerModel="Sinton",calclifetimeauger(Auger_Coefficient,I120,P120),calclifetimerichter(SampleType,I120,SampleDoping,P120)))</f>
        <v>43414.029310061727</v>
      </c>
      <c r="T120" s="201" t="str">
        <f t="shared" si="74"/>
        <v/>
      </c>
      <c r="U120" s="252">
        <f t="shared" si="67"/>
        <v>28814.486068628612</v>
      </c>
      <c r="V120" s="251" t="str">
        <f>IF(AugerModel="Sinton","",IF(SampleType="n-type",n_intr_boltzmann(SampleDoping,0,K120,Temperature+273.15),n_intr_boltzmann(0,SampleDoping,K120,Temperature+273.15)))</f>
        <v/>
      </c>
      <c r="W120" s="251" t="str">
        <f t="shared" si="51"/>
        <v/>
      </c>
      <c r="X120" s="246">
        <f>IF(AND(A120&gt;TimeofMaxCD,I120&gt;Traps),IF(AugerModel="Sinton",CalcImpliedV(SampleDoping,O120),CalcImpliedVRichter(O120,SampleDoping,V120)),"")</f>
        <v>0.54909143134879779</v>
      </c>
      <c r="Y120" s="253">
        <f t="shared" si="68"/>
        <v>0.21021410856283188</v>
      </c>
      <c r="Z120" s="200" t="str">
        <f t="shared" si="69"/>
        <v/>
      </c>
      <c r="AE120" s="251">
        <f t="shared" si="70"/>
        <v>1613.6355922431387</v>
      </c>
    </row>
    <row r="121" spans="1:31" x14ac:dyDescent="0.2">
      <c r="A121" s="244">
        <v>1.12499E-2</v>
      </c>
      <c r="B121" s="244">
        <v>6.4741499999999997E-3</v>
      </c>
      <c r="C121" s="245">
        <v>2.0669899999999999E-3</v>
      </c>
      <c r="D121" s="246">
        <f>IF(CouplingMode="AC",B121-(A$11-A$10)*SUM(B$9:B121)/0.21,B121)</f>
        <v>6.4741499999999997E-3</v>
      </c>
      <c r="E121" s="247">
        <f t="shared" si="58"/>
        <v>0.19640758002694811</v>
      </c>
      <c r="F121" s="247">
        <f t="shared" si="59"/>
        <v>0.19640758002694811</v>
      </c>
      <c r="G121" s="248">
        <f t="shared" si="60"/>
        <v>3.2611995185498244E+16</v>
      </c>
      <c r="H121" s="249">
        <f t="shared" si="61"/>
        <v>1.9298749277397217E-4</v>
      </c>
      <c r="I121" s="248">
        <f>IF(MobilityModel=DK,CalcDeltaN(H121,SampleDoping,Thickness,AreaFrac),CalcDeltaNDL(H121,AreaFrac,Thickness,SampleType,SampleDoping,Temperature))</f>
        <v>38073114983681.875</v>
      </c>
      <c r="J121" s="248" t="str">
        <f t="shared" si="62"/>
        <v/>
      </c>
      <c r="K121" s="248">
        <f t="shared" si="63"/>
        <v>38073114983681.875</v>
      </c>
      <c r="L121" s="250">
        <f t="shared" si="71"/>
        <v>-2.6016780042381516E+16</v>
      </c>
      <c r="M121" s="196" t="str">
        <f t="shared" si="64"/>
        <v/>
      </c>
      <c r="N121" s="196" t="str">
        <f t="shared" si="65"/>
        <v/>
      </c>
      <c r="O121" s="250">
        <f t="shared" si="66"/>
        <v>38073114983681.875</v>
      </c>
      <c r="P121" s="248">
        <f t="shared" si="72"/>
        <v>2.2529882382603827E-5</v>
      </c>
      <c r="Q121" s="250" t="str">
        <f t="shared" si="73"/>
        <v/>
      </c>
      <c r="R121" s="251" t="str">
        <f t="shared" si="75"/>
        <v/>
      </c>
      <c r="S121" s="252">
        <f>IF(AND(E121&gt;0.95*BiasLight,E121&lt;1.05*BiasLight),"",IF(AugerModel="Sinton",calclifetimeauger(Auger_Coefficient,I121,P121),calclifetimerichter(SampleType,I121,SampleDoping,P121)))</f>
        <v>44385.493399605526</v>
      </c>
      <c r="T121" s="201" t="str">
        <f t="shared" si="74"/>
        <v/>
      </c>
      <c r="U121" s="252">
        <f t="shared" si="67"/>
        <v>28831.62555501494</v>
      </c>
      <c r="V121" s="251" t="str">
        <f>IF(AugerModel="Sinton","",IF(SampleType="n-type",n_intr_boltzmann(SampleDoping,0,K121,Temperature+273.15),n_intr_boltzmann(0,SampleDoping,K121,Temperature+273.15)))</f>
        <v/>
      </c>
      <c r="W121" s="251" t="str">
        <f t="shared" si="51"/>
        <v/>
      </c>
      <c r="X121" s="246">
        <f>IF(AND(A121&gt;TimeofMaxCD,I121&gt;Traps),IF(AugerModel="Sinton",CalcImpliedV(SampleDoping,O121),CalcImpliedVRichter(O121,SampleDoping,V121)),"")</f>
        <v>0.54715435189664197</v>
      </c>
      <c r="Y121" s="253">
        <f t="shared" si="68"/>
        <v>0.19947865551531929</v>
      </c>
      <c r="Z121" s="200" t="str">
        <f t="shared" si="69"/>
        <v/>
      </c>
      <c r="AE121" s="251">
        <f t="shared" si="70"/>
        <v>1614.3294529767236</v>
      </c>
    </row>
    <row r="122" spans="1:31" x14ac:dyDescent="0.2">
      <c r="A122" s="244">
        <v>1.13499E-2</v>
      </c>
      <c r="B122" s="244">
        <v>5.66848E-3</v>
      </c>
      <c r="C122" s="245">
        <v>1.9331999999999999E-3</v>
      </c>
      <c r="D122" s="246">
        <f>IF(CouplingMode="AC",B122-(A$11-A$10)*SUM(B$9:B122)/0.21,B122)</f>
        <v>5.66848E-3</v>
      </c>
      <c r="E122" s="247">
        <f t="shared" si="58"/>
        <v>0.18369471246019387</v>
      </c>
      <c r="F122" s="247">
        <f t="shared" si="59"/>
        <v>0.18369471246019387</v>
      </c>
      <c r="G122" s="248">
        <f t="shared" si="60"/>
        <v>3.0501119547073384E+16</v>
      </c>
      <c r="H122" s="249">
        <f t="shared" si="61"/>
        <v>1.6896930540100195E-4</v>
      </c>
      <c r="I122" s="248">
        <f>IF(MobilityModel=DK,CalcDeltaN(H122,SampleDoping,Thickness,AreaFrac),CalcDeltaNDL(H122,AreaFrac,Thickness,SampleType,SampleDoping,Temperature))</f>
        <v>33310224587328.258</v>
      </c>
      <c r="J122" s="248" t="str">
        <f t="shared" si="62"/>
        <v/>
      </c>
      <c r="K122" s="248">
        <f t="shared" si="63"/>
        <v>33310224587328.258</v>
      </c>
      <c r="L122" s="250">
        <f t="shared" si="71"/>
        <v>-2.90926452471136E+16</v>
      </c>
      <c r="M122" s="196" t="str">
        <f t="shared" si="64"/>
        <v/>
      </c>
      <c r="N122" s="196" t="str">
        <f t="shared" si="65"/>
        <v/>
      </c>
      <c r="O122" s="250">
        <f t="shared" si="66"/>
        <v>33310224587328.258</v>
      </c>
      <c r="P122" s="248">
        <f t="shared" si="72"/>
        <v>2.1012305832193346E-5</v>
      </c>
      <c r="Q122" s="250" t="str">
        <f t="shared" si="73"/>
        <v/>
      </c>
      <c r="R122" s="251" t="str">
        <f t="shared" si="75"/>
        <v/>
      </c>
      <c r="S122" s="252">
        <f>IF(AND(E122&gt;0.95*BiasLight,E122&lt;1.05*BiasLight),"",IF(AugerModel="Sinton",calclifetimeauger(Auger_Coefficient,I122,P122),calclifetimerichter(SampleType,I122,SampleDoping,P122)))</f>
        <v>47591.157737936985</v>
      </c>
      <c r="T122" s="201" t="str">
        <f t="shared" si="74"/>
        <v/>
      </c>
      <c r="U122" s="252">
        <f t="shared" si="67"/>
        <v>28859.327945274326</v>
      </c>
      <c r="V122" s="251" t="str">
        <f>IF(AugerModel="Sinton","",IF(SampleType="n-type",n_intr_boltzmann(SampleDoping,0,K122,Temperature+273.15),n_intr_boltzmann(0,SampleDoping,K122,Temperature+273.15)))</f>
        <v/>
      </c>
      <c r="W122" s="251" t="str">
        <f t="shared" si="51"/>
        <v/>
      </c>
      <c r="X122" s="246">
        <f>IF(AND(A122&gt;TimeofMaxCD,I122&gt;Traps),IF(AugerModel="Sinton",CalcImpliedV(SampleDoping,O122),CalcImpliedVRichter(O122,SampleDoping,V122)),"")</f>
        <v>0.5436855914811014</v>
      </c>
      <c r="Y122" s="253">
        <f t="shared" si="68"/>
        <v>0.18712886955283736</v>
      </c>
      <c r="Z122" s="200" t="str">
        <f t="shared" si="69"/>
        <v/>
      </c>
      <c r="AE122" s="251">
        <f t="shared" si="70"/>
        <v>1615.5175297043279</v>
      </c>
    </row>
    <row r="123" spans="1:31" x14ac:dyDescent="0.2">
      <c r="A123" s="244">
        <v>1.1449900000000001E-2</v>
      </c>
      <c r="B123" s="244">
        <v>5.55618E-3</v>
      </c>
      <c r="C123" s="245">
        <v>1.8062499999999999E-3</v>
      </c>
      <c r="D123" s="246">
        <f>IF(CouplingMode="AC",B123-(A$11-A$10)*SUM(B$9:B123)/0.21,B123)</f>
        <v>5.55618E-3</v>
      </c>
      <c r="E123" s="247">
        <f t="shared" si="58"/>
        <v>0.17163178894125034</v>
      </c>
      <c r="F123" s="247">
        <f t="shared" si="59"/>
        <v>0.17163178894125034</v>
      </c>
      <c r="G123" s="248">
        <f t="shared" si="60"/>
        <v>2.8498162208721964E+16</v>
      </c>
      <c r="H123" s="249">
        <f t="shared" si="61"/>
        <v>1.6562152578551096E-4</v>
      </c>
      <c r="I123" s="248">
        <f>IF(MobilityModel=DK,CalcDeltaN(H123,SampleDoping,Thickness,AreaFrac),CalcDeltaNDL(H123,AreaFrac,Thickness,SampleType,SampleDoping,Temperature))</f>
        <v>32646757858004.84</v>
      </c>
      <c r="J123" s="248" t="str">
        <f t="shared" si="62"/>
        <v/>
      </c>
      <c r="K123" s="248">
        <f t="shared" si="63"/>
        <v>32646757858004.84</v>
      </c>
      <c r="L123" s="250">
        <f t="shared" si="71"/>
        <v>-2.5584292243519204E+16</v>
      </c>
      <c r="M123" s="196" t="str">
        <f t="shared" si="64"/>
        <v/>
      </c>
      <c r="N123" s="196" t="str">
        <f t="shared" si="65"/>
        <v/>
      </c>
      <c r="O123" s="250">
        <f t="shared" si="66"/>
        <v>32646757858004.84</v>
      </c>
      <c r="P123" s="248">
        <f t="shared" si="72"/>
        <v>2.2064998747490964E-5</v>
      </c>
      <c r="Q123" s="250" t="str">
        <f t="shared" si="73"/>
        <v/>
      </c>
      <c r="R123" s="251" t="str">
        <f t="shared" si="75"/>
        <v/>
      </c>
      <c r="S123" s="252">
        <f>IF(AND(E123&gt;0.95*BiasLight,E123&lt;1.05*BiasLight),"",IF(AugerModel="Sinton",calclifetimeauger(Auger_Coefficient,I123,P123),calclifetimerichter(SampleType,I123,SampleDoping,P123)))</f>
        <v>45320.644356497054</v>
      </c>
      <c r="T123" s="201" t="str">
        <f t="shared" si="74"/>
        <v/>
      </c>
      <c r="U123" s="252">
        <f t="shared" si="67"/>
        <v>28863.186865537096</v>
      </c>
      <c r="V123" s="251" t="str">
        <f>IF(AugerModel="Sinton","",IF(SampleType="n-type",n_intr_boltzmann(SampleDoping,0,K123,Temperature+273.15),n_intr_boltzmann(0,SampleDoping,K123,Temperature+273.15)))</f>
        <v/>
      </c>
      <c r="W123" s="251" t="str">
        <f t="shared" si="51"/>
        <v/>
      </c>
      <c r="X123" s="246">
        <f>IF(AND(A123&gt;TimeofMaxCD,I123&gt;Traps),IF(AugerModel="Sinton",CalcImpliedV(SampleDoping,O123),CalcImpliedVRichter(O123,SampleDoping,V123)),"")</f>
        <v>0.54316379688066685</v>
      </c>
      <c r="Y123" s="253">
        <f t="shared" si="68"/>
        <v>0.17465181265934321</v>
      </c>
      <c r="Z123" s="200" t="str">
        <f t="shared" si="69"/>
        <v/>
      </c>
      <c r="AE123" s="251">
        <f t="shared" si="70"/>
        <v>1615.6903834758655</v>
      </c>
    </row>
    <row r="124" spans="1:31" x14ac:dyDescent="0.2">
      <c r="A124" s="244">
        <v>1.15499E-2</v>
      </c>
      <c r="B124" s="244">
        <v>4.9702399999999999E-3</v>
      </c>
      <c r="C124" s="245">
        <v>1.71445E-3</v>
      </c>
      <c r="D124" s="246">
        <f>IF(CouplingMode="AC",B124-(A$11-A$10)*SUM(B$9:B124)/0.21,B124)</f>
        <v>4.9702399999999999E-3</v>
      </c>
      <c r="E124" s="247">
        <f t="shared" si="58"/>
        <v>0.1629088556680009</v>
      </c>
      <c r="F124" s="247">
        <f t="shared" si="59"/>
        <v>0.1629088556680009</v>
      </c>
      <c r="G124" s="248">
        <f t="shared" si="60"/>
        <v>2.704978502352574E+16</v>
      </c>
      <c r="H124" s="249">
        <f t="shared" si="61"/>
        <v>1.4815422739780735E-4</v>
      </c>
      <c r="I124" s="248">
        <f>IF(MobilityModel=DK,CalcDeltaN(H124,SampleDoping,Thickness,AreaFrac),CalcDeltaNDL(H124,AreaFrac,Thickness,SampleType,SampleDoping,Temperature))</f>
        <v>29186774225621.66</v>
      </c>
      <c r="J124" s="248" t="str">
        <f t="shared" si="62"/>
        <v/>
      </c>
      <c r="K124" s="248">
        <f t="shared" si="63"/>
        <v>29186774225621.66</v>
      </c>
      <c r="L124" s="250">
        <f t="shared" si="71"/>
        <v>-1.902496860066618E+16</v>
      </c>
      <c r="M124" s="196" t="str">
        <f t="shared" si="64"/>
        <v/>
      </c>
      <c r="N124" s="196" t="str">
        <f t="shared" si="65"/>
        <v/>
      </c>
      <c r="O124" s="250">
        <f t="shared" si="66"/>
        <v>29186774225621.66</v>
      </c>
      <c r="P124" s="248">
        <f t="shared" si="72"/>
        <v>2.08608674088052E-5</v>
      </c>
      <c r="Q124" s="250" t="str">
        <f t="shared" si="73"/>
        <v/>
      </c>
      <c r="R124" s="251" t="str">
        <f t="shared" si="75"/>
        <v/>
      </c>
      <c r="S124" s="252">
        <f>IF(AND(E124&gt;0.95*BiasLight,E124&lt;1.05*BiasLight),"",IF(AugerModel="Sinton",calclifetimeauger(Auger_Coefficient,I124,P124),calclifetimerichter(SampleType,I124,SampleDoping,P124)))</f>
        <v>47936.643807943699</v>
      </c>
      <c r="T124" s="201" t="str">
        <f t="shared" si="74"/>
        <v/>
      </c>
      <c r="U124" s="252">
        <f t="shared" si="67"/>
        <v>28883.31116168902</v>
      </c>
      <c r="V124" s="251" t="str">
        <f>IF(AugerModel="Sinton","",IF(SampleType="n-type",n_intr_boltzmann(SampleDoping,0,K124,Temperature+273.15),n_intr_boltzmann(0,SampleDoping,K124,Temperature+273.15)))</f>
        <v/>
      </c>
      <c r="W124" s="251" t="str">
        <f t="shared" si="51"/>
        <v/>
      </c>
      <c r="X124" s="246">
        <f>IF(AND(A124&gt;TimeofMaxCD,I124&gt;Traps),IF(AugerModel="Sinton",CalcImpliedV(SampleDoping,O124),CalcImpliedVRichter(O124,SampleDoping,V124)),"")</f>
        <v>0.54025996380959218</v>
      </c>
      <c r="Y124" s="253">
        <f t="shared" si="68"/>
        <v>0.16515460301418899</v>
      </c>
      <c r="Z124" s="200" t="str">
        <f t="shared" si="69"/>
        <v/>
      </c>
      <c r="AE124" s="251">
        <f t="shared" si="70"/>
        <v>1616.6252818759913</v>
      </c>
    </row>
    <row r="125" spans="1:31" x14ac:dyDescent="0.2">
      <c r="A125" s="244">
        <v>1.1649899999999999E-2</v>
      </c>
      <c r="B125" s="244">
        <v>4.6577399999999996E-3</v>
      </c>
      <c r="C125" s="245">
        <v>1.59727E-3</v>
      </c>
      <c r="D125" s="246">
        <f>IF(CouplingMode="AC",B125-(A$11-A$10)*SUM(B$9:B125)/0.21,B125)</f>
        <v>4.6577399999999996E-3</v>
      </c>
      <c r="E125" s="247">
        <f t="shared" si="58"/>
        <v>0.151774287901559</v>
      </c>
      <c r="F125" s="247">
        <f t="shared" si="59"/>
        <v>0.151774287901559</v>
      </c>
      <c r="G125" s="248">
        <f t="shared" si="60"/>
        <v>2.5200974145951744E+16</v>
      </c>
      <c r="H125" s="249">
        <f t="shared" si="61"/>
        <v>1.3883849920473621E-4</v>
      </c>
      <c r="I125" s="248">
        <f>IF(MobilityModel=DK,CalcDeltaN(H125,SampleDoping,Thickness,AreaFrac),CalcDeltaNDL(H125,AreaFrac,Thickness,SampleType,SampleDoping,Temperature))</f>
        <v>27342694042775.578</v>
      </c>
      <c r="J125" s="248" t="str">
        <f t="shared" si="62"/>
        <v/>
      </c>
      <c r="K125" s="248">
        <f t="shared" si="63"/>
        <v>27342694042775.578</v>
      </c>
      <c r="L125" s="250">
        <f t="shared" si="71"/>
        <v>-1.4266832434880266E+16</v>
      </c>
      <c r="M125" s="196" t="str">
        <f t="shared" si="64"/>
        <v/>
      </c>
      <c r="N125" s="196" t="str">
        <f t="shared" si="65"/>
        <v/>
      </c>
      <c r="O125" s="250">
        <f t="shared" si="66"/>
        <v>27342694042775.578</v>
      </c>
      <c r="P125" s="248">
        <f t="shared" si="72"/>
        <v>2.1032342951573018E-5</v>
      </c>
      <c r="Q125" s="250" t="str">
        <f t="shared" si="73"/>
        <v/>
      </c>
      <c r="R125" s="251" t="str">
        <f t="shared" si="75"/>
        <v/>
      </c>
      <c r="S125" s="252">
        <f>IF(AND(E125&gt;0.95*BiasLight,E125&lt;1.05*BiasLight),"",IF(AugerModel="Sinton",calclifetimeauger(Auger_Coefficient,I125,P125),calclifetimerichter(SampleType,I125,SampleDoping,P125)))</f>
        <v>47545.819132001903</v>
      </c>
      <c r="T125" s="201" t="str">
        <f t="shared" si="74"/>
        <v/>
      </c>
      <c r="U125" s="252">
        <f t="shared" si="67"/>
        <v>28894.036881712709</v>
      </c>
      <c r="V125" s="251" t="str">
        <f>IF(AugerModel="Sinton","",IF(SampleType="n-type",n_intr_boltzmann(SampleDoping,0,K125,Temperature+273.15),n_intr_boltzmann(0,SampleDoping,K125,Temperature+273.15)))</f>
        <v/>
      </c>
      <c r="W125" s="251" t="str">
        <f t="shared" si="51"/>
        <v/>
      </c>
      <c r="X125" s="246">
        <f>IF(AND(A125&gt;TimeofMaxCD,I125&gt;Traps),IF(AugerModel="Sinton",CalcImpliedV(SampleDoping,O125),CalcImpliedVRichter(O125,SampleDoping,V125)),"")</f>
        <v>0.53856951892860672</v>
      </c>
      <c r="Y125" s="253">
        <f t="shared" si="68"/>
        <v>0.15345837483760894</v>
      </c>
      <c r="Z125" s="200" t="str">
        <f t="shared" si="69"/>
        <v/>
      </c>
      <c r="AE125" s="251">
        <f t="shared" si="70"/>
        <v>1617.1489551542625</v>
      </c>
    </row>
    <row r="126" spans="1:31" x14ac:dyDescent="0.2">
      <c r="A126" s="244">
        <v>1.1749900000000001E-2</v>
      </c>
      <c r="B126" s="244">
        <v>4.50637E-3</v>
      </c>
      <c r="C126" s="245">
        <v>1.5406300000000001E-3</v>
      </c>
      <c r="D126" s="246">
        <f>IF(CouplingMode="AC",B126-(A$11-A$10)*SUM(B$9:B126)/0.21,B126)</f>
        <v>4.50637E-3</v>
      </c>
      <c r="E126" s="247">
        <f t="shared" si="58"/>
        <v>0.14639229508459989</v>
      </c>
      <c r="F126" s="247">
        <f t="shared" si="59"/>
        <v>0.14639229508459989</v>
      </c>
      <c r="G126" s="248">
        <f t="shared" si="60"/>
        <v>2.4307334889203224E+16</v>
      </c>
      <c r="H126" s="249">
        <f t="shared" si="61"/>
        <v>1.3432614066410508E-4</v>
      </c>
      <c r="I126" s="248">
        <f>IF(MobilityModel=DK,CalcDeltaN(H126,SampleDoping,Thickness,AreaFrac),CalcDeltaNDL(H126,AreaFrac,Thickness,SampleType,SampleDoping,Temperature))</f>
        <v>26449772194609.785</v>
      </c>
      <c r="J126" s="248" t="str">
        <f t="shared" si="62"/>
        <v/>
      </c>
      <c r="K126" s="248">
        <f t="shared" si="63"/>
        <v>26449772194609.785</v>
      </c>
      <c r="L126" s="250">
        <f t="shared" si="71"/>
        <v>-6568416348872269</v>
      </c>
      <c r="M126" s="196" t="str">
        <f t="shared" si="64"/>
        <v/>
      </c>
      <c r="N126" s="196" t="str">
        <f t="shared" si="65"/>
        <v/>
      </c>
      <c r="O126" s="250">
        <f t="shared" si="66"/>
        <v>26449772194609.785</v>
      </c>
      <c r="P126" s="248">
        <f t="shared" si="72"/>
        <v>2.1215171298544051E-5</v>
      </c>
      <c r="Q126" s="250" t="str">
        <f t="shared" si="73"/>
        <v/>
      </c>
      <c r="R126" s="251" t="str">
        <f t="shared" si="75"/>
        <v/>
      </c>
      <c r="S126" s="252">
        <f>IF(AND(E126&gt;0.95*BiasLight,E126&lt;1.05*BiasLight),"",IF(AugerModel="Sinton",calclifetimeauger(Auger_Coefficient,I126,P126),calclifetimerichter(SampleType,I126,SampleDoping,P126)))</f>
        <v>47136.078294641062</v>
      </c>
      <c r="T126" s="201" t="str">
        <f t="shared" si="74"/>
        <v/>
      </c>
      <c r="U126" s="252">
        <f t="shared" si="67"/>
        <v>28899.230381342251</v>
      </c>
      <c r="V126" s="251" t="str">
        <f>IF(AugerModel="Sinton","",IF(SampleType="n-type",n_intr_boltzmann(SampleDoping,0,K126,Temperature+273.15),n_intr_boltzmann(0,SampleDoping,K126,Temperature+273.15)))</f>
        <v/>
      </c>
      <c r="W126" s="251" t="str">
        <f t="shared" si="51"/>
        <v/>
      </c>
      <c r="X126" s="246">
        <f>IF(AND(A126&gt;TimeofMaxCD,I126&gt;Traps),IF(AugerModel="Sinton",CalcImpliedV(SampleDoping,O126),CalcImpliedVRichter(O126,SampleDoping,V126)),"")</f>
        <v>0.53770990194971369</v>
      </c>
      <c r="Y126" s="253">
        <f t="shared" si="68"/>
        <v>0.14716764477866573</v>
      </c>
      <c r="Z126" s="200" t="str">
        <f t="shared" si="69"/>
        <v/>
      </c>
      <c r="AE126" s="251">
        <f t="shared" si="70"/>
        <v>1617.4096061657312</v>
      </c>
    </row>
    <row r="127" spans="1:31" x14ac:dyDescent="0.2">
      <c r="A127" s="244">
        <v>1.18499E-2</v>
      </c>
      <c r="B127" s="244">
        <v>4.5796200000000004E-3</v>
      </c>
      <c r="C127" s="245">
        <v>1.4214900000000001E-3</v>
      </c>
      <c r="D127" s="246">
        <f>IF(CouplingMode="AC",B127-(A$11-A$10)*SUM(B$9:B127)/0.21,B127)</f>
        <v>4.5796200000000004E-3</v>
      </c>
      <c r="E127" s="247">
        <f t="shared" si="58"/>
        <v>0.1350714860412999</v>
      </c>
      <c r="F127" s="247">
        <f t="shared" si="59"/>
        <v>0.1350714860412999</v>
      </c>
      <c r="G127" s="248">
        <f t="shared" si="60"/>
        <v>2.2427600054298232E+16</v>
      </c>
      <c r="H127" s="249">
        <f t="shared" si="61"/>
        <v>1.3650972974321111E-4</v>
      </c>
      <c r="I127" s="248">
        <f>IF(MobilityModel=DK,CalcDeltaN(H127,SampleDoping,Thickness,AreaFrac),CalcDeltaNDL(H127,AreaFrac,Thickness,SampleType,SampleDoping,Temperature))</f>
        <v>26881842656070.645</v>
      </c>
      <c r="J127" s="248" t="str">
        <f t="shared" si="62"/>
        <v/>
      </c>
      <c r="K127" s="248">
        <f t="shared" si="63"/>
        <v>26881842656070.645</v>
      </c>
      <c r="L127" s="250">
        <f t="shared" si="71"/>
        <v>-3081665769732460</v>
      </c>
      <c r="M127" s="196" t="str">
        <f t="shared" si="64"/>
        <v/>
      </c>
      <c r="N127" s="196" t="str">
        <f t="shared" si="65"/>
        <v/>
      </c>
      <c r="O127" s="250">
        <f t="shared" si="66"/>
        <v>26881842656070.645</v>
      </c>
      <c r="P127" s="248">
        <f t="shared" si="72"/>
        <v>2.342956686139181E-5</v>
      </c>
      <c r="Q127" s="250" t="str">
        <f t="shared" si="73"/>
        <v/>
      </c>
      <c r="R127" s="251" t="str">
        <f t="shared" si="75"/>
        <v/>
      </c>
      <c r="S127" s="252">
        <f>IF(AND(E127&gt;0.95*BiasLight,E127&lt;1.05*BiasLight),"",IF(AugerModel="Sinton",calclifetimeauger(Auger_Coefficient,I127,P127),calclifetimerichter(SampleType,I127,SampleDoping,P127)))</f>
        <v>42681.112195138296</v>
      </c>
      <c r="T127" s="201" t="str">
        <f t="shared" si="74"/>
        <v/>
      </c>
      <c r="U127" s="252">
        <f t="shared" si="67"/>
        <v>28896.717330747575</v>
      </c>
      <c r="V127" s="251" t="str">
        <f>IF(AugerModel="Sinton","",IF(SampleType="n-type",n_intr_boltzmann(SampleDoping,0,K127,Temperature+273.15),n_intr_boltzmann(0,SampleDoping,K127,Temperature+273.15)))</f>
        <v/>
      </c>
      <c r="W127" s="251" t="str">
        <f t="shared" si="51"/>
        <v/>
      </c>
      <c r="X127" s="246">
        <f>IF(AND(A127&gt;TimeofMaxCD,I127&gt;Traps),IF(AugerModel="Sinton",CalcImpliedV(SampleDoping,O127),CalcImpliedVRichter(O127,SampleDoping,V127)),"")</f>
        <v>0.53812939431639473</v>
      </c>
      <c r="Y127" s="253">
        <f t="shared" si="68"/>
        <v>0.13543525235647652</v>
      </c>
      <c r="Z127" s="200" t="str">
        <f t="shared" si="69"/>
        <v/>
      </c>
      <c r="AE127" s="251">
        <f t="shared" si="70"/>
        <v>1617.2828789065018</v>
      </c>
    </row>
    <row r="128" spans="1:31" x14ac:dyDescent="0.2">
      <c r="A128" s="244">
        <v>1.1949899999999999E-2</v>
      </c>
      <c r="B128" s="244">
        <v>4.4526599999999998E-3</v>
      </c>
      <c r="C128" s="245">
        <v>1.33457E-3</v>
      </c>
      <c r="D128" s="246">
        <f>IF(CouplingMode="AC",B128-(A$11-A$10)*SUM(B$9:B128)/0.21,B128)</f>
        <v>4.4526599999999998E-3</v>
      </c>
      <c r="E128" s="247">
        <f t="shared" si="58"/>
        <v>0.12681225553900316</v>
      </c>
      <c r="F128" s="247">
        <f t="shared" si="59"/>
        <v>0.12681225553900316</v>
      </c>
      <c r="G128" s="248">
        <f t="shared" si="60"/>
        <v>2.1056217211844468E+16</v>
      </c>
      <c r="H128" s="249">
        <f t="shared" si="61"/>
        <v>1.3272504376461627E-4</v>
      </c>
      <c r="I128" s="248">
        <f>IF(MobilityModel=DK,CalcDeltaN(H128,SampleDoping,Thickness,AreaFrac),CalcDeltaNDL(H128,AreaFrac,Thickness,SampleType,SampleDoping,Temperature))</f>
        <v>26132991744537.996</v>
      </c>
      <c r="J128" s="248" t="str">
        <f t="shared" si="62"/>
        <v/>
      </c>
      <c r="K128" s="248">
        <f t="shared" si="63"/>
        <v>26132991744537.996</v>
      </c>
      <c r="L128" s="250">
        <f t="shared" si="71"/>
        <v>-3916103222712054.5</v>
      </c>
      <c r="M128" s="196" t="str">
        <f t="shared" si="64"/>
        <v/>
      </c>
      <c r="N128" s="196" t="str">
        <f t="shared" si="65"/>
        <v/>
      </c>
      <c r="O128" s="250">
        <f t="shared" si="66"/>
        <v>26132991744537.996</v>
      </c>
      <c r="P128" s="248">
        <f t="shared" si="72"/>
        <v>2.4237320617022005E-5</v>
      </c>
      <c r="Q128" s="250" t="str">
        <f t="shared" si="73"/>
        <v/>
      </c>
      <c r="R128" s="251" t="str">
        <f t="shared" si="75"/>
        <v/>
      </c>
      <c r="S128" s="252">
        <f>IF(AND(E128&gt;0.95*BiasLight,E128&lt;1.05*BiasLight),"",IF(AugerModel="Sinton",calclifetimeauger(Auger_Coefficient,I128,P128),calclifetimerichter(SampleType,I128,SampleDoping,P128)))</f>
        <v>41258.684832538398</v>
      </c>
      <c r="T128" s="201" t="str">
        <f t="shared" si="74"/>
        <v/>
      </c>
      <c r="U128" s="252">
        <f t="shared" si="67"/>
        <v>28901.072870865242</v>
      </c>
      <c r="V128" s="251" t="str">
        <f>IF(AugerModel="Sinton","",IF(SampleType="n-type",n_intr_boltzmann(SampleDoping,0,K128,Temperature+273.15),n_intr_boltzmann(0,SampleDoping,K128,Temperature+273.15)))</f>
        <v/>
      </c>
      <c r="W128" s="251" t="str">
        <f t="shared" si="51"/>
        <v/>
      </c>
      <c r="X128" s="246">
        <f>IF(AND(A128&gt;TimeofMaxCD,I128&gt;Traps),IF(AugerModel="Sinton",CalcImpliedV(SampleDoping,O128),CalcImpliedVRichter(O128,SampleDoping,V128)),"")</f>
        <v>0.53739799973803093</v>
      </c>
      <c r="Y128" s="253">
        <f t="shared" si="68"/>
        <v>0.12727452060783992</v>
      </c>
      <c r="Z128" s="200" t="str">
        <f t="shared" si="69"/>
        <v/>
      </c>
      <c r="AE128" s="251">
        <f t="shared" si="70"/>
        <v>1617.5032533201988</v>
      </c>
    </row>
    <row r="129" spans="1:31" x14ac:dyDescent="0.2">
      <c r="A129" s="244">
        <v>1.2049900000000001E-2</v>
      </c>
      <c r="B129" s="244">
        <v>4.4233700000000003E-3</v>
      </c>
      <c r="C129" s="245">
        <v>1.23594E-3</v>
      </c>
      <c r="D129" s="246">
        <f>IF(CouplingMode="AC",B129-(A$11-A$10)*SUM(B$9:B129)/0.21,B129)</f>
        <v>4.4233700000000003E-3</v>
      </c>
      <c r="E129" s="247">
        <f t="shared" si="58"/>
        <v>0.11744032842853921</v>
      </c>
      <c r="F129" s="247">
        <f t="shared" si="59"/>
        <v>0.11744032842853921</v>
      </c>
      <c r="G129" s="248">
        <f t="shared" si="60"/>
        <v>1.9500079501867308E+16</v>
      </c>
      <c r="H129" s="249">
        <f t="shared" si="61"/>
        <v>1.3185190896159663E-4</v>
      </c>
      <c r="I129" s="248">
        <f>IF(MobilityModel=DK,CalcDeltaN(H129,SampleDoping,Thickness,AreaFrac),CalcDeltaNDL(H129,AreaFrac,Thickness,SampleType,SampleDoping,Temperature))</f>
        <v>25960251382945.242</v>
      </c>
      <c r="J129" s="248" t="str">
        <f t="shared" si="62"/>
        <v/>
      </c>
      <c r="K129" s="248">
        <f t="shared" si="63"/>
        <v>25960251382945.242</v>
      </c>
      <c r="L129" s="250">
        <f t="shared" si="71"/>
        <v>-1.4820225570968442E+16</v>
      </c>
      <c r="M129" s="196" t="str">
        <f t="shared" si="64"/>
        <v/>
      </c>
      <c r="N129" s="196" t="str">
        <f t="shared" si="65"/>
        <v/>
      </c>
      <c r="O129" s="250">
        <f t="shared" si="66"/>
        <v>25960251382945.242</v>
      </c>
      <c r="P129" s="248">
        <f t="shared" si="72"/>
        <v>2.5710289750521434E-5</v>
      </c>
      <c r="Q129" s="250" t="str">
        <f t="shared" si="73"/>
        <v/>
      </c>
      <c r="R129" s="251" t="str">
        <f t="shared" si="75"/>
        <v/>
      </c>
      <c r="S129" s="252">
        <f>IF(AND(E129&gt;0.95*BiasLight,E129&lt;1.05*BiasLight),"",IF(AugerModel="Sinton",calclifetimeauger(Auger_Coefficient,I129,P129),calclifetimerichter(SampleType,I129,SampleDoping,P129)))</f>
        <v>38894.931987952688</v>
      </c>
      <c r="T129" s="201" t="str">
        <f t="shared" si="74"/>
        <v/>
      </c>
      <c r="U129" s="252">
        <f t="shared" si="67"/>
        <v>28902.077580298417</v>
      </c>
      <c r="V129" s="251" t="str">
        <f>IF(AugerModel="Sinton","",IF(SampleType="n-type",n_intr_boltzmann(SampleDoping,0,K129,Temperature+273.15),n_intr_boltzmann(0,SampleDoping,K129,Temperature+273.15)))</f>
        <v/>
      </c>
      <c r="W129" s="251" t="str">
        <f t="shared" si="51"/>
        <v/>
      </c>
      <c r="X129" s="246">
        <f>IF(AND(A129&gt;TimeofMaxCD,I129&gt;Traps),IF(AugerModel="Sinton",CalcImpliedV(SampleDoping,O129),CalcImpliedVRichter(O129,SampleDoping,V129)),"")</f>
        <v>0.53722633469189962</v>
      </c>
      <c r="Y129" s="253">
        <f t="shared" si="68"/>
        <v>0.11918973905541119</v>
      </c>
      <c r="Z129" s="200" t="str">
        <f t="shared" si="69"/>
        <v/>
      </c>
      <c r="AE129" s="251">
        <f t="shared" si="70"/>
        <v>1617.5545857786333</v>
      </c>
    </row>
    <row r="130" spans="1:31" x14ac:dyDescent="0.2">
      <c r="A130" s="244">
        <v>1.21499E-2</v>
      </c>
      <c r="B130" s="244">
        <v>4.2524700000000004E-3</v>
      </c>
      <c r="C130" s="245">
        <v>1.1636699999999999E-3</v>
      </c>
      <c r="D130" s="246">
        <f>IF(CouplingMode="AC",B130-(A$11-A$10)*SUM(B$9:B130)/0.21,B130)</f>
        <v>4.2524700000000004E-3</v>
      </c>
      <c r="E130" s="247">
        <f t="shared" si="58"/>
        <v>0.11057315644969676</v>
      </c>
      <c r="F130" s="247">
        <f t="shared" si="59"/>
        <v>0.11057315644969676</v>
      </c>
      <c r="G130" s="248">
        <f t="shared" si="60"/>
        <v>1.8359837462933416E+16</v>
      </c>
      <c r="H130" s="249">
        <f t="shared" si="61"/>
        <v>1.2675739570245249E-4</v>
      </c>
      <c r="I130" s="248">
        <f>IF(MobilityModel=DK,CalcDeltaN(H130,SampleDoping,Thickness,AreaFrac),CalcDeltaNDL(H130,AreaFrac,Thickness,SampleType,SampleDoping,Temperature))</f>
        <v>24952516219816.461</v>
      </c>
      <c r="J130" s="248" t="str">
        <f t="shared" si="62"/>
        <v/>
      </c>
      <c r="K130" s="248">
        <f t="shared" si="63"/>
        <v>24952516219816.461</v>
      </c>
      <c r="L130" s="250">
        <f t="shared" si="71"/>
        <v>-1.8500234256191732E+16</v>
      </c>
      <c r="M130" s="196" t="str">
        <f t="shared" si="64"/>
        <v/>
      </c>
      <c r="N130" s="196" t="str">
        <f t="shared" si="65"/>
        <v/>
      </c>
      <c r="O130" s="250">
        <f t="shared" si="66"/>
        <v>24952516219816.461</v>
      </c>
      <c r="P130" s="248">
        <f t="shared" si="72"/>
        <v>2.6122090082508596E-5</v>
      </c>
      <c r="Q130" s="250" t="str">
        <f t="shared" si="73"/>
        <v/>
      </c>
      <c r="R130" s="251" t="str">
        <f t="shared" si="75"/>
        <v/>
      </c>
      <c r="S130" s="252">
        <f>IF(AND(E130&gt;0.95*BiasLight,E130&lt;1.05*BiasLight),"",IF(AugerModel="Sinton",calclifetimeauger(Auger_Coefficient,I130,P130),calclifetimerichter(SampleType,I130,SampleDoping,P130)))</f>
        <v>38281.774920866184</v>
      </c>
      <c r="T130" s="201" t="str">
        <f t="shared" si="74"/>
        <v/>
      </c>
      <c r="U130" s="252">
        <f t="shared" si="67"/>
        <v>28907.938868391142</v>
      </c>
      <c r="V130" s="251" t="str">
        <f>IF(AugerModel="Sinton","",IF(SampleType="n-type",n_intr_boltzmann(SampleDoping,0,K130,Temperature+273.15),n_intr_boltzmann(0,SampleDoping,K130,Temperature+273.15)))</f>
        <v/>
      </c>
      <c r="W130" s="251" t="str">
        <f t="shared" si="51"/>
        <v/>
      </c>
      <c r="X130" s="246">
        <f>IF(AND(A130&gt;TimeofMaxCD,I130&gt;Traps),IF(AugerModel="Sinton",CalcImpliedV(SampleDoping,O130),CalcImpliedVRichter(O130,SampleDoping,V130)),"")</f>
        <v>0.53620169655779659</v>
      </c>
      <c r="Y130" s="253">
        <f t="shared" si="68"/>
        <v>0.11275696304915921</v>
      </c>
      <c r="Z130" s="200" t="str">
        <f t="shared" si="69"/>
        <v/>
      </c>
      <c r="AE130" s="251">
        <f t="shared" si="70"/>
        <v>1617.8579157042659</v>
      </c>
    </row>
    <row r="131" spans="1:31" x14ac:dyDescent="0.2">
      <c r="A131" s="244">
        <v>1.2249899999999999E-2</v>
      </c>
      <c r="B131" s="244">
        <v>3.42239E-3</v>
      </c>
      <c r="C131" s="245">
        <v>1.09238E-3</v>
      </c>
      <c r="D131" s="246">
        <f>IF(CouplingMode="AC",B131-(A$11-A$10)*SUM(B$9:B131)/0.21,B131)</f>
        <v>3.42239E-3</v>
      </c>
      <c r="E131" s="247">
        <f t="shared" si="58"/>
        <v>0.10379910510928335</v>
      </c>
      <c r="F131" s="247">
        <f t="shared" si="59"/>
        <v>0.10379910510928335</v>
      </c>
      <c r="G131" s="248">
        <f t="shared" si="60"/>
        <v>1.7235057402665024E+16</v>
      </c>
      <c r="H131" s="249">
        <f t="shared" si="61"/>
        <v>1.0201315590189098E-4</v>
      </c>
      <c r="I131" s="248">
        <f>IF(MobilityModel=DK,CalcDeltaN(H131,SampleDoping,Thickness,AreaFrac),CalcDeltaNDL(H131,AreaFrac,Thickness,SampleType,SampleDoping,Temperature))</f>
        <v>20061967632947.187</v>
      </c>
      <c r="J131" s="248" t="str">
        <f t="shared" si="62"/>
        <v/>
      </c>
      <c r="K131" s="248">
        <f t="shared" si="63"/>
        <v>20061967632947.187</v>
      </c>
      <c r="L131" s="250">
        <f t="shared" si="71"/>
        <v>-2.4673813042401364E+16</v>
      </c>
      <c r="M131" s="196" t="str">
        <f t="shared" si="64"/>
        <v/>
      </c>
      <c r="N131" s="196" t="str">
        <f t="shared" si="65"/>
        <v/>
      </c>
      <c r="O131" s="250">
        <f t="shared" si="66"/>
        <v>20061967632947.187</v>
      </c>
      <c r="P131" s="248">
        <f t="shared" si="72"/>
        <v>2.2192111241382683E-5</v>
      </c>
      <c r="Q131" s="250" t="str">
        <f t="shared" si="73"/>
        <v/>
      </c>
      <c r="R131" s="251" t="str">
        <f t="shared" si="75"/>
        <v/>
      </c>
      <c r="S131" s="252">
        <f>IF(AND(E131&gt;0.95*BiasLight,E131&lt;1.05*BiasLight),"",IF(AugerModel="Sinton",calclifetimeauger(Auger_Coefficient,I131,P131),calclifetimerichter(SampleType,I131,SampleDoping,P131)))</f>
        <v>45061.056800591221</v>
      </c>
      <c r="T131" s="201" t="str">
        <f t="shared" si="74"/>
        <v/>
      </c>
      <c r="U131" s="252">
        <f t="shared" si="67"/>
        <v>28936.383756738702</v>
      </c>
      <c r="V131" s="251" t="str">
        <f>IF(AugerModel="Sinton","",IF(SampleType="n-type",n_intr_boltzmann(SampleDoping,0,K131,Temperature+273.15),n_intr_boltzmann(0,SampleDoping,K131,Temperature+273.15)))</f>
        <v/>
      </c>
      <c r="W131" s="251" t="str">
        <f t="shared" si="51"/>
        <v/>
      </c>
      <c r="X131" s="246">
        <f>IF(AND(A131&gt;TimeofMaxCD,I131&gt;Traps),IF(AugerModel="Sinton",CalcImpliedV(SampleDoping,O131),CalcImpliedVRichter(O131,SampleDoping,V131)),"")</f>
        <v>0.53056091804122085</v>
      </c>
      <c r="Y131" s="253">
        <f t="shared" si="68"/>
        <v>0.10671165394567797</v>
      </c>
      <c r="Z131" s="200" t="str">
        <f t="shared" si="69"/>
        <v/>
      </c>
      <c r="AE131" s="251">
        <f t="shared" si="70"/>
        <v>1619.4370638428397</v>
      </c>
    </row>
    <row r="132" spans="1:31" x14ac:dyDescent="0.2">
      <c r="A132" s="244">
        <v>1.23499E-2</v>
      </c>
      <c r="B132" s="244">
        <v>3.3833299999999999E-3</v>
      </c>
      <c r="C132" s="245">
        <v>1.01231E-3</v>
      </c>
      <c r="D132" s="246">
        <f>IF(CouplingMode="AC",B132-(A$11-A$10)*SUM(B$9:B132)/0.21,B132)</f>
        <v>3.3833299999999999E-3</v>
      </c>
      <c r="E132" s="247">
        <f t="shared" si="58"/>
        <v>9.6190768865393572E-2</v>
      </c>
      <c r="F132" s="247">
        <f t="shared" si="59"/>
        <v>9.6190768865393572E-2</v>
      </c>
      <c r="G132" s="248">
        <f t="shared" si="60"/>
        <v>1.5971750635577206E+16</v>
      </c>
      <c r="H132" s="249">
        <f t="shared" si="61"/>
        <v>1.0084881329962183E-4</v>
      </c>
      <c r="I132" s="248">
        <f>IF(MobilityModel=DK,CalcDeltaN(H132,SampleDoping,Thickness,AreaFrac),CalcDeltaNDL(H132,AreaFrac,Thickness,SampleType,SampleDoping,Temperature))</f>
        <v>19832016491441.141</v>
      </c>
      <c r="J132" s="248" t="str">
        <f t="shared" si="62"/>
        <v/>
      </c>
      <c r="K132" s="248">
        <f t="shared" si="63"/>
        <v>19832016491441.141</v>
      </c>
      <c r="L132" s="250"/>
      <c r="M132" s="196" t="str">
        <f t="shared" si="64"/>
        <v/>
      </c>
      <c r="N132" s="196" t="str">
        <f t="shared" si="65"/>
        <v/>
      </c>
      <c r="O132" s="250">
        <f t="shared" si="66"/>
        <v>19832016491441.141</v>
      </c>
      <c r="P132" s="248"/>
      <c r="Q132" s="250" t="str">
        <f t="shared" si="73"/>
        <v/>
      </c>
      <c r="R132" s="251" t="str">
        <f t="shared" si="75"/>
        <v/>
      </c>
      <c r="S132" s="201"/>
      <c r="T132" s="201" t="str">
        <f t="shared" si="74"/>
        <v/>
      </c>
      <c r="U132" s="252">
        <f t="shared" si="67"/>
        <v>28937.721221121141</v>
      </c>
      <c r="V132" s="251" t="str">
        <f>IF(AugerModel="Sinton","",IF(SampleType="n-type",n_intr_boltzmann(SampleDoping,0,K132,Temperature+273.15),n_intr_boltzmann(0,SampleDoping,K132,Temperature+273.15)))</f>
        <v/>
      </c>
      <c r="W132" s="251" t="str">
        <f t="shared" si="51"/>
        <v/>
      </c>
      <c r="X132" s="246">
        <f>IF(AND(A132&gt;TimeofMaxCD,I132&gt;Traps),IF(AugerModel="Sinton",CalcImpliedV(SampleDoping,O132),CalcImpliedVRichter(O132,SampleDoping,V132)),"")</f>
        <v>0.53026303841221201</v>
      </c>
      <c r="Y132" s="253" t="str">
        <f t="shared" si="68"/>
        <v/>
      </c>
      <c r="Z132" s="200" t="str">
        <f t="shared" si="69"/>
        <v/>
      </c>
      <c r="AE132" s="251">
        <f t="shared" si="70"/>
        <v>1619.5163400909303</v>
      </c>
    </row>
    <row r="133" spans="1:31" x14ac:dyDescent="0.2">
      <c r="A133" s="244">
        <v>1.24499E-2</v>
      </c>
      <c r="B133" s="244">
        <v>2.7632099999999999E-3</v>
      </c>
      <c r="C133" s="245">
        <v>9.3711E-4</v>
      </c>
      <c r="D133" s="246">
        <f>IF(CouplingMode="AC",B133-(A$11-A$10)*SUM(B$9:B133)/0.21,B133)</f>
        <v>2.7632099999999999E-3</v>
      </c>
      <c r="E133" s="247">
        <f t="shared" si="58"/>
        <v>8.9045185181860262E-2</v>
      </c>
      <c r="F133" s="247">
        <f t="shared" si="59"/>
        <v>8.9045185181860262E-2</v>
      </c>
      <c r="G133" s="248">
        <f t="shared" si="60"/>
        <v>1.4785280435939344E+16</v>
      </c>
      <c r="H133" s="249">
        <f t="shared" si="61"/>
        <v>8.2363788913790426E-5</v>
      </c>
      <c r="I133" s="248">
        <f>IF(MobilityModel=DK,CalcDeltaN(H133,SampleDoping,Thickness,AreaFrac),CalcDeltaNDL(H133,AreaFrac,Thickness,SampleType,SampleDoping,Temperature))</f>
        <v>16183594725932.227</v>
      </c>
      <c r="J133" s="248" t="str">
        <f t="shared" si="62"/>
        <v/>
      </c>
      <c r="K133" s="248">
        <f t="shared" si="63"/>
        <v>16183594725932.227</v>
      </c>
      <c r="L133" s="250"/>
      <c r="M133" s="196" t="str">
        <f t="shared" si="64"/>
        <v/>
      </c>
      <c r="N133" s="196" t="str">
        <f t="shared" si="65"/>
        <v/>
      </c>
      <c r="O133" s="250">
        <f t="shared" si="66"/>
        <v>16183594725932.227</v>
      </c>
      <c r="P133" s="248"/>
      <c r="Q133" s="250" t="str">
        <f t="shared" si="73"/>
        <v/>
      </c>
      <c r="R133" s="251" t="str">
        <f t="shared" si="75"/>
        <v/>
      </c>
      <c r="S133" s="201"/>
      <c r="T133" s="201" t="str">
        <f t="shared" si="74"/>
        <v/>
      </c>
      <c r="U133" s="252">
        <f t="shared" si="67"/>
        <v>28958.941529624641</v>
      </c>
      <c r="V133" s="251" t="str">
        <f>IF(AugerModel="Sinton","",IF(SampleType="n-type",n_intr_boltzmann(SampleDoping,0,K133,Temperature+273.15),n_intr_boltzmann(0,SampleDoping,K133,Temperature+273.15)))</f>
        <v/>
      </c>
      <c r="W133" s="251" t="str">
        <f t="shared" si="51"/>
        <v/>
      </c>
      <c r="X133" s="246">
        <f>IF(AND(A133&gt;TimeofMaxCD,I133&gt;Traps),IF(AugerModel="Sinton",CalcImpliedV(SampleDoping,O133),CalcImpliedVRichter(O133,SampleDoping,V133)),"")</f>
        <v>0.52501298055844436</v>
      </c>
      <c r="Y133" s="253" t="str">
        <f t="shared" si="68"/>
        <v/>
      </c>
      <c r="Z133" s="200" t="str">
        <f t="shared" si="69"/>
        <v/>
      </c>
      <c r="AE133" s="251">
        <f t="shared" si="70"/>
        <v>1620.8496800554456</v>
      </c>
    </row>
    <row r="134" spans="1:31" x14ac:dyDescent="0.2">
      <c r="A134" s="255" t="s">
        <v>57</v>
      </c>
      <c r="B134" s="256" t="s">
        <v>131</v>
      </c>
      <c r="C134" s="257"/>
      <c r="D134" s="201"/>
      <c r="E134" s="201"/>
      <c r="F134" s="201"/>
      <c r="G134" s="201"/>
      <c r="H134" s="201"/>
      <c r="I134" s="201"/>
      <c r="J134" s="201"/>
      <c r="K134" s="201"/>
      <c r="L134" s="201"/>
      <c r="M134" s="201"/>
      <c r="N134" s="200" t="str">
        <f t="shared" ref="N134" si="76">IF(M134="","",1/M134)</f>
        <v/>
      </c>
      <c r="O134" s="201"/>
      <c r="R134" s="201"/>
      <c r="S134" s="201"/>
      <c r="T134" s="201"/>
      <c r="U134" s="201"/>
      <c r="V134" s="251"/>
      <c r="W134" s="251" t="str">
        <f t="shared" si="51"/>
        <v/>
      </c>
      <c r="Z134" s="258"/>
      <c r="AE134" s="251"/>
    </row>
    <row r="135" spans="1:31" x14ac:dyDescent="0.2">
      <c r="A135" s="255"/>
      <c r="B135" s="259"/>
      <c r="C135" s="260"/>
      <c r="D135" s="201"/>
      <c r="E135" s="201"/>
      <c r="F135" s="201"/>
      <c r="G135" s="196"/>
      <c r="H135" s="196"/>
      <c r="I135" s="201"/>
      <c r="J135" s="201"/>
      <c r="K135" s="201"/>
      <c r="L135" s="201"/>
      <c r="M135" s="201"/>
      <c r="N135" s="201"/>
      <c r="O135" s="201"/>
      <c r="R135" s="201"/>
      <c r="S135" s="201"/>
      <c r="T135" s="201"/>
      <c r="U135" s="196"/>
      <c r="V135" s="201"/>
      <c r="W135" s="201"/>
      <c r="X135" s="201"/>
      <c r="Y135" s="201"/>
    </row>
    <row r="136" spans="1:31" x14ac:dyDescent="0.2">
      <c r="A136" s="255" t="s">
        <v>80</v>
      </c>
      <c r="B136" s="259" t="s">
        <v>132</v>
      </c>
      <c r="C136" s="261"/>
      <c r="D136" s="201"/>
      <c r="E136" s="201"/>
      <c r="F136" s="201"/>
      <c r="G136" s="201"/>
      <c r="H136" s="201"/>
      <c r="I136" s="201"/>
      <c r="J136" s="201"/>
      <c r="K136" s="201"/>
      <c r="L136" s="201"/>
      <c r="M136" s="201"/>
      <c r="N136" s="201"/>
      <c r="O136" s="201"/>
      <c r="R136" s="201"/>
      <c r="S136" s="201"/>
      <c r="T136" s="201"/>
      <c r="U136" s="196"/>
      <c r="V136" s="201"/>
      <c r="W136" s="201"/>
      <c r="X136" s="201"/>
      <c r="Y136" s="201"/>
    </row>
    <row r="137" spans="1:31" x14ac:dyDescent="0.2">
      <c r="A137" s="255"/>
      <c r="B137" s="259"/>
      <c r="C137" s="261"/>
      <c r="D137" s="201"/>
      <c r="E137" s="201"/>
      <c r="F137" s="201"/>
      <c r="G137" s="201"/>
      <c r="H137" s="201"/>
      <c r="I137" s="201"/>
      <c r="J137" s="201"/>
      <c r="K137" s="201"/>
      <c r="L137" s="201"/>
      <c r="M137" s="201"/>
      <c r="N137" s="201"/>
      <c r="O137" s="201"/>
      <c r="R137" s="201"/>
      <c r="S137" s="201"/>
      <c r="T137" s="201"/>
      <c r="U137" s="196"/>
      <c r="V137" s="201"/>
      <c r="W137" s="201"/>
      <c r="X137" s="201"/>
      <c r="Y137" s="201"/>
    </row>
    <row r="138" spans="1:31" x14ac:dyDescent="0.2">
      <c r="A138" s="255" t="s">
        <v>69</v>
      </c>
      <c r="B138" s="259">
        <v>5</v>
      </c>
      <c r="C138" s="261"/>
      <c r="D138" s="201"/>
      <c r="E138" s="201"/>
      <c r="F138" s="201"/>
      <c r="G138" s="201"/>
      <c r="H138" s="201"/>
      <c r="I138" s="201"/>
      <c r="J138" s="201"/>
      <c r="K138" s="201"/>
      <c r="L138" s="201"/>
      <c r="M138" s="201"/>
      <c r="N138" s="201"/>
      <c r="O138" s="201"/>
      <c r="R138" s="201"/>
      <c r="S138" s="201"/>
      <c r="T138" s="201"/>
      <c r="U138" s="196"/>
      <c r="V138" s="201"/>
      <c r="W138" s="201"/>
      <c r="X138" s="201"/>
      <c r="Y138" s="201"/>
    </row>
    <row r="139" spans="1:31" x14ac:dyDescent="0.2">
      <c r="A139" s="262"/>
      <c r="B139" s="259"/>
      <c r="C139" s="259"/>
      <c r="D139" s="263"/>
      <c r="E139" s="263"/>
      <c r="F139" s="263"/>
      <c r="G139" s="263"/>
      <c r="H139" s="263"/>
      <c r="I139" s="263"/>
      <c r="J139" s="263"/>
      <c r="K139" s="263"/>
      <c r="L139" s="263"/>
      <c r="M139" s="201"/>
      <c r="N139" s="263"/>
      <c r="O139" s="201"/>
      <c r="P139" s="263"/>
      <c r="Q139" s="263"/>
      <c r="R139" s="263"/>
      <c r="S139" s="263"/>
      <c r="T139" s="263"/>
      <c r="U139" s="263"/>
      <c r="V139" s="263" t="str">
        <f>IF(User!S6="","",User!S6)</f>
        <v/>
      </c>
      <c r="W139" s="201"/>
    </row>
    <row r="140" spans="1:31" x14ac:dyDescent="0.2">
      <c r="A140" s="255" t="s">
        <v>68</v>
      </c>
      <c r="B140" s="264">
        <v>5</v>
      </c>
      <c r="C140" s="265"/>
      <c r="D140" s="201"/>
      <c r="E140" s="201"/>
      <c r="F140" s="266"/>
      <c r="G140" s="266"/>
      <c r="H140" s="266"/>
      <c r="I140" s="266"/>
      <c r="J140" s="267"/>
      <c r="K140" s="266"/>
      <c r="L140" s="266"/>
      <c r="M140" s="201"/>
      <c r="N140" s="266"/>
      <c r="O140" s="201"/>
      <c r="P140" s="266"/>
      <c r="Q140" s="266"/>
      <c r="R140" s="266"/>
      <c r="S140" s="266"/>
      <c r="T140" s="201"/>
      <c r="U140" s="201"/>
      <c r="V140" s="201"/>
      <c r="W140" s="201"/>
    </row>
    <row r="141" spans="1:31" x14ac:dyDescent="0.2">
      <c r="A141" s="268"/>
      <c r="B141" s="259"/>
      <c r="C141" s="260"/>
      <c r="D141" s="269"/>
      <c r="E141" s="253"/>
      <c r="F141" s="269"/>
      <c r="G141" s="201"/>
      <c r="H141" s="201"/>
      <c r="I141" s="201"/>
      <c r="J141" s="270"/>
      <c r="K141" s="253"/>
      <c r="L141" s="270"/>
      <c r="N141" s="251"/>
      <c r="P141" s="201"/>
      <c r="Q141" s="253"/>
      <c r="R141" s="251"/>
    </row>
    <row r="142" spans="1:31" x14ac:dyDescent="0.2">
      <c r="A142" s="255" t="s">
        <v>67</v>
      </c>
      <c r="B142" s="259">
        <v>10</v>
      </c>
      <c r="C142" s="260"/>
      <c r="D142" s="201"/>
      <c r="E142" s="201"/>
      <c r="F142" s="201"/>
      <c r="G142" s="201"/>
      <c r="H142" s="201"/>
      <c r="I142" s="201"/>
      <c r="J142" s="201"/>
      <c r="K142" s="201"/>
      <c r="L142" s="201"/>
      <c r="P142" s="201"/>
      <c r="Q142" s="201"/>
    </row>
    <row r="143" spans="1:31" x14ac:dyDescent="0.2">
      <c r="A143" s="271"/>
      <c r="B143" s="272"/>
      <c r="C143" s="273"/>
    </row>
    <row r="144" spans="1:31" x14ac:dyDescent="0.2">
      <c r="A144" s="271" t="s">
        <v>66</v>
      </c>
      <c r="B144" s="272">
        <v>20</v>
      </c>
      <c r="C144" s="273"/>
    </row>
    <row r="145" spans="1:3" x14ac:dyDescent="0.2">
      <c r="A145" s="271"/>
      <c r="B145" s="272"/>
      <c r="C145" s="273"/>
    </row>
    <row r="146" spans="1:3" x14ac:dyDescent="0.2">
      <c r="A146" s="271" t="s">
        <v>73</v>
      </c>
      <c r="B146" s="272">
        <v>1</v>
      </c>
      <c r="C146" s="273"/>
    </row>
    <row r="147" spans="1:3" x14ac:dyDescent="0.2">
      <c r="A147" s="271"/>
      <c r="B147" s="272"/>
      <c r="C147" s="273"/>
    </row>
    <row r="148" spans="1:3" x14ac:dyDescent="0.2">
      <c r="A148" s="271" t="s">
        <v>72</v>
      </c>
      <c r="B148" s="272">
        <v>1</v>
      </c>
      <c r="C148" s="273"/>
    </row>
    <row r="149" spans="1:3" x14ac:dyDescent="0.2">
      <c r="A149" s="271"/>
      <c r="B149" s="272"/>
      <c r="C149" s="273"/>
    </row>
    <row r="150" spans="1:3" x14ac:dyDescent="0.2">
      <c r="A150" s="271" t="s">
        <v>71</v>
      </c>
      <c r="B150" s="274">
        <v>3.9059900000000001</v>
      </c>
      <c r="C150" s="273"/>
    </row>
    <row r="151" spans="1:3" x14ac:dyDescent="0.2">
      <c r="A151" s="271"/>
      <c r="B151" s="272"/>
      <c r="C151" s="273"/>
    </row>
    <row r="152" spans="1:3" x14ac:dyDescent="0.2">
      <c r="A152" s="271" t="s">
        <v>70</v>
      </c>
      <c r="B152" s="272">
        <v>0.62831099999999995</v>
      </c>
      <c r="C152" s="273"/>
    </row>
    <row r="153" spans="1:3" x14ac:dyDescent="0.2">
      <c r="A153" s="271"/>
      <c r="B153" s="272"/>
      <c r="C153" s="273"/>
    </row>
    <row r="154" spans="1:3" x14ac:dyDescent="0.2">
      <c r="A154" s="271" t="s">
        <v>63</v>
      </c>
      <c r="B154" s="272">
        <v>125</v>
      </c>
      <c r="C154" s="273"/>
    </row>
    <row r="155" spans="1:3" x14ac:dyDescent="0.2">
      <c r="A155" s="271"/>
      <c r="B155" s="272"/>
      <c r="C155" s="273"/>
    </row>
    <row r="156" spans="1:3" x14ac:dyDescent="0.2">
      <c r="A156" s="271" t="s">
        <v>61</v>
      </c>
      <c r="B156" s="272">
        <v>12500</v>
      </c>
      <c r="C156" s="273"/>
    </row>
    <row r="157" spans="1:3" x14ac:dyDescent="0.2">
      <c r="A157" s="271"/>
      <c r="B157" s="272"/>
      <c r="C157" s="273"/>
    </row>
    <row r="158" spans="1:3" x14ac:dyDescent="0.2">
      <c r="A158" s="271" t="s">
        <v>58</v>
      </c>
      <c r="B158" s="272">
        <v>0.2</v>
      </c>
      <c r="C158" s="273"/>
    </row>
    <row r="159" spans="1:3" x14ac:dyDescent="0.2">
      <c r="A159" s="271"/>
      <c r="B159" s="272"/>
      <c r="C159" s="273"/>
    </row>
    <row r="160" spans="1:3" x14ac:dyDescent="0.2">
      <c r="A160" s="271" t="s">
        <v>59</v>
      </c>
      <c r="B160" s="272">
        <v>0.02</v>
      </c>
      <c r="C160" s="273"/>
    </row>
    <row r="161" spans="1:3" x14ac:dyDescent="0.2">
      <c r="A161" s="271"/>
      <c r="B161" s="272"/>
      <c r="C161" s="273"/>
    </row>
    <row r="162" spans="1:3" x14ac:dyDescent="0.2">
      <c r="A162" s="271" t="s">
        <v>60</v>
      </c>
      <c r="B162" s="272">
        <v>1000</v>
      </c>
      <c r="C162" s="273"/>
    </row>
    <row r="163" spans="1:3" x14ac:dyDescent="0.2">
      <c r="A163" s="271"/>
      <c r="B163" s="272"/>
      <c r="C163" s="273"/>
    </row>
    <row r="164" spans="1:3" x14ac:dyDescent="0.2">
      <c r="A164" s="271" t="s">
        <v>62</v>
      </c>
      <c r="B164" s="272">
        <v>0.05</v>
      </c>
      <c r="C164" s="273"/>
    </row>
    <row r="165" spans="1:3" x14ac:dyDescent="0.2">
      <c r="A165" s="271"/>
      <c r="B165" s="272"/>
      <c r="C165" s="273"/>
    </row>
    <row r="166" spans="1:3" x14ac:dyDescent="0.2">
      <c r="A166" s="271" t="s">
        <v>64</v>
      </c>
      <c r="B166" s="272">
        <v>-0.53424499999999997</v>
      </c>
      <c r="C166" s="273"/>
    </row>
    <row r="167" spans="1:3" x14ac:dyDescent="0.2">
      <c r="A167" s="271"/>
      <c r="B167" s="272"/>
      <c r="C167" s="273"/>
    </row>
    <row r="168" spans="1:3" x14ac:dyDescent="0.2">
      <c r="A168" s="271" t="s">
        <v>76</v>
      </c>
      <c r="B168" s="272" t="s">
        <v>131</v>
      </c>
      <c r="C168" s="273"/>
    </row>
    <row r="169" spans="1:3" x14ac:dyDescent="0.2">
      <c r="A169" s="271"/>
      <c r="B169" s="272"/>
      <c r="C169" s="273"/>
    </row>
    <row r="170" spans="1:3" x14ac:dyDescent="0.2">
      <c r="A170" s="271" t="s">
        <v>74</v>
      </c>
      <c r="B170" s="272" t="s">
        <v>131</v>
      </c>
      <c r="C170" s="273"/>
    </row>
    <row r="171" spans="1:3" x14ac:dyDescent="0.2">
      <c r="A171" s="271"/>
      <c r="B171" s="272"/>
      <c r="C171" s="273"/>
    </row>
    <row r="172" spans="1:3" x14ac:dyDescent="0.2">
      <c r="A172" s="271" t="s">
        <v>75</v>
      </c>
      <c r="B172" s="272" t="s">
        <v>132</v>
      </c>
      <c r="C172" s="273"/>
    </row>
    <row r="173" spans="1:3" x14ac:dyDescent="0.2">
      <c r="A173" s="271"/>
      <c r="B173" s="272"/>
      <c r="C173" s="273"/>
    </row>
    <row r="174" spans="1:3" x14ac:dyDescent="0.2">
      <c r="A174" s="271" t="s">
        <v>79</v>
      </c>
      <c r="B174" s="272">
        <v>20000</v>
      </c>
      <c r="C174" s="273"/>
    </row>
    <row r="175" spans="1:3" x14ac:dyDescent="0.2">
      <c r="A175" s="271"/>
      <c r="B175" s="272"/>
      <c r="C175" s="273"/>
    </row>
    <row r="176" spans="1:3" x14ac:dyDescent="0.2">
      <c r="A176" s="271" t="s">
        <v>77</v>
      </c>
      <c r="B176" s="272">
        <v>6</v>
      </c>
      <c r="C176" s="273"/>
    </row>
    <row r="177" spans="1:3" x14ac:dyDescent="0.2">
      <c r="A177" s="271"/>
      <c r="B177" s="272"/>
      <c r="C177" s="273"/>
    </row>
    <row r="178" spans="1:3" x14ac:dyDescent="0.2">
      <c r="A178" s="271" t="s">
        <v>78</v>
      </c>
      <c r="B178" s="272">
        <v>1</v>
      </c>
      <c r="C178" s="273"/>
    </row>
    <row r="179" spans="1:3" x14ac:dyDescent="0.2">
      <c r="A179" s="271"/>
      <c r="B179" s="272"/>
      <c r="C179" s="273"/>
    </row>
    <row r="180" spans="1:3" x14ac:dyDescent="0.2">
      <c r="A180" s="271" t="s">
        <v>81</v>
      </c>
      <c r="B180" s="272">
        <v>20</v>
      </c>
      <c r="C180" s="273"/>
    </row>
    <row r="181" spans="1:3" x14ac:dyDescent="0.2">
      <c r="A181" s="271"/>
      <c r="B181" s="272"/>
      <c r="C181" s="273"/>
    </row>
    <row r="182" spans="1:3" x14ac:dyDescent="0.2">
      <c r="A182" s="271" t="s">
        <v>83</v>
      </c>
      <c r="B182" s="272">
        <v>1</v>
      </c>
      <c r="C182" s="273"/>
    </row>
    <row r="183" spans="1:3" x14ac:dyDescent="0.2">
      <c r="A183" s="271"/>
      <c r="B183" s="272"/>
      <c r="C183" s="273"/>
    </row>
    <row r="184" spans="1:3" x14ac:dyDescent="0.2">
      <c r="A184" s="271" t="s">
        <v>84</v>
      </c>
      <c r="B184" s="272" t="s">
        <v>132</v>
      </c>
      <c r="C184" s="273"/>
    </row>
    <row r="185" spans="1:3" x14ac:dyDescent="0.2">
      <c r="A185" s="271"/>
      <c r="B185" s="272"/>
      <c r="C185" s="273"/>
    </row>
    <row r="186" spans="1:3" x14ac:dyDescent="0.2">
      <c r="A186" s="271" t="s">
        <v>85</v>
      </c>
      <c r="B186" s="272"/>
      <c r="C186" s="273"/>
    </row>
    <row r="187" spans="1:3" x14ac:dyDescent="0.2">
      <c r="A187" s="271" t="s">
        <v>99</v>
      </c>
      <c r="B187" s="272">
        <v>1</v>
      </c>
      <c r="C187" s="273"/>
    </row>
    <row r="188" spans="1:3" x14ac:dyDescent="0.2">
      <c r="A188" s="271"/>
      <c r="B188" s="272"/>
      <c r="C188" s="273"/>
    </row>
    <row r="189" spans="1:3" x14ac:dyDescent="0.2">
      <c r="A189" s="271" t="s">
        <v>100</v>
      </c>
      <c r="B189" s="272">
        <v>1</v>
      </c>
      <c r="C189" s="273"/>
    </row>
    <row r="190" spans="1:3" x14ac:dyDescent="0.2">
      <c r="A190" s="271"/>
      <c r="B190" s="272"/>
      <c r="C190" s="273"/>
    </row>
    <row r="191" spans="1:3" x14ac:dyDescent="0.2">
      <c r="A191" s="271" t="s">
        <v>101</v>
      </c>
      <c r="B191" s="272">
        <v>1</v>
      </c>
      <c r="C191" s="273"/>
    </row>
    <row r="192" spans="1:3" x14ac:dyDescent="0.2">
      <c r="A192" s="271"/>
      <c r="B192" s="272"/>
      <c r="C192" s="273"/>
    </row>
    <row r="193" spans="1:19" x14ac:dyDescent="0.2">
      <c r="A193" s="271" t="s">
        <v>102</v>
      </c>
      <c r="B193" s="272">
        <v>1</v>
      </c>
      <c r="C193" s="273"/>
    </row>
    <row r="194" spans="1:19" x14ac:dyDescent="0.2">
      <c r="A194" s="271"/>
      <c r="B194" s="272"/>
      <c r="C194" s="273"/>
    </row>
    <row r="195" spans="1:19" x14ac:dyDescent="0.2">
      <c r="A195" s="271" t="s">
        <v>103</v>
      </c>
      <c r="B195" s="272">
        <v>1</v>
      </c>
      <c r="C195" s="273"/>
    </row>
    <row r="196" spans="1:19" x14ac:dyDescent="0.2">
      <c r="A196" s="271"/>
      <c r="B196" s="272"/>
      <c r="C196" s="273"/>
    </row>
    <row r="197" spans="1:19" x14ac:dyDescent="0.2">
      <c r="A197" s="271" t="s">
        <v>104</v>
      </c>
      <c r="B197" s="272">
        <v>1</v>
      </c>
      <c r="C197" s="273"/>
    </row>
    <row r="198" spans="1:19" x14ac:dyDescent="0.2">
      <c r="A198" s="271"/>
      <c r="B198" s="272"/>
      <c r="C198" s="273"/>
    </row>
    <row r="199" spans="1:19" x14ac:dyDescent="0.2">
      <c r="A199" s="271" t="s">
        <v>105</v>
      </c>
      <c r="B199" s="272">
        <v>1</v>
      </c>
      <c r="C199" s="273"/>
    </row>
    <row r="200" spans="1:19" x14ac:dyDescent="0.2">
      <c r="A200" s="271"/>
      <c r="B200" s="272"/>
      <c r="C200" s="272"/>
      <c r="D200" s="258"/>
      <c r="E200" s="258"/>
      <c r="F200" s="258"/>
      <c r="G200" s="258"/>
      <c r="H200" s="258"/>
      <c r="I200" s="258"/>
      <c r="J200" s="258"/>
      <c r="K200" s="258"/>
      <c r="L200" s="258"/>
      <c r="N200" s="258"/>
      <c r="P200" s="258"/>
      <c r="Q200" s="258"/>
      <c r="R200" s="258"/>
      <c r="S200" s="258"/>
    </row>
    <row r="201" spans="1:19" x14ac:dyDescent="0.2">
      <c r="A201" s="271" t="s">
        <v>106</v>
      </c>
      <c r="B201" s="272">
        <v>1</v>
      </c>
      <c r="C201" s="273"/>
    </row>
    <row r="202" spans="1:19" x14ac:dyDescent="0.2">
      <c r="A202" s="271"/>
      <c r="B202" s="272"/>
      <c r="C202" s="273"/>
    </row>
    <row r="203" spans="1:19" x14ac:dyDescent="0.2">
      <c r="A203" s="271" t="s">
        <v>107</v>
      </c>
      <c r="B203" s="272">
        <v>1</v>
      </c>
      <c r="C203" s="273"/>
    </row>
    <row r="204" spans="1:19" x14ac:dyDescent="0.2">
      <c r="A204" s="271"/>
      <c r="B204" s="272"/>
      <c r="C204" s="273"/>
    </row>
    <row r="205" spans="1:19" x14ac:dyDescent="0.2">
      <c r="A205" s="271" t="s">
        <v>108</v>
      </c>
      <c r="B205" s="272" t="s">
        <v>132</v>
      </c>
      <c r="C205" s="273"/>
    </row>
    <row r="206" spans="1:19" x14ac:dyDescent="0.2">
      <c r="A206" s="271"/>
      <c r="B206" s="272"/>
      <c r="C206" s="273"/>
    </row>
    <row r="207" spans="1:19" x14ac:dyDescent="0.2">
      <c r="A207" s="271" t="s">
        <v>109</v>
      </c>
      <c r="B207" s="272">
        <v>1</v>
      </c>
      <c r="C207" s="273"/>
    </row>
    <row r="208" spans="1:19" x14ac:dyDescent="0.2">
      <c r="A208" s="271"/>
      <c r="B208" s="272"/>
      <c r="C208" s="273"/>
    </row>
    <row r="209" spans="1:3" x14ac:dyDescent="0.2">
      <c r="A209" s="271" t="s">
        <v>110</v>
      </c>
      <c r="B209" s="272">
        <v>1</v>
      </c>
      <c r="C209" s="273"/>
    </row>
    <row r="210" spans="1:3" x14ac:dyDescent="0.2">
      <c r="A210" s="271"/>
      <c r="B210" s="272"/>
      <c r="C210" s="273"/>
    </row>
    <row r="211" spans="1:3" x14ac:dyDescent="0.2">
      <c r="A211" s="271" t="s">
        <v>91</v>
      </c>
      <c r="B211" s="272">
        <v>1</v>
      </c>
      <c r="C211" s="273"/>
    </row>
    <row r="212" spans="1:3" x14ac:dyDescent="0.2">
      <c r="A212" s="271"/>
      <c r="B212" s="272"/>
      <c r="C212" s="273"/>
    </row>
    <row r="213" spans="1:3" x14ac:dyDescent="0.2">
      <c r="A213" s="271" t="s">
        <v>92</v>
      </c>
      <c r="B213" s="272">
        <v>1</v>
      </c>
      <c r="C213" s="273"/>
    </row>
    <row r="214" spans="1:3" x14ac:dyDescent="0.2">
      <c r="A214" s="271"/>
      <c r="B214" s="272"/>
      <c r="C214" s="273"/>
    </row>
    <row r="215" spans="1:3" x14ac:dyDescent="0.2">
      <c r="A215" s="271" t="s">
        <v>93</v>
      </c>
      <c r="B215" s="272">
        <v>1</v>
      </c>
      <c r="C215" s="273"/>
    </row>
    <row r="216" spans="1:3" x14ac:dyDescent="0.2">
      <c r="A216" s="271"/>
      <c r="B216" s="272"/>
      <c r="C216" s="273"/>
    </row>
    <row r="217" spans="1:3" x14ac:dyDescent="0.2">
      <c r="A217" s="271" t="s">
        <v>94</v>
      </c>
      <c r="B217" s="272">
        <v>1</v>
      </c>
      <c r="C217" s="273"/>
    </row>
    <row r="218" spans="1:3" x14ac:dyDescent="0.2">
      <c r="A218" s="271"/>
      <c r="B218" s="272"/>
      <c r="C218" s="273"/>
    </row>
    <row r="219" spans="1:3" x14ac:dyDescent="0.2">
      <c r="A219" s="271" t="s">
        <v>95</v>
      </c>
      <c r="B219" s="272">
        <v>1</v>
      </c>
      <c r="C219" s="273"/>
    </row>
    <row r="220" spans="1:3" x14ac:dyDescent="0.2">
      <c r="A220" s="271"/>
      <c r="B220" s="272"/>
      <c r="C220" s="273"/>
    </row>
    <row r="221" spans="1:3" x14ac:dyDescent="0.2">
      <c r="A221" s="271" t="s">
        <v>98</v>
      </c>
      <c r="B221" s="272">
        <v>1</v>
      </c>
      <c r="C221" s="273"/>
    </row>
    <row r="222" spans="1:3" x14ac:dyDescent="0.2">
      <c r="A222" s="271"/>
      <c r="B222" s="272"/>
      <c r="C222" s="273"/>
    </row>
    <row r="223" spans="1:3" x14ac:dyDescent="0.2">
      <c r="A223" s="271" t="s">
        <v>96</v>
      </c>
      <c r="B223" s="272">
        <v>1</v>
      </c>
      <c r="C223" s="273"/>
    </row>
    <row r="224" spans="1:3" x14ac:dyDescent="0.2">
      <c r="A224" s="271"/>
      <c r="B224" s="272"/>
      <c r="C224" s="273"/>
    </row>
    <row r="225" spans="1:3" x14ac:dyDescent="0.2">
      <c r="A225" s="271" t="s">
        <v>97</v>
      </c>
      <c r="B225" s="272">
        <v>1</v>
      </c>
      <c r="C225" s="273"/>
    </row>
    <row r="226" spans="1:3" x14ac:dyDescent="0.2">
      <c r="A226" s="271"/>
      <c r="B226" s="272"/>
      <c r="C226" s="273"/>
    </row>
    <row r="227" spans="1:3" x14ac:dyDescent="0.2">
      <c r="A227" s="271" t="s">
        <v>111</v>
      </c>
      <c r="B227" s="272">
        <v>1</v>
      </c>
      <c r="C227" s="273"/>
    </row>
    <row r="228" spans="1:3" x14ac:dyDescent="0.2">
      <c r="A228" s="271"/>
      <c r="B228" s="272"/>
      <c r="C228" s="273"/>
    </row>
    <row r="229" spans="1:3" x14ac:dyDescent="0.2">
      <c r="A229" s="271" t="s">
        <v>112</v>
      </c>
      <c r="B229" s="272">
        <v>1</v>
      </c>
      <c r="C229" s="273"/>
    </row>
    <row r="230" spans="1:3" x14ac:dyDescent="0.2">
      <c r="A230" s="271"/>
      <c r="B230" s="272"/>
      <c r="C230" s="273"/>
    </row>
    <row r="231" spans="1:3" x14ac:dyDescent="0.2">
      <c r="A231" s="271" t="s">
        <v>149</v>
      </c>
      <c r="B231" s="272">
        <v>1</v>
      </c>
      <c r="C231" s="273"/>
    </row>
    <row r="232" spans="1:3" x14ac:dyDescent="0.2">
      <c r="A232" s="271"/>
      <c r="B232" s="272"/>
      <c r="C232" s="273"/>
    </row>
    <row r="233" spans="1:3" x14ac:dyDescent="0.2">
      <c r="A233" s="271" t="s">
        <v>150</v>
      </c>
      <c r="B233" s="272">
        <v>1</v>
      </c>
      <c r="C233" s="273"/>
    </row>
    <row r="234" spans="1:3" x14ac:dyDescent="0.2">
      <c r="A234" s="271"/>
      <c r="B234" s="272"/>
      <c r="C234" s="273"/>
    </row>
    <row r="235" spans="1:3" x14ac:dyDescent="0.2">
      <c r="A235" s="271" t="s">
        <v>134</v>
      </c>
      <c r="B235" s="272">
        <v>1</v>
      </c>
      <c r="C235" s="273"/>
    </row>
    <row r="236" spans="1:3" x14ac:dyDescent="0.2">
      <c r="A236" s="271"/>
      <c r="B236" s="272"/>
      <c r="C236" s="273"/>
    </row>
    <row r="237" spans="1:3" x14ac:dyDescent="0.2">
      <c r="A237" s="271" t="s">
        <v>133</v>
      </c>
      <c r="B237" s="272">
        <v>1</v>
      </c>
      <c r="C237" s="273"/>
    </row>
    <row r="238" spans="1:3" x14ac:dyDescent="0.2">
      <c r="A238" s="271"/>
      <c r="B238" s="272"/>
      <c r="C238" s="273"/>
    </row>
    <row r="239" spans="1:3" x14ac:dyDescent="0.2">
      <c r="A239" s="271" t="s">
        <v>135</v>
      </c>
      <c r="B239" s="272">
        <v>1</v>
      </c>
      <c r="C239" s="273"/>
    </row>
    <row r="240" spans="1:3" x14ac:dyDescent="0.2">
      <c r="A240" s="271"/>
      <c r="B240" s="272"/>
      <c r="C240" s="273"/>
    </row>
    <row r="241" spans="1:3" x14ac:dyDescent="0.2">
      <c r="A241" s="271" t="s">
        <v>136</v>
      </c>
      <c r="B241" s="272">
        <v>1</v>
      </c>
      <c r="C241" s="273"/>
    </row>
    <row r="242" spans="1:3" x14ac:dyDescent="0.2">
      <c r="A242" s="271"/>
      <c r="B242" s="272"/>
      <c r="C242" s="273"/>
    </row>
    <row r="243" spans="1:3" x14ac:dyDescent="0.2">
      <c r="A243" s="271" t="s">
        <v>137</v>
      </c>
      <c r="B243" s="272">
        <v>1</v>
      </c>
      <c r="C243" s="273"/>
    </row>
    <row r="244" spans="1:3" x14ac:dyDescent="0.2">
      <c r="A244" s="271"/>
      <c r="B244" s="272"/>
      <c r="C244" s="273"/>
    </row>
    <row r="245" spans="1:3" x14ac:dyDescent="0.2">
      <c r="A245" s="271" t="s">
        <v>138</v>
      </c>
      <c r="B245" s="272">
        <v>1</v>
      </c>
      <c r="C245" s="273"/>
    </row>
    <row r="246" spans="1:3" x14ac:dyDescent="0.2">
      <c r="A246" s="271"/>
      <c r="B246" s="272"/>
      <c r="C246" s="273"/>
    </row>
    <row r="247" spans="1:3" x14ac:dyDescent="0.2">
      <c r="A247" s="271" t="s">
        <v>139</v>
      </c>
      <c r="B247" s="272">
        <v>1</v>
      </c>
      <c r="C247" s="273"/>
    </row>
    <row r="248" spans="1:3" x14ac:dyDescent="0.2">
      <c r="A248" s="271"/>
      <c r="B248" s="272"/>
      <c r="C248" s="273"/>
    </row>
    <row r="249" spans="1:3" x14ac:dyDescent="0.2">
      <c r="A249" s="271" t="s">
        <v>140</v>
      </c>
      <c r="B249" s="272">
        <v>1</v>
      </c>
      <c r="C249" s="273"/>
    </row>
    <row r="250" spans="1:3" x14ac:dyDescent="0.2">
      <c r="A250" s="271"/>
      <c r="B250" s="272"/>
      <c r="C250" s="273"/>
    </row>
    <row r="251" spans="1:3" x14ac:dyDescent="0.2">
      <c r="A251" s="271" t="s">
        <v>141</v>
      </c>
      <c r="B251" s="272">
        <v>1</v>
      </c>
      <c r="C251" s="273"/>
    </row>
    <row r="252" spans="1:3" x14ac:dyDescent="0.2">
      <c r="A252" s="271"/>
      <c r="B252" s="272"/>
      <c r="C252" s="273"/>
    </row>
    <row r="253" spans="1:3" x14ac:dyDescent="0.2">
      <c r="A253" s="271" t="s">
        <v>142</v>
      </c>
      <c r="B253" s="272">
        <v>1</v>
      </c>
      <c r="C253" s="273"/>
    </row>
    <row r="254" spans="1:3" x14ac:dyDescent="0.2">
      <c r="A254" s="271"/>
      <c r="B254" s="272"/>
      <c r="C254" s="273"/>
    </row>
    <row r="255" spans="1:3" x14ac:dyDescent="0.2">
      <c r="A255" s="271" t="s">
        <v>143</v>
      </c>
      <c r="B255" s="272">
        <v>1</v>
      </c>
      <c r="C255" s="273"/>
    </row>
    <row r="256" spans="1:3" x14ac:dyDescent="0.2">
      <c r="A256" s="271"/>
      <c r="B256" s="272"/>
      <c r="C256" s="273"/>
    </row>
    <row r="257" spans="1:3" x14ac:dyDescent="0.2">
      <c r="A257" s="271" t="s">
        <v>144</v>
      </c>
      <c r="B257" s="272">
        <v>1</v>
      </c>
      <c r="C257" s="273"/>
    </row>
    <row r="258" spans="1:3" x14ac:dyDescent="0.2">
      <c r="A258" s="271"/>
      <c r="B258" s="272"/>
      <c r="C258" s="273"/>
    </row>
    <row r="259" spans="1:3" x14ac:dyDescent="0.2">
      <c r="A259" s="271" t="s">
        <v>145</v>
      </c>
      <c r="B259" s="272">
        <v>1</v>
      </c>
      <c r="C259" s="273"/>
    </row>
    <row r="260" spans="1:3" x14ac:dyDescent="0.2">
      <c r="A260" s="271"/>
      <c r="B260" s="272"/>
      <c r="C260" s="273"/>
    </row>
    <row r="261" spans="1:3" x14ac:dyDescent="0.2">
      <c r="A261" s="271" t="s">
        <v>146</v>
      </c>
      <c r="B261" s="272">
        <v>1</v>
      </c>
      <c r="C261" s="273"/>
    </row>
    <row r="262" spans="1:3" x14ac:dyDescent="0.2">
      <c r="A262" s="271"/>
      <c r="B262" s="272"/>
      <c r="C262" s="273"/>
    </row>
    <row r="263" spans="1:3" x14ac:dyDescent="0.2">
      <c r="A263" s="271" t="s">
        <v>147</v>
      </c>
      <c r="B263" s="272">
        <v>1</v>
      </c>
      <c r="C263" s="273"/>
    </row>
    <row r="264" spans="1:3" x14ac:dyDescent="0.2">
      <c r="A264" s="271"/>
      <c r="B264" s="272"/>
      <c r="C264" s="273"/>
    </row>
    <row r="265" spans="1:3" x14ac:dyDescent="0.2">
      <c r="A265" s="271" t="s">
        <v>148</v>
      </c>
      <c r="B265" s="272">
        <v>1</v>
      </c>
      <c r="C265" s="273"/>
    </row>
    <row r="266" spans="1:3" x14ac:dyDescent="0.2">
      <c r="A266" s="271"/>
      <c r="B266" s="272"/>
      <c r="C266" s="273"/>
    </row>
    <row r="267" spans="1:3" x14ac:dyDescent="0.2">
      <c r="A267" s="271" t="s">
        <v>113</v>
      </c>
      <c r="B267" s="272"/>
      <c r="C267" s="273"/>
    </row>
    <row r="268" spans="1:3" x14ac:dyDescent="0.2">
      <c r="A268" s="271" t="s">
        <v>114</v>
      </c>
      <c r="B268" s="272" t="s">
        <v>132</v>
      </c>
      <c r="C268" s="273"/>
    </row>
    <row r="269" spans="1:3" x14ac:dyDescent="0.2">
      <c r="A269" s="271"/>
      <c r="B269" s="272"/>
      <c r="C269" s="273"/>
    </row>
    <row r="270" spans="1:3" x14ac:dyDescent="0.2">
      <c r="A270" s="271" t="s">
        <v>115</v>
      </c>
      <c r="B270" s="272" t="s">
        <v>151</v>
      </c>
      <c r="C270" s="273"/>
    </row>
    <row r="271" spans="1:3" x14ac:dyDescent="0.2">
      <c r="A271" s="271"/>
      <c r="B271" s="272"/>
      <c r="C271" s="273"/>
    </row>
    <row r="272" spans="1:3" x14ac:dyDescent="0.2">
      <c r="A272" s="271" t="s">
        <v>116</v>
      </c>
      <c r="B272" s="272" t="s">
        <v>151</v>
      </c>
      <c r="C272" s="273"/>
    </row>
    <row r="273" spans="1:3" x14ac:dyDescent="0.2">
      <c r="A273" s="271"/>
      <c r="B273" s="272"/>
      <c r="C273" s="273"/>
    </row>
    <row r="274" spans="1:3" x14ac:dyDescent="0.2">
      <c r="A274" s="271" t="s">
        <v>117</v>
      </c>
      <c r="B274" s="272" t="s">
        <v>132</v>
      </c>
      <c r="C274" s="273"/>
    </row>
    <row r="275" spans="1:3" x14ac:dyDescent="0.2">
      <c r="A275" s="271"/>
      <c r="B275" s="272"/>
      <c r="C275" s="273"/>
    </row>
    <row r="276" spans="1:3" x14ac:dyDescent="0.2">
      <c r="A276" s="271" t="s">
        <v>118</v>
      </c>
      <c r="B276" s="272" t="s">
        <v>151</v>
      </c>
      <c r="C276" s="273"/>
    </row>
    <row r="277" spans="1:3" x14ac:dyDescent="0.2">
      <c r="A277" s="271"/>
      <c r="B277" s="272"/>
      <c r="C277" s="273"/>
    </row>
    <row r="278" spans="1:3" x14ac:dyDescent="0.2">
      <c r="A278" s="271" t="s">
        <v>119</v>
      </c>
      <c r="B278" s="272" t="s">
        <v>132</v>
      </c>
      <c r="C278" s="273"/>
    </row>
    <row r="279" spans="1:3" x14ac:dyDescent="0.2">
      <c r="A279" s="271"/>
      <c r="B279" s="272"/>
      <c r="C279" s="273"/>
    </row>
    <row r="280" spans="1:3" x14ac:dyDescent="0.2">
      <c r="A280" s="271" t="s">
        <v>120</v>
      </c>
      <c r="B280" s="272" t="s">
        <v>151</v>
      </c>
      <c r="C280" s="273"/>
    </row>
    <row r="281" spans="1:3" x14ac:dyDescent="0.2">
      <c r="A281" s="271"/>
      <c r="B281" s="272"/>
      <c r="C281" s="273"/>
    </row>
    <row r="282" spans="1:3" x14ac:dyDescent="0.2">
      <c r="A282" s="271" t="s">
        <v>121</v>
      </c>
      <c r="B282" s="272">
        <v>1</v>
      </c>
      <c r="C282" s="273"/>
    </row>
    <row r="283" spans="1:3" x14ac:dyDescent="0.2">
      <c r="A283" s="271"/>
      <c r="B283" s="272"/>
      <c r="C283" s="273"/>
    </row>
    <row r="284" spans="1:3" x14ac:dyDescent="0.2">
      <c r="A284" s="271" t="s">
        <v>122</v>
      </c>
      <c r="B284" s="272">
        <v>1</v>
      </c>
      <c r="C284" s="273"/>
    </row>
    <row r="285" spans="1:3" x14ac:dyDescent="0.2">
      <c r="A285" s="271"/>
      <c r="B285" s="272"/>
      <c r="C285" s="273"/>
    </row>
    <row r="286" spans="1:3" x14ac:dyDescent="0.2">
      <c r="A286" s="271" t="s">
        <v>123</v>
      </c>
      <c r="B286" s="272">
        <v>1</v>
      </c>
      <c r="C286" s="273"/>
    </row>
    <row r="287" spans="1:3" x14ac:dyDescent="0.2">
      <c r="A287" s="271"/>
      <c r="B287" s="272"/>
      <c r="C287" s="273"/>
    </row>
    <row r="288" spans="1:3" x14ac:dyDescent="0.2">
      <c r="A288" s="271" t="s">
        <v>124</v>
      </c>
      <c r="B288" s="272" t="s">
        <v>151</v>
      </c>
      <c r="C288" s="273"/>
    </row>
    <row r="289" spans="1:3" x14ac:dyDescent="0.2">
      <c r="A289" s="271"/>
      <c r="B289" s="272"/>
      <c r="C289" s="273"/>
    </row>
    <row r="290" spans="1:3" x14ac:dyDescent="0.2">
      <c r="A290" s="271" t="s">
        <v>125</v>
      </c>
      <c r="B290" s="272" t="s">
        <v>151</v>
      </c>
      <c r="C290" s="273"/>
    </row>
    <row r="291" spans="1:3" x14ac:dyDescent="0.2">
      <c r="A291" s="271"/>
      <c r="B291" s="272"/>
      <c r="C291" s="273"/>
    </row>
    <row r="292" spans="1:3" x14ac:dyDescent="0.2">
      <c r="A292" s="271" t="s">
        <v>126</v>
      </c>
      <c r="B292" s="272">
        <v>1</v>
      </c>
      <c r="C292" s="273"/>
    </row>
    <row r="293" spans="1:3" x14ac:dyDescent="0.2">
      <c r="A293" s="271"/>
      <c r="B293" s="272"/>
      <c r="C293" s="273"/>
    </row>
    <row r="294" spans="1:3" x14ac:dyDescent="0.2">
      <c r="A294" s="271" t="s">
        <v>127</v>
      </c>
      <c r="B294" s="272">
        <v>1</v>
      </c>
      <c r="C294" s="273"/>
    </row>
    <row r="295" spans="1:3" x14ac:dyDescent="0.2">
      <c r="A295" s="271"/>
      <c r="B295" s="272"/>
      <c r="C295" s="273"/>
    </row>
    <row r="296" spans="1:3" x14ac:dyDescent="0.2">
      <c r="A296" s="271" t="s">
        <v>128</v>
      </c>
      <c r="B296" s="272" t="s">
        <v>151</v>
      </c>
      <c r="C296" s="273"/>
    </row>
    <row r="297" spans="1:3" x14ac:dyDescent="0.2">
      <c r="A297" s="271"/>
      <c r="B297" s="272"/>
      <c r="C297" s="273"/>
    </row>
    <row r="298" spans="1:3" x14ac:dyDescent="0.2">
      <c r="A298" s="271" t="s">
        <v>152</v>
      </c>
      <c r="B298" s="272" t="s">
        <v>151</v>
      </c>
      <c r="C298" s="273"/>
    </row>
    <row r="299" spans="1:3" x14ac:dyDescent="0.2">
      <c r="A299" s="271"/>
      <c r="B299" s="272"/>
      <c r="C299" s="273"/>
    </row>
    <row r="300" spans="1:3" x14ac:dyDescent="0.2">
      <c r="A300" s="271" t="s">
        <v>129</v>
      </c>
      <c r="B300" s="272"/>
      <c r="C300" s="273"/>
    </row>
    <row r="301" spans="1:3" x14ac:dyDescent="0.2">
      <c r="A301" s="271" t="s">
        <v>86</v>
      </c>
      <c r="B301" s="272">
        <v>1</v>
      </c>
      <c r="C301" s="273"/>
    </row>
    <row r="302" spans="1:3" x14ac:dyDescent="0.2">
      <c r="A302" s="271"/>
      <c r="B302" s="272"/>
      <c r="C302" s="273"/>
    </row>
    <row r="303" spans="1:3" x14ac:dyDescent="0.2">
      <c r="A303" s="271" t="s">
        <v>87</v>
      </c>
      <c r="B303" s="272">
        <v>1</v>
      </c>
      <c r="C303" s="273"/>
    </row>
    <row r="304" spans="1:3" x14ac:dyDescent="0.2">
      <c r="A304" s="271"/>
      <c r="B304" s="272"/>
      <c r="C304" s="273"/>
    </row>
    <row r="305" spans="1:3" x14ac:dyDescent="0.2">
      <c r="A305" s="271" t="s">
        <v>88</v>
      </c>
      <c r="B305" s="272">
        <v>1</v>
      </c>
      <c r="C305" s="273"/>
    </row>
    <row r="306" spans="1:3" x14ac:dyDescent="0.2">
      <c r="A306" s="271"/>
      <c r="B306" s="272"/>
      <c r="C306" s="273"/>
    </row>
    <row r="307" spans="1:3" x14ac:dyDescent="0.2">
      <c r="A307" s="271" t="s">
        <v>89</v>
      </c>
      <c r="B307" s="272">
        <v>1</v>
      </c>
      <c r="C307" s="273"/>
    </row>
    <row r="308" spans="1:3" x14ac:dyDescent="0.2">
      <c r="A308" s="271"/>
      <c r="B308" s="272"/>
      <c r="C308" s="273"/>
    </row>
    <row r="309" spans="1:3" x14ac:dyDescent="0.2">
      <c r="A309" s="271" t="s">
        <v>90</v>
      </c>
      <c r="B309" s="272">
        <v>1</v>
      </c>
      <c r="C309" s="273"/>
    </row>
    <row r="310" spans="1:3" x14ac:dyDescent="0.2">
      <c r="A310" s="271"/>
      <c r="B310" s="272"/>
      <c r="C310" s="273"/>
    </row>
    <row r="311" spans="1:3" x14ac:dyDescent="0.2">
      <c r="A311" s="271" t="s">
        <v>153</v>
      </c>
      <c r="B311" s="272">
        <v>1</v>
      </c>
      <c r="C311" s="273"/>
    </row>
    <row r="312" spans="1:3" x14ac:dyDescent="0.2">
      <c r="A312" s="271"/>
      <c r="B312" s="272"/>
      <c r="C312" s="273"/>
    </row>
    <row r="313" spans="1:3" x14ac:dyDescent="0.2">
      <c r="A313" s="271" t="s">
        <v>154</v>
      </c>
      <c r="B313" s="272">
        <v>1</v>
      </c>
      <c r="C313" s="273"/>
    </row>
    <row r="314" spans="1:3" x14ac:dyDescent="0.2">
      <c r="A314" s="271"/>
      <c r="B314" s="272"/>
      <c r="C314" s="273"/>
    </row>
    <row r="315" spans="1:3" x14ac:dyDescent="0.2">
      <c r="A315" s="271" t="s">
        <v>251</v>
      </c>
      <c r="B315" s="272">
        <v>1</v>
      </c>
      <c r="C315" s="273"/>
    </row>
    <row r="316" spans="1:3" x14ac:dyDescent="0.2">
      <c r="A316" s="271"/>
      <c r="B316" s="272"/>
      <c r="C316" s="273"/>
    </row>
    <row r="317" spans="1:3" x14ac:dyDescent="0.2">
      <c r="A317" s="271"/>
      <c r="B317" s="272"/>
      <c r="C317" s="273"/>
    </row>
    <row r="318" spans="1:3" x14ac:dyDescent="0.2">
      <c r="A318" s="271"/>
      <c r="B318" s="272"/>
      <c r="C318" s="273"/>
    </row>
    <row r="319" spans="1:3" x14ac:dyDescent="0.2">
      <c r="A319" s="271" t="s">
        <v>88</v>
      </c>
      <c r="B319" s="272">
        <v>1</v>
      </c>
      <c r="C319" s="273"/>
    </row>
    <row r="320" spans="1:3" x14ac:dyDescent="0.2">
      <c r="A320" s="271"/>
      <c r="B320" s="272"/>
      <c r="C320" s="273"/>
    </row>
    <row r="321" spans="1:3" x14ac:dyDescent="0.2">
      <c r="A321" s="271" t="s">
        <v>89</v>
      </c>
      <c r="B321" s="272">
        <v>1</v>
      </c>
      <c r="C321" s="273"/>
    </row>
    <row r="322" spans="1:3" x14ac:dyDescent="0.2">
      <c r="A322" s="271"/>
      <c r="B322" s="272"/>
      <c r="C322" s="273"/>
    </row>
    <row r="323" spans="1:3" x14ac:dyDescent="0.2">
      <c r="A323" s="271" t="s">
        <v>90</v>
      </c>
      <c r="B323" s="272">
        <v>1</v>
      </c>
      <c r="C323" s="273"/>
    </row>
    <row r="324" spans="1:3" x14ac:dyDescent="0.2">
      <c r="A324" s="271"/>
      <c r="B324" s="272"/>
      <c r="C324" s="273"/>
    </row>
    <row r="325" spans="1:3" x14ac:dyDescent="0.2">
      <c r="A325" s="271" t="s">
        <v>153</v>
      </c>
      <c r="B325" s="272">
        <v>1</v>
      </c>
      <c r="C325" s="273"/>
    </row>
    <row r="326" spans="1:3" x14ac:dyDescent="0.2">
      <c r="A326" s="271"/>
      <c r="B326" s="272"/>
      <c r="C326" s="273"/>
    </row>
    <row r="327" spans="1:3" x14ac:dyDescent="0.2">
      <c r="A327" s="271" t="s">
        <v>154</v>
      </c>
      <c r="B327" s="272">
        <v>1</v>
      </c>
      <c r="C327" s="273"/>
    </row>
    <row r="508" spans="19:19" x14ac:dyDescent="0.2">
      <c r="S508" s="251"/>
    </row>
  </sheetData>
  <sheetProtection sheet="1" objects="1" scenarios="1"/>
  <mergeCells count="1">
    <mergeCell ref="M1:O1"/>
  </mergeCells>
  <phoneticPr fontId="0" type="noConversion"/>
  <printOptions gridLines="1" gridLinesSet="0"/>
  <pageMargins left="0.2" right="0.22" top="0.81" bottom="1" header="0.5" footer="0.5"/>
  <pageSetup scale="55" orientation="landscape" horizontalDpi="4294967292" verticalDpi="4294967292" r:id="rId1"/>
  <headerFooter alignWithMargins="0">
    <oddHeader>&amp;F</oddHeader>
    <oddFooter>Page &amp;P</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37"/>
  <sheetViews>
    <sheetView topLeftCell="A7" workbookViewId="0">
      <selection activeCell="C18" sqref="C18"/>
    </sheetView>
  </sheetViews>
  <sheetFormatPr defaultRowHeight="15" customHeight="1" x14ac:dyDescent="0.2"/>
  <cols>
    <col min="1" max="1" width="9.140625" style="107"/>
    <col min="2" max="2" width="27.140625" style="107" customWidth="1"/>
    <col min="3" max="3" width="13.5703125" style="107" customWidth="1"/>
    <col min="4" max="6" width="9.140625" style="107"/>
    <col min="7" max="7" width="11.7109375" style="107" customWidth="1"/>
    <col min="8" max="8" width="9.85546875" style="107" customWidth="1"/>
    <col min="9" max="14" width="9.140625" style="107"/>
    <col min="15" max="15" width="20" style="107" customWidth="1"/>
    <col min="16" max="16" width="9.140625" style="107"/>
    <col min="17" max="17" width="17.28515625" style="107" bestFit="1" customWidth="1"/>
    <col min="18" max="16384" width="9.140625" style="107"/>
  </cols>
  <sheetData>
    <row r="2" spans="2:16" ht="15" customHeight="1" x14ac:dyDescent="0.25">
      <c r="B2" s="106" t="s">
        <v>163</v>
      </c>
      <c r="E2" s="108" t="s">
        <v>162</v>
      </c>
    </row>
    <row r="3" spans="2:16" ht="15" customHeight="1" x14ac:dyDescent="0.2">
      <c r="B3" s="109" t="s">
        <v>274</v>
      </c>
      <c r="C3" s="110" t="s">
        <v>353</v>
      </c>
      <c r="E3" s="107" t="s">
        <v>171</v>
      </c>
      <c r="O3" s="107" t="s">
        <v>201</v>
      </c>
    </row>
    <row r="4" spans="2:16" ht="15" customHeight="1" x14ac:dyDescent="0.2">
      <c r="B4" s="109" t="s">
        <v>164</v>
      </c>
      <c r="C4" s="110" t="s">
        <v>354</v>
      </c>
      <c r="E4" s="111" t="b">
        <v>1</v>
      </c>
      <c r="F4" s="293" t="s">
        <v>282</v>
      </c>
      <c r="G4" s="293"/>
      <c r="H4" s="293"/>
      <c r="I4" s="293"/>
      <c r="J4" s="293"/>
      <c r="K4" s="293"/>
      <c r="L4" s="293"/>
      <c r="M4" s="293"/>
      <c r="O4" s="112">
        <v>-0.72663</v>
      </c>
      <c r="P4" s="113"/>
    </row>
    <row r="5" spans="2:16" ht="15" customHeight="1" x14ac:dyDescent="0.2">
      <c r="B5" s="114" t="s">
        <v>24</v>
      </c>
      <c r="C5" s="115">
        <v>1.0523982830583211E-2</v>
      </c>
      <c r="E5" s="111" t="b">
        <v>0</v>
      </c>
      <c r="F5" s="293" t="s">
        <v>283</v>
      </c>
      <c r="G5" s="293"/>
      <c r="H5" s="293"/>
      <c r="I5" s="293"/>
      <c r="J5" s="293"/>
      <c r="K5" s="293"/>
      <c r="L5" s="293"/>
      <c r="M5" s="293"/>
      <c r="O5" s="112">
        <v>-0.72657300000000002</v>
      </c>
      <c r="P5" s="113"/>
    </row>
    <row r="6" spans="2:16" ht="15" customHeight="1" x14ac:dyDescent="0.2">
      <c r="B6" s="114" t="s">
        <v>165</v>
      </c>
      <c r="C6" s="116">
        <v>4.4355188011347291E-4</v>
      </c>
      <c r="E6" s="111" t="b">
        <v>0</v>
      </c>
      <c r="F6" s="293" t="s">
        <v>284</v>
      </c>
      <c r="G6" s="293"/>
      <c r="H6" s="293"/>
      <c r="I6" s="293"/>
      <c r="J6" s="293"/>
      <c r="K6" s="293"/>
      <c r="L6" s="293"/>
      <c r="M6" s="293"/>
      <c r="O6" s="112">
        <v>-0.726688</v>
      </c>
      <c r="P6" s="113"/>
    </row>
    <row r="7" spans="2:16" ht="15" customHeight="1" x14ac:dyDescent="0.2">
      <c r="B7" s="117" t="s">
        <v>166</v>
      </c>
      <c r="C7" s="116">
        <v>2.9576185310453092E-2</v>
      </c>
      <c r="E7" s="118" t="b">
        <v>1</v>
      </c>
      <c r="F7" s="294" t="s">
        <v>244</v>
      </c>
      <c r="G7" s="294"/>
      <c r="H7" s="294"/>
      <c r="I7" s="294"/>
      <c r="J7" s="294"/>
      <c r="K7" s="294"/>
      <c r="L7" s="294"/>
      <c r="M7" s="294"/>
      <c r="O7" s="112">
        <v>-0.72678100000000001</v>
      </c>
      <c r="P7" s="113"/>
    </row>
    <row r="8" spans="2:16" ht="15" customHeight="1" x14ac:dyDescent="0.2">
      <c r="B8" s="109" t="s">
        <v>273</v>
      </c>
      <c r="C8" s="116">
        <v>6.6726899710747412E-2</v>
      </c>
      <c r="E8" s="119"/>
      <c r="F8" s="295"/>
      <c r="G8" s="295"/>
      <c r="H8" s="295"/>
      <c r="I8" s="295"/>
      <c r="J8" s="295"/>
      <c r="K8" s="295"/>
      <c r="L8" s="295"/>
      <c r="M8" s="295"/>
      <c r="O8" s="112">
        <v>-0.72669300000000003</v>
      </c>
      <c r="P8" s="113"/>
    </row>
    <row r="9" spans="2:16" ht="15" customHeight="1" x14ac:dyDescent="0.2">
      <c r="B9" s="109" t="s">
        <v>167</v>
      </c>
      <c r="C9" s="120">
        <f>Air_Voltage-C8</f>
        <v>-0.79337409971074746</v>
      </c>
      <c r="D9" s="121"/>
      <c r="E9" s="122"/>
      <c r="O9" s="112">
        <v>-0.72657099999999997</v>
      </c>
      <c r="P9" s="113"/>
    </row>
    <row r="10" spans="2:16" ht="15" customHeight="1" x14ac:dyDescent="0.25">
      <c r="B10" s="109" t="s">
        <v>200</v>
      </c>
      <c r="C10" s="120">
        <f>AVERAGE(O4:O13)</f>
        <v>-0.72664720000000005</v>
      </c>
      <c r="E10" s="106" t="s">
        <v>199</v>
      </c>
      <c r="O10" s="112">
        <v>-0.72658</v>
      </c>
      <c r="P10" s="113"/>
    </row>
    <row r="11" spans="2:16" ht="15" customHeight="1" x14ac:dyDescent="0.2">
      <c r="E11" s="111" t="b">
        <v>1</v>
      </c>
      <c r="F11" s="299" t="s">
        <v>263</v>
      </c>
      <c r="G11" s="299"/>
      <c r="H11" s="299"/>
      <c r="I11" s="299"/>
      <c r="J11" s="299"/>
      <c r="K11" s="299"/>
      <c r="L11" s="299"/>
      <c r="M11" s="299"/>
      <c r="O11" s="112">
        <v>-0.72672800000000004</v>
      </c>
      <c r="P11" s="113"/>
    </row>
    <row r="12" spans="2:16" ht="15" customHeight="1" x14ac:dyDescent="0.25">
      <c r="B12" s="106" t="s">
        <v>293</v>
      </c>
      <c r="E12" s="122" t="str">
        <f>IF(OR(E7,E11),"","Warning no data will be saved after a measurement!!! Neither to summary or as a full sheet")</f>
        <v/>
      </c>
      <c r="O12" s="112">
        <v>-0.72663999999999995</v>
      </c>
      <c r="P12" s="113"/>
    </row>
    <row r="13" spans="2:16" ht="15" customHeight="1" x14ac:dyDescent="0.25">
      <c r="B13" s="114" t="s">
        <v>169</v>
      </c>
      <c r="C13" s="115">
        <v>1.6600000000000001E-30</v>
      </c>
      <c r="E13" s="123" t="s">
        <v>247</v>
      </c>
      <c r="F13" s="124"/>
      <c r="G13" s="124"/>
      <c r="H13" s="124"/>
      <c r="I13" s="124"/>
      <c r="J13" s="124"/>
      <c r="K13" s="124"/>
      <c r="L13" s="124"/>
      <c r="M13" s="124"/>
      <c r="O13" s="112">
        <v>-0.72658800000000001</v>
      </c>
      <c r="P13" s="113"/>
    </row>
    <row r="14" spans="2:16" ht="15" customHeight="1" x14ac:dyDescent="0.2">
      <c r="B14" s="125" t="s">
        <v>172</v>
      </c>
      <c r="C14" s="110" t="s">
        <v>49</v>
      </c>
      <c r="E14" s="126" t="b">
        <v>1</v>
      </c>
      <c r="F14" s="303" t="s">
        <v>246</v>
      </c>
      <c r="G14" s="303"/>
      <c r="H14" s="303"/>
      <c r="I14" s="303"/>
      <c r="J14" s="303"/>
      <c r="K14" s="303"/>
      <c r="L14" s="303"/>
      <c r="M14" s="303"/>
      <c r="O14" s="107" t="s">
        <v>270</v>
      </c>
    </row>
    <row r="15" spans="2:16" ht="15" customHeight="1" x14ac:dyDescent="0.2">
      <c r="B15" s="114" t="s">
        <v>168</v>
      </c>
      <c r="C15" s="110">
        <v>1</v>
      </c>
      <c r="E15" s="127"/>
      <c r="F15" s="128"/>
      <c r="G15" s="128"/>
      <c r="H15" s="128"/>
      <c r="I15" s="128"/>
      <c r="J15" s="128"/>
      <c r="K15" s="128"/>
      <c r="L15" s="128"/>
      <c r="M15" s="128"/>
      <c r="O15" s="129">
        <f>STDEV(O4:O13)</f>
        <v>7.2933455210145553E-5</v>
      </c>
    </row>
    <row r="16" spans="2:16" ht="15" customHeight="1" x14ac:dyDescent="0.25">
      <c r="B16" s="114" t="s">
        <v>2</v>
      </c>
      <c r="C16" s="130">
        <v>0.3</v>
      </c>
      <c r="E16" s="123" t="s">
        <v>248</v>
      </c>
      <c r="F16" s="131"/>
      <c r="G16" s="131"/>
      <c r="H16" s="131"/>
      <c r="I16" s="131"/>
      <c r="J16" s="131"/>
      <c r="K16" s="131"/>
      <c r="L16" s="131"/>
      <c r="M16" s="131"/>
      <c r="O16" s="107" t="s">
        <v>265</v>
      </c>
    </row>
    <row r="17" spans="2:15" ht="15" customHeight="1" x14ac:dyDescent="0.2">
      <c r="B17" s="114" t="s">
        <v>288</v>
      </c>
      <c r="C17" s="114" t="s">
        <v>289</v>
      </c>
      <c r="E17" s="111" t="b">
        <v>1</v>
      </c>
      <c r="F17" s="299" t="s">
        <v>249</v>
      </c>
      <c r="G17" s="299"/>
      <c r="H17" s="299"/>
      <c r="I17" s="299"/>
      <c r="J17" s="299"/>
      <c r="K17" s="299"/>
      <c r="L17" s="299"/>
      <c r="M17" s="299"/>
      <c r="O17" s="132">
        <v>42055.719224537039</v>
      </c>
    </row>
    <row r="18" spans="2:15" ht="27.75" customHeight="1" x14ac:dyDescent="0.2">
      <c r="B18" s="114" t="s">
        <v>317</v>
      </c>
      <c r="C18" s="133" t="s">
        <v>319</v>
      </c>
      <c r="O18" s="134"/>
    </row>
    <row r="19" spans="2:15" ht="15" customHeight="1" x14ac:dyDescent="0.25">
      <c r="E19" s="106" t="s">
        <v>242</v>
      </c>
    </row>
    <row r="20" spans="2:15" ht="15" customHeight="1" x14ac:dyDescent="0.2">
      <c r="B20" s="135"/>
      <c r="E20" s="109">
        <v>1</v>
      </c>
      <c r="F20" s="301" t="s">
        <v>241</v>
      </c>
      <c r="G20" s="301"/>
      <c r="H20" s="301"/>
      <c r="I20" s="301"/>
      <c r="J20" s="301"/>
      <c r="K20" s="301"/>
      <c r="L20" s="301"/>
      <c r="M20" s="302"/>
    </row>
    <row r="21" spans="2:15" ht="15" customHeight="1" x14ac:dyDescent="0.2">
      <c r="E21" s="109">
        <f>6</f>
        <v>6</v>
      </c>
      <c r="F21" s="299" t="s">
        <v>298</v>
      </c>
      <c r="G21" s="299"/>
      <c r="H21" s="299"/>
      <c r="I21" s="299"/>
      <c r="J21" s="299"/>
      <c r="K21" s="299"/>
      <c r="L21" s="299"/>
      <c r="M21" s="299"/>
    </row>
    <row r="22" spans="2:15" ht="15" customHeight="1" x14ac:dyDescent="0.25">
      <c r="B22" s="106" t="s">
        <v>193</v>
      </c>
      <c r="E22" s="136">
        <v>0.3</v>
      </c>
      <c r="F22" s="294" t="s">
        <v>297</v>
      </c>
      <c r="G22" s="294"/>
      <c r="H22" s="294"/>
      <c r="I22" s="294"/>
      <c r="J22" s="294"/>
      <c r="K22" s="294"/>
      <c r="L22" s="294"/>
      <c r="M22" s="294"/>
    </row>
    <row r="23" spans="2:15" ht="15" customHeight="1" x14ac:dyDescent="0.2">
      <c r="B23" s="137" t="s">
        <v>194</v>
      </c>
      <c r="C23" s="109" t="b">
        <v>0</v>
      </c>
      <c r="E23" s="109">
        <v>5</v>
      </c>
      <c r="F23" s="299" t="s">
        <v>333</v>
      </c>
      <c r="G23" s="299"/>
      <c r="H23" s="299"/>
      <c r="I23" s="299"/>
      <c r="J23" s="299"/>
      <c r="K23" s="299"/>
      <c r="L23" s="299"/>
      <c r="M23" s="299"/>
    </row>
    <row r="24" spans="2:15" ht="15" customHeight="1" x14ac:dyDescent="0.2">
      <c r="B24" s="137" t="s">
        <v>195</v>
      </c>
      <c r="C24" s="109">
        <v>1</v>
      </c>
    </row>
    <row r="25" spans="2:15" ht="15" customHeight="1" x14ac:dyDescent="0.25">
      <c r="B25" s="137" t="s">
        <v>196</v>
      </c>
      <c r="C25" s="109">
        <v>20</v>
      </c>
      <c r="E25" s="106" t="s">
        <v>243</v>
      </c>
      <c r="K25" s="122"/>
    </row>
    <row r="26" spans="2:15" ht="15" customHeight="1" x14ac:dyDescent="0.2">
      <c r="B26" s="137" t="s">
        <v>197</v>
      </c>
      <c r="C26" s="109" t="str">
        <f>PassFail(MeasuredLifetimeAuger,MinTauLimit,MaxTauLimit,TF_PassFail)</f>
        <v/>
      </c>
      <c r="E26" s="109">
        <v>1</v>
      </c>
      <c r="F26" s="300" t="s">
        <v>229</v>
      </c>
      <c r="G26" s="301"/>
      <c r="H26" s="301"/>
      <c r="I26" s="301"/>
      <c r="J26" s="301"/>
      <c r="K26" s="301"/>
      <c r="L26" s="301"/>
      <c r="M26" s="302"/>
    </row>
    <row r="28" spans="2:15" ht="15" customHeight="1" x14ac:dyDescent="0.25">
      <c r="E28" s="106" t="s">
        <v>264</v>
      </c>
      <c r="K28" s="122"/>
    </row>
    <row r="29" spans="2:15" ht="15" customHeight="1" x14ac:dyDescent="0.2">
      <c r="C29" s="138"/>
      <c r="E29" s="110">
        <v>12500</v>
      </c>
      <c r="F29" s="296" t="s">
        <v>347</v>
      </c>
      <c r="G29" s="297"/>
      <c r="H29" s="297"/>
      <c r="I29" s="297"/>
      <c r="J29" s="297"/>
      <c r="K29" s="297"/>
      <c r="L29" s="297"/>
      <c r="M29" s="298"/>
    </row>
    <row r="30" spans="2:15" ht="15" customHeight="1" x14ac:dyDescent="0.2">
      <c r="C30" s="138"/>
      <c r="E30" s="110">
        <v>100000</v>
      </c>
      <c r="F30" s="296" t="s">
        <v>330</v>
      </c>
      <c r="G30" s="297"/>
      <c r="H30" s="297"/>
      <c r="I30" s="297"/>
      <c r="J30" s="297"/>
      <c r="K30" s="297"/>
      <c r="L30" s="297"/>
      <c r="M30" s="298"/>
    </row>
    <row r="31" spans="2:15" ht="15" customHeight="1" x14ac:dyDescent="0.2">
      <c r="C31" s="138"/>
      <c r="E31" s="110">
        <v>3</v>
      </c>
      <c r="F31" s="139" t="s">
        <v>331</v>
      </c>
      <c r="G31" s="140"/>
      <c r="H31" s="140"/>
      <c r="I31" s="140"/>
      <c r="J31" s="140"/>
      <c r="K31" s="140"/>
      <c r="L31" s="140"/>
      <c r="M31" s="141"/>
    </row>
    <row r="32" spans="2:15" ht="15" customHeight="1" x14ac:dyDescent="0.2">
      <c r="C32" s="138"/>
      <c r="K32" s="122"/>
    </row>
    <row r="33" spans="3:11" ht="15" customHeight="1" x14ac:dyDescent="0.2">
      <c r="C33" s="122"/>
      <c r="K33" s="122"/>
    </row>
    <row r="34" spans="3:11" ht="15" customHeight="1" x14ac:dyDescent="0.2">
      <c r="K34" s="122"/>
    </row>
    <row r="35" spans="3:11" ht="15" customHeight="1" x14ac:dyDescent="0.2">
      <c r="K35" s="122"/>
    </row>
    <row r="37" spans="3:11" ht="15" customHeight="1" x14ac:dyDescent="0.2">
      <c r="F37" s="142"/>
    </row>
  </sheetData>
  <sheetProtection sheet="1" objects="1" scenarios="1" selectLockedCells="1"/>
  <mergeCells count="15">
    <mergeCell ref="F29:M29"/>
    <mergeCell ref="F30:M30"/>
    <mergeCell ref="F17:M17"/>
    <mergeCell ref="F26:M26"/>
    <mergeCell ref="F11:M11"/>
    <mergeCell ref="F14:M14"/>
    <mergeCell ref="F20:M20"/>
    <mergeCell ref="F21:M21"/>
    <mergeCell ref="F22:M22"/>
    <mergeCell ref="F23:M23"/>
    <mergeCell ref="F4:M4"/>
    <mergeCell ref="F5:M5"/>
    <mergeCell ref="F6:M6"/>
    <mergeCell ref="F7:M7"/>
    <mergeCell ref="F8:M8"/>
  </mergeCells>
  <dataValidations count="4">
    <dataValidation type="list" allowBlank="1" showInputMessage="1" showErrorMessage="1" sqref="C23 E17 E11 E4:E7 E14">
      <formula1>TF_List</formula1>
    </dataValidation>
    <dataValidation type="list" allowBlank="1" showInputMessage="1" showErrorMessage="1" sqref="E26">
      <formula1>VRangeList</formula1>
    </dataValidation>
    <dataValidation type="list" allowBlank="1" showInputMessage="1" showErrorMessage="1" sqref="C17">
      <formula1>AugerModelList</formula1>
    </dataValidation>
    <dataValidation type="list" allowBlank="1" showInputMessage="1" showErrorMessage="1" sqref="C18">
      <formula1>MobilityModelList</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24"/>
  <sheetViews>
    <sheetView workbookViewId="0"/>
  </sheetViews>
  <sheetFormatPr defaultRowHeight="12.75" x14ac:dyDescent="0.2"/>
  <cols>
    <col min="1" max="1" width="9.28515625" style="161" bestFit="1" customWidth="1"/>
    <col min="2" max="2" width="12.140625" style="161" customWidth="1"/>
    <col min="3" max="3" width="12" style="161" customWidth="1"/>
    <col min="4" max="4" width="10.85546875" style="161" customWidth="1"/>
    <col min="5" max="5" width="11.42578125" style="161" bestFit="1" customWidth="1"/>
    <col min="6" max="6" width="11.7109375" style="161" customWidth="1"/>
    <col min="7" max="7" width="13.42578125" style="161" customWidth="1"/>
    <col min="8" max="8" width="9.28515625" style="161" bestFit="1" customWidth="1"/>
    <col min="9" max="9" width="11.140625" style="161" customWidth="1"/>
    <col min="10" max="12" width="9.140625" style="161"/>
    <col min="13" max="13" width="10.42578125" style="161" customWidth="1"/>
    <col min="14" max="14" width="11.140625" style="164" customWidth="1"/>
    <col min="15" max="16" width="9.140625" style="161"/>
    <col min="17" max="17" width="9.28515625" style="161" bestFit="1" customWidth="1"/>
    <col min="18" max="18" width="12.28515625" style="161" customWidth="1"/>
    <col min="19" max="19" width="9.28515625" style="161" bestFit="1" customWidth="1"/>
    <col min="20" max="20" width="10.5703125" style="161" customWidth="1"/>
    <col min="21" max="21" width="11.5703125" style="161" customWidth="1"/>
    <col min="22" max="22" width="12" style="161" customWidth="1"/>
    <col min="23" max="23" width="13.140625" style="161" customWidth="1"/>
    <col min="24" max="24" width="11.28515625" style="161" customWidth="1"/>
    <col min="25" max="25" width="12.140625" style="161" customWidth="1"/>
    <col min="26" max="26" width="13.140625" style="161" customWidth="1"/>
    <col min="27" max="16384" width="9.140625" style="161"/>
  </cols>
  <sheetData>
    <row r="1" spans="1:26" s="150" customFormat="1" ht="27" customHeight="1" x14ac:dyDescent="0.2">
      <c r="A1" s="143" t="s">
        <v>14</v>
      </c>
      <c r="B1" s="144" t="s">
        <v>204</v>
      </c>
      <c r="C1" s="145" t="s">
        <v>205</v>
      </c>
      <c r="D1" s="145" t="s">
        <v>325</v>
      </c>
      <c r="E1" s="146" t="s">
        <v>198</v>
      </c>
      <c r="F1" s="146" t="s">
        <v>348</v>
      </c>
      <c r="G1" s="146" t="s">
        <v>20</v>
      </c>
      <c r="H1" s="146" t="s">
        <v>206</v>
      </c>
      <c r="I1" s="146" t="s">
        <v>207</v>
      </c>
      <c r="J1" s="146" t="s">
        <v>155</v>
      </c>
      <c r="K1" s="146" t="s">
        <v>208</v>
      </c>
      <c r="L1" s="146" t="s">
        <v>29</v>
      </c>
      <c r="M1" s="146" t="s">
        <v>28</v>
      </c>
      <c r="N1" s="147" t="s">
        <v>0</v>
      </c>
      <c r="O1" s="146" t="s">
        <v>1</v>
      </c>
      <c r="P1" s="147" t="s">
        <v>326</v>
      </c>
      <c r="Q1" s="146" t="s">
        <v>327</v>
      </c>
      <c r="R1" s="146" t="s">
        <v>44</v>
      </c>
      <c r="S1" s="146" t="s">
        <v>43</v>
      </c>
      <c r="T1" s="147" t="s">
        <v>21</v>
      </c>
      <c r="U1" s="148" t="s">
        <v>271</v>
      </c>
      <c r="V1" s="146" t="s">
        <v>212</v>
      </c>
      <c r="W1" s="146" t="s">
        <v>209</v>
      </c>
      <c r="X1" s="146" t="s">
        <v>210</v>
      </c>
      <c r="Y1" s="146" t="s">
        <v>211</v>
      </c>
      <c r="Z1" s="149" t="s">
        <v>221</v>
      </c>
    </row>
    <row r="2" spans="1:26" ht="21.75" customHeight="1" x14ac:dyDescent="0.2">
      <c r="A2" s="151" t="str">
        <f>SampleNameUserSheet</f>
        <v>Fe_1102_01-34</v>
      </c>
      <c r="B2" s="152">
        <f>MeasDate</f>
        <v>42055</v>
      </c>
      <c r="C2" s="153">
        <f>MeasTime</f>
        <v>0.72800925925925919</v>
      </c>
      <c r="D2" s="154">
        <f>Temperature</f>
        <v>35.519899000000002</v>
      </c>
      <c r="E2" s="155">
        <f>Thickness</f>
        <v>1.9599999999999999E-2</v>
      </c>
      <c r="F2" s="155">
        <f>SampleDoping</f>
        <v>3416264639614550.5</v>
      </c>
      <c r="G2" s="155">
        <f>OptConst</f>
        <v>0.7</v>
      </c>
      <c r="H2" s="156">
        <f>SpecMCD</f>
        <v>1000000000000000</v>
      </c>
      <c r="I2" s="155">
        <f>BiasLight</f>
        <v>0</v>
      </c>
      <c r="J2" s="155" t="str">
        <f>AnalysisMode</f>
        <v>Generalized (1/1)</v>
      </c>
      <c r="K2" s="154">
        <f>MeasuredLifetime</f>
        <v>43.032066979476134</v>
      </c>
      <c r="L2" s="156">
        <f>Jo</f>
        <v>-1.3508933916621358E-12</v>
      </c>
      <c r="M2" s="157">
        <f>TauFitIntercept</f>
        <v>20.440248783173143</v>
      </c>
      <c r="N2" s="157">
        <f>SheetResistance</f>
        <v>129.97421312933147</v>
      </c>
      <c r="O2" s="157">
        <f>MeasuredResistivity</f>
        <v>2.5474945773348967</v>
      </c>
      <c r="P2" s="157">
        <f>CorrectedSheetRho</f>
        <v>163.04586336460596</v>
      </c>
      <c r="Q2" s="157">
        <f>CorrectedResistivity</f>
        <v>3.1956989219462768</v>
      </c>
      <c r="R2" s="154">
        <f>MaxSuns</f>
        <v>59.378185052148169</v>
      </c>
      <c r="S2" s="156">
        <f>Traps</f>
        <v>0</v>
      </c>
      <c r="T2" s="156">
        <f>MaxApparentCD</f>
        <v>3.64271604372292E+16</v>
      </c>
      <c r="U2" s="158">
        <f ca="1">ImpliedVoc1sun</f>
        <v>0.59843619625620392</v>
      </c>
      <c r="V2" s="156">
        <f>RefCellCal</f>
        <v>1.0523982830583211E-2</v>
      </c>
      <c r="W2" s="159">
        <f>A_cal</f>
        <v>4.4355188011347291E-4</v>
      </c>
      <c r="X2" s="159">
        <f>B_cal</f>
        <v>2.9576185310453092E-2</v>
      </c>
      <c r="Y2" s="155">
        <f>C_cal</f>
        <v>-0.79337409971074746</v>
      </c>
      <c r="Z2" s="160" t="str">
        <f>InstrumentSN</f>
        <v>14-127027</v>
      </c>
    </row>
    <row r="4" spans="1:26" x14ac:dyDescent="0.2">
      <c r="A4" s="162" t="s">
        <v>130</v>
      </c>
      <c r="G4" s="163"/>
    </row>
    <row r="5" spans="1:26" x14ac:dyDescent="0.2">
      <c r="A5" s="162" t="s">
        <v>27</v>
      </c>
      <c r="N5" s="161"/>
    </row>
    <row r="6" spans="1:26" x14ac:dyDescent="0.2">
      <c r="A6" s="162" t="s">
        <v>30</v>
      </c>
    </row>
    <row r="8" spans="1:26" x14ac:dyDescent="0.2">
      <c r="A8" s="161" t="s">
        <v>41</v>
      </c>
    </row>
    <row r="9" spans="1:26" x14ac:dyDescent="0.2">
      <c r="A9" s="161" t="s">
        <v>42</v>
      </c>
    </row>
    <row r="10" spans="1:26" s="165" customFormat="1" x14ac:dyDescent="0.2">
      <c r="A10" s="165" t="s">
        <v>32</v>
      </c>
      <c r="B10" s="165" t="s">
        <v>15</v>
      </c>
      <c r="C10" s="165" t="s">
        <v>19</v>
      </c>
      <c r="D10" s="165" t="s">
        <v>313</v>
      </c>
      <c r="E10" s="165" t="s">
        <v>33</v>
      </c>
      <c r="F10" s="165" t="s">
        <v>34</v>
      </c>
      <c r="G10" s="165" t="s">
        <v>213</v>
      </c>
      <c r="H10" s="165" t="s">
        <v>214</v>
      </c>
      <c r="I10" s="165" t="s">
        <v>215</v>
      </c>
      <c r="J10" s="165" t="s">
        <v>35</v>
      </c>
      <c r="K10" s="165" t="s">
        <v>36</v>
      </c>
      <c r="L10" s="165" t="s">
        <v>40</v>
      </c>
      <c r="M10" s="165" t="s">
        <v>39</v>
      </c>
      <c r="N10" s="165" t="s">
        <v>37</v>
      </c>
      <c r="O10" s="165" t="s">
        <v>38</v>
      </c>
      <c r="P10" s="165" t="s">
        <v>328</v>
      </c>
      <c r="Q10" s="165" t="s">
        <v>329</v>
      </c>
      <c r="R10" s="165" t="s">
        <v>45</v>
      </c>
      <c r="S10" s="165" t="s">
        <v>43</v>
      </c>
      <c r="T10" s="166" t="s">
        <v>46</v>
      </c>
      <c r="U10" s="165" t="s">
        <v>272</v>
      </c>
      <c r="V10" s="165" t="s">
        <v>216</v>
      </c>
      <c r="W10" s="165" t="s">
        <v>217</v>
      </c>
      <c r="X10" s="165" t="s">
        <v>218</v>
      </c>
      <c r="Y10" s="165" t="s">
        <v>219</v>
      </c>
      <c r="Z10" s="165" t="s">
        <v>220</v>
      </c>
    </row>
    <row r="11" spans="1:26" x14ac:dyDescent="0.2">
      <c r="C11" s="167"/>
      <c r="D11" s="167"/>
    </row>
    <row r="20" spans="2:7" s="168" customFormat="1" x14ac:dyDescent="0.2">
      <c r="C20" s="169"/>
      <c r="D20" s="167"/>
    </row>
    <row r="24" spans="2:7" x14ac:dyDescent="0.2">
      <c r="B24" s="168"/>
      <c r="C24" s="169"/>
      <c r="D24" s="167"/>
      <c r="E24" s="168"/>
      <c r="F24" s="168"/>
      <c r="G24" s="168"/>
    </row>
  </sheetData>
  <phoneticPr fontId="3"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8:CX328"/>
  <sheetViews>
    <sheetView workbookViewId="0">
      <selection activeCell="A9" sqref="A9:CX9"/>
    </sheetView>
  </sheetViews>
  <sheetFormatPr defaultRowHeight="12.75" x14ac:dyDescent="0.2"/>
  <cols>
    <col min="1" max="16384" width="9.140625" style="83"/>
  </cols>
  <sheetData>
    <row r="8" spans="1:102" x14ac:dyDescent="0.2">
      <c r="A8" s="83" t="s">
        <v>356</v>
      </c>
      <c r="B8" s="83">
        <v>200.34892199999999</v>
      </c>
      <c r="C8" s="170"/>
      <c r="D8" s="83" t="s">
        <v>357</v>
      </c>
      <c r="E8" s="83">
        <v>195.412711</v>
      </c>
      <c r="F8" s="170"/>
      <c r="G8" s="83" t="s">
        <v>358</v>
      </c>
      <c r="H8" s="83">
        <v>190.32152500000001</v>
      </c>
      <c r="I8" s="170"/>
      <c r="J8" s="83" t="s">
        <v>359</v>
      </c>
      <c r="K8" s="83">
        <v>185.42936399999999</v>
      </c>
      <c r="L8" s="170"/>
      <c r="M8" s="170" t="s">
        <v>360</v>
      </c>
      <c r="N8" s="83">
        <v>180.43611799999999</v>
      </c>
      <c r="O8" s="170"/>
      <c r="P8" s="170" t="s">
        <v>361</v>
      </c>
      <c r="Q8" s="83">
        <v>175.44889699999999</v>
      </c>
      <c r="R8" s="170"/>
      <c r="S8" s="83" t="s">
        <v>362</v>
      </c>
      <c r="T8" s="83">
        <v>170.39209500000001</v>
      </c>
      <c r="U8" s="170"/>
      <c r="V8" s="83" t="s">
        <v>363</v>
      </c>
      <c r="W8" s="83">
        <v>165.25377</v>
      </c>
      <c r="X8" s="170"/>
      <c r="Y8" s="83" t="s">
        <v>364</v>
      </c>
      <c r="Z8" s="83">
        <v>160.41191599999999</v>
      </c>
      <c r="AA8" s="170"/>
      <c r="AB8" s="83" t="s">
        <v>365</v>
      </c>
      <c r="AC8" s="83">
        <v>155.42874399999999</v>
      </c>
      <c r="AD8" s="170"/>
      <c r="AE8" s="83" t="s">
        <v>366</v>
      </c>
      <c r="AF8" s="83">
        <v>150.357891</v>
      </c>
      <c r="AG8" s="170"/>
      <c r="AH8" s="83" t="s">
        <v>367</v>
      </c>
      <c r="AI8" s="83">
        <v>145.39904899999999</v>
      </c>
      <c r="AJ8" s="170"/>
      <c r="AK8" s="83" t="s">
        <v>368</v>
      </c>
      <c r="AL8" s="83">
        <v>140.34375499999999</v>
      </c>
      <c r="AM8" s="170"/>
      <c r="AN8" s="83" t="s">
        <v>369</v>
      </c>
      <c r="AO8" s="83">
        <v>135.435757</v>
      </c>
      <c r="AP8" s="170"/>
      <c r="AQ8" s="83" t="s">
        <v>370</v>
      </c>
      <c r="AR8" s="83">
        <v>130.38319300000001</v>
      </c>
      <c r="AS8" s="170"/>
      <c r="AT8" s="83" t="s">
        <v>371</v>
      </c>
      <c r="AU8" s="83">
        <v>125.35296</v>
      </c>
      <c r="AV8" s="170"/>
      <c r="AW8" s="83" t="s">
        <v>372</v>
      </c>
      <c r="AX8" s="83">
        <v>120.373137</v>
      </c>
      <c r="AY8" s="170"/>
      <c r="AZ8" s="83" t="s">
        <v>373</v>
      </c>
      <c r="BA8" s="83">
        <v>115.43686099999999</v>
      </c>
      <c r="BB8" s="170"/>
      <c r="BC8" s="83" t="s">
        <v>374</v>
      </c>
      <c r="BD8" s="83">
        <v>110.392978</v>
      </c>
      <c r="BE8" s="170"/>
      <c r="BF8" s="83" t="s">
        <v>375</v>
      </c>
      <c r="BG8" s="83">
        <v>105.45815899999999</v>
      </c>
      <c r="BH8" s="170"/>
      <c r="BI8" s="83" t="s">
        <v>376</v>
      </c>
      <c r="BJ8" s="83">
        <v>100.42488899999999</v>
      </c>
      <c r="BK8" s="170"/>
      <c r="BL8" s="83" t="s">
        <v>377</v>
      </c>
      <c r="BM8" s="83">
        <v>95.426370000000006</v>
      </c>
      <c r="BN8" s="170"/>
      <c r="BO8" s="83" t="s">
        <v>378</v>
      </c>
      <c r="BP8" s="83">
        <v>90.472025000000002</v>
      </c>
      <c r="BQ8" s="170"/>
      <c r="BR8" s="83" t="s">
        <v>379</v>
      </c>
      <c r="BS8" s="83">
        <v>85.476456999999996</v>
      </c>
      <c r="BT8" s="170"/>
      <c r="BU8" s="83" t="s">
        <v>380</v>
      </c>
      <c r="BV8" s="83">
        <v>80.460471999999996</v>
      </c>
      <c r="BW8" s="170"/>
      <c r="BX8" s="83" t="s">
        <v>381</v>
      </c>
      <c r="BY8" s="83">
        <v>75.449436000000006</v>
      </c>
      <c r="BZ8" s="170"/>
      <c r="CA8" s="83" t="s">
        <v>382</v>
      </c>
      <c r="CB8" s="83">
        <v>70.474221999999997</v>
      </c>
      <c r="CD8" s="83" t="s">
        <v>383</v>
      </c>
      <c r="CE8" s="83">
        <v>65.475211999999999</v>
      </c>
      <c r="CG8" s="83" t="s">
        <v>384</v>
      </c>
      <c r="CH8" s="83">
        <v>60.496977999999999</v>
      </c>
      <c r="CJ8" s="83" t="s">
        <v>385</v>
      </c>
      <c r="CK8" s="83">
        <v>55.474803999999999</v>
      </c>
      <c r="CM8" s="83" t="s">
        <v>386</v>
      </c>
      <c r="CN8" s="83">
        <v>50.479481</v>
      </c>
      <c r="CP8" s="83" t="s">
        <v>387</v>
      </c>
      <c r="CQ8" s="83">
        <v>45.494013000000002</v>
      </c>
      <c r="CS8" s="83" t="s">
        <v>388</v>
      </c>
      <c r="CT8" s="83">
        <v>40.478262000000001</v>
      </c>
      <c r="CV8" s="83" t="s">
        <v>389</v>
      </c>
      <c r="CW8" s="83">
        <v>35.519899000000002</v>
      </c>
    </row>
    <row r="9" spans="1:102" x14ac:dyDescent="0.2">
      <c r="A9" s="83" t="s">
        <v>276</v>
      </c>
      <c r="B9" s="83" t="s">
        <v>55</v>
      </c>
      <c r="C9" s="83" t="s">
        <v>56</v>
      </c>
      <c r="D9" s="83" t="s">
        <v>276</v>
      </c>
      <c r="E9" s="83" t="s">
        <v>55</v>
      </c>
      <c r="F9" s="83" t="s">
        <v>56</v>
      </c>
      <c r="G9" s="83" t="s">
        <v>276</v>
      </c>
      <c r="H9" s="83" t="s">
        <v>55</v>
      </c>
      <c r="I9" s="83" t="s">
        <v>56</v>
      </c>
      <c r="J9" s="83" t="s">
        <v>276</v>
      </c>
      <c r="K9" s="83" t="s">
        <v>55</v>
      </c>
      <c r="L9" s="83" t="s">
        <v>56</v>
      </c>
      <c r="M9" s="83" t="s">
        <v>276</v>
      </c>
      <c r="N9" s="83" t="s">
        <v>55</v>
      </c>
      <c r="O9" s="83" t="s">
        <v>56</v>
      </c>
      <c r="P9" s="83" t="s">
        <v>276</v>
      </c>
      <c r="Q9" s="83" t="s">
        <v>55</v>
      </c>
      <c r="R9" s="83" t="s">
        <v>56</v>
      </c>
      <c r="S9" s="83" t="s">
        <v>276</v>
      </c>
      <c r="T9" s="83" t="s">
        <v>55</v>
      </c>
      <c r="U9" s="83" t="s">
        <v>56</v>
      </c>
      <c r="V9" s="83" t="s">
        <v>276</v>
      </c>
      <c r="W9" s="83" t="s">
        <v>55</v>
      </c>
      <c r="X9" s="83" t="s">
        <v>56</v>
      </c>
      <c r="Y9" s="83" t="s">
        <v>276</v>
      </c>
      <c r="Z9" s="83" t="s">
        <v>55</v>
      </c>
      <c r="AA9" s="83" t="s">
        <v>56</v>
      </c>
      <c r="AB9" s="83" t="s">
        <v>276</v>
      </c>
      <c r="AC9" s="83" t="s">
        <v>55</v>
      </c>
      <c r="AD9" s="83" t="s">
        <v>56</v>
      </c>
      <c r="AE9" s="83" t="s">
        <v>276</v>
      </c>
      <c r="AF9" s="83" t="s">
        <v>55</v>
      </c>
      <c r="AG9" s="83" t="s">
        <v>56</v>
      </c>
      <c r="AH9" s="83" t="s">
        <v>276</v>
      </c>
      <c r="AI9" s="83" t="s">
        <v>55</v>
      </c>
      <c r="AJ9" s="83" t="s">
        <v>56</v>
      </c>
      <c r="AK9" s="83" t="s">
        <v>276</v>
      </c>
      <c r="AL9" s="83" t="s">
        <v>55</v>
      </c>
      <c r="AM9" s="83" t="s">
        <v>56</v>
      </c>
      <c r="AN9" s="83" t="s">
        <v>276</v>
      </c>
      <c r="AO9" s="83" t="s">
        <v>55</v>
      </c>
      <c r="AP9" s="83" t="s">
        <v>56</v>
      </c>
      <c r="AQ9" s="83" t="s">
        <v>276</v>
      </c>
      <c r="AR9" s="83" t="s">
        <v>55</v>
      </c>
      <c r="AS9" s="83" t="s">
        <v>56</v>
      </c>
      <c r="AT9" s="83" t="s">
        <v>276</v>
      </c>
      <c r="AU9" s="83" t="s">
        <v>55</v>
      </c>
      <c r="AV9" s="83" t="s">
        <v>56</v>
      </c>
      <c r="AW9" s="83" t="s">
        <v>276</v>
      </c>
      <c r="AX9" s="83" t="s">
        <v>55</v>
      </c>
      <c r="AY9" s="83" t="s">
        <v>56</v>
      </c>
      <c r="AZ9" s="83" t="s">
        <v>276</v>
      </c>
      <c r="BA9" s="83" t="s">
        <v>55</v>
      </c>
      <c r="BB9" s="83" t="s">
        <v>56</v>
      </c>
      <c r="BC9" s="83" t="s">
        <v>276</v>
      </c>
      <c r="BD9" s="83" t="s">
        <v>55</v>
      </c>
      <c r="BE9" s="83" t="s">
        <v>56</v>
      </c>
      <c r="BF9" s="83" t="s">
        <v>276</v>
      </c>
      <c r="BG9" s="83" t="s">
        <v>55</v>
      </c>
      <c r="BH9" s="83" t="s">
        <v>56</v>
      </c>
      <c r="BI9" s="83" t="s">
        <v>276</v>
      </c>
      <c r="BJ9" s="83" t="s">
        <v>55</v>
      </c>
      <c r="BK9" s="83" t="s">
        <v>56</v>
      </c>
      <c r="BL9" s="83" t="s">
        <v>276</v>
      </c>
      <c r="BM9" s="83" t="s">
        <v>55</v>
      </c>
      <c r="BN9" s="83" t="s">
        <v>56</v>
      </c>
      <c r="BO9" s="83" t="s">
        <v>276</v>
      </c>
      <c r="BP9" s="83" t="s">
        <v>55</v>
      </c>
      <c r="BQ9" s="83" t="s">
        <v>56</v>
      </c>
      <c r="BR9" s="83" t="s">
        <v>276</v>
      </c>
      <c r="BS9" s="83" t="s">
        <v>55</v>
      </c>
      <c r="BT9" s="83" t="s">
        <v>56</v>
      </c>
      <c r="BU9" s="83" t="s">
        <v>276</v>
      </c>
      <c r="BV9" s="83" t="s">
        <v>55</v>
      </c>
      <c r="BW9" s="83" t="s">
        <v>56</v>
      </c>
      <c r="BX9" s="83" t="s">
        <v>276</v>
      </c>
      <c r="BY9" s="83" t="s">
        <v>55</v>
      </c>
      <c r="BZ9" s="83" t="s">
        <v>56</v>
      </c>
      <c r="CA9" s="83" t="s">
        <v>276</v>
      </c>
      <c r="CB9" s="83" t="s">
        <v>55</v>
      </c>
      <c r="CC9" s="83" t="s">
        <v>56</v>
      </c>
      <c r="CD9" s="83" t="s">
        <v>276</v>
      </c>
      <c r="CE9" s="83" t="s">
        <v>55</v>
      </c>
      <c r="CF9" s="83" t="s">
        <v>56</v>
      </c>
      <c r="CG9" s="83" t="s">
        <v>276</v>
      </c>
      <c r="CH9" s="83" t="s">
        <v>55</v>
      </c>
      <c r="CI9" s="83" t="s">
        <v>56</v>
      </c>
      <c r="CJ9" s="83" t="s">
        <v>276</v>
      </c>
      <c r="CK9" s="83" t="s">
        <v>55</v>
      </c>
      <c r="CL9" s="83" t="s">
        <v>56</v>
      </c>
      <c r="CM9" s="83" t="s">
        <v>276</v>
      </c>
      <c r="CN9" s="83" t="s">
        <v>55</v>
      </c>
      <c r="CO9" s="83" t="s">
        <v>56</v>
      </c>
      <c r="CP9" s="83" t="s">
        <v>276</v>
      </c>
      <c r="CQ9" s="83" t="s">
        <v>55</v>
      </c>
      <c r="CR9" s="83" t="s">
        <v>56</v>
      </c>
      <c r="CS9" s="83" t="s">
        <v>276</v>
      </c>
      <c r="CT9" s="83" t="s">
        <v>55</v>
      </c>
      <c r="CU9" s="83" t="s">
        <v>56</v>
      </c>
      <c r="CV9" s="83" t="s">
        <v>276</v>
      </c>
      <c r="CW9" s="83" t="s">
        <v>55</v>
      </c>
      <c r="CX9" s="83" t="s">
        <v>56</v>
      </c>
    </row>
    <row r="10" spans="1:102" x14ac:dyDescent="0.2">
      <c r="A10" s="83">
        <v>4.99E-5</v>
      </c>
      <c r="B10" s="83">
        <v>0.61140600000000001</v>
      </c>
      <c r="C10" s="83">
        <v>0.362709</v>
      </c>
      <c r="D10" s="83">
        <v>4.99E-5</v>
      </c>
      <c r="E10" s="83">
        <v>0.16961799999999999</v>
      </c>
      <c r="F10" s="83">
        <v>0.157862</v>
      </c>
      <c r="G10" s="83">
        <v>4.99E-5</v>
      </c>
      <c r="H10" s="83">
        <v>0.64468199999999998</v>
      </c>
      <c r="I10" s="83">
        <v>0.36499999999999999</v>
      </c>
      <c r="J10" s="83">
        <v>4.99E-5</v>
      </c>
      <c r="K10" s="83">
        <v>0.643903</v>
      </c>
      <c r="L10" s="83">
        <v>0.360599</v>
      </c>
      <c r="M10" s="83">
        <v>4.99E-5</v>
      </c>
      <c r="N10" s="83">
        <v>0.67896199999999995</v>
      </c>
      <c r="O10" s="83">
        <v>0.37041400000000002</v>
      </c>
      <c r="P10" s="83">
        <v>4.99E-5</v>
      </c>
      <c r="Q10" s="83">
        <v>0.18645100000000001</v>
      </c>
      <c r="R10" s="83">
        <v>0.16139600000000001</v>
      </c>
      <c r="S10" s="83">
        <v>4.99E-5</v>
      </c>
      <c r="T10" s="83">
        <v>0.16298399999999999</v>
      </c>
      <c r="U10" s="83">
        <v>0.14243600000000001</v>
      </c>
      <c r="V10" s="83">
        <v>4.99E-5</v>
      </c>
      <c r="W10" s="83">
        <v>0.68194299999999997</v>
      </c>
      <c r="X10" s="83">
        <v>0.35593999999999998</v>
      </c>
      <c r="Y10" s="83">
        <v>4.99E-5</v>
      </c>
      <c r="Z10" s="83">
        <v>0.187523</v>
      </c>
      <c r="AA10" s="83">
        <v>0.15507599999999999</v>
      </c>
      <c r="AB10" s="83">
        <v>4.99E-5</v>
      </c>
      <c r="AC10" s="83">
        <v>0.69639700000000004</v>
      </c>
      <c r="AD10" s="83">
        <v>0.35220400000000002</v>
      </c>
      <c r="AE10" s="83">
        <v>4.99E-5</v>
      </c>
      <c r="AF10" s="83">
        <v>0.190696</v>
      </c>
      <c r="AG10" s="83">
        <v>0.15443399999999999</v>
      </c>
      <c r="AH10" s="83">
        <v>4.99E-5</v>
      </c>
      <c r="AI10" s="83">
        <v>0.72670400000000002</v>
      </c>
      <c r="AJ10" s="83">
        <v>0.36103099999999999</v>
      </c>
      <c r="AK10" s="83">
        <v>4.99E-5</v>
      </c>
      <c r="AL10" s="83">
        <v>0.73844799999999999</v>
      </c>
      <c r="AM10" s="83">
        <v>0.36126399999999997</v>
      </c>
      <c r="AN10" s="83">
        <v>4.99E-5</v>
      </c>
      <c r="AO10" s="83">
        <v>0.20044300000000001</v>
      </c>
      <c r="AP10" s="83">
        <v>0.15612500000000001</v>
      </c>
      <c r="AQ10" s="83">
        <v>4.99E-5</v>
      </c>
      <c r="AR10" s="83">
        <v>0.77760899999999999</v>
      </c>
      <c r="AS10" s="83">
        <v>0.36846699999999999</v>
      </c>
      <c r="AT10" s="83">
        <v>4.99E-5</v>
      </c>
      <c r="AU10" s="83">
        <v>0.74739299999999997</v>
      </c>
      <c r="AV10" s="83">
        <v>0.34731000000000001</v>
      </c>
      <c r="AW10" s="83">
        <v>4.99E-5</v>
      </c>
      <c r="AX10" s="83">
        <v>0.75322999999999996</v>
      </c>
      <c r="AY10" s="83">
        <v>0.34605799999999998</v>
      </c>
      <c r="AZ10" s="83">
        <v>4.99E-5</v>
      </c>
      <c r="BA10" s="83">
        <v>0.20433200000000001</v>
      </c>
      <c r="BB10" s="83">
        <v>0.151694</v>
      </c>
      <c r="BC10" s="83">
        <v>4.99E-5</v>
      </c>
      <c r="BD10" s="83">
        <v>0.80545299999999997</v>
      </c>
      <c r="BE10" s="83">
        <v>0.36242600000000003</v>
      </c>
      <c r="BF10" s="83">
        <v>4.99E-5</v>
      </c>
      <c r="BG10" s="83">
        <v>0.81520400000000004</v>
      </c>
      <c r="BH10" s="83">
        <v>0.36153099999999999</v>
      </c>
      <c r="BI10" s="83">
        <v>4.99E-5</v>
      </c>
      <c r="BJ10" s="83">
        <v>0.226823</v>
      </c>
      <c r="BK10" s="83">
        <v>0.15678500000000001</v>
      </c>
      <c r="BL10" s="83">
        <v>4.99E-5</v>
      </c>
      <c r="BM10" s="83">
        <v>0.24315400000000001</v>
      </c>
      <c r="BN10" s="83">
        <v>0.16411100000000001</v>
      </c>
      <c r="BO10" s="83">
        <v>4.99E-5</v>
      </c>
      <c r="BP10" s="83">
        <v>0.84078399999999998</v>
      </c>
      <c r="BQ10" s="83">
        <v>0.35609499999999999</v>
      </c>
      <c r="BR10" s="83">
        <v>4.99E-5</v>
      </c>
      <c r="BS10" s="83">
        <v>0.187808</v>
      </c>
      <c r="BT10" s="83">
        <v>0.13378399999999999</v>
      </c>
      <c r="BU10" s="83">
        <v>4.99E-5</v>
      </c>
      <c r="BV10" s="83">
        <v>0.25494299999999998</v>
      </c>
      <c r="BW10" s="83">
        <v>0.165574</v>
      </c>
      <c r="BX10" s="83">
        <v>4.99E-5</v>
      </c>
      <c r="BY10" s="83">
        <v>0.24692700000000001</v>
      </c>
      <c r="BZ10" s="83">
        <v>0.157941</v>
      </c>
      <c r="CA10" s="83">
        <v>4.99E-5</v>
      </c>
      <c r="CB10" s="83">
        <v>0.90964</v>
      </c>
      <c r="CC10" s="83">
        <v>0.35813899999999999</v>
      </c>
      <c r="CD10" s="83">
        <v>4.99E-5</v>
      </c>
      <c r="CE10" s="83">
        <v>0.92667500000000003</v>
      </c>
      <c r="CF10" s="83">
        <v>0.36037999999999998</v>
      </c>
      <c r="CG10" s="83">
        <v>4.99E-5</v>
      </c>
      <c r="CH10" s="83">
        <v>0.972939</v>
      </c>
      <c r="CI10" s="83">
        <v>0.37229699999999999</v>
      </c>
      <c r="CJ10" s="83">
        <v>4.99E-5</v>
      </c>
      <c r="CK10" s="83">
        <v>0.23608199999999999</v>
      </c>
      <c r="CL10" s="83">
        <v>0.145369</v>
      </c>
      <c r="CM10" s="83">
        <v>4.99E-5</v>
      </c>
      <c r="CN10" s="83">
        <v>0.26862200000000003</v>
      </c>
      <c r="CO10" s="83">
        <v>0.15637499999999999</v>
      </c>
      <c r="CP10" s="83">
        <v>4.99E-5</v>
      </c>
      <c r="CQ10" s="83">
        <v>1.0077199999999999</v>
      </c>
      <c r="CR10" s="83">
        <v>0.36454700000000001</v>
      </c>
      <c r="CS10" s="83">
        <v>4.99E-5</v>
      </c>
      <c r="CT10" s="83">
        <v>0.282777</v>
      </c>
      <c r="CU10" s="83">
        <v>0.160329</v>
      </c>
      <c r="CV10" s="83">
        <v>4.99E-5</v>
      </c>
      <c r="CW10" s="83">
        <v>1.02528</v>
      </c>
      <c r="CX10" s="83">
        <v>0.36129</v>
      </c>
    </row>
    <row r="11" spans="1:102" x14ac:dyDescent="0.2">
      <c r="A11" s="83">
        <v>1.4990000000000001E-4</v>
      </c>
      <c r="B11" s="83">
        <v>1.8825799999999999</v>
      </c>
      <c r="C11" s="83">
        <v>0.53811100000000001</v>
      </c>
      <c r="D11" s="83">
        <v>1.4990000000000001E-4</v>
      </c>
      <c r="E11" s="83">
        <v>1.4493100000000001</v>
      </c>
      <c r="F11" s="83">
        <v>0.51225200000000004</v>
      </c>
      <c r="G11" s="83">
        <v>1.4990000000000001E-4</v>
      </c>
      <c r="H11" s="83">
        <v>2.0113099999999999</v>
      </c>
      <c r="I11" s="83">
        <v>0.55798599999999998</v>
      </c>
      <c r="J11" s="83">
        <v>1.4990000000000001E-4</v>
      </c>
      <c r="K11" s="83">
        <v>1.99316</v>
      </c>
      <c r="L11" s="83">
        <v>0.54717499999999997</v>
      </c>
      <c r="M11" s="83">
        <v>1.4990000000000001E-4</v>
      </c>
      <c r="N11" s="83">
        <v>2.0814900000000001</v>
      </c>
      <c r="O11" s="83">
        <v>0.55521600000000004</v>
      </c>
      <c r="P11" s="83">
        <v>1.4990000000000001E-4</v>
      </c>
      <c r="Q11" s="83">
        <v>1.5950200000000001</v>
      </c>
      <c r="R11" s="83">
        <v>0.52104899999999998</v>
      </c>
      <c r="S11" s="83">
        <v>1.4990000000000001E-4</v>
      </c>
      <c r="T11" s="83">
        <v>1.53447</v>
      </c>
      <c r="U11" s="83">
        <v>0.50307900000000005</v>
      </c>
      <c r="V11" s="83">
        <v>1.4990000000000001E-4</v>
      </c>
      <c r="W11" s="83">
        <v>2.10372</v>
      </c>
      <c r="X11" s="83">
        <v>0.53847299999999998</v>
      </c>
      <c r="Y11" s="83">
        <v>1.4990000000000001E-4</v>
      </c>
      <c r="Z11" s="83">
        <v>1.62269</v>
      </c>
      <c r="AA11" s="83">
        <v>0.51427800000000001</v>
      </c>
      <c r="AB11" s="83">
        <v>1.4990000000000001E-4</v>
      </c>
      <c r="AC11" s="83">
        <v>2.1402100000000002</v>
      </c>
      <c r="AD11" s="83">
        <v>0.54059999999999997</v>
      </c>
      <c r="AE11" s="83">
        <v>1.4990000000000001E-4</v>
      </c>
      <c r="AF11" s="83">
        <v>1.64913</v>
      </c>
      <c r="AG11" s="83">
        <v>0.51121700000000003</v>
      </c>
      <c r="AH11" s="83">
        <v>1.4990000000000001E-4</v>
      </c>
      <c r="AI11" s="83">
        <v>2.1999200000000001</v>
      </c>
      <c r="AJ11" s="83">
        <v>0.53886400000000001</v>
      </c>
      <c r="AK11" s="83">
        <v>1.4990000000000001E-4</v>
      </c>
      <c r="AL11" s="83">
        <v>2.21814</v>
      </c>
      <c r="AM11" s="83">
        <v>0.53552699999999998</v>
      </c>
      <c r="AN11" s="83">
        <v>1.4990000000000001E-4</v>
      </c>
      <c r="AO11" s="83">
        <v>1.7464599999999999</v>
      </c>
      <c r="AP11" s="83">
        <v>0.52555700000000005</v>
      </c>
      <c r="AQ11" s="83">
        <v>1.4990000000000001E-4</v>
      </c>
      <c r="AR11" s="83">
        <v>2.3387699999999998</v>
      </c>
      <c r="AS11" s="83">
        <v>0.55347800000000003</v>
      </c>
      <c r="AT11" s="83">
        <v>1.4990000000000001E-4</v>
      </c>
      <c r="AU11" s="83">
        <v>2.2323499999999998</v>
      </c>
      <c r="AV11" s="83">
        <v>0.52479699999999996</v>
      </c>
      <c r="AW11" s="83">
        <v>1.4990000000000001E-4</v>
      </c>
      <c r="AX11" s="83">
        <v>2.2538499999999999</v>
      </c>
      <c r="AY11" s="83">
        <v>0.52183199999999996</v>
      </c>
      <c r="AZ11" s="83">
        <v>1.4990000000000001E-4</v>
      </c>
      <c r="BA11" s="83">
        <v>1.80087</v>
      </c>
      <c r="BB11" s="83">
        <v>0.51712400000000003</v>
      </c>
      <c r="BC11" s="83">
        <v>1.4990000000000001E-4</v>
      </c>
      <c r="BD11" s="83">
        <v>2.3969200000000002</v>
      </c>
      <c r="BE11" s="83">
        <v>0.54735199999999995</v>
      </c>
      <c r="BF11" s="83">
        <v>1.4990000000000001E-4</v>
      </c>
      <c r="BG11" s="83">
        <v>2.4051399999999998</v>
      </c>
      <c r="BH11" s="83">
        <v>0.54190300000000002</v>
      </c>
      <c r="BI11" s="83">
        <v>1.4990000000000001E-4</v>
      </c>
      <c r="BJ11" s="83">
        <v>1.8875500000000001</v>
      </c>
      <c r="BK11" s="83">
        <v>0.51694099999999998</v>
      </c>
      <c r="BL11" s="83">
        <v>1.4990000000000001E-4</v>
      </c>
      <c r="BM11" s="83">
        <v>1.9449700000000001</v>
      </c>
      <c r="BN11" s="83">
        <v>0.51988699999999999</v>
      </c>
      <c r="BO11" s="83">
        <v>1.4990000000000001E-4</v>
      </c>
      <c r="BP11" s="83">
        <v>2.5214599999999998</v>
      </c>
      <c r="BQ11" s="83">
        <v>0.55061400000000005</v>
      </c>
      <c r="BR11" s="83">
        <v>1.4990000000000001E-4</v>
      </c>
      <c r="BS11" s="83">
        <v>1.8434900000000001</v>
      </c>
      <c r="BT11" s="83">
        <v>0.49712299999999998</v>
      </c>
      <c r="BU11" s="83">
        <v>1.4990000000000001E-4</v>
      </c>
      <c r="BV11" s="83">
        <v>2.0793499999999998</v>
      </c>
      <c r="BW11" s="83">
        <v>0.53339999999999999</v>
      </c>
      <c r="BX11" s="83">
        <v>1.4990000000000001E-4</v>
      </c>
      <c r="BY11" s="83">
        <v>2.0240300000000002</v>
      </c>
      <c r="BZ11" s="83">
        <v>0.51371900000000004</v>
      </c>
      <c r="CA11" s="83">
        <v>1.4990000000000001E-4</v>
      </c>
      <c r="CB11" s="83">
        <v>2.6015899999999998</v>
      </c>
      <c r="CC11" s="83">
        <v>0.53677799999999998</v>
      </c>
      <c r="CD11" s="83">
        <v>1.4990000000000001E-4</v>
      </c>
      <c r="CE11" s="83">
        <v>2.6988300000000001</v>
      </c>
      <c r="CF11" s="83">
        <v>0.54849499999999995</v>
      </c>
      <c r="CG11" s="83">
        <v>1.4990000000000001E-4</v>
      </c>
      <c r="CH11" s="83">
        <v>2.7866900000000001</v>
      </c>
      <c r="CI11" s="83">
        <v>0.559446</v>
      </c>
      <c r="CJ11" s="83">
        <v>1.4990000000000001E-4</v>
      </c>
      <c r="CK11" s="83">
        <v>2.0916999999999999</v>
      </c>
      <c r="CL11" s="83">
        <v>0.51245300000000005</v>
      </c>
      <c r="CM11" s="83">
        <v>1.4990000000000001E-4</v>
      </c>
      <c r="CN11" s="83">
        <v>2.15747</v>
      </c>
      <c r="CO11" s="83">
        <v>0.51197000000000004</v>
      </c>
      <c r="CP11" s="83">
        <v>1.4990000000000001E-4</v>
      </c>
      <c r="CQ11" s="83">
        <v>2.80836</v>
      </c>
      <c r="CR11" s="83">
        <v>0.54007400000000005</v>
      </c>
      <c r="CS11" s="83">
        <v>1.4990000000000001E-4</v>
      </c>
      <c r="CT11" s="83">
        <v>2.2624200000000001</v>
      </c>
      <c r="CU11" s="83">
        <v>0.52040500000000001</v>
      </c>
      <c r="CV11" s="83">
        <v>1.4990000000000001E-4</v>
      </c>
      <c r="CW11" s="83">
        <v>2.8582900000000002</v>
      </c>
      <c r="CX11" s="83">
        <v>0.54188499999999995</v>
      </c>
    </row>
    <row r="12" spans="1:102" x14ac:dyDescent="0.2">
      <c r="A12" s="83">
        <v>2.499E-4</v>
      </c>
      <c r="B12" s="83">
        <v>2.4672999999999998</v>
      </c>
      <c r="C12" s="83">
        <v>0.59907100000000002</v>
      </c>
      <c r="D12" s="83">
        <v>2.499E-4</v>
      </c>
      <c r="E12" s="83">
        <v>2.3504499999999999</v>
      </c>
      <c r="F12" s="83">
        <v>0.58568200000000004</v>
      </c>
      <c r="G12" s="83">
        <v>2.499E-4</v>
      </c>
      <c r="H12" s="83">
        <v>2.6195200000000001</v>
      </c>
      <c r="I12" s="83">
        <v>0.61149699999999996</v>
      </c>
      <c r="J12" s="83">
        <v>2.499E-4</v>
      </c>
      <c r="K12" s="83">
        <v>2.59809</v>
      </c>
      <c r="L12" s="83">
        <v>0.60110399999999997</v>
      </c>
      <c r="M12" s="83">
        <v>2.499E-4</v>
      </c>
      <c r="N12" s="83">
        <v>2.7051699999999999</v>
      </c>
      <c r="O12" s="83">
        <v>0.61029199999999995</v>
      </c>
      <c r="P12" s="83">
        <v>2.499E-4</v>
      </c>
      <c r="Q12" s="83">
        <v>2.5203799999999998</v>
      </c>
      <c r="R12" s="83">
        <v>0.58209699999999998</v>
      </c>
      <c r="S12" s="83">
        <v>2.499E-4</v>
      </c>
      <c r="T12" s="83">
        <v>2.51674</v>
      </c>
      <c r="U12" s="83">
        <v>0.57645100000000005</v>
      </c>
      <c r="V12" s="83">
        <v>2.499E-4</v>
      </c>
      <c r="W12" s="83">
        <v>2.7306599999999999</v>
      </c>
      <c r="X12" s="83">
        <v>0.59221000000000001</v>
      </c>
      <c r="Y12" s="83">
        <v>2.499E-4</v>
      </c>
      <c r="Z12" s="83">
        <v>2.5782799999999999</v>
      </c>
      <c r="AA12" s="83">
        <v>0.57593499999999997</v>
      </c>
      <c r="AB12" s="83">
        <v>2.499E-4</v>
      </c>
      <c r="AC12" s="83">
        <v>2.81372</v>
      </c>
      <c r="AD12" s="83">
        <v>0.60146500000000003</v>
      </c>
      <c r="AE12" s="83">
        <v>2.499E-4</v>
      </c>
      <c r="AF12" s="83">
        <v>2.6071800000000001</v>
      </c>
      <c r="AG12" s="83">
        <v>0.572959</v>
      </c>
      <c r="AH12" s="83">
        <v>2.499E-4</v>
      </c>
      <c r="AI12" s="83">
        <v>2.8448799999999999</v>
      </c>
      <c r="AJ12" s="83">
        <v>0.59560000000000002</v>
      </c>
      <c r="AK12" s="83">
        <v>2.499E-4</v>
      </c>
      <c r="AL12" s="83">
        <v>2.85364</v>
      </c>
      <c r="AM12" s="83">
        <v>0.59176899999999999</v>
      </c>
      <c r="AN12" s="83">
        <v>2.499E-4</v>
      </c>
      <c r="AO12" s="83">
        <v>2.75841</v>
      </c>
      <c r="AP12" s="83">
        <v>0.58892299999999997</v>
      </c>
      <c r="AQ12" s="83">
        <v>2.499E-4</v>
      </c>
      <c r="AR12" s="83">
        <v>3.0057399999999999</v>
      </c>
      <c r="AS12" s="83">
        <v>0.60923499999999997</v>
      </c>
      <c r="AT12" s="83">
        <v>2.499E-4</v>
      </c>
      <c r="AU12" s="83">
        <v>2.9071500000000001</v>
      </c>
      <c r="AV12" s="83">
        <v>0.58922300000000005</v>
      </c>
      <c r="AW12" s="83">
        <v>2.499E-4</v>
      </c>
      <c r="AX12" s="83">
        <v>2.9243000000000001</v>
      </c>
      <c r="AY12" s="83">
        <v>0.58718199999999998</v>
      </c>
      <c r="AZ12" s="83">
        <v>2.499E-4</v>
      </c>
      <c r="BA12" s="83">
        <v>2.8317100000000002</v>
      </c>
      <c r="BB12" s="83">
        <v>0.58274599999999999</v>
      </c>
      <c r="BC12" s="83">
        <v>2.499E-4</v>
      </c>
      <c r="BD12" s="83">
        <v>3.0900599999999998</v>
      </c>
      <c r="BE12" s="83">
        <v>0.60561699999999996</v>
      </c>
      <c r="BF12" s="83">
        <v>2.499E-4</v>
      </c>
      <c r="BG12" s="83">
        <v>3.1037599999999999</v>
      </c>
      <c r="BH12" s="83">
        <v>0.60224500000000003</v>
      </c>
      <c r="BI12" s="83">
        <v>2.499E-4</v>
      </c>
      <c r="BJ12" s="83">
        <v>2.89235</v>
      </c>
      <c r="BK12" s="83">
        <v>0.57341299999999995</v>
      </c>
      <c r="BL12" s="83">
        <v>2.499E-4</v>
      </c>
      <c r="BM12" s="83">
        <v>2.98299</v>
      </c>
      <c r="BN12" s="83">
        <v>0.58636200000000005</v>
      </c>
      <c r="BO12" s="83">
        <v>2.499E-4</v>
      </c>
      <c r="BP12" s="83">
        <v>3.2080600000000001</v>
      </c>
      <c r="BQ12" s="83">
        <v>0.59762700000000002</v>
      </c>
      <c r="BR12" s="83">
        <v>2.499E-4</v>
      </c>
      <c r="BS12" s="83">
        <v>2.9125299999999998</v>
      </c>
      <c r="BT12" s="83">
        <v>0.56539499999999998</v>
      </c>
      <c r="BU12" s="83">
        <v>2.499E-4</v>
      </c>
      <c r="BV12" s="83">
        <v>3.1407600000000002</v>
      </c>
      <c r="BW12" s="83">
        <v>0.59381600000000001</v>
      </c>
      <c r="BX12" s="83">
        <v>2.499E-4</v>
      </c>
      <c r="BY12" s="83">
        <v>3.0882299999999998</v>
      </c>
      <c r="BZ12" s="83">
        <v>0.58139600000000002</v>
      </c>
      <c r="CA12" s="83">
        <v>2.499E-4</v>
      </c>
      <c r="CB12" s="83">
        <v>3.3217699999999999</v>
      </c>
      <c r="CC12" s="83">
        <v>0.59841999999999995</v>
      </c>
      <c r="CD12" s="83">
        <v>2.499E-4</v>
      </c>
      <c r="CE12" s="83">
        <v>3.38144</v>
      </c>
      <c r="CF12" s="83">
        <v>0.59805200000000003</v>
      </c>
      <c r="CG12" s="83">
        <v>2.499E-4</v>
      </c>
      <c r="CH12" s="83">
        <v>3.50942</v>
      </c>
      <c r="CI12" s="83">
        <v>0.61307</v>
      </c>
      <c r="CJ12" s="83">
        <v>2.499E-4</v>
      </c>
      <c r="CK12" s="83">
        <v>3.19096</v>
      </c>
      <c r="CL12" s="83">
        <v>0.57558399999999998</v>
      </c>
      <c r="CM12" s="83">
        <v>2.499E-4</v>
      </c>
      <c r="CN12" s="83">
        <v>3.2698299999999998</v>
      </c>
      <c r="CO12" s="83">
        <v>0.58318999999999999</v>
      </c>
      <c r="CP12" s="83">
        <v>2.499E-4</v>
      </c>
      <c r="CQ12" s="83">
        <v>3.54603</v>
      </c>
      <c r="CR12" s="83">
        <v>0.60401000000000005</v>
      </c>
      <c r="CS12" s="83">
        <v>2.499E-4</v>
      </c>
      <c r="CT12" s="83">
        <v>3.3664200000000002</v>
      </c>
      <c r="CU12" s="83">
        <v>0.58730099999999996</v>
      </c>
      <c r="CV12" s="83">
        <v>2.499E-4</v>
      </c>
      <c r="CW12" s="83">
        <v>3.6298499999999998</v>
      </c>
      <c r="CX12" s="83">
        <v>0.60949200000000003</v>
      </c>
    </row>
    <row r="13" spans="1:102" x14ac:dyDescent="0.2">
      <c r="A13" s="83">
        <v>3.4989999999999999E-4</v>
      </c>
      <c r="B13" s="83">
        <v>2.6762999999999999</v>
      </c>
      <c r="C13" s="83">
        <v>0.61987499999999995</v>
      </c>
      <c r="D13" s="83">
        <v>3.4989999999999999E-4</v>
      </c>
      <c r="E13" s="83">
        <v>2.7061700000000002</v>
      </c>
      <c r="F13" s="83">
        <v>0.62279700000000005</v>
      </c>
      <c r="G13" s="83">
        <v>3.4989999999999999E-4</v>
      </c>
      <c r="H13" s="83">
        <v>2.8276699999999999</v>
      </c>
      <c r="I13" s="83">
        <v>0.63200299999999998</v>
      </c>
      <c r="J13" s="83">
        <v>3.4989999999999999E-4</v>
      </c>
      <c r="K13" s="83">
        <v>2.8121700000000001</v>
      </c>
      <c r="L13" s="83">
        <v>0.62090000000000001</v>
      </c>
      <c r="M13" s="83">
        <v>3.4989999999999999E-4</v>
      </c>
      <c r="N13" s="83">
        <v>2.90543</v>
      </c>
      <c r="O13" s="83">
        <v>0.627884</v>
      </c>
      <c r="P13" s="83">
        <v>3.4989999999999999E-4</v>
      </c>
      <c r="Q13" s="83">
        <v>2.8964599999999998</v>
      </c>
      <c r="R13" s="83">
        <v>0.62135499999999999</v>
      </c>
      <c r="S13" s="83">
        <v>3.4989999999999999E-4</v>
      </c>
      <c r="T13" s="83">
        <v>2.94381</v>
      </c>
      <c r="U13" s="83">
        <v>0.62304400000000004</v>
      </c>
      <c r="V13" s="83">
        <v>3.4989999999999999E-4</v>
      </c>
      <c r="W13" s="83">
        <v>2.97933</v>
      </c>
      <c r="X13" s="83">
        <v>0.61613200000000001</v>
      </c>
      <c r="Y13" s="83">
        <v>3.4989999999999999E-4</v>
      </c>
      <c r="Z13" s="83">
        <v>2.97648</v>
      </c>
      <c r="AA13" s="83">
        <v>0.61819199999999996</v>
      </c>
      <c r="AB13" s="83">
        <v>3.4989999999999999E-4</v>
      </c>
      <c r="AC13" s="83">
        <v>3.0668099999999998</v>
      </c>
      <c r="AD13" s="83">
        <v>0.624413</v>
      </c>
      <c r="AE13" s="83">
        <v>3.4989999999999999E-4</v>
      </c>
      <c r="AF13" s="83">
        <v>3.0174400000000001</v>
      </c>
      <c r="AG13" s="83">
        <v>0.61709000000000003</v>
      </c>
      <c r="AH13" s="83">
        <v>3.4989999999999999E-4</v>
      </c>
      <c r="AI13" s="83">
        <v>3.0954100000000002</v>
      </c>
      <c r="AJ13" s="83">
        <v>0.61809000000000003</v>
      </c>
      <c r="AK13" s="83">
        <v>3.4989999999999999E-4</v>
      </c>
      <c r="AL13" s="83">
        <v>3.1107200000000002</v>
      </c>
      <c r="AM13" s="83">
        <v>0.61556500000000003</v>
      </c>
      <c r="AN13" s="83">
        <v>3.4989999999999999E-4</v>
      </c>
      <c r="AO13" s="83">
        <v>3.1667399999999999</v>
      </c>
      <c r="AP13" s="83">
        <v>0.62715100000000001</v>
      </c>
      <c r="AQ13" s="83">
        <v>3.4989999999999999E-4</v>
      </c>
      <c r="AR13" s="83">
        <v>3.2596400000000001</v>
      </c>
      <c r="AS13" s="83">
        <v>0.63174600000000003</v>
      </c>
      <c r="AT13" s="83">
        <v>3.4989999999999999E-4</v>
      </c>
      <c r="AU13" s="83">
        <v>3.1864400000000002</v>
      </c>
      <c r="AV13" s="83">
        <v>0.61476699999999995</v>
      </c>
      <c r="AW13" s="83">
        <v>3.4989999999999999E-4</v>
      </c>
      <c r="AX13" s="83">
        <v>3.2163900000000001</v>
      </c>
      <c r="AY13" s="83">
        <v>0.61484099999999997</v>
      </c>
      <c r="AZ13" s="83">
        <v>3.4989999999999999E-4</v>
      </c>
      <c r="BA13" s="83">
        <v>3.2769900000000001</v>
      </c>
      <c r="BB13" s="83">
        <v>0.62586799999999998</v>
      </c>
      <c r="BC13" s="83">
        <v>3.4989999999999999E-4</v>
      </c>
      <c r="BD13" s="83">
        <v>3.3586299999999998</v>
      </c>
      <c r="BE13" s="83">
        <v>0.62741800000000003</v>
      </c>
      <c r="BF13" s="83">
        <v>3.4989999999999999E-4</v>
      </c>
      <c r="BG13" s="83">
        <v>3.3513299999999999</v>
      </c>
      <c r="BH13" s="83">
        <v>0.62002400000000002</v>
      </c>
      <c r="BI13" s="83">
        <v>3.4989999999999999E-4</v>
      </c>
      <c r="BJ13" s="83">
        <v>3.3118599999999998</v>
      </c>
      <c r="BK13" s="83">
        <v>0.61494000000000004</v>
      </c>
      <c r="BL13" s="83">
        <v>3.4989999999999999E-4</v>
      </c>
      <c r="BM13" s="83">
        <v>3.41492</v>
      </c>
      <c r="BN13" s="83">
        <v>0.62596799999999997</v>
      </c>
      <c r="BO13" s="83">
        <v>3.4989999999999999E-4</v>
      </c>
      <c r="BP13" s="83">
        <v>3.4472299999999998</v>
      </c>
      <c r="BQ13" s="83">
        <v>0.61806099999999997</v>
      </c>
      <c r="BR13" s="83">
        <v>3.4989999999999999E-4</v>
      </c>
      <c r="BS13" s="83">
        <v>3.3993600000000002</v>
      </c>
      <c r="BT13" s="83">
        <v>0.61501399999999995</v>
      </c>
      <c r="BU13" s="83">
        <v>3.4989999999999999E-4</v>
      </c>
      <c r="BV13" s="83">
        <v>3.56237</v>
      </c>
      <c r="BW13" s="83">
        <v>0.63009800000000005</v>
      </c>
      <c r="BX13" s="83">
        <v>3.4989999999999999E-4</v>
      </c>
      <c r="BY13" s="83">
        <v>3.5455199999999998</v>
      </c>
      <c r="BZ13" s="83">
        <v>0.62304400000000004</v>
      </c>
      <c r="CA13" s="83">
        <v>3.4989999999999999E-4</v>
      </c>
      <c r="CB13" s="83">
        <v>3.6066099999999999</v>
      </c>
      <c r="CC13" s="83">
        <v>0.62083900000000003</v>
      </c>
      <c r="CD13" s="83">
        <v>3.4989999999999999E-4</v>
      </c>
      <c r="CE13" s="83">
        <v>3.61531</v>
      </c>
      <c r="CF13" s="83">
        <v>0.61469700000000005</v>
      </c>
      <c r="CG13" s="83">
        <v>3.4989999999999999E-4</v>
      </c>
      <c r="CH13" s="83">
        <v>3.7635299999999998</v>
      </c>
      <c r="CI13" s="83">
        <v>0.63080499999999995</v>
      </c>
      <c r="CJ13" s="83">
        <v>3.4989999999999999E-4</v>
      </c>
      <c r="CK13" s="83">
        <v>3.6802199999999998</v>
      </c>
      <c r="CL13" s="83">
        <v>0.62151500000000004</v>
      </c>
      <c r="CM13" s="83">
        <v>3.4989999999999999E-4</v>
      </c>
      <c r="CN13" s="83">
        <v>3.7450600000000001</v>
      </c>
      <c r="CO13" s="83">
        <v>0.62400800000000001</v>
      </c>
      <c r="CP13" s="83">
        <v>3.4989999999999999E-4</v>
      </c>
      <c r="CQ13" s="83">
        <v>3.8271299999999999</v>
      </c>
      <c r="CR13" s="83">
        <v>0.62426400000000004</v>
      </c>
      <c r="CS13" s="83">
        <v>3.4989999999999999E-4</v>
      </c>
      <c r="CT13" s="83">
        <v>3.84944</v>
      </c>
      <c r="CU13" s="83">
        <v>0.62884200000000001</v>
      </c>
      <c r="CV13" s="83">
        <v>3.4989999999999999E-4</v>
      </c>
      <c r="CW13" s="83">
        <v>3.8909099999999999</v>
      </c>
      <c r="CX13" s="83">
        <v>0.62489499999999998</v>
      </c>
    </row>
    <row r="14" spans="1:102" x14ac:dyDescent="0.2">
      <c r="A14" s="83">
        <v>4.4989999999999999E-4</v>
      </c>
      <c r="B14" s="83">
        <v>2.67197</v>
      </c>
      <c r="C14" s="83">
        <v>0.60744699999999996</v>
      </c>
      <c r="D14" s="83">
        <v>4.4989999999999999E-4</v>
      </c>
      <c r="E14" s="83">
        <v>2.7456900000000002</v>
      </c>
      <c r="F14" s="83">
        <v>0.61739500000000003</v>
      </c>
      <c r="G14" s="83">
        <v>4.4989999999999999E-4</v>
      </c>
      <c r="H14" s="83">
        <v>2.8212600000000001</v>
      </c>
      <c r="I14" s="83">
        <v>0.62231199999999998</v>
      </c>
      <c r="J14" s="83">
        <v>4.4989999999999999E-4</v>
      </c>
      <c r="K14" s="83">
        <v>2.8115899999999998</v>
      </c>
      <c r="L14" s="83">
        <v>0.60958299999999999</v>
      </c>
      <c r="M14" s="83">
        <v>4.4989999999999999E-4</v>
      </c>
      <c r="N14" s="83">
        <v>2.8943099999999999</v>
      </c>
      <c r="O14" s="83">
        <v>0.61641299999999999</v>
      </c>
      <c r="P14" s="83">
        <v>4.4989999999999999E-4</v>
      </c>
      <c r="Q14" s="83">
        <v>2.9533100000000001</v>
      </c>
      <c r="R14" s="83">
        <v>0.61900500000000003</v>
      </c>
      <c r="S14" s="83">
        <v>4.4989999999999999E-4</v>
      </c>
      <c r="T14" s="83">
        <v>3.0174799999999999</v>
      </c>
      <c r="U14" s="83">
        <v>0.622336</v>
      </c>
      <c r="V14" s="83">
        <v>4.4989999999999999E-4</v>
      </c>
      <c r="W14" s="83">
        <v>2.9881199999999999</v>
      </c>
      <c r="X14" s="83">
        <v>0.60550899999999996</v>
      </c>
      <c r="Y14" s="83">
        <v>4.4989999999999999E-4</v>
      </c>
      <c r="Z14" s="83">
        <v>3.0506099999999998</v>
      </c>
      <c r="AA14" s="83">
        <v>0.61775500000000005</v>
      </c>
      <c r="AB14" s="83">
        <v>4.4989999999999999E-4</v>
      </c>
      <c r="AC14" s="83">
        <v>3.0680700000000001</v>
      </c>
      <c r="AD14" s="83">
        <v>0.61383200000000004</v>
      </c>
      <c r="AE14" s="83">
        <v>4.4989999999999999E-4</v>
      </c>
      <c r="AF14" s="83">
        <v>3.08534</v>
      </c>
      <c r="AG14" s="83">
        <v>0.61441000000000001</v>
      </c>
      <c r="AH14" s="83">
        <v>4.4989999999999999E-4</v>
      </c>
      <c r="AI14" s="83">
        <v>3.0975000000000001</v>
      </c>
      <c r="AJ14" s="83">
        <v>0.606993</v>
      </c>
      <c r="AK14" s="83">
        <v>4.4989999999999999E-4</v>
      </c>
      <c r="AL14" s="83">
        <v>3.1107</v>
      </c>
      <c r="AM14" s="83">
        <v>0.60317600000000005</v>
      </c>
      <c r="AN14" s="83">
        <v>4.4989999999999999E-4</v>
      </c>
      <c r="AO14" s="83">
        <v>3.22959</v>
      </c>
      <c r="AP14" s="83">
        <v>0.62633700000000003</v>
      </c>
      <c r="AQ14" s="83">
        <v>4.4989999999999999E-4</v>
      </c>
      <c r="AR14" s="83">
        <v>3.2540200000000001</v>
      </c>
      <c r="AS14" s="83">
        <v>0.622448</v>
      </c>
      <c r="AT14" s="83">
        <v>4.4989999999999999E-4</v>
      </c>
      <c r="AU14" s="83">
        <v>3.1927300000000001</v>
      </c>
      <c r="AV14" s="83">
        <v>0.60302699999999998</v>
      </c>
      <c r="AW14" s="83">
        <v>4.4989999999999999E-4</v>
      </c>
      <c r="AX14" s="83">
        <v>3.2218300000000002</v>
      </c>
      <c r="AY14" s="83">
        <v>0.60244299999999995</v>
      </c>
      <c r="AZ14" s="83">
        <v>4.4989999999999999E-4</v>
      </c>
      <c r="BA14" s="83">
        <v>3.33996</v>
      </c>
      <c r="BB14" s="83">
        <v>0.62372899999999998</v>
      </c>
      <c r="BC14" s="83">
        <v>4.4989999999999999E-4</v>
      </c>
      <c r="BD14" s="83">
        <v>3.3498600000000001</v>
      </c>
      <c r="BE14" s="83">
        <v>0.61687400000000003</v>
      </c>
      <c r="BF14" s="83">
        <v>4.4989999999999999E-4</v>
      </c>
      <c r="BG14" s="83">
        <v>3.3384399999999999</v>
      </c>
      <c r="BH14" s="83">
        <v>0.60735700000000004</v>
      </c>
      <c r="BI14" s="83">
        <v>4.4989999999999999E-4</v>
      </c>
      <c r="BJ14" s="83">
        <v>3.39181</v>
      </c>
      <c r="BK14" s="83">
        <v>0.61445099999999997</v>
      </c>
      <c r="BL14" s="83">
        <v>4.4989999999999999E-4</v>
      </c>
      <c r="BM14" s="83">
        <v>3.47261</v>
      </c>
      <c r="BN14" s="83">
        <v>0.62354299999999996</v>
      </c>
      <c r="BO14" s="83">
        <v>4.4989999999999999E-4</v>
      </c>
      <c r="BP14" s="83">
        <v>3.4515400000000001</v>
      </c>
      <c r="BQ14" s="83">
        <v>0.60922900000000002</v>
      </c>
      <c r="BR14" s="83">
        <v>4.4989999999999999E-4</v>
      </c>
      <c r="BS14" s="83">
        <v>3.4904000000000002</v>
      </c>
      <c r="BT14" s="83">
        <v>0.61424400000000001</v>
      </c>
      <c r="BU14" s="83">
        <v>4.4989999999999999E-4</v>
      </c>
      <c r="BV14" s="83">
        <v>3.6118700000000001</v>
      </c>
      <c r="BW14" s="83">
        <v>0.62754200000000004</v>
      </c>
      <c r="BX14" s="83">
        <v>4.4989999999999999E-4</v>
      </c>
      <c r="BY14" s="83">
        <v>3.5996899999999998</v>
      </c>
      <c r="BZ14" s="83">
        <v>0.61887499999999995</v>
      </c>
      <c r="CA14" s="83">
        <v>4.4989999999999999E-4</v>
      </c>
      <c r="CB14" s="83">
        <v>3.5965600000000002</v>
      </c>
      <c r="CC14" s="83">
        <v>0.60895299999999997</v>
      </c>
      <c r="CD14" s="83">
        <v>4.4989999999999999E-4</v>
      </c>
      <c r="CE14" s="83">
        <v>3.6033599999999999</v>
      </c>
      <c r="CF14" s="83">
        <v>0.60193200000000002</v>
      </c>
      <c r="CG14" s="83">
        <v>4.4989999999999999E-4</v>
      </c>
      <c r="CH14" s="83">
        <v>3.73359</v>
      </c>
      <c r="CI14" s="83">
        <v>0.61867899999999998</v>
      </c>
      <c r="CJ14" s="83">
        <v>4.4989999999999999E-4</v>
      </c>
      <c r="CK14" s="83">
        <v>3.75922</v>
      </c>
      <c r="CL14" s="83">
        <v>0.61974700000000005</v>
      </c>
      <c r="CM14" s="83">
        <v>4.4989999999999999E-4</v>
      </c>
      <c r="CN14" s="83">
        <v>3.7956599999999998</v>
      </c>
      <c r="CO14" s="83">
        <v>0.61918700000000004</v>
      </c>
      <c r="CP14" s="83">
        <v>4.4989999999999999E-4</v>
      </c>
      <c r="CQ14" s="83">
        <v>3.8032599999999999</v>
      </c>
      <c r="CR14" s="83">
        <v>0.61124800000000001</v>
      </c>
      <c r="CS14" s="83">
        <v>4.4989999999999999E-4</v>
      </c>
      <c r="CT14" s="83">
        <v>3.9003199999999998</v>
      </c>
      <c r="CU14" s="83">
        <v>0.62480100000000005</v>
      </c>
      <c r="CV14" s="83">
        <v>4.4989999999999999E-4</v>
      </c>
      <c r="CW14" s="83">
        <v>3.8542900000000002</v>
      </c>
      <c r="CX14" s="83">
        <v>0.60998399999999997</v>
      </c>
    </row>
    <row r="15" spans="1:102" x14ac:dyDescent="0.2">
      <c r="A15" s="83">
        <v>5.4989999999999998E-4</v>
      </c>
      <c r="B15" s="83">
        <v>2.6139700000000001</v>
      </c>
      <c r="C15" s="83">
        <v>0.58007299999999995</v>
      </c>
      <c r="D15" s="83">
        <v>5.4989999999999998E-4</v>
      </c>
      <c r="E15" s="83">
        <v>2.6977699999999998</v>
      </c>
      <c r="F15" s="83">
        <v>0.59587199999999996</v>
      </c>
      <c r="G15" s="83">
        <v>5.4989999999999998E-4</v>
      </c>
      <c r="H15" s="83">
        <v>2.7587799999999998</v>
      </c>
      <c r="I15" s="83">
        <v>0.59850000000000003</v>
      </c>
      <c r="J15" s="83">
        <v>5.4989999999999998E-4</v>
      </c>
      <c r="K15" s="83">
        <v>2.75081</v>
      </c>
      <c r="L15" s="83">
        <v>0.58329600000000004</v>
      </c>
      <c r="M15" s="83">
        <v>5.4989999999999998E-4</v>
      </c>
      <c r="N15" s="83">
        <v>2.8299699999999999</v>
      </c>
      <c r="O15" s="83">
        <v>0.591499</v>
      </c>
      <c r="P15" s="83">
        <v>5.4989999999999998E-4</v>
      </c>
      <c r="Q15" s="83">
        <v>2.90517</v>
      </c>
      <c r="R15" s="83">
        <v>0.59899999999999998</v>
      </c>
      <c r="S15" s="83">
        <v>5.4989999999999998E-4</v>
      </c>
      <c r="T15" s="83">
        <v>2.97099</v>
      </c>
      <c r="U15" s="83">
        <v>0.603294</v>
      </c>
      <c r="V15" s="83">
        <v>5.4989999999999998E-4</v>
      </c>
      <c r="W15" s="83">
        <v>2.9291</v>
      </c>
      <c r="X15" s="83">
        <v>0.58068900000000001</v>
      </c>
      <c r="Y15" s="83">
        <v>5.4989999999999998E-4</v>
      </c>
      <c r="Z15" s="83">
        <v>3.0030100000000002</v>
      </c>
      <c r="AA15" s="83">
        <v>0.59791099999999997</v>
      </c>
      <c r="AB15" s="83">
        <v>5.4989999999999998E-4</v>
      </c>
      <c r="AC15" s="83">
        <v>2.9996100000000001</v>
      </c>
      <c r="AD15" s="83">
        <v>0.58857800000000005</v>
      </c>
      <c r="AE15" s="83">
        <v>5.4989999999999998E-4</v>
      </c>
      <c r="AF15" s="83">
        <v>3.03701</v>
      </c>
      <c r="AG15" s="83">
        <v>0.59392599999999995</v>
      </c>
      <c r="AH15" s="83">
        <v>5.4989999999999998E-4</v>
      </c>
      <c r="AI15" s="83">
        <v>3.0323600000000002</v>
      </c>
      <c r="AJ15" s="83">
        <v>0.581453</v>
      </c>
      <c r="AK15" s="83">
        <v>5.4989999999999998E-4</v>
      </c>
      <c r="AL15" s="83">
        <v>3.0438499999999999</v>
      </c>
      <c r="AM15" s="83">
        <v>0.57716999999999996</v>
      </c>
      <c r="AN15" s="83">
        <v>5.4989999999999998E-4</v>
      </c>
      <c r="AO15" s="83">
        <v>3.1736900000000001</v>
      </c>
      <c r="AP15" s="83">
        <v>0.60795200000000005</v>
      </c>
      <c r="AQ15" s="83">
        <v>5.4989999999999998E-4</v>
      </c>
      <c r="AR15" s="83">
        <v>3.17991</v>
      </c>
      <c r="AS15" s="83">
        <v>0.59935099999999997</v>
      </c>
      <c r="AT15" s="83">
        <v>5.4989999999999998E-4</v>
      </c>
      <c r="AU15" s="83">
        <v>3.1228199999999999</v>
      </c>
      <c r="AV15" s="83">
        <v>0.57660199999999995</v>
      </c>
      <c r="AW15" s="83">
        <v>5.4989999999999998E-4</v>
      </c>
      <c r="AX15" s="83">
        <v>3.1491899999999999</v>
      </c>
      <c r="AY15" s="83">
        <v>0.57549700000000004</v>
      </c>
      <c r="AZ15" s="83">
        <v>5.4989999999999998E-4</v>
      </c>
      <c r="BA15" s="83">
        <v>3.27948</v>
      </c>
      <c r="BB15" s="83">
        <v>0.60433300000000001</v>
      </c>
      <c r="BC15" s="83">
        <v>5.4989999999999998E-4</v>
      </c>
      <c r="BD15" s="83">
        <v>3.27162</v>
      </c>
      <c r="BE15" s="83">
        <v>0.59245999999999999</v>
      </c>
      <c r="BF15" s="83">
        <v>5.4989999999999998E-4</v>
      </c>
      <c r="BG15" s="83">
        <v>3.2591299999999999</v>
      </c>
      <c r="BH15" s="83">
        <v>0.58077999999999996</v>
      </c>
      <c r="BI15" s="83">
        <v>5.4989999999999998E-4</v>
      </c>
      <c r="BJ15" s="83">
        <v>3.3331</v>
      </c>
      <c r="BK15" s="83">
        <v>0.59396400000000005</v>
      </c>
      <c r="BL15" s="83">
        <v>5.4989999999999998E-4</v>
      </c>
      <c r="BM15" s="83">
        <v>3.40849</v>
      </c>
      <c r="BN15" s="83">
        <v>0.604325</v>
      </c>
      <c r="BO15" s="83">
        <v>5.4989999999999998E-4</v>
      </c>
      <c r="BP15" s="83">
        <v>3.3734299999999999</v>
      </c>
      <c r="BQ15" s="83">
        <v>0.58530800000000005</v>
      </c>
      <c r="BR15" s="83">
        <v>5.4989999999999998E-4</v>
      </c>
      <c r="BS15" s="83">
        <v>3.4293800000000001</v>
      </c>
      <c r="BT15" s="83">
        <v>0.59362899999999996</v>
      </c>
      <c r="BU15" s="83">
        <v>5.4989999999999998E-4</v>
      </c>
      <c r="BV15" s="83">
        <v>3.5425900000000001</v>
      </c>
      <c r="BW15" s="83">
        <v>0.60894000000000004</v>
      </c>
      <c r="BX15" s="83">
        <v>5.4989999999999998E-4</v>
      </c>
      <c r="BY15" s="83">
        <v>3.5279500000000001</v>
      </c>
      <c r="BZ15" s="83">
        <v>0.597688</v>
      </c>
      <c r="CA15" s="83">
        <v>5.4989999999999998E-4</v>
      </c>
      <c r="CB15" s="83">
        <v>3.5041199999999999</v>
      </c>
      <c r="CC15" s="83">
        <v>0.58186700000000002</v>
      </c>
      <c r="CD15" s="83">
        <v>5.4989999999999998E-4</v>
      </c>
      <c r="CE15" s="83">
        <v>3.5118299999999998</v>
      </c>
      <c r="CF15" s="83">
        <v>0.57421199999999994</v>
      </c>
      <c r="CG15" s="83">
        <v>5.4989999999999998E-4</v>
      </c>
      <c r="CH15" s="83">
        <v>3.6351200000000001</v>
      </c>
      <c r="CI15" s="83">
        <v>0.59335199999999999</v>
      </c>
      <c r="CJ15" s="83">
        <v>5.4989999999999998E-4</v>
      </c>
      <c r="CK15" s="83">
        <v>3.6825000000000001</v>
      </c>
      <c r="CL15" s="83">
        <v>0.59826999999999997</v>
      </c>
      <c r="CM15" s="83">
        <v>5.4989999999999998E-4</v>
      </c>
      <c r="CN15" s="83">
        <v>3.7142200000000001</v>
      </c>
      <c r="CO15" s="83">
        <v>0.59678900000000001</v>
      </c>
      <c r="CP15" s="83">
        <v>5.4989999999999998E-4</v>
      </c>
      <c r="CQ15" s="83">
        <v>3.7037100000000001</v>
      </c>
      <c r="CR15" s="83">
        <v>0.58469000000000004</v>
      </c>
      <c r="CS15" s="83">
        <v>5.4989999999999998E-4</v>
      </c>
      <c r="CT15" s="83">
        <v>3.8124400000000001</v>
      </c>
      <c r="CU15" s="83">
        <v>0.60306899999999997</v>
      </c>
      <c r="CV15" s="83">
        <v>5.4989999999999998E-4</v>
      </c>
      <c r="CW15" s="83">
        <v>3.7495599999999998</v>
      </c>
      <c r="CX15" s="83">
        <v>0.58228100000000005</v>
      </c>
    </row>
    <row r="16" spans="1:102" x14ac:dyDescent="0.2">
      <c r="A16" s="83">
        <v>6.4990000000000002E-4</v>
      </c>
      <c r="B16" s="83">
        <v>2.5395300000000001</v>
      </c>
      <c r="C16" s="83">
        <v>0.54570700000000005</v>
      </c>
      <c r="D16" s="83">
        <v>6.4990000000000002E-4</v>
      </c>
      <c r="E16" s="83">
        <v>2.62982</v>
      </c>
      <c r="F16" s="83">
        <v>0.56479800000000002</v>
      </c>
      <c r="G16" s="83">
        <v>6.4990000000000002E-4</v>
      </c>
      <c r="H16" s="83">
        <v>2.68154</v>
      </c>
      <c r="I16" s="83">
        <v>0.56527799999999995</v>
      </c>
      <c r="J16" s="83">
        <v>6.4990000000000002E-4</v>
      </c>
      <c r="K16" s="83">
        <v>2.6736300000000002</v>
      </c>
      <c r="L16" s="83">
        <v>0.54946799999999996</v>
      </c>
      <c r="M16" s="83">
        <v>6.4990000000000002E-4</v>
      </c>
      <c r="N16" s="83">
        <v>2.7518699999999998</v>
      </c>
      <c r="O16" s="83">
        <v>0.55818699999999999</v>
      </c>
      <c r="P16" s="83">
        <v>6.4990000000000002E-4</v>
      </c>
      <c r="Q16" s="83">
        <v>2.8296100000000002</v>
      </c>
      <c r="R16" s="83">
        <v>0.56814900000000002</v>
      </c>
      <c r="S16" s="83">
        <v>6.4990000000000002E-4</v>
      </c>
      <c r="T16" s="83">
        <v>2.89175</v>
      </c>
      <c r="U16" s="83">
        <v>0.57186400000000004</v>
      </c>
      <c r="V16" s="83">
        <v>6.4990000000000002E-4</v>
      </c>
      <c r="W16" s="83">
        <v>2.8495200000000001</v>
      </c>
      <c r="X16" s="83">
        <v>0.54772100000000001</v>
      </c>
      <c r="Y16" s="83">
        <v>6.4990000000000002E-4</v>
      </c>
      <c r="Z16" s="83">
        <v>2.9241100000000002</v>
      </c>
      <c r="AA16" s="83">
        <v>0.56659300000000001</v>
      </c>
      <c r="AB16" s="83">
        <v>6.4990000000000002E-4</v>
      </c>
      <c r="AC16" s="83">
        <v>2.9163999999999999</v>
      </c>
      <c r="AD16" s="83">
        <v>0.55524399999999996</v>
      </c>
      <c r="AE16" s="83">
        <v>6.4990000000000002E-4</v>
      </c>
      <c r="AF16" s="83">
        <v>2.9586899999999998</v>
      </c>
      <c r="AG16" s="83">
        <v>0.56289800000000001</v>
      </c>
      <c r="AH16" s="83">
        <v>6.4990000000000002E-4</v>
      </c>
      <c r="AI16" s="83">
        <v>2.9481299999999999</v>
      </c>
      <c r="AJ16" s="83">
        <v>0.54887200000000003</v>
      </c>
      <c r="AK16" s="83">
        <v>6.4990000000000002E-4</v>
      </c>
      <c r="AL16" s="83">
        <v>2.9578700000000002</v>
      </c>
      <c r="AM16" s="83">
        <v>0.54417700000000002</v>
      </c>
      <c r="AN16" s="83">
        <v>6.4990000000000002E-4</v>
      </c>
      <c r="AO16" s="83">
        <v>3.0881599999999998</v>
      </c>
      <c r="AP16" s="83">
        <v>0.57820199999999999</v>
      </c>
      <c r="AQ16" s="83">
        <v>6.4990000000000002E-4</v>
      </c>
      <c r="AR16" s="83">
        <v>3.0897800000000002</v>
      </c>
      <c r="AS16" s="83">
        <v>0.567245</v>
      </c>
      <c r="AT16" s="83">
        <v>6.4990000000000002E-4</v>
      </c>
      <c r="AU16" s="83">
        <v>3.0321699999999998</v>
      </c>
      <c r="AV16" s="83">
        <v>0.54340200000000005</v>
      </c>
      <c r="AW16" s="83">
        <v>6.4990000000000002E-4</v>
      </c>
      <c r="AX16" s="83">
        <v>3.0579000000000001</v>
      </c>
      <c r="AY16" s="83">
        <v>0.54267799999999999</v>
      </c>
      <c r="AZ16" s="83">
        <v>6.4990000000000002E-4</v>
      </c>
      <c r="BA16" s="83">
        <v>3.1888299999999998</v>
      </c>
      <c r="BB16" s="83">
        <v>0.57418400000000003</v>
      </c>
      <c r="BC16" s="83">
        <v>6.4990000000000002E-4</v>
      </c>
      <c r="BD16" s="83">
        <v>3.1728200000000002</v>
      </c>
      <c r="BE16" s="83">
        <v>0.55916299999999997</v>
      </c>
      <c r="BF16" s="83">
        <v>6.4990000000000002E-4</v>
      </c>
      <c r="BG16" s="83">
        <v>3.1590500000000001</v>
      </c>
      <c r="BH16" s="83">
        <v>0.54709200000000002</v>
      </c>
      <c r="BI16" s="83">
        <v>6.4990000000000002E-4</v>
      </c>
      <c r="BJ16" s="83">
        <v>3.2387000000000001</v>
      </c>
      <c r="BK16" s="83">
        <v>0.56266000000000005</v>
      </c>
      <c r="BL16" s="83">
        <v>6.4990000000000002E-4</v>
      </c>
      <c r="BM16" s="83">
        <v>3.3092100000000002</v>
      </c>
      <c r="BN16" s="83">
        <v>0.573434</v>
      </c>
      <c r="BO16" s="83">
        <v>6.4990000000000002E-4</v>
      </c>
      <c r="BP16" s="83">
        <v>3.2749199999999998</v>
      </c>
      <c r="BQ16" s="83">
        <v>0.55372100000000002</v>
      </c>
      <c r="BR16" s="83">
        <v>6.4990000000000002E-4</v>
      </c>
      <c r="BS16" s="83">
        <v>3.3287300000000002</v>
      </c>
      <c r="BT16" s="83">
        <v>0.56187799999999999</v>
      </c>
      <c r="BU16" s="83">
        <v>6.4990000000000002E-4</v>
      </c>
      <c r="BV16" s="83">
        <v>3.4394300000000002</v>
      </c>
      <c r="BW16" s="83">
        <v>0.57914500000000002</v>
      </c>
      <c r="BX16" s="83">
        <v>6.4990000000000002E-4</v>
      </c>
      <c r="BY16" s="83">
        <v>3.4221400000000002</v>
      </c>
      <c r="BZ16" s="83">
        <v>0.56617499999999998</v>
      </c>
      <c r="CA16" s="83">
        <v>6.4990000000000002E-4</v>
      </c>
      <c r="CB16" s="83">
        <v>3.3902299999999999</v>
      </c>
      <c r="CC16" s="83">
        <v>0.54778899999999997</v>
      </c>
      <c r="CD16" s="83">
        <v>6.4990000000000002E-4</v>
      </c>
      <c r="CE16" s="83">
        <v>3.3970699999999998</v>
      </c>
      <c r="CF16" s="83">
        <v>0.54095199999999999</v>
      </c>
      <c r="CG16" s="83">
        <v>6.4990000000000002E-4</v>
      </c>
      <c r="CH16" s="83">
        <v>3.51816</v>
      </c>
      <c r="CI16" s="83">
        <v>0.56017300000000003</v>
      </c>
      <c r="CJ16" s="83">
        <v>6.4990000000000002E-4</v>
      </c>
      <c r="CK16" s="83">
        <v>3.5680499999999999</v>
      </c>
      <c r="CL16" s="83">
        <v>0.56603899999999996</v>
      </c>
      <c r="CM16" s="83">
        <v>6.4990000000000002E-4</v>
      </c>
      <c r="CN16" s="83">
        <v>3.5931899999999999</v>
      </c>
      <c r="CO16" s="83">
        <v>0.56331900000000001</v>
      </c>
      <c r="CP16" s="83">
        <v>6.4990000000000002E-4</v>
      </c>
      <c r="CQ16" s="83">
        <v>3.5828799999999998</v>
      </c>
      <c r="CR16" s="83">
        <v>0.55163600000000002</v>
      </c>
      <c r="CS16" s="83">
        <v>6.4990000000000002E-4</v>
      </c>
      <c r="CT16" s="83">
        <v>3.6897899999999999</v>
      </c>
      <c r="CU16" s="83">
        <v>0.570801</v>
      </c>
      <c r="CV16" s="83">
        <v>6.4990000000000002E-4</v>
      </c>
      <c r="CW16" s="83">
        <v>3.6247400000000001</v>
      </c>
      <c r="CX16" s="83">
        <v>0.54947500000000005</v>
      </c>
    </row>
    <row r="17" spans="1:102" x14ac:dyDescent="0.2">
      <c r="A17" s="83">
        <v>7.4989999999999996E-4</v>
      </c>
      <c r="B17" s="83">
        <v>2.4653299999999998</v>
      </c>
      <c r="C17" s="83">
        <v>0.51364699999999996</v>
      </c>
      <c r="D17" s="83">
        <v>7.4989999999999996E-4</v>
      </c>
      <c r="E17" s="83">
        <v>2.5561500000000001</v>
      </c>
      <c r="F17" s="83">
        <v>0.53166400000000003</v>
      </c>
      <c r="G17" s="83">
        <v>7.4989999999999996E-4</v>
      </c>
      <c r="H17" s="83">
        <v>2.6030600000000002</v>
      </c>
      <c r="I17" s="83">
        <v>0.53090800000000005</v>
      </c>
      <c r="J17" s="83">
        <v>7.4989999999999996E-4</v>
      </c>
      <c r="K17" s="83">
        <v>2.5959300000000001</v>
      </c>
      <c r="L17" s="83">
        <v>0.51698</v>
      </c>
      <c r="M17" s="83">
        <v>7.4989999999999996E-4</v>
      </c>
      <c r="N17" s="83">
        <v>2.67103</v>
      </c>
      <c r="O17" s="83">
        <v>0.52473800000000004</v>
      </c>
      <c r="P17" s="83">
        <v>7.4989999999999996E-4</v>
      </c>
      <c r="Q17" s="83">
        <v>2.7500499999999999</v>
      </c>
      <c r="R17" s="83">
        <v>0.53521300000000005</v>
      </c>
      <c r="S17" s="83">
        <v>7.4989999999999996E-4</v>
      </c>
      <c r="T17" s="83">
        <v>2.8072699999999999</v>
      </c>
      <c r="U17" s="83">
        <v>0.53764199999999995</v>
      </c>
      <c r="V17" s="83">
        <v>7.4989999999999996E-4</v>
      </c>
      <c r="W17" s="83">
        <v>2.7662800000000001</v>
      </c>
      <c r="X17" s="83">
        <v>0.51578299999999999</v>
      </c>
      <c r="Y17" s="83">
        <v>7.4989999999999996E-4</v>
      </c>
      <c r="Z17" s="83">
        <v>2.8381599999999998</v>
      </c>
      <c r="AA17" s="83">
        <v>0.53276999999999997</v>
      </c>
      <c r="AB17" s="83">
        <v>7.4989999999999996E-4</v>
      </c>
      <c r="AC17" s="83">
        <v>2.8278400000000001</v>
      </c>
      <c r="AD17" s="83">
        <v>0.52173999999999998</v>
      </c>
      <c r="AE17" s="83">
        <v>7.4989999999999996E-4</v>
      </c>
      <c r="AF17" s="83">
        <v>2.87277</v>
      </c>
      <c r="AG17" s="83">
        <v>0.52976900000000005</v>
      </c>
      <c r="AH17" s="83">
        <v>7.4989999999999996E-4</v>
      </c>
      <c r="AI17" s="83">
        <v>2.8588</v>
      </c>
      <c r="AJ17" s="83">
        <v>0.51634500000000005</v>
      </c>
      <c r="AK17" s="83">
        <v>7.4989999999999996E-4</v>
      </c>
      <c r="AL17" s="83">
        <v>2.8673500000000001</v>
      </c>
      <c r="AM17" s="83">
        <v>0.51213699999999995</v>
      </c>
      <c r="AN17" s="83">
        <v>7.4989999999999996E-4</v>
      </c>
      <c r="AO17" s="83">
        <v>2.99566</v>
      </c>
      <c r="AP17" s="83">
        <v>0.54416500000000001</v>
      </c>
      <c r="AQ17" s="83">
        <v>7.4989999999999996E-4</v>
      </c>
      <c r="AR17" s="83">
        <v>2.9945599999999999</v>
      </c>
      <c r="AS17" s="83">
        <v>0.53325100000000003</v>
      </c>
      <c r="AT17" s="83">
        <v>7.4989999999999996E-4</v>
      </c>
      <c r="AU17" s="83">
        <v>2.9376799999999998</v>
      </c>
      <c r="AV17" s="83">
        <v>0.511598</v>
      </c>
      <c r="AW17" s="83">
        <v>7.4989999999999996E-4</v>
      </c>
      <c r="AX17" s="83">
        <v>2.9609999999999999</v>
      </c>
      <c r="AY17" s="83">
        <v>0.51037900000000003</v>
      </c>
      <c r="AZ17" s="83">
        <v>7.4989999999999996E-4</v>
      </c>
      <c r="BA17" s="83">
        <v>3.0918700000000001</v>
      </c>
      <c r="BB17" s="83">
        <v>0.54064299999999998</v>
      </c>
      <c r="BC17" s="83">
        <v>7.4989999999999996E-4</v>
      </c>
      <c r="BD17" s="83">
        <v>3.0712999999999999</v>
      </c>
      <c r="BE17" s="83">
        <v>0.52548799999999996</v>
      </c>
      <c r="BF17" s="83">
        <v>7.4989999999999996E-4</v>
      </c>
      <c r="BG17" s="83">
        <v>3.0560299999999998</v>
      </c>
      <c r="BH17" s="83">
        <v>0.51447900000000002</v>
      </c>
      <c r="BI17" s="83">
        <v>7.4989999999999996E-4</v>
      </c>
      <c r="BJ17" s="83">
        <v>3.1360100000000002</v>
      </c>
      <c r="BK17" s="83">
        <v>0.52963400000000005</v>
      </c>
      <c r="BL17" s="83">
        <v>7.4989999999999996E-4</v>
      </c>
      <c r="BM17" s="83">
        <v>3.2014</v>
      </c>
      <c r="BN17" s="83">
        <v>0.53911500000000001</v>
      </c>
      <c r="BO17" s="83">
        <v>7.4989999999999996E-4</v>
      </c>
      <c r="BP17" s="83">
        <v>3.1686100000000001</v>
      </c>
      <c r="BQ17" s="83">
        <v>0.52138099999999998</v>
      </c>
      <c r="BR17" s="83">
        <v>7.4989999999999996E-4</v>
      </c>
      <c r="BS17" s="83">
        <v>3.2201300000000002</v>
      </c>
      <c r="BT17" s="83">
        <v>0.52875399999999995</v>
      </c>
      <c r="BU17" s="83">
        <v>7.4989999999999996E-4</v>
      </c>
      <c r="BV17" s="83">
        <v>3.32945</v>
      </c>
      <c r="BW17" s="83">
        <v>0.54578199999999999</v>
      </c>
      <c r="BX17" s="83">
        <v>7.4989999999999996E-4</v>
      </c>
      <c r="BY17" s="83">
        <v>3.3105699999999998</v>
      </c>
      <c r="BZ17" s="83">
        <v>0.53327899999999995</v>
      </c>
      <c r="CA17" s="83">
        <v>7.4989999999999996E-4</v>
      </c>
      <c r="CB17" s="83">
        <v>3.2735400000000001</v>
      </c>
      <c r="CC17" s="83">
        <v>0.51545099999999999</v>
      </c>
      <c r="CD17" s="83">
        <v>7.4989999999999996E-4</v>
      </c>
      <c r="CE17" s="83">
        <v>3.2818399999999999</v>
      </c>
      <c r="CF17" s="83">
        <v>0.51036400000000004</v>
      </c>
      <c r="CG17" s="83">
        <v>7.4989999999999996E-4</v>
      </c>
      <c r="CH17" s="83">
        <v>3.3978899999999999</v>
      </c>
      <c r="CI17" s="83">
        <v>0.527389</v>
      </c>
      <c r="CJ17" s="83">
        <v>7.4989999999999996E-4</v>
      </c>
      <c r="CK17" s="83">
        <v>3.4456899999999999</v>
      </c>
      <c r="CL17" s="83">
        <v>0.53269900000000003</v>
      </c>
      <c r="CM17" s="83">
        <v>7.4989999999999996E-4</v>
      </c>
      <c r="CN17" s="83">
        <v>3.4664199999999998</v>
      </c>
      <c r="CO17" s="83">
        <v>0.52951599999999999</v>
      </c>
      <c r="CP17" s="83">
        <v>7.4989999999999996E-4</v>
      </c>
      <c r="CQ17" s="83">
        <v>3.4550200000000002</v>
      </c>
      <c r="CR17" s="83">
        <v>0.51902999999999999</v>
      </c>
      <c r="CS17" s="83">
        <v>7.4989999999999996E-4</v>
      </c>
      <c r="CT17" s="83">
        <v>3.5589499999999998</v>
      </c>
      <c r="CU17" s="83">
        <v>0.53675300000000004</v>
      </c>
      <c r="CV17" s="83">
        <v>7.4989999999999996E-4</v>
      </c>
      <c r="CW17" s="83">
        <v>3.4943200000000001</v>
      </c>
      <c r="CX17" s="83">
        <v>0.51740699999999995</v>
      </c>
    </row>
    <row r="18" spans="1:102" x14ac:dyDescent="0.2">
      <c r="A18" s="83">
        <v>8.499E-4</v>
      </c>
      <c r="B18" s="83">
        <v>2.3893300000000002</v>
      </c>
      <c r="C18" s="83">
        <v>0.48343900000000001</v>
      </c>
      <c r="D18" s="83">
        <v>8.499E-4</v>
      </c>
      <c r="E18" s="83">
        <v>2.4792100000000001</v>
      </c>
      <c r="F18" s="83">
        <v>0.50006700000000004</v>
      </c>
      <c r="G18" s="83">
        <v>8.499E-4</v>
      </c>
      <c r="H18" s="83">
        <v>2.52251</v>
      </c>
      <c r="I18" s="83">
        <v>0.49895800000000001</v>
      </c>
      <c r="J18" s="83">
        <v>8.499E-4</v>
      </c>
      <c r="K18" s="83">
        <v>2.5162200000000001</v>
      </c>
      <c r="L18" s="83">
        <v>0.48657099999999998</v>
      </c>
      <c r="M18" s="83">
        <v>8.499E-4</v>
      </c>
      <c r="N18" s="83">
        <v>2.5888300000000002</v>
      </c>
      <c r="O18" s="83">
        <v>0.49351800000000001</v>
      </c>
      <c r="P18" s="83">
        <v>8.499E-4</v>
      </c>
      <c r="Q18" s="83">
        <v>2.66818</v>
      </c>
      <c r="R18" s="83">
        <v>0.50372600000000001</v>
      </c>
      <c r="S18" s="83">
        <v>8.499E-4</v>
      </c>
      <c r="T18" s="83">
        <v>2.7208600000000001</v>
      </c>
      <c r="U18" s="83">
        <v>0.50505</v>
      </c>
      <c r="V18" s="83">
        <v>8.499E-4</v>
      </c>
      <c r="W18" s="83">
        <v>2.6818200000000001</v>
      </c>
      <c r="X18" s="83">
        <v>0.48614299999999999</v>
      </c>
      <c r="Y18" s="83">
        <v>8.499E-4</v>
      </c>
      <c r="Z18" s="83">
        <v>2.7493599999999998</v>
      </c>
      <c r="AA18" s="83">
        <v>0.50057499999999999</v>
      </c>
      <c r="AB18" s="83">
        <v>8.499E-4</v>
      </c>
      <c r="AC18" s="83">
        <v>2.73813</v>
      </c>
      <c r="AD18" s="83">
        <v>0.490595</v>
      </c>
      <c r="AE18" s="83">
        <v>8.499E-4</v>
      </c>
      <c r="AF18" s="83">
        <v>2.7827999999999999</v>
      </c>
      <c r="AG18" s="83">
        <v>0.49814799999999998</v>
      </c>
      <c r="AH18" s="83">
        <v>8.499E-4</v>
      </c>
      <c r="AI18" s="83">
        <v>2.7678099999999999</v>
      </c>
      <c r="AJ18" s="83">
        <v>0.48611900000000002</v>
      </c>
      <c r="AK18" s="83">
        <v>8.499E-4</v>
      </c>
      <c r="AL18" s="83">
        <v>2.7751100000000002</v>
      </c>
      <c r="AM18" s="83">
        <v>0.482325</v>
      </c>
      <c r="AN18" s="83">
        <v>8.499E-4</v>
      </c>
      <c r="AO18" s="83">
        <v>2.9012600000000002</v>
      </c>
      <c r="AP18" s="83">
        <v>0.51186200000000004</v>
      </c>
      <c r="AQ18" s="83">
        <v>8.499E-4</v>
      </c>
      <c r="AR18" s="83">
        <v>2.8966599999999998</v>
      </c>
      <c r="AS18" s="83">
        <v>0.50097499999999995</v>
      </c>
      <c r="AT18" s="83">
        <v>8.499E-4</v>
      </c>
      <c r="AU18" s="83">
        <v>2.84084</v>
      </c>
      <c r="AV18" s="83">
        <v>0.48168800000000001</v>
      </c>
      <c r="AW18" s="83">
        <v>8.499E-4</v>
      </c>
      <c r="AX18" s="83">
        <v>2.8610699999999998</v>
      </c>
      <c r="AY18" s="83">
        <v>0.480101</v>
      </c>
      <c r="AZ18" s="83">
        <v>8.499E-4</v>
      </c>
      <c r="BA18" s="83">
        <v>2.9917099999999999</v>
      </c>
      <c r="BB18" s="83">
        <v>0.508606</v>
      </c>
      <c r="BC18" s="83">
        <v>8.499E-4</v>
      </c>
      <c r="BD18" s="83">
        <v>2.9670899999999998</v>
      </c>
      <c r="BE18" s="83">
        <v>0.49426199999999998</v>
      </c>
      <c r="BF18" s="83">
        <v>8.499E-4</v>
      </c>
      <c r="BG18" s="83">
        <v>2.9516100000000001</v>
      </c>
      <c r="BH18" s="83">
        <v>0.48470600000000003</v>
      </c>
      <c r="BI18" s="83">
        <v>8.499E-4</v>
      </c>
      <c r="BJ18" s="83">
        <v>3.0303900000000001</v>
      </c>
      <c r="BK18" s="83">
        <v>0.49853199999999998</v>
      </c>
      <c r="BL18" s="83">
        <v>8.499E-4</v>
      </c>
      <c r="BM18" s="83">
        <v>3.0926300000000002</v>
      </c>
      <c r="BN18" s="83">
        <v>0.50690800000000003</v>
      </c>
      <c r="BO18" s="83">
        <v>8.499E-4</v>
      </c>
      <c r="BP18" s="83">
        <v>3.0581399999999999</v>
      </c>
      <c r="BQ18" s="83">
        <v>0.49047600000000002</v>
      </c>
      <c r="BR18" s="83">
        <v>8.499E-4</v>
      </c>
      <c r="BS18" s="83">
        <v>3.1093999999999999</v>
      </c>
      <c r="BT18" s="83">
        <v>0.49757400000000002</v>
      </c>
      <c r="BU18" s="83">
        <v>8.499E-4</v>
      </c>
      <c r="BV18" s="83">
        <v>3.2140300000000002</v>
      </c>
      <c r="BW18" s="83">
        <v>0.51313299999999995</v>
      </c>
      <c r="BX18" s="83">
        <v>8.499E-4</v>
      </c>
      <c r="BY18" s="83">
        <v>3.1939000000000002</v>
      </c>
      <c r="BZ18" s="83">
        <v>0.50153499999999995</v>
      </c>
      <c r="CA18" s="83">
        <v>8.499E-4</v>
      </c>
      <c r="CB18" s="83">
        <v>3.1553399999999998</v>
      </c>
      <c r="CC18" s="83">
        <v>0.48514200000000002</v>
      </c>
      <c r="CD18" s="83">
        <v>8.499E-4</v>
      </c>
      <c r="CE18" s="83">
        <v>3.1630600000000002</v>
      </c>
      <c r="CF18" s="83">
        <v>0.480431</v>
      </c>
      <c r="CG18" s="83">
        <v>8.499E-4</v>
      </c>
      <c r="CH18" s="83">
        <v>3.2748200000000001</v>
      </c>
      <c r="CI18" s="83">
        <v>0.496614</v>
      </c>
      <c r="CJ18" s="83">
        <v>8.499E-4</v>
      </c>
      <c r="CK18" s="83">
        <v>3.3204799999999999</v>
      </c>
      <c r="CL18" s="83">
        <v>0.50132600000000005</v>
      </c>
      <c r="CM18" s="83">
        <v>8.499E-4</v>
      </c>
      <c r="CN18" s="83">
        <v>3.3374700000000002</v>
      </c>
      <c r="CO18" s="83">
        <v>0.49823699999999999</v>
      </c>
      <c r="CP18" s="83">
        <v>8.499E-4</v>
      </c>
      <c r="CQ18" s="83">
        <v>3.3244500000000001</v>
      </c>
      <c r="CR18" s="83">
        <v>0.488763</v>
      </c>
      <c r="CS18" s="83">
        <v>8.499E-4</v>
      </c>
      <c r="CT18" s="83">
        <v>3.4255399999999998</v>
      </c>
      <c r="CU18" s="83">
        <v>0.50496700000000005</v>
      </c>
      <c r="CV18" s="83">
        <v>8.499E-4</v>
      </c>
      <c r="CW18" s="83">
        <v>3.3584000000000001</v>
      </c>
      <c r="CX18" s="83">
        <v>0.486844</v>
      </c>
    </row>
    <row r="19" spans="1:102" x14ac:dyDescent="0.2">
      <c r="A19" s="83">
        <v>9.4990000000000005E-4</v>
      </c>
      <c r="B19" s="83">
        <v>2.3133499999999998</v>
      </c>
      <c r="C19" s="83">
        <v>0.454789</v>
      </c>
      <c r="D19" s="83">
        <v>9.4990000000000005E-4</v>
      </c>
      <c r="E19" s="83">
        <v>2.4016299999999999</v>
      </c>
      <c r="F19" s="83">
        <v>0.47068599999999999</v>
      </c>
      <c r="G19" s="83">
        <v>9.4990000000000005E-4</v>
      </c>
      <c r="H19" s="83">
        <v>2.4416199999999999</v>
      </c>
      <c r="I19" s="83">
        <v>0.46919499999999997</v>
      </c>
      <c r="J19" s="83">
        <v>9.4990000000000005E-4</v>
      </c>
      <c r="K19" s="83">
        <v>2.43614</v>
      </c>
      <c r="L19" s="83">
        <v>0.458117</v>
      </c>
      <c r="M19" s="83">
        <v>9.4990000000000005E-4</v>
      </c>
      <c r="N19" s="83">
        <v>2.5068100000000002</v>
      </c>
      <c r="O19" s="83">
        <v>0.46484399999999998</v>
      </c>
      <c r="P19" s="83">
        <v>9.4990000000000005E-4</v>
      </c>
      <c r="Q19" s="83">
        <v>2.5849700000000002</v>
      </c>
      <c r="R19" s="83">
        <v>0.47422999999999998</v>
      </c>
      <c r="S19" s="83">
        <v>9.4990000000000005E-4</v>
      </c>
      <c r="T19" s="83">
        <v>2.6349200000000002</v>
      </c>
      <c r="U19" s="83">
        <v>0.47534900000000002</v>
      </c>
      <c r="V19" s="83">
        <v>9.4990000000000005E-4</v>
      </c>
      <c r="W19" s="83">
        <v>2.5980500000000002</v>
      </c>
      <c r="X19" s="83">
        <v>0.45837299999999997</v>
      </c>
      <c r="Y19" s="83">
        <v>9.4990000000000005E-4</v>
      </c>
      <c r="Z19" s="83">
        <v>2.6602199999999998</v>
      </c>
      <c r="AA19" s="83">
        <v>0.47097299999999997</v>
      </c>
      <c r="AB19" s="83">
        <v>9.4990000000000005E-4</v>
      </c>
      <c r="AC19" s="83">
        <v>2.6491600000000002</v>
      </c>
      <c r="AD19" s="83">
        <v>0.46168399999999998</v>
      </c>
      <c r="AE19" s="83">
        <v>9.4990000000000005E-4</v>
      </c>
      <c r="AF19" s="83">
        <v>2.69278</v>
      </c>
      <c r="AG19" s="83">
        <v>0.46889999999999998</v>
      </c>
      <c r="AH19" s="83">
        <v>9.4990000000000005E-4</v>
      </c>
      <c r="AI19" s="83">
        <v>2.6760600000000001</v>
      </c>
      <c r="AJ19" s="83">
        <v>0.457478</v>
      </c>
      <c r="AK19" s="83">
        <v>9.4990000000000005E-4</v>
      </c>
      <c r="AL19" s="83">
        <v>2.6838199999999999</v>
      </c>
      <c r="AM19" s="83">
        <v>0.45449800000000001</v>
      </c>
      <c r="AN19" s="83">
        <v>9.4990000000000005E-4</v>
      </c>
      <c r="AO19" s="83">
        <v>2.80653</v>
      </c>
      <c r="AP19" s="83">
        <v>0.48179499999999997</v>
      </c>
      <c r="AQ19" s="83">
        <v>9.4990000000000005E-4</v>
      </c>
      <c r="AR19" s="83">
        <v>2.7976700000000001</v>
      </c>
      <c r="AS19" s="83">
        <v>0.471219</v>
      </c>
      <c r="AT19" s="83">
        <v>9.4990000000000005E-4</v>
      </c>
      <c r="AU19" s="83">
        <v>2.7441599999999999</v>
      </c>
      <c r="AV19" s="83">
        <v>0.453627</v>
      </c>
      <c r="AW19" s="83">
        <v>9.4990000000000005E-4</v>
      </c>
      <c r="AX19" s="83">
        <v>2.7604099999999998</v>
      </c>
      <c r="AY19" s="83">
        <v>0.45159100000000002</v>
      </c>
      <c r="AZ19" s="83">
        <v>9.4990000000000005E-4</v>
      </c>
      <c r="BA19" s="83">
        <v>2.8902000000000001</v>
      </c>
      <c r="BB19" s="83">
        <v>0.47880899999999998</v>
      </c>
      <c r="BC19" s="83">
        <v>9.4990000000000005E-4</v>
      </c>
      <c r="BD19" s="83">
        <v>2.8631500000000001</v>
      </c>
      <c r="BE19" s="83">
        <v>0.46515000000000001</v>
      </c>
      <c r="BF19" s="83">
        <v>9.4990000000000005E-4</v>
      </c>
      <c r="BG19" s="83">
        <v>2.8483299999999998</v>
      </c>
      <c r="BH19" s="83">
        <v>0.456625</v>
      </c>
      <c r="BI19" s="83">
        <v>9.4990000000000005E-4</v>
      </c>
      <c r="BJ19" s="83">
        <v>2.9239099999999998</v>
      </c>
      <c r="BK19" s="83">
        <v>0.469416</v>
      </c>
      <c r="BL19" s="83">
        <v>9.4990000000000005E-4</v>
      </c>
      <c r="BM19" s="83">
        <v>2.9822799999999998</v>
      </c>
      <c r="BN19" s="83">
        <v>0.47685</v>
      </c>
      <c r="BO19" s="83">
        <v>9.4990000000000005E-4</v>
      </c>
      <c r="BP19" s="83">
        <v>2.9467699999999999</v>
      </c>
      <c r="BQ19" s="83">
        <v>0.46160499999999999</v>
      </c>
      <c r="BR19" s="83">
        <v>9.4990000000000005E-4</v>
      </c>
      <c r="BS19" s="83">
        <v>2.9969999999999999</v>
      </c>
      <c r="BT19" s="83">
        <v>0.46884300000000001</v>
      </c>
      <c r="BU19" s="83">
        <v>9.4990000000000005E-4</v>
      </c>
      <c r="BV19" s="83">
        <v>3.0971600000000001</v>
      </c>
      <c r="BW19" s="83">
        <v>0.48280000000000001</v>
      </c>
      <c r="BX19" s="83">
        <v>9.4990000000000005E-4</v>
      </c>
      <c r="BY19" s="83">
        <v>3.07666</v>
      </c>
      <c r="BZ19" s="83">
        <v>0.47214600000000001</v>
      </c>
      <c r="CA19" s="83">
        <v>9.4990000000000005E-4</v>
      </c>
      <c r="CB19" s="83">
        <v>3.0359099999999999</v>
      </c>
      <c r="CC19" s="83">
        <v>0.45655600000000002</v>
      </c>
      <c r="CD19" s="83">
        <v>9.4990000000000005E-4</v>
      </c>
      <c r="CE19" s="83">
        <v>3.0421900000000002</v>
      </c>
      <c r="CF19" s="83">
        <v>0.45217299999999999</v>
      </c>
      <c r="CG19" s="83">
        <v>9.4990000000000005E-4</v>
      </c>
      <c r="CH19" s="83">
        <v>3.15117</v>
      </c>
      <c r="CI19" s="83">
        <v>0.46764</v>
      </c>
      <c r="CJ19" s="83">
        <v>9.4990000000000005E-4</v>
      </c>
      <c r="CK19" s="83">
        <v>3.1943899999999998</v>
      </c>
      <c r="CL19" s="83">
        <v>0.47207900000000003</v>
      </c>
      <c r="CM19" s="83">
        <v>9.4990000000000005E-4</v>
      </c>
      <c r="CN19" s="83">
        <v>3.2096800000000001</v>
      </c>
      <c r="CO19" s="83">
        <v>0.46917199999999998</v>
      </c>
      <c r="CP19" s="83">
        <v>9.4990000000000005E-4</v>
      </c>
      <c r="CQ19" s="83">
        <v>3.1945000000000001</v>
      </c>
      <c r="CR19" s="83">
        <v>0.46040300000000001</v>
      </c>
      <c r="CS19" s="83">
        <v>9.4990000000000005E-4</v>
      </c>
      <c r="CT19" s="83">
        <v>3.2910699999999999</v>
      </c>
      <c r="CU19" s="83">
        <v>0.47532799999999997</v>
      </c>
      <c r="CV19" s="83">
        <v>9.4990000000000005E-4</v>
      </c>
      <c r="CW19" s="83">
        <v>3.2216300000000002</v>
      </c>
      <c r="CX19" s="83">
        <v>0.45813399999999999</v>
      </c>
    </row>
    <row r="20" spans="1:102" x14ac:dyDescent="0.2">
      <c r="A20" s="83">
        <v>1.0499000000000001E-3</v>
      </c>
      <c r="B20" s="83">
        <v>2.2366199999999998</v>
      </c>
      <c r="C20" s="83">
        <v>0.428124</v>
      </c>
      <c r="D20" s="83">
        <v>1.0499000000000001E-3</v>
      </c>
      <c r="E20" s="83">
        <v>2.3239800000000002</v>
      </c>
      <c r="F20" s="83">
        <v>0.44319700000000001</v>
      </c>
      <c r="G20" s="83">
        <v>1.0499000000000001E-3</v>
      </c>
      <c r="H20" s="83">
        <v>2.3608199999999999</v>
      </c>
      <c r="I20" s="83">
        <v>0.44130900000000001</v>
      </c>
      <c r="J20" s="83">
        <v>1.0499000000000001E-3</v>
      </c>
      <c r="K20" s="83">
        <v>2.35554</v>
      </c>
      <c r="L20" s="83">
        <v>0.43136000000000002</v>
      </c>
      <c r="M20" s="83">
        <v>1.0499000000000001E-3</v>
      </c>
      <c r="N20" s="83">
        <v>2.4243000000000001</v>
      </c>
      <c r="O20" s="83">
        <v>0.43760500000000002</v>
      </c>
      <c r="P20" s="83">
        <v>1.0499000000000001E-3</v>
      </c>
      <c r="Q20" s="83">
        <v>2.50048</v>
      </c>
      <c r="R20" s="83">
        <v>0.44631300000000002</v>
      </c>
      <c r="S20" s="83">
        <v>1.0499000000000001E-3</v>
      </c>
      <c r="T20" s="83">
        <v>2.5480399999999999</v>
      </c>
      <c r="U20" s="83">
        <v>0.44723099999999999</v>
      </c>
      <c r="V20" s="83">
        <v>1.0499000000000001E-3</v>
      </c>
      <c r="W20" s="83">
        <v>2.5129100000000002</v>
      </c>
      <c r="X20" s="83">
        <v>0.43203999999999998</v>
      </c>
      <c r="Y20" s="83">
        <v>1.0499000000000001E-3</v>
      </c>
      <c r="Z20" s="83">
        <v>2.5714700000000001</v>
      </c>
      <c r="AA20" s="83">
        <v>0.44309199999999999</v>
      </c>
      <c r="AB20" s="83">
        <v>1.0499000000000001E-3</v>
      </c>
      <c r="AC20" s="83">
        <v>2.5595699999999999</v>
      </c>
      <c r="AD20" s="83">
        <v>0.43444899999999997</v>
      </c>
      <c r="AE20" s="83">
        <v>1.0499000000000001E-3</v>
      </c>
      <c r="AF20" s="83">
        <v>2.6023999999999998</v>
      </c>
      <c r="AG20" s="83">
        <v>0.44140400000000002</v>
      </c>
      <c r="AH20" s="83">
        <v>1.0499000000000001E-3</v>
      </c>
      <c r="AI20" s="83">
        <v>2.5847199999999999</v>
      </c>
      <c r="AJ20" s="83">
        <v>0.43087300000000001</v>
      </c>
      <c r="AK20" s="83">
        <v>1.0499000000000001E-3</v>
      </c>
      <c r="AL20" s="83">
        <v>2.5929700000000002</v>
      </c>
      <c r="AM20" s="83">
        <v>0.42841699999999999</v>
      </c>
      <c r="AN20" s="83">
        <v>1.0499000000000001E-3</v>
      </c>
      <c r="AO20" s="83">
        <v>2.7107399999999999</v>
      </c>
      <c r="AP20" s="83">
        <v>0.453432</v>
      </c>
      <c r="AQ20" s="83">
        <v>1.0499000000000001E-3</v>
      </c>
      <c r="AR20" s="83">
        <v>2.6994699999999998</v>
      </c>
      <c r="AS20" s="83">
        <v>0.443413</v>
      </c>
      <c r="AT20" s="83">
        <v>1.0499000000000001E-3</v>
      </c>
      <c r="AU20" s="83">
        <v>2.6469499999999999</v>
      </c>
      <c r="AV20" s="83">
        <v>0.427205</v>
      </c>
      <c r="AW20" s="83">
        <v>1.0499000000000001E-3</v>
      </c>
      <c r="AX20" s="83">
        <v>2.6607500000000002</v>
      </c>
      <c r="AY20" s="83">
        <v>0.42510100000000001</v>
      </c>
      <c r="AZ20" s="83">
        <v>1.0499000000000001E-3</v>
      </c>
      <c r="BA20" s="83">
        <v>2.7885200000000001</v>
      </c>
      <c r="BB20" s="83">
        <v>0.45074799999999998</v>
      </c>
      <c r="BC20" s="83">
        <v>1.0499000000000001E-3</v>
      </c>
      <c r="BD20" s="83">
        <v>2.7587299999999999</v>
      </c>
      <c r="BE20" s="83">
        <v>0.43767200000000001</v>
      </c>
      <c r="BF20" s="83">
        <v>1.0499000000000001E-3</v>
      </c>
      <c r="BG20" s="83">
        <v>2.7444099999999998</v>
      </c>
      <c r="BH20" s="83">
        <v>0.43011199999999999</v>
      </c>
      <c r="BI20" s="83">
        <v>1.0499000000000001E-3</v>
      </c>
      <c r="BJ20" s="83">
        <v>2.8167900000000001</v>
      </c>
      <c r="BK20" s="83">
        <v>0.44191799999999998</v>
      </c>
      <c r="BL20" s="83">
        <v>1.0499000000000001E-3</v>
      </c>
      <c r="BM20" s="83">
        <v>2.8709899999999999</v>
      </c>
      <c r="BN20" s="83">
        <v>0.44838</v>
      </c>
      <c r="BO20" s="83">
        <v>1.0499000000000001E-3</v>
      </c>
      <c r="BP20" s="83">
        <v>2.8356499999999998</v>
      </c>
      <c r="BQ20" s="83">
        <v>0.434452</v>
      </c>
      <c r="BR20" s="83">
        <v>1.0499000000000001E-3</v>
      </c>
      <c r="BS20" s="83">
        <v>2.8869600000000002</v>
      </c>
      <c r="BT20" s="83">
        <v>0.44199100000000002</v>
      </c>
      <c r="BU20" s="83">
        <v>1.0499000000000001E-3</v>
      </c>
      <c r="BV20" s="83">
        <v>2.98014</v>
      </c>
      <c r="BW20" s="83">
        <v>0.45416800000000002</v>
      </c>
      <c r="BX20" s="83">
        <v>1.0499000000000001E-3</v>
      </c>
      <c r="BY20" s="83">
        <v>2.9591500000000002</v>
      </c>
      <c r="BZ20" s="83">
        <v>0.44444699999999998</v>
      </c>
      <c r="CA20" s="83">
        <v>1.0499000000000001E-3</v>
      </c>
      <c r="CB20" s="83">
        <v>2.9171999999999998</v>
      </c>
      <c r="CC20" s="83">
        <v>0.43004100000000001</v>
      </c>
      <c r="CD20" s="83">
        <v>1.0499000000000001E-3</v>
      </c>
      <c r="CE20" s="83">
        <v>2.92191</v>
      </c>
      <c r="CF20" s="83">
        <v>0.426068</v>
      </c>
      <c r="CG20" s="83">
        <v>1.0499000000000001E-3</v>
      </c>
      <c r="CH20" s="83">
        <v>3.0266999999999999</v>
      </c>
      <c r="CI20" s="83">
        <v>0.44007400000000002</v>
      </c>
      <c r="CJ20" s="83">
        <v>1.0499000000000001E-3</v>
      </c>
      <c r="CK20" s="83">
        <v>3.0688300000000002</v>
      </c>
      <c r="CL20" s="83">
        <v>0.44471899999999998</v>
      </c>
      <c r="CM20" s="83">
        <v>1.0499000000000001E-3</v>
      </c>
      <c r="CN20" s="83">
        <v>3.0813999999999999</v>
      </c>
      <c r="CO20" s="83">
        <v>0.44170999999999999</v>
      </c>
      <c r="CP20" s="83">
        <v>1.0499000000000001E-3</v>
      </c>
      <c r="CQ20" s="83">
        <v>3.06453</v>
      </c>
      <c r="CR20" s="83">
        <v>0.43365700000000001</v>
      </c>
      <c r="CS20" s="83">
        <v>1.0499000000000001E-3</v>
      </c>
      <c r="CT20" s="83">
        <v>3.15679</v>
      </c>
      <c r="CU20" s="83">
        <v>0.44752700000000001</v>
      </c>
      <c r="CV20" s="83">
        <v>1.0499000000000001E-3</v>
      </c>
      <c r="CW20" s="83">
        <v>3.0861900000000002</v>
      </c>
      <c r="CX20" s="83">
        <v>0.43135299999999999</v>
      </c>
    </row>
    <row r="21" spans="1:102" x14ac:dyDescent="0.2">
      <c r="A21" s="83">
        <v>1.1498999999999999E-3</v>
      </c>
      <c r="B21" s="83">
        <v>2.1607099999999999</v>
      </c>
      <c r="C21" s="83">
        <v>0.40310099999999999</v>
      </c>
      <c r="D21" s="83">
        <v>1.1498999999999999E-3</v>
      </c>
      <c r="E21" s="83">
        <v>2.2466300000000001</v>
      </c>
      <c r="F21" s="83">
        <v>0.417294</v>
      </c>
      <c r="G21" s="83">
        <v>1.1498999999999999E-3</v>
      </c>
      <c r="H21" s="83">
        <v>2.28078</v>
      </c>
      <c r="I21" s="83">
        <v>0.41529300000000002</v>
      </c>
      <c r="J21" s="83">
        <v>1.1498999999999999E-3</v>
      </c>
      <c r="K21" s="83">
        <v>2.2758500000000002</v>
      </c>
      <c r="L21" s="83">
        <v>0.40617900000000001</v>
      </c>
      <c r="M21" s="83">
        <v>1.1498999999999999E-3</v>
      </c>
      <c r="N21" s="83">
        <v>2.3418899999999998</v>
      </c>
      <c r="O21" s="83">
        <v>0.41211900000000001</v>
      </c>
      <c r="P21" s="83">
        <v>1.1498999999999999E-3</v>
      </c>
      <c r="Q21" s="83">
        <v>2.4163700000000001</v>
      </c>
      <c r="R21" s="83">
        <v>0.42028399999999999</v>
      </c>
      <c r="S21" s="83">
        <v>1.1498999999999999E-3</v>
      </c>
      <c r="T21" s="83">
        <v>2.4620500000000001</v>
      </c>
      <c r="U21" s="83">
        <v>0.42120400000000002</v>
      </c>
      <c r="V21" s="83">
        <v>1.1498999999999999E-3</v>
      </c>
      <c r="W21" s="83">
        <v>2.42781</v>
      </c>
      <c r="X21" s="83">
        <v>0.40716799999999997</v>
      </c>
      <c r="Y21" s="83">
        <v>1.1498999999999999E-3</v>
      </c>
      <c r="Z21" s="83">
        <v>2.4827499999999998</v>
      </c>
      <c r="AA21" s="83">
        <v>0.41715999999999998</v>
      </c>
      <c r="AB21" s="83">
        <v>1.1498999999999999E-3</v>
      </c>
      <c r="AC21" s="83">
        <v>2.4697300000000002</v>
      </c>
      <c r="AD21" s="83">
        <v>0.40903499999999998</v>
      </c>
      <c r="AE21" s="83">
        <v>1.1498999999999999E-3</v>
      </c>
      <c r="AF21" s="83">
        <v>2.5117400000000001</v>
      </c>
      <c r="AG21" s="83">
        <v>0.41556999999999999</v>
      </c>
      <c r="AH21" s="83">
        <v>1.1498999999999999E-3</v>
      </c>
      <c r="AI21" s="83">
        <v>2.4934099999999999</v>
      </c>
      <c r="AJ21" s="83">
        <v>0.40572599999999998</v>
      </c>
      <c r="AK21" s="83">
        <v>1.1498999999999999E-3</v>
      </c>
      <c r="AL21" s="83">
        <v>2.5013999999999998</v>
      </c>
      <c r="AM21" s="83">
        <v>0.40362500000000001</v>
      </c>
      <c r="AN21" s="83">
        <v>1.1498999999999999E-3</v>
      </c>
      <c r="AO21" s="83">
        <v>2.61571</v>
      </c>
      <c r="AP21" s="83">
        <v>0.42697600000000002</v>
      </c>
      <c r="AQ21" s="83">
        <v>1.1498999999999999E-3</v>
      </c>
      <c r="AR21" s="83">
        <v>2.6031399999999998</v>
      </c>
      <c r="AS21" s="83">
        <v>0.41752899999999998</v>
      </c>
      <c r="AT21" s="83">
        <v>1.1498999999999999E-3</v>
      </c>
      <c r="AU21" s="83">
        <v>2.5513300000000001</v>
      </c>
      <c r="AV21" s="83">
        <v>0.40239900000000001</v>
      </c>
      <c r="AW21" s="83">
        <v>1.1498999999999999E-3</v>
      </c>
      <c r="AX21" s="83">
        <v>2.5619399999999999</v>
      </c>
      <c r="AY21" s="83">
        <v>0.40023599999999998</v>
      </c>
      <c r="AZ21" s="83">
        <v>1.1498999999999999E-3</v>
      </c>
      <c r="BA21" s="83">
        <v>2.6874199999999999</v>
      </c>
      <c r="BB21" s="83">
        <v>0.42451299999999997</v>
      </c>
      <c r="BC21" s="83">
        <v>1.1498999999999999E-3</v>
      </c>
      <c r="BD21" s="83">
        <v>2.6553300000000002</v>
      </c>
      <c r="BE21" s="83">
        <v>0.41197699999999998</v>
      </c>
      <c r="BF21" s="83">
        <v>1.1498999999999999E-3</v>
      </c>
      <c r="BG21" s="83">
        <v>2.64113</v>
      </c>
      <c r="BH21" s="83">
        <v>0.40517399999999998</v>
      </c>
      <c r="BI21" s="83">
        <v>1.1498999999999999E-3</v>
      </c>
      <c r="BJ21" s="83">
        <v>2.71062</v>
      </c>
      <c r="BK21" s="83">
        <v>0.41617100000000001</v>
      </c>
      <c r="BL21" s="83">
        <v>1.1498999999999999E-3</v>
      </c>
      <c r="BM21" s="83">
        <v>2.7609599999999999</v>
      </c>
      <c r="BN21" s="83">
        <v>0.42190699999999998</v>
      </c>
      <c r="BO21" s="83">
        <v>1.1498999999999999E-3</v>
      </c>
      <c r="BP21" s="83">
        <v>2.7251099999999999</v>
      </c>
      <c r="BQ21" s="83">
        <v>0.40905399999999997</v>
      </c>
      <c r="BR21" s="83">
        <v>1.1498999999999999E-3</v>
      </c>
      <c r="BS21" s="83">
        <v>2.7772299999999999</v>
      </c>
      <c r="BT21" s="83">
        <v>0.416628</v>
      </c>
      <c r="BU21" s="83">
        <v>1.1498999999999999E-3</v>
      </c>
      <c r="BV21" s="83">
        <v>2.8640099999999999</v>
      </c>
      <c r="BW21" s="83">
        <v>0.42757200000000001</v>
      </c>
      <c r="BX21" s="83">
        <v>1.1498999999999999E-3</v>
      </c>
      <c r="BY21" s="83">
        <v>2.8432300000000001</v>
      </c>
      <c r="BZ21" s="83">
        <v>0.41875899999999999</v>
      </c>
      <c r="CA21" s="83">
        <v>1.1498999999999999E-3</v>
      </c>
      <c r="CB21" s="83">
        <v>2.7999399999999999</v>
      </c>
      <c r="CC21" s="83">
        <v>0.40506700000000001</v>
      </c>
      <c r="CD21" s="83">
        <v>1.1498999999999999E-3</v>
      </c>
      <c r="CE21" s="83">
        <v>2.8037800000000002</v>
      </c>
      <c r="CF21" s="83">
        <v>0.40149499999999999</v>
      </c>
      <c r="CG21" s="83">
        <v>1.1498999999999999E-3</v>
      </c>
      <c r="CH21" s="83">
        <v>2.9031899999999999</v>
      </c>
      <c r="CI21" s="83">
        <v>0.41436299999999998</v>
      </c>
      <c r="CJ21" s="83">
        <v>1.1498999999999999E-3</v>
      </c>
      <c r="CK21" s="83">
        <v>2.9457</v>
      </c>
      <c r="CL21" s="83">
        <v>0.41925400000000002</v>
      </c>
      <c r="CM21" s="83">
        <v>1.1498999999999999E-3</v>
      </c>
      <c r="CN21" s="83">
        <v>2.9537800000000001</v>
      </c>
      <c r="CO21" s="83">
        <v>0.415904</v>
      </c>
      <c r="CP21" s="83">
        <v>1.1498999999999999E-3</v>
      </c>
      <c r="CQ21" s="83">
        <v>2.9363100000000002</v>
      </c>
      <c r="CR21" s="83">
        <v>0.40845399999999998</v>
      </c>
      <c r="CS21" s="83">
        <v>1.1498999999999999E-3</v>
      </c>
      <c r="CT21" s="83">
        <v>3.02467</v>
      </c>
      <c r="CU21" s="83">
        <v>0.421566</v>
      </c>
      <c r="CV21" s="83">
        <v>1.1498999999999999E-3</v>
      </c>
      <c r="CW21" s="83">
        <v>2.9527899999999998</v>
      </c>
      <c r="CX21" s="83">
        <v>0.40625899999999998</v>
      </c>
    </row>
    <row r="22" spans="1:102" x14ac:dyDescent="0.2">
      <c r="A22" s="83">
        <v>1.2499E-3</v>
      </c>
      <c r="B22" s="83">
        <v>2.08527</v>
      </c>
      <c r="C22" s="83">
        <v>0.37952999999999998</v>
      </c>
      <c r="D22" s="83">
        <v>1.2499E-3</v>
      </c>
      <c r="E22" s="83">
        <v>2.1688800000000001</v>
      </c>
      <c r="F22" s="83">
        <v>0.39271099999999998</v>
      </c>
      <c r="G22" s="83">
        <v>1.2499E-3</v>
      </c>
      <c r="H22" s="83">
        <v>2.2010900000000002</v>
      </c>
      <c r="I22" s="83">
        <v>0.39093899999999998</v>
      </c>
      <c r="J22" s="83">
        <v>1.2499E-3</v>
      </c>
      <c r="K22" s="83">
        <v>2.19625</v>
      </c>
      <c r="L22" s="83">
        <v>0.38240800000000003</v>
      </c>
      <c r="M22" s="83">
        <v>1.2499E-3</v>
      </c>
      <c r="N22" s="83">
        <v>2.2605</v>
      </c>
      <c r="O22" s="83">
        <v>0.38804499999999997</v>
      </c>
      <c r="P22" s="83">
        <v>1.2499E-3</v>
      </c>
      <c r="Q22" s="83">
        <v>2.3325499999999999</v>
      </c>
      <c r="R22" s="83">
        <v>0.39566400000000002</v>
      </c>
      <c r="S22" s="83">
        <v>1.2499E-3</v>
      </c>
      <c r="T22" s="83">
        <v>2.3764400000000001</v>
      </c>
      <c r="U22" s="83">
        <v>0.39663100000000001</v>
      </c>
      <c r="V22" s="83">
        <v>1.2499E-3</v>
      </c>
      <c r="W22" s="83">
        <v>2.3430399999999998</v>
      </c>
      <c r="X22" s="83">
        <v>0.38367899999999999</v>
      </c>
      <c r="Y22" s="83">
        <v>1.2499E-3</v>
      </c>
      <c r="Z22" s="83">
        <v>2.3947799999999999</v>
      </c>
      <c r="AA22" s="83">
        <v>0.39267999999999997</v>
      </c>
      <c r="AB22" s="83">
        <v>1.2499E-3</v>
      </c>
      <c r="AC22" s="83">
        <v>2.38131</v>
      </c>
      <c r="AD22" s="83">
        <v>0.38524799999999998</v>
      </c>
      <c r="AE22" s="83">
        <v>1.2499E-3</v>
      </c>
      <c r="AF22" s="83">
        <v>2.4215</v>
      </c>
      <c r="AG22" s="83">
        <v>0.39124500000000001</v>
      </c>
      <c r="AH22" s="83">
        <v>1.2499E-3</v>
      </c>
      <c r="AI22" s="83">
        <v>2.4025300000000001</v>
      </c>
      <c r="AJ22" s="83">
        <v>0.38212200000000002</v>
      </c>
      <c r="AK22" s="83">
        <v>1.2499E-3</v>
      </c>
      <c r="AL22" s="83">
        <v>2.40978</v>
      </c>
      <c r="AM22" s="83">
        <v>0.38019599999999998</v>
      </c>
      <c r="AN22" s="83">
        <v>1.2499E-3</v>
      </c>
      <c r="AO22" s="83">
        <v>2.5209000000000001</v>
      </c>
      <c r="AP22" s="83">
        <v>0.40201500000000001</v>
      </c>
      <c r="AQ22" s="83">
        <v>1.2499E-3</v>
      </c>
      <c r="AR22" s="83">
        <v>2.5067900000000001</v>
      </c>
      <c r="AS22" s="83">
        <v>0.393148</v>
      </c>
      <c r="AT22" s="83">
        <v>1.2499E-3</v>
      </c>
      <c r="AU22" s="83">
        <v>2.45553</v>
      </c>
      <c r="AV22" s="83">
        <v>0.37897500000000001</v>
      </c>
      <c r="AW22" s="83">
        <v>1.2499E-3</v>
      </c>
      <c r="AX22" s="83">
        <v>2.4641600000000001</v>
      </c>
      <c r="AY22" s="83">
        <v>0.37699700000000003</v>
      </c>
      <c r="AZ22" s="83">
        <v>1.2499E-3</v>
      </c>
      <c r="BA22" s="83">
        <v>2.5867900000000001</v>
      </c>
      <c r="BB22" s="83">
        <v>0.39974700000000002</v>
      </c>
      <c r="BC22" s="83">
        <v>1.2499E-3</v>
      </c>
      <c r="BD22" s="83">
        <v>2.5531700000000002</v>
      </c>
      <c r="BE22" s="83">
        <v>0.38789299999999999</v>
      </c>
      <c r="BF22" s="83">
        <v>1.2499E-3</v>
      </c>
      <c r="BG22" s="83">
        <v>2.5392800000000002</v>
      </c>
      <c r="BH22" s="83">
        <v>0.381776</v>
      </c>
      <c r="BI22" s="83">
        <v>1.2499E-3</v>
      </c>
      <c r="BJ22" s="83">
        <v>2.6063100000000001</v>
      </c>
      <c r="BK22" s="83">
        <v>0.39190700000000001</v>
      </c>
      <c r="BL22" s="83">
        <v>1.2499E-3</v>
      </c>
      <c r="BM22" s="83">
        <v>2.6524000000000001</v>
      </c>
      <c r="BN22" s="83">
        <v>0.397094</v>
      </c>
      <c r="BO22" s="83">
        <v>1.2499E-3</v>
      </c>
      <c r="BP22" s="83">
        <v>2.61673</v>
      </c>
      <c r="BQ22" s="83">
        <v>0.385297</v>
      </c>
      <c r="BR22" s="83">
        <v>1.2499E-3</v>
      </c>
      <c r="BS22" s="83">
        <v>2.6684199999999998</v>
      </c>
      <c r="BT22" s="83">
        <v>0.39265800000000001</v>
      </c>
      <c r="BU22" s="83">
        <v>1.2499E-3</v>
      </c>
      <c r="BV22" s="83">
        <v>2.7488800000000002</v>
      </c>
      <c r="BW22" s="83">
        <v>0.40252199999999999</v>
      </c>
      <c r="BX22" s="83">
        <v>1.2499E-3</v>
      </c>
      <c r="BY22" s="83">
        <v>2.7291699999999999</v>
      </c>
      <c r="BZ22" s="83">
        <v>0.39459100000000003</v>
      </c>
      <c r="CA22" s="83">
        <v>1.2499E-3</v>
      </c>
      <c r="CB22" s="83">
        <v>2.6840999999999999</v>
      </c>
      <c r="CC22" s="83">
        <v>0.38150699999999999</v>
      </c>
      <c r="CD22" s="83">
        <v>1.2499E-3</v>
      </c>
      <c r="CE22" s="83">
        <v>2.6873499999999999</v>
      </c>
      <c r="CF22" s="83">
        <v>0.378386</v>
      </c>
      <c r="CG22" s="83">
        <v>1.2499E-3</v>
      </c>
      <c r="CH22" s="83">
        <v>2.7812999999999999</v>
      </c>
      <c r="CI22" s="83">
        <v>0.39019300000000001</v>
      </c>
      <c r="CJ22" s="83">
        <v>1.2499E-3</v>
      </c>
      <c r="CK22" s="83">
        <v>2.82355</v>
      </c>
      <c r="CL22" s="83">
        <v>0.39499600000000001</v>
      </c>
      <c r="CM22" s="83">
        <v>1.2499E-3</v>
      </c>
      <c r="CN22" s="83">
        <v>2.8273899999999998</v>
      </c>
      <c r="CO22" s="83">
        <v>0.39158599999999999</v>
      </c>
      <c r="CP22" s="83">
        <v>1.2499E-3</v>
      </c>
      <c r="CQ22" s="83">
        <v>2.8094000000000001</v>
      </c>
      <c r="CR22" s="83">
        <v>0.38471100000000003</v>
      </c>
      <c r="CS22" s="83">
        <v>1.2499E-3</v>
      </c>
      <c r="CT22" s="83">
        <v>2.8946100000000001</v>
      </c>
      <c r="CU22" s="83">
        <v>0.39705000000000001</v>
      </c>
      <c r="CV22" s="83">
        <v>1.2499E-3</v>
      </c>
      <c r="CW22" s="83">
        <v>2.8214399999999999</v>
      </c>
      <c r="CX22" s="83">
        <v>0.38257200000000002</v>
      </c>
    </row>
    <row r="23" spans="1:102" x14ac:dyDescent="0.2">
      <c r="A23" s="83">
        <v>1.3499E-3</v>
      </c>
      <c r="B23" s="83">
        <v>2.0112100000000002</v>
      </c>
      <c r="C23" s="83">
        <v>0.35761100000000001</v>
      </c>
      <c r="D23" s="83">
        <v>1.3499E-3</v>
      </c>
      <c r="E23" s="83">
        <v>2.0920700000000001</v>
      </c>
      <c r="F23" s="83">
        <v>0.36977599999999999</v>
      </c>
      <c r="G23" s="83">
        <v>1.3499E-3</v>
      </c>
      <c r="H23" s="83">
        <v>2.1228799999999999</v>
      </c>
      <c r="I23" s="83">
        <v>0.368197</v>
      </c>
      <c r="J23" s="83">
        <v>1.3499E-3</v>
      </c>
      <c r="K23" s="83">
        <v>2.11748</v>
      </c>
      <c r="L23" s="83">
        <v>0.36030200000000001</v>
      </c>
      <c r="M23" s="83">
        <v>1.3499E-3</v>
      </c>
      <c r="N23" s="83">
        <v>2.1797900000000001</v>
      </c>
      <c r="O23" s="83">
        <v>0.36561500000000002</v>
      </c>
      <c r="P23" s="83">
        <v>1.3499E-3</v>
      </c>
      <c r="Q23" s="83">
        <v>2.2497099999999999</v>
      </c>
      <c r="R23" s="83">
        <v>0.372695</v>
      </c>
      <c r="S23" s="83">
        <v>1.3499E-3</v>
      </c>
      <c r="T23" s="83">
        <v>2.2928999999999999</v>
      </c>
      <c r="U23" s="83">
        <v>0.37368099999999999</v>
      </c>
      <c r="V23" s="83">
        <v>1.3499E-3</v>
      </c>
      <c r="W23" s="83">
        <v>2.2592400000000001</v>
      </c>
      <c r="X23" s="83">
        <v>0.36178100000000002</v>
      </c>
      <c r="Y23" s="83">
        <v>1.3499E-3</v>
      </c>
      <c r="Z23" s="83">
        <v>2.3081100000000001</v>
      </c>
      <c r="AA23" s="83">
        <v>0.369863</v>
      </c>
      <c r="AB23" s="83">
        <v>1.3499E-3</v>
      </c>
      <c r="AC23" s="83">
        <v>2.2950599999999999</v>
      </c>
      <c r="AD23" s="83">
        <v>0.36298999999999998</v>
      </c>
      <c r="AE23" s="83">
        <v>1.3499E-3</v>
      </c>
      <c r="AF23" s="83">
        <v>2.3329599999999999</v>
      </c>
      <c r="AG23" s="83">
        <v>0.36864999999999998</v>
      </c>
      <c r="AH23" s="83">
        <v>1.3499E-3</v>
      </c>
      <c r="AI23" s="83">
        <v>2.3134299999999999</v>
      </c>
      <c r="AJ23" s="83">
        <v>0.360045</v>
      </c>
      <c r="AK23" s="83">
        <v>1.3499E-3</v>
      </c>
      <c r="AL23" s="83">
        <v>2.32003</v>
      </c>
      <c r="AM23" s="83">
        <v>0.358462</v>
      </c>
      <c r="AN23" s="83">
        <v>1.3499E-3</v>
      </c>
      <c r="AO23" s="83">
        <v>2.42693</v>
      </c>
      <c r="AP23" s="83">
        <v>0.37859199999999998</v>
      </c>
      <c r="AQ23" s="83">
        <v>1.3499E-3</v>
      </c>
      <c r="AR23" s="83">
        <v>2.41214</v>
      </c>
      <c r="AS23" s="83">
        <v>0.370369</v>
      </c>
      <c r="AT23" s="83">
        <v>1.3499E-3</v>
      </c>
      <c r="AU23" s="83">
        <v>2.3611300000000002</v>
      </c>
      <c r="AV23" s="83">
        <v>0.35710900000000001</v>
      </c>
      <c r="AW23" s="83">
        <v>1.3499E-3</v>
      </c>
      <c r="AX23" s="83">
        <v>2.3687900000000002</v>
      </c>
      <c r="AY23" s="83">
        <v>0.35538399999999998</v>
      </c>
      <c r="AZ23" s="83">
        <v>1.3499E-3</v>
      </c>
      <c r="BA23" s="83">
        <v>2.4874800000000001</v>
      </c>
      <c r="BB23" s="83">
        <v>0.37651800000000002</v>
      </c>
      <c r="BC23" s="83">
        <v>1.3499E-3</v>
      </c>
      <c r="BD23" s="83">
        <v>2.4525999999999999</v>
      </c>
      <c r="BE23" s="83">
        <v>0.36548599999999998</v>
      </c>
      <c r="BF23" s="83">
        <v>1.3499E-3</v>
      </c>
      <c r="BG23" s="83">
        <v>2.4394100000000001</v>
      </c>
      <c r="BH23" s="83">
        <v>0.359954</v>
      </c>
      <c r="BI23" s="83">
        <v>1.3499E-3</v>
      </c>
      <c r="BJ23" s="83">
        <v>2.50238</v>
      </c>
      <c r="BK23" s="83">
        <v>0.36923800000000001</v>
      </c>
      <c r="BL23" s="83">
        <v>1.3499E-3</v>
      </c>
      <c r="BM23" s="83">
        <v>2.5465</v>
      </c>
      <c r="BN23" s="83">
        <v>0.37403900000000001</v>
      </c>
      <c r="BO23" s="83">
        <v>1.3499E-3</v>
      </c>
      <c r="BP23" s="83">
        <v>2.5104600000000001</v>
      </c>
      <c r="BQ23" s="83">
        <v>0.363147</v>
      </c>
      <c r="BR23" s="83">
        <v>1.3499E-3</v>
      </c>
      <c r="BS23" s="83">
        <v>2.5610499999999998</v>
      </c>
      <c r="BT23" s="83">
        <v>0.37013299999999999</v>
      </c>
      <c r="BU23" s="83">
        <v>1.3499E-3</v>
      </c>
      <c r="BV23" s="83">
        <v>2.6368</v>
      </c>
      <c r="BW23" s="83">
        <v>0.37906499999999999</v>
      </c>
      <c r="BX23" s="83">
        <v>1.3499E-3</v>
      </c>
      <c r="BY23" s="83">
        <v>2.6179800000000002</v>
      </c>
      <c r="BZ23" s="83">
        <v>0.37190699999999999</v>
      </c>
      <c r="CA23" s="83">
        <v>1.3499E-3</v>
      </c>
      <c r="CB23" s="83">
        <v>2.5712999999999999</v>
      </c>
      <c r="CC23" s="83">
        <v>0.35954199999999997</v>
      </c>
      <c r="CD23" s="83">
        <v>1.3499E-3</v>
      </c>
      <c r="CE23" s="83">
        <v>2.5739999999999998</v>
      </c>
      <c r="CF23" s="83">
        <v>0.356825</v>
      </c>
      <c r="CG23" s="83">
        <v>1.3499E-3</v>
      </c>
      <c r="CH23" s="83">
        <v>2.66256</v>
      </c>
      <c r="CI23" s="83">
        <v>0.36774099999999998</v>
      </c>
      <c r="CJ23" s="83">
        <v>1.3499E-3</v>
      </c>
      <c r="CK23" s="83">
        <v>2.70322</v>
      </c>
      <c r="CL23" s="83">
        <v>0.37223699999999998</v>
      </c>
      <c r="CM23" s="83">
        <v>1.3499E-3</v>
      </c>
      <c r="CN23" s="83">
        <v>2.7040899999999999</v>
      </c>
      <c r="CO23" s="83">
        <v>0.36893300000000001</v>
      </c>
      <c r="CP23" s="83">
        <v>1.3499E-3</v>
      </c>
      <c r="CQ23" s="83">
        <v>2.68567</v>
      </c>
      <c r="CR23" s="83">
        <v>0.36255700000000002</v>
      </c>
      <c r="CS23" s="83">
        <v>1.3499E-3</v>
      </c>
      <c r="CT23" s="83">
        <v>2.7662</v>
      </c>
      <c r="CU23" s="83">
        <v>0.37404399999999999</v>
      </c>
      <c r="CV23" s="83">
        <v>1.3499E-3</v>
      </c>
      <c r="CW23" s="83">
        <v>2.6933099999999999</v>
      </c>
      <c r="CX23" s="83">
        <v>0.360458</v>
      </c>
    </row>
    <row r="24" spans="1:102" x14ac:dyDescent="0.2">
      <c r="A24" s="83">
        <v>1.4499000000000001E-3</v>
      </c>
      <c r="B24" s="83">
        <v>1.9383699999999999</v>
      </c>
      <c r="C24" s="83">
        <v>0.33717000000000003</v>
      </c>
      <c r="D24" s="83">
        <v>1.4499000000000001E-3</v>
      </c>
      <c r="E24" s="83">
        <v>2.01606</v>
      </c>
      <c r="F24" s="83">
        <v>0.34839300000000001</v>
      </c>
      <c r="G24" s="83">
        <v>1.4499000000000001E-3</v>
      </c>
      <c r="H24" s="83">
        <v>2.0457000000000001</v>
      </c>
      <c r="I24" s="83">
        <v>0.34697699999999998</v>
      </c>
      <c r="J24" s="83">
        <v>1.4499000000000001E-3</v>
      </c>
      <c r="K24" s="83">
        <v>2.0404800000000001</v>
      </c>
      <c r="L24" s="83">
        <v>0.33967000000000003</v>
      </c>
      <c r="M24" s="83">
        <v>1.4499000000000001E-3</v>
      </c>
      <c r="N24" s="83">
        <v>2.09999</v>
      </c>
      <c r="O24" s="83">
        <v>0.34456500000000001</v>
      </c>
      <c r="P24" s="83">
        <v>1.4499000000000001E-3</v>
      </c>
      <c r="Q24" s="83">
        <v>2.1682899999999998</v>
      </c>
      <c r="R24" s="83">
        <v>0.35130699999999998</v>
      </c>
      <c r="S24" s="83">
        <v>1.4499000000000001E-3</v>
      </c>
      <c r="T24" s="83">
        <v>2.2094200000000002</v>
      </c>
      <c r="U24" s="83">
        <v>0.35215400000000002</v>
      </c>
      <c r="V24" s="83">
        <v>1.4499000000000001E-3</v>
      </c>
      <c r="W24" s="83">
        <v>2.1769699999999998</v>
      </c>
      <c r="X24" s="83">
        <v>0.34131499999999998</v>
      </c>
      <c r="Y24" s="83">
        <v>1.4499000000000001E-3</v>
      </c>
      <c r="Z24" s="83">
        <v>2.22288</v>
      </c>
      <c r="AA24" s="83">
        <v>0.34853699999999999</v>
      </c>
      <c r="AB24" s="83">
        <v>1.4499000000000001E-3</v>
      </c>
      <c r="AC24" s="83">
        <v>2.2093600000000002</v>
      </c>
      <c r="AD24" s="83">
        <v>0.34218500000000002</v>
      </c>
      <c r="AE24" s="83">
        <v>1.4499000000000001E-3</v>
      </c>
      <c r="AF24" s="83">
        <v>2.24614</v>
      </c>
      <c r="AG24" s="83">
        <v>0.34745100000000001</v>
      </c>
      <c r="AH24" s="83">
        <v>1.4499000000000001E-3</v>
      </c>
      <c r="AI24" s="83">
        <v>2.22594</v>
      </c>
      <c r="AJ24" s="83">
        <v>0.33948899999999999</v>
      </c>
      <c r="AK24" s="83">
        <v>1.4499000000000001E-3</v>
      </c>
      <c r="AL24" s="83">
        <v>2.23231</v>
      </c>
      <c r="AM24" s="83">
        <v>0.33813300000000002</v>
      </c>
      <c r="AN24" s="83">
        <v>1.4499000000000001E-3</v>
      </c>
      <c r="AO24" s="83">
        <v>2.3353600000000001</v>
      </c>
      <c r="AP24" s="83">
        <v>0.35685499999999998</v>
      </c>
      <c r="AQ24" s="83">
        <v>1.4499000000000001E-3</v>
      </c>
      <c r="AR24" s="83">
        <v>2.3195299999999999</v>
      </c>
      <c r="AS24" s="83">
        <v>0.34908600000000001</v>
      </c>
      <c r="AT24" s="83">
        <v>1.4499000000000001E-3</v>
      </c>
      <c r="AU24" s="83">
        <v>2.2688299999999999</v>
      </c>
      <c r="AV24" s="83">
        <v>0.336729</v>
      </c>
      <c r="AW24" s="83">
        <v>1.4499000000000001E-3</v>
      </c>
      <c r="AX24" s="83">
        <v>2.2755299999999998</v>
      </c>
      <c r="AY24" s="83">
        <v>0.33514100000000002</v>
      </c>
      <c r="AZ24" s="83">
        <v>1.4499000000000001E-3</v>
      </c>
      <c r="BA24" s="83">
        <v>2.3896600000000001</v>
      </c>
      <c r="BB24" s="83">
        <v>0.35480800000000001</v>
      </c>
      <c r="BC24" s="83">
        <v>1.4499000000000001E-3</v>
      </c>
      <c r="BD24" s="83">
        <v>2.3545500000000001</v>
      </c>
      <c r="BE24" s="83">
        <v>0.34452199999999999</v>
      </c>
      <c r="BF24" s="83">
        <v>1.4499000000000001E-3</v>
      </c>
      <c r="BG24" s="83">
        <v>2.3415499999999998</v>
      </c>
      <c r="BH24" s="83">
        <v>0.33953699999999998</v>
      </c>
      <c r="BI24" s="83">
        <v>1.4499000000000001E-3</v>
      </c>
      <c r="BJ24" s="83">
        <v>2.40097</v>
      </c>
      <c r="BK24" s="83">
        <v>0.34802300000000003</v>
      </c>
      <c r="BL24" s="83">
        <v>1.4499000000000001E-3</v>
      </c>
      <c r="BM24" s="83">
        <v>2.4420500000000001</v>
      </c>
      <c r="BN24" s="83">
        <v>0.35254200000000002</v>
      </c>
      <c r="BO24" s="83">
        <v>1.4499000000000001E-3</v>
      </c>
      <c r="BP24" s="83">
        <v>2.4068299999999998</v>
      </c>
      <c r="BQ24" s="83">
        <v>0.34241300000000002</v>
      </c>
      <c r="BR24" s="83">
        <v>1.4499000000000001E-3</v>
      </c>
      <c r="BS24" s="83">
        <v>2.4555699999999998</v>
      </c>
      <c r="BT24" s="83">
        <v>0.34908899999999998</v>
      </c>
      <c r="BU24" s="83">
        <v>1.4499000000000001E-3</v>
      </c>
      <c r="BV24" s="83">
        <v>2.52643</v>
      </c>
      <c r="BW24" s="83">
        <v>0.35714200000000002</v>
      </c>
      <c r="BX24" s="83">
        <v>1.4499000000000001E-3</v>
      </c>
      <c r="BY24" s="83">
        <v>2.5079699999999998</v>
      </c>
      <c r="BZ24" s="83">
        <v>0.35073199999999999</v>
      </c>
      <c r="CA24" s="83">
        <v>1.4499000000000001E-3</v>
      </c>
      <c r="CB24" s="83">
        <v>2.4607000000000001</v>
      </c>
      <c r="CC24" s="83">
        <v>0.33902900000000002</v>
      </c>
      <c r="CD24" s="83">
        <v>1.4499000000000001E-3</v>
      </c>
      <c r="CE24" s="83">
        <v>2.4634299999999998</v>
      </c>
      <c r="CF24" s="83">
        <v>0.33656700000000001</v>
      </c>
      <c r="CG24" s="83">
        <v>1.4499000000000001E-3</v>
      </c>
      <c r="CH24" s="83">
        <v>2.5469200000000001</v>
      </c>
      <c r="CI24" s="83">
        <v>0.34674300000000002</v>
      </c>
      <c r="CJ24" s="83">
        <v>1.4499000000000001E-3</v>
      </c>
      <c r="CK24" s="83">
        <v>2.5856599999999998</v>
      </c>
      <c r="CL24" s="83">
        <v>0.35092800000000002</v>
      </c>
      <c r="CM24" s="83">
        <v>1.4499000000000001E-3</v>
      </c>
      <c r="CN24" s="83">
        <v>2.5851199999999999</v>
      </c>
      <c r="CO24" s="83">
        <v>0.347829</v>
      </c>
      <c r="CP24" s="83">
        <v>1.4499000000000001E-3</v>
      </c>
      <c r="CQ24" s="83">
        <v>2.5648599999999999</v>
      </c>
      <c r="CR24" s="83">
        <v>0.34182800000000002</v>
      </c>
      <c r="CS24" s="83">
        <v>1.4499000000000001E-3</v>
      </c>
      <c r="CT24" s="83">
        <v>2.6419100000000002</v>
      </c>
      <c r="CU24" s="83">
        <v>0.35259200000000002</v>
      </c>
      <c r="CV24" s="83">
        <v>1.4499000000000001E-3</v>
      </c>
      <c r="CW24" s="83">
        <v>2.5692699999999999</v>
      </c>
      <c r="CX24" s="83">
        <v>0.33967799999999998</v>
      </c>
    </row>
    <row r="25" spans="1:102" x14ac:dyDescent="0.2">
      <c r="A25" s="83">
        <v>1.5499000000000001E-3</v>
      </c>
      <c r="B25" s="83">
        <v>1.86707</v>
      </c>
      <c r="C25" s="83">
        <v>0.31798799999999999</v>
      </c>
      <c r="D25" s="83">
        <v>1.5499000000000001E-3</v>
      </c>
      <c r="E25" s="83">
        <v>1.94249</v>
      </c>
      <c r="F25" s="83">
        <v>0.328399</v>
      </c>
      <c r="G25" s="83">
        <v>1.5499000000000001E-3</v>
      </c>
      <c r="H25" s="83">
        <v>1.97038</v>
      </c>
      <c r="I25" s="83">
        <v>0.32702100000000001</v>
      </c>
      <c r="J25" s="83">
        <v>1.5499000000000001E-3</v>
      </c>
      <c r="K25" s="83">
        <v>1.9648399999999999</v>
      </c>
      <c r="L25" s="83">
        <v>0.32030500000000001</v>
      </c>
      <c r="M25" s="83">
        <v>1.5499000000000001E-3</v>
      </c>
      <c r="N25" s="83">
        <v>2.0224500000000001</v>
      </c>
      <c r="O25" s="83">
        <v>0.324853</v>
      </c>
      <c r="P25" s="83">
        <v>1.5499000000000001E-3</v>
      </c>
      <c r="Q25" s="83">
        <v>2.0888</v>
      </c>
      <c r="R25" s="83">
        <v>0.33124100000000001</v>
      </c>
      <c r="S25" s="83">
        <v>1.5499000000000001E-3</v>
      </c>
      <c r="T25" s="83">
        <v>2.1274600000000001</v>
      </c>
      <c r="U25" s="83">
        <v>0.33194800000000002</v>
      </c>
      <c r="V25" s="83">
        <v>1.5499000000000001E-3</v>
      </c>
      <c r="W25" s="83">
        <v>2.09626</v>
      </c>
      <c r="X25" s="83">
        <v>0.32198399999999999</v>
      </c>
      <c r="Y25" s="83">
        <v>1.5499000000000001E-3</v>
      </c>
      <c r="Z25" s="83">
        <v>2.1392899999999999</v>
      </c>
      <c r="AA25" s="83">
        <v>0.32858900000000002</v>
      </c>
      <c r="AB25" s="83">
        <v>1.5499000000000001E-3</v>
      </c>
      <c r="AC25" s="83">
        <v>2.1257299999999999</v>
      </c>
      <c r="AD25" s="83">
        <v>0.32260299999999997</v>
      </c>
      <c r="AE25" s="83">
        <v>1.5499000000000001E-3</v>
      </c>
      <c r="AF25" s="83">
        <v>2.1608399999999999</v>
      </c>
      <c r="AG25" s="83">
        <v>0.32754699999999998</v>
      </c>
      <c r="AH25" s="83">
        <v>1.5499000000000001E-3</v>
      </c>
      <c r="AI25" s="83">
        <v>2.1400999999999999</v>
      </c>
      <c r="AJ25" s="83">
        <v>0.320131</v>
      </c>
      <c r="AK25" s="83">
        <v>1.5499000000000001E-3</v>
      </c>
      <c r="AL25" s="83">
        <v>2.14622</v>
      </c>
      <c r="AM25" s="83">
        <v>0.319017</v>
      </c>
      <c r="AN25" s="83">
        <v>1.5499000000000001E-3</v>
      </c>
      <c r="AO25" s="83">
        <v>2.2457099999999999</v>
      </c>
      <c r="AP25" s="83">
        <v>0.33645399999999998</v>
      </c>
      <c r="AQ25" s="83">
        <v>1.5499000000000001E-3</v>
      </c>
      <c r="AR25" s="83">
        <v>2.2284799999999998</v>
      </c>
      <c r="AS25" s="83">
        <v>0.32907500000000001</v>
      </c>
      <c r="AT25" s="83">
        <v>1.5499000000000001E-3</v>
      </c>
      <c r="AU25" s="83">
        <v>2.1787399999999999</v>
      </c>
      <c r="AV25" s="83">
        <v>0.31761699999999998</v>
      </c>
      <c r="AW25" s="83">
        <v>1.5499000000000001E-3</v>
      </c>
      <c r="AX25" s="83">
        <v>2.1844700000000001</v>
      </c>
      <c r="AY25" s="83">
        <v>0.31611099999999998</v>
      </c>
      <c r="AZ25" s="83">
        <v>1.5499000000000001E-3</v>
      </c>
      <c r="BA25" s="83">
        <v>2.2947799999999998</v>
      </c>
      <c r="BB25" s="83">
        <v>0.33454400000000001</v>
      </c>
      <c r="BC25" s="83">
        <v>1.5499000000000001E-3</v>
      </c>
      <c r="BD25" s="83">
        <v>2.2591299999999999</v>
      </c>
      <c r="BE25" s="83">
        <v>0.32480900000000001</v>
      </c>
      <c r="BF25" s="83">
        <v>1.5499000000000001E-3</v>
      </c>
      <c r="BG25" s="83">
        <v>2.2461600000000002</v>
      </c>
      <c r="BH25" s="83">
        <v>0.32034000000000001</v>
      </c>
      <c r="BI25" s="83">
        <v>1.5499000000000001E-3</v>
      </c>
      <c r="BJ25" s="83">
        <v>2.3016700000000001</v>
      </c>
      <c r="BK25" s="83">
        <v>0.32810499999999998</v>
      </c>
      <c r="BL25" s="83">
        <v>1.5499000000000001E-3</v>
      </c>
      <c r="BM25" s="83">
        <v>2.3413599999999999</v>
      </c>
      <c r="BN25" s="83">
        <v>0.33240799999999998</v>
      </c>
      <c r="BO25" s="83">
        <v>1.5499000000000001E-3</v>
      </c>
      <c r="BP25" s="83">
        <v>2.3062100000000001</v>
      </c>
      <c r="BQ25" s="83">
        <v>0.322911</v>
      </c>
      <c r="BR25" s="83">
        <v>1.5499000000000001E-3</v>
      </c>
      <c r="BS25" s="83">
        <v>2.3527200000000001</v>
      </c>
      <c r="BT25" s="83">
        <v>0.32928099999999999</v>
      </c>
      <c r="BU25" s="83">
        <v>1.5499000000000001E-3</v>
      </c>
      <c r="BV25" s="83">
        <v>2.4185500000000002</v>
      </c>
      <c r="BW25" s="83">
        <v>0.33668100000000001</v>
      </c>
      <c r="BX25" s="83">
        <v>1.5499000000000001E-3</v>
      </c>
      <c r="BY25" s="83">
        <v>2.4011800000000001</v>
      </c>
      <c r="BZ25" s="83">
        <v>0.33083800000000002</v>
      </c>
      <c r="CA25" s="83">
        <v>1.5499000000000001E-3</v>
      </c>
      <c r="CB25" s="83">
        <v>2.3532299999999999</v>
      </c>
      <c r="CC25" s="83">
        <v>0.31970100000000001</v>
      </c>
      <c r="CD25" s="83">
        <v>1.5499000000000001E-3</v>
      </c>
      <c r="CE25" s="83">
        <v>2.3551099999999998</v>
      </c>
      <c r="CF25" s="83">
        <v>0.31742599999999999</v>
      </c>
      <c r="CG25" s="83">
        <v>1.5499000000000001E-3</v>
      </c>
      <c r="CH25" s="83">
        <v>2.43458</v>
      </c>
      <c r="CI25" s="83">
        <v>0.32695099999999999</v>
      </c>
      <c r="CJ25" s="83">
        <v>1.5499000000000001E-3</v>
      </c>
      <c r="CK25" s="83">
        <v>2.4708299999999999</v>
      </c>
      <c r="CL25" s="83">
        <v>0.330959</v>
      </c>
      <c r="CM25" s="83">
        <v>1.5499000000000001E-3</v>
      </c>
      <c r="CN25" s="83">
        <v>2.4681000000000002</v>
      </c>
      <c r="CO25" s="83">
        <v>0.32795299999999999</v>
      </c>
      <c r="CP25" s="83">
        <v>1.5499000000000001E-3</v>
      </c>
      <c r="CQ25" s="83">
        <v>2.4474100000000001</v>
      </c>
      <c r="CR25" s="83">
        <v>0.32239400000000001</v>
      </c>
      <c r="CS25" s="83">
        <v>1.5499000000000001E-3</v>
      </c>
      <c r="CT25" s="83">
        <v>2.5205700000000002</v>
      </c>
      <c r="CU25" s="83">
        <v>0.33243400000000001</v>
      </c>
      <c r="CV25" s="83">
        <v>1.5499000000000001E-3</v>
      </c>
      <c r="CW25" s="83">
        <v>2.4478399999999998</v>
      </c>
      <c r="CX25" s="83">
        <v>0.32023499999999999</v>
      </c>
    </row>
    <row r="26" spans="1:102" x14ac:dyDescent="0.2">
      <c r="A26" s="83">
        <v>1.6498999999999999E-3</v>
      </c>
      <c r="B26" s="83">
        <v>1.7977099999999999</v>
      </c>
      <c r="C26" s="83">
        <v>0.299923</v>
      </c>
      <c r="D26" s="83">
        <v>1.6498999999999999E-3</v>
      </c>
      <c r="E26" s="83">
        <v>1.8698900000000001</v>
      </c>
      <c r="F26" s="83">
        <v>0.30963000000000002</v>
      </c>
      <c r="G26" s="83">
        <v>1.6498999999999999E-3</v>
      </c>
      <c r="H26" s="83">
        <v>1.89602</v>
      </c>
      <c r="I26" s="83">
        <v>0.30826799999999999</v>
      </c>
      <c r="J26" s="83">
        <v>1.6498999999999999E-3</v>
      </c>
      <c r="K26" s="83">
        <v>1.89062</v>
      </c>
      <c r="L26" s="83">
        <v>0.30201899999999998</v>
      </c>
      <c r="M26" s="83">
        <v>1.6498999999999999E-3</v>
      </c>
      <c r="N26" s="83">
        <v>1.9459200000000001</v>
      </c>
      <c r="O26" s="83">
        <v>0.30635200000000001</v>
      </c>
      <c r="P26" s="83">
        <v>1.6498999999999999E-3</v>
      </c>
      <c r="Q26" s="83">
        <v>2.0103399999999998</v>
      </c>
      <c r="R26" s="83">
        <v>0.31235299999999999</v>
      </c>
      <c r="S26" s="83">
        <v>1.6498999999999999E-3</v>
      </c>
      <c r="T26" s="83">
        <v>2.0476200000000002</v>
      </c>
      <c r="U26" s="83">
        <v>0.312971</v>
      </c>
      <c r="V26" s="83">
        <v>1.6498999999999999E-3</v>
      </c>
      <c r="W26" s="83">
        <v>2.0170599999999999</v>
      </c>
      <c r="X26" s="83">
        <v>0.30379499999999998</v>
      </c>
      <c r="Y26" s="83">
        <v>1.6498999999999999E-3</v>
      </c>
      <c r="Z26" s="83">
        <v>2.0574699999999999</v>
      </c>
      <c r="AA26" s="83">
        <v>0.30981199999999998</v>
      </c>
      <c r="AB26" s="83">
        <v>1.6498999999999999E-3</v>
      </c>
      <c r="AC26" s="83">
        <v>2.0433400000000002</v>
      </c>
      <c r="AD26" s="83">
        <v>0.30419299999999999</v>
      </c>
      <c r="AE26" s="83">
        <v>1.6498999999999999E-3</v>
      </c>
      <c r="AF26" s="83">
        <v>2.0768399999999998</v>
      </c>
      <c r="AG26" s="83">
        <v>0.308865</v>
      </c>
      <c r="AH26" s="83">
        <v>1.6498999999999999E-3</v>
      </c>
      <c r="AI26" s="83">
        <v>2.0558399999999999</v>
      </c>
      <c r="AJ26" s="83">
        <v>0.30198700000000001</v>
      </c>
      <c r="AK26" s="83">
        <v>1.6498999999999999E-3</v>
      </c>
      <c r="AL26" s="83">
        <v>2.0618400000000001</v>
      </c>
      <c r="AM26" s="83">
        <v>0.30094900000000002</v>
      </c>
      <c r="AN26" s="83">
        <v>1.6498999999999999E-3</v>
      </c>
      <c r="AO26" s="83">
        <v>2.15733</v>
      </c>
      <c r="AP26" s="83">
        <v>0.317297</v>
      </c>
      <c r="AQ26" s="83">
        <v>1.6498999999999999E-3</v>
      </c>
      <c r="AR26" s="83">
        <v>2.1395300000000002</v>
      </c>
      <c r="AS26" s="83">
        <v>0.31028800000000001</v>
      </c>
      <c r="AT26" s="83">
        <v>1.6498999999999999E-3</v>
      </c>
      <c r="AU26" s="83">
        <v>2.0900599999999998</v>
      </c>
      <c r="AV26" s="83">
        <v>0.29967899999999997</v>
      </c>
      <c r="AW26" s="83">
        <v>1.6498999999999999E-3</v>
      </c>
      <c r="AX26" s="83">
        <v>2.0953400000000002</v>
      </c>
      <c r="AY26" s="83">
        <v>0.29823499999999997</v>
      </c>
      <c r="AZ26" s="83">
        <v>1.6498999999999999E-3</v>
      </c>
      <c r="BA26" s="83">
        <v>2.2015400000000001</v>
      </c>
      <c r="BB26" s="83">
        <v>0.315552</v>
      </c>
      <c r="BC26" s="83">
        <v>1.6498999999999999E-3</v>
      </c>
      <c r="BD26" s="83">
        <v>2.1655099999999998</v>
      </c>
      <c r="BE26" s="83">
        <v>0.30627399999999999</v>
      </c>
      <c r="BF26" s="83">
        <v>1.6498999999999999E-3</v>
      </c>
      <c r="BG26" s="83">
        <v>2.1524399999999999</v>
      </c>
      <c r="BH26" s="83">
        <v>0.30219099999999999</v>
      </c>
      <c r="BI26" s="83">
        <v>1.6498999999999999E-3</v>
      </c>
      <c r="BJ26" s="83">
        <v>2.2049400000000001</v>
      </c>
      <c r="BK26" s="83">
        <v>0.30938500000000002</v>
      </c>
      <c r="BL26" s="83">
        <v>1.6498999999999999E-3</v>
      </c>
      <c r="BM26" s="83">
        <v>2.2423500000000001</v>
      </c>
      <c r="BN26" s="83">
        <v>0.31348100000000001</v>
      </c>
      <c r="BO26" s="83">
        <v>1.6498999999999999E-3</v>
      </c>
      <c r="BP26" s="83">
        <v>2.2069899999999998</v>
      </c>
      <c r="BQ26" s="83">
        <v>0.30458499999999999</v>
      </c>
      <c r="BR26" s="83">
        <v>1.6498999999999999E-3</v>
      </c>
      <c r="BS26" s="83">
        <v>2.2524000000000002</v>
      </c>
      <c r="BT26" s="83">
        <v>0.31063299999999999</v>
      </c>
      <c r="BU26" s="83">
        <v>1.6498999999999999E-3</v>
      </c>
      <c r="BV26" s="83">
        <v>2.3138700000000001</v>
      </c>
      <c r="BW26" s="83">
        <v>0.31739899999999999</v>
      </c>
      <c r="BX26" s="83">
        <v>1.6498999999999999E-3</v>
      </c>
      <c r="BY26" s="83">
        <v>2.2972800000000002</v>
      </c>
      <c r="BZ26" s="83">
        <v>0.31208200000000003</v>
      </c>
      <c r="CA26" s="83">
        <v>1.6498999999999999E-3</v>
      </c>
      <c r="CB26" s="83">
        <v>2.2488700000000001</v>
      </c>
      <c r="CC26" s="83">
        <v>0.30158699999999999</v>
      </c>
      <c r="CD26" s="83">
        <v>1.6498999999999999E-3</v>
      </c>
      <c r="CE26" s="83">
        <v>2.2488100000000002</v>
      </c>
      <c r="CF26" s="83">
        <v>0.29938799999999999</v>
      </c>
      <c r="CG26" s="83">
        <v>1.6498999999999999E-3</v>
      </c>
      <c r="CH26" s="83">
        <v>2.3250700000000002</v>
      </c>
      <c r="CI26" s="83">
        <v>0.308313</v>
      </c>
      <c r="CJ26" s="83">
        <v>1.6498999999999999E-3</v>
      </c>
      <c r="CK26" s="83">
        <v>2.3588900000000002</v>
      </c>
      <c r="CL26" s="83">
        <v>0.31221900000000002</v>
      </c>
      <c r="CM26" s="83">
        <v>1.6498999999999999E-3</v>
      </c>
      <c r="CN26" s="83">
        <v>2.3553700000000002</v>
      </c>
      <c r="CO26" s="83">
        <v>0.30930800000000003</v>
      </c>
      <c r="CP26" s="83">
        <v>1.6498999999999999E-3</v>
      </c>
      <c r="CQ26" s="83">
        <v>2.3339500000000002</v>
      </c>
      <c r="CR26" s="83">
        <v>0.30412099999999997</v>
      </c>
      <c r="CS26" s="83">
        <v>1.6498999999999999E-3</v>
      </c>
      <c r="CT26" s="83">
        <v>2.4031099999999999</v>
      </c>
      <c r="CU26" s="83">
        <v>0.313529</v>
      </c>
      <c r="CV26" s="83">
        <v>1.6498999999999999E-3</v>
      </c>
      <c r="CW26" s="83">
        <v>2.3305699999999998</v>
      </c>
      <c r="CX26" s="83">
        <v>0.301985</v>
      </c>
    </row>
    <row r="27" spans="1:102" x14ac:dyDescent="0.2">
      <c r="A27" s="83">
        <v>1.7499E-3</v>
      </c>
      <c r="B27" s="83">
        <v>1.7290300000000001</v>
      </c>
      <c r="C27" s="83">
        <v>0.28292499999999998</v>
      </c>
      <c r="D27" s="83">
        <v>1.7499E-3</v>
      </c>
      <c r="E27" s="83">
        <v>1.79908</v>
      </c>
      <c r="F27" s="83">
        <v>0.29203099999999999</v>
      </c>
      <c r="G27" s="83">
        <v>1.7499E-3</v>
      </c>
      <c r="H27" s="83">
        <v>1.823</v>
      </c>
      <c r="I27" s="83">
        <v>0.29061799999999999</v>
      </c>
      <c r="J27" s="83">
        <v>1.7499E-3</v>
      </c>
      <c r="K27" s="83">
        <v>1.8177399999999999</v>
      </c>
      <c r="L27" s="83">
        <v>0.284856</v>
      </c>
      <c r="M27" s="83">
        <v>1.7499E-3</v>
      </c>
      <c r="N27" s="83">
        <v>1.8710899999999999</v>
      </c>
      <c r="O27" s="83">
        <v>0.28901300000000002</v>
      </c>
      <c r="P27" s="83">
        <v>1.7499E-3</v>
      </c>
      <c r="Q27" s="83">
        <v>1.9334199999999999</v>
      </c>
      <c r="R27" s="83">
        <v>0.29460199999999997</v>
      </c>
      <c r="S27" s="83">
        <v>1.7499E-3</v>
      </c>
      <c r="T27" s="83">
        <v>1.9685299999999999</v>
      </c>
      <c r="U27" s="83">
        <v>0.29516399999999998</v>
      </c>
      <c r="V27" s="83">
        <v>1.7499E-3</v>
      </c>
      <c r="W27" s="83">
        <v>1.93896</v>
      </c>
      <c r="X27" s="83">
        <v>0.286636</v>
      </c>
      <c r="Y27" s="83">
        <v>1.7499E-3</v>
      </c>
      <c r="Z27" s="83">
        <v>1.97689</v>
      </c>
      <c r="AA27" s="83">
        <v>0.29217900000000002</v>
      </c>
      <c r="AB27" s="83">
        <v>1.7499E-3</v>
      </c>
      <c r="AC27" s="83">
        <v>1.96258</v>
      </c>
      <c r="AD27" s="83">
        <v>0.28693400000000002</v>
      </c>
      <c r="AE27" s="83">
        <v>1.7499E-3</v>
      </c>
      <c r="AF27" s="83">
        <v>1.99403</v>
      </c>
      <c r="AG27" s="83">
        <v>0.2913</v>
      </c>
      <c r="AH27" s="83">
        <v>1.7499E-3</v>
      </c>
      <c r="AI27" s="83">
        <v>1.9738100000000001</v>
      </c>
      <c r="AJ27" s="83">
        <v>0.28495100000000001</v>
      </c>
      <c r="AK27" s="83">
        <v>1.7499E-3</v>
      </c>
      <c r="AL27" s="83">
        <v>1.97909</v>
      </c>
      <c r="AM27" s="83">
        <v>0.28401399999999999</v>
      </c>
      <c r="AN27" s="83">
        <v>1.7499E-3</v>
      </c>
      <c r="AO27" s="83">
        <v>2.0707900000000001</v>
      </c>
      <c r="AP27" s="83">
        <v>0.299257</v>
      </c>
      <c r="AQ27" s="83">
        <v>1.7499E-3</v>
      </c>
      <c r="AR27" s="83">
        <v>2.0524</v>
      </c>
      <c r="AS27" s="83">
        <v>0.29261199999999998</v>
      </c>
      <c r="AT27" s="83">
        <v>1.7499E-3</v>
      </c>
      <c r="AU27" s="83">
        <v>2.00406</v>
      </c>
      <c r="AV27" s="83">
        <v>0.2828</v>
      </c>
      <c r="AW27" s="83">
        <v>1.7499E-3</v>
      </c>
      <c r="AX27" s="83">
        <v>2.0079699999999998</v>
      </c>
      <c r="AY27" s="83">
        <v>0.28149000000000002</v>
      </c>
      <c r="AZ27" s="83">
        <v>1.7499E-3</v>
      </c>
      <c r="BA27" s="83">
        <v>2.1102799999999999</v>
      </c>
      <c r="BB27" s="83">
        <v>0.29766300000000001</v>
      </c>
      <c r="BC27" s="83">
        <v>1.7499E-3</v>
      </c>
      <c r="BD27" s="83">
        <v>2.0730599999999999</v>
      </c>
      <c r="BE27" s="83">
        <v>0.288879</v>
      </c>
      <c r="BF27" s="83">
        <v>1.7499E-3</v>
      </c>
      <c r="BG27" s="83">
        <v>2.0605899999999999</v>
      </c>
      <c r="BH27" s="83">
        <v>0.28514</v>
      </c>
      <c r="BI27" s="83">
        <v>1.7499E-3</v>
      </c>
      <c r="BJ27" s="83">
        <v>2.1100400000000001</v>
      </c>
      <c r="BK27" s="83">
        <v>0.29180600000000001</v>
      </c>
      <c r="BL27" s="83">
        <v>1.7499E-3</v>
      </c>
      <c r="BM27" s="83">
        <v>2.1457600000000001</v>
      </c>
      <c r="BN27" s="83">
        <v>0.29566199999999998</v>
      </c>
      <c r="BO27" s="83">
        <v>1.7499E-3</v>
      </c>
      <c r="BP27" s="83">
        <v>2.11084</v>
      </c>
      <c r="BQ27" s="83">
        <v>0.28737400000000002</v>
      </c>
      <c r="BR27" s="83">
        <v>1.7499E-3</v>
      </c>
      <c r="BS27" s="83">
        <v>2.1537600000000001</v>
      </c>
      <c r="BT27" s="83">
        <v>0.29305999999999999</v>
      </c>
      <c r="BU27" s="83">
        <v>1.7499E-3</v>
      </c>
      <c r="BV27" s="83">
        <v>2.21149</v>
      </c>
      <c r="BW27" s="83">
        <v>0.29930699999999999</v>
      </c>
      <c r="BX27" s="83">
        <v>1.7499E-3</v>
      </c>
      <c r="BY27" s="83">
        <v>2.1949900000000002</v>
      </c>
      <c r="BZ27" s="83">
        <v>0.294429</v>
      </c>
      <c r="CA27" s="83">
        <v>1.7499E-3</v>
      </c>
      <c r="CB27" s="83">
        <v>2.1466099999999999</v>
      </c>
      <c r="CC27" s="83">
        <v>0.28450799999999998</v>
      </c>
      <c r="CD27" s="83">
        <v>1.7499E-3</v>
      </c>
      <c r="CE27" s="83">
        <v>2.1461600000000001</v>
      </c>
      <c r="CF27" s="83">
        <v>0.28247299999999997</v>
      </c>
      <c r="CG27" s="83">
        <v>1.7499E-3</v>
      </c>
      <c r="CH27" s="83">
        <v>2.2176999999999998</v>
      </c>
      <c r="CI27" s="83">
        <v>0.29081499999999999</v>
      </c>
      <c r="CJ27" s="83">
        <v>1.7499E-3</v>
      </c>
      <c r="CK27" s="83">
        <v>2.2507600000000001</v>
      </c>
      <c r="CL27" s="83">
        <v>0.294545</v>
      </c>
      <c r="CM27" s="83">
        <v>1.7499E-3</v>
      </c>
      <c r="CN27" s="83">
        <v>2.2446600000000001</v>
      </c>
      <c r="CO27" s="83">
        <v>0.29171000000000002</v>
      </c>
      <c r="CP27" s="83">
        <v>1.7499E-3</v>
      </c>
      <c r="CQ27" s="83">
        <v>2.2235299999999998</v>
      </c>
      <c r="CR27" s="83">
        <v>0.28693000000000002</v>
      </c>
      <c r="CS27" s="83">
        <v>1.7499E-3</v>
      </c>
      <c r="CT27" s="83">
        <v>2.28952</v>
      </c>
      <c r="CU27" s="83">
        <v>0.29576400000000003</v>
      </c>
      <c r="CV27" s="83">
        <v>1.7499E-3</v>
      </c>
      <c r="CW27" s="83">
        <v>2.2168399999999999</v>
      </c>
      <c r="CX27" s="83">
        <v>0.284804</v>
      </c>
    </row>
    <row r="28" spans="1:102" x14ac:dyDescent="0.2">
      <c r="A28" s="83">
        <v>1.8499E-3</v>
      </c>
      <c r="B28" s="83">
        <v>1.6620299999999999</v>
      </c>
      <c r="C28" s="83">
        <v>0.26690900000000001</v>
      </c>
      <c r="D28" s="83">
        <v>1.8499E-3</v>
      </c>
      <c r="E28" s="83">
        <v>1.72933</v>
      </c>
      <c r="F28" s="83">
        <v>0.27546700000000002</v>
      </c>
      <c r="G28" s="83">
        <v>1.8499E-3</v>
      </c>
      <c r="H28" s="83">
        <v>1.7520100000000001</v>
      </c>
      <c r="I28" s="83">
        <v>0.27404499999999998</v>
      </c>
      <c r="J28" s="83">
        <v>1.8499E-3</v>
      </c>
      <c r="K28" s="83">
        <v>1.74654</v>
      </c>
      <c r="L28" s="83">
        <v>0.26868799999999998</v>
      </c>
      <c r="M28" s="83">
        <v>1.8499E-3</v>
      </c>
      <c r="N28" s="83">
        <v>1.79802</v>
      </c>
      <c r="O28" s="83">
        <v>0.27263900000000002</v>
      </c>
      <c r="P28" s="83">
        <v>1.8499E-3</v>
      </c>
      <c r="Q28" s="83">
        <v>1.8577999999999999</v>
      </c>
      <c r="R28" s="83">
        <v>0.27790399999999998</v>
      </c>
      <c r="S28" s="83">
        <v>1.8499E-3</v>
      </c>
      <c r="T28" s="83">
        <v>1.89134</v>
      </c>
      <c r="U28" s="83">
        <v>0.27840399999999998</v>
      </c>
      <c r="V28" s="83">
        <v>1.8499E-3</v>
      </c>
      <c r="W28" s="83">
        <v>1.86239</v>
      </c>
      <c r="X28" s="83">
        <v>0.27047399999999999</v>
      </c>
      <c r="Y28" s="83">
        <v>1.8499E-3</v>
      </c>
      <c r="Z28" s="83">
        <v>1.8981399999999999</v>
      </c>
      <c r="AA28" s="83">
        <v>0.275613</v>
      </c>
      <c r="AB28" s="83">
        <v>1.8499E-3</v>
      </c>
      <c r="AC28" s="83">
        <v>1.8837900000000001</v>
      </c>
      <c r="AD28" s="83">
        <v>0.27069300000000002</v>
      </c>
      <c r="AE28" s="83">
        <v>1.8499E-3</v>
      </c>
      <c r="AF28" s="83">
        <v>1.9139600000000001</v>
      </c>
      <c r="AG28" s="83">
        <v>0.274808</v>
      </c>
      <c r="AH28" s="83">
        <v>1.8499E-3</v>
      </c>
      <c r="AI28" s="83">
        <v>1.89344</v>
      </c>
      <c r="AJ28" s="83">
        <v>0.26889200000000002</v>
      </c>
      <c r="AK28" s="83">
        <v>1.8499E-3</v>
      </c>
      <c r="AL28" s="83">
        <v>1.89825</v>
      </c>
      <c r="AM28" s="83">
        <v>0.26801199999999997</v>
      </c>
      <c r="AN28" s="83">
        <v>1.8499E-3</v>
      </c>
      <c r="AO28" s="83">
        <v>1.9859899999999999</v>
      </c>
      <c r="AP28" s="83">
        <v>0.282304</v>
      </c>
      <c r="AQ28" s="83">
        <v>1.8499E-3</v>
      </c>
      <c r="AR28" s="83">
        <v>1.9664999999999999</v>
      </c>
      <c r="AS28" s="83">
        <v>0.275978</v>
      </c>
      <c r="AT28" s="83">
        <v>1.8499E-3</v>
      </c>
      <c r="AU28" s="83">
        <v>1.9202600000000001</v>
      </c>
      <c r="AV28" s="83">
        <v>0.26694299999999999</v>
      </c>
      <c r="AW28" s="83">
        <v>1.8499E-3</v>
      </c>
      <c r="AX28" s="83">
        <v>1.9232499999999999</v>
      </c>
      <c r="AY28" s="83">
        <v>0.26568599999999998</v>
      </c>
      <c r="AZ28" s="83">
        <v>1.8499E-3</v>
      </c>
      <c r="BA28" s="83">
        <v>2.0213800000000002</v>
      </c>
      <c r="BB28" s="83">
        <v>0.28081699999999998</v>
      </c>
      <c r="BC28" s="83">
        <v>1.8499E-3</v>
      </c>
      <c r="BD28" s="83">
        <v>1.98387</v>
      </c>
      <c r="BE28" s="83">
        <v>0.27249800000000002</v>
      </c>
      <c r="BF28" s="83">
        <v>1.8499E-3</v>
      </c>
      <c r="BG28" s="83">
        <v>1.9708699999999999</v>
      </c>
      <c r="BH28" s="83">
        <v>0.269042</v>
      </c>
      <c r="BI28" s="83">
        <v>1.8499E-3</v>
      </c>
      <c r="BJ28" s="83">
        <v>2.0174599999999998</v>
      </c>
      <c r="BK28" s="83">
        <v>0.27529399999999998</v>
      </c>
      <c r="BL28" s="83">
        <v>1.8499E-3</v>
      </c>
      <c r="BM28" s="83">
        <v>2.05185</v>
      </c>
      <c r="BN28" s="83">
        <v>0.27890199999999998</v>
      </c>
      <c r="BO28" s="83">
        <v>1.8499E-3</v>
      </c>
      <c r="BP28" s="83">
        <v>2.01641</v>
      </c>
      <c r="BQ28" s="83">
        <v>0.27111299999999999</v>
      </c>
      <c r="BR28" s="83">
        <v>1.8499E-3</v>
      </c>
      <c r="BS28" s="83">
        <v>2.0576099999999999</v>
      </c>
      <c r="BT28" s="83">
        <v>0.27653299999999997</v>
      </c>
      <c r="BU28" s="83">
        <v>1.8499E-3</v>
      </c>
      <c r="BV28" s="83">
        <v>2.11198</v>
      </c>
      <c r="BW28" s="83">
        <v>0.28236</v>
      </c>
      <c r="BX28" s="83">
        <v>1.8499E-3</v>
      </c>
      <c r="BY28" s="83">
        <v>2.0956600000000001</v>
      </c>
      <c r="BZ28" s="83">
        <v>0.277839</v>
      </c>
      <c r="CA28" s="83">
        <v>1.8499E-3</v>
      </c>
      <c r="CB28" s="83">
        <v>2.0475400000000001</v>
      </c>
      <c r="CC28" s="83">
        <v>0.26844299999999999</v>
      </c>
      <c r="CD28" s="83">
        <v>1.8499E-3</v>
      </c>
      <c r="CE28" s="83">
        <v>2.0460099999999999</v>
      </c>
      <c r="CF28" s="83">
        <v>0.266565</v>
      </c>
      <c r="CG28" s="83">
        <v>1.8499E-3</v>
      </c>
      <c r="CH28" s="83">
        <v>2.1137299999999999</v>
      </c>
      <c r="CI28" s="83">
        <v>0.27429999999999999</v>
      </c>
      <c r="CJ28" s="83">
        <v>1.8499E-3</v>
      </c>
      <c r="CK28" s="83">
        <v>2.14507</v>
      </c>
      <c r="CL28" s="83">
        <v>0.27793099999999998</v>
      </c>
      <c r="CM28" s="83">
        <v>1.8499E-3</v>
      </c>
      <c r="CN28" s="83">
        <v>2.1376499999999998</v>
      </c>
      <c r="CO28" s="83">
        <v>0.27515099999999998</v>
      </c>
      <c r="CP28" s="83">
        <v>1.8499E-3</v>
      </c>
      <c r="CQ28" s="83">
        <v>2.11619</v>
      </c>
      <c r="CR28" s="83">
        <v>0.27069500000000002</v>
      </c>
      <c r="CS28" s="83">
        <v>1.8499E-3</v>
      </c>
      <c r="CT28" s="83">
        <v>2.17848</v>
      </c>
      <c r="CU28" s="83">
        <v>0.27909499999999998</v>
      </c>
      <c r="CV28" s="83">
        <v>1.8499E-3</v>
      </c>
      <c r="CW28" s="83">
        <v>2.10676</v>
      </c>
      <c r="CX28" s="83">
        <v>0.26864100000000002</v>
      </c>
    </row>
    <row r="29" spans="1:102" x14ac:dyDescent="0.2">
      <c r="A29" s="83">
        <v>1.9499000000000001E-3</v>
      </c>
      <c r="B29" s="83">
        <v>1.59667</v>
      </c>
      <c r="C29" s="83">
        <v>0.25196600000000002</v>
      </c>
      <c r="D29" s="83">
        <v>1.9499000000000001E-3</v>
      </c>
      <c r="E29" s="83">
        <v>1.66201</v>
      </c>
      <c r="F29" s="83">
        <v>0.25991900000000001</v>
      </c>
      <c r="G29" s="83">
        <v>1.9499000000000001E-3</v>
      </c>
      <c r="H29" s="83">
        <v>1.68316</v>
      </c>
      <c r="I29" s="83">
        <v>0.25858300000000001</v>
      </c>
      <c r="J29" s="83">
        <v>1.9499000000000001E-3</v>
      </c>
      <c r="K29" s="83">
        <v>1.6771799999999999</v>
      </c>
      <c r="L29" s="83">
        <v>0.25359199999999998</v>
      </c>
      <c r="M29" s="83">
        <v>1.9499000000000001E-3</v>
      </c>
      <c r="N29" s="83">
        <v>1.72665</v>
      </c>
      <c r="O29" s="83">
        <v>0.25729600000000002</v>
      </c>
      <c r="P29" s="83">
        <v>1.9499000000000001E-3</v>
      </c>
      <c r="Q29" s="83">
        <v>1.7841100000000001</v>
      </c>
      <c r="R29" s="83">
        <v>0.26223600000000002</v>
      </c>
      <c r="S29" s="83">
        <v>1.9499000000000001E-3</v>
      </c>
      <c r="T29" s="83">
        <v>1.8159799999999999</v>
      </c>
      <c r="U29" s="83">
        <v>0.26261800000000002</v>
      </c>
      <c r="V29" s="83">
        <v>1.9499000000000001E-3</v>
      </c>
      <c r="W29" s="83">
        <v>1.7878799999999999</v>
      </c>
      <c r="X29" s="83">
        <v>0.25540499999999999</v>
      </c>
      <c r="Y29" s="83">
        <v>1.9499000000000001E-3</v>
      </c>
      <c r="Z29" s="83">
        <v>1.8213900000000001</v>
      </c>
      <c r="AA29" s="83">
        <v>0.260042</v>
      </c>
      <c r="AB29" s="83">
        <v>1.9499000000000001E-3</v>
      </c>
      <c r="AC29" s="83">
        <v>1.8065899999999999</v>
      </c>
      <c r="AD29" s="83">
        <v>0.25547500000000001</v>
      </c>
      <c r="AE29" s="83">
        <v>1.9499000000000001E-3</v>
      </c>
      <c r="AF29" s="83">
        <v>1.8357699999999999</v>
      </c>
      <c r="AG29" s="83">
        <v>0.25934499999999999</v>
      </c>
      <c r="AH29" s="83">
        <v>1.9499000000000001E-3</v>
      </c>
      <c r="AI29" s="83">
        <v>1.8152200000000001</v>
      </c>
      <c r="AJ29" s="83">
        <v>0.25383699999999998</v>
      </c>
      <c r="AK29" s="83">
        <v>1.9499000000000001E-3</v>
      </c>
      <c r="AL29" s="83">
        <v>1.8190900000000001</v>
      </c>
      <c r="AM29" s="83">
        <v>0.253002</v>
      </c>
      <c r="AN29" s="83">
        <v>1.9499000000000001E-3</v>
      </c>
      <c r="AO29" s="83">
        <v>1.9033199999999999</v>
      </c>
      <c r="AP29" s="83">
        <v>0.26632400000000001</v>
      </c>
      <c r="AQ29" s="83">
        <v>1.9499000000000001E-3</v>
      </c>
      <c r="AR29" s="83">
        <v>1.8832500000000001</v>
      </c>
      <c r="AS29" s="83">
        <v>0.26036799999999999</v>
      </c>
      <c r="AT29" s="83">
        <v>1.9499000000000001E-3</v>
      </c>
      <c r="AU29" s="83">
        <v>1.8384199999999999</v>
      </c>
      <c r="AV29" s="83">
        <v>0.25209500000000001</v>
      </c>
      <c r="AW29" s="83">
        <v>1.9499000000000001E-3</v>
      </c>
      <c r="AX29" s="83">
        <v>1.8407</v>
      </c>
      <c r="AY29" s="83">
        <v>0.25092300000000001</v>
      </c>
      <c r="AZ29" s="83">
        <v>1.9499000000000001E-3</v>
      </c>
      <c r="BA29" s="83">
        <v>1.9342900000000001</v>
      </c>
      <c r="BB29" s="83">
        <v>0.264955</v>
      </c>
      <c r="BC29" s="83">
        <v>1.9499000000000001E-3</v>
      </c>
      <c r="BD29" s="83">
        <v>1.8970199999999999</v>
      </c>
      <c r="BE29" s="83">
        <v>0.25716600000000001</v>
      </c>
      <c r="BF29" s="83">
        <v>1.9499000000000001E-3</v>
      </c>
      <c r="BG29" s="83">
        <v>1.8838900000000001</v>
      </c>
      <c r="BH29" s="83">
        <v>0.25399699999999997</v>
      </c>
      <c r="BI29" s="83">
        <v>1.9499000000000001E-3</v>
      </c>
      <c r="BJ29" s="83">
        <v>1.9282300000000001</v>
      </c>
      <c r="BK29" s="83">
        <v>0.25982699999999997</v>
      </c>
      <c r="BL29" s="83">
        <v>1.9499000000000001E-3</v>
      </c>
      <c r="BM29" s="83">
        <v>1.9600599999999999</v>
      </c>
      <c r="BN29" s="83">
        <v>0.26311000000000001</v>
      </c>
      <c r="BO29" s="83">
        <v>1.9499000000000001E-3</v>
      </c>
      <c r="BP29" s="83">
        <v>1.9250700000000001</v>
      </c>
      <c r="BQ29" s="83">
        <v>0.25591900000000001</v>
      </c>
      <c r="BR29" s="83">
        <v>1.9499000000000001E-3</v>
      </c>
      <c r="BS29" s="83">
        <v>1.96451</v>
      </c>
      <c r="BT29" s="83">
        <v>0.26103700000000002</v>
      </c>
      <c r="BU29" s="83">
        <v>1.9499000000000001E-3</v>
      </c>
      <c r="BV29" s="83">
        <v>2.0159099999999999</v>
      </c>
      <c r="BW29" s="83">
        <v>0.26637</v>
      </c>
      <c r="BX29" s="83">
        <v>1.9499000000000001E-3</v>
      </c>
      <c r="BY29" s="83">
        <v>1.9995000000000001</v>
      </c>
      <c r="BZ29" s="83">
        <v>0.26224999999999998</v>
      </c>
      <c r="CA29" s="83">
        <v>1.9499000000000001E-3</v>
      </c>
      <c r="CB29" s="83">
        <v>1.9515400000000001</v>
      </c>
      <c r="CC29" s="83">
        <v>0.25342199999999998</v>
      </c>
      <c r="CD29" s="83">
        <v>1.9499000000000001E-3</v>
      </c>
      <c r="CE29" s="83">
        <v>1.94919</v>
      </c>
      <c r="CF29" s="83">
        <v>0.25172299999999997</v>
      </c>
      <c r="CG29" s="83">
        <v>1.9499000000000001E-3</v>
      </c>
      <c r="CH29" s="83">
        <v>2.0131800000000002</v>
      </c>
      <c r="CI29" s="83">
        <v>0.25883200000000001</v>
      </c>
      <c r="CJ29" s="83">
        <v>1.9499000000000001E-3</v>
      </c>
      <c r="CK29" s="83">
        <v>2.0429900000000001</v>
      </c>
      <c r="CL29" s="83">
        <v>0.262297</v>
      </c>
      <c r="CM29" s="83">
        <v>1.9499000000000001E-3</v>
      </c>
      <c r="CN29" s="83">
        <v>2.0343</v>
      </c>
      <c r="CO29" s="83">
        <v>0.25962499999999999</v>
      </c>
      <c r="CP29" s="83">
        <v>1.9499000000000001E-3</v>
      </c>
      <c r="CQ29" s="83">
        <v>2.0124</v>
      </c>
      <c r="CR29" s="83">
        <v>0.25550600000000001</v>
      </c>
      <c r="CS29" s="83">
        <v>1.9499000000000001E-3</v>
      </c>
      <c r="CT29" s="83">
        <v>2.07159</v>
      </c>
      <c r="CU29" s="83">
        <v>0.26335999999999998</v>
      </c>
      <c r="CV29" s="83">
        <v>1.9499000000000001E-3</v>
      </c>
      <c r="CW29" s="83">
        <v>2.0009899999999998</v>
      </c>
      <c r="CX29" s="83">
        <v>0.25351600000000002</v>
      </c>
    </row>
    <row r="30" spans="1:102" x14ac:dyDescent="0.2">
      <c r="A30" s="83">
        <v>2.0498999999999999E-3</v>
      </c>
      <c r="B30" s="83">
        <v>1.5329200000000001</v>
      </c>
      <c r="C30" s="83">
        <v>0.23791300000000001</v>
      </c>
      <c r="D30" s="83">
        <v>2.0498999999999999E-3</v>
      </c>
      <c r="E30" s="83">
        <v>1.59571</v>
      </c>
      <c r="F30" s="83">
        <v>0.24537200000000001</v>
      </c>
      <c r="G30" s="83">
        <v>2.0498999999999999E-3</v>
      </c>
      <c r="H30" s="83">
        <v>1.6154299999999999</v>
      </c>
      <c r="I30" s="83">
        <v>0.24409500000000001</v>
      </c>
      <c r="J30" s="83">
        <v>2.0498999999999999E-3</v>
      </c>
      <c r="K30" s="83">
        <v>1.6094900000000001</v>
      </c>
      <c r="L30" s="83">
        <v>0.23943400000000001</v>
      </c>
      <c r="M30" s="83">
        <v>2.0498999999999999E-3</v>
      </c>
      <c r="N30" s="83">
        <v>1.6573100000000001</v>
      </c>
      <c r="O30" s="83">
        <v>0.24293500000000001</v>
      </c>
      <c r="P30" s="83">
        <v>2.0498999999999999E-3</v>
      </c>
      <c r="Q30" s="83">
        <v>1.7119</v>
      </c>
      <c r="R30" s="83">
        <v>0.247582</v>
      </c>
      <c r="S30" s="83">
        <v>2.0498999999999999E-3</v>
      </c>
      <c r="T30" s="83">
        <v>1.74241</v>
      </c>
      <c r="U30" s="83">
        <v>0.24793200000000001</v>
      </c>
      <c r="V30" s="83">
        <v>2.0498999999999999E-3</v>
      </c>
      <c r="W30" s="83">
        <v>1.7149300000000001</v>
      </c>
      <c r="X30" s="83">
        <v>0.241259</v>
      </c>
      <c r="Y30" s="83">
        <v>2.0498999999999999E-3</v>
      </c>
      <c r="Z30" s="83">
        <v>1.7468699999999999</v>
      </c>
      <c r="AA30" s="83">
        <v>0.24548700000000001</v>
      </c>
      <c r="AB30" s="83">
        <v>2.0498999999999999E-3</v>
      </c>
      <c r="AC30" s="83">
        <v>1.73217</v>
      </c>
      <c r="AD30" s="83">
        <v>0.241259</v>
      </c>
      <c r="AE30" s="83">
        <v>2.0498999999999999E-3</v>
      </c>
      <c r="AF30" s="83">
        <v>1.75939</v>
      </c>
      <c r="AG30" s="83">
        <v>0.244868</v>
      </c>
      <c r="AH30" s="83">
        <v>2.0498999999999999E-3</v>
      </c>
      <c r="AI30" s="83">
        <v>1.7390099999999999</v>
      </c>
      <c r="AJ30" s="83">
        <v>0.239756</v>
      </c>
      <c r="AK30" s="83">
        <v>2.0498999999999999E-3</v>
      </c>
      <c r="AL30" s="83">
        <v>1.74176</v>
      </c>
      <c r="AM30" s="83">
        <v>0.23896100000000001</v>
      </c>
      <c r="AN30" s="83">
        <v>2.0498999999999999E-3</v>
      </c>
      <c r="AO30" s="83">
        <v>1.8234999999999999</v>
      </c>
      <c r="AP30" s="83">
        <v>0.25138199999999999</v>
      </c>
      <c r="AQ30" s="83">
        <v>2.0498999999999999E-3</v>
      </c>
      <c r="AR30" s="83">
        <v>1.8025</v>
      </c>
      <c r="AS30" s="83">
        <v>0.24579899999999999</v>
      </c>
      <c r="AT30" s="83">
        <v>2.0498999999999999E-3</v>
      </c>
      <c r="AU30" s="83">
        <v>1.7593399999999999</v>
      </c>
      <c r="AV30" s="83">
        <v>0.23811399999999999</v>
      </c>
      <c r="AW30" s="83">
        <v>2.0498999999999999E-3</v>
      </c>
      <c r="AX30" s="83">
        <v>1.7600499999999999</v>
      </c>
      <c r="AY30" s="83">
        <v>0.23702100000000001</v>
      </c>
      <c r="AZ30" s="83">
        <v>2.0498999999999999E-3</v>
      </c>
      <c r="BA30" s="83">
        <v>1.8498000000000001</v>
      </c>
      <c r="BB30" s="83">
        <v>0.25011899999999998</v>
      </c>
      <c r="BC30" s="83">
        <v>2.0498999999999999E-3</v>
      </c>
      <c r="BD30" s="83">
        <v>1.81297</v>
      </c>
      <c r="BE30" s="83">
        <v>0.24282100000000001</v>
      </c>
      <c r="BF30" s="83">
        <v>2.0498999999999999E-3</v>
      </c>
      <c r="BG30" s="83">
        <v>1.7995699999999999</v>
      </c>
      <c r="BH30" s="83">
        <v>0.23988799999999999</v>
      </c>
      <c r="BI30" s="83">
        <v>2.0498999999999999E-3</v>
      </c>
      <c r="BJ30" s="83">
        <v>1.8415299999999999</v>
      </c>
      <c r="BK30" s="83">
        <v>0.24532799999999999</v>
      </c>
      <c r="BL30" s="83">
        <v>2.0498999999999999E-3</v>
      </c>
      <c r="BM30" s="83">
        <v>1.8712899999999999</v>
      </c>
      <c r="BN30" s="83">
        <v>0.24838399999999999</v>
      </c>
      <c r="BO30" s="83">
        <v>2.0498999999999999E-3</v>
      </c>
      <c r="BP30" s="83">
        <v>1.8368800000000001</v>
      </c>
      <c r="BQ30" s="83">
        <v>0.24166399999999999</v>
      </c>
      <c r="BR30" s="83">
        <v>2.0498999999999999E-3</v>
      </c>
      <c r="BS30" s="83">
        <v>1.8743099999999999</v>
      </c>
      <c r="BT30" s="83">
        <v>0.24651200000000001</v>
      </c>
      <c r="BU30" s="83">
        <v>2.0498999999999999E-3</v>
      </c>
      <c r="BV30" s="83">
        <v>1.92225</v>
      </c>
      <c r="BW30" s="83">
        <v>0.25147199999999997</v>
      </c>
      <c r="BX30" s="83">
        <v>2.0498999999999999E-3</v>
      </c>
      <c r="BY30" s="83">
        <v>1.9062699999999999</v>
      </c>
      <c r="BZ30" s="83">
        <v>0.24766299999999999</v>
      </c>
      <c r="CA30" s="83">
        <v>2.0498999999999999E-3</v>
      </c>
      <c r="CB30" s="83">
        <v>1.8586499999999999</v>
      </c>
      <c r="CC30" s="83">
        <v>0.239319</v>
      </c>
      <c r="CD30" s="83">
        <v>2.0498999999999999E-3</v>
      </c>
      <c r="CE30" s="83">
        <v>1.8563000000000001</v>
      </c>
      <c r="CF30" s="83">
        <v>0.237815</v>
      </c>
      <c r="CG30" s="83">
        <v>2.0498999999999999E-3</v>
      </c>
      <c r="CH30" s="83">
        <v>1.91611</v>
      </c>
      <c r="CI30" s="83">
        <v>0.24438199999999999</v>
      </c>
      <c r="CJ30" s="83">
        <v>2.0498999999999999E-3</v>
      </c>
      <c r="CK30" s="83">
        <v>1.9442200000000001</v>
      </c>
      <c r="CL30" s="83">
        <v>0.24767600000000001</v>
      </c>
      <c r="CM30" s="83">
        <v>2.0498999999999999E-3</v>
      </c>
      <c r="CN30" s="83">
        <v>1.93421</v>
      </c>
      <c r="CO30" s="83">
        <v>0.24508199999999999</v>
      </c>
      <c r="CP30" s="83">
        <v>2.0498999999999999E-3</v>
      </c>
      <c r="CQ30" s="83">
        <v>1.91266</v>
      </c>
      <c r="CR30" s="83">
        <v>0.24124000000000001</v>
      </c>
      <c r="CS30" s="83">
        <v>2.0498999999999999E-3</v>
      </c>
      <c r="CT30" s="83">
        <v>1.9683600000000001</v>
      </c>
      <c r="CU30" s="83">
        <v>0.248671</v>
      </c>
      <c r="CV30" s="83">
        <v>2.0498999999999999E-3</v>
      </c>
      <c r="CW30" s="83">
        <v>1.8989400000000001</v>
      </c>
      <c r="CX30" s="83">
        <v>0.23935899999999999</v>
      </c>
    </row>
    <row r="31" spans="1:102" x14ac:dyDescent="0.2">
      <c r="A31" s="83">
        <v>2.1499000000000002E-3</v>
      </c>
      <c r="B31" s="83">
        <v>1.4706300000000001</v>
      </c>
      <c r="C31" s="83">
        <v>0.22475800000000001</v>
      </c>
      <c r="D31" s="83">
        <v>2.1499000000000002E-3</v>
      </c>
      <c r="E31" s="83">
        <v>1.53122</v>
      </c>
      <c r="F31" s="83">
        <v>0.23170299999999999</v>
      </c>
      <c r="G31" s="83">
        <v>2.1499000000000002E-3</v>
      </c>
      <c r="H31" s="83">
        <v>1.5496099999999999</v>
      </c>
      <c r="I31" s="83">
        <v>0.23047100000000001</v>
      </c>
      <c r="J31" s="83">
        <v>2.1499000000000002E-3</v>
      </c>
      <c r="K31" s="83">
        <v>1.5433600000000001</v>
      </c>
      <c r="L31" s="83">
        <v>0.22613900000000001</v>
      </c>
      <c r="M31" s="83">
        <v>2.1499000000000002E-3</v>
      </c>
      <c r="N31" s="83">
        <v>1.58952</v>
      </c>
      <c r="O31" s="83">
        <v>0.22945199999999999</v>
      </c>
      <c r="P31" s="83">
        <v>2.1499000000000002E-3</v>
      </c>
      <c r="Q31" s="83">
        <v>1.64232</v>
      </c>
      <c r="R31" s="83">
        <v>0.23383300000000001</v>
      </c>
      <c r="S31" s="83">
        <v>2.1499000000000002E-3</v>
      </c>
      <c r="T31" s="83">
        <v>1.6710799999999999</v>
      </c>
      <c r="U31" s="83">
        <v>0.234093</v>
      </c>
      <c r="V31" s="83">
        <v>2.1499000000000002E-3</v>
      </c>
      <c r="W31" s="83">
        <v>1.64503</v>
      </c>
      <c r="X31" s="83">
        <v>0.22795299999999999</v>
      </c>
      <c r="Y31" s="83">
        <v>2.1499000000000002E-3</v>
      </c>
      <c r="Z31" s="83">
        <v>1.6740699999999999</v>
      </c>
      <c r="AA31" s="83">
        <v>0.23186499999999999</v>
      </c>
      <c r="AB31" s="83">
        <v>2.1499000000000002E-3</v>
      </c>
      <c r="AC31" s="83">
        <v>1.65987</v>
      </c>
      <c r="AD31" s="83">
        <v>0.227884</v>
      </c>
      <c r="AE31" s="83">
        <v>2.1499000000000002E-3</v>
      </c>
      <c r="AF31" s="83">
        <v>1.68523</v>
      </c>
      <c r="AG31" s="83">
        <v>0.23127800000000001</v>
      </c>
      <c r="AH31" s="83">
        <v>2.1499000000000002E-3</v>
      </c>
      <c r="AI31" s="83">
        <v>1.6651499999999999</v>
      </c>
      <c r="AJ31" s="83">
        <v>0.226519</v>
      </c>
      <c r="AK31" s="83">
        <v>2.1499000000000002E-3</v>
      </c>
      <c r="AL31" s="83">
        <v>1.6667099999999999</v>
      </c>
      <c r="AM31" s="83">
        <v>0.22576399999999999</v>
      </c>
      <c r="AN31" s="83">
        <v>2.1499000000000002E-3</v>
      </c>
      <c r="AO31" s="83">
        <v>1.7454000000000001</v>
      </c>
      <c r="AP31" s="83">
        <v>0.237402</v>
      </c>
      <c r="AQ31" s="83">
        <v>2.1499000000000002E-3</v>
      </c>
      <c r="AR31" s="83">
        <v>1.7238800000000001</v>
      </c>
      <c r="AS31" s="83">
        <v>0.232126</v>
      </c>
      <c r="AT31" s="83">
        <v>2.1499000000000002E-3</v>
      </c>
      <c r="AU31" s="83">
        <v>1.68228</v>
      </c>
      <c r="AV31" s="83">
        <v>0.22505600000000001</v>
      </c>
      <c r="AW31" s="83">
        <v>2.1499000000000002E-3</v>
      </c>
      <c r="AX31" s="83">
        <v>1.6823300000000001</v>
      </c>
      <c r="AY31" s="83">
        <v>0.22398899999999999</v>
      </c>
      <c r="AZ31" s="83">
        <v>2.1499000000000002E-3</v>
      </c>
      <c r="BA31" s="83">
        <v>1.7680499999999999</v>
      </c>
      <c r="BB31" s="83">
        <v>0.23621700000000001</v>
      </c>
      <c r="BC31" s="83">
        <v>2.1499000000000002E-3</v>
      </c>
      <c r="BD31" s="83">
        <v>1.7310700000000001</v>
      </c>
      <c r="BE31" s="83">
        <v>0.22938600000000001</v>
      </c>
      <c r="BF31" s="83">
        <v>2.1499000000000002E-3</v>
      </c>
      <c r="BG31" s="83">
        <v>1.7179199999999999</v>
      </c>
      <c r="BH31" s="83">
        <v>0.22664599999999999</v>
      </c>
      <c r="BI31" s="83">
        <v>2.1499000000000002E-3</v>
      </c>
      <c r="BJ31" s="83">
        <v>1.7576400000000001</v>
      </c>
      <c r="BK31" s="83">
        <v>0.231715</v>
      </c>
      <c r="BL31" s="83">
        <v>2.1499000000000002E-3</v>
      </c>
      <c r="BM31" s="83">
        <v>1.7854300000000001</v>
      </c>
      <c r="BN31" s="83">
        <v>0.234545</v>
      </c>
      <c r="BO31" s="83">
        <v>2.1499000000000002E-3</v>
      </c>
      <c r="BP31" s="83">
        <v>1.7514099999999999</v>
      </c>
      <c r="BQ31" s="83">
        <v>0.228273</v>
      </c>
      <c r="BR31" s="83">
        <v>2.1499000000000002E-3</v>
      </c>
      <c r="BS31" s="83">
        <v>1.7870999999999999</v>
      </c>
      <c r="BT31" s="83">
        <v>0.23289000000000001</v>
      </c>
      <c r="BU31" s="83">
        <v>2.1499000000000002E-3</v>
      </c>
      <c r="BV31" s="83">
        <v>1.83209</v>
      </c>
      <c r="BW31" s="83">
        <v>0.237488</v>
      </c>
      <c r="BX31" s="83">
        <v>2.1499000000000002E-3</v>
      </c>
      <c r="BY31" s="83">
        <v>1.81653</v>
      </c>
      <c r="BZ31" s="83">
        <v>0.23394899999999999</v>
      </c>
      <c r="CA31" s="83">
        <v>2.1499000000000002E-3</v>
      </c>
      <c r="CB31" s="83">
        <v>1.7695399999999999</v>
      </c>
      <c r="CC31" s="83">
        <v>0.22609199999999999</v>
      </c>
      <c r="CD31" s="83">
        <v>2.1499000000000002E-3</v>
      </c>
      <c r="CE31" s="83">
        <v>1.76675</v>
      </c>
      <c r="CF31" s="83">
        <v>0.224744</v>
      </c>
      <c r="CG31" s="83">
        <v>2.1499000000000002E-3</v>
      </c>
      <c r="CH31" s="83">
        <v>1.8224</v>
      </c>
      <c r="CI31" s="83">
        <v>0.230772</v>
      </c>
      <c r="CJ31" s="83">
        <v>2.1499000000000002E-3</v>
      </c>
      <c r="CK31" s="83">
        <v>1.84894</v>
      </c>
      <c r="CL31" s="83">
        <v>0.23394499999999999</v>
      </c>
      <c r="CM31" s="83">
        <v>2.1499000000000002E-3</v>
      </c>
      <c r="CN31" s="83">
        <v>1.8375699999999999</v>
      </c>
      <c r="CO31" s="83">
        <v>0.231405</v>
      </c>
      <c r="CP31" s="83">
        <v>2.1499000000000002E-3</v>
      </c>
      <c r="CQ31" s="83">
        <v>1.81619</v>
      </c>
      <c r="CR31" s="83">
        <v>0.22785</v>
      </c>
      <c r="CS31" s="83">
        <v>2.1499000000000002E-3</v>
      </c>
      <c r="CT31" s="83">
        <v>1.86975</v>
      </c>
      <c r="CU31" s="83">
        <v>0.23486899999999999</v>
      </c>
      <c r="CV31" s="83">
        <v>2.1499000000000002E-3</v>
      </c>
      <c r="CW31" s="83">
        <v>1.8013999999999999</v>
      </c>
      <c r="CX31" s="83">
        <v>0.22608300000000001</v>
      </c>
    </row>
    <row r="32" spans="1:102" x14ac:dyDescent="0.2">
      <c r="A32" s="83">
        <v>2.2499E-3</v>
      </c>
      <c r="B32" s="83">
        <v>1.41022</v>
      </c>
      <c r="C32" s="83">
        <v>0.21237</v>
      </c>
      <c r="D32" s="83">
        <v>2.2499E-3</v>
      </c>
      <c r="E32" s="83">
        <v>1.46868</v>
      </c>
      <c r="F32" s="83">
        <v>0.218893</v>
      </c>
      <c r="G32" s="83">
        <v>2.2499E-3</v>
      </c>
      <c r="H32" s="83">
        <v>1.4859100000000001</v>
      </c>
      <c r="I32" s="83">
        <v>0.21776999999999999</v>
      </c>
      <c r="J32" s="83">
        <v>2.2499E-3</v>
      </c>
      <c r="K32" s="83">
        <v>1.4791099999999999</v>
      </c>
      <c r="L32" s="83">
        <v>0.21365400000000001</v>
      </c>
      <c r="M32" s="83">
        <v>2.2499E-3</v>
      </c>
      <c r="N32" s="83">
        <v>1.52332</v>
      </c>
      <c r="O32" s="83">
        <v>0.21679499999999999</v>
      </c>
      <c r="P32" s="83">
        <v>2.2499E-3</v>
      </c>
      <c r="Q32" s="83">
        <v>1.5745100000000001</v>
      </c>
      <c r="R32" s="83">
        <v>0.22098000000000001</v>
      </c>
      <c r="S32" s="83">
        <v>2.2499E-3</v>
      </c>
      <c r="T32" s="83">
        <v>1.60192</v>
      </c>
      <c r="U32" s="83">
        <v>0.22117999999999999</v>
      </c>
      <c r="V32" s="83">
        <v>2.2499E-3</v>
      </c>
      <c r="W32" s="83">
        <v>1.5759700000000001</v>
      </c>
      <c r="X32" s="83">
        <v>0.21548900000000001</v>
      </c>
      <c r="Y32" s="83">
        <v>2.2499E-3</v>
      </c>
      <c r="Z32" s="83">
        <v>1.60365</v>
      </c>
      <c r="AA32" s="83">
        <v>0.21906700000000001</v>
      </c>
      <c r="AB32" s="83">
        <v>2.2499E-3</v>
      </c>
      <c r="AC32" s="83">
        <v>1.58897</v>
      </c>
      <c r="AD32" s="83">
        <v>0.21538599999999999</v>
      </c>
      <c r="AE32" s="83">
        <v>2.2499E-3</v>
      </c>
      <c r="AF32" s="83">
        <v>1.6134299999999999</v>
      </c>
      <c r="AG32" s="83">
        <v>0.218528</v>
      </c>
      <c r="AH32" s="83">
        <v>2.2499E-3</v>
      </c>
      <c r="AI32" s="83">
        <v>1.5934600000000001</v>
      </c>
      <c r="AJ32" s="83">
        <v>0.214087</v>
      </c>
      <c r="AK32" s="83">
        <v>2.2499E-3</v>
      </c>
      <c r="AL32" s="83">
        <v>1.59449</v>
      </c>
      <c r="AM32" s="83">
        <v>0.21340500000000001</v>
      </c>
      <c r="AN32" s="83">
        <v>2.2499E-3</v>
      </c>
      <c r="AO32" s="83">
        <v>1.6696800000000001</v>
      </c>
      <c r="AP32" s="83">
        <v>0.22428999999999999</v>
      </c>
      <c r="AQ32" s="83">
        <v>2.2499E-3</v>
      </c>
      <c r="AR32" s="83">
        <v>1.6478600000000001</v>
      </c>
      <c r="AS32" s="83">
        <v>0.21932399999999999</v>
      </c>
      <c r="AT32" s="83">
        <v>2.2499E-3</v>
      </c>
      <c r="AU32" s="83">
        <v>1.60754</v>
      </c>
      <c r="AV32" s="83">
        <v>0.21279400000000001</v>
      </c>
      <c r="AW32" s="83">
        <v>2.2499E-3</v>
      </c>
      <c r="AX32" s="83">
        <v>1.60673</v>
      </c>
      <c r="AY32" s="83">
        <v>0.21175099999999999</v>
      </c>
      <c r="AZ32" s="83">
        <v>2.2499E-3</v>
      </c>
      <c r="BA32" s="83">
        <v>1.6887099999999999</v>
      </c>
      <c r="BB32" s="83">
        <v>0.22317000000000001</v>
      </c>
      <c r="BC32" s="83">
        <v>2.2499E-3</v>
      </c>
      <c r="BD32" s="83">
        <v>1.6521600000000001</v>
      </c>
      <c r="BE32" s="83">
        <v>0.21676999999999999</v>
      </c>
      <c r="BF32" s="83">
        <v>2.2499E-3</v>
      </c>
      <c r="BG32" s="83">
        <v>1.63916</v>
      </c>
      <c r="BH32" s="83">
        <v>0.21420800000000001</v>
      </c>
      <c r="BI32" s="83">
        <v>2.2499E-3</v>
      </c>
      <c r="BJ32" s="83">
        <v>1.6761299999999999</v>
      </c>
      <c r="BK32" s="83">
        <v>0.218972</v>
      </c>
      <c r="BL32" s="83">
        <v>2.2499E-3</v>
      </c>
      <c r="BM32" s="83">
        <v>1.7025300000000001</v>
      </c>
      <c r="BN32" s="83">
        <v>0.221641</v>
      </c>
      <c r="BO32" s="83">
        <v>2.2499E-3</v>
      </c>
      <c r="BP32" s="83">
        <v>1.6693</v>
      </c>
      <c r="BQ32" s="83">
        <v>0.21573500000000001</v>
      </c>
      <c r="BR32" s="83">
        <v>2.2499E-3</v>
      </c>
      <c r="BS32" s="83">
        <v>1.7032799999999999</v>
      </c>
      <c r="BT32" s="83">
        <v>0.22012699999999999</v>
      </c>
      <c r="BU32" s="83">
        <v>2.2499E-3</v>
      </c>
      <c r="BV32" s="83">
        <v>1.7453399999999999</v>
      </c>
      <c r="BW32" s="83">
        <v>0.224383</v>
      </c>
      <c r="BX32" s="83">
        <v>2.2499E-3</v>
      </c>
      <c r="BY32" s="83">
        <v>1.72963</v>
      </c>
      <c r="BZ32" s="83">
        <v>0.22107599999999999</v>
      </c>
      <c r="CA32" s="83">
        <v>2.2499E-3</v>
      </c>
      <c r="CB32" s="83">
        <v>1.68354</v>
      </c>
      <c r="CC32" s="83">
        <v>0.213674</v>
      </c>
      <c r="CD32" s="83">
        <v>2.2499E-3</v>
      </c>
      <c r="CE32" s="83">
        <v>1.68045</v>
      </c>
      <c r="CF32" s="83">
        <v>0.212449</v>
      </c>
      <c r="CG32" s="83">
        <v>2.2499E-3</v>
      </c>
      <c r="CH32" s="83">
        <v>1.7322299999999999</v>
      </c>
      <c r="CI32" s="83">
        <v>0.218058</v>
      </c>
      <c r="CJ32" s="83">
        <v>2.2499E-3</v>
      </c>
      <c r="CK32" s="83">
        <v>1.7574099999999999</v>
      </c>
      <c r="CL32" s="83">
        <v>0.22108900000000001</v>
      </c>
      <c r="CM32" s="83">
        <v>2.2499E-3</v>
      </c>
      <c r="CN32" s="83">
        <v>1.7452300000000001</v>
      </c>
      <c r="CO32" s="83">
        <v>0.218637</v>
      </c>
      <c r="CP32" s="83">
        <v>2.2499E-3</v>
      </c>
      <c r="CQ32" s="83">
        <v>1.72376</v>
      </c>
      <c r="CR32" s="83">
        <v>0.215307</v>
      </c>
      <c r="CS32" s="83">
        <v>2.2499E-3</v>
      </c>
      <c r="CT32" s="83">
        <v>1.77484</v>
      </c>
      <c r="CU32" s="83">
        <v>0.221946</v>
      </c>
      <c r="CV32" s="83">
        <v>2.2499E-3</v>
      </c>
      <c r="CW32" s="83">
        <v>1.7077100000000001</v>
      </c>
      <c r="CX32" s="83">
        <v>0.21359300000000001</v>
      </c>
    </row>
    <row r="33" spans="1:102" x14ac:dyDescent="0.2">
      <c r="A33" s="83">
        <v>2.3498999999999998E-3</v>
      </c>
      <c r="B33" s="83">
        <v>1.3528500000000001</v>
      </c>
      <c r="C33" s="83">
        <v>0.200738</v>
      </c>
      <c r="D33" s="83">
        <v>2.3498999999999998E-3</v>
      </c>
      <c r="E33" s="83">
        <v>1.40777</v>
      </c>
      <c r="F33" s="83">
        <v>0.20679400000000001</v>
      </c>
      <c r="G33" s="83">
        <v>2.3498999999999998E-3</v>
      </c>
      <c r="H33" s="83">
        <v>1.4238</v>
      </c>
      <c r="I33" s="83">
        <v>0.20574100000000001</v>
      </c>
      <c r="J33" s="83">
        <v>2.3498999999999998E-3</v>
      </c>
      <c r="K33" s="83">
        <v>1.4170100000000001</v>
      </c>
      <c r="L33" s="83">
        <v>0.20189699999999999</v>
      </c>
      <c r="M33" s="83">
        <v>2.3498999999999998E-3</v>
      </c>
      <c r="N33" s="83">
        <v>1.45909</v>
      </c>
      <c r="O33" s="83">
        <v>0.20485500000000001</v>
      </c>
      <c r="P33" s="83">
        <v>2.3498999999999998E-3</v>
      </c>
      <c r="Q33" s="83">
        <v>1.5086999999999999</v>
      </c>
      <c r="R33" s="83">
        <v>0.208818</v>
      </c>
      <c r="S33" s="83">
        <v>2.3498999999999998E-3</v>
      </c>
      <c r="T33" s="83">
        <v>1.5346599999999999</v>
      </c>
      <c r="U33" s="83">
        <v>0.208951</v>
      </c>
      <c r="V33" s="83">
        <v>2.3498999999999998E-3</v>
      </c>
      <c r="W33" s="83">
        <v>1.5092000000000001</v>
      </c>
      <c r="X33" s="83">
        <v>0.203623</v>
      </c>
      <c r="Y33" s="83">
        <v>2.3498999999999998E-3</v>
      </c>
      <c r="Z33" s="83">
        <v>1.5353600000000001</v>
      </c>
      <c r="AA33" s="83">
        <v>0.20702899999999999</v>
      </c>
      <c r="AB33" s="83">
        <v>2.3498999999999998E-3</v>
      </c>
      <c r="AC33" s="83">
        <v>1.5210600000000001</v>
      </c>
      <c r="AD33" s="83">
        <v>0.203514</v>
      </c>
      <c r="AE33" s="83">
        <v>2.3498999999999998E-3</v>
      </c>
      <c r="AF33" s="83">
        <v>1.5434600000000001</v>
      </c>
      <c r="AG33" s="83">
        <v>0.20651900000000001</v>
      </c>
      <c r="AH33" s="83">
        <v>2.3498999999999998E-3</v>
      </c>
      <c r="AI33" s="83">
        <v>1.52345</v>
      </c>
      <c r="AJ33" s="83">
        <v>0.20233300000000001</v>
      </c>
      <c r="AK33" s="83">
        <v>2.3498999999999998E-3</v>
      </c>
      <c r="AL33" s="83">
        <v>1.5241800000000001</v>
      </c>
      <c r="AM33" s="83">
        <v>0.20168800000000001</v>
      </c>
      <c r="AN33" s="83">
        <v>2.3498999999999998E-3</v>
      </c>
      <c r="AO33" s="83">
        <v>1.5959700000000001</v>
      </c>
      <c r="AP33" s="83">
        <v>0.21193600000000001</v>
      </c>
      <c r="AQ33" s="83">
        <v>2.3498999999999998E-3</v>
      </c>
      <c r="AR33" s="83">
        <v>1.57379</v>
      </c>
      <c r="AS33" s="83">
        <v>0.207205</v>
      </c>
      <c r="AT33" s="83">
        <v>2.3498999999999998E-3</v>
      </c>
      <c r="AU33" s="83">
        <v>1.53549</v>
      </c>
      <c r="AV33" s="83">
        <v>0.20117399999999999</v>
      </c>
      <c r="AW33" s="83">
        <v>2.3498999999999998E-3</v>
      </c>
      <c r="AX33" s="83">
        <v>1.53386</v>
      </c>
      <c r="AY33" s="83">
        <v>0.20014599999999999</v>
      </c>
      <c r="AZ33" s="83">
        <v>2.3498999999999998E-3</v>
      </c>
      <c r="BA33" s="83">
        <v>1.6114999999999999</v>
      </c>
      <c r="BB33" s="83">
        <v>0.21086099999999999</v>
      </c>
      <c r="BC33" s="83">
        <v>2.3498999999999998E-3</v>
      </c>
      <c r="BD33" s="83">
        <v>1.57639</v>
      </c>
      <c r="BE33" s="83">
        <v>0.20483599999999999</v>
      </c>
      <c r="BF33" s="83">
        <v>2.3498999999999998E-3</v>
      </c>
      <c r="BG33" s="83">
        <v>1.5630299999999999</v>
      </c>
      <c r="BH33" s="83">
        <v>0.20246500000000001</v>
      </c>
      <c r="BI33" s="83">
        <v>2.3498999999999998E-3</v>
      </c>
      <c r="BJ33" s="83">
        <v>1.5978300000000001</v>
      </c>
      <c r="BK33" s="83">
        <v>0.206923</v>
      </c>
      <c r="BL33" s="83">
        <v>2.3498999999999998E-3</v>
      </c>
      <c r="BM33" s="83">
        <v>1.6224799999999999</v>
      </c>
      <c r="BN33" s="83">
        <v>0.20943999999999999</v>
      </c>
      <c r="BO33" s="83">
        <v>2.3498999999999998E-3</v>
      </c>
      <c r="BP33" s="83">
        <v>1.5899700000000001</v>
      </c>
      <c r="BQ33" s="83">
        <v>0.20389599999999999</v>
      </c>
      <c r="BR33" s="83">
        <v>2.3498999999999998E-3</v>
      </c>
      <c r="BS33" s="83">
        <v>1.62202</v>
      </c>
      <c r="BT33" s="83">
        <v>0.208061</v>
      </c>
      <c r="BU33" s="83">
        <v>2.3498999999999998E-3</v>
      </c>
      <c r="BV33" s="83">
        <v>1.66123</v>
      </c>
      <c r="BW33" s="83">
        <v>0.21202199999999999</v>
      </c>
      <c r="BX33" s="83">
        <v>2.3498999999999998E-3</v>
      </c>
      <c r="BY33" s="83">
        <v>1.64602</v>
      </c>
      <c r="BZ33" s="83">
        <v>0.208921</v>
      </c>
      <c r="CA33" s="83">
        <v>2.3498999999999998E-3</v>
      </c>
      <c r="CB33" s="83">
        <v>1.6008199999999999</v>
      </c>
      <c r="CC33" s="83">
        <v>0.201928</v>
      </c>
      <c r="CD33" s="83">
        <v>2.3498999999999998E-3</v>
      </c>
      <c r="CE33" s="83">
        <v>1.59724</v>
      </c>
      <c r="CF33" s="83">
        <v>0.200823</v>
      </c>
      <c r="CG33" s="83">
        <v>2.3498999999999998E-3</v>
      </c>
      <c r="CH33" s="83">
        <v>1.6456500000000001</v>
      </c>
      <c r="CI33" s="83">
        <v>0.20606099999999999</v>
      </c>
      <c r="CJ33" s="83">
        <v>2.3498999999999998E-3</v>
      </c>
      <c r="CK33" s="83">
        <v>1.6693499999999999</v>
      </c>
      <c r="CL33" s="83">
        <v>0.208922</v>
      </c>
      <c r="CM33" s="83">
        <v>2.3498999999999998E-3</v>
      </c>
      <c r="CN33" s="83">
        <v>1.6568799999999999</v>
      </c>
      <c r="CO33" s="83">
        <v>0.206537</v>
      </c>
      <c r="CP33" s="83">
        <v>2.3498999999999998E-3</v>
      </c>
      <c r="CQ33" s="83">
        <v>1.6355</v>
      </c>
      <c r="CR33" s="83">
        <v>0.20342099999999999</v>
      </c>
      <c r="CS33" s="83">
        <v>2.3498999999999998E-3</v>
      </c>
      <c r="CT33" s="83">
        <v>1.68404</v>
      </c>
      <c r="CU33" s="83">
        <v>0.20971699999999999</v>
      </c>
      <c r="CV33" s="83">
        <v>2.3498999999999998E-3</v>
      </c>
      <c r="CW33" s="83">
        <v>1.6179699999999999</v>
      </c>
      <c r="CX33" s="83">
        <v>0.201816</v>
      </c>
    </row>
    <row r="34" spans="1:102" x14ac:dyDescent="0.2">
      <c r="A34" s="83">
        <v>2.4499000000000001E-3</v>
      </c>
      <c r="B34" s="83">
        <v>1.2964</v>
      </c>
      <c r="C34" s="83">
        <v>0.18981500000000001</v>
      </c>
      <c r="D34" s="83">
        <v>2.4499000000000001E-3</v>
      </c>
      <c r="E34" s="83">
        <v>1.34924</v>
      </c>
      <c r="F34" s="83">
        <v>0.19548199999999999</v>
      </c>
      <c r="G34" s="83">
        <v>2.4499000000000001E-3</v>
      </c>
      <c r="H34" s="83">
        <v>1.3636999999999999</v>
      </c>
      <c r="I34" s="83">
        <v>0.194464</v>
      </c>
      <c r="J34" s="83">
        <v>2.4499000000000001E-3</v>
      </c>
      <c r="K34" s="83">
        <v>1.35734</v>
      </c>
      <c r="L34" s="83">
        <v>0.19087599999999999</v>
      </c>
      <c r="M34" s="83">
        <v>2.4499000000000001E-3</v>
      </c>
      <c r="N34" s="83">
        <v>1.39757</v>
      </c>
      <c r="O34" s="83">
        <v>0.19366700000000001</v>
      </c>
      <c r="P34" s="83">
        <v>2.4499000000000001E-3</v>
      </c>
      <c r="Q34" s="83">
        <v>1.4448399999999999</v>
      </c>
      <c r="R34" s="83">
        <v>0.19741</v>
      </c>
      <c r="S34" s="83">
        <v>2.4499000000000001E-3</v>
      </c>
      <c r="T34" s="83">
        <v>1.4691000000000001</v>
      </c>
      <c r="U34" s="83">
        <v>0.197496</v>
      </c>
      <c r="V34" s="83">
        <v>2.4499000000000001E-3</v>
      </c>
      <c r="W34" s="83">
        <v>1.44485</v>
      </c>
      <c r="X34" s="83">
        <v>0.19262299999999999</v>
      </c>
      <c r="Y34" s="83">
        <v>2.4499000000000001E-3</v>
      </c>
      <c r="Z34" s="83">
        <v>1.4686900000000001</v>
      </c>
      <c r="AA34" s="83">
        <v>0.19569500000000001</v>
      </c>
      <c r="AB34" s="83">
        <v>2.4499000000000001E-3</v>
      </c>
      <c r="AC34" s="83">
        <v>1.4545699999999999</v>
      </c>
      <c r="AD34" s="83">
        <v>0.192443</v>
      </c>
      <c r="AE34" s="83">
        <v>2.4499000000000001E-3</v>
      </c>
      <c r="AF34" s="83">
        <v>1.4761299999999999</v>
      </c>
      <c r="AG34" s="83">
        <v>0.19522500000000001</v>
      </c>
      <c r="AH34" s="83">
        <v>2.4499000000000001E-3</v>
      </c>
      <c r="AI34" s="83">
        <v>1.4560500000000001</v>
      </c>
      <c r="AJ34" s="83">
        <v>0.19134999999999999</v>
      </c>
      <c r="AK34" s="83">
        <v>2.4499000000000001E-3</v>
      </c>
      <c r="AL34" s="83">
        <v>1.45628</v>
      </c>
      <c r="AM34" s="83">
        <v>0.190778</v>
      </c>
      <c r="AN34" s="83">
        <v>2.4499000000000001E-3</v>
      </c>
      <c r="AO34" s="83">
        <v>1.52478</v>
      </c>
      <c r="AP34" s="83">
        <v>0.20027900000000001</v>
      </c>
      <c r="AQ34" s="83">
        <v>2.4499000000000001E-3</v>
      </c>
      <c r="AR34" s="83">
        <v>1.50285</v>
      </c>
      <c r="AS34" s="83">
        <v>0.19586200000000001</v>
      </c>
      <c r="AT34" s="83">
        <v>2.4499000000000001E-3</v>
      </c>
      <c r="AU34" s="83">
        <v>1.4658800000000001</v>
      </c>
      <c r="AV34" s="83">
        <v>0.190359</v>
      </c>
      <c r="AW34" s="83">
        <v>2.4499000000000001E-3</v>
      </c>
      <c r="AX34" s="83">
        <v>1.4632700000000001</v>
      </c>
      <c r="AY34" s="83">
        <v>0.18929499999999999</v>
      </c>
      <c r="AZ34" s="83">
        <v>2.4499000000000001E-3</v>
      </c>
      <c r="BA34" s="83">
        <v>1.5375300000000001</v>
      </c>
      <c r="BB34" s="83">
        <v>0.19930700000000001</v>
      </c>
      <c r="BC34" s="83">
        <v>2.4499000000000001E-3</v>
      </c>
      <c r="BD34" s="83">
        <v>1.50265</v>
      </c>
      <c r="BE34" s="83">
        <v>0.193666</v>
      </c>
      <c r="BF34" s="83">
        <v>2.4499000000000001E-3</v>
      </c>
      <c r="BG34" s="83">
        <v>1.48942</v>
      </c>
      <c r="BH34" s="83">
        <v>0.19148499999999999</v>
      </c>
      <c r="BI34" s="83">
        <v>2.4499000000000001E-3</v>
      </c>
      <c r="BJ34" s="83">
        <v>1.5220199999999999</v>
      </c>
      <c r="BK34" s="83">
        <v>0.19564500000000001</v>
      </c>
      <c r="BL34" s="83">
        <v>2.4499000000000001E-3</v>
      </c>
      <c r="BM34" s="83">
        <v>1.54538</v>
      </c>
      <c r="BN34" s="83">
        <v>0.19797200000000001</v>
      </c>
      <c r="BO34" s="83">
        <v>2.4499000000000001E-3</v>
      </c>
      <c r="BP34" s="83">
        <v>1.5133799999999999</v>
      </c>
      <c r="BQ34" s="83">
        <v>0.19276699999999999</v>
      </c>
      <c r="BR34" s="83">
        <v>2.4499000000000001E-3</v>
      </c>
      <c r="BS34" s="83">
        <v>1.5444100000000001</v>
      </c>
      <c r="BT34" s="83">
        <v>0.196717</v>
      </c>
      <c r="BU34" s="83">
        <v>2.4499000000000001E-3</v>
      </c>
      <c r="BV34" s="83">
        <v>1.5803700000000001</v>
      </c>
      <c r="BW34" s="83">
        <v>0.200373</v>
      </c>
      <c r="BX34" s="83">
        <v>2.4499000000000001E-3</v>
      </c>
      <c r="BY34" s="83">
        <v>1.56558</v>
      </c>
      <c r="BZ34" s="83">
        <v>0.197518</v>
      </c>
      <c r="CA34" s="83">
        <v>2.4499000000000001E-3</v>
      </c>
      <c r="CB34" s="83">
        <v>1.5211600000000001</v>
      </c>
      <c r="CC34" s="83">
        <v>0.19098000000000001</v>
      </c>
      <c r="CD34" s="83">
        <v>2.4499000000000001E-3</v>
      </c>
      <c r="CE34" s="83">
        <v>1.5173399999999999</v>
      </c>
      <c r="CF34" s="83">
        <v>0.189945</v>
      </c>
      <c r="CG34" s="83">
        <v>2.4499000000000001E-3</v>
      </c>
      <c r="CH34" s="83">
        <v>1.5627200000000001</v>
      </c>
      <c r="CI34" s="83">
        <v>0.194799</v>
      </c>
      <c r="CJ34" s="83">
        <v>2.4499000000000001E-3</v>
      </c>
      <c r="CK34" s="83">
        <v>1.5855999999999999</v>
      </c>
      <c r="CL34" s="83">
        <v>0.197514</v>
      </c>
      <c r="CM34" s="83">
        <v>2.4499000000000001E-3</v>
      </c>
      <c r="CN34" s="83">
        <v>1.5715600000000001</v>
      </c>
      <c r="CO34" s="83">
        <v>0.195212</v>
      </c>
      <c r="CP34" s="83">
        <v>2.4499000000000001E-3</v>
      </c>
      <c r="CQ34" s="83">
        <v>1.5508900000000001</v>
      </c>
      <c r="CR34" s="83">
        <v>0.192328</v>
      </c>
      <c r="CS34" s="83">
        <v>2.4499000000000001E-3</v>
      </c>
      <c r="CT34" s="83">
        <v>1.5963099999999999</v>
      </c>
      <c r="CU34" s="83">
        <v>0.19828399999999999</v>
      </c>
      <c r="CV34" s="83">
        <v>2.4499000000000001E-3</v>
      </c>
      <c r="CW34" s="83">
        <v>1.5322499999999999</v>
      </c>
      <c r="CX34" s="83">
        <v>0.19082399999999999</v>
      </c>
    </row>
    <row r="35" spans="1:102" x14ac:dyDescent="0.2">
      <c r="A35" s="83">
        <v>2.5498999999999999E-3</v>
      </c>
      <c r="B35" s="83">
        <v>1.24112</v>
      </c>
      <c r="C35" s="83">
        <v>0.17957600000000001</v>
      </c>
      <c r="D35" s="83">
        <v>2.5498999999999999E-3</v>
      </c>
      <c r="E35" s="83">
        <v>1.29209</v>
      </c>
      <c r="F35" s="83">
        <v>0.18489700000000001</v>
      </c>
      <c r="G35" s="83">
        <v>2.5498999999999999E-3</v>
      </c>
      <c r="H35" s="83">
        <v>1.3054600000000001</v>
      </c>
      <c r="I35" s="83">
        <v>0.18390000000000001</v>
      </c>
      <c r="J35" s="83">
        <v>2.5498999999999999E-3</v>
      </c>
      <c r="K35" s="83">
        <v>1.29895</v>
      </c>
      <c r="L35" s="83">
        <v>0.180536</v>
      </c>
      <c r="M35" s="83">
        <v>2.5498999999999999E-3</v>
      </c>
      <c r="N35" s="83">
        <v>1.33772</v>
      </c>
      <c r="O35" s="83">
        <v>0.183168</v>
      </c>
      <c r="P35" s="83">
        <v>2.5498999999999999E-3</v>
      </c>
      <c r="Q35" s="83">
        <v>1.38354</v>
      </c>
      <c r="R35" s="83">
        <v>0.186719</v>
      </c>
      <c r="S35" s="83">
        <v>2.5498999999999999E-3</v>
      </c>
      <c r="T35" s="83">
        <v>1.4058600000000001</v>
      </c>
      <c r="U35" s="83">
        <v>0.186749</v>
      </c>
      <c r="V35" s="83">
        <v>2.5498999999999999E-3</v>
      </c>
      <c r="W35" s="83">
        <v>1.3826700000000001</v>
      </c>
      <c r="X35" s="83">
        <v>0.182259</v>
      </c>
      <c r="Y35" s="83">
        <v>2.5498999999999999E-3</v>
      </c>
      <c r="Z35" s="83">
        <v>1.4051800000000001</v>
      </c>
      <c r="AA35" s="83">
        <v>0.18509900000000001</v>
      </c>
      <c r="AB35" s="83">
        <v>2.5498999999999999E-3</v>
      </c>
      <c r="AC35" s="83">
        <v>1.3909199999999999</v>
      </c>
      <c r="AD35" s="83">
        <v>0.18201100000000001</v>
      </c>
      <c r="AE35" s="83">
        <v>2.5498999999999999E-3</v>
      </c>
      <c r="AF35" s="83">
        <v>1.41031</v>
      </c>
      <c r="AG35" s="83">
        <v>0.18465300000000001</v>
      </c>
      <c r="AH35" s="83">
        <v>2.5498999999999999E-3</v>
      </c>
      <c r="AI35" s="83">
        <v>1.3911100000000001</v>
      </c>
      <c r="AJ35" s="83">
        <v>0.181007</v>
      </c>
      <c r="AK35" s="83">
        <v>2.5498999999999999E-3</v>
      </c>
      <c r="AL35" s="83">
        <v>1.3913199999999999</v>
      </c>
      <c r="AM35" s="83">
        <v>0.18047099999999999</v>
      </c>
      <c r="AN35" s="83">
        <v>2.5498999999999999E-3</v>
      </c>
      <c r="AO35" s="83">
        <v>1.4559299999999999</v>
      </c>
      <c r="AP35" s="83">
        <v>0.18942400000000001</v>
      </c>
      <c r="AQ35" s="83">
        <v>2.5498999999999999E-3</v>
      </c>
      <c r="AR35" s="83">
        <v>1.43415</v>
      </c>
      <c r="AS35" s="83">
        <v>0.18526999999999999</v>
      </c>
      <c r="AT35" s="83">
        <v>2.5498999999999999E-3</v>
      </c>
      <c r="AU35" s="83">
        <v>1.3988499999999999</v>
      </c>
      <c r="AV35" s="83">
        <v>0.18010599999999999</v>
      </c>
      <c r="AW35" s="83">
        <v>2.5498999999999999E-3</v>
      </c>
      <c r="AX35" s="83">
        <v>1.3960399999999999</v>
      </c>
      <c r="AY35" s="83">
        <v>0.17910400000000001</v>
      </c>
      <c r="AZ35" s="83">
        <v>2.5498999999999999E-3</v>
      </c>
      <c r="BA35" s="83">
        <v>1.46583</v>
      </c>
      <c r="BB35" s="83">
        <v>0.18851000000000001</v>
      </c>
      <c r="BC35" s="83">
        <v>2.5498999999999999E-3</v>
      </c>
      <c r="BD35" s="83">
        <v>1.43198</v>
      </c>
      <c r="BE35" s="83">
        <v>0.18315000000000001</v>
      </c>
      <c r="BF35" s="83">
        <v>2.5498999999999999E-3</v>
      </c>
      <c r="BG35" s="83">
        <v>1.41865</v>
      </c>
      <c r="BH35" s="83">
        <v>0.18115800000000001</v>
      </c>
      <c r="BI35" s="83">
        <v>2.5498999999999999E-3</v>
      </c>
      <c r="BJ35" s="83">
        <v>1.44916</v>
      </c>
      <c r="BK35" s="83">
        <v>0.18505099999999999</v>
      </c>
      <c r="BL35" s="83">
        <v>2.5498999999999999E-3</v>
      </c>
      <c r="BM35" s="83">
        <v>1.4714400000000001</v>
      </c>
      <c r="BN35" s="83">
        <v>0.187224</v>
      </c>
      <c r="BO35" s="83">
        <v>2.5498999999999999E-3</v>
      </c>
      <c r="BP35" s="83">
        <v>1.4397</v>
      </c>
      <c r="BQ35" s="83">
        <v>0.182365</v>
      </c>
      <c r="BR35" s="83">
        <v>2.5498999999999999E-3</v>
      </c>
      <c r="BS35" s="83">
        <v>1.4687699999999999</v>
      </c>
      <c r="BT35" s="83">
        <v>0.18609899999999999</v>
      </c>
      <c r="BU35" s="83">
        <v>2.5498999999999999E-3</v>
      </c>
      <c r="BV35" s="83">
        <v>1.5029300000000001</v>
      </c>
      <c r="BW35" s="83">
        <v>0.189496</v>
      </c>
      <c r="BX35" s="83">
        <v>2.5498999999999999E-3</v>
      </c>
      <c r="BY35" s="83">
        <v>1.48756</v>
      </c>
      <c r="BZ35" s="83">
        <v>0.18678</v>
      </c>
      <c r="CA35" s="83">
        <v>2.5498999999999999E-3</v>
      </c>
      <c r="CB35" s="83">
        <v>1.44512</v>
      </c>
      <c r="CC35" s="83">
        <v>0.18066499999999999</v>
      </c>
      <c r="CD35" s="83">
        <v>2.5498999999999999E-3</v>
      </c>
      <c r="CE35" s="83">
        <v>1.4412100000000001</v>
      </c>
      <c r="CF35" s="83">
        <v>0.17972099999999999</v>
      </c>
      <c r="CG35" s="83">
        <v>2.5498999999999999E-3</v>
      </c>
      <c r="CH35" s="83">
        <v>1.4833000000000001</v>
      </c>
      <c r="CI35" s="83">
        <v>0.18423700000000001</v>
      </c>
      <c r="CJ35" s="83">
        <v>2.5498999999999999E-3</v>
      </c>
      <c r="CK35" s="83">
        <v>1.5045500000000001</v>
      </c>
      <c r="CL35" s="83">
        <v>0.18682699999999999</v>
      </c>
      <c r="CM35" s="83">
        <v>2.5498999999999999E-3</v>
      </c>
      <c r="CN35" s="83">
        <v>1.4902</v>
      </c>
      <c r="CO35" s="83">
        <v>0.18459700000000001</v>
      </c>
      <c r="CP35" s="83">
        <v>2.5498999999999999E-3</v>
      </c>
      <c r="CQ35" s="83">
        <v>1.4697100000000001</v>
      </c>
      <c r="CR35" s="83">
        <v>0.18190500000000001</v>
      </c>
      <c r="CS35" s="83">
        <v>2.5498999999999999E-3</v>
      </c>
      <c r="CT35" s="83">
        <v>1.51254</v>
      </c>
      <c r="CU35" s="83">
        <v>0.18751000000000001</v>
      </c>
      <c r="CV35" s="83">
        <v>2.5498999999999999E-3</v>
      </c>
      <c r="CW35" s="83">
        <v>1.45035</v>
      </c>
      <c r="CX35" s="83">
        <v>0.180481</v>
      </c>
    </row>
    <row r="36" spans="1:102" x14ac:dyDescent="0.2">
      <c r="A36" s="83">
        <v>2.6499000000000002E-3</v>
      </c>
      <c r="B36" s="83">
        <v>1.1881900000000001</v>
      </c>
      <c r="C36" s="83">
        <v>0.169937</v>
      </c>
      <c r="D36" s="83">
        <v>2.6499000000000002E-3</v>
      </c>
      <c r="E36" s="83">
        <v>1.2363999999999999</v>
      </c>
      <c r="F36" s="83">
        <v>0.17489399999999999</v>
      </c>
      <c r="G36" s="83">
        <v>2.6499000000000002E-3</v>
      </c>
      <c r="H36" s="83">
        <v>1.2490300000000001</v>
      </c>
      <c r="I36" s="83">
        <v>0.173961</v>
      </c>
      <c r="J36" s="83">
        <v>2.6499000000000002E-3</v>
      </c>
      <c r="K36" s="83">
        <v>1.2425200000000001</v>
      </c>
      <c r="L36" s="83">
        <v>0.17083200000000001</v>
      </c>
      <c r="M36" s="83">
        <v>2.6499000000000002E-3</v>
      </c>
      <c r="N36" s="83">
        <v>1.27976</v>
      </c>
      <c r="O36" s="83">
        <v>0.17332</v>
      </c>
      <c r="P36" s="83">
        <v>2.6499000000000002E-3</v>
      </c>
      <c r="Q36" s="83">
        <v>1.32342</v>
      </c>
      <c r="R36" s="83">
        <v>0.17665700000000001</v>
      </c>
      <c r="S36" s="83">
        <v>2.6499000000000002E-3</v>
      </c>
      <c r="T36" s="83">
        <v>1.34473</v>
      </c>
      <c r="U36" s="83">
        <v>0.17665</v>
      </c>
      <c r="V36" s="83">
        <v>2.6499000000000002E-3</v>
      </c>
      <c r="W36" s="83">
        <v>1.3221099999999999</v>
      </c>
      <c r="X36" s="83">
        <v>0.172514</v>
      </c>
      <c r="Y36" s="83">
        <v>2.6499000000000002E-3</v>
      </c>
      <c r="Z36" s="83">
        <v>1.34345</v>
      </c>
      <c r="AA36" s="83">
        <v>0.17514299999999999</v>
      </c>
      <c r="AB36" s="83">
        <v>2.6499000000000002E-3</v>
      </c>
      <c r="AC36" s="83">
        <v>1.32891</v>
      </c>
      <c r="AD36" s="83">
        <v>0.17225099999999999</v>
      </c>
      <c r="AE36" s="83">
        <v>2.6499000000000002E-3</v>
      </c>
      <c r="AF36" s="83">
        <v>1.3478300000000001</v>
      </c>
      <c r="AG36" s="83">
        <v>0.174703</v>
      </c>
      <c r="AH36" s="83">
        <v>2.6499000000000002E-3</v>
      </c>
      <c r="AI36" s="83">
        <v>1.3285499999999999</v>
      </c>
      <c r="AJ36" s="83">
        <v>0.17130300000000001</v>
      </c>
      <c r="AK36" s="83">
        <v>2.6499000000000002E-3</v>
      </c>
      <c r="AL36" s="83">
        <v>1.3278399999999999</v>
      </c>
      <c r="AM36" s="83">
        <v>0.170819</v>
      </c>
      <c r="AN36" s="83">
        <v>2.6499000000000002E-3</v>
      </c>
      <c r="AO36" s="83">
        <v>1.3899699999999999</v>
      </c>
      <c r="AP36" s="83">
        <v>0.17916599999999999</v>
      </c>
      <c r="AQ36" s="83">
        <v>2.6499000000000002E-3</v>
      </c>
      <c r="AR36" s="83">
        <v>1.3684400000000001</v>
      </c>
      <c r="AS36" s="83">
        <v>0.175292</v>
      </c>
      <c r="AT36" s="83">
        <v>2.6499000000000002E-3</v>
      </c>
      <c r="AU36" s="83">
        <v>1.3344</v>
      </c>
      <c r="AV36" s="83">
        <v>0.17050299999999999</v>
      </c>
      <c r="AW36" s="83">
        <v>2.6499000000000002E-3</v>
      </c>
      <c r="AX36" s="83">
        <v>1.3302</v>
      </c>
      <c r="AY36" s="83">
        <v>0.169512</v>
      </c>
      <c r="AZ36" s="83">
        <v>2.6499000000000002E-3</v>
      </c>
      <c r="BA36" s="83">
        <v>1.3974299999999999</v>
      </c>
      <c r="BB36" s="83">
        <v>0.178343</v>
      </c>
      <c r="BC36" s="83">
        <v>2.6499000000000002E-3</v>
      </c>
      <c r="BD36" s="83">
        <v>1.3642300000000001</v>
      </c>
      <c r="BE36" s="83">
        <v>0.173316</v>
      </c>
      <c r="BF36" s="83">
        <v>2.6499000000000002E-3</v>
      </c>
      <c r="BG36" s="83">
        <v>1.3509199999999999</v>
      </c>
      <c r="BH36" s="83">
        <v>0.17141799999999999</v>
      </c>
      <c r="BI36" s="83">
        <v>2.6499000000000002E-3</v>
      </c>
      <c r="BJ36" s="83">
        <v>1.38002</v>
      </c>
      <c r="BK36" s="83">
        <v>0.17507500000000001</v>
      </c>
      <c r="BL36" s="83">
        <v>2.6499000000000002E-3</v>
      </c>
      <c r="BM36" s="83">
        <v>1.4004000000000001</v>
      </c>
      <c r="BN36" s="83">
        <v>0.17712</v>
      </c>
      <c r="BO36" s="83">
        <v>2.6499000000000002E-3</v>
      </c>
      <c r="BP36" s="83">
        <v>1.36921</v>
      </c>
      <c r="BQ36" s="83">
        <v>0.172569</v>
      </c>
      <c r="BR36" s="83">
        <v>2.6499000000000002E-3</v>
      </c>
      <c r="BS36" s="83">
        <v>1.39682</v>
      </c>
      <c r="BT36" s="83">
        <v>0.17611099999999999</v>
      </c>
      <c r="BU36" s="83">
        <v>2.6499000000000002E-3</v>
      </c>
      <c r="BV36" s="83">
        <v>1.42831</v>
      </c>
      <c r="BW36" s="83">
        <v>0.17925199999999999</v>
      </c>
      <c r="BX36" s="83">
        <v>2.6499000000000002E-3</v>
      </c>
      <c r="BY36" s="83">
        <v>1.4137</v>
      </c>
      <c r="BZ36" s="83">
        <v>0.176762</v>
      </c>
      <c r="CA36" s="83">
        <v>2.6499000000000002E-3</v>
      </c>
      <c r="CB36" s="83">
        <v>1.37232</v>
      </c>
      <c r="CC36" s="83">
        <v>0.17096900000000001</v>
      </c>
      <c r="CD36" s="83">
        <v>2.6499000000000002E-3</v>
      </c>
      <c r="CE36" s="83">
        <v>1.3682000000000001</v>
      </c>
      <c r="CF36" s="83">
        <v>0.17011100000000001</v>
      </c>
      <c r="CG36" s="83">
        <v>2.6499000000000002E-3</v>
      </c>
      <c r="CH36" s="83">
        <v>1.4076299999999999</v>
      </c>
      <c r="CI36" s="83">
        <v>0.17432800000000001</v>
      </c>
      <c r="CJ36" s="83">
        <v>2.6499000000000002E-3</v>
      </c>
      <c r="CK36" s="83">
        <v>1.42754</v>
      </c>
      <c r="CL36" s="83">
        <v>0.17677000000000001</v>
      </c>
      <c r="CM36" s="83">
        <v>2.6499000000000002E-3</v>
      </c>
      <c r="CN36" s="83">
        <v>1.4127700000000001</v>
      </c>
      <c r="CO36" s="83">
        <v>0.174675</v>
      </c>
      <c r="CP36" s="83">
        <v>2.6499000000000002E-3</v>
      </c>
      <c r="CQ36" s="83">
        <v>1.3928400000000001</v>
      </c>
      <c r="CR36" s="83">
        <v>0.17213700000000001</v>
      </c>
      <c r="CS36" s="83">
        <v>2.6499000000000002E-3</v>
      </c>
      <c r="CT36" s="83">
        <v>1.43272</v>
      </c>
      <c r="CU36" s="83">
        <v>0.17743200000000001</v>
      </c>
      <c r="CV36" s="83">
        <v>2.6499000000000002E-3</v>
      </c>
      <c r="CW36" s="83">
        <v>1.3730500000000001</v>
      </c>
      <c r="CX36" s="83">
        <v>0.17077500000000001</v>
      </c>
    </row>
    <row r="37" spans="1:102" x14ac:dyDescent="0.2">
      <c r="A37" s="83">
        <v>2.7499E-3</v>
      </c>
      <c r="B37" s="83">
        <v>1.1369199999999999</v>
      </c>
      <c r="C37" s="83">
        <v>0.160773</v>
      </c>
      <c r="D37" s="83">
        <v>2.7499E-3</v>
      </c>
      <c r="E37" s="83">
        <v>1.18319</v>
      </c>
      <c r="F37" s="83">
        <v>0.165552</v>
      </c>
      <c r="G37" s="83">
        <v>2.7499E-3</v>
      </c>
      <c r="H37" s="83">
        <v>1.1947399999999999</v>
      </c>
      <c r="I37" s="83">
        <v>0.16464899999999999</v>
      </c>
      <c r="J37" s="83">
        <v>2.7499E-3</v>
      </c>
      <c r="K37" s="83">
        <v>1.18804</v>
      </c>
      <c r="L37" s="83">
        <v>0.16166900000000001</v>
      </c>
      <c r="M37" s="83">
        <v>2.7499E-3</v>
      </c>
      <c r="N37" s="83">
        <v>1.2234499999999999</v>
      </c>
      <c r="O37" s="83">
        <v>0.16403400000000001</v>
      </c>
      <c r="P37" s="83">
        <v>2.7499E-3</v>
      </c>
      <c r="Q37" s="83">
        <v>1.2654300000000001</v>
      </c>
      <c r="R37" s="83">
        <v>0.16719500000000001</v>
      </c>
      <c r="S37" s="83">
        <v>2.7499E-3</v>
      </c>
      <c r="T37" s="83">
        <v>1.2851999999999999</v>
      </c>
      <c r="U37" s="83">
        <v>0.16717299999999999</v>
      </c>
      <c r="V37" s="83">
        <v>2.7499E-3</v>
      </c>
      <c r="W37" s="83">
        <v>1.2632399999999999</v>
      </c>
      <c r="X37" s="83">
        <v>0.163323</v>
      </c>
      <c r="Y37" s="83">
        <v>2.7499E-3</v>
      </c>
      <c r="Z37" s="83">
        <v>1.2833399999999999</v>
      </c>
      <c r="AA37" s="83">
        <v>0.165797</v>
      </c>
      <c r="AB37" s="83">
        <v>2.7499E-3</v>
      </c>
      <c r="AC37" s="83">
        <v>1.2688600000000001</v>
      </c>
      <c r="AD37" s="83">
        <v>0.16300600000000001</v>
      </c>
      <c r="AE37" s="83">
        <v>2.7499E-3</v>
      </c>
      <c r="AF37" s="83">
        <v>1.28685</v>
      </c>
      <c r="AG37" s="83">
        <v>0.16536899999999999</v>
      </c>
      <c r="AH37" s="83">
        <v>2.7499E-3</v>
      </c>
      <c r="AI37" s="83">
        <v>1.26749</v>
      </c>
      <c r="AJ37" s="83">
        <v>0.16214100000000001</v>
      </c>
      <c r="AK37" s="83">
        <v>2.7499E-3</v>
      </c>
      <c r="AL37" s="83">
        <v>1.26691</v>
      </c>
      <c r="AM37" s="83">
        <v>0.16170999999999999</v>
      </c>
      <c r="AN37" s="83">
        <v>2.7499E-3</v>
      </c>
      <c r="AO37" s="83">
        <v>1.3259799999999999</v>
      </c>
      <c r="AP37" s="83">
        <v>0.169573</v>
      </c>
      <c r="AQ37" s="83">
        <v>2.7499E-3</v>
      </c>
      <c r="AR37" s="83">
        <v>1.30474</v>
      </c>
      <c r="AS37" s="83">
        <v>0.16591800000000001</v>
      </c>
      <c r="AT37" s="83">
        <v>2.7499E-3</v>
      </c>
      <c r="AU37" s="83">
        <v>1.27163</v>
      </c>
      <c r="AV37" s="83">
        <v>0.16147700000000001</v>
      </c>
      <c r="AW37" s="83">
        <v>2.7499E-3</v>
      </c>
      <c r="AX37" s="83">
        <v>1.2670399999999999</v>
      </c>
      <c r="AY37" s="83">
        <v>0.160383</v>
      </c>
      <c r="AZ37" s="83">
        <v>2.7499E-3</v>
      </c>
      <c r="BA37" s="83">
        <v>1.3311200000000001</v>
      </c>
      <c r="BB37" s="83">
        <v>0.16878000000000001</v>
      </c>
      <c r="BC37" s="83">
        <v>2.7499E-3</v>
      </c>
      <c r="BD37" s="83">
        <v>1.2982400000000001</v>
      </c>
      <c r="BE37" s="83">
        <v>0.16403699999999999</v>
      </c>
      <c r="BF37" s="83">
        <v>2.7499E-3</v>
      </c>
      <c r="BG37" s="83">
        <v>1.28546</v>
      </c>
      <c r="BH37" s="83">
        <v>0.16228899999999999</v>
      </c>
      <c r="BI37" s="83">
        <v>2.7499E-3</v>
      </c>
      <c r="BJ37" s="83">
        <v>1.3127899999999999</v>
      </c>
      <c r="BK37" s="83">
        <v>0.165709</v>
      </c>
      <c r="BL37" s="83">
        <v>2.7499E-3</v>
      </c>
      <c r="BM37" s="83">
        <v>1.3315600000000001</v>
      </c>
      <c r="BN37" s="83">
        <v>0.167632</v>
      </c>
      <c r="BO37" s="83">
        <v>2.7499E-3</v>
      </c>
      <c r="BP37" s="83">
        <v>1.30179</v>
      </c>
      <c r="BQ37" s="83">
        <v>0.16333600000000001</v>
      </c>
      <c r="BR37" s="83">
        <v>2.7499E-3</v>
      </c>
      <c r="BS37" s="83">
        <v>1.32769</v>
      </c>
      <c r="BT37" s="83">
        <v>0.16672100000000001</v>
      </c>
      <c r="BU37" s="83">
        <v>2.7499E-3</v>
      </c>
      <c r="BV37" s="83">
        <v>1.35734</v>
      </c>
      <c r="BW37" s="83">
        <v>0.16966600000000001</v>
      </c>
      <c r="BX37" s="83">
        <v>2.7499E-3</v>
      </c>
      <c r="BY37" s="83">
        <v>1.3429599999999999</v>
      </c>
      <c r="BZ37" s="83">
        <v>0.16728799999999999</v>
      </c>
      <c r="CA37" s="83">
        <v>2.7499E-3</v>
      </c>
      <c r="CB37" s="83">
        <v>1.3022100000000001</v>
      </c>
      <c r="CC37" s="83">
        <v>0.161804</v>
      </c>
      <c r="CD37" s="83">
        <v>2.7499E-3</v>
      </c>
      <c r="CE37" s="83">
        <v>1.2981100000000001</v>
      </c>
      <c r="CF37" s="83">
        <v>0.16100200000000001</v>
      </c>
      <c r="CG37" s="83">
        <v>2.7499E-3</v>
      </c>
      <c r="CH37" s="83">
        <v>1.3352599999999999</v>
      </c>
      <c r="CI37" s="83">
        <v>0.16497000000000001</v>
      </c>
      <c r="CJ37" s="83">
        <v>2.7499E-3</v>
      </c>
      <c r="CK37" s="83">
        <v>1.3537699999999999</v>
      </c>
      <c r="CL37" s="83">
        <v>0.16732</v>
      </c>
      <c r="CM37" s="83">
        <v>2.7499E-3</v>
      </c>
      <c r="CN37" s="83">
        <v>1.33897</v>
      </c>
      <c r="CO37" s="83">
        <v>0.16528799999999999</v>
      </c>
      <c r="CP37" s="83">
        <v>2.7499E-3</v>
      </c>
      <c r="CQ37" s="83">
        <v>1.3186</v>
      </c>
      <c r="CR37" s="83">
        <v>0.16292999999999999</v>
      </c>
      <c r="CS37" s="83">
        <v>2.7499E-3</v>
      </c>
      <c r="CT37" s="83">
        <v>1.3568100000000001</v>
      </c>
      <c r="CU37" s="83">
        <v>0.16792699999999999</v>
      </c>
      <c r="CV37" s="83">
        <v>2.7499E-3</v>
      </c>
      <c r="CW37" s="83">
        <v>1.29888</v>
      </c>
      <c r="CX37" s="83">
        <v>0.16162000000000001</v>
      </c>
    </row>
    <row r="38" spans="1:102" x14ac:dyDescent="0.2">
      <c r="A38" s="83">
        <v>2.8498999999999998E-3</v>
      </c>
      <c r="B38" s="83">
        <v>1.0876399999999999</v>
      </c>
      <c r="C38" s="83">
        <v>0.15200900000000001</v>
      </c>
      <c r="D38" s="83">
        <v>2.8498999999999998E-3</v>
      </c>
      <c r="E38" s="83">
        <v>1.1313299999999999</v>
      </c>
      <c r="F38" s="83">
        <v>0.156474</v>
      </c>
      <c r="G38" s="83">
        <v>2.8498999999999998E-3</v>
      </c>
      <c r="H38" s="83">
        <v>1.14246</v>
      </c>
      <c r="I38" s="83">
        <v>0.15560099999999999</v>
      </c>
      <c r="J38" s="83">
        <v>2.8498999999999998E-3</v>
      </c>
      <c r="K38" s="83">
        <v>1.1357900000000001</v>
      </c>
      <c r="L38" s="83">
        <v>0.15284200000000001</v>
      </c>
      <c r="M38" s="83">
        <v>2.8498999999999998E-3</v>
      </c>
      <c r="N38" s="83">
        <v>1.16937</v>
      </c>
      <c r="O38" s="83">
        <v>0.15501999999999999</v>
      </c>
      <c r="P38" s="83">
        <v>2.8498999999999998E-3</v>
      </c>
      <c r="Q38" s="83">
        <v>1.2096100000000001</v>
      </c>
      <c r="R38" s="83">
        <v>0.158136</v>
      </c>
      <c r="S38" s="83">
        <v>2.8498999999999998E-3</v>
      </c>
      <c r="T38" s="83">
        <v>1.22783</v>
      </c>
      <c r="U38" s="83">
        <v>0.15809899999999999</v>
      </c>
      <c r="V38" s="83">
        <v>2.8498999999999998E-3</v>
      </c>
      <c r="W38" s="83">
        <v>1.2071000000000001</v>
      </c>
      <c r="X38" s="83">
        <v>0.154359</v>
      </c>
      <c r="Y38" s="83">
        <v>2.8498999999999998E-3</v>
      </c>
      <c r="Z38" s="83">
        <v>1.22536</v>
      </c>
      <c r="AA38" s="83">
        <v>0.15678</v>
      </c>
      <c r="AB38" s="83">
        <v>2.8498999999999998E-3</v>
      </c>
      <c r="AC38" s="83">
        <v>1.2109799999999999</v>
      </c>
      <c r="AD38" s="83">
        <v>0.15406800000000001</v>
      </c>
      <c r="AE38" s="83">
        <v>2.8498999999999998E-3</v>
      </c>
      <c r="AF38" s="83">
        <v>1.2284600000000001</v>
      </c>
      <c r="AG38" s="83">
        <v>0.15634100000000001</v>
      </c>
      <c r="AH38" s="83">
        <v>2.8498999999999998E-3</v>
      </c>
      <c r="AI38" s="83">
        <v>1.2090700000000001</v>
      </c>
      <c r="AJ38" s="83">
        <v>0.15323500000000001</v>
      </c>
      <c r="AK38" s="83">
        <v>2.8498999999999998E-3</v>
      </c>
      <c r="AL38" s="83">
        <v>1.2080200000000001</v>
      </c>
      <c r="AM38" s="83">
        <v>0.15285399999999999</v>
      </c>
      <c r="AN38" s="83">
        <v>2.8498999999999998E-3</v>
      </c>
      <c r="AO38" s="83">
        <v>1.26444</v>
      </c>
      <c r="AP38" s="83">
        <v>0.16043499999999999</v>
      </c>
      <c r="AQ38" s="83">
        <v>2.8498999999999998E-3</v>
      </c>
      <c r="AR38" s="83">
        <v>1.24326</v>
      </c>
      <c r="AS38" s="83">
        <v>0.15688099999999999</v>
      </c>
      <c r="AT38" s="83">
        <v>2.8498999999999998E-3</v>
      </c>
      <c r="AU38" s="83">
        <v>1.2118899999999999</v>
      </c>
      <c r="AV38" s="83">
        <v>0.152665</v>
      </c>
      <c r="AW38" s="83">
        <v>2.8498999999999998E-3</v>
      </c>
      <c r="AX38" s="83">
        <v>1.20648</v>
      </c>
      <c r="AY38" s="83">
        <v>0.15165799999999999</v>
      </c>
      <c r="AZ38" s="83">
        <v>2.8498999999999998E-3</v>
      </c>
      <c r="BA38" s="83">
        <v>1.2675700000000001</v>
      </c>
      <c r="BB38" s="83">
        <v>0.15968199999999999</v>
      </c>
      <c r="BC38" s="83">
        <v>2.8498999999999998E-3</v>
      </c>
      <c r="BD38" s="83">
        <v>1.23498</v>
      </c>
      <c r="BE38" s="83">
        <v>0.15500700000000001</v>
      </c>
      <c r="BF38" s="83">
        <v>2.8498999999999998E-3</v>
      </c>
      <c r="BG38" s="83">
        <v>1.2228000000000001</v>
      </c>
      <c r="BH38" s="83">
        <v>0.153365</v>
      </c>
      <c r="BI38" s="83">
        <v>2.8498999999999998E-3</v>
      </c>
      <c r="BJ38" s="83">
        <v>1.24824</v>
      </c>
      <c r="BK38" s="83">
        <v>0.15667700000000001</v>
      </c>
      <c r="BL38" s="83">
        <v>2.8498999999999998E-3</v>
      </c>
      <c r="BM38" s="83">
        <v>1.2658</v>
      </c>
      <c r="BN38" s="83">
        <v>0.15853700000000001</v>
      </c>
      <c r="BO38" s="83">
        <v>2.8498999999999998E-3</v>
      </c>
      <c r="BP38" s="83">
        <v>1.2370399999999999</v>
      </c>
      <c r="BQ38" s="83">
        <v>0.15434899999999999</v>
      </c>
      <c r="BR38" s="83">
        <v>2.8498999999999998E-3</v>
      </c>
      <c r="BS38" s="83">
        <v>1.2618499999999999</v>
      </c>
      <c r="BT38" s="83">
        <v>0.157697</v>
      </c>
      <c r="BU38" s="83">
        <v>2.8498999999999998E-3</v>
      </c>
      <c r="BV38" s="83">
        <v>1.28922</v>
      </c>
      <c r="BW38" s="83">
        <v>0.16053000000000001</v>
      </c>
      <c r="BX38" s="83">
        <v>2.8498999999999998E-3</v>
      </c>
      <c r="BY38" s="83">
        <v>1.27461</v>
      </c>
      <c r="BZ38" s="83">
        <v>0.15824299999999999</v>
      </c>
      <c r="CA38" s="83">
        <v>2.8498999999999998E-3</v>
      </c>
      <c r="CB38" s="83">
        <v>1.2351399999999999</v>
      </c>
      <c r="CC38" s="83">
        <v>0.152893</v>
      </c>
      <c r="CD38" s="83">
        <v>2.8498999999999998E-3</v>
      </c>
      <c r="CE38" s="83">
        <v>1.2307999999999999</v>
      </c>
      <c r="CF38" s="83">
        <v>0.152196</v>
      </c>
      <c r="CG38" s="83">
        <v>2.8498999999999998E-3</v>
      </c>
      <c r="CH38" s="83">
        <v>1.26549</v>
      </c>
      <c r="CI38" s="83">
        <v>0.15595700000000001</v>
      </c>
      <c r="CJ38" s="83">
        <v>2.8498999999999998E-3</v>
      </c>
      <c r="CK38" s="83">
        <v>1.28285</v>
      </c>
      <c r="CL38" s="83">
        <v>0.158253</v>
      </c>
      <c r="CM38" s="83">
        <v>2.8498999999999998E-3</v>
      </c>
      <c r="CN38" s="83">
        <v>1.2676099999999999</v>
      </c>
      <c r="CO38" s="83">
        <v>0.156277</v>
      </c>
      <c r="CP38" s="83">
        <v>2.8498999999999998E-3</v>
      </c>
      <c r="CQ38" s="83">
        <v>1.2482200000000001</v>
      </c>
      <c r="CR38" s="83">
        <v>0.15396399999999999</v>
      </c>
      <c r="CS38" s="83">
        <v>2.8498999999999998E-3</v>
      </c>
      <c r="CT38" s="83">
        <v>1.2844100000000001</v>
      </c>
      <c r="CU38" s="83">
        <v>0.158856</v>
      </c>
      <c r="CV38" s="83">
        <v>2.8498999999999998E-3</v>
      </c>
      <c r="CW38" s="83">
        <v>1.2283999999999999</v>
      </c>
      <c r="CX38" s="83">
        <v>0.15274199999999999</v>
      </c>
    </row>
    <row r="39" spans="1:102" x14ac:dyDescent="0.2">
      <c r="A39" s="83">
        <v>2.9499000000000001E-3</v>
      </c>
      <c r="B39" s="83">
        <v>1.0399499999999999</v>
      </c>
      <c r="C39" s="83">
        <v>0.14394699999999999</v>
      </c>
      <c r="D39" s="83">
        <v>2.9499000000000001E-3</v>
      </c>
      <c r="E39" s="83">
        <v>1.08212</v>
      </c>
      <c r="F39" s="83">
        <v>0.148061</v>
      </c>
      <c r="G39" s="83">
        <v>2.9499000000000001E-3</v>
      </c>
      <c r="H39" s="83">
        <v>1.09169</v>
      </c>
      <c r="I39" s="83">
        <v>0.14730499999999999</v>
      </c>
      <c r="J39" s="83">
        <v>2.9499000000000001E-3</v>
      </c>
      <c r="K39" s="83">
        <v>1.08558</v>
      </c>
      <c r="L39" s="83">
        <v>0.14473800000000001</v>
      </c>
      <c r="M39" s="83">
        <v>2.9499000000000001E-3</v>
      </c>
      <c r="N39" s="83">
        <v>1.1173</v>
      </c>
      <c r="O39" s="83">
        <v>0.14677599999999999</v>
      </c>
      <c r="P39" s="83">
        <v>2.9499000000000001E-3</v>
      </c>
      <c r="Q39" s="83">
        <v>1.15578</v>
      </c>
      <c r="R39" s="83">
        <v>0.14957300000000001</v>
      </c>
      <c r="S39" s="83">
        <v>2.9499000000000001E-3</v>
      </c>
      <c r="T39" s="83">
        <v>1.17293</v>
      </c>
      <c r="U39" s="83">
        <v>0.149531</v>
      </c>
      <c r="V39" s="83">
        <v>2.9499000000000001E-3</v>
      </c>
      <c r="W39" s="83">
        <v>1.15256</v>
      </c>
      <c r="X39" s="83">
        <v>0.14618999999999999</v>
      </c>
      <c r="Y39" s="83">
        <v>2.9499000000000001E-3</v>
      </c>
      <c r="Z39" s="83">
        <v>1.17005</v>
      </c>
      <c r="AA39" s="83">
        <v>0.14835400000000001</v>
      </c>
      <c r="AB39" s="83">
        <v>2.9499000000000001E-3</v>
      </c>
      <c r="AC39" s="83">
        <v>1.1556999999999999</v>
      </c>
      <c r="AD39" s="83">
        <v>0.14590600000000001</v>
      </c>
      <c r="AE39" s="83">
        <v>2.9499000000000001E-3</v>
      </c>
      <c r="AF39" s="83">
        <v>1.1714599999999999</v>
      </c>
      <c r="AG39" s="83">
        <v>0.14796000000000001</v>
      </c>
      <c r="AH39" s="83">
        <v>2.9499000000000001E-3</v>
      </c>
      <c r="AI39" s="83">
        <v>1.1530100000000001</v>
      </c>
      <c r="AJ39" s="83">
        <v>0.145149</v>
      </c>
      <c r="AK39" s="83">
        <v>2.9499000000000001E-3</v>
      </c>
      <c r="AL39" s="83">
        <v>1.15124</v>
      </c>
      <c r="AM39" s="83">
        <v>0.14479600000000001</v>
      </c>
      <c r="AN39" s="83">
        <v>2.9499000000000001E-3</v>
      </c>
      <c r="AO39" s="83">
        <v>1.20546</v>
      </c>
      <c r="AP39" s="83">
        <v>0.151698</v>
      </c>
      <c r="AQ39" s="83">
        <v>2.9499000000000001E-3</v>
      </c>
      <c r="AR39" s="83">
        <v>1.1842900000000001</v>
      </c>
      <c r="AS39" s="83">
        <v>0.148455</v>
      </c>
      <c r="AT39" s="83">
        <v>2.9499000000000001E-3</v>
      </c>
      <c r="AU39" s="83">
        <v>1.1539299999999999</v>
      </c>
      <c r="AV39" s="83">
        <v>0.14462800000000001</v>
      </c>
      <c r="AW39" s="83">
        <v>2.9499000000000001E-3</v>
      </c>
      <c r="AX39" s="83">
        <v>1.1477999999999999</v>
      </c>
      <c r="AY39" s="83">
        <v>0.14364499999999999</v>
      </c>
      <c r="AZ39" s="83">
        <v>2.9499000000000001E-3</v>
      </c>
      <c r="BA39" s="83">
        <v>1.20601</v>
      </c>
      <c r="BB39" s="83">
        <v>0.15096200000000001</v>
      </c>
      <c r="BC39" s="83">
        <v>2.9499000000000001E-3</v>
      </c>
      <c r="BD39" s="83">
        <v>1.1744399999999999</v>
      </c>
      <c r="BE39" s="83">
        <v>0.146762</v>
      </c>
      <c r="BF39" s="83">
        <v>2.9499000000000001E-3</v>
      </c>
      <c r="BG39" s="83">
        <v>1.1621600000000001</v>
      </c>
      <c r="BH39" s="83">
        <v>0.14523</v>
      </c>
      <c r="BI39" s="83">
        <v>2.9499000000000001E-3</v>
      </c>
      <c r="BJ39" s="83">
        <v>1.18645</v>
      </c>
      <c r="BK39" s="83">
        <v>0.14827000000000001</v>
      </c>
      <c r="BL39" s="83">
        <v>2.9499000000000001E-3</v>
      </c>
      <c r="BM39" s="83">
        <v>1.2025999999999999</v>
      </c>
      <c r="BN39" s="83">
        <v>0.14992</v>
      </c>
      <c r="BO39" s="83">
        <v>2.9499000000000001E-3</v>
      </c>
      <c r="BP39" s="83">
        <v>1.17483</v>
      </c>
      <c r="BQ39" s="83">
        <v>0.146144</v>
      </c>
      <c r="BR39" s="83">
        <v>2.9499000000000001E-3</v>
      </c>
      <c r="BS39" s="83">
        <v>1.19787</v>
      </c>
      <c r="BT39" s="83">
        <v>0.149205</v>
      </c>
      <c r="BU39" s="83">
        <v>2.9499000000000001E-3</v>
      </c>
      <c r="BV39" s="83">
        <v>1.2236800000000001</v>
      </c>
      <c r="BW39" s="83">
        <v>0.15174000000000001</v>
      </c>
      <c r="BX39" s="83">
        <v>2.9499000000000001E-3</v>
      </c>
      <c r="BY39" s="83">
        <v>1.20923</v>
      </c>
      <c r="BZ39" s="83">
        <v>0.14963899999999999</v>
      </c>
      <c r="CA39" s="83">
        <v>2.9499000000000001E-3</v>
      </c>
      <c r="CB39" s="83">
        <v>1.1713899999999999</v>
      </c>
      <c r="CC39" s="83">
        <v>0.14479500000000001</v>
      </c>
      <c r="CD39" s="83">
        <v>2.9499000000000001E-3</v>
      </c>
      <c r="CE39" s="83">
        <v>1.16699</v>
      </c>
      <c r="CF39" s="83">
        <v>0.14415700000000001</v>
      </c>
      <c r="CG39" s="83">
        <v>2.9499000000000001E-3</v>
      </c>
      <c r="CH39" s="83">
        <v>1.1992</v>
      </c>
      <c r="CI39" s="83">
        <v>0.14757700000000001</v>
      </c>
      <c r="CJ39" s="83">
        <v>2.9499000000000001E-3</v>
      </c>
      <c r="CK39" s="83">
        <v>1.2153700000000001</v>
      </c>
      <c r="CL39" s="83">
        <v>0.149697</v>
      </c>
      <c r="CM39" s="83">
        <v>2.9499000000000001E-3</v>
      </c>
      <c r="CN39" s="83">
        <v>1.2</v>
      </c>
      <c r="CO39" s="83">
        <v>0.14787</v>
      </c>
      <c r="CP39" s="83">
        <v>2.9499000000000001E-3</v>
      </c>
      <c r="CQ39" s="83">
        <v>1.1811499999999999</v>
      </c>
      <c r="CR39" s="83">
        <v>0.14575299999999999</v>
      </c>
      <c r="CS39" s="83">
        <v>2.9499000000000001E-3</v>
      </c>
      <c r="CT39" s="83">
        <v>1.2152099999999999</v>
      </c>
      <c r="CU39" s="83">
        <v>0.15021999999999999</v>
      </c>
      <c r="CV39" s="83">
        <v>2.9499000000000001E-3</v>
      </c>
      <c r="CW39" s="83">
        <v>1.16126</v>
      </c>
      <c r="CX39" s="83">
        <v>0.14462</v>
      </c>
    </row>
    <row r="40" spans="1:102" x14ac:dyDescent="0.2">
      <c r="A40" s="83">
        <v>3.0498999999999999E-3</v>
      </c>
      <c r="B40" s="83">
        <v>0.99352499999999999</v>
      </c>
      <c r="C40" s="83">
        <v>0.136326</v>
      </c>
      <c r="D40" s="83">
        <v>3.0498999999999999E-3</v>
      </c>
      <c r="E40" s="83">
        <v>1.03392</v>
      </c>
      <c r="F40" s="83">
        <v>0.14022200000000001</v>
      </c>
      <c r="G40" s="83">
        <v>3.0498999999999999E-3</v>
      </c>
      <c r="H40" s="83">
        <v>1.04318</v>
      </c>
      <c r="I40" s="83">
        <v>0.13952500000000001</v>
      </c>
      <c r="J40" s="83">
        <v>3.0498999999999999E-3</v>
      </c>
      <c r="K40" s="83">
        <v>1.0366899999999999</v>
      </c>
      <c r="L40" s="83">
        <v>0.13711899999999999</v>
      </c>
      <c r="M40" s="83">
        <v>3.0498999999999999E-3</v>
      </c>
      <c r="N40" s="83">
        <v>1.06738</v>
      </c>
      <c r="O40" s="83">
        <v>0.13902700000000001</v>
      </c>
      <c r="P40" s="83">
        <v>3.0498999999999999E-3</v>
      </c>
      <c r="Q40" s="83">
        <v>1.1038300000000001</v>
      </c>
      <c r="R40" s="83">
        <v>0.14168700000000001</v>
      </c>
      <c r="S40" s="83">
        <v>3.0498999999999999E-3</v>
      </c>
      <c r="T40" s="83">
        <v>1.1199600000000001</v>
      </c>
      <c r="U40" s="83">
        <v>0.14166599999999999</v>
      </c>
      <c r="V40" s="83">
        <v>3.0498999999999999E-3</v>
      </c>
      <c r="W40" s="83">
        <v>1.10059</v>
      </c>
      <c r="X40" s="83">
        <v>0.138513</v>
      </c>
      <c r="Y40" s="83">
        <v>3.0498999999999999E-3</v>
      </c>
      <c r="Z40" s="83">
        <v>1.11652</v>
      </c>
      <c r="AA40" s="83">
        <v>0.140568</v>
      </c>
      <c r="AB40" s="83">
        <v>3.0498999999999999E-3</v>
      </c>
      <c r="AC40" s="83">
        <v>1.1028100000000001</v>
      </c>
      <c r="AD40" s="83">
        <v>0.13822200000000001</v>
      </c>
      <c r="AE40" s="83">
        <v>3.0498999999999999E-3</v>
      </c>
      <c r="AF40" s="83">
        <v>1.1170899999999999</v>
      </c>
      <c r="AG40" s="83">
        <v>0.14016000000000001</v>
      </c>
      <c r="AH40" s="83">
        <v>3.0498999999999999E-3</v>
      </c>
      <c r="AI40" s="83">
        <v>1.0992200000000001</v>
      </c>
      <c r="AJ40" s="83">
        <v>0.137542</v>
      </c>
      <c r="AK40" s="83">
        <v>3.0498999999999999E-3</v>
      </c>
      <c r="AL40" s="83">
        <v>1.0970899999999999</v>
      </c>
      <c r="AM40" s="83">
        <v>0.13720099999999999</v>
      </c>
      <c r="AN40" s="83">
        <v>3.0498999999999999E-3</v>
      </c>
      <c r="AO40" s="83">
        <v>1.14852</v>
      </c>
      <c r="AP40" s="83">
        <v>0.143681</v>
      </c>
      <c r="AQ40" s="83">
        <v>3.0498999999999999E-3</v>
      </c>
      <c r="AR40" s="83">
        <v>1.1277200000000001</v>
      </c>
      <c r="AS40" s="83">
        <v>0.14064499999999999</v>
      </c>
      <c r="AT40" s="83">
        <v>3.0498999999999999E-3</v>
      </c>
      <c r="AU40" s="83">
        <v>1.0988500000000001</v>
      </c>
      <c r="AV40" s="83">
        <v>0.13707900000000001</v>
      </c>
      <c r="AW40" s="83">
        <v>3.0498999999999999E-3</v>
      </c>
      <c r="AX40" s="83">
        <v>1.0927</v>
      </c>
      <c r="AY40" s="83">
        <v>0.136128</v>
      </c>
      <c r="AZ40" s="83">
        <v>3.0498999999999999E-3</v>
      </c>
      <c r="BA40" s="83">
        <v>1.1473199999999999</v>
      </c>
      <c r="BB40" s="83">
        <v>0.14300099999999999</v>
      </c>
      <c r="BC40" s="83">
        <v>3.0498999999999999E-3</v>
      </c>
      <c r="BD40" s="83">
        <v>1.11694</v>
      </c>
      <c r="BE40" s="83">
        <v>0.13902100000000001</v>
      </c>
      <c r="BF40" s="83">
        <v>3.0498999999999999E-3</v>
      </c>
      <c r="BG40" s="83">
        <v>1.1051500000000001</v>
      </c>
      <c r="BH40" s="83">
        <v>0.13759399999999999</v>
      </c>
      <c r="BI40" s="83">
        <v>3.0498999999999999E-3</v>
      </c>
      <c r="BJ40" s="83">
        <v>1.1270800000000001</v>
      </c>
      <c r="BK40" s="83">
        <v>0.14044699999999999</v>
      </c>
      <c r="BL40" s="83">
        <v>3.0498999999999999E-3</v>
      </c>
      <c r="BM40" s="83">
        <v>1.1420600000000001</v>
      </c>
      <c r="BN40" s="83">
        <v>0.14202600000000001</v>
      </c>
      <c r="BO40" s="83">
        <v>3.0498999999999999E-3</v>
      </c>
      <c r="BP40" s="83">
        <v>1.11554</v>
      </c>
      <c r="BQ40" s="83">
        <v>0.138461</v>
      </c>
      <c r="BR40" s="83">
        <v>3.0498999999999999E-3</v>
      </c>
      <c r="BS40" s="83">
        <v>1.13754</v>
      </c>
      <c r="BT40" s="83">
        <v>0.14136599999999999</v>
      </c>
      <c r="BU40" s="83">
        <v>3.0498999999999999E-3</v>
      </c>
      <c r="BV40" s="83">
        <v>1.1607099999999999</v>
      </c>
      <c r="BW40" s="83">
        <v>0.14369299999999999</v>
      </c>
      <c r="BX40" s="83">
        <v>3.0498999999999999E-3</v>
      </c>
      <c r="BY40" s="83">
        <v>1.1472</v>
      </c>
      <c r="BZ40" s="83">
        <v>0.14175499999999999</v>
      </c>
      <c r="CA40" s="83">
        <v>3.0498999999999999E-3</v>
      </c>
      <c r="CB40" s="83">
        <v>1.11043</v>
      </c>
      <c r="CC40" s="83">
        <v>0.13716800000000001</v>
      </c>
      <c r="CD40" s="83">
        <v>3.0498999999999999E-3</v>
      </c>
      <c r="CE40" s="83">
        <v>1.1059399999999999</v>
      </c>
      <c r="CF40" s="83">
        <v>0.136626</v>
      </c>
      <c r="CG40" s="83">
        <v>3.0498999999999999E-3</v>
      </c>
      <c r="CH40" s="83">
        <v>1.1358699999999999</v>
      </c>
      <c r="CI40" s="83">
        <v>0.139767</v>
      </c>
      <c r="CJ40" s="83">
        <v>3.0498999999999999E-3</v>
      </c>
      <c r="CK40" s="83">
        <v>1.15116</v>
      </c>
      <c r="CL40" s="83">
        <v>0.14180899999999999</v>
      </c>
      <c r="CM40" s="83">
        <v>3.0498999999999999E-3</v>
      </c>
      <c r="CN40" s="83">
        <v>1.1361000000000001</v>
      </c>
      <c r="CO40" s="83">
        <v>0.14008399999999999</v>
      </c>
      <c r="CP40" s="83">
        <v>3.0498999999999999E-3</v>
      </c>
      <c r="CQ40" s="83">
        <v>1.1171899999999999</v>
      </c>
      <c r="CR40" s="83">
        <v>0.13805700000000001</v>
      </c>
      <c r="CS40" s="83">
        <v>3.0498999999999999E-3</v>
      </c>
      <c r="CT40" s="83">
        <v>1.1493</v>
      </c>
      <c r="CU40" s="83">
        <v>0.14227999999999999</v>
      </c>
      <c r="CV40" s="83">
        <v>3.0498999999999999E-3</v>
      </c>
      <c r="CW40" s="83">
        <v>1.0976300000000001</v>
      </c>
      <c r="CX40" s="83">
        <v>0.13699500000000001</v>
      </c>
    </row>
    <row r="41" spans="1:102" x14ac:dyDescent="0.2">
      <c r="A41" s="83">
        <v>3.1499000000000002E-3</v>
      </c>
      <c r="B41" s="83">
        <v>0.94916</v>
      </c>
      <c r="C41" s="83">
        <v>0.12922900000000001</v>
      </c>
      <c r="D41" s="83">
        <v>3.1499000000000002E-3</v>
      </c>
      <c r="E41" s="83">
        <v>0.987734</v>
      </c>
      <c r="F41" s="83">
        <v>0.132856</v>
      </c>
      <c r="G41" s="83">
        <v>3.1499000000000002E-3</v>
      </c>
      <c r="H41" s="83">
        <v>0.99637600000000004</v>
      </c>
      <c r="I41" s="83">
        <v>0.13222500000000001</v>
      </c>
      <c r="J41" s="83">
        <v>3.1499000000000002E-3</v>
      </c>
      <c r="K41" s="83">
        <v>0.98982599999999998</v>
      </c>
      <c r="L41" s="83">
        <v>0.129941</v>
      </c>
      <c r="M41" s="83">
        <v>3.1499000000000002E-3</v>
      </c>
      <c r="N41" s="83">
        <v>1.01868</v>
      </c>
      <c r="O41" s="83">
        <v>0.13172400000000001</v>
      </c>
      <c r="P41" s="83">
        <v>3.1499000000000002E-3</v>
      </c>
      <c r="Q41" s="83">
        <v>1.05375</v>
      </c>
      <c r="R41" s="83">
        <v>0.134241</v>
      </c>
      <c r="S41" s="83">
        <v>3.1499000000000002E-3</v>
      </c>
      <c r="T41" s="83">
        <v>1.0694300000000001</v>
      </c>
      <c r="U41" s="83">
        <v>0.13423099999999999</v>
      </c>
      <c r="V41" s="83">
        <v>3.1499000000000002E-3</v>
      </c>
      <c r="W41" s="83">
        <v>1.0504100000000001</v>
      </c>
      <c r="X41" s="83">
        <v>0.13128999999999999</v>
      </c>
      <c r="Y41" s="83">
        <v>3.1499000000000002E-3</v>
      </c>
      <c r="Z41" s="83">
        <v>1.06569</v>
      </c>
      <c r="AA41" s="83">
        <v>0.13320399999999999</v>
      </c>
      <c r="AB41" s="83">
        <v>3.1499000000000002E-3</v>
      </c>
      <c r="AC41" s="83">
        <v>1.0516099999999999</v>
      </c>
      <c r="AD41" s="83">
        <v>0.130991</v>
      </c>
      <c r="AE41" s="83">
        <v>3.1499000000000002E-3</v>
      </c>
      <c r="AF41" s="83">
        <v>1.06501</v>
      </c>
      <c r="AG41" s="83">
        <v>0.132831</v>
      </c>
      <c r="AH41" s="83">
        <v>3.1499000000000002E-3</v>
      </c>
      <c r="AI41" s="83">
        <v>1.04738</v>
      </c>
      <c r="AJ41" s="83">
        <v>0.13040599999999999</v>
      </c>
      <c r="AK41" s="83">
        <v>3.1499000000000002E-3</v>
      </c>
      <c r="AL41" s="83">
        <v>1.0450200000000001</v>
      </c>
      <c r="AM41" s="83">
        <v>0.130054</v>
      </c>
      <c r="AN41" s="83">
        <v>3.1499000000000002E-3</v>
      </c>
      <c r="AO41" s="83">
        <v>1.0943099999999999</v>
      </c>
      <c r="AP41" s="83">
        <v>0.136153</v>
      </c>
      <c r="AQ41" s="83">
        <v>3.1499000000000002E-3</v>
      </c>
      <c r="AR41" s="83">
        <v>1.07395</v>
      </c>
      <c r="AS41" s="83">
        <v>0.13331399999999999</v>
      </c>
      <c r="AT41" s="83">
        <v>3.1499000000000002E-3</v>
      </c>
      <c r="AU41" s="83">
        <v>1.0458000000000001</v>
      </c>
      <c r="AV41" s="83">
        <v>0.129972</v>
      </c>
      <c r="AW41" s="83">
        <v>3.1499000000000002E-3</v>
      </c>
      <c r="AX41" s="83">
        <v>1.03938</v>
      </c>
      <c r="AY41" s="83">
        <v>0.12906699999999999</v>
      </c>
      <c r="AZ41" s="83">
        <v>3.1499000000000002E-3</v>
      </c>
      <c r="BA41" s="83">
        <v>1.0914900000000001</v>
      </c>
      <c r="BB41" s="83">
        <v>0.13552700000000001</v>
      </c>
      <c r="BC41" s="83">
        <v>3.1499000000000002E-3</v>
      </c>
      <c r="BD41" s="83">
        <v>1.0624</v>
      </c>
      <c r="BE41" s="83">
        <v>0.13176099999999999</v>
      </c>
      <c r="BF41" s="83">
        <v>3.1499000000000002E-3</v>
      </c>
      <c r="BG41" s="83">
        <v>1.0502499999999999</v>
      </c>
      <c r="BH41" s="83">
        <v>0.130435</v>
      </c>
      <c r="BI41" s="83">
        <v>3.1499000000000002E-3</v>
      </c>
      <c r="BJ41" s="83">
        <v>1.07151</v>
      </c>
      <c r="BK41" s="83">
        <v>0.13309299999999999</v>
      </c>
      <c r="BL41" s="83">
        <v>3.1499000000000002E-3</v>
      </c>
      <c r="BM41" s="83">
        <v>1.08518</v>
      </c>
      <c r="BN41" s="83">
        <v>0.13456899999999999</v>
      </c>
      <c r="BO41" s="83">
        <v>3.1499000000000002E-3</v>
      </c>
      <c r="BP41" s="83">
        <v>1.05881</v>
      </c>
      <c r="BQ41" s="83">
        <v>0.131248</v>
      </c>
      <c r="BR41" s="83">
        <v>3.1499000000000002E-3</v>
      </c>
      <c r="BS41" s="83">
        <v>1.0800399999999999</v>
      </c>
      <c r="BT41" s="83">
        <v>0.133989</v>
      </c>
      <c r="BU41" s="83">
        <v>3.1499000000000002E-3</v>
      </c>
      <c r="BV41" s="83">
        <v>1.10151</v>
      </c>
      <c r="BW41" s="83">
        <v>0.13616</v>
      </c>
      <c r="BX41" s="83">
        <v>3.1499000000000002E-3</v>
      </c>
      <c r="BY41" s="83">
        <v>1.08779</v>
      </c>
      <c r="BZ41" s="83">
        <v>0.134328</v>
      </c>
      <c r="CA41" s="83">
        <v>3.1499000000000002E-3</v>
      </c>
      <c r="CB41" s="83">
        <v>1.05287</v>
      </c>
      <c r="CC41" s="83">
        <v>0.13002</v>
      </c>
      <c r="CD41" s="83">
        <v>3.1499000000000002E-3</v>
      </c>
      <c r="CE41" s="83">
        <v>1.0483499999999999</v>
      </c>
      <c r="CF41" s="83">
        <v>0.12953300000000001</v>
      </c>
      <c r="CG41" s="83">
        <v>3.1499000000000002E-3</v>
      </c>
      <c r="CH41" s="83">
        <v>1.07605</v>
      </c>
      <c r="CI41" s="83">
        <v>0.13247300000000001</v>
      </c>
      <c r="CJ41" s="83">
        <v>3.1499000000000002E-3</v>
      </c>
      <c r="CK41" s="83">
        <v>1.0904100000000001</v>
      </c>
      <c r="CL41" s="83">
        <v>0.13438700000000001</v>
      </c>
      <c r="CM41" s="83">
        <v>3.1499000000000002E-3</v>
      </c>
      <c r="CN41" s="83">
        <v>1.0756600000000001</v>
      </c>
      <c r="CO41" s="83">
        <v>0.13277700000000001</v>
      </c>
      <c r="CP41" s="83">
        <v>3.1499000000000002E-3</v>
      </c>
      <c r="CQ41" s="83">
        <v>1.0570999999999999</v>
      </c>
      <c r="CR41" s="83">
        <v>0.13084200000000001</v>
      </c>
      <c r="CS41" s="83">
        <v>3.1499000000000002E-3</v>
      </c>
      <c r="CT41" s="83">
        <v>1.08693</v>
      </c>
      <c r="CU41" s="83">
        <v>0.13480700000000001</v>
      </c>
      <c r="CV41" s="83">
        <v>3.1499000000000002E-3</v>
      </c>
      <c r="CW41" s="83">
        <v>1.0372699999999999</v>
      </c>
      <c r="CX41" s="83">
        <v>0.12989500000000001</v>
      </c>
    </row>
    <row r="42" spans="1:102" x14ac:dyDescent="0.2">
      <c r="A42" s="83">
        <v>3.2499E-3</v>
      </c>
      <c r="B42" s="83">
        <v>0.90647900000000003</v>
      </c>
      <c r="C42" s="83">
        <v>0.12249500000000001</v>
      </c>
      <c r="D42" s="83">
        <v>3.2499E-3</v>
      </c>
      <c r="E42" s="83">
        <v>0.94321200000000005</v>
      </c>
      <c r="F42" s="83">
        <v>0.12593599999999999</v>
      </c>
      <c r="G42" s="83">
        <v>3.2499E-3</v>
      </c>
      <c r="H42" s="83">
        <v>0.95120499999999997</v>
      </c>
      <c r="I42" s="83">
        <v>0.125362</v>
      </c>
      <c r="J42" s="83">
        <v>3.2499E-3</v>
      </c>
      <c r="K42" s="83">
        <v>0.94490399999999997</v>
      </c>
      <c r="L42" s="83">
        <v>0.123199</v>
      </c>
      <c r="M42" s="83">
        <v>3.2499E-3</v>
      </c>
      <c r="N42" s="83">
        <v>0.97188699999999995</v>
      </c>
      <c r="O42" s="83">
        <v>0.12485599999999999</v>
      </c>
      <c r="P42" s="83">
        <v>3.2499E-3</v>
      </c>
      <c r="Q42" s="83">
        <v>1.0058199999999999</v>
      </c>
      <c r="R42" s="83">
        <v>0.127247</v>
      </c>
      <c r="S42" s="83">
        <v>3.2499E-3</v>
      </c>
      <c r="T42" s="83">
        <v>1.02034</v>
      </c>
      <c r="U42" s="83">
        <v>0.12723400000000001</v>
      </c>
      <c r="V42" s="83">
        <v>3.2499E-3</v>
      </c>
      <c r="W42" s="83">
        <v>1.00125</v>
      </c>
      <c r="X42" s="83">
        <v>0.124503</v>
      </c>
      <c r="Y42" s="83">
        <v>3.2499E-3</v>
      </c>
      <c r="Z42" s="83">
        <v>1.0157799999999999</v>
      </c>
      <c r="AA42" s="83">
        <v>0.126275</v>
      </c>
      <c r="AB42" s="83">
        <v>3.2499E-3</v>
      </c>
      <c r="AC42" s="83">
        <v>1.0023299999999999</v>
      </c>
      <c r="AD42" s="83">
        <v>0.12423099999999999</v>
      </c>
      <c r="AE42" s="83">
        <v>3.2499E-3</v>
      </c>
      <c r="AF42" s="83">
        <v>1.01437</v>
      </c>
      <c r="AG42" s="83">
        <v>0.12596199999999999</v>
      </c>
      <c r="AH42" s="83">
        <v>3.2499E-3</v>
      </c>
      <c r="AI42" s="83">
        <v>0.997471</v>
      </c>
      <c r="AJ42" s="83">
        <v>0.123692</v>
      </c>
      <c r="AK42" s="83">
        <v>3.2499E-3</v>
      </c>
      <c r="AL42" s="83">
        <v>0.99524000000000001</v>
      </c>
      <c r="AM42" s="83">
        <v>0.123312</v>
      </c>
      <c r="AN42" s="83">
        <v>3.2499E-3</v>
      </c>
      <c r="AO42" s="83">
        <v>1.04172</v>
      </c>
      <c r="AP42" s="83">
        <v>0.12906500000000001</v>
      </c>
      <c r="AQ42" s="83">
        <v>3.2499E-3</v>
      </c>
      <c r="AR42" s="83">
        <v>1.02207</v>
      </c>
      <c r="AS42" s="83">
        <v>0.12636600000000001</v>
      </c>
      <c r="AT42" s="83">
        <v>3.2499E-3</v>
      </c>
      <c r="AU42" s="83">
        <v>0.99535200000000001</v>
      </c>
      <c r="AV42" s="83">
        <v>0.123309</v>
      </c>
      <c r="AW42" s="83">
        <v>3.2499E-3</v>
      </c>
      <c r="AX42" s="83">
        <v>0.98835200000000001</v>
      </c>
      <c r="AY42" s="83">
        <v>0.122379</v>
      </c>
      <c r="AZ42" s="83">
        <v>3.2499E-3</v>
      </c>
      <c r="BA42" s="83">
        <v>1.03765</v>
      </c>
      <c r="BB42" s="83">
        <v>0.128498</v>
      </c>
      <c r="BC42" s="83">
        <v>3.2499E-3</v>
      </c>
      <c r="BD42" s="83">
        <v>1.0088600000000001</v>
      </c>
      <c r="BE42" s="83">
        <v>0.124906</v>
      </c>
      <c r="BF42" s="83">
        <v>3.2499E-3</v>
      </c>
      <c r="BG42" s="83">
        <v>0.99710900000000002</v>
      </c>
      <c r="BH42" s="83">
        <v>0.123681</v>
      </c>
      <c r="BI42" s="83">
        <v>3.2499E-3</v>
      </c>
      <c r="BJ42" s="83">
        <v>1.0175700000000001</v>
      </c>
      <c r="BK42" s="83">
        <v>0.126165</v>
      </c>
      <c r="BL42" s="83">
        <v>3.2499E-3</v>
      </c>
      <c r="BM42" s="83">
        <v>1.03026</v>
      </c>
      <c r="BN42" s="83">
        <v>0.12756700000000001</v>
      </c>
      <c r="BO42" s="83">
        <v>3.2499E-3</v>
      </c>
      <c r="BP42" s="83">
        <v>1.0045299999999999</v>
      </c>
      <c r="BQ42" s="83">
        <v>0.124446</v>
      </c>
      <c r="BR42" s="83">
        <v>3.2499E-3</v>
      </c>
      <c r="BS42" s="83">
        <v>1.0242500000000001</v>
      </c>
      <c r="BT42" s="83">
        <v>0.127053</v>
      </c>
      <c r="BU42" s="83">
        <v>3.2499E-3</v>
      </c>
      <c r="BV42" s="83">
        <v>1.0443199999999999</v>
      </c>
      <c r="BW42" s="83">
        <v>0.12905</v>
      </c>
      <c r="BX42" s="83">
        <v>3.2499E-3</v>
      </c>
      <c r="BY42" s="83">
        <v>1.0312399999999999</v>
      </c>
      <c r="BZ42" s="83">
        <v>0.127333</v>
      </c>
      <c r="CA42" s="83">
        <v>3.2499E-3</v>
      </c>
      <c r="CB42" s="83">
        <v>0.99723300000000004</v>
      </c>
      <c r="CC42" s="83">
        <v>0.123282</v>
      </c>
      <c r="CD42" s="83">
        <v>3.2499E-3</v>
      </c>
      <c r="CE42" s="83">
        <v>0.99274499999999999</v>
      </c>
      <c r="CF42" s="83">
        <v>0.122851</v>
      </c>
      <c r="CG42" s="83">
        <v>3.2499E-3</v>
      </c>
      <c r="CH42" s="83">
        <v>1.01857</v>
      </c>
      <c r="CI42" s="83">
        <v>0.12559899999999999</v>
      </c>
      <c r="CJ42" s="83">
        <v>3.2499E-3</v>
      </c>
      <c r="CK42" s="83">
        <v>1.03237</v>
      </c>
      <c r="CL42" s="83">
        <v>0.127417</v>
      </c>
      <c r="CM42" s="83">
        <v>3.2499E-3</v>
      </c>
      <c r="CN42" s="83">
        <v>1.01753</v>
      </c>
      <c r="CO42" s="83">
        <v>0.125864</v>
      </c>
      <c r="CP42" s="83">
        <v>3.2499E-3</v>
      </c>
      <c r="CQ42" s="83">
        <v>0.99955000000000005</v>
      </c>
      <c r="CR42" s="83">
        <v>0.124066</v>
      </c>
      <c r="CS42" s="83">
        <v>3.2499E-3</v>
      </c>
      <c r="CT42" s="83">
        <v>1.02738</v>
      </c>
      <c r="CU42" s="83">
        <v>0.12781600000000001</v>
      </c>
      <c r="CV42" s="83">
        <v>3.2499E-3</v>
      </c>
      <c r="CW42" s="83">
        <v>0.97962400000000005</v>
      </c>
      <c r="CX42" s="83">
        <v>0.12316100000000001</v>
      </c>
    </row>
    <row r="43" spans="1:102" x14ac:dyDescent="0.2">
      <c r="A43" s="83">
        <v>3.3498999999999998E-3</v>
      </c>
      <c r="B43" s="83">
        <v>0.86509199999999997</v>
      </c>
      <c r="C43" s="83">
        <v>0.116175</v>
      </c>
      <c r="D43" s="83">
        <v>3.3498999999999998E-3</v>
      </c>
      <c r="E43" s="83">
        <v>0.89967200000000003</v>
      </c>
      <c r="F43" s="83">
        <v>0.119422</v>
      </c>
      <c r="G43" s="83">
        <v>3.3498999999999998E-3</v>
      </c>
      <c r="H43" s="83">
        <v>0.90768899999999997</v>
      </c>
      <c r="I43" s="83">
        <v>0.118867</v>
      </c>
      <c r="J43" s="83">
        <v>3.3498999999999998E-3</v>
      </c>
      <c r="K43" s="83">
        <v>0.90107099999999996</v>
      </c>
      <c r="L43" s="83">
        <v>0.116826</v>
      </c>
      <c r="M43" s="83">
        <v>3.3498999999999998E-3</v>
      </c>
      <c r="N43" s="83">
        <v>0.92714600000000003</v>
      </c>
      <c r="O43" s="83">
        <v>0.11838799999999999</v>
      </c>
      <c r="P43" s="83">
        <v>3.3498999999999998E-3</v>
      </c>
      <c r="Q43" s="83">
        <v>0.95874599999999999</v>
      </c>
      <c r="R43" s="83">
        <v>0.120653</v>
      </c>
      <c r="S43" s="83">
        <v>3.3498999999999998E-3</v>
      </c>
      <c r="T43" s="83">
        <v>0.97293499999999999</v>
      </c>
      <c r="U43" s="83">
        <v>0.120642</v>
      </c>
      <c r="V43" s="83">
        <v>3.3498999999999998E-3</v>
      </c>
      <c r="W43" s="83">
        <v>0.95484800000000003</v>
      </c>
      <c r="X43" s="83">
        <v>0.11808399999999999</v>
      </c>
      <c r="Y43" s="83">
        <v>3.3498999999999998E-3</v>
      </c>
      <c r="Z43" s="83">
        <v>0.96837300000000004</v>
      </c>
      <c r="AA43" s="83">
        <v>0.119769</v>
      </c>
      <c r="AB43" s="83">
        <v>3.3498999999999998E-3</v>
      </c>
      <c r="AC43" s="83">
        <v>0.95482</v>
      </c>
      <c r="AD43" s="83">
        <v>0.117766</v>
      </c>
      <c r="AE43" s="83">
        <v>3.3498999999999998E-3</v>
      </c>
      <c r="AF43" s="83">
        <v>0.96623300000000001</v>
      </c>
      <c r="AG43" s="83">
        <v>0.11942700000000001</v>
      </c>
      <c r="AH43" s="83">
        <v>3.3498999999999998E-3</v>
      </c>
      <c r="AI43" s="83">
        <v>0.94982</v>
      </c>
      <c r="AJ43" s="83">
        <v>0.117327</v>
      </c>
      <c r="AK43" s="83">
        <v>3.3498999999999998E-3</v>
      </c>
      <c r="AL43" s="83">
        <v>0.947295</v>
      </c>
      <c r="AM43" s="83">
        <v>0.116936</v>
      </c>
      <c r="AN43" s="83">
        <v>3.3498999999999998E-3</v>
      </c>
      <c r="AO43" s="83">
        <v>0.99129800000000001</v>
      </c>
      <c r="AP43" s="83">
        <v>0.12237000000000001</v>
      </c>
      <c r="AQ43" s="83">
        <v>3.3498999999999998E-3</v>
      </c>
      <c r="AR43" s="83">
        <v>0.97201300000000002</v>
      </c>
      <c r="AS43" s="83">
        <v>0.119809</v>
      </c>
      <c r="AT43" s="83">
        <v>3.3498999999999998E-3</v>
      </c>
      <c r="AU43" s="83">
        <v>0.946465</v>
      </c>
      <c r="AV43" s="83">
        <v>0.11700000000000001</v>
      </c>
      <c r="AW43" s="83">
        <v>3.3498999999999998E-3</v>
      </c>
      <c r="AX43" s="83">
        <v>0.93886999999999998</v>
      </c>
      <c r="AY43" s="83">
        <v>0.116105</v>
      </c>
      <c r="AZ43" s="83">
        <v>3.3498999999999998E-3</v>
      </c>
      <c r="BA43" s="83">
        <v>0.98587499999999995</v>
      </c>
      <c r="BB43" s="83">
        <v>0.121877</v>
      </c>
      <c r="BC43" s="83">
        <v>3.3498999999999998E-3</v>
      </c>
      <c r="BD43" s="83">
        <v>0.957816</v>
      </c>
      <c r="BE43" s="83">
        <v>0.11845</v>
      </c>
      <c r="BF43" s="83">
        <v>3.3498999999999998E-3</v>
      </c>
      <c r="BG43" s="83">
        <v>0.94674199999999997</v>
      </c>
      <c r="BH43" s="83">
        <v>0.117288</v>
      </c>
      <c r="BI43" s="83">
        <v>3.3498999999999998E-3</v>
      </c>
      <c r="BJ43" s="83">
        <v>0.96521599999999996</v>
      </c>
      <c r="BK43" s="83">
        <v>0.11960800000000001</v>
      </c>
      <c r="BL43" s="83">
        <v>3.3498999999999998E-3</v>
      </c>
      <c r="BM43" s="83">
        <v>0.977329</v>
      </c>
      <c r="BN43" s="83">
        <v>0.120963</v>
      </c>
      <c r="BO43" s="83">
        <v>3.3498999999999998E-3</v>
      </c>
      <c r="BP43" s="83">
        <v>0.95245299999999999</v>
      </c>
      <c r="BQ43" s="83">
        <v>0.118005</v>
      </c>
      <c r="BR43" s="83">
        <v>3.3498999999999998E-3</v>
      </c>
      <c r="BS43" s="83">
        <v>0.97129399999999999</v>
      </c>
      <c r="BT43" s="83">
        <v>0.1205</v>
      </c>
      <c r="BU43" s="83">
        <v>3.3498999999999998E-3</v>
      </c>
      <c r="BV43" s="83">
        <v>0.99010399999999998</v>
      </c>
      <c r="BW43" s="83">
        <v>0.122365</v>
      </c>
      <c r="BX43" s="83">
        <v>3.3498999999999998E-3</v>
      </c>
      <c r="BY43" s="83">
        <v>0.97741500000000003</v>
      </c>
      <c r="BZ43" s="83">
        <v>0.120714</v>
      </c>
      <c r="CA43" s="83">
        <v>3.3498999999999998E-3</v>
      </c>
      <c r="CB43" s="83">
        <v>0.94471799999999995</v>
      </c>
      <c r="CC43" s="83">
        <v>0.116936</v>
      </c>
      <c r="CD43" s="83">
        <v>3.3498999999999998E-3</v>
      </c>
      <c r="CE43" s="83">
        <v>0.94008800000000003</v>
      </c>
      <c r="CF43" s="83">
        <v>0.116538</v>
      </c>
      <c r="CG43" s="83">
        <v>3.3498999999999998E-3</v>
      </c>
      <c r="CH43" s="83">
        <v>0.96433500000000005</v>
      </c>
      <c r="CI43" s="83">
        <v>0.119084</v>
      </c>
      <c r="CJ43" s="83">
        <v>3.3498999999999998E-3</v>
      </c>
      <c r="CK43" s="83">
        <v>0.97638999999999998</v>
      </c>
      <c r="CL43" s="83">
        <v>0.120792</v>
      </c>
      <c r="CM43" s="83">
        <v>3.3498999999999998E-3</v>
      </c>
      <c r="CN43" s="83">
        <v>0.96223999999999998</v>
      </c>
      <c r="CO43" s="83">
        <v>0.11931799999999999</v>
      </c>
      <c r="CP43" s="83">
        <v>3.3498999999999998E-3</v>
      </c>
      <c r="CQ43" s="83">
        <v>0.94424699999999995</v>
      </c>
      <c r="CR43" s="83">
        <v>0.11763999999999999</v>
      </c>
      <c r="CS43" s="83">
        <v>3.3498999999999998E-3</v>
      </c>
      <c r="CT43" s="83">
        <v>0.97092699999999998</v>
      </c>
      <c r="CU43" s="83">
        <v>0.121175</v>
      </c>
      <c r="CV43" s="83">
        <v>3.3498999999999998E-3</v>
      </c>
      <c r="CW43" s="83">
        <v>0.92479</v>
      </c>
      <c r="CX43" s="83">
        <v>0.116784</v>
      </c>
    </row>
    <row r="44" spans="1:102" x14ac:dyDescent="0.2">
      <c r="A44" s="83">
        <v>3.4499000000000001E-3</v>
      </c>
      <c r="B44" s="83">
        <v>0.82522899999999999</v>
      </c>
      <c r="C44" s="83">
        <v>0.110225</v>
      </c>
      <c r="D44" s="83">
        <v>3.4499000000000001E-3</v>
      </c>
      <c r="E44" s="83">
        <v>0.85855899999999996</v>
      </c>
      <c r="F44" s="83">
        <v>0.113275</v>
      </c>
      <c r="G44" s="83">
        <v>3.4499000000000001E-3</v>
      </c>
      <c r="H44" s="83">
        <v>0.86577000000000004</v>
      </c>
      <c r="I44" s="83">
        <v>0.11275</v>
      </c>
      <c r="J44" s="83">
        <v>3.4499000000000001E-3</v>
      </c>
      <c r="K44" s="83">
        <v>0.85971799999999998</v>
      </c>
      <c r="L44" s="83">
        <v>0.110835</v>
      </c>
      <c r="M44" s="83">
        <v>3.4499000000000001E-3</v>
      </c>
      <c r="N44" s="83">
        <v>0.88384499999999999</v>
      </c>
      <c r="O44" s="83">
        <v>0.112305</v>
      </c>
      <c r="P44" s="83">
        <v>3.4499000000000001E-3</v>
      </c>
      <c r="Q44" s="83">
        <v>0.91381000000000001</v>
      </c>
      <c r="R44" s="83">
        <v>0.114429</v>
      </c>
      <c r="S44" s="83">
        <v>3.4499000000000001E-3</v>
      </c>
      <c r="T44" s="83">
        <v>0.92791100000000004</v>
      </c>
      <c r="U44" s="83">
        <v>0.114465</v>
      </c>
      <c r="V44" s="83">
        <v>3.4499000000000001E-3</v>
      </c>
      <c r="W44" s="83">
        <v>0.90976000000000001</v>
      </c>
      <c r="X44" s="83">
        <v>0.11203299999999999</v>
      </c>
      <c r="Y44" s="83">
        <v>3.4499000000000001E-3</v>
      </c>
      <c r="Z44" s="83">
        <v>0.92267900000000003</v>
      </c>
      <c r="AA44" s="83">
        <v>0.11365599999999999</v>
      </c>
      <c r="AB44" s="83">
        <v>3.4499000000000001E-3</v>
      </c>
      <c r="AC44" s="83">
        <v>0.90880899999999998</v>
      </c>
      <c r="AD44" s="83">
        <v>0.11176999999999999</v>
      </c>
      <c r="AE44" s="83">
        <v>3.4499000000000001E-3</v>
      </c>
      <c r="AF44" s="83">
        <v>0.92046099999999997</v>
      </c>
      <c r="AG44" s="83">
        <v>0.113315</v>
      </c>
      <c r="AH44" s="83">
        <v>3.4499000000000001E-3</v>
      </c>
      <c r="AI44" s="83">
        <v>0.90429700000000002</v>
      </c>
      <c r="AJ44" s="83">
        <v>0.11129699999999999</v>
      </c>
      <c r="AK44" s="83">
        <v>3.4499000000000001E-3</v>
      </c>
      <c r="AL44" s="83">
        <v>0.90129899999999996</v>
      </c>
      <c r="AM44" s="83">
        <v>0.110966</v>
      </c>
      <c r="AN44" s="83">
        <v>3.4499000000000001E-3</v>
      </c>
      <c r="AO44" s="83">
        <v>0.94314299999999995</v>
      </c>
      <c r="AP44" s="83">
        <v>0.11604100000000001</v>
      </c>
      <c r="AQ44" s="83">
        <v>3.4499000000000001E-3</v>
      </c>
      <c r="AR44" s="83">
        <v>0.92400000000000004</v>
      </c>
      <c r="AS44" s="83">
        <v>0.113631</v>
      </c>
      <c r="AT44" s="83">
        <v>3.4499000000000001E-3</v>
      </c>
      <c r="AU44" s="83">
        <v>0.89951700000000001</v>
      </c>
      <c r="AV44" s="83">
        <v>0.111028</v>
      </c>
      <c r="AW44" s="83">
        <v>3.4499000000000001E-3</v>
      </c>
      <c r="AX44" s="83">
        <v>0.89201900000000001</v>
      </c>
      <c r="AY44" s="83">
        <v>0.110114</v>
      </c>
      <c r="AZ44" s="83">
        <v>3.4499000000000001E-3</v>
      </c>
      <c r="BA44" s="83">
        <v>0.93667100000000003</v>
      </c>
      <c r="BB44" s="83">
        <v>0.115591</v>
      </c>
      <c r="BC44" s="83">
        <v>3.4499000000000001E-3</v>
      </c>
      <c r="BD44" s="83">
        <v>0.90940799999999999</v>
      </c>
      <c r="BE44" s="83">
        <v>0.112362</v>
      </c>
      <c r="BF44" s="83">
        <v>3.4499000000000001E-3</v>
      </c>
      <c r="BG44" s="83">
        <v>0.89825600000000005</v>
      </c>
      <c r="BH44" s="83">
        <v>0.111258</v>
      </c>
      <c r="BI44" s="83">
        <v>3.4499000000000001E-3</v>
      </c>
      <c r="BJ44" s="83">
        <v>0.91556800000000005</v>
      </c>
      <c r="BK44" s="83">
        <v>0.11346299999999999</v>
      </c>
      <c r="BL44" s="83">
        <v>3.4499000000000001E-3</v>
      </c>
      <c r="BM44" s="83">
        <v>0.92709900000000001</v>
      </c>
      <c r="BN44" s="83">
        <v>0.11472</v>
      </c>
      <c r="BO44" s="83">
        <v>3.4499000000000001E-3</v>
      </c>
      <c r="BP44" s="83">
        <v>0.90304399999999996</v>
      </c>
      <c r="BQ44" s="83">
        <v>0.11197600000000001</v>
      </c>
      <c r="BR44" s="83">
        <v>3.4499000000000001E-3</v>
      </c>
      <c r="BS44" s="83">
        <v>0.92051300000000003</v>
      </c>
      <c r="BT44" s="83">
        <v>0.114306</v>
      </c>
      <c r="BU44" s="83">
        <v>3.4499000000000001E-3</v>
      </c>
      <c r="BV44" s="83">
        <v>0.93799999999999994</v>
      </c>
      <c r="BW44" s="83">
        <v>0.11602800000000001</v>
      </c>
      <c r="BX44" s="83">
        <v>3.4499000000000001E-3</v>
      </c>
      <c r="BY44" s="83">
        <v>0.92545200000000005</v>
      </c>
      <c r="BZ44" s="83">
        <v>0.114493</v>
      </c>
      <c r="CA44" s="83">
        <v>3.4499000000000001E-3</v>
      </c>
      <c r="CB44" s="83">
        <v>0.89343399999999995</v>
      </c>
      <c r="CC44" s="83">
        <v>0.110899</v>
      </c>
      <c r="CD44" s="83">
        <v>3.4499000000000001E-3</v>
      </c>
      <c r="CE44" s="83">
        <v>0.88967300000000005</v>
      </c>
      <c r="CF44" s="83">
        <v>0.110585</v>
      </c>
      <c r="CG44" s="83">
        <v>3.4499000000000001E-3</v>
      </c>
      <c r="CH44" s="83">
        <v>0.91250399999999998</v>
      </c>
      <c r="CI44" s="83">
        <v>0.112953</v>
      </c>
      <c r="CJ44" s="83">
        <v>3.4499000000000001E-3</v>
      </c>
      <c r="CK44" s="83">
        <v>0.92339199999999999</v>
      </c>
      <c r="CL44" s="83">
        <v>0.114553</v>
      </c>
      <c r="CM44" s="83">
        <v>3.4499000000000001E-3</v>
      </c>
      <c r="CN44" s="83">
        <v>0.90954999999999997</v>
      </c>
      <c r="CO44" s="83">
        <v>0.113203</v>
      </c>
      <c r="CP44" s="83">
        <v>3.4499000000000001E-3</v>
      </c>
      <c r="CQ44" s="83">
        <v>0.89211300000000004</v>
      </c>
      <c r="CR44" s="83">
        <v>0.11161699999999999</v>
      </c>
      <c r="CS44" s="83">
        <v>3.4499000000000001E-3</v>
      </c>
      <c r="CT44" s="83">
        <v>0.91670300000000005</v>
      </c>
      <c r="CU44" s="83">
        <v>0.114944</v>
      </c>
      <c r="CV44" s="83">
        <v>3.4499000000000001E-3</v>
      </c>
      <c r="CW44" s="83">
        <v>0.87261200000000005</v>
      </c>
      <c r="CX44" s="83">
        <v>0.110778</v>
      </c>
    </row>
    <row r="45" spans="1:102" x14ac:dyDescent="0.2">
      <c r="A45" s="83">
        <v>3.5498999999999999E-3</v>
      </c>
      <c r="B45" s="83">
        <v>0.78723100000000001</v>
      </c>
      <c r="C45" s="83">
        <v>0.1046</v>
      </c>
      <c r="D45" s="83">
        <v>3.5498999999999999E-3</v>
      </c>
      <c r="E45" s="83">
        <v>0.81818299999999999</v>
      </c>
      <c r="F45" s="83">
        <v>0.107471</v>
      </c>
      <c r="G45" s="83">
        <v>3.5498999999999999E-3</v>
      </c>
      <c r="H45" s="83">
        <v>0.825326</v>
      </c>
      <c r="I45" s="83">
        <v>0.106986</v>
      </c>
      <c r="J45" s="83">
        <v>3.5498999999999999E-3</v>
      </c>
      <c r="K45" s="83">
        <v>0.81922499999999998</v>
      </c>
      <c r="L45" s="83">
        <v>0.105138</v>
      </c>
      <c r="M45" s="83">
        <v>3.5498999999999999E-3</v>
      </c>
      <c r="N45" s="83">
        <v>0.84238500000000005</v>
      </c>
      <c r="O45" s="83">
        <v>0.106531</v>
      </c>
      <c r="P45" s="83">
        <v>3.5498999999999999E-3</v>
      </c>
      <c r="Q45" s="83">
        <v>0.870861</v>
      </c>
      <c r="R45" s="83">
        <v>0.10853</v>
      </c>
      <c r="S45" s="83">
        <v>3.5498999999999999E-3</v>
      </c>
      <c r="T45" s="83">
        <v>0.88402400000000003</v>
      </c>
      <c r="U45" s="83">
        <v>0.108581</v>
      </c>
      <c r="V45" s="83">
        <v>3.5498999999999999E-3</v>
      </c>
      <c r="W45" s="83">
        <v>0.86663999999999997</v>
      </c>
      <c r="X45" s="83">
        <v>0.10628799999999999</v>
      </c>
      <c r="Y45" s="83">
        <v>3.5498999999999999E-3</v>
      </c>
      <c r="Z45" s="83">
        <v>0.87867499999999998</v>
      </c>
      <c r="AA45" s="83">
        <v>0.107861</v>
      </c>
      <c r="AB45" s="83">
        <v>3.5498999999999999E-3</v>
      </c>
      <c r="AC45" s="83">
        <v>0.86516599999999999</v>
      </c>
      <c r="AD45" s="83">
        <v>0.106049</v>
      </c>
      <c r="AE45" s="83">
        <v>3.5498999999999999E-3</v>
      </c>
      <c r="AF45" s="83">
        <v>0.87595900000000004</v>
      </c>
      <c r="AG45" s="83">
        <v>0.107532</v>
      </c>
      <c r="AH45" s="83">
        <v>3.5498999999999999E-3</v>
      </c>
      <c r="AI45" s="83">
        <v>0.86030300000000004</v>
      </c>
      <c r="AJ45" s="83">
        <v>0.105626</v>
      </c>
      <c r="AK45" s="83">
        <v>3.5498999999999999E-3</v>
      </c>
      <c r="AL45" s="83">
        <v>0.85643599999999998</v>
      </c>
      <c r="AM45" s="83">
        <v>0.105279</v>
      </c>
      <c r="AN45" s="83">
        <v>3.5498999999999999E-3</v>
      </c>
      <c r="AO45" s="83">
        <v>0.89700999999999997</v>
      </c>
      <c r="AP45" s="83">
        <v>0.11010399999999999</v>
      </c>
      <c r="AQ45" s="83">
        <v>3.5498999999999999E-3</v>
      </c>
      <c r="AR45" s="83">
        <v>0.87766699999999997</v>
      </c>
      <c r="AS45" s="83">
        <v>0.107844</v>
      </c>
      <c r="AT45" s="83">
        <v>3.5498999999999999E-3</v>
      </c>
      <c r="AU45" s="83">
        <v>0.85478100000000001</v>
      </c>
      <c r="AV45" s="83">
        <v>0.10541399999999999</v>
      </c>
      <c r="AW45" s="83">
        <v>3.5498999999999999E-3</v>
      </c>
      <c r="AX45" s="83">
        <v>0.84722500000000001</v>
      </c>
      <c r="AY45" s="83">
        <v>0.10456</v>
      </c>
      <c r="AZ45" s="83">
        <v>3.5498999999999999E-3</v>
      </c>
      <c r="BA45" s="83">
        <v>0.88964900000000002</v>
      </c>
      <c r="BB45" s="83">
        <v>0.10970299999999999</v>
      </c>
      <c r="BC45" s="83">
        <v>3.5498999999999999E-3</v>
      </c>
      <c r="BD45" s="83">
        <v>0.86326000000000003</v>
      </c>
      <c r="BE45" s="83">
        <v>0.106609</v>
      </c>
      <c r="BF45" s="83">
        <v>3.5498999999999999E-3</v>
      </c>
      <c r="BG45" s="83">
        <v>0.85231900000000005</v>
      </c>
      <c r="BH45" s="83">
        <v>0.105576</v>
      </c>
      <c r="BI45" s="83">
        <v>3.5498999999999999E-3</v>
      </c>
      <c r="BJ45" s="83">
        <v>0.86818499999999998</v>
      </c>
      <c r="BK45" s="83">
        <v>0.10766000000000001</v>
      </c>
      <c r="BL45" s="83">
        <v>3.5498999999999999E-3</v>
      </c>
      <c r="BM45" s="83">
        <v>0.87903299999999995</v>
      </c>
      <c r="BN45" s="83">
        <v>0.10886800000000001</v>
      </c>
      <c r="BO45" s="83">
        <v>3.5498999999999999E-3</v>
      </c>
      <c r="BP45" s="83">
        <v>0.85609599999999997</v>
      </c>
      <c r="BQ45" s="83">
        <v>0.106282</v>
      </c>
      <c r="BR45" s="83">
        <v>3.5498999999999999E-3</v>
      </c>
      <c r="BS45" s="83">
        <v>0.872583</v>
      </c>
      <c r="BT45" s="83">
        <v>0.10847900000000001</v>
      </c>
      <c r="BU45" s="83">
        <v>3.5498999999999999E-3</v>
      </c>
      <c r="BV45" s="83">
        <v>0.88835600000000003</v>
      </c>
      <c r="BW45" s="83">
        <v>0.110082</v>
      </c>
      <c r="BX45" s="83">
        <v>3.5498999999999999E-3</v>
      </c>
      <c r="BY45" s="83">
        <v>0.87631700000000001</v>
      </c>
      <c r="BZ45" s="83">
        <v>0.10863399999999999</v>
      </c>
      <c r="CA45" s="83">
        <v>3.5498999999999999E-3</v>
      </c>
      <c r="CB45" s="83">
        <v>0.84593399999999996</v>
      </c>
      <c r="CC45" s="83">
        <v>0.105236</v>
      </c>
      <c r="CD45" s="83">
        <v>3.5498999999999999E-3</v>
      </c>
      <c r="CE45" s="83">
        <v>0.84136299999999997</v>
      </c>
      <c r="CF45" s="83">
        <v>0.10496999999999999</v>
      </c>
      <c r="CG45" s="83">
        <v>3.5498999999999999E-3</v>
      </c>
      <c r="CH45" s="83">
        <v>0.86244600000000005</v>
      </c>
      <c r="CI45" s="83">
        <v>0.107186</v>
      </c>
      <c r="CJ45" s="83">
        <v>3.5498999999999999E-3</v>
      </c>
      <c r="CK45" s="83">
        <v>0.87348000000000003</v>
      </c>
      <c r="CL45" s="83">
        <v>0.108712</v>
      </c>
      <c r="CM45" s="83">
        <v>3.5498999999999999E-3</v>
      </c>
      <c r="CN45" s="83">
        <v>0.85925700000000005</v>
      </c>
      <c r="CO45" s="83">
        <v>0.107377</v>
      </c>
      <c r="CP45" s="83">
        <v>3.5498999999999999E-3</v>
      </c>
      <c r="CQ45" s="83">
        <v>0.84287000000000001</v>
      </c>
      <c r="CR45" s="83">
        <v>0.10587100000000001</v>
      </c>
      <c r="CS45" s="83">
        <v>3.5498999999999999E-3</v>
      </c>
      <c r="CT45" s="83">
        <v>0.865761</v>
      </c>
      <c r="CU45" s="83">
        <v>0.109055</v>
      </c>
      <c r="CV45" s="83">
        <v>3.5498999999999999E-3</v>
      </c>
      <c r="CW45" s="83">
        <v>0.82361799999999996</v>
      </c>
      <c r="CX45" s="83">
        <v>0.10512000000000001</v>
      </c>
    </row>
    <row r="46" spans="1:102" x14ac:dyDescent="0.2">
      <c r="A46" s="83">
        <v>3.6499000000000002E-3</v>
      </c>
      <c r="B46" s="83">
        <v>0.750942</v>
      </c>
      <c r="C46" s="83">
        <v>9.92783E-2</v>
      </c>
      <c r="D46" s="83">
        <v>3.6499000000000002E-3</v>
      </c>
      <c r="E46" s="83">
        <v>0.78052699999999997</v>
      </c>
      <c r="F46" s="83">
        <v>0.102005</v>
      </c>
      <c r="G46" s="83">
        <v>3.6499000000000002E-3</v>
      </c>
      <c r="H46" s="83">
        <v>0.78653700000000004</v>
      </c>
      <c r="I46" s="83">
        <v>0.101521</v>
      </c>
      <c r="J46" s="83">
        <v>3.6499000000000002E-3</v>
      </c>
      <c r="K46" s="83">
        <v>0.78076299999999998</v>
      </c>
      <c r="L46" s="83">
        <v>9.9787399999999998E-2</v>
      </c>
      <c r="M46" s="83">
        <v>3.6499000000000002E-3</v>
      </c>
      <c r="N46" s="83">
        <v>0.80270200000000003</v>
      </c>
      <c r="O46" s="83">
        <v>0.101103</v>
      </c>
      <c r="P46" s="83">
        <v>3.6499000000000002E-3</v>
      </c>
      <c r="Q46" s="83">
        <v>0.83010399999999995</v>
      </c>
      <c r="R46" s="83">
        <v>0.102982</v>
      </c>
      <c r="S46" s="83">
        <v>3.6499000000000002E-3</v>
      </c>
      <c r="T46" s="83">
        <v>0.842252</v>
      </c>
      <c r="U46" s="83">
        <v>0.10305400000000001</v>
      </c>
      <c r="V46" s="83">
        <v>3.6499000000000002E-3</v>
      </c>
      <c r="W46" s="83">
        <v>0.82555100000000003</v>
      </c>
      <c r="X46" s="83">
        <v>0.10088999999999999</v>
      </c>
      <c r="Y46" s="83">
        <v>3.6499000000000002E-3</v>
      </c>
      <c r="Z46" s="83">
        <v>0.83689800000000003</v>
      </c>
      <c r="AA46" s="83">
        <v>0.10237300000000001</v>
      </c>
      <c r="AB46" s="83">
        <v>3.6499000000000002E-3</v>
      </c>
      <c r="AC46" s="83">
        <v>0.82335999999999998</v>
      </c>
      <c r="AD46" s="83">
        <v>0.100678</v>
      </c>
      <c r="AE46" s="83">
        <v>3.6499000000000002E-3</v>
      </c>
      <c r="AF46" s="83">
        <v>0.83299100000000004</v>
      </c>
      <c r="AG46" s="83">
        <v>0.102053</v>
      </c>
      <c r="AH46" s="83">
        <v>3.6499000000000002E-3</v>
      </c>
      <c r="AI46" s="83">
        <v>0.81784199999999996</v>
      </c>
      <c r="AJ46" s="83">
        <v>0.100286</v>
      </c>
      <c r="AK46" s="83">
        <v>3.6499000000000002E-3</v>
      </c>
      <c r="AL46" s="83">
        <v>0.81418999999999997</v>
      </c>
      <c r="AM46" s="83">
        <v>9.9964600000000001E-2</v>
      </c>
      <c r="AN46" s="83">
        <v>3.6499000000000002E-3</v>
      </c>
      <c r="AO46" s="83">
        <v>0.85212299999999996</v>
      </c>
      <c r="AP46" s="83">
        <v>0.10448200000000001</v>
      </c>
      <c r="AQ46" s="83">
        <v>3.6499000000000002E-3</v>
      </c>
      <c r="AR46" s="83">
        <v>0.83387800000000001</v>
      </c>
      <c r="AS46" s="83">
        <v>0.10233200000000001</v>
      </c>
      <c r="AT46" s="83">
        <v>3.6499000000000002E-3</v>
      </c>
      <c r="AU46" s="83">
        <v>0.811558</v>
      </c>
      <c r="AV46" s="83">
        <v>0.100102</v>
      </c>
      <c r="AW46" s="83">
        <v>3.6499000000000002E-3</v>
      </c>
      <c r="AX46" s="83">
        <v>0.80406500000000003</v>
      </c>
      <c r="AY46" s="83">
        <v>9.9241099999999999E-2</v>
      </c>
      <c r="AZ46" s="83">
        <v>3.6499000000000002E-3</v>
      </c>
      <c r="BA46" s="83">
        <v>0.84423400000000004</v>
      </c>
      <c r="BB46" s="83">
        <v>0.10408000000000001</v>
      </c>
      <c r="BC46" s="83">
        <v>3.6499000000000002E-3</v>
      </c>
      <c r="BD46" s="83">
        <v>0.81828999999999996</v>
      </c>
      <c r="BE46" s="83">
        <v>0.10115300000000001</v>
      </c>
      <c r="BF46" s="83">
        <v>3.6499000000000002E-3</v>
      </c>
      <c r="BG46" s="83">
        <v>0.80802200000000002</v>
      </c>
      <c r="BH46" s="83">
        <v>0.10022</v>
      </c>
      <c r="BI46" s="83">
        <v>3.6499000000000002E-3</v>
      </c>
      <c r="BJ46" s="83">
        <v>0.82250599999999996</v>
      </c>
      <c r="BK46" s="83">
        <v>0.102162</v>
      </c>
      <c r="BL46" s="83">
        <v>3.6499000000000002E-3</v>
      </c>
      <c r="BM46" s="83">
        <v>0.83296800000000004</v>
      </c>
      <c r="BN46" s="83">
        <v>0.10331700000000001</v>
      </c>
      <c r="BO46" s="83">
        <v>3.6499000000000002E-3</v>
      </c>
      <c r="BP46" s="83">
        <v>0.81089599999999995</v>
      </c>
      <c r="BQ46" s="83">
        <v>0.10090300000000001</v>
      </c>
      <c r="BR46" s="83">
        <v>3.6499000000000002E-3</v>
      </c>
      <c r="BS46" s="83">
        <v>0.82665500000000003</v>
      </c>
      <c r="BT46" s="83">
        <v>0.102963</v>
      </c>
      <c r="BU46" s="83">
        <v>3.6499000000000002E-3</v>
      </c>
      <c r="BV46" s="83">
        <v>0.841256</v>
      </c>
      <c r="BW46" s="83">
        <v>0.10446800000000001</v>
      </c>
      <c r="BX46" s="83">
        <v>3.6499000000000002E-3</v>
      </c>
      <c r="BY46" s="83">
        <v>0.829295</v>
      </c>
      <c r="BZ46" s="83">
        <v>0.103064</v>
      </c>
      <c r="CA46" s="83">
        <v>3.6499000000000002E-3</v>
      </c>
      <c r="CB46" s="83">
        <v>0.80066099999999996</v>
      </c>
      <c r="CC46" s="83">
        <v>9.9923100000000001E-2</v>
      </c>
      <c r="CD46" s="83">
        <v>3.6499000000000002E-3</v>
      </c>
      <c r="CE46" s="83">
        <v>0.79614300000000005</v>
      </c>
      <c r="CF46" s="83">
        <v>9.9639500000000006E-2</v>
      </c>
      <c r="CG46" s="83">
        <v>3.6499000000000002E-3</v>
      </c>
      <c r="CH46" s="83">
        <v>0.81545299999999998</v>
      </c>
      <c r="CI46" s="83">
        <v>0.101704</v>
      </c>
      <c r="CJ46" s="83">
        <v>3.6499000000000002E-3</v>
      </c>
      <c r="CK46" s="83">
        <v>0.82530599999999998</v>
      </c>
      <c r="CL46" s="83">
        <v>0.103161</v>
      </c>
      <c r="CM46" s="83">
        <v>3.6499000000000002E-3</v>
      </c>
      <c r="CN46" s="83">
        <v>0.81107300000000004</v>
      </c>
      <c r="CO46" s="83">
        <v>0.101885</v>
      </c>
      <c r="CP46" s="83">
        <v>3.6499000000000002E-3</v>
      </c>
      <c r="CQ46" s="83">
        <v>0.79537000000000002</v>
      </c>
      <c r="CR46" s="83">
        <v>0.100503</v>
      </c>
      <c r="CS46" s="83">
        <v>3.6499000000000002E-3</v>
      </c>
      <c r="CT46" s="83">
        <v>0.81694199999999995</v>
      </c>
      <c r="CU46" s="83">
        <v>0.10346900000000001</v>
      </c>
      <c r="CV46" s="83">
        <v>3.6499000000000002E-3</v>
      </c>
      <c r="CW46" s="83">
        <v>0.77679600000000004</v>
      </c>
      <c r="CX46" s="83">
        <v>9.9754499999999996E-2</v>
      </c>
    </row>
    <row r="47" spans="1:102" x14ac:dyDescent="0.2">
      <c r="A47" s="83">
        <v>3.7499E-3</v>
      </c>
      <c r="B47" s="83">
        <v>0.71543400000000001</v>
      </c>
      <c r="C47" s="83">
        <v>9.4331999999999999E-2</v>
      </c>
      <c r="D47" s="83">
        <v>3.7499E-3</v>
      </c>
      <c r="E47" s="83">
        <v>0.74383200000000005</v>
      </c>
      <c r="F47" s="83">
        <v>9.6846500000000002E-2</v>
      </c>
      <c r="G47" s="83">
        <v>3.7499E-3</v>
      </c>
      <c r="H47" s="83">
        <v>0.74926599999999999</v>
      </c>
      <c r="I47" s="83">
        <v>9.6426499999999998E-2</v>
      </c>
      <c r="J47" s="83">
        <v>3.7499E-3</v>
      </c>
      <c r="K47" s="83">
        <v>0.743483</v>
      </c>
      <c r="L47" s="83">
        <v>9.4767799999999999E-2</v>
      </c>
      <c r="M47" s="83">
        <v>3.7499E-3</v>
      </c>
      <c r="N47" s="83">
        <v>0.76419599999999999</v>
      </c>
      <c r="O47" s="83">
        <v>9.6005800000000002E-2</v>
      </c>
      <c r="P47" s="83">
        <v>3.7499E-3</v>
      </c>
      <c r="Q47" s="83">
        <v>0.79028399999999999</v>
      </c>
      <c r="R47" s="83">
        <v>9.7738900000000004E-2</v>
      </c>
      <c r="S47" s="83">
        <v>3.7499E-3</v>
      </c>
      <c r="T47" s="83">
        <v>0.80177799999999999</v>
      </c>
      <c r="U47" s="83">
        <v>9.7852599999999998E-2</v>
      </c>
      <c r="V47" s="83">
        <v>3.7499E-3</v>
      </c>
      <c r="W47" s="83">
        <v>0.78574699999999997</v>
      </c>
      <c r="X47" s="83">
        <v>9.5813200000000001E-2</v>
      </c>
      <c r="Y47" s="83">
        <v>3.7499E-3</v>
      </c>
      <c r="Z47" s="83">
        <v>0.79617499999999997</v>
      </c>
      <c r="AA47" s="83">
        <v>9.7235699999999994E-2</v>
      </c>
      <c r="AB47" s="83">
        <v>3.7499E-3</v>
      </c>
      <c r="AC47" s="83">
        <v>0.78356000000000003</v>
      </c>
      <c r="AD47" s="83">
        <v>9.5610600000000004E-2</v>
      </c>
      <c r="AE47" s="83">
        <v>3.7499E-3</v>
      </c>
      <c r="AF47" s="83">
        <v>0.79231700000000005</v>
      </c>
      <c r="AG47" s="83">
        <v>9.6906599999999996E-2</v>
      </c>
      <c r="AH47" s="83">
        <v>3.7499E-3</v>
      </c>
      <c r="AI47" s="83">
        <v>0.777725</v>
      </c>
      <c r="AJ47" s="83">
        <v>9.5273399999999994E-2</v>
      </c>
      <c r="AK47" s="83">
        <v>3.7499E-3</v>
      </c>
      <c r="AL47" s="83">
        <v>0.77377499999999999</v>
      </c>
      <c r="AM47" s="83">
        <v>9.4962599999999994E-2</v>
      </c>
      <c r="AN47" s="83">
        <v>3.7499E-3</v>
      </c>
      <c r="AO47" s="83">
        <v>0.80948100000000001</v>
      </c>
      <c r="AP47" s="83">
        <v>9.9176399999999998E-2</v>
      </c>
      <c r="AQ47" s="83">
        <v>3.7499E-3</v>
      </c>
      <c r="AR47" s="83">
        <v>0.791744</v>
      </c>
      <c r="AS47" s="83">
        <v>9.7151000000000001E-2</v>
      </c>
      <c r="AT47" s="83">
        <v>3.7499E-3</v>
      </c>
      <c r="AU47" s="83">
        <v>0.771123</v>
      </c>
      <c r="AV47" s="83">
        <v>9.5138600000000004E-2</v>
      </c>
      <c r="AW47" s="83">
        <v>3.7499E-3</v>
      </c>
      <c r="AX47" s="83">
        <v>0.76302499999999995</v>
      </c>
      <c r="AY47" s="83">
        <v>9.42997E-2</v>
      </c>
      <c r="AZ47" s="83">
        <v>3.7499E-3</v>
      </c>
      <c r="BA47" s="83">
        <v>0.80121200000000004</v>
      </c>
      <c r="BB47" s="83">
        <v>9.8849500000000007E-2</v>
      </c>
      <c r="BC47" s="83">
        <v>3.7499E-3</v>
      </c>
      <c r="BD47" s="83">
        <v>0.77611200000000002</v>
      </c>
      <c r="BE47" s="83">
        <v>9.6079200000000003E-2</v>
      </c>
      <c r="BF47" s="83">
        <v>3.7499E-3</v>
      </c>
      <c r="BG47" s="83">
        <v>0.76572700000000005</v>
      </c>
      <c r="BH47" s="83">
        <v>9.5193E-2</v>
      </c>
      <c r="BI47" s="83">
        <v>3.7499E-3</v>
      </c>
      <c r="BJ47" s="83">
        <v>0.77962500000000001</v>
      </c>
      <c r="BK47" s="83">
        <v>9.6986500000000003E-2</v>
      </c>
      <c r="BL47" s="83">
        <v>3.7499E-3</v>
      </c>
      <c r="BM47" s="83">
        <v>0.78945299999999996</v>
      </c>
      <c r="BN47" s="83">
        <v>9.8103700000000002E-2</v>
      </c>
      <c r="BO47" s="83">
        <v>3.7499E-3</v>
      </c>
      <c r="BP47" s="83">
        <v>0.76841499999999996</v>
      </c>
      <c r="BQ47" s="83">
        <v>9.5845700000000006E-2</v>
      </c>
      <c r="BR47" s="83">
        <v>3.7499E-3</v>
      </c>
      <c r="BS47" s="83">
        <v>0.78268099999999996</v>
      </c>
      <c r="BT47" s="83">
        <v>9.7779599999999994E-2</v>
      </c>
      <c r="BU47" s="83">
        <v>3.7499E-3</v>
      </c>
      <c r="BV47" s="83">
        <v>0.79635900000000004</v>
      </c>
      <c r="BW47" s="83">
        <v>9.9161899999999997E-2</v>
      </c>
      <c r="BX47" s="83">
        <v>3.7499E-3</v>
      </c>
      <c r="BY47" s="83">
        <v>0.78503699999999998</v>
      </c>
      <c r="BZ47" s="83">
        <v>9.7850900000000005E-2</v>
      </c>
      <c r="CA47" s="83">
        <v>3.7499E-3</v>
      </c>
      <c r="CB47" s="83">
        <v>0.75709099999999996</v>
      </c>
      <c r="CC47" s="83">
        <v>9.4924999999999995E-2</v>
      </c>
      <c r="CD47" s="83">
        <v>3.7499E-3</v>
      </c>
      <c r="CE47" s="83">
        <v>0.75273000000000001</v>
      </c>
      <c r="CF47" s="83">
        <v>9.4636600000000001E-2</v>
      </c>
      <c r="CG47" s="83">
        <v>3.7499E-3</v>
      </c>
      <c r="CH47" s="83">
        <v>0.77071699999999999</v>
      </c>
      <c r="CI47" s="83">
        <v>9.6591399999999994E-2</v>
      </c>
      <c r="CJ47" s="83">
        <v>3.7499E-3</v>
      </c>
      <c r="CK47" s="83">
        <v>0.77962200000000004</v>
      </c>
      <c r="CL47" s="83">
        <v>9.7920300000000002E-2</v>
      </c>
      <c r="CM47" s="83">
        <v>3.7499E-3</v>
      </c>
      <c r="CN47" s="83">
        <v>0.76649800000000001</v>
      </c>
      <c r="CO47" s="83">
        <v>9.67417E-2</v>
      </c>
      <c r="CP47" s="83">
        <v>3.7499E-3</v>
      </c>
      <c r="CQ47" s="83">
        <v>0.75071200000000005</v>
      </c>
      <c r="CR47" s="83">
        <v>9.5419299999999999E-2</v>
      </c>
      <c r="CS47" s="83">
        <v>3.7499E-3</v>
      </c>
      <c r="CT47" s="83">
        <v>0.77135600000000004</v>
      </c>
      <c r="CU47" s="83">
        <v>9.82214E-2</v>
      </c>
      <c r="CV47" s="83">
        <v>3.7499E-3</v>
      </c>
      <c r="CW47" s="83">
        <v>0.73235300000000003</v>
      </c>
      <c r="CX47" s="83">
        <v>9.4760399999999995E-2</v>
      </c>
    </row>
    <row r="48" spans="1:102" x14ac:dyDescent="0.2">
      <c r="A48" s="83">
        <v>3.8498999999999999E-3</v>
      </c>
      <c r="B48" s="83">
        <v>0.68160100000000001</v>
      </c>
      <c r="C48" s="83">
        <v>8.9490200000000006E-2</v>
      </c>
      <c r="D48" s="83">
        <v>3.8498999999999999E-3</v>
      </c>
      <c r="E48" s="83">
        <v>0.70898799999999995</v>
      </c>
      <c r="F48" s="83">
        <v>9.1966599999999996E-2</v>
      </c>
      <c r="G48" s="83">
        <v>3.8498999999999999E-3</v>
      </c>
      <c r="H48" s="83">
        <v>0.71408099999999997</v>
      </c>
      <c r="I48" s="83">
        <v>9.1523199999999999E-2</v>
      </c>
      <c r="J48" s="83">
        <v>3.8498999999999999E-3</v>
      </c>
      <c r="K48" s="83">
        <v>0.70780900000000002</v>
      </c>
      <c r="L48" s="83">
        <v>8.9918200000000004E-2</v>
      </c>
      <c r="M48" s="83">
        <v>3.8498999999999999E-3</v>
      </c>
      <c r="N48" s="83">
        <v>0.72719400000000001</v>
      </c>
      <c r="O48" s="83">
        <v>9.1137700000000002E-2</v>
      </c>
      <c r="P48" s="83">
        <v>3.8498999999999999E-3</v>
      </c>
      <c r="Q48" s="83">
        <v>0.75219400000000003</v>
      </c>
      <c r="R48" s="83">
        <v>9.2824799999999999E-2</v>
      </c>
      <c r="S48" s="83">
        <v>3.8498999999999999E-3</v>
      </c>
      <c r="T48" s="83">
        <v>0.763297</v>
      </c>
      <c r="U48" s="83">
        <v>9.2946299999999996E-2</v>
      </c>
      <c r="V48" s="83">
        <v>3.8498999999999999E-3</v>
      </c>
      <c r="W48" s="83">
        <v>0.74754399999999999</v>
      </c>
      <c r="X48" s="83">
        <v>9.0963600000000006E-2</v>
      </c>
      <c r="Y48" s="83">
        <v>3.8498999999999999E-3</v>
      </c>
      <c r="Z48" s="83">
        <v>0.75810900000000003</v>
      </c>
      <c r="AA48" s="83">
        <v>9.2358700000000002E-2</v>
      </c>
      <c r="AB48" s="83">
        <v>3.8498999999999999E-3</v>
      </c>
      <c r="AC48" s="83">
        <v>0.74509300000000001</v>
      </c>
      <c r="AD48" s="83">
        <v>9.0771699999999997E-2</v>
      </c>
      <c r="AE48" s="83">
        <v>3.8498999999999999E-3</v>
      </c>
      <c r="AF48" s="83">
        <v>0.75340099999999999</v>
      </c>
      <c r="AG48" s="83">
        <v>9.2061900000000002E-2</v>
      </c>
      <c r="AH48" s="83">
        <v>3.8498999999999999E-3</v>
      </c>
      <c r="AI48" s="83">
        <v>0.73902400000000001</v>
      </c>
      <c r="AJ48" s="83">
        <v>9.0448200000000006E-2</v>
      </c>
      <c r="AK48" s="83">
        <v>3.8498999999999999E-3</v>
      </c>
      <c r="AL48" s="83">
        <v>0.73467300000000002</v>
      </c>
      <c r="AM48" s="83">
        <v>9.0168700000000004E-2</v>
      </c>
      <c r="AN48" s="83">
        <v>3.8498999999999999E-3</v>
      </c>
      <c r="AO48" s="83">
        <v>0.76909000000000005</v>
      </c>
      <c r="AP48" s="83">
        <v>9.4236899999999998E-2</v>
      </c>
      <c r="AQ48" s="83">
        <v>3.8498999999999999E-3</v>
      </c>
      <c r="AR48" s="83">
        <v>0.75182700000000002</v>
      </c>
      <c r="AS48" s="83">
        <v>9.2262300000000005E-2</v>
      </c>
      <c r="AT48" s="83">
        <v>3.8498999999999999E-3</v>
      </c>
      <c r="AU48" s="83">
        <v>0.73172400000000004</v>
      </c>
      <c r="AV48" s="83">
        <v>9.0320300000000006E-2</v>
      </c>
      <c r="AW48" s="83">
        <v>3.8498999999999999E-3</v>
      </c>
      <c r="AX48" s="83">
        <v>0.72382100000000005</v>
      </c>
      <c r="AY48" s="83">
        <v>8.95204E-2</v>
      </c>
      <c r="AZ48" s="83">
        <v>3.8498999999999999E-3</v>
      </c>
      <c r="BA48" s="83">
        <v>0.76017199999999996</v>
      </c>
      <c r="BB48" s="83">
        <v>9.3891500000000003E-2</v>
      </c>
      <c r="BC48" s="83">
        <v>3.8498999999999999E-3</v>
      </c>
      <c r="BD48" s="83">
        <v>0.735707</v>
      </c>
      <c r="BE48" s="83">
        <v>9.1218800000000003E-2</v>
      </c>
      <c r="BF48" s="83">
        <v>3.8498999999999999E-3</v>
      </c>
      <c r="BG48" s="83">
        <v>0.72553599999999996</v>
      </c>
      <c r="BH48" s="83">
        <v>9.03365E-2</v>
      </c>
      <c r="BI48" s="83">
        <v>3.8498999999999999E-3</v>
      </c>
      <c r="BJ48" s="83">
        <v>0.73857099999999998</v>
      </c>
      <c r="BK48" s="83">
        <v>9.2064699999999999E-2</v>
      </c>
      <c r="BL48" s="83">
        <v>3.8498999999999999E-3</v>
      </c>
      <c r="BM48" s="83">
        <v>0.74772400000000006</v>
      </c>
      <c r="BN48" s="83">
        <v>9.3124200000000004E-2</v>
      </c>
      <c r="BO48" s="83">
        <v>3.8498999999999999E-3</v>
      </c>
      <c r="BP48" s="83">
        <v>0.72766299999999995</v>
      </c>
      <c r="BQ48" s="83">
        <v>9.0995099999999995E-2</v>
      </c>
      <c r="BR48" s="83">
        <v>3.8498999999999999E-3</v>
      </c>
      <c r="BS48" s="83">
        <v>0.74093299999999995</v>
      </c>
      <c r="BT48" s="83">
        <v>9.2884999999999995E-2</v>
      </c>
      <c r="BU48" s="83">
        <v>3.8498999999999999E-3</v>
      </c>
      <c r="BV48" s="83">
        <v>0.75350700000000004</v>
      </c>
      <c r="BW48" s="83">
        <v>9.4189300000000004E-2</v>
      </c>
      <c r="BX48" s="83">
        <v>3.8498999999999999E-3</v>
      </c>
      <c r="BY48" s="83">
        <v>0.74172199999999999</v>
      </c>
      <c r="BZ48" s="83">
        <v>9.2938800000000002E-2</v>
      </c>
      <c r="CA48" s="83">
        <v>3.8498999999999999E-3</v>
      </c>
      <c r="CB48" s="83">
        <v>0.71574400000000005</v>
      </c>
      <c r="CC48" s="83">
        <v>9.0097899999999995E-2</v>
      </c>
      <c r="CD48" s="83">
        <v>3.8498999999999999E-3</v>
      </c>
      <c r="CE48" s="83">
        <v>0.71159700000000004</v>
      </c>
      <c r="CF48" s="83">
        <v>8.9828900000000003E-2</v>
      </c>
      <c r="CG48" s="83">
        <v>3.8498999999999999E-3</v>
      </c>
      <c r="CH48" s="83">
        <v>0.72799199999999997</v>
      </c>
      <c r="CI48" s="83">
        <v>9.1714500000000004E-2</v>
      </c>
      <c r="CJ48" s="83">
        <v>3.8498999999999999E-3</v>
      </c>
      <c r="CK48" s="83">
        <v>0.73627299999999996</v>
      </c>
      <c r="CL48" s="83">
        <v>9.30121E-2</v>
      </c>
      <c r="CM48" s="83">
        <v>3.8498999999999999E-3</v>
      </c>
      <c r="CN48" s="83">
        <v>0.72372000000000003</v>
      </c>
      <c r="CO48" s="83">
        <v>9.1870599999999997E-2</v>
      </c>
      <c r="CP48" s="83">
        <v>3.8498999999999999E-3</v>
      </c>
      <c r="CQ48" s="83">
        <v>0.70815300000000003</v>
      </c>
      <c r="CR48" s="83">
        <v>9.0581400000000006E-2</v>
      </c>
      <c r="CS48" s="83">
        <v>3.8498999999999999E-3</v>
      </c>
      <c r="CT48" s="83">
        <v>0.72767999999999999</v>
      </c>
      <c r="CU48" s="83">
        <v>9.3321000000000001E-2</v>
      </c>
      <c r="CV48" s="83">
        <v>3.8498999999999999E-3</v>
      </c>
      <c r="CW48" s="83">
        <v>0.69081999999999999</v>
      </c>
      <c r="CX48" s="83">
        <v>8.9907799999999996E-2</v>
      </c>
    </row>
    <row r="49" spans="1:102" x14ac:dyDescent="0.2">
      <c r="A49" s="83">
        <v>3.9499000000000001E-3</v>
      </c>
      <c r="B49" s="83">
        <v>0.64979399999999998</v>
      </c>
      <c r="C49" s="83">
        <v>8.5012699999999997E-2</v>
      </c>
      <c r="D49" s="83">
        <v>3.9499000000000001E-3</v>
      </c>
      <c r="E49" s="83">
        <v>0.67525800000000002</v>
      </c>
      <c r="F49" s="83">
        <v>8.7327000000000002E-2</v>
      </c>
      <c r="G49" s="83">
        <v>3.9499000000000001E-3</v>
      </c>
      <c r="H49" s="83">
        <v>0.67966199999999999</v>
      </c>
      <c r="I49" s="83">
        <v>8.6883600000000005E-2</v>
      </c>
      <c r="J49" s="83">
        <v>3.9499000000000001E-3</v>
      </c>
      <c r="K49" s="83">
        <v>0.67386400000000002</v>
      </c>
      <c r="L49" s="83">
        <v>8.5398699999999994E-2</v>
      </c>
      <c r="M49" s="83">
        <v>3.9499000000000001E-3</v>
      </c>
      <c r="N49" s="83">
        <v>0.69228199999999995</v>
      </c>
      <c r="O49" s="83">
        <v>8.6524400000000001E-2</v>
      </c>
      <c r="P49" s="83">
        <v>3.9499000000000001E-3</v>
      </c>
      <c r="Q49" s="83">
        <v>0.71620200000000001</v>
      </c>
      <c r="R49" s="83">
        <v>8.8101200000000005E-2</v>
      </c>
      <c r="S49" s="83">
        <v>3.9499000000000001E-3</v>
      </c>
      <c r="T49" s="83">
        <v>0.726715</v>
      </c>
      <c r="U49" s="83">
        <v>8.8240299999999994E-2</v>
      </c>
      <c r="V49" s="83">
        <v>3.9499000000000001E-3</v>
      </c>
      <c r="W49" s="83">
        <v>0.71100099999999999</v>
      </c>
      <c r="X49" s="83">
        <v>8.6376599999999998E-2</v>
      </c>
      <c r="Y49" s="83">
        <v>3.9499000000000001E-3</v>
      </c>
      <c r="Z49" s="83">
        <v>0.72098499999999999</v>
      </c>
      <c r="AA49" s="83">
        <v>8.7650699999999998E-2</v>
      </c>
      <c r="AB49" s="83">
        <v>3.9499000000000001E-3</v>
      </c>
      <c r="AC49" s="83">
        <v>0.70814999999999995</v>
      </c>
      <c r="AD49" s="83">
        <v>8.6178000000000005E-2</v>
      </c>
      <c r="AE49" s="83">
        <v>3.9499000000000001E-3</v>
      </c>
      <c r="AF49" s="83">
        <v>0.71594999999999998</v>
      </c>
      <c r="AG49" s="83">
        <v>8.7384100000000006E-2</v>
      </c>
      <c r="AH49" s="83">
        <v>3.9499000000000001E-3</v>
      </c>
      <c r="AI49" s="83">
        <v>0.70192900000000003</v>
      </c>
      <c r="AJ49" s="83">
        <v>8.5908200000000004E-2</v>
      </c>
      <c r="AK49" s="83">
        <v>3.9499000000000001E-3</v>
      </c>
      <c r="AL49" s="83">
        <v>0.69789599999999996</v>
      </c>
      <c r="AM49" s="83">
        <v>8.5614999999999997E-2</v>
      </c>
      <c r="AN49" s="83">
        <v>3.9499000000000001E-3</v>
      </c>
      <c r="AO49" s="83">
        <v>0.73039900000000002</v>
      </c>
      <c r="AP49" s="83">
        <v>8.9400999999999994E-2</v>
      </c>
      <c r="AQ49" s="83">
        <v>3.9499000000000001E-3</v>
      </c>
      <c r="AR49" s="83">
        <v>0.713287</v>
      </c>
      <c r="AS49" s="83">
        <v>8.7556300000000004E-2</v>
      </c>
      <c r="AT49" s="83">
        <v>3.9499000000000001E-3</v>
      </c>
      <c r="AU49" s="83">
        <v>0.69438500000000003</v>
      </c>
      <c r="AV49" s="83">
        <v>8.5788000000000003E-2</v>
      </c>
      <c r="AW49" s="83">
        <v>3.9499000000000001E-3</v>
      </c>
      <c r="AX49" s="83">
        <v>0.686365</v>
      </c>
      <c r="AY49" s="83">
        <v>8.5021299999999994E-2</v>
      </c>
      <c r="AZ49" s="83">
        <v>3.9499000000000001E-3</v>
      </c>
      <c r="BA49" s="83">
        <v>0.72070400000000001</v>
      </c>
      <c r="BB49" s="83">
        <v>8.9146299999999998E-2</v>
      </c>
      <c r="BC49" s="83">
        <v>3.9499000000000001E-3</v>
      </c>
      <c r="BD49" s="83">
        <v>0.69700499999999999</v>
      </c>
      <c r="BE49" s="83">
        <v>8.6606500000000003E-2</v>
      </c>
      <c r="BF49" s="83">
        <v>3.9499000000000001E-3</v>
      </c>
      <c r="BG49" s="83">
        <v>0.68753799999999998</v>
      </c>
      <c r="BH49" s="83">
        <v>8.5811100000000001E-2</v>
      </c>
      <c r="BI49" s="83">
        <v>3.9499000000000001E-3</v>
      </c>
      <c r="BJ49" s="83">
        <v>0.69964499999999996</v>
      </c>
      <c r="BK49" s="83">
        <v>8.7396699999999994E-2</v>
      </c>
      <c r="BL49" s="83">
        <v>3.9499000000000001E-3</v>
      </c>
      <c r="BM49" s="83">
        <v>0.70786099999999996</v>
      </c>
      <c r="BN49" s="83">
        <v>8.8425000000000004E-2</v>
      </c>
      <c r="BO49" s="83">
        <v>3.9499000000000001E-3</v>
      </c>
      <c r="BP49" s="83">
        <v>0.68818100000000004</v>
      </c>
      <c r="BQ49" s="83">
        <v>8.6415099999999995E-2</v>
      </c>
      <c r="BR49" s="83">
        <v>3.9499000000000001E-3</v>
      </c>
      <c r="BS49" s="83">
        <v>0.701372</v>
      </c>
      <c r="BT49" s="83">
        <v>8.8182899999999995E-2</v>
      </c>
      <c r="BU49" s="83">
        <v>3.9499000000000001E-3</v>
      </c>
      <c r="BV49" s="83">
        <v>0.71275100000000002</v>
      </c>
      <c r="BW49" s="83">
        <v>8.9385599999999996E-2</v>
      </c>
      <c r="BX49" s="83">
        <v>3.9499000000000001E-3</v>
      </c>
      <c r="BY49" s="83">
        <v>0.70147800000000005</v>
      </c>
      <c r="BZ49" s="83">
        <v>8.8201500000000002E-2</v>
      </c>
      <c r="CA49" s="83">
        <v>3.9499000000000001E-3</v>
      </c>
      <c r="CB49" s="83">
        <v>0.67624600000000001</v>
      </c>
      <c r="CC49" s="83">
        <v>8.5567599999999994E-2</v>
      </c>
      <c r="CD49" s="83">
        <v>3.9499000000000001E-3</v>
      </c>
      <c r="CE49" s="83">
        <v>0.67193400000000003</v>
      </c>
      <c r="CF49" s="83">
        <v>8.5314299999999996E-2</v>
      </c>
      <c r="CG49" s="83">
        <v>3.9499000000000001E-3</v>
      </c>
      <c r="CH49" s="83">
        <v>0.68789500000000003</v>
      </c>
      <c r="CI49" s="83">
        <v>8.7075799999999995E-2</v>
      </c>
      <c r="CJ49" s="83">
        <v>3.9499000000000001E-3</v>
      </c>
      <c r="CK49" s="83">
        <v>0.69555500000000003</v>
      </c>
      <c r="CL49" s="83">
        <v>8.8301099999999993E-2</v>
      </c>
      <c r="CM49" s="83">
        <v>3.9499000000000001E-3</v>
      </c>
      <c r="CN49" s="83">
        <v>0.68281700000000001</v>
      </c>
      <c r="CO49" s="83">
        <v>8.7212399999999995E-2</v>
      </c>
      <c r="CP49" s="83">
        <v>3.9499000000000001E-3</v>
      </c>
      <c r="CQ49" s="83">
        <v>0.66781699999999999</v>
      </c>
      <c r="CR49" s="83">
        <v>8.6011099999999993E-2</v>
      </c>
      <c r="CS49" s="83">
        <v>3.9499000000000001E-3</v>
      </c>
      <c r="CT49" s="83">
        <v>0.68621500000000002</v>
      </c>
      <c r="CU49" s="83">
        <v>8.8561200000000007E-2</v>
      </c>
      <c r="CV49" s="83">
        <v>3.9499000000000001E-3</v>
      </c>
      <c r="CW49" s="83">
        <v>0.65101500000000001</v>
      </c>
      <c r="CX49" s="83">
        <v>8.5423399999999997E-2</v>
      </c>
    </row>
    <row r="50" spans="1:102" x14ac:dyDescent="0.2">
      <c r="A50" s="83">
        <v>4.0499000000000004E-3</v>
      </c>
      <c r="B50" s="83">
        <v>0.61863199999999996</v>
      </c>
      <c r="C50" s="83">
        <v>8.0750000000000002E-2</v>
      </c>
      <c r="D50" s="83">
        <v>4.0499000000000004E-3</v>
      </c>
      <c r="E50" s="83">
        <v>0.64333899999999999</v>
      </c>
      <c r="F50" s="83">
        <v>8.2929500000000003E-2</v>
      </c>
      <c r="G50" s="83">
        <v>4.0499000000000004E-3</v>
      </c>
      <c r="H50" s="83">
        <v>0.64709399999999995</v>
      </c>
      <c r="I50" s="83">
        <v>8.2500799999999999E-2</v>
      </c>
      <c r="J50" s="83">
        <v>4.0499000000000004E-3</v>
      </c>
      <c r="K50" s="83">
        <v>0.64110999999999996</v>
      </c>
      <c r="L50" s="83">
        <v>8.1120399999999995E-2</v>
      </c>
      <c r="M50" s="83">
        <v>4.0499000000000004E-3</v>
      </c>
      <c r="N50" s="83">
        <v>0.65864</v>
      </c>
      <c r="O50" s="83">
        <v>8.2148399999999996E-2</v>
      </c>
      <c r="P50" s="83">
        <v>4.0499000000000004E-3</v>
      </c>
      <c r="Q50" s="83">
        <v>0.68085600000000002</v>
      </c>
      <c r="R50" s="83">
        <v>8.3670499999999995E-2</v>
      </c>
      <c r="S50" s="83">
        <v>4.0499000000000004E-3</v>
      </c>
      <c r="T50" s="83">
        <v>0.69115300000000002</v>
      </c>
      <c r="U50" s="83">
        <v>8.3812499999999998E-2</v>
      </c>
      <c r="V50" s="83">
        <v>4.0499000000000004E-3</v>
      </c>
      <c r="W50" s="83">
        <v>0.67569299999999999</v>
      </c>
      <c r="X50" s="83">
        <v>8.2072900000000004E-2</v>
      </c>
      <c r="Y50" s="83">
        <v>4.0499000000000004E-3</v>
      </c>
      <c r="Z50" s="83">
        <v>0.68550199999999994</v>
      </c>
      <c r="AA50" s="83">
        <v>8.3259100000000003E-2</v>
      </c>
      <c r="AB50" s="83">
        <v>4.0499000000000004E-3</v>
      </c>
      <c r="AC50" s="83">
        <v>0.67291100000000004</v>
      </c>
      <c r="AD50" s="83">
        <v>8.1867400000000007E-2</v>
      </c>
      <c r="AE50" s="83">
        <v>4.0499000000000004E-3</v>
      </c>
      <c r="AF50" s="83">
        <v>0.67989500000000003</v>
      </c>
      <c r="AG50" s="83">
        <v>8.3003300000000002E-2</v>
      </c>
      <c r="AH50" s="83">
        <v>4.0499000000000004E-3</v>
      </c>
      <c r="AI50" s="83">
        <v>0.66668499999999997</v>
      </c>
      <c r="AJ50" s="83">
        <v>8.1599599999999994E-2</v>
      </c>
      <c r="AK50" s="83">
        <v>4.0499000000000004E-3</v>
      </c>
      <c r="AL50" s="83">
        <v>0.66290099999999996</v>
      </c>
      <c r="AM50" s="83">
        <v>8.1324900000000006E-2</v>
      </c>
      <c r="AN50" s="83">
        <v>4.0499000000000004E-3</v>
      </c>
      <c r="AO50" s="83">
        <v>0.69301100000000004</v>
      </c>
      <c r="AP50" s="83">
        <v>8.4921499999999997E-2</v>
      </c>
      <c r="AQ50" s="83">
        <v>4.0499000000000004E-3</v>
      </c>
      <c r="AR50" s="83">
        <v>0.67638299999999996</v>
      </c>
      <c r="AS50" s="83">
        <v>8.3155900000000005E-2</v>
      </c>
      <c r="AT50" s="83">
        <v>4.0499000000000004E-3</v>
      </c>
      <c r="AU50" s="83">
        <v>0.65873599999999999</v>
      </c>
      <c r="AV50" s="83">
        <v>8.1517500000000007E-2</v>
      </c>
      <c r="AW50" s="83">
        <v>4.0499000000000004E-3</v>
      </c>
      <c r="AX50" s="83">
        <v>0.65091600000000005</v>
      </c>
      <c r="AY50" s="83">
        <v>8.0799700000000002E-2</v>
      </c>
      <c r="AZ50" s="83">
        <v>4.0499000000000004E-3</v>
      </c>
      <c r="BA50" s="83">
        <v>0.68276899999999996</v>
      </c>
      <c r="BB50" s="83">
        <v>8.4640499999999994E-2</v>
      </c>
      <c r="BC50" s="83">
        <v>4.0499000000000004E-3</v>
      </c>
      <c r="BD50" s="83">
        <v>0.66032599999999997</v>
      </c>
      <c r="BE50" s="83">
        <v>8.2247100000000004E-2</v>
      </c>
      <c r="BF50" s="83">
        <v>4.0499000000000004E-3</v>
      </c>
      <c r="BG50" s="83">
        <v>0.65125900000000003</v>
      </c>
      <c r="BH50" s="83">
        <v>8.1506499999999996E-2</v>
      </c>
      <c r="BI50" s="83">
        <v>4.0499000000000004E-3</v>
      </c>
      <c r="BJ50" s="83">
        <v>0.66221300000000005</v>
      </c>
      <c r="BK50" s="83">
        <v>8.3024600000000004E-2</v>
      </c>
      <c r="BL50" s="83">
        <v>4.0499000000000004E-3</v>
      </c>
      <c r="BM50" s="83">
        <v>0.66993599999999998</v>
      </c>
      <c r="BN50" s="83">
        <v>8.3979700000000004E-2</v>
      </c>
      <c r="BO50" s="83">
        <v>4.0499000000000004E-3</v>
      </c>
      <c r="BP50" s="83">
        <v>0.65146700000000002</v>
      </c>
      <c r="BQ50" s="83">
        <v>8.2086900000000004E-2</v>
      </c>
      <c r="BR50" s="83">
        <v>4.0499000000000004E-3</v>
      </c>
      <c r="BS50" s="83">
        <v>0.66312499999999996</v>
      </c>
      <c r="BT50" s="83">
        <v>8.3783499999999997E-2</v>
      </c>
      <c r="BU50" s="83">
        <v>4.0499000000000004E-3</v>
      </c>
      <c r="BV50" s="83">
        <v>0.67372699999999996</v>
      </c>
      <c r="BW50" s="83">
        <v>8.4899199999999994E-2</v>
      </c>
      <c r="BX50" s="83">
        <v>4.0499000000000004E-3</v>
      </c>
      <c r="BY50" s="83">
        <v>0.66289900000000002</v>
      </c>
      <c r="BZ50" s="83">
        <v>8.3780599999999997E-2</v>
      </c>
      <c r="CA50" s="83">
        <v>4.0499000000000004E-3</v>
      </c>
      <c r="CB50" s="83">
        <v>0.63889799999999997</v>
      </c>
      <c r="CC50" s="83">
        <v>8.1288299999999994E-2</v>
      </c>
      <c r="CD50" s="83">
        <v>4.0499000000000004E-3</v>
      </c>
      <c r="CE50" s="83">
        <v>0.634683</v>
      </c>
      <c r="CF50" s="83">
        <v>8.1048700000000001E-2</v>
      </c>
      <c r="CG50" s="83">
        <v>4.0499000000000004E-3</v>
      </c>
      <c r="CH50" s="83">
        <v>0.64927199999999996</v>
      </c>
      <c r="CI50" s="83">
        <v>8.2708599999999993E-2</v>
      </c>
      <c r="CJ50" s="83">
        <v>4.0499000000000004E-3</v>
      </c>
      <c r="CK50" s="83">
        <v>0.65652699999999997</v>
      </c>
      <c r="CL50" s="83">
        <v>8.3860699999999996E-2</v>
      </c>
      <c r="CM50" s="83">
        <v>4.0499000000000004E-3</v>
      </c>
      <c r="CN50" s="83">
        <v>0.644096</v>
      </c>
      <c r="CO50" s="83">
        <v>8.2858799999999996E-2</v>
      </c>
      <c r="CP50" s="83">
        <v>4.0499000000000004E-3</v>
      </c>
      <c r="CQ50" s="83">
        <v>0.62998900000000002</v>
      </c>
      <c r="CR50" s="83">
        <v>8.1675200000000003E-2</v>
      </c>
      <c r="CS50" s="83">
        <v>4.0499000000000004E-3</v>
      </c>
      <c r="CT50" s="83">
        <v>0.64698599999999995</v>
      </c>
      <c r="CU50" s="83">
        <v>8.4146200000000004E-2</v>
      </c>
      <c r="CV50" s="83">
        <v>4.0499000000000004E-3</v>
      </c>
      <c r="CW50" s="83">
        <v>0.61295900000000003</v>
      </c>
      <c r="CX50" s="83">
        <v>8.1124600000000005E-2</v>
      </c>
    </row>
    <row r="51" spans="1:102" x14ac:dyDescent="0.2">
      <c r="A51" s="83">
        <v>4.1498999999999998E-3</v>
      </c>
      <c r="B51" s="83">
        <v>0.588862</v>
      </c>
      <c r="C51" s="83">
        <v>7.6727500000000004E-2</v>
      </c>
      <c r="D51" s="83">
        <v>4.1498999999999998E-3</v>
      </c>
      <c r="E51" s="83">
        <v>0.61180100000000004</v>
      </c>
      <c r="F51" s="83">
        <v>7.8799599999999997E-2</v>
      </c>
      <c r="G51" s="83">
        <v>4.1498999999999998E-3</v>
      </c>
      <c r="H51" s="83">
        <v>0.61575100000000005</v>
      </c>
      <c r="I51" s="83">
        <v>7.8386499999999998E-2</v>
      </c>
      <c r="J51" s="83">
        <v>4.1498999999999998E-3</v>
      </c>
      <c r="K51" s="83">
        <v>0.60992800000000003</v>
      </c>
      <c r="L51" s="83">
        <v>7.7077400000000004E-2</v>
      </c>
      <c r="M51" s="83">
        <v>4.1498999999999998E-3</v>
      </c>
      <c r="N51" s="83">
        <v>0.62682300000000002</v>
      </c>
      <c r="O51" s="83">
        <v>7.8056600000000004E-2</v>
      </c>
      <c r="P51" s="83">
        <v>4.1498999999999998E-3</v>
      </c>
      <c r="Q51" s="83">
        <v>0.64752600000000005</v>
      </c>
      <c r="R51" s="83">
        <v>7.9467399999999994E-2</v>
      </c>
      <c r="S51" s="83">
        <v>4.1498999999999998E-3</v>
      </c>
      <c r="T51" s="83">
        <v>0.65782799999999997</v>
      </c>
      <c r="U51" s="83">
        <v>7.9634800000000006E-2</v>
      </c>
      <c r="V51" s="83">
        <v>4.1498999999999998E-3</v>
      </c>
      <c r="W51" s="83">
        <v>0.64278800000000003</v>
      </c>
      <c r="X51" s="83">
        <v>7.7988000000000002E-2</v>
      </c>
      <c r="Y51" s="83">
        <v>4.1498999999999998E-3</v>
      </c>
      <c r="Z51" s="83">
        <v>0.65166900000000005</v>
      </c>
      <c r="AA51" s="83">
        <v>7.9158500000000007E-2</v>
      </c>
      <c r="AB51" s="83">
        <v>4.1498999999999998E-3</v>
      </c>
      <c r="AC51" s="83">
        <v>0.63905800000000001</v>
      </c>
      <c r="AD51" s="83">
        <v>7.7794199999999994E-2</v>
      </c>
      <c r="AE51" s="83">
        <v>4.1498999999999998E-3</v>
      </c>
      <c r="AF51" s="83">
        <v>0.64574500000000001</v>
      </c>
      <c r="AG51" s="83">
        <v>7.8887100000000002E-2</v>
      </c>
      <c r="AH51" s="83">
        <v>4.1498999999999998E-3</v>
      </c>
      <c r="AI51" s="83">
        <v>0.63295900000000005</v>
      </c>
      <c r="AJ51" s="83">
        <v>7.7567399999999995E-2</v>
      </c>
      <c r="AK51" s="83">
        <v>4.1498999999999998E-3</v>
      </c>
      <c r="AL51" s="83">
        <v>0.629112</v>
      </c>
      <c r="AM51" s="83">
        <v>7.732E-2</v>
      </c>
      <c r="AN51" s="83">
        <v>4.1498999999999998E-3</v>
      </c>
      <c r="AO51" s="83">
        <v>0.65753300000000003</v>
      </c>
      <c r="AP51" s="83">
        <v>8.0677399999999996E-2</v>
      </c>
      <c r="AQ51" s="83">
        <v>4.1498999999999998E-3</v>
      </c>
      <c r="AR51" s="83">
        <v>0.64176900000000003</v>
      </c>
      <c r="AS51" s="83">
        <v>7.9036700000000001E-2</v>
      </c>
      <c r="AT51" s="83">
        <v>4.1498999999999998E-3</v>
      </c>
      <c r="AU51" s="83">
        <v>0.62449699999999997</v>
      </c>
      <c r="AV51" s="83">
        <v>7.7457899999999996E-2</v>
      </c>
      <c r="AW51" s="83">
        <v>4.1498999999999998E-3</v>
      </c>
      <c r="AX51" s="83">
        <v>0.61713700000000005</v>
      </c>
      <c r="AY51" s="83">
        <v>7.6793799999999995E-2</v>
      </c>
      <c r="AZ51" s="83">
        <v>4.1498999999999998E-3</v>
      </c>
      <c r="BA51" s="83">
        <v>0.647374</v>
      </c>
      <c r="BB51" s="83">
        <v>8.0430500000000002E-2</v>
      </c>
      <c r="BC51" s="83">
        <v>4.1498999999999998E-3</v>
      </c>
      <c r="BD51" s="83">
        <v>0.62575000000000003</v>
      </c>
      <c r="BE51" s="83">
        <v>7.8132900000000005E-2</v>
      </c>
      <c r="BF51" s="83">
        <v>4.1498999999999998E-3</v>
      </c>
      <c r="BG51" s="83">
        <v>0.61656699999999998</v>
      </c>
      <c r="BH51" s="83">
        <v>7.7442999999999998E-2</v>
      </c>
      <c r="BI51" s="83">
        <v>4.1498999999999998E-3</v>
      </c>
      <c r="BJ51" s="83">
        <v>0.627189</v>
      </c>
      <c r="BK51" s="83">
        <v>7.8891799999999998E-2</v>
      </c>
      <c r="BL51" s="83">
        <v>4.1498999999999998E-3</v>
      </c>
      <c r="BM51" s="83">
        <v>0.63453599999999999</v>
      </c>
      <c r="BN51" s="83">
        <v>7.9795099999999994E-2</v>
      </c>
      <c r="BO51" s="83">
        <v>4.1498999999999998E-3</v>
      </c>
      <c r="BP51" s="83">
        <v>0.61669200000000002</v>
      </c>
      <c r="BQ51" s="83">
        <v>7.7989299999999998E-2</v>
      </c>
      <c r="BR51" s="83">
        <v>4.1498999999999998E-3</v>
      </c>
      <c r="BS51" s="83">
        <v>0.62777400000000005</v>
      </c>
      <c r="BT51" s="83">
        <v>7.9611600000000005E-2</v>
      </c>
      <c r="BU51" s="83">
        <v>4.1498999999999998E-3</v>
      </c>
      <c r="BV51" s="83">
        <v>0.63693500000000003</v>
      </c>
      <c r="BW51" s="83">
        <v>8.05897E-2</v>
      </c>
      <c r="BX51" s="83">
        <v>4.1498999999999998E-3</v>
      </c>
      <c r="BY51" s="83">
        <v>0.62675599999999998</v>
      </c>
      <c r="BZ51" s="83">
        <v>7.9576499999999994E-2</v>
      </c>
      <c r="CA51" s="83">
        <v>4.1498999999999998E-3</v>
      </c>
      <c r="CB51" s="83">
        <v>0.60344399999999998</v>
      </c>
      <c r="CC51" s="83">
        <v>7.7208200000000005E-2</v>
      </c>
      <c r="CD51" s="83">
        <v>4.1498999999999998E-3</v>
      </c>
      <c r="CE51" s="83">
        <v>0.59968299999999997</v>
      </c>
      <c r="CF51" s="83">
        <v>7.70174E-2</v>
      </c>
      <c r="CG51" s="83">
        <v>4.1498999999999998E-3</v>
      </c>
      <c r="CH51" s="83">
        <v>0.61331999999999998</v>
      </c>
      <c r="CI51" s="83">
        <v>7.8558199999999995E-2</v>
      </c>
      <c r="CJ51" s="83">
        <v>4.1498999999999998E-3</v>
      </c>
      <c r="CK51" s="83">
        <v>0.61992000000000003</v>
      </c>
      <c r="CL51" s="83">
        <v>7.96761E-2</v>
      </c>
      <c r="CM51" s="83">
        <v>4.1498999999999998E-3</v>
      </c>
      <c r="CN51" s="83">
        <v>0.60778699999999997</v>
      </c>
      <c r="CO51" s="83">
        <v>7.8715300000000002E-2</v>
      </c>
      <c r="CP51" s="83">
        <v>4.1498999999999998E-3</v>
      </c>
      <c r="CQ51" s="83">
        <v>0.59396899999999997</v>
      </c>
      <c r="CR51" s="83">
        <v>7.7614600000000006E-2</v>
      </c>
      <c r="CS51" s="83">
        <v>4.1498999999999998E-3</v>
      </c>
      <c r="CT51" s="83">
        <v>0.61005799999999999</v>
      </c>
      <c r="CU51" s="83">
        <v>7.9935300000000001E-2</v>
      </c>
      <c r="CV51" s="83">
        <v>4.1498999999999998E-3</v>
      </c>
      <c r="CW51" s="83">
        <v>0.57712399999999997</v>
      </c>
      <c r="CX51" s="83">
        <v>7.7086500000000002E-2</v>
      </c>
    </row>
    <row r="52" spans="1:102" x14ac:dyDescent="0.2">
      <c r="A52" s="83">
        <v>4.2499E-3</v>
      </c>
      <c r="B52" s="83">
        <v>0.56044400000000005</v>
      </c>
      <c r="C52" s="83">
        <v>7.2944300000000004E-2</v>
      </c>
      <c r="D52" s="83">
        <v>4.2499E-3</v>
      </c>
      <c r="E52" s="83">
        <v>0.58188899999999999</v>
      </c>
      <c r="F52" s="83">
        <v>7.4862100000000001E-2</v>
      </c>
      <c r="G52" s="83">
        <v>4.2499E-3</v>
      </c>
      <c r="H52" s="83">
        <v>0.58557000000000003</v>
      </c>
      <c r="I52" s="83">
        <v>7.4454900000000004E-2</v>
      </c>
      <c r="J52" s="83">
        <v>4.2499E-3</v>
      </c>
      <c r="K52" s="83">
        <v>0.58028500000000005</v>
      </c>
      <c r="L52" s="83">
        <v>7.3241500000000001E-2</v>
      </c>
      <c r="M52" s="83">
        <v>4.2499E-3</v>
      </c>
      <c r="N52" s="83">
        <v>0.59609599999999996</v>
      </c>
      <c r="O52" s="83">
        <v>7.4156200000000005E-2</v>
      </c>
      <c r="P52" s="83">
        <v>4.2499E-3</v>
      </c>
      <c r="Q52" s="83">
        <v>0.61575299999999999</v>
      </c>
      <c r="R52" s="83">
        <v>7.5503500000000001E-2</v>
      </c>
      <c r="S52" s="83">
        <v>4.2499E-3</v>
      </c>
      <c r="T52" s="83">
        <v>0.62585000000000002</v>
      </c>
      <c r="U52" s="83">
        <v>7.5684600000000005E-2</v>
      </c>
      <c r="V52" s="83">
        <v>4.2499E-3</v>
      </c>
      <c r="W52" s="83">
        <v>0.61129800000000001</v>
      </c>
      <c r="X52" s="83">
        <v>7.4112999999999998E-2</v>
      </c>
      <c r="Y52" s="83">
        <v>4.2499E-3</v>
      </c>
      <c r="Z52" s="83">
        <v>0.61949100000000001</v>
      </c>
      <c r="AA52" s="83">
        <v>7.5229799999999999E-2</v>
      </c>
      <c r="AB52" s="83">
        <v>4.2499E-3</v>
      </c>
      <c r="AC52" s="83">
        <v>0.60702199999999995</v>
      </c>
      <c r="AD52" s="83">
        <v>7.3939699999999997E-2</v>
      </c>
      <c r="AE52" s="83">
        <v>4.2499E-3</v>
      </c>
      <c r="AF52" s="83">
        <v>0.61348400000000003</v>
      </c>
      <c r="AG52" s="83">
        <v>7.4959300000000006E-2</v>
      </c>
      <c r="AH52" s="83">
        <v>4.2499E-3</v>
      </c>
      <c r="AI52" s="83">
        <v>0.60113300000000003</v>
      </c>
      <c r="AJ52" s="83">
        <v>7.3734400000000005E-2</v>
      </c>
      <c r="AK52" s="83">
        <v>4.2499E-3</v>
      </c>
      <c r="AL52" s="83">
        <v>0.59667999999999999</v>
      </c>
      <c r="AM52" s="83">
        <v>7.3472399999999993E-2</v>
      </c>
      <c r="AN52" s="83">
        <v>4.2499E-3</v>
      </c>
      <c r="AO52" s="83">
        <v>0.624193</v>
      </c>
      <c r="AP52" s="83">
        <v>7.6649999999999996E-2</v>
      </c>
      <c r="AQ52" s="83">
        <v>4.2499E-3</v>
      </c>
      <c r="AR52" s="83">
        <v>0.60824299999999998</v>
      </c>
      <c r="AS52" s="83">
        <v>7.5076799999999999E-2</v>
      </c>
      <c r="AT52" s="83">
        <v>4.2499E-3</v>
      </c>
      <c r="AU52" s="83">
        <v>0.59207100000000001</v>
      </c>
      <c r="AV52" s="83">
        <v>7.36044E-2</v>
      </c>
      <c r="AW52" s="83">
        <v>4.2499E-3</v>
      </c>
      <c r="AX52" s="83">
        <v>0.58441200000000004</v>
      </c>
      <c r="AY52" s="83">
        <v>7.3011599999999996E-2</v>
      </c>
      <c r="AZ52" s="83">
        <v>4.2499E-3</v>
      </c>
      <c r="BA52" s="83">
        <v>0.61326700000000001</v>
      </c>
      <c r="BB52" s="83">
        <v>7.6418799999999995E-2</v>
      </c>
      <c r="BC52" s="83">
        <v>4.2499E-3</v>
      </c>
      <c r="BD52" s="83">
        <v>0.59208300000000003</v>
      </c>
      <c r="BE52" s="83">
        <v>7.4237399999999995E-2</v>
      </c>
      <c r="BF52" s="83">
        <v>4.2499E-3</v>
      </c>
      <c r="BG52" s="83">
        <v>0.58345599999999997</v>
      </c>
      <c r="BH52" s="83">
        <v>7.3602200000000007E-2</v>
      </c>
      <c r="BI52" s="83">
        <v>4.2499E-3</v>
      </c>
      <c r="BJ52" s="83">
        <v>0.593468</v>
      </c>
      <c r="BK52" s="83">
        <v>7.4967000000000006E-2</v>
      </c>
      <c r="BL52" s="83">
        <v>4.2499E-3</v>
      </c>
      <c r="BM52" s="83">
        <v>0.60023400000000005</v>
      </c>
      <c r="BN52" s="83">
        <v>7.5797100000000006E-2</v>
      </c>
      <c r="BO52" s="83">
        <v>4.2499E-3</v>
      </c>
      <c r="BP52" s="83">
        <v>0.58297100000000002</v>
      </c>
      <c r="BQ52" s="83">
        <v>7.4103500000000003E-2</v>
      </c>
      <c r="BR52" s="83">
        <v>4.2499E-3</v>
      </c>
      <c r="BS52" s="83">
        <v>0.59367199999999998</v>
      </c>
      <c r="BT52" s="83">
        <v>7.5684799999999997E-2</v>
      </c>
      <c r="BU52" s="83">
        <v>4.2499E-3</v>
      </c>
      <c r="BV52" s="83">
        <v>0.60231100000000004</v>
      </c>
      <c r="BW52" s="83">
        <v>7.6579900000000006E-2</v>
      </c>
      <c r="BX52" s="83">
        <v>4.2499E-3</v>
      </c>
      <c r="BY52" s="83">
        <v>0.59180999999999995</v>
      </c>
      <c r="BZ52" s="83">
        <v>7.5623399999999993E-2</v>
      </c>
      <c r="CA52" s="83">
        <v>4.2499E-3</v>
      </c>
      <c r="CB52" s="83">
        <v>0.57015300000000002</v>
      </c>
      <c r="CC52" s="83">
        <v>7.3380100000000004E-2</v>
      </c>
      <c r="CD52" s="83">
        <v>4.2499E-3</v>
      </c>
      <c r="CE52" s="83">
        <v>0.56635800000000003</v>
      </c>
      <c r="CF52" s="83">
        <v>7.3204900000000003E-2</v>
      </c>
      <c r="CG52" s="83">
        <v>4.2499E-3</v>
      </c>
      <c r="CH52" s="83">
        <v>0.57852999999999999</v>
      </c>
      <c r="CI52" s="83">
        <v>7.4632400000000002E-2</v>
      </c>
      <c r="CJ52" s="83">
        <v>4.2499E-3</v>
      </c>
      <c r="CK52" s="83">
        <v>0.58490600000000004</v>
      </c>
      <c r="CL52" s="83">
        <v>7.57211E-2</v>
      </c>
      <c r="CM52" s="83">
        <v>4.2499E-3</v>
      </c>
      <c r="CN52" s="83">
        <v>0.57305600000000001</v>
      </c>
      <c r="CO52" s="83">
        <v>7.4797299999999997E-2</v>
      </c>
      <c r="CP52" s="83">
        <v>4.2499E-3</v>
      </c>
      <c r="CQ52" s="83">
        <v>0.55949599999999999</v>
      </c>
      <c r="CR52" s="83">
        <v>7.3758199999999996E-2</v>
      </c>
      <c r="CS52" s="83">
        <v>4.2499E-3</v>
      </c>
      <c r="CT52" s="83">
        <v>0.57494999999999996</v>
      </c>
      <c r="CU52" s="83">
        <v>7.5966500000000006E-2</v>
      </c>
      <c r="CV52" s="83">
        <v>4.2499E-3</v>
      </c>
      <c r="CW52" s="83">
        <v>0.54410099999999995</v>
      </c>
      <c r="CX52" s="83">
        <v>7.3266200000000004E-2</v>
      </c>
    </row>
    <row r="53" spans="1:102" x14ac:dyDescent="0.2">
      <c r="A53" s="83">
        <v>4.3499000000000003E-3</v>
      </c>
      <c r="B53" s="83">
        <v>0.53310000000000002</v>
      </c>
      <c r="C53" s="83">
        <v>6.93555E-2</v>
      </c>
      <c r="D53" s="83">
        <v>4.3499000000000003E-3</v>
      </c>
      <c r="E53" s="83">
        <v>0.55386100000000005</v>
      </c>
      <c r="F53" s="83">
        <v>7.1143399999999996E-2</v>
      </c>
      <c r="G53" s="83">
        <v>4.3499000000000003E-3</v>
      </c>
      <c r="H53" s="83">
        <v>0.55681000000000003</v>
      </c>
      <c r="I53" s="83">
        <v>7.0797600000000002E-2</v>
      </c>
      <c r="J53" s="83">
        <v>4.3499000000000003E-3</v>
      </c>
      <c r="K53" s="83">
        <v>0.55169100000000004</v>
      </c>
      <c r="L53" s="83">
        <v>6.96301E-2</v>
      </c>
      <c r="M53" s="83">
        <v>4.3499000000000003E-3</v>
      </c>
      <c r="N53" s="83">
        <v>0.56648600000000005</v>
      </c>
      <c r="O53" s="83">
        <v>7.0503899999999994E-2</v>
      </c>
      <c r="P53" s="83">
        <v>4.3499000000000003E-3</v>
      </c>
      <c r="Q53" s="83">
        <v>0.58555299999999999</v>
      </c>
      <c r="R53" s="83">
        <v>7.1789699999999998E-2</v>
      </c>
      <c r="S53" s="83">
        <v>4.3499000000000003E-3</v>
      </c>
      <c r="T53" s="83">
        <v>0.59496199999999999</v>
      </c>
      <c r="U53" s="83">
        <v>7.1968799999999999E-2</v>
      </c>
      <c r="V53" s="83">
        <v>4.3499000000000003E-3</v>
      </c>
      <c r="W53" s="83">
        <v>0.58054700000000004</v>
      </c>
      <c r="X53" s="83">
        <v>7.0498699999999997E-2</v>
      </c>
      <c r="Y53" s="83">
        <v>4.3499000000000003E-3</v>
      </c>
      <c r="Z53" s="83">
        <v>0.58858299999999997</v>
      </c>
      <c r="AA53" s="83">
        <v>7.1526699999999999E-2</v>
      </c>
      <c r="AB53" s="83">
        <v>4.3499000000000003E-3</v>
      </c>
      <c r="AC53" s="83">
        <v>0.57652899999999996</v>
      </c>
      <c r="AD53" s="83">
        <v>7.0280499999999996E-2</v>
      </c>
      <c r="AE53" s="83">
        <v>4.3499000000000003E-3</v>
      </c>
      <c r="AF53" s="83">
        <v>0.58220000000000005</v>
      </c>
      <c r="AG53" s="83">
        <v>7.1287500000000004E-2</v>
      </c>
      <c r="AH53" s="83">
        <v>4.3499000000000003E-3</v>
      </c>
      <c r="AI53" s="83">
        <v>0.570747</v>
      </c>
      <c r="AJ53" s="83">
        <v>7.01103E-2</v>
      </c>
      <c r="AK53" s="83">
        <v>4.3499000000000003E-3</v>
      </c>
      <c r="AL53" s="83">
        <v>0.56599200000000005</v>
      </c>
      <c r="AM53" s="83">
        <v>6.98825E-2</v>
      </c>
      <c r="AN53" s="83">
        <v>4.3499000000000003E-3</v>
      </c>
      <c r="AO53" s="83">
        <v>0.59195200000000003</v>
      </c>
      <c r="AP53" s="83">
        <v>7.2837499999999999E-2</v>
      </c>
      <c r="AQ53" s="83">
        <v>4.3499000000000003E-3</v>
      </c>
      <c r="AR53" s="83">
        <v>0.57634399999999997</v>
      </c>
      <c r="AS53" s="83">
        <v>7.13805E-2</v>
      </c>
      <c r="AT53" s="83">
        <v>4.3499000000000003E-3</v>
      </c>
      <c r="AU53" s="83">
        <v>0.56096199999999996</v>
      </c>
      <c r="AV53" s="83">
        <v>7.0038000000000003E-2</v>
      </c>
      <c r="AW53" s="83">
        <v>4.3499000000000003E-3</v>
      </c>
      <c r="AX53" s="83">
        <v>0.55381599999999997</v>
      </c>
      <c r="AY53" s="83">
        <v>6.9434399999999993E-2</v>
      </c>
      <c r="AZ53" s="83">
        <v>4.3499000000000003E-3</v>
      </c>
      <c r="BA53" s="83">
        <v>0.58038199999999995</v>
      </c>
      <c r="BB53" s="83">
        <v>7.2667800000000005E-2</v>
      </c>
      <c r="BC53" s="83">
        <v>4.3499000000000003E-3</v>
      </c>
      <c r="BD53" s="83">
        <v>0.560531</v>
      </c>
      <c r="BE53" s="83">
        <v>7.0605500000000002E-2</v>
      </c>
      <c r="BF53" s="83">
        <v>4.3499000000000003E-3</v>
      </c>
      <c r="BG53" s="83">
        <v>0.55268499999999998</v>
      </c>
      <c r="BH53" s="83">
        <v>6.9967399999999999E-2</v>
      </c>
      <c r="BI53" s="83">
        <v>4.3499000000000003E-3</v>
      </c>
      <c r="BJ53" s="83">
        <v>0.56126100000000001</v>
      </c>
      <c r="BK53" s="83">
        <v>7.1260000000000004E-2</v>
      </c>
      <c r="BL53" s="83">
        <v>4.3499000000000003E-3</v>
      </c>
      <c r="BM53" s="83">
        <v>0.56752400000000003</v>
      </c>
      <c r="BN53" s="83">
        <v>7.2060700000000005E-2</v>
      </c>
      <c r="BO53" s="83">
        <v>4.3499000000000003E-3</v>
      </c>
      <c r="BP53" s="83">
        <v>0.551033</v>
      </c>
      <c r="BQ53" s="83">
        <v>7.0462899999999995E-2</v>
      </c>
      <c r="BR53" s="83">
        <v>4.3499000000000003E-3</v>
      </c>
      <c r="BS53" s="83">
        <v>0.56137199999999998</v>
      </c>
      <c r="BT53" s="83">
        <v>7.1956300000000001E-2</v>
      </c>
      <c r="BU53" s="83">
        <v>4.3499000000000003E-3</v>
      </c>
      <c r="BV53" s="83">
        <v>0.56894199999999995</v>
      </c>
      <c r="BW53" s="83">
        <v>7.2799600000000006E-2</v>
      </c>
      <c r="BX53" s="83">
        <v>4.3499000000000003E-3</v>
      </c>
      <c r="BY53" s="83">
        <v>0.55915800000000004</v>
      </c>
      <c r="BZ53" s="83">
        <v>7.1875300000000003E-2</v>
      </c>
      <c r="CA53" s="83">
        <v>4.3499000000000003E-3</v>
      </c>
      <c r="CB53" s="83">
        <v>0.53828299999999996</v>
      </c>
      <c r="CC53" s="83">
        <v>6.9774600000000006E-2</v>
      </c>
      <c r="CD53" s="83">
        <v>4.3499000000000003E-3</v>
      </c>
      <c r="CE53" s="83">
        <v>0.53428299999999995</v>
      </c>
      <c r="CF53" s="83">
        <v>6.9603399999999996E-2</v>
      </c>
      <c r="CG53" s="83">
        <v>4.3499000000000003E-3</v>
      </c>
      <c r="CH53" s="83">
        <v>0.54624399999999995</v>
      </c>
      <c r="CI53" s="83">
        <v>7.09703E-2</v>
      </c>
      <c r="CJ53" s="83">
        <v>4.3499000000000003E-3</v>
      </c>
      <c r="CK53" s="83">
        <v>0.55178499999999997</v>
      </c>
      <c r="CL53" s="83">
        <v>7.1970099999999995E-2</v>
      </c>
      <c r="CM53" s="83">
        <v>4.3499000000000003E-3</v>
      </c>
      <c r="CN53" s="83">
        <v>0.54073700000000002</v>
      </c>
      <c r="CO53" s="83">
        <v>7.1106900000000001E-2</v>
      </c>
      <c r="CP53" s="83">
        <v>4.3499000000000003E-3</v>
      </c>
      <c r="CQ53" s="83">
        <v>0.52713299999999996</v>
      </c>
      <c r="CR53" s="83">
        <v>7.0106799999999997E-2</v>
      </c>
      <c r="CS53" s="83">
        <v>4.3499000000000003E-3</v>
      </c>
      <c r="CT53" s="83">
        <v>0.54174199999999995</v>
      </c>
      <c r="CU53" s="83">
        <v>7.22077E-2</v>
      </c>
      <c r="CV53" s="83">
        <v>4.3499000000000003E-3</v>
      </c>
      <c r="CW53" s="83">
        <v>0.51204099999999997</v>
      </c>
      <c r="CX53" s="83">
        <v>6.9652900000000004E-2</v>
      </c>
    </row>
    <row r="54" spans="1:102" x14ac:dyDescent="0.2">
      <c r="A54" s="83">
        <v>4.4498999999999997E-3</v>
      </c>
      <c r="B54" s="83">
        <v>0.507104</v>
      </c>
      <c r="C54" s="83">
        <v>6.5954100000000002E-2</v>
      </c>
      <c r="D54" s="83">
        <v>4.4498999999999997E-3</v>
      </c>
      <c r="E54" s="83">
        <v>0.526694</v>
      </c>
      <c r="F54" s="83">
        <v>6.7646300000000006E-2</v>
      </c>
      <c r="G54" s="83">
        <v>4.4498999999999997E-3</v>
      </c>
      <c r="H54" s="83">
        <v>0.52905199999999997</v>
      </c>
      <c r="I54" s="83">
        <v>6.7325999999999997E-2</v>
      </c>
      <c r="J54" s="83">
        <v>4.4498999999999997E-3</v>
      </c>
      <c r="K54" s="83">
        <v>0.52437599999999995</v>
      </c>
      <c r="L54" s="83">
        <v>6.6228800000000004E-2</v>
      </c>
      <c r="M54" s="83">
        <v>4.4498999999999997E-3</v>
      </c>
      <c r="N54" s="83">
        <v>0.53846899999999998</v>
      </c>
      <c r="O54" s="83">
        <v>6.7039000000000001E-2</v>
      </c>
      <c r="P54" s="83">
        <v>4.4498999999999997E-3</v>
      </c>
      <c r="Q54" s="83">
        <v>0.55635400000000002</v>
      </c>
      <c r="R54" s="83">
        <v>6.8246699999999993E-2</v>
      </c>
      <c r="S54" s="83">
        <v>4.4498999999999997E-3</v>
      </c>
      <c r="T54" s="83">
        <v>0.56542599999999998</v>
      </c>
      <c r="U54" s="83">
        <v>6.8474599999999997E-2</v>
      </c>
      <c r="V54" s="83">
        <v>4.4498999999999997E-3</v>
      </c>
      <c r="W54" s="83">
        <v>0.55149899999999996</v>
      </c>
      <c r="X54" s="83">
        <v>6.7053399999999999E-2</v>
      </c>
      <c r="Y54" s="83">
        <v>4.4498999999999997E-3</v>
      </c>
      <c r="Z54" s="83">
        <v>0.55914900000000001</v>
      </c>
      <c r="AA54" s="83">
        <v>6.8012000000000003E-2</v>
      </c>
      <c r="AB54" s="83">
        <v>4.4498999999999997E-3</v>
      </c>
      <c r="AC54" s="83">
        <v>0.54728100000000002</v>
      </c>
      <c r="AD54" s="83">
        <v>6.6833199999999995E-2</v>
      </c>
      <c r="AE54" s="83">
        <v>4.4498999999999997E-3</v>
      </c>
      <c r="AF54" s="83">
        <v>0.55250699999999997</v>
      </c>
      <c r="AG54" s="83">
        <v>6.7798200000000003E-2</v>
      </c>
      <c r="AH54" s="83">
        <v>4.4498999999999997E-3</v>
      </c>
      <c r="AI54" s="83">
        <v>0.54141600000000001</v>
      </c>
      <c r="AJ54" s="83">
        <v>6.6697300000000001E-2</v>
      </c>
      <c r="AK54" s="83">
        <v>4.4498999999999997E-3</v>
      </c>
      <c r="AL54" s="83">
        <v>0.53683599999999998</v>
      </c>
      <c r="AM54" s="83">
        <v>6.6466499999999998E-2</v>
      </c>
      <c r="AN54" s="83">
        <v>4.4498999999999997E-3</v>
      </c>
      <c r="AO54" s="83">
        <v>0.56085799999999997</v>
      </c>
      <c r="AP54" s="83">
        <v>6.9264300000000001E-2</v>
      </c>
      <c r="AQ54" s="83">
        <v>4.4498999999999997E-3</v>
      </c>
      <c r="AR54" s="83">
        <v>0.54666099999999995</v>
      </c>
      <c r="AS54" s="83">
        <v>6.7881499999999997E-2</v>
      </c>
      <c r="AT54" s="83">
        <v>4.4498999999999997E-3</v>
      </c>
      <c r="AU54" s="83">
        <v>0.53134300000000001</v>
      </c>
      <c r="AV54" s="83">
        <v>6.6607399999999997E-2</v>
      </c>
      <c r="AW54" s="83">
        <v>4.4498999999999997E-3</v>
      </c>
      <c r="AX54" s="83">
        <v>0.52451499999999995</v>
      </c>
      <c r="AY54" s="83">
        <v>6.6059400000000004E-2</v>
      </c>
      <c r="AZ54" s="83">
        <v>4.4498999999999997E-3</v>
      </c>
      <c r="BA54" s="83">
        <v>0.54972200000000004</v>
      </c>
      <c r="BB54" s="83">
        <v>6.9086800000000004E-2</v>
      </c>
      <c r="BC54" s="83">
        <v>4.4498999999999997E-3</v>
      </c>
      <c r="BD54" s="83">
        <v>0.530277</v>
      </c>
      <c r="BE54" s="83">
        <v>6.7111400000000002E-2</v>
      </c>
      <c r="BF54" s="83">
        <v>4.4498999999999997E-3</v>
      </c>
      <c r="BG54" s="83">
        <v>0.52271900000000004</v>
      </c>
      <c r="BH54" s="83">
        <v>6.6552399999999998E-2</v>
      </c>
      <c r="BI54" s="83">
        <v>4.4498999999999997E-3</v>
      </c>
      <c r="BJ54" s="83">
        <v>0.53081199999999995</v>
      </c>
      <c r="BK54" s="83">
        <v>6.7740400000000006E-2</v>
      </c>
      <c r="BL54" s="83">
        <v>4.4498999999999997E-3</v>
      </c>
      <c r="BM54" s="83">
        <v>0.53628900000000002</v>
      </c>
      <c r="BN54" s="83">
        <v>6.8524600000000005E-2</v>
      </c>
      <c r="BO54" s="83">
        <v>4.4498999999999997E-3</v>
      </c>
      <c r="BP54" s="83">
        <v>0.52107599999999998</v>
      </c>
      <c r="BQ54" s="83">
        <v>6.7038100000000003E-2</v>
      </c>
      <c r="BR54" s="83">
        <v>4.4498999999999997E-3</v>
      </c>
      <c r="BS54" s="83">
        <v>0.530698</v>
      </c>
      <c r="BT54" s="83">
        <v>6.84202E-2</v>
      </c>
      <c r="BU54" s="83">
        <v>4.4498999999999997E-3</v>
      </c>
      <c r="BV54" s="83">
        <v>0.53712599999999999</v>
      </c>
      <c r="BW54" s="83">
        <v>6.9244899999999998E-2</v>
      </c>
      <c r="BX54" s="83">
        <v>4.4498999999999997E-3</v>
      </c>
      <c r="BY54" s="83">
        <v>0.52806500000000001</v>
      </c>
      <c r="BZ54" s="83">
        <v>6.8326499999999998E-2</v>
      </c>
      <c r="CA54" s="83">
        <v>4.4498999999999997E-3</v>
      </c>
      <c r="CB54" s="83">
        <v>0.50822900000000004</v>
      </c>
      <c r="CC54" s="83">
        <v>6.6329299999999994E-2</v>
      </c>
      <c r="CD54" s="83">
        <v>4.4498999999999997E-3</v>
      </c>
      <c r="CE54" s="83">
        <v>0.50401899999999999</v>
      </c>
      <c r="CF54" s="83">
        <v>6.6214700000000001E-2</v>
      </c>
      <c r="CG54" s="83">
        <v>4.4498999999999997E-3</v>
      </c>
      <c r="CH54" s="83">
        <v>0.51515999999999995</v>
      </c>
      <c r="CI54" s="83">
        <v>6.7485900000000001E-2</v>
      </c>
      <c r="CJ54" s="83">
        <v>4.4498999999999997E-3</v>
      </c>
      <c r="CK54" s="83">
        <v>0.52035500000000001</v>
      </c>
      <c r="CL54" s="83">
        <v>6.8462300000000004E-2</v>
      </c>
      <c r="CM54" s="83">
        <v>4.4498999999999997E-3</v>
      </c>
      <c r="CN54" s="83">
        <v>0.50943300000000002</v>
      </c>
      <c r="CO54" s="83">
        <v>6.7641099999999996E-2</v>
      </c>
      <c r="CP54" s="83">
        <v>4.4498999999999997E-3</v>
      </c>
      <c r="CQ54" s="83">
        <v>0.49690299999999998</v>
      </c>
      <c r="CR54" s="83">
        <v>6.6666400000000001E-2</v>
      </c>
      <c r="CS54" s="83">
        <v>4.4498999999999997E-3</v>
      </c>
      <c r="CT54" s="83">
        <v>0.51053599999999999</v>
      </c>
      <c r="CU54" s="83">
        <v>6.8689200000000006E-2</v>
      </c>
      <c r="CV54" s="83">
        <v>4.4498999999999997E-3</v>
      </c>
      <c r="CW54" s="83">
        <v>0.48216799999999999</v>
      </c>
      <c r="CX54" s="83">
        <v>6.6231999999999999E-2</v>
      </c>
    </row>
    <row r="55" spans="1:102" x14ac:dyDescent="0.2">
      <c r="A55" s="83">
        <v>4.5499E-3</v>
      </c>
      <c r="B55" s="83">
        <v>0.48278799999999999</v>
      </c>
      <c r="C55" s="83">
        <v>6.27529E-2</v>
      </c>
      <c r="D55" s="83">
        <v>4.5499E-3</v>
      </c>
      <c r="E55" s="83">
        <v>0.50048700000000002</v>
      </c>
      <c r="F55" s="83">
        <v>6.4356300000000005E-2</v>
      </c>
      <c r="G55" s="83">
        <v>4.5499E-3</v>
      </c>
      <c r="H55" s="83">
        <v>0.50298699999999996</v>
      </c>
      <c r="I55" s="83">
        <v>6.4000799999999997E-2</v>
      </c>
      <c r="J55" s="83">
        <v>4.5499E-3</v>
      </c>
      <c r="K55" s="83">
        <v>0.49843399999999999</v>
      </c>
      <c r="L55" s="83">
        <v>6.3019800000000001E-2</v>
      </c>
      <c r="M55" s="83">
        <v>4.5499E-3</v>
      </c>
      <c r="N55" s="83">
        <v>0.51171599999999995</v>
      </c>
      <c r="O55" s="83">
        <v>6.3747999999999999E-2</v>
      </c>
      <c r="P55" s="83">
        <v>4.5499E-3</v>
      </c>
      <c r="Q55" s="83">
        <v>0.52819400000000005</v>
      </c>
      <c r="R55" s="83">
        <v>6.4879500000000007E-2</v>
      </c>
      <c r="S55" s="83">
        <v>4.5499E-3</v>
      </c>
      <c r="T55" s="83">
        <v>0.53748600000000002</v>
      </c>
      <c r="U55" s="83">
        <v>6.51114E-2</v>
      </c>
      <c r="V55" s="83">
        <v>4.5499E-3</v>
      </c>
      <c r="W55" s="83">
        <v>0.52383299999999999</v>
      </c>
      <c r="X55" s="83">
        <v>6.3789700000000005E-2</v>
      </c>
      <c r="Y55" s="83">
        <v>4.5499E-3</v>
      </c>
      <c r="Z55" s="83">
        <v>0.530829</v>
      </c>
      <c r="AA55" s="83">
        <v>6.4730800000000005E-2</v>
      </c>
      <c r="AB55" s="83">
        <v>4.5499E-3</v>
      </c>
      <c r="AC55" s="83">
        <v>0.518814</v>
      </c>
      <c r="AD55" s="83">
        <v>6.3616400000000004E-2</v>
      </c>
      <c r="AE55" s="83">
        <v>4.5499E-3</v>
      </c>
      <c r="AF55" s="83">
        <v>0.52438700000000005</v>
      </c>
      <c r="AG55" s="83">
        <v>6.4524799999999993E-2</v>
      </c>
      <c r="AH55" s="83">
        <v>4.5499E-3</v>
      </c>
      <c r="AI55" s="83">
        <v>0.51338399999999995</v>
      </c>
      <c r="AJ55" s="83">
        <v>6.3477500000000006E-2</v>
      </c>
      <c r="AK55" s="83">
        <v>4.5499E-3</v>
      </c>
      <c r="AL55" s="83">
        <v>0.508687</v>
      </c>
      <c r="AM55" s="83">
        <v>6.3222399999999998E-2</v>
      </c>
      <c r="AN55" s="83">
        <v>4.5499E-3</v>
      </c>
      <c r="AO55" s="83">
        <v>0.53178099999999995</v>
      </c>
      <c r="AP55" s="83">
        <v>6.5884399999999996E-2</v>
      </c>
      <c r="AQ55" s="83">
        <v>4.5499E-3</v>
      </c>
      <c r="AR55" s="83">
        <v>0.51771599999999995</v>
      </c>
      <c r="AS55" s="83">
        <v>6.4607999999999999E-2</v>
      </c>
      <c r="AT55" s="83">
        <v>4.5499E-3</v>
      </c>
      <c r="AU55" s="83">
        <v>0.50317900000000004</v>
      </c>
      <c r="AV55" s="83">
        <v>6.3382800000000003E-2</v>
      </c>
      <c r="AW55" s="83">
        <v>4.5499E-3</v>
      </c>
      <c r="AX55" s="83">
        <v>0.49678499999999998</v>
      </c>
      <c r="AY55" s="83">
        <v>6.2864100000000006E-2</v>
      </c>
      <c r="AZ55" s="83">
        <v>4.5499E-3</v>
      </c>
      <c r="BA55" s="83">
        <v>0.52047399999999999</v>
      </c>
      <c r="BB55" s="83">
        <v>6.5725400000000003E-2</v>
      </c>
      <c r="BC55" s="83">
        <v>4.5499E-3</v>
      </c>
      <c r="BD55" s="83">
        <v>0.50189799999999996</v>
      </c>
      <c r="BE55" s="83">
        <v>6.3885800000000006E-2</v>
      </c>
      <c r="BF55" s="83">
        <v>4.5499E-3</v>
      </c>
      <c r="BG55" s="83">
        <v>0.49422300000000002</v>
      </c>
      <c r="BH55" s="83">
        <v>6.3320899999999999E-2</v>
      </c>
      <c r="BI55" s="83">
        <v>4.5499E-3</v>
      </c>
      <c r="BJ55" s="83">
        <v>0.50170499999999996</v>
      </c>
      <c r="BK55" s="83">
        <v>6.4442600000000003E-2</v>
      </c>
      <c r="BL55" s="83">
        <v>4.5499E-3</v>
      </c>
      <c r="BM55" s="83">
        <v>0.506884</v>
      </c>
      <c r="BN55" s="83">
        <v>6.51896E-2</v>
      </c>
      <c r="BO55" s="83">
        <v>4.5499E-3</v>
      </c>
      <c r="BP55" s="83">
        <v>0.49232599999999999</v>
      </c>
      <c r="BQ55" s="83">
        <v>6.3781299999999999E-2</v>
      </c>
      <c r="BR55" s="83">
        <v>4.5499E-3</v>
      </c>
      <c r="BS55" s="83">
        <v>0.50146500000000005</v>
      </c>
      <c r="BT55" s="83">
        <v>6.5100900000000003E-2</v>
      </c>
      <c r="BU55" s="83">
        <v>4.5499E-3</v>
      </c>
      <c r="BV55" s="83">
        <v>0.50744800000000001</v>
      </c>
      <c r="BW55" s="83">
        <v>6.5850400000000003E-2</v>
      </c>
      <c r="BX55" s="83">
        <v>4.5499E-3</v>
      </c>
      <c r="BY55" s="83">
        <v>0.49855300000000002</v>
      </c>
      <c r="BZ55" s="83">
        <v>6.5008099999999999E-2</v>
      </c>
      <c r="CA55" s="83">
        <v>4.5499E-3</v>
      </c>
      <c r="CB55" s="83">
        <v>0.47966900000000001</v>
      </c>
      <c r="CC55" s="83">
        <v>6.3133999999999996E-2</v>
      </c>
      <c r="CD55" s="83">
        <v>4.5499E-3</v>
      </c>
      <c r="CE55" s="83">
        <v>0.47612300000000002</v>
      </c>
      <c r="CF55" s="83">
        <v>6.2985200000000005E-2</v>
      </c>
      <c r="CG55" s="83">
        <v>4.5499E-3</v>
      </c>
      <c r="CH55" s="83">
        <v>0.48566799999999999</v>
      </c>
      <c r="CI55" s="83">
        <v>6.4209600000000006E-2</v>
      </c>
      <c r="CJ55" s="83">
        <v>4.5499E-3</v>
      </c>
      <c r="CK55" s="83">
        <v>0.49085299999999998</v>
      </c>
      <c r="CL55" s="83">
        <v>6.5100900000000003E-2</v>
      </c>
      <c r="CM55" s="83">
        <v>4.5499E-3</v>
      </c>
      <c r="CN55" s="83">
        <v>0.48035600000000001</v>
      </c>
      <c r="CO55" s="83">
        <v>6.4339300000000002E-2</v>
      </c>
      <c r="CP55" s="83">
        <v>4.5499E-3</v>
      </c>
      <c r="CQ55" s="83">
        <v>0.46833399999999997</v>
      </c>
      <c r="CR55" s="83">
        <v>6.3420299999999999E-2</v>
      </c>
      <c r="CS55" s="83">
        <v>4.5499E-3</v>
      </c>
      <c r="CT55" s="83">
        <v>0.48095599999999999</v>
      </c>
      <c r="CU55" s="83">
        <v>6.5313200000000002E-2</v>
      </c>
      <c r="CV55" s="83">
        <v>4.5499E-3</v>
      </c>
      <c r="CW55" s="83">
        <v>0.45384200000000002</v>
      </c>
      <c r="CX55" s="83">
        <v>6.3016199999999994E-2</v>
      </c>
    </row>
    <row r="56" spans="1:102" x14ac:dyDescent="0.2">
      <c r="A56" s="83">
        <v>4.6499000000000002E-3</v>
      </c>
      <c r="B56" s="83">
        <v>0.45886199999999999</v>
      </c>
      <c r="C56" s="83">
        <v>5.9664099999999998E-2</v>
      </c>
      <c r="D56" s="83">
        <v>4.6499000000000002E-3</v>
      </c>
      <c r="E56" s="83">
        <v>0.47616599999999998</v>
      </c>
      <c r="F56" s="83">
        <v>6.1214699999999997E-2</v>
      </c>
      <c r="G56" s="83">
        <v>4.6499000000000002E-3</v>
      </c>
      <c r="H56" s="83">
        <v>0.47840700000000003</v>
      </c>
      <c r="I56" s="83">
        <v>6.0890399999999997E-2</v>
      </c>
      <c r="J56" s="83">
        <v>4.6499000000000002E-3</v>
      </c>
      <c r="K56" s="83">
        <v>0.47389300000000001</v>
      </c>
      <c r="L56" s="83">
        <v>5.9938699999999998E-2</v>
      </c>
      <c r="M56" s="83">
        <v>4.6499000000000002E-3</v>
      </c>
      <c r="N56" s="83">
        <v>0.48580299999999998</v>
      </c>
      <c r="O56" s="83">
        <v>6.06562E-2</v>
      </c>
      <c r="P56" s="83">
        <v>4.6499000000000002E-3</v>
      </c>
      <c r="Q56" s="83">
        <v>0.50132399999999999</v>
      </c>
      <c r="R56" s="83">
        <v>6.1761299999999998E-2</v>
      </c>
      <c r="S56" s="83">
        <v>4.6499000000000002E-3</v>
      </c>
      <c r="T56" s="83">
        <v>0.51026000000000005</v>
      </c>
      <c r="U56" s="83">
        <v>6.1986399999999997E-2</v>
      </c>
      <c r="V56" s="83">
        <v>4.6499000000000002E-3</v>
      </c>
      <c r="W56" s="83">
        <v>0.49718200000000001</v>
      </c>
      <c r="X56" s="83">
        <v>6.07194E-2</v>
      </c>
      <c r="Y56" s="83">
        <v>4.6499000000000002E-3</v>
      </c>
      <c r="Z56" s="83">
        <v>0.50384099999999998</v>
      </c>
      <c r="AA56" s="83">
        <v>6.1594099999999999E-2</v>
      </c>
      <c r="AB56" s="83">
        <v>4.6499000000000002E-3</v>
      </c>
      <c r="AC56" s="83">
        <v>0.49241699999999999</v>
      </c>
      <c r="AD56" s="83">
        <v>6.0520699999999997E-2</v>
      </c>
      <c r="AE56" s="83">
        <v>4.6499000000000002E-3</v>
      </c>
      <c r="AF56" s="83">
        <v>0.49747799999999998</v>
      </c>
      <c r="AG56" s="83">
        <v>6.1385099999999998E-2</v>
      </c>
      <c r="AH56" s="83">
        <v>4.6499000000000002E-3</v>
      </c>
      <c r="AI56" s="83">
        <v>0.48691400000000001</v>
      </c>
      <c r="AJ56" s="83">
        <v>6.0386700000000001E-2</v>
      </c>
      <c r="AK56" s="83">
        <v>4.6499000000000002E-3</v>
      </c>
      <c r="AL56" s="83">
        <v>0.482603</v>
      </c>
      <c r="AM56" s="83">
        <v>6.0181400000000003E-2</v>
      </c>
      <c r="AN56" s="83">
        <v>4.6499000000000002E-3</v>
      </c>
      <c r="AO56" s="83">
        <v>0.503583</v>
      </c>
      <c r="AP56" s="83">
        <v>6.2706700000000004E-2</v>
      </c>
      <c r="AQ56" s="83">
        <v>4.6499000000000002E-3</v>
      </c>
      <c r="AR56" s="83">
        <v>0.49029400000000001</v>
      </c>
      <c r="AS56" s="83">
        <v>6.1479100000000002E-2</v>
      </c>
      <c r="AT56" s="83">
        <v>4.6499000000000002E-3</v>
      </c>
      <c r="AU56" s="83">
        <v>0.47712900000000003</v>
      </c>
      <c r="AV56" s="83">
        <v>6.0313400000000003E-2</v>
      </c>
      <c r="AW56" s="83">
        <v>4.6499000000000002E-3</v>
      </c>
      <c r="AX56" s="83">
        <v>0.470696</v>
      </c>
      <c r="AY56" s="83">
        <v>5.97899E-2</v>
      </c>
      <c r="AZ56" s="83">
        <v>4.6499000000000002E-3</v>
      </c>
      <c r="BA56" s="83">
        <v>0.49243199999999998</v>
      </c>
      <c r="BB56" s="83">
        <v>6.2534000000000006E-2</v>
      </c>
      <c r="BC56" s="83">
        <v>4.6499000000000002E-3</v>
      </c>
      <c r="BD56" s="83">
        <v>0.47514499999999998</v>
      </c>
      <c r="BE56" s="83">
        <v>6.0765699999999999E-2</v>
      </c>
      <c r="BF56" s="83">
        <v>4.6499000000000002E-3</v>
      </c>
      <c r="BG56" s="83">
        <v>0.467914</v>
      </c>
      <c r="BH56" s="83">
        <v>6.02496E-2</v>
      </c>
      <c r="BI56" s="83">
        <v>4.6499000000000002E-3</v>
      </c>
      <c r="BJ56" s="83">
        <v>0.47491800000000001</v>
      </c>
      <c r="BK56" s="83">
        <v>6.1310700000000003E-2</v>
      </c>
      <c r="BL56" s="83">
        <v>4.6499000000000002E-3</v>
      </c>
      <c r="BM56" s="83">
        <v>0.47939399999999999</v>
      </c>
      <c r="BN56" s="83">
        <v>6.2010000000000003E-2</v>
      </c>
      <c r="BO56" s="83">
        <v>4.6499000000000002E-3</v>
      </c>
      <c r="BP56" s="83">
        <v>0.46566600000000002</v>
      </c>
      <c r="BQ56" s="83">
        <v>6.0687499999999998E-2</v>
      </c>
      <c r="BR56" s="83">
        <v>4.6499000000000002E-3</v>
      </c>
      <c r="BS56" s="83">
        <v>0.47381400000000001</v>
      </c>
      <c r="BT56" s="83">
        <v>6.1978800000000001E-2</v>
      </c>
      <c r="BU56" s="83">
        <v>4.6499000000000002E-3</v>
      </c>
      <c r="BV56" s="83">
        <v>0.47948400000000002</v>
      </c>
      <c r="BW56" s="83">
        <v>6.2626799999999996E-2</v>
      </c>
      <c r="BX56" s="83">
        <v>4.6499000000000002E-3</v>
      </c>
      <c r="BY56" s="83">
        <v>0.47045199999999998</v>
      </c>
      <c r="BZ56" s="83">
        <v>6.1836299999999997E-2</v>
      </c>
      <c r="CA56" s="83">
        <v>4.6499000000000002E-3</v>
      </c>
      <c r="CB56" s="83">
        <v>0.45257900000000001</v>
      </c>
      <c r="CC56" s="83">
        <v>6.0030500000000001E-2</v>
      </c>
      <c r="CD56" s="83">
        <v>4.6499000000000002E-3</v>
      </c>
      <c r="CE56" s="83">
        <v>0.44898500000000002</v>
      </c>
      <c r="CF56" s="83">
        <v>5.9943200000000002E-2</v>
      </c>
      <c r="CG56" s="83">
        <v>4.6499000000000002E-3</v>
      </c>
      <c r="CH56" s="83">
        <v>0.45864199999999999</v>
      </c>
      <c r="CI56" s="83">
        <v>6.1054299999999999E-2</v>
      </c>
      <c r="CJ56" s="83">
        <v>4.6499000000000002E-3</v>
      </c>
      <c r="CK56" s="83">
        <v>0.46318700000000002</v>
      </c>
      <c r="CL56" s="83">
        <v>6.1947599999999998E-2</v>
      </c>
      <c r="CM56" s="83">
        <v>4.6499000000000002E-3</v>
      </c>
      <c r="CN56" s="83">
        <v>0.45281199999999999</v>
      </c>
      <c r="CO56" s="83">
        <v>6.1248499999999997E-2</v>
      </c>
      <c r="CP56" s="83">
        <v>4.6499000000000002E-3</v>
      </c>
      <c r="CQ56" s="83">
        <v>0.44098100000000001</v>
      </c>
      <c r="CR56" s="83">
        <v>6.0329500000000001E-2</v>
      </c>
      <c r="CS56" s="83">
        <v>4.6499000000000002E-3</v>
      </c>
      <c r="CT56" s="83">
        <v>0.45260600000000001</v>
      </c>
      <c r="CU56" s="83">
        <v>6.2138400000000003E-2</v>
      </c>
      <c r="CV56" s="83">
        <v>4.6499000000000002E-3</v>
      </c>
      <c r="CW56" s="83">
        <v>0.42729400000000001</v>
      </c>
      <c r="CX56" s="83">
        <v>5.9953699999999999E-2</v>
      </c>
    </row>
    <row r="57" spans="1:102" x14ac:dyDescent="0.2">
      <c r="A57" s="83">
        <v>4.7498999999999996E-3</v>
      </c>
      <c r="B57" s="83">
        <v>0.435722</v>
      </c>
      <c r="C57" s="83">
        <v>5.6736300000000003E-2</v>
      </c>
      <c r="D57" s="83">
        <v>4.7498999999999996E-3</v>
      </c>
      <c r="E57" s="83">
        <v>0.452289</v>
      </c>
      <c r="F57" s="83">
        <v>5.8212699999999999E-2</v>
      </c>
      <c r="G57" s="83">
        <v>4.7498999999999996E-3</v>
      </c>
      <c r="H57" s="83">
        <v>0.45448100000000002</v>
      </c>
      <c r="I57" s="83">
        <v>5.7898199999999997E-2</v>
      </c>
      <c r="J57" s="83">
        <v>4.7498999999999996E-3</v>
      </c>
      <c r="K57" s="83">
        <v>0.45001099999999999</v>
      </c>
      <c r="L57" s="83">
        <v>5.7008099999999999E-2</v>
      </c>
      <c r="M57" s="83">
        <v>4.7498999999999996E-3</v>
      </c>
      <c r="N57" s="83">
        <v>0.46162300000000001</v>
      </c>
      <c r="O57" s="83">
        <v>5.7685500000000001E-2</v>
      </c>
      <c r="P57" s="83">
        <v>4.7498999999999996E-3</v>
      </c>
      <c r="Q57" s="83">
        <v>0.476271</v>
      </c>
      <c r="R57" s="83">
        <v>5.8751600000000001E-2</v>
      </c>
      <c r="S57" s="83">
        <v>4.7498999999999996E-3</v>
      </c>
      <c r="T57" s="83">
        <v>0.48438599999999998</v>
      </c>
      <c r="U57" s="83">
        <v>5.89639E-2</v>
      </c>
      <c r="V57" s="83">
        <v>4.7498999999999996E-3</v>
      </c>
      <c r="W57" s="83">
        <v>0.47211900000000001</v>
      </c>
      <c r="X57" s="83">
        <v>5.7771200000000002E-2</v>
      </c>
      <c r="Y57" s="83">
        <v>4.7498999999999996E-3</v>
      </c>
      <c r="Z57" s="83">
        <v>0.478578</v>
      </c>
      <c r="AA57" s="83">
        <v>5.85911E-2</v>
      </c>
      <c r="AB57" s="83">
        <v>4.7498999999999996E-3</v>
      </c>
      <c r="AC57" s="83">
        <v>0.46721699999999999</v>
      </c>
      <c r="AD57" s="83">
        <v>5.75764E-2</v>
      </c>
      <c r="AE57" s="83">
        <v>4.7498999999999996E-3</v>
      </c>
      <c r="AF57" s="83">
        <v>0.47194599999999998</v>
      </c>
      <c r="AG57" s="83">
        <v>5.8430999999999997E-2</v>
      </c>
      <c r="AH57" s="83">
        <v>4.7498999999999996E-3</v>
      </c>
      <c r="AI57" s="83">
        <v>0.46162599999999998</v>
      </c>
      <c r="AJ57" s="83">
        <v>5.7469699999999999E-2</v>
      </c>
      <c r="AK57" s="83">
        <v>4.7498999999999996E-3</v>
      </c>
      <c r="AL57" s="83">
        <v>0.45766099999999998</v>
      </c>
      <c r="AM57" s="83">
        <v>5.7265299999999998E-2</v>
      </c>
      <c r="AN57" s="83">
        <v>4.7498999999999996E-3</v>
      </c>
      <c r="AO57" s="83">
        <v>0.477572</v>
      </c>
      <c r="AP57" s="83">
        <v>5.96432E-2</v>
      </c>
      <c r="AQ57" s="83">
        <v>4.7498999999999996E-3</v>
      </c>
      <c r="AR57" s="83">
        <v>0.46463500000000002</v>
      </c>
      <c r="AS57" s="83">
        <v>5.8489899999999997E-2</v>
      </c>
      <c r="AT57" s="83">
        <v>4.7498999999999996E-3</v>
      </c>
      <c r="AU57" s="83">
        <v>0.45154300000000003</v>
      </c>
      <c r="AV57" s="83">
        <v>5.7364199999999997E-2</v>
      </c>
      <c r="AW57" s="83">
        <v>4.7498999999999996E-3</v>
      </c>
      <c r="AX57" s="83">
        <v>0.44494899999999998</v>
      </c>
      <c r="AY57" s="83">
        <v>5.6901199999999999E-2</v>
      </c>
      <c r="AZ57" s="83">
        <v>4.7498999999999996E-3</v>
      </c>
      <c r="BA57" s="83">
        <v>0.46632899999999999</v>
      </c>
      <c r="BB57" s="83">
        <v>5.9511599999999998E-2</v>
      </c>
      <c r="BC57" s="83">
        <v>4.7498999999999996E-3</v>
      </c>
      <c r="BD57" s="83">
        <v>0.44934400000000002</v>
      </c>
      <c r="BE57" s="83">
        <v>5.7824300000000002E-2</v>
      </c>
      <c r="BF57" s="83">
        <v>4.7498999999999996E-3</v>
      </c>
      <c r="BG57" s="83">
        <v>0.44226500000000002</v>
      </c>
      <c r="BH57" s="83">
        <v>5.7311099999999997E-2</v>
      </c>
      <c r="BI57" s="83">
        <v>4.7498999999999996E-3</v>
      </c>
      <c r="BJ57" s="83">
        <v>0.44881500000000002</v>
      </c>
      <c r="BK57" s="83">
        <v>5.8321499999999998E-2</v>
      </c>
      <c r="BL57" s="83">
        <v>4.7498999999999996E-3</v>
      </c>
      <c r="BM57" s="83">
        <v>0.45332499999999998</v>
      </c>
      <c r="BN57" s="83">
        <v>5.8984599999999998E-2</v>
      </c>
      <c r="BO57" s="83">
        <v>4.7498999999999996E-3</v>
      </c>
      <c r="BP57" s="83">
        <v>0.43954799999999999</v>
      </c>
      <c r="BQ57" s="83">
        <v>5.7732400000000003E-2</v>
      </c>
      <c r="BR57" s="83">
        <v>4.7498999999999996E-3</v>
      </c>
      <c r="BS57" s="83">
        <v>0.44783200000000001</v>
      </c>
      <c r="BT57" s="83">
        <v>5.8964099999999998E-2</v>
      </c>
      <c r="BU57" s="83">
        <v>4.7498999999999996E-3</v>
      </c>
      <c r="BV57" s="83">
        <v>0.45281399999999999</v>
      </c>
      <c r="BW57" s="83">
        <v>5.9593599999999997E-2</v>
      </c>
      <c r="BX57" s="83">
        <v>4.7498999999999996E-3</v>
      </c>
      <c r="BY57" s="83">
        <v>0.44430999999999998</v>
      </c>
      <c r="BZ57" s="83">
        <v>5.8826499999999997E-2</v>
      </c>
      <c r="CA57" s="83">
        <v>4.7498999999999996E-3</v>
      </c>
      <c r="CB57" s="83">
        <v>0.42679299999999998</v>
      </c>
      <c r="CC57" s="83">
        <v>5.7125200000000001E-2</v>
      </c>
      <c r="CD57" s="83">
        <v>4.7498999999999996E-3</v>
      </c>
      <c r="CE57" s="83">
        <v>0.42345300000000002</v>
      </c>
      <c r="CF57" s="83">
        <v>5.7026199999999999E-2</v>
      </c>
      <c r="CG57" s="83">
        <v>4.7498999999999996E-3</v>
      </c>
      <c r="CH57" s="83">
        <v>0.432392</v>
      </c>
      <c r="CI57" s="83">
        <v>5.8095300000000002E-2</v>
      </c>
      <c r="CJ57" s="83">
        <v>4.7498999999999996E-3</v>
      </c>
      <c r="CK57" s="83">
        <v>0.43638500000000002</v>
      </c>
      <c r="CL57" s="83">
        <v>5.8952499999999998E-2</v>
      </c>
      <c r="CM57" s="83">
        <v>4.7498999999999996E-3</v>
      </c>
      <c r="CN57" s="83">
        <v>0.42692799999999997</v>
      </c>
      <c r="CO57" s="83">
        <v>5.8235799999999997E-2</v>
      </c>
      <c r="CP57" s="83">
        <v>4.7498999999999996E-3</v>
      </c>
      <c r="CQ57" s="83">
        <v>0.41580499999999998</v>
      </c>
      <c r="CR57" s="83">
        <v>5.74017E-2</v>
      </c>
      <c r="CS57" s="83">
        <v>4.7498999999999996E-3</v>
      </c>
      <c r="CT57" s="83">
        <v>0.426288</v>
      </c>
      <c r="CU57" s="83">
        <v>5.9097400000000001E-2</v>
      </c>
      <c r="CV57" s="83">
        <v>4.7498999999999996E-3</v>
      </c>
      <c r="CW57" s="83">
        <v>0.40171299999999999</v>
      </c>
      <c r="CX57" s="83">
        <v>5.7022999999999997E-2</v>
      </c>
    </row>
    <row r="58" spans="1:102" x14ac:dyDescent="0.2">
      <c r="A58" s="83">
        <v>4.8498999999999999E-3</v>
      </c>
      <c r="B58" s="83">
        <v>0.41397400000000001</v>
      </c>
      <c r="C58" s="83">
        <v>5.4023399999999999E-2</v>
      </c>
      <c r="D58" s="83">
        <v>4.8498999999999999E-3</v>
      </c>
      <c r="E58" s="83">
        <v>0.42941800000000002</v>
      </c>
      <c r="F58" s="83">
        <v>5.5407999999999999E-2</v>
      </c>
      <c r="G58" s="83">
        <v>4.8498999999999999E-3</v>
      </c>
      <c r="H58" s="83">
        <v>0.43118499999999998</v>
      </c>
      <c r="I58" s="83">
        <v>5.5087700000000003E-2</v>
      </c>
      <c r="J58" s="83">
        <v>4.8498999999999999E-3</v>
      </c>
      <c r="K58" s="83">
        <v>0.42740400000000001</v>
      </c>
      <c r="L58" s="83">
        <v>5.4276600000000001E-2</v>
      </c>
      <c r="M58" s="83">
        <v>4.8498999999999999E-3</v>
      </c>
      <c r="N58" s="83">
        <v>0.43825399999999998</v>
      </c>
      <c r="O58" s="83">
        <v>5.4885700000000003E-2</v>
      </c>
      <c r="P58" s="83">
        <v>4.8498999999999999E-3</v>
      </c>
      <c r="Q58" s="83">
        <v>0.45279399999999997</v>
      </c>
      <c r="R58" s="83">
        <v>5.5900999999999999E-2</v>
      </c>
      <c r="S58" s="83">
        <v>4.8498999999999999E-3</v>
      </c>
      <c r="T58" s="83">
        <v>0.46037699999999998</v>
      </c>
      <c r="U58" s="83">
        <v>5.6083000000000001E-2</v>
      </c>
      <c r="V58" s="83">
        <v>4.8498999999999999E-3</v>
      </c>
      <c r="W58" s="83">
        <v>0.44794400000000001</v>
      </c>
      <c r="X58" s="83">
        <v>5.4963600000000001E-2</v>
      </c>
      <c r="Y58" s="83">
        <v>4.8498999999999999E-3</v>
      </c>
      <c r="Z58" s="83">
        <v>0.453656</v>
      </c>
      <c r="AA58" s="83">
        <v>5.5795200000000003E-2</v>
      </c>
      <c r="AB58" s="83">
        <v>4.8498999999999999E-3</v>
      </c>
      <c r="AC58" s="83">
        <v>0.443438</v>
      </c>
      <c r="AD58" s="83">
        <v>5.4801999999999997E-2</v>
      </c>
      <c r="AE58" s="83">
        <v>4.8498999999999999E-3</v>
      </c>
      <c r="AF58" s="83">
        <v>0.44752199999999998</v>
      </c>
      <c r="AG58" s="83">
        <v>5.5582399999999997E-2</v>
      </c>
      <c r="AH58" s="83">
        <v>4.8498999999999999E-3</v>
      </c>
      <c r="AI58" s="83">
        <v>0.43743700000000002</v>
      </c>
      <c r="AJ58" s="83">
        <v>5.4708E-2</v>
      </c>
      <c r="AK58" s="83">
        <v>4.8498999999999999E-3</v>
      </c>
      <c r="AL58" s="83">
        <v>0.43300300000000003</v>
      </c>
      <c r="AM58" s="83">
        <v>5.4527100000000002E-2</v>
      </c>
      <c r="AN58" s="83">
        <v>4.8498999999999999E-3</v>
      </c>
      <c r="AO58" s="83">
        <v>0.452289</v>
      </c>
      <c r="AP58" s="83">
        <v>5.6759400000000002E-2</v>
      </c>
      <c r="AQ58" s="83">
        <v>4.8498999999999999E-3</v>
      </c>
      <c r="AR58" s="83">
        <v>0.439801</v>
      </c>
      <c r="AS58" s="83">
        <v>5.5677400000000002E-2</v>
      </c>
      <c r="AT58" s="83">
        <v>4.8498999999999999E-3</v>
      </c>
      <c r="AU58" s="83">
        <v>0.42724699999999999</v>
      </c>
      <c r="AV58" s="83">
        <v>5.4611300000000002E-2</v>
      </c>
      <c r="AW58" s="83">
        <v>4.8498999999999999E-3</v>
      </c>
      <c r="AX58" s="83">
        <v>0.42163899999999999</v>
      </c>
      <c r="AY58" s="83">
        <v>5.4167800000000002E-2</v>
      </c>
      <c r="AZ58" s="83">
        <v>4.8498999999999999E-3</v>
      </c>
      <c r="BA58" s="83">
        <v>0.441251</v>
      </c>
      <c r="BB58" s="83">
        <v>5.6630699999999999E-2</v>
      </c>
      <c r="BC58" s="83">
        <v>4.8498999999999999E-3</v>
      </c>
      <c r="BD58" s="83">
        <v>0.42473</v>
      </c>
      <c r="BE58" s="83">
        <v>5.50304E-2</v>
      </c>
      <c r="BF58" s="83">
        <v>4.8498999999999999E-3</v>
      </c>
      <c r="BG58" s="83">
        <v>0.41802699999999998</v>
      </c>
      <c r="BH58" s="83">
        <v>5.4559200000000002E-2</v>
      </c>
      <c r="BI58" s="83">
        <v>4.8498999999999999E-3</v>
      </c>
      <c r="BJ58" s="83">
        <v>0.42433199999999999</v>
      </c>
      <c r="BK58" s="83">
        <v>5.5517799999999999E-2</v>
      </c>
      <c r="BL58" s="83">
        <v>4.8498999999999999E-3</v>
      </c>
      <c r="BM58" s="83">
        <v>0.42840299999999998</v>
      </c>
      <c r="BN58" s="83">
        <v>5.6136900000000003E-2</v>
      </c>
      <c r="BO58" s="83">
        <v>4.8498999999999999E-3</v>
      </c>
      <c r="BP58" s="83">
        <v>0.41533900000000001</v>
      </c>
      <c r="BQ58" s="83">
        <v>5.4963900000000003E-2</v>
      </c>
      <c r="BR58" s="83">
        <v>4.8498999999999999E-3</v>
      </c>
      <c r="BS58" s="83">
        <v>0.42277399999999998</v>
      </c>
      <c r="BT58" s="83">
        <v>5.6141900000000002E-2</v>
      </c>
      <c r="BU58" s="83">
        <v>4.8498999999999999E-3</v>
      </c>
      <c r="BV58" s="83">
        <v>0.42768699999999998</v>
      </c>
      <c r="BW58" s="83">
        <v>5.6713699999999999E-2</v>
      </c>
      <c r="BX58" s="83">
        <v>4.8498999999999999E-3</v>
      </c>
      <c r="BY58" s="83">
        <v>0.41903099999999999</v>
      </c>
      <c r="BZ58" s="83">
        <v>5.5975900000000002E-2</v>
      </c>
      <c r="CA58" s="83">
        <v>4.8498999999999999E-3</v>
      </c>
      <c r="CB58" s="83">
        <v>0.40259400000000001</v>
      </c>
      <c r="CC58" s="83">
        <v>5.4357700000000002E-2</v>
      </c>
      <c r="CD58" s="83">
        <v>4.8498999999999999E-3</v>
      </c>
      <c r="CE58" s="83">
        <v>0.39945799999999998</v>
      </c>
      <c r="CF58" s="83">
        <v>5.4286000000000001E-2</v>
      </c>
      <c r="CG58" s="83">
        <v>4.8498999999999999E-3</v>
      </c>
      <c r="CH58" s="83">
        <v>0.407665</v>
      </c>
      <c r="CI58" s="83">
        <v>5.5280900000000001E-2</v>
      </c>
      <c r="CJ58" s="83">
        <v>4.8498999999999999E-3</v>
      </c>
      <c r="CK58" s="83">
        <v>0.41154600000000002</v>
      </c>
      <c r="CL58" s="83">
        <v>5.6092099999999999E-2</v>
      </c>
      <c r="CM58" s="83">
        <v>4.8498999999999999E-3</v>
      </c>
      <c r="CN58" s="83">
        <v>0.40183999999999997</v>
      </c>
      <c r="CO58" s="83">
        <v>5.5446700000000002E-2</v>
      </c>
      <c r="CP58" s="83">
        <v>4.8498999999999999E-3</v>
      </c>
      <c r="CQ58" s="83">
        <v>0.39111200000000002</v>
      </c>
      <c r="CR58" s="83">
        <v>5.4641000000000002E-2</v>
      </c>
      <c r="CS58" s="83">
        <v>4.8498999999999999E-3</v>
      </c>
      <c r="CT58" s="83">
        <v>0.40160099999999999</v>
      </c>
      <c r="CU58" s="83">
        <v>5.6277000000000001E-2</v>
      </c>
      <c r="CV58" s="83">
        <v>4.8498999999999999E-3</v>
      </c>
      <c r="CW58" s="83">
        <v>0.37811</v>
      </c>
      <c r="CX58" s="83">
        <v>5.4279899999999999E-2</v>
      </c>
    </row>
    <row r="59" spans="1:102" x14ac:dyDescent="0.2">
      <c r="A59" s="83">
        <v>4.9499000000000001E-3</v>
      </c>
      <c r="B59" s="83">
        <v>0.39327099999999998</v>
      </c>
      <c r="C59" s="83">
        <v>5.1405300000000001E-2</v>
      </c>
      <c r="D59" s="83">
        <v>4.9499000000000001E-3</v>
      </c>
      <c r="E59" s="83">
        <v>0.40834399999999998</v>
      </c>
      <c r="F59" s="83">
        <v>5.2710800000000002E-2</v>
      </c>
      <c r="G59" s="83">
        <v>4.9499000000000001E-3</v>
      </c>
      <c r="H59" s="83">
        <v>0.40936400000000001</v>
      </c>
      <c r="I59" s="83">
        <v>5.2410900000000003E-2</v>
      </c>
      <c r="J59" s="83">
        <v>4.9499000000000001E-3</v>
      </c>
      <c r="K59" s="83">
        <v>0.40565600000000002</v>
      </c>
      <c r="L59" s="83">
        <v>5.1648699999999999E-2</v>
      </c>
      <c r="M59" s="83">
        <v>4.9499000000000001E-3</v>
      </c>
      <c r="N59" s="83">
        <v>0.41619299999999998</v>
      </c>
      <c r="O59" s="83">
        <v>5.2243100000000001E-2</v>
      </c>
      <c r="P59" s="83">
        <v>4.9499000000000001E-3</v>
      </c>
      <c r="Q59" s="83">
        <v>0.429176</v>
      </c>
      <c r="R59" s="83">
        <v>5.3182199999999999E-2</v>
      </c>
      <c r="S59" s="83">
        <v>4.9499000000000001E-3</v>
      </c>
      <c r="T59" s="83">
        <v>0.43686599999999998</v>
      </c>
      <c r="U59" s="83">
        <v>5.3369199999999999E-2</v>
      </c>
      <c r="V59" s="83">
        <v>4.9499000000000001E-3</v>
      </c>
      <c r="W59" s="83">
        <v>0.42467700000000003</v>
      </c>
      <c r="X59" s="83">
        <v>5.2328800000000002E-2</v>
      </c>
      <c r="Y59" s="83">
        <v>4.9499000000000001E-3</v>
      </c>
      <c r="Z59" s="83">
        <v>0.43054599999999998</v>
      </c>
      <c r="AA59" s="83">
        <v>5.3094099999999998E-2</v>
      </c>
      <c r="AB59" s="83">
        <v>4.9499000000000001E-3</v>
      </c>
      <c r="AC59" s="83">
        <v>0.420103</v>
      </c>
      <c r="AD59" s="83">
        <v>5.2195499999999999E-2</v>
      </c>
      <c r="AE59" s="83">
        <v>4.9499000000000001E-3</v>
      </c>
      <c r="AF59" s="83">
        <v>0.423904</v>
      </c>
      <c r="AG59" s="83">
        <v>5.2915400000000001E-2</v>
      </c>
      <c r="AH59" s="83">
        <v>4.9499000000000001E-3</v>
      </c>
      <c r="AI59" s="83">
        <v>0.41465800000000003</v>
      </c>
      <c r="AJ59" s="83">
        <v>5.2065399999999998E-2</v>
      </c>
      <c r="AK59" s="83">
        <v>4.9499000000000001E-3</v>
      </c>
      <c r="AL59" s="83">
        <v>0.41048400000000002</v>
      </c>
      <c r="AM59" s="83">
        <v>5.19021E-2</v>
      </c>
      <c r="AN59" s="83">
        <v>4.9499000000000001E-3</v>
      </c>
      <c r="AO59" s="83">
        <v>0.428456</v>
      </c>
      <c r="AP59" s="83">
        <v>5.4029899999999999E-2</v>
      </c>
      <c r="AQ59" s="83">
        <v>4.9499000000000001E-3</v>
      </c>
      <c r="AR59" s="83">
        <v>0.416217</v>
      </c>
      <c r="AS59" s="83">
        <v>5.2984999999999997E-2</v>
      </c>
      <c r="AT59" s="83">
        <v>4.9499000000000001E-3</v>
      </c>
      <c r="AU59" s="83">
        <v>0.40454099999999998</v>
      </c>
      <c r="AV59" s="83">
        <v>5.2027299999999999E-2</v>
      </c>
      <c r="AW59" s="83">
        <v>4.9499000000000001E-3</v>
      </c>
      <c r="AX59" s="83">
        <v>0.398704</v>
      </c>
      <c r="AY59" s="83">
        <v>5.1579E-2</v>
      </c>
      <c r="AZ59" s="83">
        <v>4.9499000000000001E-3</v>
      </c>
      <c r="BA59" s="83">
        <v>0.41719299999999998</v>
      </c>
      <c r="BB59" s="83">
        <v>5.3907099999999999E-2</v>
      </c>
      <c r="BC59" s="83">
        <v>4.9499000000000001E-3</v>
      </c>
      <c r="BD59" s="83">
        <v>0.40193699999999999</v>
      </c>
      <c r="BE59" s="83">
        <v>5.23741E-2</v>
      </c>
      <c r="BF59" s="83">
        <v>4.9499000000000001E-3</v>
      </c>
      <c r="BG59" s="83">
        <v>0.39527299999999999</v>
      </c>
      <c r="BH59" s="83">
        <v>5.1935200000000001E-2</v>
      </c>
      <c r="BI59" s="83">
        <v>4.9499000000000001E-3</v>
      </c>
      <c r="BJ59" s="83">
        <v>0.40078200000000003</v>
      </c>
      <c r="BK59" s="83">
        <v>5.2860600000000001E-2</v>
      </c>
      <c r="BL59" s="83">
        <v>4.9499000000000001E-3</v>
      </c>
      <c r="BM59" s="83">
        <v>0.40427200000000002</v>
      </c>
      <c r="BN59" s="83">
        <v>5.34279E-2</v>
      </c>
      <c r="BO59" s="83">
        <v>4.9499000000000001E-3</v>
      </c>
      <c r="BP59" s="83">
        <v>0.39197500000000002</v>
      </c>
      <c r="BQ59" s="83">
        <v>5.23203E-2</v>
      </c>
      <c r="BR59" s="83">
        <v>4.9499000000000001E-3</v>
      </c>
      <c r="BS59" s="83">
        <v>0.39947300000000002</v>
      </c>
      <c r="BT59" s="83">
        <v>5.3423100000000001E-2</v>
      </c>
      <c r="BU59" s="83">
        <v>4.9499000000000001E-3</v>
      </c>
      <c r="BV59" s="83">
        <v>0.40372200000000003</v>
      </c>
      <c r="BW59" s="83">
        <v>5.4007600000000003E-2</v>
      </c>
      <c r="BX59" s="83">
        <v>4.9499000000000001E-3</v>
      </c>
      <c r="BY59" s="83">
        <v>0.39562799999999998</v>
      </c>
      <c r="BZ59" s="83">
        <v>5.32884E-2</v>
      </c>
      <c r="CA59" s="83">
        <v>4.9499000000000001E-3</v>
      </c>
      <c r="CB59" s="83">
        <v>0.379577</v>
      </c>
      <c r="CC59" s="83">
        <v>5.1757999999999998E-2</v>
      </c>
      <c r="CD59" s="83">
        <v>4.9499000000000001E-3</v>
      </c>
      <c r="CE59" s="83">
        <v>0.37620599999999998</v>
      </c>
      <c r="CF59" s="83">
        <v>5.1665900000000001E-2</v>
      </c>
      <c r="CG59" s="83">
        <v>4.9499000000000001E-3</v>
      </c>
      <c r="CH59" s="83">
        <v>0.38428600000000002</v>
      </c>
      <c r="CI59" s="83">
        <v>5.2634399999999998E-2</v>
      </c>
      <c r="CJ59" s="83">
        <v>4.9499000000000001E-3</v>
      </c>
      <c r="CK59" s="83">
        <v>0.38780599999999998</v>
      </c>
      <c r="CL59" s="83">
        <v>5.3391899999999999E-2</v>
      </c>
      <c r="CM59" s="83">
        <v>4.9499000000000001E-3</v>
      </c>
      <c r="CN59" s="83">
        <v>0.378691</v>
      </c>
      <c r="CO59" s="83">
        <v>5.2751399999999997E-2</v>
      </c>
      <c r="CP59" s="83">
        <v>4.9499000000000001E-3</v>
      </c>
      <c r="CQ59" s="83">
        <v>0.36781199999999997</v>
      </c>
      <c r="CR59" s="83">
        <v>5.1971999999999997E-2</v>
      </c>
      <c r="CS59" s="83">
        <v>4.9499000000000001E-3</v>
      </c>
      <c r="CT59" s="83">
        <v>0.37802599999999997</v>
      </c>
      <c r="CU59" s="83">
        <v>5.3556300000000001E-2</v>
      </c>
      <c r="CV59" s="83">
        <v>4.9499000000000001E-3</v>
      </c>
      <c r="CW59" s="83">
        <v>0.35600500000000002</v>
      </c>
      <c r="CX59" s="83">
        <v>5.1691000000000001E-2</v>
      </c>
    </row>
    <row r="60" spans="1:102" x14ac:dyDescent="0.2">
      <c r="A60" s="83">
        <v>5.0499000000000004E-3</v>
      </c>
      <c r="B60" s="83">
        <v>0.37375399999999998</v>
      </c>
      <c r="C60" s="83">
        <v>4.8924799999999997E-2</v>
      </c>
      <c r="D60" s="83">
        <v>5.0499000000000004E-3</v>
      </c>
      <c r="E60" s="83">
        <v>0.38734800000000003</v>
      </c>
      <c r="F60" s="83">
        <v>5.01961E-2</v>
      </c>
      <c r="G60" s="83">
        <v>5.0499000000000004E-3</v>
      </c>
      <c r="H60" s="83">
        <v>0.38827</v>
      </c>
      <c r="I60" s="83">
        <v>4.9887500000000001E-2</v>
      </c>
      <c r="J60" s="83">
        <v>5.0499000000000004E-3</v>
      </c>
      <c r="K60" s="83">
        <v>0.38505</v>
      </c>
      <c r="L60" s="83">
        <v>4.91575E-2</v>
      </c>
      <c r="M60" s="83">
        <v>5.0499000000000004E-3</v>
      </c>
      <c r="N60" s="83">
        <v>0.394646</v>
      </c>
      <c r="O60" s="83">
        <v>4.9728500000000002E-2</v>
      </c>
      <c r="P60" s="83">
        <v>5.0499000000000004E-3</v>
      </c>
      <c r="Q60" s="83">
        <v>0.40733999999999998</v>
      </c>
      <c r="R60" s="83">
        <v>5.0650000000000001E-2</v>
      </c>
      <c r="S60" s="83">
        <v>5.0499000000000004E-3</v>
      </c>
      <c r="T60" s="83">
        <v>0.41448299999999999</v>
      </c>
      <c r="U60" s="83">
        <v>5.0813499999999998E-2</v>
      </c>
      <c r="V60" s="83">
        <v>5.0499000000000004E-3</v>
      </c>
      <c r="W60" s="83">
        <v>0.40306599999999998</v>
      </c>
      <c r="X60" s="83">
        <v>4.9813200000000002E-2</v>
      </c>
      <c r="Y60" s="83">
        <v>5.0499000000000004E-3</v>
      </c>
      <c r="Z60" s="83">
        <v>0.40872900000000001</v>
      </c>
      <c r="AA60" s="83">
        <v>5.0556900000000002E-2</v>
      </c>
      <c r="AB60" s="83">
        <v>5.0499000000000004E-3</v>
      </c>
      <c r="AC60" s="83">
        <v>0.39847199999999999</v>
      </c>
      <c r="AD60" s="83">
        <v>4.9678E-2</v>
      </c>
      <c r="AE60" s="83">
        <v>5.0499000000000004E-3</v>
      </c>
      <c r="AF60" s="83">
        <v>0.40164299999999997</v>
      </c>
      <c r="AG60" s="83">
        <v>5.0367500000000003E-2</v>
      </c>
      <c r="AH60" s="83">
        <v>5.0499000000000004E-3</v>
      </c>
      <c r="AI60" s="83">
        <v>0.39286599999999999</v>
      </c>
      <c r="AJ60" s="83">
        <v>4.9566399999999997E-2</v>
      </c>
      <c r="AK60" s="83">
        <v>5.0499000000000004E-3</v>
      </c>
      <c r="AL60" s="83">
        <v>0.38902399999999998</v>
      </c>
      <c r="AM60" s="83">
        <v>4.9403000000000002E-2</v>
      </c>
      <c r="AN60" s="83">
        <v>5.0499000000000004E-3</v>
      </c>
      <c r="AO60" s="83">
        <v>0.405414</v>
      </c>
      <c r="AP60" s="83">
        <v>5.1443000000000003E-2</v>
      </c>
      <c r="AQ60" s="83">
        <v>5.0499000000000004E-3</v>
      </c>
      <c r="AR60" s="83">
        <v>0.39380500000000002</v>
      </c>
      <c r="AS60" s="83">
        <v>5.0450799999999997E-2</v>
      </c>
      <c r="AT60" s="83">
        <v>5.0499000000000004E-3</v>
      </c>
      <c r="AU60" s="83">
        <v>0.38231999999999999</v>
      </c>
      <c r="AV60" s="83">
        <v>4.9550700000000003E-2</v>
      </c>
      <c r="AW60" s="83">
        <v>5.0499000000000004E-3</v>
      </c>
      <c r="AX60" s="83">
        <v>0.37701499999999999</v>
      </c>
      <c r="AY60" s="83">
        <v>4.9095600000000003E-2</v>
      </c>
      <c r="AZ60" s="83">
        <v>5.0499000000000004E-3</v>
      </c>
      <c r="BA60" s="83">
        <v>0.39417600000000003</v>
      </c>
      <c r="BB60" s="83">
        <v>5.1315300000000001E-2</v>
      </c>
      <c r="BC60" s="83">
        <v>5.0499000000000004E-3</v>
      </c>
      <c r="BD60" s="83">
        <v>0.379998</v>
      </c>
      <c r="BE60" s="83">
        <v>4.9856499999999998E-2</v>
      </c>
      <c r="BF60" s="83">
        <v>5.0499000000000004E-3</v>
      </c>
      <c r="BG60" s="83">
        <v>0.373554</v>
      </c>
      <c r="BH60" s="83">
        <v>4.9440999999999999E-2</v>
      </c>
      <c r="BI60" s="83">
        <v>5.0499000000000004E-3</v>
      </c>
      <c r="BJ60" s="83">
        <v>0.37850200000000001</v>
      </c>
      <c r="BK60" s="83">
        <v>5.0322499999999999E-2</v>
      </c>
      <c r="BL60" s="83">
        <v>5.0499000000000004E-3</v>
      </c>
      <c r="BM60" s="83">
        <v>0.38184499999999999</v>
      </c>
      <c r="BN60" s="83">
        <v>5.0856600000000002E-2</v>
      </c>
      <c r="BO60" s="83">
        <v>5.0499000000000004E-3</v>
      </c>
      <c r="BP60" s="83">
        <v>0.37009500000000001</v>
      </c>
      <c r="BQ60" s="83">
        <v>4.98076E-2</v>
      </c>
      <c r="BR60" s="83">
        <v>5.0499000000000004E-3</v>
      </c>
      <c r="BS60" s="83">
        <v>0.37721700000000002</v>
      </c>
      <c r="BT60" s="83">
        <v>5.0859700000000001E-2</v>
      </c>
      <c r="BU60" s="83">
        <v>5.0499000000000004E-3</v>
      </c>
      <c r="BV60" s="83">
        <v>0.38122200000000001</v>
      </c>
      <c r="BW60" s="83">
        <v>5.1406100000000003E-2</v>
      </c>
      <c r="BX60" s="83">
        <v>5.0499000000000004E-3</v>
      </c>
      <c r="BY60" s="83">
        <v>0.37316199999999999</v>
      </c>
      <c r="BZ60" s="83">
        <v>5.0723999999999998E-2</v>
      </c>
      <c r="CA60" s="83">
        <v>5.0499000000000004E-3</v>
      </c>
      <c r="CB60" s="83">
        <v>0.35783300000000001</v>
      </c>
      <c r="CC60" s="83">
        <v>4.9281499999999999E-2</v>
      </c>
      <c r="CD60" s="83">
        <v>5.0499000000000004E-3</v>
      </c>
      <c r="CE60" s="83">
        <v>0.35434100000000002</v>
      </c>
      <c r="CF60" s="83">
        <v>4.9187300000000003E-2</v>
      </c>
      <c r="CG60" s="83">
        <v>5.0499000000000004E-3</v>
      </c>
      <c r="CH60" s="83">
        <v>0.361674</v>
      </c>
      <c r="CI60" s="83">
        <v>5.0106999999999999E-2</v>
      </c>
      <c r="CJ60" s="83">
        <v>5.0499000000000004E-3</v>
      </c>
      <c r="CK60" s="83">
        <v>0.36507600000000001</v>
      </c>
      <c r="CL60" s="83">
        <v>5.0822600000000002E-2</v>
      </c>
      <c r="CM60" s="83">
        <v>5.0499000000000004E-3</v>
      </c>
      <c r="CN60" s="83">
        <v>0.35620000000000002</v>
      </c>
      <c r="CO60" s="83">
        <v>5.0212399999999997E-2</v>
      </c>
      <c r="CP60" s="83">
        <v>5.0499000000000004E-3</v>
      </c>
      <c r="CQ60" s="83">
        <v>0.34607300000000002</v>
      </c>
      <c r="CR60" s="83">
        <v>4.9488600000000001E-2</v>
      </c>
      <c r="CS60" s="83">
        <v>5.0499000000000004E-3</v>
      </c>
      <c r="CT60" s="83">
        <v>0.35553600000000002</v>
      </c>
      <c r="CU60" s="83">
        <v>5.09743E-2</v>
      </c>
      <c r="CV60" s="83">
        <v>5.0499000000000004E-3</v>
      </c>
      <c r="CW60" s="83">
        <v>0.33507300000000001</v>
      </c>
      <c r="CX60" s="83">
        <v>4.9188099999999998E-2</v>
      </c>
    </row>
    <row r="61" spans="1:102" x14ac:dyDescent="0.2">
      <c r="A61" s="83">
        <v>5.1498999999999998E-3</v>
      </c>
      <c r="B61" s="83">
        <v>0.35472599999999999</v>
      </c>
      <c r="C61" s="83">
        <v>4.6603499999999999E-2</v>
      </c>
      <c r="D61" s="83">
        <v>5.1498999999999998E-3</v>
      </c>
      <c r="E61" s="83">
        <v>0.36763600000000002</v>
      </c>
      <c r="F61" s="83">
        <v>4.7779099999999998E-2</v>
      </c>
      <c r="G61" s="83">
        <v>5.1498999999999998E-3</v>
      </c>
      <c r="H61" s="83">
        <v>0.36840699999999998</v>
      </c>
      <c r="I61" s="83">
        <v>4.7517400000000001E-2</v>
      </c>
      <c r="J61" s="83">
        <v>5.1498999999999998E-3</v>
      </c>
      <c r="K61" s="83">
        <v>0.36489899999999997</v>
      </c>
      <c r="L61" s="83">
        <v>4.6819600000000003E-2</v>
      </c>
      <c r="M61" s="83">
        <v>5.1498999999999998E-3</v>
      </c>
      <c r="N61" s="83">
        <v>0.37431300000000001</v>
      </c>
      <c r="O61" s="83">
        <v>4.7334899999999999E-2</v>
      </c>
      <c r="P61" s="83">
        <v>5.1498999999999998E-3</v>
      </c>
      <c r="Q61" s="83">
        <v>0.38677400000000001</v>
      </c>
      <c r="R61" s="83">
        <v>4.8208599999999997E-2</v>
      </c>
      <c r="S61" s="83">
        <v>5.1498999999999998E-3</v>
      </c>
      <c r="T61" s="83">
        <v>0.39315499999999998</v>
      </c>
      <c r="U61" s="83">
        <v>4.8405299999999998E-2</v>
      </c>
      <c r="V61" s="83">
        <v>5.1498999999999998E-3</v>
      </c>
      <c r="W61" s="83">
        <v>0.382075</v>
      </c>
      <c r="X61" s="83">
        <v>4.7428400000000003E-2</v>
      </c>
      <c r="Y61" s="83">
        <v>5.1498999999999998E-3</v>
      </c>
      <c r="Z61" s="83">
        <v>0.38761600000000002</v>
      </c>
      <c r="AA61" s="83">
        <v>4.81409E-2</v>
      </c>
      <c r="AB61" s="83">
        <v>5.1498999999999998E-3</v>
      </c>
      <c r="AC61" s="83">
        <v>0.37740299999999999</v>
      </c>
      <c r="AD61" s="83">
        <v>4.7347899999999998E-2</v>
      </c>
      <c r="AE61" s="83">
        <v>5.1498999999999998E-3</v>
      </c>
      <c r="AF61" s="83">
        <v>0.38033400000000001</v>
      </c>
      <c r="AG61" s="83">
        <v>4.7958399999999998E-2</v>
      </c>
      <c r="AH61" s="83">
        <v>5.1498999999999998E-3</v>
      </c>
      <c r="AI61" s="83">
        <v>0.371612</v>
      </c>
      <c r="AJ61" s="83">
        <v>4.72051E-2</v>
      </c>
      <c r="AK61" s="83">
        <v>5.1498999999999998E-3</v>
      </c>
      <c r="AL61" s="83">
        <v>0.36802800000000002</v>
      </c>
      <c r="AM61" s="83">
        <v>4.7061199999999997E-2</v>
      </c>
      <c r="AN61" s="83">
        <v>5.1498999999999998E-3</v>
      </c>
      <c r="AO61" s="83">
        <v>0.383573</v>
      </c>
      <c r="AP61" s="83">
        <v>4.8939099999999999E-2</v>
      </c>
      <c r="AQ61" s="83">
        <v>5.1498999999999998E-3</v>
      </c>
      <c r="AR61" s="83">
        <v>0.37253999999999998</v>
      </c>
      <c r="AS61" s="83">
        <v>4.8061199999999998E-2</v>
      </c>
      <c r="AT61" s="83">
        <v>5.1498999999999998E-3</v>
      </c>
      <c r="AU61" s="83">
        <v>0.36158200000000001</v>
      </c>
      <c r="AV61" s="83">
        <v>4.7158100000000001E-2</v>
      </c>
      <c r="AW61" s="83">
        <v>5.1498999999999998E-3</v>
      </c>
      <c r="AX61" s="83">
        <v>0.35592600000000002</v>
      </c>
      <c r="AY61" s="83">
        <v>4.67821E-2</v>
      </c>
      <c r="AZ61" s="83">
        <v>5.1498999999999998E-3</v>
      </c>
      <c r="BA61" s="83">
        <v>0.37260300000000002</v>
      </c>
      <c r="BB61" s="83">
        <v>4.8855299999999997E-2</v>
      </c>
      <c r="BC61" s="83">
        <v>5.1498999999999998E-3</v>
      </c>
      <c r="BD61" s="83">
        <v>0.35888999999999999</v>
      </c>
      <c r="BE61" s="83">
        <v>4.7498100000000001E-2</v>
      </c>
      <c r="BF61" s="83">
        <v>5.1498999999999998E-3</v>
      </c>
      <c r="BG61" s="83">
        <v>0.35264600000000002</v>
      </c>
      <c r="BH61" s="83">
        <v>4.7105099999999997E-2</v>
      </c>
      <c r="BI61" s="83">
        <v>5.1498999999999998E-3</v>
      </c>
      <c r="BJ61" s="83">
        <v>0.35741299999999998</v>
      </c>
      <c r="BK61" s="83">
        <v>4.7924000000000001E-2</v>
      </c>
      <c r="BL61" s="83">
        <v>5.1498999999999998E-3</v>
      </c>
      <c r="BM61" s="83">
        <v>0.36021900000000001</v>
      </c>
      <c r="BN61" s="83">
        <v>4.84348E-2</v>
      </c>
      <c r="BO61" s="83">
        <v>5.1498999999999998E-3</v>
      </c>
      <c r="BP61" s="83">
        <v>0.34937699999999999</v>
      </c>
      <c r="BQ61" s="83">
        <v>4.7467799999999997E-2</v>
      </c>
      <c r="BR61" s="83">
        <v>5.1498999999999998E-3</v>
      </c>
      <c r="BS61" s="83">
        <v>0.35570299999999999</v>
      </c>
      <c r="BT61" s="83">
        <v>4.8416300000000002E-2</v>
      </c>
      <c r="BU61" s="83">
        <v>5.1498999999999998E-3</v>
      </c>
      <c r="BV61" s="83">
        <v>0.35888300000000001</v>
      </c>
      <c r="BW61" s="83">
        <v>4.8951000000000001E-2</v>
      </c>
      <c r="BX61" s="83">
        <v>5.1498999999999998E-3</v>
      </c>
      <c r="BY61" s="83">
        <v>0.351966</v>
      </c>
      <c r="BZ61" s="83">
        <v>4.8318699999999999E-2</v>
      </c>
      <c r="CA61" s="83">
        <v>5.1498999999999998E-3</v>
      </c>
      <c r="CB61" s="83">
        <v>0.33712999999999999</v>
      </c>
      <c r="CC61" s="83">
        <v>4.6898700000000001E-2</v>
      </c>
      <c r="CD61" s="83">
        <v>5.1498999999999998E-3</v>
      </c>
      <c r="CE61" s="83">
        <v>0.33399000000000001</v>
      </c>
      <c r="CF61" s="83">
        <v>4.6835799999999997E-2</v>
      </c>
      <c r="CG61" s="83">
        <v>5.1498999999999998E-3</v>
      </c>
      <c r="CH61" s="83">
        <v>0.34067799999999998</v>
      </c>
      <c r="CI61" s="83">
        <v>4.7704700000000003E-2</v>
      </c>
      <c r="CJ61" s="83">
        <v>5.1498999999999998E-3</v>
      </c>
      <c r="CK61" s="83">
        <v>0.34398299999999998</v>
      </c>
      <c r="CL61" s="83">
        <v>4.83793E-2</v>
      </c>
      <c r="CM61" s="83">
        <v>5.1498999999999998E-3</v>
      </c>
      <c r="CN61" s="83">
        <v>0.33495000000000003</v>
      </c>
      <c r="CO61" s="83">
        <v>4.7787499999999997E-2</v>
      </c>
      <c r="CP61" s="83">
        <v>5.1498999999999998E-3</v>
      </c>
      <c r="CQ61" s="83">
        <v>0.32599499999999998</v>
      </c>
      <c r="CR61" s="83">
        <v>4.7129299999999999E-2</v>
      </c>
      <c r="CS61" s="83">
        <v>5.1498999999999998E-3</v>
      </c>
      <c r="CT61" s="83">
        <v>0.334457</v>
      </c>
      <c r="CU61" s="83">
        <v>4.8553399999999997E-2</v>
      </c>
      <c r="CV61" s="83">
        <v>5.1498999999999998E-3</v>
      </c>
      <c r="CW61" s="83">
        <v>0.31464300000000001</v>
      </c>
      <c r="CX61" s="83">
        <v>4.6855099999999997E-2</v>
      </c>
    </row>
    <row r="62" spans="1:102" x14ac:dyDescent="0.2">
      <c r="A62" s="83">
        <v>5.2499000000000001E-3</v>
      </c>
      <c r="B62" s="83">
        <v>0.33710899999999999</v>
      </c>
      <c r="C62" s="83">
        <v>4.4357399999999998E-2</v>
      </c>
      <c r="D62" s="83">
        <v>5.2499000000000001E-3</v>
      </c>
      <c r="E62" s="83">
        <v>0.34858800000000001</v>
      </c>
      <c r="F62" s="83">
        <v>4.5481300000000002E-2</v>
      </c>
      <c r="G62" s="83">
        <v>5.2499000000000001E-3</v>
      </c>
      <c r="H62" s="83">
        <v>0.34979900000000003</v>
      </c>
      <c r="I62" s="83">
        <v>4.5234200000000002E-2</v>
      </c>
      <c r="J62" s="83">
        <v>5.2499000000000001E-3</v>
      </c>
      <c r="K62" s="83">
        <v>0.34625099999999998</v>
      </c>
      <c r="L62" s="83">
        <v>4.4564699999999999E-2</v>
      </c>
      <c r="M62" s="83">
        <v>5.2499000000000001E-3</v>
      </c>
      <c r="N62" s="83">
        <v>0.35460199999999997</v>
      </c>
      <c r="O62" s="83">
        <v>4.5056600000000002E-2</v>
      </c>
      <c r="P62" s="83">
        <v>5.2499000000000001E-3</v>
      </c>
      <c r="Q62" s="83">
        <v>0.36629499999999998</v>
      </c>
      <c r="R62" s="83">
        <v>4.5910800000000002E-2</v>
      </c>
      <c r="S62" s="83">
        <v>5.2499000000000001E-3</v>
      </c>
      <c r="T62" s="83">
        <v>0.37257400000000002</v>
      </c>
      <c r="U62" s="83">
        <v>4.6094799999999998E-2</v>
      </c>
      <c r="V62" s="83">
        <v>5.2499000000000001E-3</v>
      </c>
      <c r="W62" s="83">
        <v>0.36232900000000001</v>
      </c>
      <c r="X62" s="83">
        <v>4.5183300000000003E-2</v>
      </c>
      <c r="Y62" s="83">
        <v>5.2499000000000001E-3</v>
      </c>
      <c r="Z62" s="83">
        <v>0.36737199999999998</v>
      </c>
      <c r="AA62" s="83">
        <v>4.5857700000000001E-2</v>
      </c>
      <c r="AB62" s="83">
        <v>5.2499000000000001E-3</v>
      </c>
      <c r="AC62" s="83">
        <v>0.357881</v>
      </c>
      <c r="AD62" s="83">
        <v>4.5076400000000003E-2</v>
      </c>
      <c r="AE62" s="83">
        <v>5.2499000000000001E-3</v>
      </c>
      <c r="AF62" s="83">
        <v>0.35999700000000001</v>
      </c>
      <c r="AG62" s="83">
        <v>4.5675199999999999E-2</v>
      </c>
      <c r="AH62" s="83">
        <v>5.2499000000000001E-3</v>
      </c>
      <c r="AI62" s="83">
        <v>0.35181699999999999</v>
      </c>
      <c r="AJ62" s="83">
        <v>4.4939399999999997E-2</v>
      </c>
      <c r="AK62" s="83">
        <v>5.2499000000000001E-3</v>
      </c>
      <c r="AL62" s="83">
        <v>0.34817900000000002</v>
      </c>
      <c r="AM62" s="83">
        <v>4.4810299999999997E-2</v>
      </c>
      <c r="AN62" s="83">
        <v>5.2499000000000001E-3</v>
      </c>
      <c r="AO62" s="83">
        <v>0.36293799999999998</v>
      </c>
      <c r="AP62" s="83">
        <v>4.6631499999999999E-2</v>
      </c>
      <c r="AQ62" s="83">
        <v>5.2499000000000001E-3</v>
      </c>
      <c r="AR62" s="83">
        <v>0.35244300000000001</v>
      </c>
      <c r="AS62" s="83">
        <v>4.5761400000000001E-2</v>
      </c>
      <c r="AT62" s="83">
        <v>5.2499000000000001E-3</v>
      </c>
      <c r="AU62" s="83">
        <v>0.34187499999999998</v>
      </c>
      <c r="AV62" s="83">
        <v>4.4896400000000003E-2</v>
      </c>
      <c r="AW62" s="83">
        <v>5.2499000000000001E-3</v>
      </c>
      <c r="AX62" s="83">
        <v>0.33659</v>
      </c>
      <c r="AY62" s="83">
        <v>4.4551599999999997E-2</v>
      </c>
      <c r="AZ62" s="83">
        <v>5.2499000000000001E-3</v>
      </c>
      <c r="BA62" s="83">
        <v>0.35198800000000002</v>
      </c>
      <c r="BB62" s="83">
        <v>4.6533100000000001E-2</v>
      </c>
      <c r="BC62" s="83">
        <v>5.2499000000000001E-3</v>
      </c>
      <c r="BD62" s="83">
        <v>0.33909499999999998</v>
      </c>
      <c r="BE62" s="83">
        <v>4.52247E-2</v>
      </c>
      <c r="BF62" s="83">
        <v>5.2499000000000001E-3</v>
      </c>
      <c r="BG62" s="83">
        <v>0.33310000000000001</v>
      </c>
      <c r="BH62" s="83">
        <v>4.4858000000000002E-2</v>
      </c>
      <c r="BI62" s="83">
        <v>5.2499000000000001E-3</v>
      </c>
      <c r="BJ62" s="83">
        <v>0.33793099999999998</v>
      </c>
      <c r="BK62" s="83">
        <v>4.56359E-2</v>
      </c>
      <c r="BL62" s="83">
        <v>5.2499000000000001E-3</v>
      </c>
      <c r="BM62" s="83">
        <v>0.34023399999999998</v>
      </c>
      <c r="BN62" s="83">
        <v>4.6119300000000002E-2</v>
      </c>
      <c r="BO62" s="83">
        <v>5.2499000000000001E-3</v>
      </c>
      <c r="BP62" s="83">
        <v>0.32988000000000001</v>
      </c>
      <c r="BQ62" s="83">
        <v>4.5204099999999997E-2</v>
      </c>
      <c r="BR62" s="83">
        <v>5.2499000000000001E-3</v>
      </c>
      <c r="BS62" s="83">
        <v>0.33576699999999998</v>
      </c>
      <c r="BT62" s="83">
        <v>4.6126300000000002E-2</v>
      </c>
      <c r="BU62" s="83">
        <v>5.2499000000000001E-3</v>
      </c>
      <c r="BV62" s="83">
        <v>0.339005</v>
      </c>
      <c r="BW62" s="83">
        <v>4.6595499999999998E-2</v>
      </c>
      <c r="BX62" s="83">
        <v>5.2499000000000001E-3</v>
      </c>
      <c r="BY62" s="83">
        <v>0.33199000000000001</v>
      </c>
      <c r="BZ62" s="83">
        <v>4.6012999999999998E-2</v>
      </c>
      <c r="CA62" s="83">
        <v>5.2499000000000001E-3</v>
      </c>
      <c r="CB62" s="83">
        <v>0.31788699999999998</v>
      </c>
      <c r="CC62" s="83">
        <v>4.4643799999999997E-2</v>
      </c>
      <c r="CD62" s="83">
        <v>5.2499000000000001E-3</v>
      </c>
      <c r="CE62" s="83">
        <v>0.314693</v>
      </c>
      <c r="CF62" s="83">
        <v>4.4576999999999999E-2</v>
      </c>
      <c r="CG62" s="83">
        <v>5.2499000000000001E-3</v>
      </c>
      <c r="CH62" s="83">
        <v>0.32102000000000003</v>
      </c>
      <c r="CI62" s="83">
        <v>4.54098E-2</v>
      </c>
      <c r="CJ62" s="83">
        <v>5.2499000000000001E-3</v>
      </c>
      <c r="CK62" s="83">
        <v>0.323768</v>
      </c>
      <c r="CL62" s="83">
        <v>4.6090199999999998E-2</v>
      </c>
      <c r="CM62" s="83">
        <v>5.2499000000000001E-3</v>
      </c>
      <c r="CN62" s="83">
        <v>0.31568299999999999</v>
      </c>
      <c r="CO62" s="83">
        <v>4.5489700000000001E-2</v>
      </c>
      <c r="CP62" s="83">
        <v>5.2499000000000001E-3</v>
      </c>
      <c r="CQ62" s="83">
        <v>0.30679099999999998</v>
      </c>
      <c r="CR62" s="83">
        <v>4.48724E-2</v>
      </c>
      <c r="CS62" s="83">
        <v>5.2499000000000001E-3</v>
      </c>
      <c r="CT62" s="83">
        <v>0.31444699999999998</v>
      </c>
      <c r="CU62" s="83">
        <v>4.6246799999999998E-2</v>
      </c>
      <c r="CV62" s="83">
        <v>5.2499000000000001E-3</v>
      </c>
      <c r="CW62" s="83">
        <v>0.295742</v>
      </c>
      <c r="CX62" s="83">
        <v>4.4619699999999998E-2</v>
      </c>
    </row>
    <row r="63" spans="1:102" x14ac:dyDescent="0.2">
      <c r="A63" s="83">
        <v>5.3499000000000003E-3</v>
      </c>
      <c r="B63" s="83">
        <v>0.31959900000000002</v>
      </c>
      <c r="C63" s="83">
        <v>4.2232400000000003E-2</v>
      </c>
      <c r="D63" s="83">
        <v>5.3499000000000003E-3</v>
      </c>
      <c r="E63" s="83">
        <v>0.330986</v>
      </c>
      <c r="F63" s="83">
        <v>4.3284999999999997E-2</v>
      </c>
      <c r="G63" s="83">
        <v>5.3499000000000003E-3</v>
      </c>
      <c r="H63" s="83">
        <v>0.33182</v>
      </c>
      <c r="I63" s="83">
        <v>4.3071100000000001E-2</v>
      </c>
      <c r="J63" s="83">
        <v>5.3499000000000003E-3</v>
      </c>
      <c r="K63" s="83">
        <v>0.32825300000000002</v>
      </c>
      <c r="L63" s="83">
        <v>4.2405499999999999E-2</v>
      </c>
      <c r="M63" s="83">
        <v>5.3499000000000003E-3</v>
      </c>
      <c r="N63" s="83">
        <v>0.33634500000000001</v>
      </c>
      <c r="O63" s="83">
        <v>4.2887700000000001E-2</v>
      </c>
      <c r="P63" s="83">
        <v>5.3499000000000003E-3</v>
      </c>
      <c r="Q63" s="83">
        <v>0.34714</v>
      </c>
      <c r="R63" s="83">
        <v>4.3695900000000003E-2</v>
      </c>
      <c r="S63" s="83">
        <v>5.3499000000000003E-3</v>
      </c>
      <c r="T63" s="83">
        <v>0.35309200000000002</v>
      </c>
      <c r="U63" s="83">
        <v>4.3897499999999999E-2</v>
      </c>
      <c r="V63" s="83">
        <v>5.3499000000000003E-3</v>
      </c>
      <c r="W63" s="83">
        <v>0.34306599999999998</v>
      </c>
      <c r="X63" s="83">
        <v>4.3012399999999999E-2</v>
      </c>
      <c r="Y63" s="83">
        <v>5.3499000000000003E-3</v>
      </c>
      <c r="Z63" s="83">
        <v>0.34793299999999999</v>
      </c>
      <c r="AA63" s="83">
        <v>4.3663399999999998E-2</v>
      </c>
      <c r="AB63" s="83">
        <v>5.3499000000000003E-3</v>
      </c>
      <c r="AC63" s="83">
        <v>0.33871099999999998</v>
      </c>
      <c r="AD63" s="83">
        <v>4.2946499999999999E-2</v>
      </c>
      <c r="AE63" s="83">
        <v>5.3499000000000003E-3</v>
      </c>
      <c r="AF63" s="83">
        <v>0.34082299999999999</v>
      </c>
      <c r="AG63" s="83">
        <v>4.3473999999999999E-2</v>
      </c>
      <c r="AH63" s="83">
        <v>5.3499000000000003E-3</v>
      </c>
      <c r="AI63" s="83">
        <v>0.33278799999999997</v>
      </c>
      <c r="AJ63" s="83">
        <v>4.2795899999999998E-2</v>
      </c>
      <c r="AK63" s="83">
        <v>5.3499000000000003E-3</v>
      </c>
      <c r="AL63" s="83">
        <v>0.32962399999999997</v>
      </c>
      <c r="AM63" s="83">
        <v>4.26804E-2</v>
      </c>
      <c r="AN63" s="83">
        <v>5.3499000000000003E-3</v>
      </c>
      <c r="AO63" s="83">
        <v>0.34290399999999999</v>
      </c>
      <c r="AP63" s="83">
        <v>4.4378500000000001E-2</v>
      </c>
      <c r="AQ63" s="83">
        <v>5.3499000000000003E-3</v>
      </c>
      <c r="AR63" s="83">
        <v>0.33328200000000002</v>
      </c>
      <c r="AS63" s="83">
        <v>4.35807E-2</v>
      </c>
      <c r="AT63" s="83">
        <v>5.3499000000000003E-3</v>
      </c>
      <c r="AU63" s="83">
        <v>0.32340400000000002</v>
      </c>
      <c r="AV63" s="83">
        <v>4.2752900000000003E-2</v>
      </c>
      <c r="AW63" s="83">
        <v>5.3499000000000003E-3</v>
      </c>
      <c r="AX63" s="83">
        <v>0.31839200000000001</v>
      </c>
      <c r="AY63" s="83">
        <v>4.23983E-2</v>
      </c>
      <c r="AZ63" s="83">
        <v>5.3499000000000003E-3</v>
      </c>
      <c r="BA63" s="83">
        <v>0.332677</v>
      </c>
      <c r="BB63" s="83">
        <v>4.4321100000000002E-2</v>
      </c>
      <c r="BC63" s="83">
        <v>5.3499000000000003E-3</v>
      </c>
      <c r="BD63" s="83">
        <v>0.31987599999999999</v>
      </c>
      <c r="BE63" s="83">
        <v>4.30684E-2</v>
      </c>
      <c r="BF63" s="83">
        <v>5.3499000000000003E-3</v>
      </c>
      <c r="BG63" s="83">
        <v>0.31490200000000002</v>
      </c>
      <c r="BH63" s="83">
        <v>4.2694900000000001E-2</v>
      </c>
      <c r="BI63" s="83">
        <v>5.3499000000000003E-3</v>
      </c>
      <c r="BJ63" s="83">
        <v>0.31899499999999997</v>
      </c>
      <c r="BK63" s="83">
        <v>4.3469000000000001E-2</v>
      </c>
      <c r="BL63" s="83">
        <v>5.3499000000000003E-3</v>
      </c>
      <c r="BM63" s="83">
        <v>0.32081999999999999</v>
      </c>
      <c r="BN63" s="83">
        <v>4.3896699999999997E-2</v>
      </c>
      <c r="BO63" s="83">
        <v>5.3499000000000003E-3</v>
      </c>
      <c r="BP63" s="83">
        <v>0.311164</v>
      </c>
      <c r="BQ63" s="83">
        <v>4.30537E-2</v>
      </c>
      <c r="BR63" s="83">
        <v>5.3499000000000003E-3</v>
      </c>
      <c r="BS63" s="83">
        <v>0.31672400000000001</v>
      </c>
      <c r="BT63" s="83">
        <v>4.3918199999999998E-2</v>
      </c>
      <c r="BU63" s="83">
        <v>5.3499000000000003E-3</v>
      </c>
      <c r="BV63" s="83">
        <v>0.31939099999999998</v>
      </c>
      <c r="BW63" s="83">
        <v>4.43758E-2</v>
      </c>
      <c r="BX63" s="83">
        <v>5.3499000000000003E-3</v>
      </c>
      <c r="BY63" s="83">
        <v>0.312718</v>
      </c>
      <c r="BZ63" s="83">
        <v>4.3806999999999999E-2</v>
      </c>
      <c r="CA63" s="83">
        <v>5.3499000000000003E-3</v>
      </c>
      <c r="CB63" s="83">
        <v>0.29964000000000002</v>
      </c>
      <c r="CC63" s="83">
        <v>4.2503199999999998E-2</v>
      </c>
      <c r="CD63" s="83">
        <v>5.3499000000000003E-3</v>
      </c>
      <c r="CE63" s="83">
        <v>0.29648000000000002</v>
      </c>
      <c r="CF63" s="83">
        <v>4.2480299999999999E-2</v>
      </c>
      <c r="CG63" s="83">
        <v>5.3499000000000003E-3</v>
      </c>
      <c r="CH63" s="83">
        <v>0.30264099999999999</v>
      </c>
      <c r="CI63" s="83">
        <v>4.3242799999999998E-2</v>
      </c>
      <c r="CJ63" s="83">
        <v>5.3499000000000003E-3</v>
      </c>
      <c r="CK63" s="83">
        <v>0.30509599999999998</v>
      </c>
      <c r="CL63" s="83">
        <v>4.3887099999999998E-2</v>
      </c>
      <c r="CM63" s="83">
        <v>5.3499000000000003E-3</v>
      </c>
      <c r="CN63" s="83">
        <v>0.29686000000000001</v>
      </c>
      <c r="CO63" s="83">
        <v>4.3327600000000001E-2</v>
      </c>
      <c r="CP63" s="83">
        <v>5.3499000000000003E-3</v>
      </c>
      <c r="CQ63" s="83">
        <v>0.28832400000000002</v>
      </c>
      <c r="CR63" s="83">
        <v>4.2709299999999999E-2</v>
      </c>
      <c r="CS63" s="83">
        <v>5.3499000000000003E-3</v>
      </c>
      <c r="CT63" s="83">
        <v>0.29584899999999997</v>
      </c>
      <c r="CU63" s="83">
        <v>4.4018300000000003E-2</v>
      </c>
      <c r="CV63" s="83">
        <v>5.3499000000000003E-3</v>
      </c>
      <c r="CW63" s="83">
        <v>0.27784599999999998</v>
      </c>
      <c r="CX63" s="83">
        <v>4.2470300000000002E-2</v>
      </c>
    </row>
    <row r="64" spans="1:102" x14ac:dyDescent="0.2">
      <c r="A64" s="83">
        <v>5.4498999999999997E-3</v>
      </c>
      <c r="B64" s="83">
        <v>0.30291899999999999</v>
      </c>
      <c r="C64" s="83">
        <v>4.02314E-2</v>
      </c>
      <c r="D64" s="83">
        <v>5.4498999999999997E-3</v>
      </c>
      <c r="E64" s="83">
        <v>0.314052</v>
      </c>
      <c r="F64" s="83">
        <v>4.1267400000000003E-2</v>
      </c>
      <c r="G64" s="83">
        <v>5.4498999999999997E-3</v>
      </c>
      <c r="H64" s="83">
        <v>0.31462299999999999</v>
      </c>
      <c r="I64" s="83">
        <v>4.0992000000000001E-2</v>
      </c>
      <c r="J64" s="83">
        <v>5.4498999999999997E-3</v>
      </c>
      <c r="K64" s="83">
        <v>0.31136900000000001</v>
      </c>
      <c r="L64" s="83">
        <v>4.0401600000000003E-2</v>
      </c>
      <c r="M64" s="83">
        <v>5.4498999999999997E-3</v>
      </c>
      <c r="N64" s="83">
        <v>0.31908900000000001</v>
      </c>
      <c r="O64" s="83">
        <v>4.0862299999999997E-2</v>
      </c>
      <c r="P64" s="83">
        <v>5.4498999999999997E-3</v>
      </c>
      <c r="Q64" s="83">
        <v>0.32930300000000001</v>
      </c>
      <c r="R64" s="83">
        <v>4.1660799999999998E-2</v>
      </c>
      <c r="S64" s="83">
        <v>5.4498999999999997E-3</v>
      </c>
      <c r="T64" s="83">
        <v>0.33505000000000001</v>
      </c>
      <c r="U64" s="83">
        <v>4.1782300000000001E-2</v>
      </c>
      <c r="V64" s="83">
        <v>5.4498999999999997E-3</v>
      </c>
      <c r="W64" s="83">
        <v>0.32528800000000002</v>
      </c>
      <c r="X64" s="83">
        <v>4.09606E-2</v>
      </c>
      <c r="Y64" s="83">
        <v>5.4498999999999997E-3</v>
      </c>
      <c r="Z64" s="83">
        <v>0.32960800000000001</v>
      </c>
      <c r="AA64" s="83">
        <v>4.1598900000000001E-2</v>
      </c>
      <c r="AB64" s="83">
        <v>5.4498999999999997E-3</v>
      </c>
      <c r="AC64" s="83">
        <v>0.32088899999999998</v>
      </c>
      <c r="AD64" s="83">
        <v>4.0920199999999997E-2</v>
      </c>
      <c r="AE64" s="83">
        <v>5.4498999999999997E-3</v>
      </c>
      <c r="AF64" s="83">
        <v>0.32279000000000002</v>
      </c>
      <c r="AG64" s="83">
        <v>4.1389000000000002E-2</v>
      </c>
      <c r="AH64" s="83">
        <v>5.4498999999999997E-3</v>
      </c>
      <c r="AI64" s="83">
        <v>0.315469</v>
      </c>
      <c r="AJ64" s="83">
        <v>4.0755899999999998E-2</v>
      </c>
      <c r="AK64" s="83">
        <v>5.4498999999999997E-3</v>
      </c>
      <c r="AL64" s="83">
        <v>0.31195800000000001</v>
      </c>
      <c r="AM64" s="83">
        <v>4.0654999999999997E-2</v>
      </c>
      <c r="AN64" s="83">
        <v>5.4498999999999997E-3</v>
      </c>
      <c r="AO64" s="83">
        <v>0.32451999999999998</v>
      </c>
      <c r="AP64" s="83">
        <v>4.2284799999999997E-2</v>
      </c>
      <c r="AQ64" s="83">
        <v>5.4498999999999997E-3</v>
      </c>
      <c r="AR64" s="83">
        <v>0.31510899999999997</v>
      </c>
      <c r="AS64" s="83">
        <v>4.1522099999999999E-2</v>
      </c>
      <c r="AT64" s="83">
        <v>5.4498999999999997E-3</v>
      </c>
      <c r="AU64" s="83">
        <v>0.30570399999999998</v>
      </c>
      <c r="AV64" s="83">
        <v>4.0742100000000003E-2</v>
      </c>
      <c r="AW64" s="83">
        <v>5.4498999999999997E-3</v>
      </c>
      <c r="AX64" s="83">
        <v>0.30092600000000003</v>
      </c>
      <c r="AY64" s="83">
        <v>4.0394399999999997E-2</v>
      </c>
      <c r="AZ64" s="83">
        <v>5.4498999999999997E-3</v>
      </c>
      <c r="BA64" s="83">
        <v>0.314112</v>
      </c>
      <c r="BB64" s="83">
        <v>4.2199100000000003E-2</v>
      </c>
      <c r="BC64" s="83">
        <v>5.4498999999999997E-3</v>
      </c>
      <c r="BD64" s="83">
        <v>0.30220999999999998</v>
      </c>
      <c r="BE64" s="83">
        <v>4.1013800000000003E-2</v>
      </c>
      <c r="BF64" s="83">
        <v>5.4498999999999997E-3</v>
      </c>
      <c r="BG64" s="83">
        <v>0.29686499999999999</v>
      </c>
      <c r="BH64" s="83">
        <v>4.0685199999999998E-2</v>
      </c>
      <c r="BI64" s="83">
        <v>5.4498999999999997E-3</v>
      </c>
      <c r="BJ64" s="83">
        <v>0.30119800000000002</v>
      </c>
      <c r="BK64" s="83">
        <v>4.1390799999999998E-2</v>
      </c>
      <c r="BL64" s="83">
        <v>5.4498999999999997E-3</v>
      </c>
      <c r="BM64" s="83">
        <v>0.30291000000000001</v>
      </c>
      <c r="BN64" s="83">
        <v>4.1842999999999998E-2</v>
      </c>
      <c r="BO64" s="83">
        <v>5.4498999999999997E-3</v>
      </c>
      <c r="BP64" s="83">
        <v>0.293601</v>
      </c>
      <c r="BQ64" s="83">
        <v>4.1012699999999999E-2</v>
      </c>
      <c r="BR64" s="83">
        <v>5.4498999999999997E-3</v>
      </c>
      <c r="BS64" s="83">
        <v>0.29830099999999998</v>
      </c>
      <c r="BT64" s="83">
        <v>4.1843100000000001E-2</v>
      </c>
      <c r="BU64" s="83">
        <v>5.4498999999999997E-3</v>
      </c>
      <c r="BV64" s="83">
        <v>0.30112499999999998</v>
      </c>
      <c r="BW64" s="83">
        <v>4.2244900000000002E-2</v>
      </c>
      <c r="BX64" s="83">
        <v>5.4498999999999997E-3</v>
      </c>
      <c r="BY64" s="83">
        <v>0.29478799999999999</v>
      </c>
      <c r="BZ64" s="83">
        <v>4.1712199999999998E-2</v>
      </c>
      <c r="CA64" s="83">
        <v>5.4498999999999997E-3</v>
      </c>
      <c r="CB64" s="83">
        <v>0.28210600000000002</v>
      </c>
      <c r="CC64" s="83">
        <v>4.0501200000000001E-2</v>
      </c>
      <c r="CD64" s="83">
        <v>5.4498999999999997E-3</v>
      </c>
      <c r="CE64" s="83">
        <v>0.27876000000000001</v>
      </c>
      <c r="CF64" s="83">
        <v>4.0443199999999999E-2</v>
      </c>
      <c r="CG64" s="83">
        <v>5.4498999999999997E-3</v>
      </c>
      <c r="CH64" s="83">
        <v>0.285273</v>
      </c>
      <c r="CI64" s="83">
        <v>4.1195900000000001E-2</v>
      </c>
      <c r="CJ64" s="83">
        <v>5.4498999999999997E-3</v>
      </c>
      <c r="CK64" s="83">
        <v>0.286742</v>
      </c>
      <c r="CL64" s="83">
        <v>4.1809899999999997E-2</v>
      </c>
      <c r="CM64" s="83">
        <v>5.4498999999999997E-3</v>
      </c>
      <c r="CN64" s="83">
        <v>0.27916400000000002</v>
      </c>
      <c r="CO64" s="83">
        <v>4.1243599999999998E-2</v>
      </c>
      <c r="CP64" s="83">
        <v>5.4498999999999997E-3</v>
      </c>
      <c r="CQ64" s="83">
        <v>0.27071200000000001</v>
      </c>
      <c r="CR64" s="83">
        <v>4.06556E-2</v>
      </c>
      <c r="CS64" s="83">
        <v>5.4498999999999997E-3</v>
      </c>
      <c r="CT64" s="83">
        <v>0.27805600000000003</v>
      </c>
      <c r="CU64" s="83">
        <v>4.1922599999999997E-2</v>
      </c>
      <c r="CV64" s="83">
        <v>5.4498999999999997E-3</v>
      </c>
      <c r="CW64" s="83">
        <v>0.26130799999999998</v>
      </c>
      <c r="CX64" s="83">
        <v>4.0481099999999999E-2</v>
      </c>
    </row>
    <row r="65" spans="1:102" x14ac:dyDescent="0.2">
      <c r="A65" s="83">
        <v>5.5499E-3</v>
      </c>
      <c r="B65" s="83">
        <v>0.28705999999999998</v>
      </c>
      <c r="C65" s="83">
        <v>3.8321300000000003E-2</v>
      </c>
      <c r="D65" s="83">
        <v>5.5499E-3</v>
      </c>
      <c r="E65" s="83">
        <v>0.297651</v>
      </c>
      <c r="F65" s="83">
        <v>3.9288900000000002E-2</v>
      </c>
      <c r="G65" s="83">
        <v>5.5499E-3</v>
      </c>
      <c r="H65" s="83">
        <v>0.29814800000000002</v>
      </c>
      <c r="I65" s="83">
        <v>3.9035899999999998E-2</v>
      </c>
      <c r="J65" s="83">
        <v>5.5499E-3</v>
      </c>
      <c r="K65" s="83">
        <v>0.295099</v>
      </c>
      <c r="L65" s="83">
        <v>3.8459199999999999E-2</v>
      </c>
      <c r="M65" s="83">
        <v>5.5499E-3</v>
      </c>
      <c r="N65" s="83">
        <v>0.30244799999999999</v>
      </c>
      <c r="O65" s="83">
        <v>3.8911099999999997E-2</v>
      </c>
      <c r="P65" s="83">
        <v>5.5499E-3</v>
      </c>
      <c r="Q65" s="83">
        <v>0.31200299999999997</v>
      </c>
      <c r="R65" s="83">
        <v>3.9648099999999999E-2</v>
      </c>
      <c r="S65" s="83">
        <v>5.5499E-3</v>
      </c>
      <c r="T65" s="83">
        <v>0.31731999999999999</v>
      </c>
      <c r="U65" s="83">
        <v>3.9836999999999997E-2</v>
      </c>
      <c r="V65" s="83">
        <v>5.5499E-3</v>
      </c>
      <c r="W65" s="83">
        <v>0.30782199999999998</v>
      </c>
      <c r="X65" s="83">
        <v>3.9030000000000002E-2</v>
      </c>
      <c r="Y65" s="83">
        <v>5.5499E-3</v>
      </c>
      <c r="Z65" s="83">
        <v>0.31230799999999997</v>
      </c>
      <c r="AA65" s="83">
        <v>3.9636999999999999E-2</v>
      </c>
      <c r="AB65" s="83">
        <v>5.5499E-3</v>
      </c>
      <c r="AC65" s="83">
        <v>0.30341400000000002</v>
      </c>
      <c r="AD65" s="83">
        <v>3.8967000000000002E-2</v>
      </c>
      <c r="AE65" s="83">
        <v>5.5499E-3</v>
      </c>
      <c r="AF65" s="83">
        <v>0.30563699999999999</v>
      </c>
      <c r="AG65" s="83">
        <v>3.9459300000000003E-2</v>
      </c>
      <c r="AH65" s="83">
        <v>5.5499E-3</v>
      </c>
      <c r="AI65" s="83">
        <v>0.29824200000000001</v>
      </c>
      <c r="AJ65" s="83">
        <v>3.8818400000000003E-2</v>
      </c>
      <c r="AK65" s="83">
        <v>5.5499E-3</v>
      </c>
      <c r="AL65" s="83">
        <v>0.29504900000000001</v>
      </c>
      <c r="AM65" s="83">
        <v>3.8747799999999999E-2</v>
      </c>
      <c r="AN65" s="83">
        <v>5.5499E-3</v>
      </c>
      <c r="AO65" s="83">
        <v>0.307172</v>
      </c>
      <c r="AP65" s="83">
        <v>4.0272099999999998E-2</v>
      </c>
      <c r="AQ65" s="83">
        <v>5.5499E-3</v>
      </c>
      <c r="AR65" s="83">
        <v>0.297931</v>
      </c>
      <c r="AS65" s="83">
        <v>3.9560199999999997E-2</v>
      </c>
      <c r="AT65" s="83">
        <v>5.5499E-3</v>
      </c>
      <c r="AU65" s="83">
        <v>0.28842299999999998</v>
      </c>
      <c r="AV65" s="83">
        <v>3.8816299999999998E-2</v>
      </c>
      <c r="AW65" s="83">
        <v>5.5499E-3</v>
      </c>
      <c r="AX65" s="83">
        <v>0.283997</v>
      </c>
      <c r="AY65" s="83">
        <v>3.8485199999999997E-2</v>
      </c>
      <c r="AZ65" s="83">
        <v>5.5499E-3</v>
      </c>
      <c r="BA65" s="83">
        <v>0.29697800000000002</v>
      </c>
      <c r="BB65" s="83">
        <v>4.0209799999999997E-2</v>
      </c>
      <c r="BC65" s="83">
        <v>5.5499E-3</v>
      </c>
      <c r="BD65" s="83">
        <v>0.28533500000000001</v>
      </c>
      <c r="BE65" s="83">
        <v>3.9096800000000001E-2</v>
      </c>
      <c r="BF65" s="83">
        <v>5.5499E-3</v>
      </c>
      <c r="BG65" s="83">
        <v>0.28004299999999999</v>
      </c>
      <c r="BH65" s="83">
        <v>3.8757399999999997E-2</v>
      </c>
      <c r="BI65" s="83">
        <v>5.5499E-3</v>
      </c>
      <c r="BJ65" s="83">
        <v>0.28366799999999998</v>
      </c>
      <c r="BK65" s="83">
        <v>3.9451399999999998E-2</v>
      </c>
      <c r="BL65" s="83">
        <v>5.5499E-3</v>
      </c>
      <c r="BM65" s="83">
        <v>0.285522</v>
      </c>
      <c r="BN65" s="83">
        <v>3.984E-2</v>
      </c>
      <c r="BO65" s="83">
        <v>5.5499E-3</v>
      </c>
      <c r="BP65" s="83">
        <v>0.276731</v>
      </c>
      <c r="BQ65" s="83">
        <v>3.9091800000000003E-2</v>
      </c>
      <c r="BR65" s="83">
        <v>5.5499E-3</v>
      </c>
      <c r="BS65" s="83">
        <v>0.28158699999999998</v>
      </c>
      <c r="BT65" s="83">
        <v>3.9864499999999997E-2</v>
      </c>
      <c r="BU65" s="83">
        <v>5.5499E-3</v>
      </c>
      <c r="BV65" s="83">
        <v>0.28358100000000003</v>
      </c>
      <c r="BW65" s="83">
        <v>4.02596E-2</v>
      </c>
      <c r="BX65" s="83">
        <v>5.5499E-3</v>
      </c>
      <c r="BY65" s="83">
        <v>0.27758100000000002</v>
      </c>
      <c r="BZ65" s="83">
        <v>3.97454E-2</v>
      </c>
      <c r="CA65" s="83">
        <v>5.5499E-3</v>
      </c>
      <c r="CB65" s="83">
        <v>0.26544099999999998</v>
      </c>
      <c r="CC65" s="83">
        <v>3.8572500000000003E-2</v>
      </c>
      <c r="CD65" s="83">
        <v>5.5499E-3</v>
      </c>
      <c r="CE65" s="83">
        <v>0.26278899999999999</v>
      </c>
      <c r="CF65" s="83">
        <v>3.8541800000000001E-2</v>
      </c>
      <c r="CG65" s="83">
        <v>5.5499E-3</v>
      </c>
      <c r="CH65" s="83">
        <v>0.26836399999999999</v>
      </c>
      <c r="CI65" s="83">
        <v>3.9253499999999997E-2</v>
      </c>
      <c r="CJ65" s="83">
        <v>5.5499E-3</v>
      </c>
      <c r="CK65" s="83">
        <v>0.27013500000000001</v>
      </c>
      <c r="CL65" s="83">
        <v>3.9806000000000001E-2</v>
      </c>
      <c r="CM65" s="83">
        <v>5.5499E-3</v>
      </c>
      <c r="CN65" s="83">
        <v>0.26281199999999999</v>
      </c>
      <c r="CO65" s="83">
        <v>3.9298300000000001E-2</v>
      </c>
      <c r="CP65" s="83">
        <v>5.5499E-3</v>
      </c>
      <c r="CQ65" s="83">
        <v>0.25491599999999998</v>
      </c>
      <c r="CR65" s="83">
        <v>3.8752300000000003E-2</v>
      </c>
      <c r="CS65" s="83">
        <v>5.5499E-3</v>
      </c>
      <c r="CT65" s="83">
        <v>0.26149299999999998</v>
      </c>
      <c r="CU65" s="83">
        <v>3.9926499999999997E-2</v>
      </c>
      <c r="CV65" s="83">
        <v>5.5499E-3</v>
      </c>
      <c r="CW65" s="83">
        <v>0.24554200000000001</v>
      </c>
      <c r="CX65" s="83">
        <v>3.8571899999999999E-2</v>
      </c>
    </row>
    <row r="66" spans="1:102" x14ac:dyDescent="0.2">
      <c r="A66" s="83">
        <v>5.6499000000000002E-3</v>
      </c>
      <c r="B66" s="83">
        <v>0.27242100000000002</v>
      </c>
      <c r="C66" s="83">
        <v>3.6506799999999999E-2</v>
      </c>
      <c r="D66" s="83">
        <v>5.6499000000000002E-3</v>
      </c>
      <c r="E66" s="83">
        <v>0.281694</v>
      </c>
      <c r="F66" s="83">
        <v>3.7453E-2</v>
      </c>
      <c r="G66" s="83">
        <v>5.6499000000000002E-3</v>
      </c>
      <c r="H66" s="83">
        <v>0.28204000000000001</v>
      </c>
      <c r="I66" s="83">
        <v>3.7202899999999997E-2</v>
      </c>
      <c r="J66" s="83">
        <v>5.6499000000000002E-3</v>
      </c>
      <c r="K66" s="83">
        <v>0.27932800000000002</v>
      </c>
      <c r="L66" s="83">
        <v>3.6646699999999997E-2</v>
      </c>
      <c r="M66" s="83">
        <v>5.6499000000000002E-3</v>
      </c>
      <c r="N66" s="83">
        <v>0.28626699999999999</v>
      </c>
      <c r="O66" s="83">
        <v>3.7069299999999999E-2</v>
      </c>
      <c r="P66" s="83">
        <v>5.6499000000000002E-3</v>
      </c>
      <c r="Q66" s="83">
        <v>0.29577300000000001</v>
      </c>
      <c r="R66" s="83">
        <v>3.7795500000000003E-2</v>
      </c>
      <c r="S66" s="83">
        <v>5.6499000000000002E-3</v>
      </c>
      <c r="T66" s="83">
        <v>0.30100700000000002</v>
      </c>
      <c r="U66" s="83">
        <v>3.7927799999999998E-2</v>
      </c>
      <c r="V66" s="83">
        <v>5.6499000000000002E-3</v>
      </c>
      <c r="W66" s="83">
        <v>0.29146899999999998</v>
      </c>
      <c r="X66" s="83">
        <v>3.7193999999999998E-2</v>
      </c>
      <c r="Y66" s="83">
        <v>5.6499000000000002E-3</v>
      </c>
      <c r="Z66" s="83">
        <v>0.29563299999999998</v>
      </c>
      <c r="AA66" s="83">
        <v>3.7761999999999997E-2</v>
      </c>
      <c r="AB66" s="83">
        <v>5.6499000000000002E-3</v>
      </c>
      <c r="AC66" s="83">
        <v>0.28723700000000002</v>
      </c>
      <c r="AD66" s="83">
        <v>3.7149599999999998E-2</v>
      </c>
      <c r="AE66" s="83">
        <v>5.6499000000000002E-3</v>
      </c>
      <c r="AF66" s="83">
        <v>0.288406</v>
      </c>
      <c r="AG66" s="83">
        <v>3.7590199999999997E-2</v>
      </c>
      <c r="AH66" s="83">
        <v>5.6499000000000002E-3</v>
      </c>
      <c r="AI66" s="83">
        <v>0.28225099999999997</v>
      </c>
      <c r="AJ66" s="83">
        <v>3.70283E-2</v>
      </c>
      <c r="AK66" s="83">
        <v>5.6499000000000002E-3</v>
      </c>
      <c r="AL66" s="83">
        <v>0.27881899999999998</v>
      </c>
      <c r="AM66" s="83">
        <v>3.6914799999999998E-2</v>
      </c>
      <c r="AN66" s="83">
        <v>5.6499000000000002E-3</v>
      </c>
      <c r="AO66" s="83">
        <v>0.29005199999999998</v>
      </c>
      <c r="AP66" s="83">
        <v>3.8384399999999999E-2</v>
      </c>
      <c r="AQ66" s="83">
        <v>5.6499000000000002E-3</v>
      </c>
      <c r="AR66" s="83">
        <v>0.28115800000000002</v>
      </c>
      <c r="AS66" s="83">
        <v>3.7673499999999999E-2</v>
      </c>
      <c r="AT66" s="83">
        <v>5.6499000000000002E-3</v>
      </c>
      <c r="AU66" s="83">
        <v>0.272559</v>
      </c>
      <c r="AV66" s="83">
        <v>3.6993100000000001E-2</v>
      </c>
      <c r="AW66" s="83">
        <v>5.6499000000000002E-3</v>
      </c>
      <c r="AX66" s="83">
        <v>0.268235</v>
      </c>
      <c r="AY66" s="83">
        <v>3.6678599999999999E-2</v>
      </c>
      <c r="AZ66" s="83">
        <v>5.6499000000000002E-3</v>
      </c>
      <c r="BA66" s="83">
        <v>0.28009800000000001</v>
      </c>
      <c r="BB66" s="83">
        <v>3.8305499999999999E-2</v>
      </c>
      <c r="BC66" s="83">
        <v>5.6499000000000002E-3</v>
      </c>
      <c r="BD66" s="83">
        <v>0.26954400000000001</v>
      </c>
      <c r="BE66" s="83">
        <v>3.7255000000000003E-2</v>
      </c>
      <c r="BF66" s="83">
        <v>5.6499000000000002E-3</v>
      </c>
      <c r="BG66" s="83">
        <v>0.26432499999999998</v>
      </c>
      <c r="BH66" s="83">
        <v>3.6916600000000001E-2</v>
      </c>
      <c r="BI66" s="83">
        <v>5.6499000000000002E-3</v>
      </c>
      <c r="BJ66" s="83">
        <v>0.26759899999999998</v>
      </c>
      <c r="BK66" s="83">
        <v>3.7584199999999998E-2</v>
      </c>
      <c r="BL66" s="83">
        <v>5.6499000000000002E-3</v>
      </c>
      <c r="BM66" s="83">
        <v>0.26937499999999998</v>
      </c>
      <c r="BN66" s="83">
        <v>3.7981599999999997E-2</v>
      </c>
      <c r="BO66" s="83">
        <v>5.6499000000000002E-3</v>
      </c>
      <c r="BP66" s="83">
        <v>0.26109100000000002</v>
      </c>
      <c r="BQ66" s="83">
        <v>3.7257800000000001E-2</v>
      </c>
      <c r="BR66" s="83">
        <v>5.6499000000000002E-3</v>
      </c>
      <c r="BS66" s="83">
        <v>0.265322</v>
      </c>
      <c r="BT66" s="83">
        <v>3.7967099999999997E-2</v>
      </c>
      <c r="BU66" s="83">
        <v>5.6499000000000002E-3</v>
      </c>
      <c r="BV66" s="83">
        <v>0.26746300000000001</v>
      </c>
      <c r="BW66" s="83">
        <v>3.83533E-2</v>
      </c>
      <c r="BX66" s="83">
        <v>5.6499000000000002E-3</v>
      </c>
      <c r="BY66" s="83">
        <v>0.26145299999999999</v>
      </c>
      <c r="BZ66" s="83">
        <v>3.7868499999999999E-2</v>
      </c>
      <c r="CA66" s="83">
        <v>5.6499000000000002E-3</v>
      </c>
      <c r="CB66" s="83">
        <v>0.25016699999999997</v>
      </c>
      <c r="CC66" s="83">
        <v>3.6751199999999998E-2</v>
      </c>
      <c r="CD66" s="83">
        <v>5.6499000000000002E-3</v>
      </c>
      <c r="CE66" s="83">
        <v>0.24757399999999999</v>
      </c>
      <c r="CF66" s="83">
        <v>3.6725399999999998E-2</v>
      </c>
      <c r="CG66" s="83">
        <v>5.6499000000000002E-3</v>
      </c>
      <c r="CH66" s="83">
        <v>0.25226999999999999</v>
      </c>
      <c r="CI66" s="83">
        <v>3.7365799999999998E-2</v>
      </c>
      <c r="CJ66" s="83">
        <v>5.6499000000000002E-3</v>
      </c>
      <c r="CK66" s="83">
        <v>0.25423200000000001</v>
      </c>
      <c r="CL66" s="83">
        <v>3.79496E-2</v>
      </c>
      <c r="CM66" s="83">
        <v>5.6499000000000002E-3</v>
      </c>
      <c r="CN66" s="83">
        <v>0.24668899999999999</v>
      </c>
      <c r="CO66" s="83">
        <v>3.7418399999999997E-2</v>
      </c>
      <c r="CP66" s="83">
        <v>5.6499000000000002E-3</v>
      </c>
      <c r="CQ66" s="83">
        <v>0.239399</v>
      </c>
      <c r="CR66" s="83">
        <v>3.6889999999999999E-2</v>
      </c>
      <c r="CS66" s="83">
        <v>5.6499000000000002E-3</v>
      </c>
      <c r="CT66" s="83">
        <v>0.24578</v>
      </c>
      <c r="CU66" s="83">
        <v>3.8050500000000001E-2</v>
      </c>
      <c r="CV66" s="83">
        <v>5.6499000000000002E-3</v>
      </c>
      <c r="CW66" s="83">
        <v>0.230825</v>
      </c>
      <c r="CX66" s="83">
        <v>3.67467E-2</v>
      </c>
    </row>
    <row r="67" spans="1:102" x14ac:dyDescent="0.2">
      <c r="A67" s="83">
        <v>5.7498999999999996E-3</v>
      </c>
      <c r="B67" s="83">
        <v>0.25806600000000002</v>
      </c>
      <c r="C67" s="83">
        <v>3.4767600000000003E-2</v>
      </c>
      <c r="D67" s="83">
        <v>5.7498999999999996E-3</v>
      </c>
      <c r="E67" s="83">
        <v>0.26726</v>
      </c>
      <c r="F67" s="83">
        <v>3.5674600000000001E-2</v>
      </c>
      <c r="G67" s="83">
        <v>5.7498999999999996E-3</v>
      </c>
      <c r="H67" s="83">
        <v>0.26761099999999999</v>
      </c>
      <c r="I67" s="83">
        <v>3.54236E-2</v>
      </c>
      <c r="J67" s="83">
        <v>5.7498999999999996E-3</v>
      </c>
      <c r="K67" s="83">
        <v>0.26469900000000002</v>
      </c>
      <c r="L67" s="83">
        <v>3.49007E-2</v>
      </c>
      <c r="M67" s="83">
        <v>5.7498999999999996E-3</v>
      </c>
      <c r="N67" s="83">
        <v>0.27099299999999998</v>
      </c>
      <c r="O67" s="83">
        <v>3.5320299999999999E-2</v>
      </c>
      <c r="P67" s="83">
        <v>5.7498999999999996E-3</v>
      </c>
      <c r="Q67" s="83">
        <v>0.279723</v>
      </c>
      <c r="R67" s="83">
        <v>3.5993799999999999E-2</v>
      </c>
      <c r="S67" s="83">
        <v>5.7498999999999996E-3</v>
      </c>
      <c r="T67" s="83">
        <v>0.28474699999999997</v>
      </c>
      <c r="U67" s="83">
        <v>3.6164099999999998E-2</v>
      </c>
      <c r="V67" s="83">
        <v>5.7498999999999996E-3</v>
      </c>
      <c r="W67" s="83">
        <v>0.275976</v>
      </c>
      <c r="X67" s="83">
        <v>3.5433300000000001E-2</v>
      </c>
      <c r="Y67" s="83">
        <v>5.7498999999999996E-3</v>
      </c>
      <c r="Z67" s="83">
        <v>0.27973500000000001</v>
      </c>
      <c r="AA67" s="83">
        <v>3.5990500000000002E-2</v>
      </c>
      <c r="AB67" s="83">
        <v>5.7498999999999996E-3</v>
      </c>
      <c r="AC67" s="83">
        <v>0.27176299999999998</v>
      </c>
      <c r="AD67" s="83">
        <v>3.5411400000000003E-2</v>
      </c>
      <c r="AE67" s="83">
        <v>5.7498999999999996E-3</v>
      </c>
      <c r="AF67" s="83">
        <v>0.27318100000000001</v>
      </c>
      <c r="AG67" s="83">
        <v>3.5815800000000002E-2</v>
      </c>
      <c r="AH67" s="83">
        <v>5.7498999999999996E-3</v>
      </c>
      <c r="AI67" s="83">
        <v>0.26648500000000003</v>
      </c>
      <c r="AJ67" s="83">
        <v>3.5259800000000001E-2</v>
      </c>
      <c r="AK67" s="83">
        <v>5.7498999999999996E-3</v>
      </c>
      <c r="AL67" s="83">
        <v>0.26359399999999999</v>
      </c>
      <c r="AM67" s="83">
        <v>3.5190199999999998E-2</v>
      </c>
      <c r="AN67" s="83">
        <v>5.7498999999999996E-3</v>
      </c>
      <c r="AO67" s="83">
        <v>0.27418300000000001</v>
      </c>
      <c r="AP67" s="83">
        <v>3.6571899999999997E-2</v>
      </c>
      <c r="AQ67" s="83">
        <v>5.7498999999999996E-3</v>
      </c>
      <c r="AR67" s="83">
        <v>0.26550400000000002</v>
      </c>
      <c r="AS67" s="83">
        <v>3.5907799999999997E-2</v>
      </c>
      <c r="AT67" s="83">
        <v>5.7498999999999996E-3</v>
      </c>
      <c r="AU67" s="83">
        <v>0.25715399999999999</v>
      </c>
      <c r="AV67" s="83">
        <v>3.5273400000000003E-2</v>
      </c>
      <c r="AW67" s="83">
        <v>5.7498999999999996E-3</v>
      </c>
      <c r="AX67" s="83">
        <v>0.253025</v>
      </c>
      <c r="AY67" s="83">
        <v>3.49579E-2</v>
      </c>
      <c r="AZ67" s="83">
        <v>5.7498999999999996E-3</v>
      </c>
      <c r="BA67" s="83">
        <v>0.26475199999999999</v>
      </c>
      <c r="BB67" s="83">
        <v>3.6510599999999997E-2</v>
      </c>
      <c r="BC67" s="83">
        <v>5.7498999999999996E-3</v>
      </c>
      <c r="BD67" s="83">
        <v>0.25415900000000002</v>
      </c>
      <c r="BE67" s="83">
        <v>3.5499099999999999E-2</v>
      </c>
      <c r="BF67" s="83">
        <v>5.7498999999999996E-3</v>
      </c>
      <c r="BG67" s="83">
        <v>0.249477</v>
      </c>
      <c r="BH67" s="83">
        <v>3.5201799999999998E-2</v>
      </c>
      <c r="BI67" s="83">
        <v>5.7498999999999996E-3</v>
      </c>
      <c r="BJ67" s="83">
        <v>0.25257000000000002</v>
      </c>
      <c r="BK67" s="83">
        <v>3.5769700000000001E-2</v>
      </c>
      <c r="BL67" s="83">
        <v>5.7498999999999996E-3</v>
      </c>
      <c r="BM67" s="83">
        <v>0.25383299999999998</v>
      </c>
      <c r="BN67" s="83">
        <v>3.6166200000000003E-2</v>
      </c>
      <c r="BO67" s="83">
        <v>5.7498999999999996E-3</v>
      </c>
      <c r="BP67" s="83">
        <v>0.24623300000000001</v>
      </c>
      <c r="BQ67" s="83">
        <v>3.5503E-2</v>
      </c>
      <c r="BR67" s="83">
        <v>5.7498999999999996E-3</v>
      </c>
      <c r="BS67" s="83">
        <v>0.250415</v>
      </c>
      <c r="BT67" s="83">
        <v>3.6185799999999997E-2</v>
      </c>
      <c r="BU67" s="83">
        <v>5.7498999999999996E-3</v>
      </c>
      <c r="BV67" s="83">
        <v>0.25187199999999998</v>
      </c>
      <c r="BW67" s="83">
        <v>3.6544699999999999E-2</v>
      </c>
      <c r="BX67" s="83">
        <v>5.7498999999999996E-3</v>
      </c>
      <c r="BY67" s="83">
        <v>0.24629699999999999</v>
      </c>
      <c r="BZ67" s="83">
        <v>3.6080399999999999E-2</v>
      </c>
      <c r="CA67" s="83">
        <v>5.7498999999999996E-3</v>
      </c>
      <c r="CB67" s="83">
        <v>0.23522599999999999</v>
      </c>
      <c r="CC67" s="83">
        <v>3.5016800000000001E-2</v>
      </c>
      <c r="CD67" s="83">
        <v>5.7498999999999996E-3</v>
      </c>
      <c r="CE67" s="83">
        <v>0.233047</v>
      </c>
      <c r="CF67" s="83">
        <v>3.4994999999999998E-2</v>
      </c>
      <c r="CG67" s="83">
        <v>5.7498999999999996E-3</v>
      </c>
      <c r="CH67" s="83">
        <v>0.23777300000000001</v>
      </c>
      <c r="CI67" s="83">
        <v>3.5617799999999998E-2</v>
      </c>
      <c r="CJ67" s="83">
        <v>5.7498999999999996E-3</v>
      </c>
      <c r="CK67" s="83">
        <v>0.23907100000000001</v>
      </c>
      <c r="CL67" s="83">
        <v>3.6156599999999997E-2</v>
      </c>
      <c r="CM67" s="83">
        <v>5.7498999999999996E-3</v>
      </c>
      <c r="CN67" s="83">
        <v>0.23207</v>
      </c>
      <c r="CO67" s="83">
        <v>3.5675199999999997E-2</v>
      </c>
      <c r="CP67" s="83">
        <v>5.7498999999999996E-3</v>
      </c>
      <c r="CQ67" s="83">
        <v>0.225385</v>
      </c>
      <c r="CR67" s="83">
        <v>3.5163399999999997E-2</v>
      </c>
      <c r="CS67" s="83">
        <v>5.7498999999999996E-3</v>
      </c>
      <c r="CT67" s="83">
        <v>0.23142499999999999</v>
      </c>
      <c r="CU67" s="83">
        <v>3.6231100000000002E-2</v>
      </c>
      <c r="CV67" s="83">
        <v>5.7498999999999996E-3</v>
      </c>
      <c r="CW67" s="83">
        <v>0.217055</v>
      </c>
      <c r="CX67" s="83">
        <v>3.50064E-2</v>
      </c>
    </row>
    <row r="68" spans="1:102" x14ac:dyDescent="0.2">
      <c r="A68" s="83">
        <v>5.8498999999999999E-3</v>
      </c>
      <c r="B68" s="83">
        <v>0.244506</v>
      </c>
      <c r="C68" s="83">
        <v>3.3069300000000003E-2</v>
      </c>
      <c r="D68" s="83">
        <v>5.8498999999999999E-3</v>
      </c>
      <c r="E68" s="83">
        <v>0.253334</v>
      </c>
      <c r="F68" s="83">
        <v>3.3954900000000003E-2</v>
      </c>
      <c r="G68" s="83">
        <v>5.8498999999999999E-3</v>
      </c>
      <c r="H68" s="83">
        <v>0.25306000000000001</v>
      </c>
      <c r="I68" s="83">
        <v>3.37019E-2</v>
      </c>
      <c r="J68" s="83">
        <v>5.8498999999999999E-3</v>
      </c>
      <c r="K68" s="83">
        <v>0.25065599999999999</v>
      </c>
      <c r="L68" s="83">
        <v>3.3218999999999999E-2</v>
      </c>
      <c r="M68" s="83">
        <v>5.8498999999999999E-3</v>
      </c>
      <c r="N68" s="83">
        <v>0.25647700000000001</v>
      </c>
      <c r="O68" s="83">
        <v>3.3616199999999999E-2</v>
      </c>
      <c r="P68" s="83">
        <v>5.8498999999999999E-3</v>
      </c>
      <c r="Q68" s="83">
        <v>0.26478099999999999</v>
      </c>
      <c r="R68" s="83">
        <v>3.42779E-2</v>
      </c>
      <c r="S68" s="83">
        <v>5.8498999999999999E-3</v>
      </c>
      <c r="T68" s="83">
        <v>0.26972200000000002</v>
      </c>
      <c r="U68" s="83">
        <v>3.4445299999999998E-2</v>
      </c>
      <c r="V68" s="83">
        <v>5.8498999999999999E-3</v>
      </c>
      <c r="W68" s="83">
        <v>0.26129799999999997</v>
      </c>
      <c r="X68" s="83">
        <v>3.3754600000000003E-2</v>
      </c>
      <c r="Y68" s="83">
        <v>5.8498999999999999E-3</v>
      </c>
      <c r="Z68" s="83">
        <v>0.265067</v>
      </c>
      <c r="AA68" s="83">
        <v>3.4285499999999997E-2</v>
      </c>
      <c r="AB68" s="83">
        <v>5.8498999999999999E-3</v>
      </c>
      <c r="AC68" s="83">
        <v>0.25708500000000001</v>
      </c>
      <c r="AD68" s="83">
        <v>3.372E-2</v>
      </c>
      <c r="AE68" s="83">
        <v>5.8498999999999999E-3</v>
      </c>
      <c r="AF68" s="83">
        <v>0.25841500000000001</v>
      </c>
      <c r="AG68" s="83">
        <v>3.4116599999999997E-2</v>
      </c>
      <c r="AH68" s="83">
        <v>5.8498999999999999E-3</v>
      </c>
      <c r="AI68" s="83">
        <v>0.25221199999999999</v>
      </c>
      <c r="AJ68" s="83">
        <v>3.3564400000000001E-2</v>
      </c>
      <c r="AK68" s="83">
        <v>5.8498999999999999E-3</v>
      </c>
      <c r="AL68" s="83">
        <v>0.24942400000000001</v>
      </c>
      <c r="AM68" s="83">
        <v>3.3489999999999999E-2</v>
      </c>
      <c r="AN68" s="83">
        <v>5.8498999999999999E-3</v>
      </c>
      <c r="AO68" s="83">
        <v>0.25861200000000001</v>
      </c>
      <c r="AP68" s="83">
        <v>3.4819900000000001E-2</v>
      </c>
      <c r="AQ68" s="83">
        <v>5.8498999999999999E-3</v>
      </c>
      <c r="AR68" s="83">
        <v>0.25089499999999998</v>
      </c>
      <c r="AS68" s="83">
        <v>3.4197900000000003E-2</v>
      </c>
      <c r="AT68" s="83">
        <v>5.8498999999999999E-3</v>
      </c>
      <c r="AU68" s="83">
        <v>0.24301300000000001</v>
      </c>
      <c r="AV68" s="83">
        <v>3.35781E-2</v>
      </c>
      <c r="AW68" s="83">
        <v>5.8498999999999999E-3</v>
      </c>
      <c r="AX68" s="83">
        <v>0.239261</v>
      </c>
      <c r="AY68" s="83">
        <v>3.3244000000000003E-2</v>
      </c>
      <c r="AZ68" s="83">
        <v>5.8498999999999999E-3</v>
      </c>
      <c r="BA68" s="83">
        <v>0.24970300000000001</v>
      </c>
      <c r="BB68" s="83">
        <v>3.4795800000000002E-2</v>
      </c>
      <c r="BC68" s="83">
        <v>5.8498999999999999E-3</v>
      </c>
      <c r="BD68" s="83">
        <v>0.239901</v>
      </c>
      <c r="BE68" s="83">
        <v>3.3811599999999997E-2</v>
      </c>
      <c r="BF68" s="83">
        <v>5.8498999999999999E-3</v>
      </c>
      <c r="BG68" s="83">
        <v>0.235429</v>
      </c>
      <c r="BH68" s="83">
        <v>3.3491800000000002E-2</v>
      </c>
      <c r="BI68" s="83">
        <v>5.8498999999999999E-3</v>
      </c>
      <c r="BJ68" s="83">
        <v>0.23824300000000001</v>
      </c>
      <c r="BK68" s="83">
        <v>3.4070499999999997E-2</v>
      </c>
      <c r="BL68" s="83">
        <v>5.8498999999999999E-3</v>
      </c>
      <c r="BM68" s="83">
        <v>0.23938400000000001</v>
      </c>
      <c r="BN68" s="83">
        <v>3.4440600000000002E-2</v>
      </c>
      <c r="BO68" s="83">
        <v>5.8498999999999999E-3</v>
      </c>
      <c r="BP68" s="83">
        <v>0.23227300000000001</v>
      </c>
      <c r="BQ68" s="83">
        <v>3.3819399999999999E-2</v>
      </c>
      <c r="BR68" s="83">
        <v>5.8498999999999999E-3</v>
      </c>
      <c r="BS68" s="83">
        <v>0.23600099999999999</v>
      </c>
      <c r="BT68" s="83">
        <v>3.4478799999999997E-2</v>
      </c>
      <c r="BU68" s="83">
        <v>5.8498999999999999E-3</v>
      </c>
      <c r="BV68" s="83">
        <v>0.23727200000000001</v>
      </c>
      <c r="BW68" s="83">
        <v>3.4780100000000001E-2</v>
      </c>
      <c r="BX68" s="83">
        <v>5.8498999999999999E-3</v>
      </c>
      <c r="BY68" s="83">
        <v>0.23202500000000001</v>
      </c>
      <c r="BZ68" s="83">
        <v>3.4366500000000001E-2</v>
      </c>
      <c r="CA68" s="83">
        <v>5.8498999999999999E-3</v>
      </c>
      <c r="CB68" s="83">
        <v>0.221749</v>
      </c>
      <c r="CC68" s="83">
        <v>3.3337100000000001E-2</v>
      </c>
      <c r="CD68" s="83">
        <v>5.8498999999999999E-3</v>
      </c>
      <c r="CE68" s="83">
        <v>0.21934100000000001</v>
      </c>
      <c r="CF68" s="83">
        <v>3.33163E-2</v>
      </c>
      <c r="CG68" s="83">
        <v>5.8498999999999999E-3</v>
      </c>
      <c r="CH68" s="83">
        <v>0.22358800000000001</v>
      </c>
      <c r="CI68" s="83">
        <v>3.3936099999999997E-2</v>
      </c>
      <c r="CJ68" s="83">
        <v>5.8498999999999999E-3</v>
      </c>
      <c r="CK68" s="83">
        <v>0.224993</v>
      </c>
      <c r="CL68" s="83">
        <v>3.4406600000000002E-2</v>
      </c>
      <c r="CM68" s="83">
        <v>5.8498999999999999E-3</v>
      </c>
      <c r="CN68" s="83">
        <v>0.21851999999999999</v>
      </c>
      <c r="CO68" s="83">
        <v>3.3938900000000001E-2</v>
      </c>
      <c r="CP68" s="83">
        <v>5.8498999999999999E-3</v>
      </c>
      <c r="CQ68" s="83">
        <v>0.21166399999999999</v>
      </c>
      <c r="CR68" s="83">
        <v>3.3459299999999997E-2</v>
      </c>
      <c r="CS68" s="83">
        <v>5.8498999999999999E-3</v>
      </c>
      <c r="CT68" s="83">
        <v>0.21739700000000001</v>
      </c>
      <c r="CU68" s="83">
        <v>3.45397E-2</v>
      </c>
      <c r="CV68" s="83">
        <v>5.8498999999999999E-3</v>
      </c>
      <c r="CW68" s="83">
        <v>0.20361299999999999</v>
      </c>
      <c r="CX68" s="83">
        <v>3.3303300000000001E-2</v>
      </c>
    </row>
    <row r="69" spans="1:102" x14ac:dyDescent="0.2">
      <c r="A69" s="83">
        <v>5.9499000000000002E-3</v>
      </c>
      <c r="B69" s="83">
        <v>0.23157700000000001</v>
      </c>
      <c r="C69" s="83">
        <v>3.1509799999999998E-2</v>
      </c>
      <c r="D69" s="83">
        <v>5.9499000000000002E-3</v>
      </c>
      <c r="E69" s="83">
        <v>0.23993100000000001</v>
      </c>
      <c r="F69" s="83">
        <v>3.23494E-2</v>
      </c>
      <c r="G69" s="83">
        <v>5.9499000000000002E-3</v>
      </c>
      <c r="H69" s="83">
        <v>0.23980399999999999</v>
      </c>
      <c r="I69" s="83">
        <v>3.2112099999999998E-2</v>
      </c>
      <c r="J69" s="83">
        <v>5.9499000000000002E-3</v>
      </c>
      <c r="K69" s="83">
        <v>0.23726700000000001</v>
      </c>
      <c r="L69" s="83">
        <v>3.1635000000000003E-2</v>
      </c>
      <c r="M69" s="83">
        <v>5.9499000000000002E-3</v>
      </c>
      <c r="N69" s="83">
        <v>0.242868</v>
      </c>
      <c r="O69" s="83">
        <v>3.2002900000000001E-2</v>
      </c>
      <c r="P69" s="83">
        <v>5.9499000000000002E-3</v>
      </c>
      <c r="Q69" s="83">
        <v>0.25063600000000003</v>
      </c>
      <c r="R69" s="83">
        <v>3.26276E-2</v>
      </c>
      <c r="S69" s="83">
        <v>5.9499000000000002E-3</v>
      </c>
      <c r="T69" s="83">
        <v>0.25492799999999999</v>
      </c>
      <c r="U69" s="83">
        <v>3.27608E-2</v>
      </c>
      <c r="V69" s="83">
        <v>5.9499000000000002E-3</v>
      </c>
      <c r="W69" s="83">
        <v>0.24729499999999999</v>
      </c>
      <c r="X69" s="83">
        <v>3.2140299999999997E-2</v>
      </c>
      <c r="Y69" s="83">
        <v>5.9499000000000002E-3</v>
      </c>
      <c r="Z69" s="83">
        <v>0.25052600000000003</v>
      </c>
      <c r="AA69" s="83">
        <v>3.2641900000000001E-2</v>
      </c>
      <c r="AB69" s="83">
        <v>5.9499000000000002E-3</v>
      </c>
      <c r="AC69" s="83">
        <v>0.24310100000000001</v>
      </c>
      <c r="AD69" s="83">
        <v>3.2114499999999997E-2</v>
      </c>
      <c r="AE69" s="83">
        <v>5.9499000000000002E-3</v>
      </c>
      <c r="AF69" s="83">
        <v>0.243811</v>
      </c>
      <c r="AG69" s="83">
        <v>3.2500399999999999E-2</v>
      </c>
      <c r="AH69" s="83">
        <v>5.9499000000000002E-3</v>
      </c>
      <c r="AI69" s="83">
        <v>0.23816899999999999</v>
      </c>
      <c r="AJ69" s="83">
        <v>3.1984400000000003E-2</v>
      </c>
      <c r="AK69" s="83">
        <v>5.9499000000000002E-3</v>
      </c>
      <c r="AL69" s="83">
        <v>0.23543500000000001</v>
      </c>
      <c r="AM69" s="83">
        <v>3.1893299999999999E-2</v>
      </c>
      <c r="AN69" s="83">
        <v>5.9499000000000002E-3</v>
      </c>
      <c r="AO69" s="83">
        <v>0.24480299999999999</v>
      </c>
      <c r="AP69" s="83">
        <v>3.3143199999999998E-2</v>
      </c>
      <c r="AQ69" s="83">
        <v>5.9499000000000002E-3</v>
      </c>
      <c r="AR69" s="83">
        <v>0.23667099999999999</v>
      </c>
      <c r="AS69" s="83">
        <v>3.25504E-2</v>
      </c>
      <c r="AT69" s="83">
        <v>5.9499000000000002E-3</v>
      </c>
      <c r="AU69" s="83">
        <v>0.229493</v>
      </c>
      <c r="AV69" s="83">
        <v>3.1967700000000002E-2</v>
      </c>
      <c r="AW69" s="83">
        <v>5.9499000000000002E-3</v>
      </c>
      <c r="AX69" s="83">
        <v>0.22553999999999999</v>
      </c>
      <c r="AY69" s="83">
        <v>3.16776E-2</v>
      </c>
      <c r="AZ69" s="83">
        <v>5.9499000000000002E-3</v>
      </c>
      <c r="BA69" s="83">
        <v>0.23554800000000001</v>
      </c>
      <c r="BB69" s="83">
        <v>3.3138500000000001E-2</v>
      </c>
      <c r="BC69" s="83">
        <v>5.9499000000000002E-3</v>
      </c>
      <c r="BD69" s="83">
        <v>0.22622900000000001</v>
      </c>
      <c r="BE69" s="83">
        <v>3.22022E-2</v>
      </c>
      <c r="BF69" s="83">
        <v>5.9499000000000002E-3</v>
      </c>
      <c r="BG69" s="83">
        <v>0.22206999999999999</v>
      </c>
      <c r="BH69" s="83">
        <v>3.1917599999999997E-2</v>
      </c>
      <c r="BI69" s="83">
        <v>5.9499000000000002E-3</v>
      </c>
      <c r="BJ69" s="83">
        <v>0.22465499999999999</v>
      </c>
      <c r="BK69" s="83">
        <v>3.2429899999999998E-2</v>
      </c>
      <c r="BL69" s="83">
        <v>5.9499000000000002E-3</v>
      </c>
      <c r="BM69" s="83">
        <v>0.22566900000000001</v>
      </c>
      <c r="BN69" s="83">
        <v>3.2801900000000002E-2</v>
      </c>
      <c r="BO69" s="83">
        <v>5.9499000000000002E-3</v>
      </c>
      <c r="BP69" s="83">
        <v>0.218635</v>
      </c>
      <c r="BQ69" s="83">
        <v>3.2218799999999999E-2</v>
      </c>
      <c r="BR69" s="83">
        <v>5.9499000000000002E-3</v>
      </c>
      <c r="BS69" s="83">
        <v>0.222466</v>
      </c>
      <c r="BT69" s="83">
        <v>3.2830400000000003E-2</v>
      </c>
      <c r="BU69" s="83">
        <v>5.9499000000000002E-3</v>
      </c>
      <c r="BV69" s="83">
        <v>0.223415</v>
      </c>
      <c r="BW69" s="83">
        <v>3.3102399999999997E-2</v>
      </c>
      <c r="BX69" s="83">
        <v>5.9499000000000002E-3</v>
      </c>
      <c r="BY69" s="83">
        <v>0.21816199999999999</v>
      </c>
      <c r="BZ69" s="83">
        <v>3.2691699999999997E-2</v>
      </c>
      <c r="CA69" s="83">
        <v>5.9499000000000002E-3</v>
      </c>
      <c r="CB69" s="83">
        <v>0.20843900000000001</v>
      </c>
      <c r="CC69" s="83">
        <v>3.17512E-2</v>
      </c>
      <c r="CD69" s="83">
        <v>5.9499000000000002E-3</v>
      </c>
      <c r="CE69" s="83">
        <v>0.206373</v>
      </c>
      <c r="CF69" s="83">
        <v>3.1756699999999999E-2</v>
      </c>
      <c r="CG69" s="83">
        <v>5.9499000000000002E-3</v>
      </c>
      <c r="CH69" s="83">
        <v>0.209618</v>
      </c>
      <c r="CI69" s="83">
        <v>3.22799E-2</v>
      </c>
      <c r="CJ69" s="83">
        <v>5.9499000000000002E-3</v>
      </c>
      <c r="CK69" s="83">
        <v>0.21157100000000001</v>
      </c>
      <c r="CL69" s="83">
        <v>3.2732799999999999E-2</v>
      </c>
      <c r="CM69" s="83">
        <v>5.9499000000000002E-3</v>
      </c>
      <c r="CN69" s="83">
        <v>0.20519499999999999</v>
      </c>
      <c r="CO69" s="83">
        <v>3.2330499999999998E-2</v>
      </c>
      <c r="CP69" s="83">
        <v>5.9499000000000002E-3</v>
      </c>
      <c r="CQ69" s="83">
        <v>0.198681</v>
      </c>
      <c r="CR69" s="83">
        <v>3.18646E-2</v>
      </c>
      <c r="CS69" s="83">
        <v>5.9499000000000002E-3</v>
      </c>
      <c r="CT69" s="83">
        <v>0.20433000000000001</v>
      </c>
      <c r="CU69" s="83">
        <v>3.2881500000000001E-2</v>
      </c>
      <c r="CV69" s="83">
        <v>5.9499000000000002E-3</v>
      </c>
      <c r="CW69" s="83">
        <v>0.19118099999999999</v>
      </c>
      <c r="CX69" s="83">
        <v>3.17389E-2</v>
      </c>
    </row>
    <row r="70" spans="1:102" x14ac:dyDescent="0.2">
      <c r="A70" s="83">
        <v>6.0499000000000004E-3</v>
      </c>
      <c r="B70" s="83">
        <v>0.21943299999999999</v>
      </c>
      <c r="C70" s="83">
        <v>3.0030299999999999E-2</v>
      </c>
      <c r="D70" s="83">
        <v>6.0499000000000004E-3</v>
      </c>
      <c r="E70" s="83">
        <v>0.22736700000000001</v>
      </c>
      <c r="F70" s="83">
        <v>3.0849399999999999E-2</v>
      </c>
      <c r="G70" s="83">
        <v>6.0499000000000004E-3</v>
      </c>
      <c r="H70" s="83">
        <v>0.22747000000000001</v>
      </c>
      <c r="I70" s="83">
        <v>3.0586700000000001E-2</v>
      </c>
      <c r="J70" s="83">
        <v>6.0499000000000004E-3</v>
      </c>
      <c r="K70" s="83">
        <v>0.22492300000000001</v>
      </c>
      <c r="L70" s="83">
        <v>3.0133099999999999E-2</v>
      </c>
      <c r="M70" s="83">
        <v>6.0499000000000004E-3</v>
      </c>
      <c r="N70" s="83">
        <v>0.22986000000000001</v>
      </c>
      <c r="O70" s="83">
        <v>3.04912E-2</v>
      </c>
      <c r="P70" s="83">
        <v>6.0499000000000004E-3</v>
      </c>
      <c r="Q70" s="83">
        <v>0.23749100000000001</v>
      </c>
      <c r="R70" s="83">
        <v>3.1085600000000001E-2</v>
      </c>
      <c r="S70" s="83">
        <v>6.0499000000000004E-3</v>
      </c>
      <c r="T70" s="83">
        <v>0.241148</v>
      </c>
      <c r="U70" s="83">
        <v>3.12032E-2</v>
      </c>
      <c r="V70" s="83">
        <v>6.0499000000000004E-3</v>
      </c>
      <c r="W70" s="83">
        <v>0.23356399999999999</v>
      </c>
      <c r="X70" s="83">
        <v>3.0640299999999999E-2</v>
      </c>
      <c r="Y70" s="83">
        <v>6.0499000000000004E-3</v>
      </c>
      <c r="Z70" s="83">
        <v>0.23716200000000001</v>
      </c>
      <c r="AA70" s="83">
        <v>3.11273E-2</v>
      </c>
      <c r="AB70" s="83">
        <v>6.0499000000000004E-3</v>
      </c>
      <c r="AC70" s="83">
        <v>0.23012199999999999</v>
      </c>
      <c r="AD70" s="83">
        <v>3.0606700000000001E-2</v>
      </c>
      <c r="AE70" s="83">
        <v>6.0499000000000004E-3</v>
      </c>
      <c r="AF70" s="83">
        <v>0.23039299999999999</v>
      </c>
      <c r="AG70" s="83">
        <v>3.0937900000000001E-2</v>
      </c>
      <c r="AH70" s="83">
        <v>6.0499000000000004E-3</v>
      </c>
      <c r="AI70" s="83">
        <v>0.225103</v>
      </c>
      <c r="AJ70" s="83">
        <v>3.0463899999999999E-2</v>
      </c>
      <c r="AK70" s="83">
        <v>6.0499000000000004E-3</v>
      </c>
      <c r="AL70" s="83">
        <v>0.222276</v>
      </c>
      <c r="AM70" s="83">
        <v>3.03894E-2</v>
      </c>
      <c r="AN70" s="83">
        <v>6.0499000000000004E-3</v>
      </c>
      <c r="AO70" s="83">
        <v>0.23086300000000001</v>
      </c>
      <c r="AP70" s="83">
        <v>3.1587499999999998E-2</v>
      </c>
      <c r="AQ70" s="83">
        <v>6.0499000000000004E-3</v>
      </c>
      <c r="AR70" s="83">
        <v>0.223556</v>
      </c>
      <c r="AS70" s="83">
        <v>3.1028900000000002E-2</v>
      </c>
      <c r="AT70" s="83">
        <v>6.0499000000000004E-3</v>
      </c>
      <c r="AU70" s="83">
        <v>0.21667</v>
      </c>
      <c r="AV70" s="83">
        <v>3.04648E-2</v>
      </c>
      <c r="AW70" s="83">
        <v>6.0499000000000004E-3</v>
      </c>
      <c r="AX70" s="83">
        <v>0.21264</v>
      </c>
      <c r="AY70" s="83">
        <v>3.0182500000000001E-2</v>
      </c>
      <c r="AZ70" s="83">
        <v>6.0499000000000004E-3</v>
      </c>
      <c r="BA70" s="83">
        <v>0.22259300000000001</v>
      </c>
      <c r="BB70" s="83">
        <v>3.15702E-2</v>
      </c>
      <c r="BC70" s="83">
        <v>6.0499000000000004E-3</v>
      </c>
      <c r="BD70" s="83">
        <v>0.213006</v>
      </c>
      <c r="BE70" s="83">
        <v>3.0662200000000001E-2</v>
      </c>
      <c r="BF70" s="83">
        <v>6.0499000000000004E-3</v>
      </c>
      <c r="BG70" s="83">
        <v>0.20941799999999999</v>
      </c>
      <c r="BH70" s="83">
        <v>3.0401999999999998E-2</v>
      </c>
      <c r="BI70" s="83">
        <v>6.0499000000000004E-3</v>
      </c>
      <c r="BJ70" s="83">
        <v>0.211813</v>
      </c>
      <c r="BK70" s="83">
        <v>3.0913300000000001E-2</v>
      </c>
      <c r="BL70" s="83">
        <v>6.0499000000000004E-3</v>
      </c>
      <c r="BM70" s="83">
        <v>0.21201100000000001</v>
      </c>
      <c r="BN70" s="83">
        <v>3.1249200000000001E-2</v>
      </c>
      <c r="BO70" s="83">
        <v>6.0499000000000004E-3</v>
      </c>
      <c r="BP70" s="83">
        <v>0.20568600000000001</v>
      </c>
      <c r="BQ70" s="83">
        <v>3.0682600000000001E-2</v>
      </c>
      <c r="BR70" s="83">
        <v>6.0499000000000004E-3</v>
      </c>
      <c r="BS70" s="83">
        <v>0.209151</v>
      </c>
      <c r="BT70" s="83">
        <v>3.1279599999999998E-2</v>
      </c>
      <c r="BU70" s="83">
        <v>6.0499000000000004E-3</v>
      </c>
      <c r="BV70" s="83">
        <v>0.21034800000000001</v>
      </c>
      <c r="BW70" s="83">
        <v>3.1550599999999998E-2</v>
      </c>
      <c r="BX70" s="83">
        <v>6.0499000000000004E-3</v>
      </c>
      <c r="BY70" s="83">
        <v>0.20540800000000001</v>
      </c>
      <c r="BZ70" s="83">
        <v>3.1151700000000001E-2</v>
      </c>
      <c r="CA70" s="83">
        <v>6.0499000000000004E-3</v>
      </c>
      <c r="CB70" s="83">
        <v>0.19611999999999999</v>
      </c>
      <c r="CC70" s="83">
        <v>3.0262899999999999E-2</v>
      </c>
      <c r="CD70" s="83">
        <v>6.0499000000000004E-3</v>
      </c>
      <c r="CE70" s="83">
        <v>0.193936</v>
      </c>
      <c r="CF70" s="83">
        <v>3.02528E-2</v>
      </c>
      <c r="CG70" s="83">
        <v>6.0499000000000004E-3</v>
      </c>
      <c r="CH70" s="83">
        <v>0.197631</v>
      </c>
      <c r="CI70" s="83">
        <v>3.0759399999999999E-2</v>
      </c>
      <c r="CJ70" s="83">
        <v>6.0499000000000004E-3</v>
      </c>
      <c r="CK70" s="83">
        <v>0.19872899999999999</v>
      </c>
      <c r="CL70" s="83">
        <v>3.1208400000000001E-2</v>
      </c>
      <c r="CM70" s="83">
        <v>6.0499000000000004E-3</v>
      </c>
      <c r="CN70" s="83">
        <v>0.19265099999999999</v>
      </c>
      <c r="CO70" s="83">
        <v>3.0778799999999999E-2</v>
      </c>
      <c r="CP70" s="83">
        <v>6.0499000000000004E-3</v>
      </c>
      <c r="CQ70" s="83">
        <v>0.18700600000000001</v>
      </c>
      <c r="CR70" s="83">
        <v>3.03656E-2</v>
      </c>
      <c r="CS70" s="83">
        <v>6.0499000000000004E-3</v>
      </c>
      <c r="CT70" s="83">
        <v>0.192133</v>
      </c>
      <c r="CU70" s="83">
        <v>3.1313199999999999E-2</v>
      </c>
      <c r="CV70" s="83">
        <v>6.0499000000000004E-3</v>
      </c>
      <c r="CW70" s="83">
        <v>0.17963799999999999</v>
      </c>
      <c r="CX70" s="83">
        <v>3.0234E-2</v>
      </c>
    </row>
    <row r="71" spans="1:102" x14ac:dyDescent="0.2">
      <c r="A71" s="83">
        <v>6.1498999999999998E-3</v>
      </c>
      <c r="B71" s="83">
        <v>0.20715800000000001</v>
      </c>
      <c r="C71" s="83">
        <v>2.8544900000000002E-2</v>
      </c>
      <c r="D71" s="83">
        <v>6.1498999999999998E-3</v>
      </c>
      <c r="E71" s="83">
        <v>0.21551200000000001</v>
      </c>
      <c r="F71" s="83">
        <v>2.9365100000000002E-2</v>
      </c>
      <c r="G71" s="83">
        <v>6.1498999999999998E-3</v>
      </c>
      <c r="H71" s="83">
        <v>0.214779</v>
      </c>
      <c r="I71" s="83">
        <v>2.90926E-2</v>
      </c>
      <c r="J71" s="83">
        <v>6.1498999999999998E-3</v>
      </c>
      <c r="K71" s="83">
        <v>0.21260899999999999</v>
      </c>
      <c r="L71" s="83">
        <v>2.8689699999999999E-2</v>
      </c>
      <c r="M71" s="83">
        <v>6.1498999999999998E-3</v>
      </c>
      <c r="N71" s="83">
        <v>0.21752099999999999</v>
      </c>
      <c r="O71" s="83">
        <v>2.8979499999999998E-2</v>
      </c>
      <c r="P71" s="83">
        <v>6.1498999999999998E-3</v>
      </c>
      <c r="Q71" s="83">
        <v>0.22447400000000001</v>
      </c>
      <c r="R71" s="83">
        <v>2.9583600000000002E-2</v>
      </c>
      <c r="S71" s="83">
        <v>6.1498999999999998E-3</v>
      </c>
      <c r="T71" s="83">
        <v>0.228404</v>
      </c>
      <c r="U71" s="83">
        <v>2.9741199999999999E-2</v>
      </c>
      <c r="V71" s="83">
        <v>6.1498999999999998E-3</v>
      </c>
      <c r="W71" s="83">
        <v>0.22103999999999999</v>
      </c>
      <c r="X71" s="83">
        <v>2.91784E-2</v>
      </c>
      <c r="Y71" s="83">
        <v>6.1498999999999998E-3</v>
      </c>
      <c r="Z71" s="83">
        <v>0.22389999999999999</v>
      </c>
      <c r="AA71" s="83">
        <v>2.9640900000000001E-2</v>
      </c>
      <c r="AB71" s="83">
        <v>6.1498999999999998E-3</v>
      </c>
      <c r="AC71" s="83">
        <v>0.21729499999999999</v>
      </c>
      <c r="AD71" s="83">
        <v>2.9114500000000001E-2</v>
      </c>
      <c r="AE71" s="83">
        <v>6.1498999999999998E-3</v>
      </c>
      <c r="AF71" s="83">
        <v>0.217996</v>
      </c>
      <c r="AG71" s="83">
        <v>2.94652E-2</v>
      </c>
      <c r="AH71" s="83">
        <v>6.1498999999999998E-3</v>
      </c>
      <c r="AI71" s="83">
        <v>0.21260299999999999</v>
      </c>
      <c r="AJ71" s="83">
        <v>2.89746E-2</v>
      </c>
      <c r="AK71" s="83">
        <v>6.1498999999999998E-3</v>
      </c>
      <c r="AL71" s="83">
        <v>0.20983399999999999</v>
      </c>
      <c r="AM71" s="83">
        <v>2.89021E-2</v>
      </c>
      <c r="AN71" s="83">
        <v>6.1498999999999998E-3</v>
      </c>
      <c r="AO71" s="83">
        <v>0.21808</v>
      </c>
      <c r="AP71" s="83">
        <v>3.00973E-2</v>
      </c>
      <c r="AQ71" s="83">
        <v>6.1498999999999998E-3</v>
      </c>
      <c r="AR71" s="83">
        <v>0.21095800000000001</v>
      </c>
      <c r="AS71" s="83">
        <v>2.9550400000000001E-2</v>
      </c>
      <c r="AT71" s="83">
        <v>6.1498999999999998E-3</v>
      </c>
      <c r="AU71" s="83">
        <v>0.20441400000000001</v>
      </c>
      <c r="AV71" s="83">
        <v>2.90078E-2</v>
      </c>
      <c r="AW71" s="83">
        <v>6.1498999999999998E-3</v>
      </c>
      <c r="AX71" s="83">
        <v>0.20064299999999999</v>
      </c>
      <c r="AY71" s="83">
        <v>2.8731300000000001E-2</v>
      </c>
      <c r="AZ71" s="83">
        <v>6.1498999999999998E-3</v>
      </c>
      <c r="BA71" s="83">
        <v>0.20938499999999999</v>
      </c>
      <c r="BB71" s="83">
        <v>3.0106299999999999E-2</v>
      </c>
      <c r="BC71" s="83">
        <v>6.1498999999999998E-3</v>
      </c>
      <c r="BD71" s="83">
        <v>0.20138</v>
      </c>
      <c r="BE71" s="83">
        <v>2.91837E-2</v>
      </c>
      <c r="BF71" s="83">
        <v>6.1498999999999998E-3</v>
      </c>
      <c r="BG71" s="83">
        <v>0.19725500000000001</v>
      </c>
      <c r="BH71" s="83">
        <v>2.8944899999999999E-2</v>
      </c>
      <c r="BI71" s="83">
        <v>6.1498999999999998E-3</v>
      </c>
      <c r="BJ71" s="83">
        <v>0.19900000000000001</v>
      </c>
      <c r="BK71" s="83">
        <v>2.94133E-2</v>
      </c>
      <c r="BL71" s="83">
        <v>6.1498999999999998E-3</v>
      </c>
      <c r="BM71" s="83">
        <v>0.19997500000000001</v>
      </c>
      <c r="BN71" s="83">
        <v>2.9774599999999998E-2</v>
      </c>
      <c r="BO71" s="83">
        <v>6.1498999999999998E-3</v>
      </c>
      <c r="BP71" s="83">
        <v>0.19406499999999999</v>
      </c>
      <c r="BQ71" s="83">
        <v>2.9242199999999999E-2</v>
      </c>
      <c r="BR71" s="83">
        <v>6.1498999999999998E-3</v>
      </c>
      <c r="BS71" s="83">
        <v>0.19731499999999999</v>
      </c>
      <c r="BT71" s="83">
        <v>2.97796E-2</v>
      </c>
      <c r="BU71" s="83">
        <v>6.1498999999999998E-3</v>
      </c>
      <c r="BV71" s="83">
        <v>0.19822400000000001</v>
      </c>
      <c r="BW71" s="83">
        <v>3.00623E-2</v>
      </c>
      <c r="BX71" s="83">
        <v>6.1498999999999998E-3</v>
      </c>
      <c r="BY71" s="83">
        <v>0.19343099999999999</v>
      </c>
      <c r="BZ71" s="83">
        <v>2.9675099999999999E-2</v>
      </c>
      <c r="CA71" s="83">
        <v>6.1498999999999998E-3</v>
      </c>
      <c r="CB71" s="83">
        <v>0.18463499999999999</v>
      </c>
      <c r="CC71" s="83">
        <v>2.8781500000000002E-2</v>
      </c>
      <c r="CD71" s="83">
        <v>6.1498999999999998E-3</v>
      </c>
      <c r="CE71" s="83">
        <v>0.182583</v>
      </c>
      <c r="CF71" s="83">
        <v>2.8766400000000001E-2</v>
      </c>
      <c r="CG71" s="83">
        <v>6.1498999999999998E-3</v>
      </c>
      <c r="CH71" s="83">
        <v>0.186088</v>
      </c>
      <c r="CI71" s="83">
        <v>2.9288700000000001E-2</v>
      </c>
      <c r="CJ71" s="83">
        <v>6.1498999999999998E-3</v>
      </c>
      <c r="CK71" s="83">
        <v>0.18695600000000001</v>
      </c>
      <c r="CL71" s="83">
        <v>2.97211E-2</v>
      </c>
      <c r="CM71" s="83">
        <v>6.1498999999999998E-3</v>
      </c>
      <c r="CN71" s="83">
        <v>0.18104899999999999</v>
      </c>
      <c r="CO71" s="83">
        <v>2.92993E-2</v>
      </c>
      <c r="CP71" s="83">
        <v>6.1498999999999998E-3</v>
      </c>
      <c r="CQ71" s="83">
        <v>0.17588300000000001</v>
      </c>
      <c r="CR71" s="83">
        <v>2.88607E-2</v>
      </c>
      <c r="CS71" s="83">
        <v>6.1498999999999998E-3</v>
      </c>
      <c r="CT71" s="83">
        <v>0.180058</v>
      </c>
      <c r="CU71" s="83">
        <v>2.9828799999999999E-2</v>
      </c>
      <c r="CV71" s="83">
        <v>6.1498999999999998E-3</v>
      </c>
      <c r="CW71" s="83">
        <v>0.16816800000000001</v>
      </c>
      <c r="CX71" s="83">
        <v>2.8789599999999999E-2</v>
      </c>
    </row>
    <row r="72" spans="1:102" x14ac:dyDescent="0.2">
      <c r="A72" s="83">
        <v>6.2499000000000001E-3</v>
      </c>
      <c r="B72" s="83">
        <v>0.196352</v>
      </c>
      <c r="C72" s="83">
        <v>2.7213899999999999E-2</v>
      </c>
      <c r="D72" s="83">
        <v>6.2499000000000001E-3</v>
      </c>
      <c r="E72" s="83">
        <v>0.203544</v>
      </c>
      <c r="F72" s="83">
        <v>2.7935399999999999E-2</v>
      </c>
      <c r="G72" s="83">
        <v>6.2499000000000001E-3</v>
      </c>
      <c r="H72" s="83">
        <v>0.20311899999999999</v>
      </c>
      <c r="I72" s="83">
        <v>2.7705799999999999E-2</v>
      </c>
      <c r="J72" s="83">
        <v>6.2499000000000001E-3</v>
      </c>
      <c r="K72" s="83">
        <v>0.20114899999999999</v>
      </c>
      <c r="L72" s="83">
        <v>2.7308900000000001E-2</v>
      </c>
      <c r="M72" s="83">
        <v>6.2499000000000001E-3</v>
      </c>
      <c r="N72" s="83">
        <v>0.20517299999999999</v>
      </c>
      <c r="O72" s="83">
        <v>2.76005E-2</v>
      </c>
      <c r="P72" s="83">
        <v>6.2499000000000001E-3</v>
      </c>
      <c r="Q72" s="83">
        <v>0.21217900000000001</v>
      </c>
      <c r="R72" s="83">
        <v>2.81363E-2</v>
      </c>
      <c r="S72" s="83">
        <v>6.2499000000000001E-3</v>
      </c>
      <c r="T72" s="83">
        <v>0.21571899999999999</v>
      </c>
      <c r="U72" s="83">
        <v>2.8266599999999999E-2</v>
      </c>
      <c r="V72" s="83">
        <v>6.2499000000000001E-3</v>
      </c>
      <c r="W72" s="83">
        <v>0.20905199999999999</v>
      </c>
      <c r="X72" s="83">
        <v>2.7737999999999999E-2</v>
      </c>
      <c r="Y72" s="83">
        <v>6.2499000000000001E-3</v>
      </c>
      <c r="Z72" s="83">
        <v>0.211649</v>
      </c>
      <c r="AA72" s="83">
        <v>2.8213200000000001E-2</v>
      </c>
      <c r="AB72" s="83">
        <v>6.2499000000000001E-3</v>
      </c>
      <c r="AC72" s="83">
        <v>0.20474700000000001</v>
      </c>
      <c r="AD72" s="83">
        <v>2.7722900000000002E-2</v>
      </c>
      <c r="AE72" s="83">
        <v>6.2499000000000001E-3</v>
      </c>
      <c r="AF72" s="83">
        <v>0.20594499999999999</v>
      </c>
      <c r="AG72" s="83">
        <v>2.8012100000000002E-2</v>
      </c>
      <c r="AH72" s="83">
        <v>6.2499000000000001E-3</v>
      </c>
      <c r="AI72" s="83">
        <v>0.200962</v>
      </c>
      <c r="AJ72" s="83">
        <v>2.75801E-2</v>
      </c>
      <c r="AK72" s="83">
        <v>6.2499000000000001E-3</v>
      </c>
      <c r="AL72" s="83">
        <v>0.198321</v>
      </c>
      <c r="AM72" s="83">
        <v>2.75515E-2</v>
      </c>
      <c r="AN72" s="83">
        <v>6.2499000000000001E-3</v>
      </c>
      <c r="AO72" s="83">
        <v>0.205599</v>
      </c>
      <c r="AP72" s="83">
        <v>2.86363E-2</v>
      </c>
      <c r="AQ72" s="83">
        <v>6.2499000000000001E-3</v>
      </c>
      <c r="AR72" s="83">
        <v>0.19903899999999999</v>
      </c>
      <c r="AS72" s="83">
        <v>2.8105100000000001E-2</v>
      </c>
      <c r="AT72" s="83">
        <v>6.2499000000000001E-3</v>
      </c>
      <c r="AU72" s="83">
        <v>0.19265699999999999</v>
      </c>
      <c r="AV72" s="83">
        <v>2.7608299999999999E-2</v>
      </c>
      <c r="AW72" s="83">
        <v>6.2499000000000001E-3</v>
      </c>
      <c r="AX72" s="83">
        <v>0.18921199999999999</v>
      </c>
      <c r="AY72" s="83">
        <v>2.7360200000000001E-2</v>
      </c>
      <c r="AZ72" s="83">
        <v>6.2499000000000001E-3</v>
      </c>
      <c r="BA72" s="83">
        <v>0.19781299999999999</v>
      </c>
      <c r="BB72" s="83">
        <v>2.862E-2</v>
      </c>
      <c r="BC72" s="83">
        <v>6.2499000000000001E-3</v>
      </c>
      <c r="BD72" s="83">
        <v>0.18967600000000001</v>
      </c>
      <c r="BE72" s="83">
        <v>2.77862E-2</v>
      </c>
      <c r="BF72" s="83">
        <v>6.2499000000000001E-3</v>
      </c>
      <c r="BG72" s="83">
        <v>0.18565899999999999</v>
      </c>
      <c r="BH72" s="83">
        <v>2.75485E-2</v>
      </c>
      <c r="BI72" s="83">
        <v>6.2499000000000001E-3</v>
      </c>
      <c r="BJ72" s="83">
        <v>0.187721</v>
      </c>
      <c r="BK72" s="83">
        <v>2.7987499999999998E-2</v>
      </c>
      <c r="BL72" s="83">
        <v>6.2499000000000001E-3</v>
      </c>
      <c r="BM72" s="83">
        <v>0.188774</v>
      </c>
      <c r="BN72" s="83">
        <v>2.8307800000000001E-2</v>
      </c>
      <c r="BO72" s="83">
        <v>6.2499000000000001E-3</v>
      </c>
      <c r="BP72" s="83">
        <v>0.18263399999999999</v>
      </c>
      <c r="BQ72" s="83">
        <v>2.7836900000000001E-2</v>
      </c>
      <c r="BR72" s="83">
        <v>6.2499000000000001E-3</v>
      </c>
      <c r="BS72" s="83">
        <v>0.18571299999999999</v>
      </c>
      <c r="BT72" s="83">
        <v>2.8344000000000001E-2</v>
      </c>
      <c r="BU72" s="83">
        <v>6.2499000000000001E-3</v>
      </c>
      <c r="BV72" s="83">
        <v>0.186613</v>
      </c>
      <c r="BW72" s="83">
        <v>2.8578900000000001E-2</v>
      </c>
      <c r="BX72" s="83">
        <v>6.2499000000000001E-3</v>
      </c>
      <c r="BY72" s="83">
        <v>0.182064</v>
      </c>
      <c r="BZ72" s="83">
        <v>2.82064E-2</v>
      </c>
      <c r="CA72" s="83">
        <v>6.2499000000000001E-3</v>
      </c>
      <c r="CB72" s="83">
        <v>0.17415700000000001</v>
      </c>
      <c r="CC72" s="83">
        <v>2.7407500000000001E-2</v>
      </c>
      <c r="CD72" s="83">
        <v>6.2499000000000001E-3</v>
      </c>
      <c r="CE72" s="83">
        <v>0.17206099999999999</v>
      </c>
      <c r="CF72" s="83">
        <v>2.7407999999999998E-2</v>
      </c>
      <c r="CG72" s="83">
        <v>6.2499000000000001E-3</v>
      </c>
      <c r="CH72" s="83">
        <v>0.17483799999999999</v>
      </c>
      <c r="CI72" s="83">
        <v>2.78844E-2</v>
      </c>
      <c r="CJ72" s="83">
        <v>6.2499000000000001E-3</v>
      </c>
      <c r="CK72" s="83">
        <v>0.17591599999999999</v>
      </c>
      <c r="CL72" s="83">
        <v>2.8274799999999999E-2</v>
      </c>
      <c r="CM72" s="83">
        <v>6.2499000000000001E-3</v>
      </c>
      <c r="CN72" s="83">
        <v>0.17024300000000001</v>
      </c>
      <c r="CO72" s="83">
        <v>2.7875400000000002E-2</v>
      </c>
      <c r="CP72" s="83">
        <v>6.2499000000000001E-3</v>
      </c>
      <c r="CQ72" s="83">
        <v>0.16519400000000001</v>
      </c>
      <c r="CR72" s="83">
        <v>2.74925E-2</v>
      </c>
      <c r="CS72" s="83">
        <v>6.2499000000000001E-3</v>
      </c>
      <c r="CT72" s="83">
        <v>0.16925699999999999</v>
      </c>
      <c r="CU72" s="83">
        <v>2.8362999999999999E-2</v>
      </c>
      <c r="CV72" s="83">
        <v>6.2499000000000001E-3</v>
      </c>
      <c r="CW72" s="83">
        <v>0.158828</v>
      </c>
      <c r="CX72" s="83">
        <v>2.7389299999999998E-2</v>
      </c>
    </row>
    <row r="73" spans="1:102" x14ac:dyDescent="0.2">
      <c r="A73" s="83">
        <v>6.3499000000000003E-3</v>
      </c>
      <c r="B73" s="83">
        <v>0.185527</v>
      </c>
      <c r="C73" s="83">
        <v>2.5910099999999998E-2</v>
      </c>
      <c r="D73" s="83">
        <v>6.3499000000000003E-3</v>
      </c>
      <c r="E73" s="83">
        <v>0.19258700000000001</v>
      </c>
      <c r="F73" s="83">
        <v>2.66219E-2</v>
      </c>
      <c r="G73" s="83">
        <v>6.3499000000000003E-3</v>
      </c>
      <c r="H73" s="83">
        <v>0.192191</v>
      </c>
      <c r="I73" s="83">
        <v>2.6391399999999999E-2</v>
      </c>
      <c r="J73" s="83">
        <v>6.3499000000000003E-3</v>
      </c>
      <c r="K73" s="83">
        <v>0.19037699999999999</v>
      </c>
      <c r="L73" s="83">
        <v>2.60413E-2</v>
      </c>
      <c r="M73" s="83">
        <v>6.3499000000000003E-3</v>
      </c>
      <c r="N73" s="83">
        <v>0.19406399999999999</v>
      </c>
      <c r="O73" s="83">
        <v>2.6279299999999998E-2</v>
      </c>
      <c r="P73" s="83">
        <v>6.3499000000000003E-3</v>
      </c>
      <c r="Q73" s="83">
        <v>0.20066500000000001</v>
      </c>
      <c r="R73" s="83">
        <v>2.6813099999999999E-2</v>
      </c>
      <c r="S73" s="83">
        <v>6.3499000000000003E-3</v>
      </c>
      <c r="T73" s="83">
        <v>0.203487</v>
      </c>
      <c r="U73" s="83">
        <v>2.69346E-2</v>
      </c>
      <c r="V73" s="83">
        <v>6.3499000000000003E-3</v>
      </c>
      <c r="W73" s="83">
        <v>0.197685</v>
      </c>
      <c r="X73" s="83">
        <v>2.6460600000000001E-2</v>
      </c>
      <c r="Y73" s="83">
        <v>6.3499000000000003E-3</v>
      </c>
      <c r="Z73" s="83">
        <v>0.19961799999999999</v>
      </c>
      <c r="AA73" s="83">
        <v>2.6842100000000001E-2</v>
      </c>
      <c r="AB73" s="83">
        <v>6.3499000000000003E-3</v>
      </c>
      <c r="AC73" s="83">
        <v>0.19376499999999999</v>
      </c>
      <c r="AD73" s="83">
        <v>2.6426999999999999E-2</v>
      </c>
      <c r="AE73" s="83">
        <v>6.3499000000000003E-3</v>
      </c>
      <c r="AF73" s="83">
        <v>0.19403599999999999</v>
      </c>
      <c r="AG73" s="83">
        <v>2.6721100000000001E-2</v>
      </c>
      <c r="AH73" s="83">
        <v>6.3499000000000003E-3</v>
      </c>
      <c r="AI73" s="83">
        <v>0.189444</v>
      </c>
      <c r="AJ73" s="83">
        <v>2.6290000000000001E-2</v>
      </c>
      <c r="AK73" s="83">
        <v>6.3499000000000003E-3</v>
      </c>
      <c r="AL73" s="83">
        <v>0.186866</v>
      </c>
      <c r="AM73" s="83">
        <v>2.6258500000000001E-2</v>
      </c>
      <c r="AN73" s="83">
        <v>6.3499000000000003E-3</v>
      </c>
      <c r="AO73" s="83">
        <v>0.193714</v>
      </c>
      <c r="AP73" s="83">
        <v>2.7279899999999999E-2</v>
      </c>
      <c r="AQ73" s="83">
        <v>6.3499000000000003E-3</v>
      </c>
      <c r="AR73" s="83">
        <v>0.187609</v>
      </c>
      <c r="AS73" s="83">
        <v>2.6776999999999999E-2</v>
      </c>
      <c r="AT73" s="83">
        <v>6.3499000000000003E-3</v>
      </c>
      <c r="AU73" s="83">
        <v>0.181783</v>
      </c>
      <c r="AV73" s="83">
        <v>2.6332000000000001E-2</v>
      </c>
      <c r="AW73" s="83">
        <v>6.3499000000000003E-3</v>
      </c>
      <c r="AX73" s="83">
        <v>0.17851400000000001</v>
      </c>
      <c r="AY73" s="83">
        <v>2.6066300000000001E-2</v>
      </c>
      <c r="AZ73" s="83">
        <v>6.3499000000000003E-3</v>
      </c>
      <c r="BA73" s="83">
        <v>0.18646599999999999</v>
      </c>
      <c r="BB73" s="83">
        <v>2.72547E-2</v>
      </c>
      <c r="BC73" s="83">
        <v>6.3499000000000003E-3</v>
      </c>
      <c r="BD73" s="83">
        <v>0.17846500000000001</v>
      </c>
      <c r="BE73" s="83">
        <v>2.65069E-2</v>
      </c>
      <c r="BF73" s="83">
        <v>6.3499000000000003E-3</v>
      </c>
      <c r="BG73" s="83">
        <v>0.17519499999999999</v>
      </c>
      <c r="BH73" s="83">
        <v>2.6279899999999998E-2</v>
      </c>
      <c r="BI73" s="83">
        <v>6.3499000000000003E-3</v>
      </c>
      <c r="BJ73" s="83">
        <v>0.17679800000000001</v>
      </c>
      <c r="BK73" s="83">
        <v>2.66897E-2</v>
      </c>
      <c r="BL73" s="83">
        <v>6.3499000000000003E-3</v>
      </c>
      <c r="BM73" s="83">
        <v>0.177846</v>
      </c>
      <c r="BN73" s="83">
        <v>2.6973799999999999E-2</v>
      </c>
      <c r="BO73" s="83">
        <v>6.3499000000000003E-3</v>
      </c>
      <c r="BP73" s="83">
        <v>0.17241400000000001</v>
      </c>
      <c r="BQ73" s="83">
        <v>2.65244E-2</v>
      </c>
      <c r="BR73" s="83">
        <v>6.3499000000000003E-3</v>
      </c>
      <c r="BS73" s="83">
        <v>0.175098</v>
      </c>
      <c r="BT73" s="83">
        <v>2.6993400000000001E-2</v>
      </c>
      <c r="BU73" s="83">
        <v>6.3499000000000003E-3</v>
      </c>
      <c r="BV73" s="83">
        <v>0.17554400000000001</v>
      </c>
      <c r="BW73" s="83">
        <v>2.72342E-2</v>
      </c>
      <c r="BX73" s="83">
        <v>6.3499000000000003E-3</v>
      </c>
      <c r="BY73" s="83">
        <v>0.17119500000000001</v>
      </c>
      <c r="BZ73" s="83">
        <v>2.68919E-2</v>
      </c>
      <c r="CA73" s="83">
        <v>6.3499000000000003E-3</v>
      </c>
      <c r="CB73" s="83">
        <v>0.16402</v>
      </c>
      <c r="CC73" s="83">
        <v>2.6145700000000001E-2</v>
      </c>
      <c r="CD73" s="83">
        <v>6.3499000000000003E-3</v>
      </c>
      <c r="CE73" s="83">
        <v>0.162193</v>
      </c>
      <c r="CF73" s="83">
        <v>2.6117000000000001E-2</v>
      </c>
      <c r="CG73" s="83">
        <v>6.3499000000000003E-3</v>
      </c>
      <c r="CH73" s="83">
        <v>0.164545</v>
      </c>
      <c r="CI73" s="83">
        <v>2.6570900000000001E-2</v>
      </c>
      <c r="CJ73" s="83">
        <v>6.3499000000000003E-3</v>
      </c>
      <c r="CK73" s="83">
        <v>0.16539400000000001</v>
      </c>
      <c r="CL73" s="83">
        <v>2.6937800000000001E-2</v>
      </c>
      <c r="CM73" s="83">
        <v>6.3499000000000003E-3</v>
      </c>
      <c r="CN73" s="83">
        <v>0.160361</v>
      </c>
      <c r="CO73" s="83">
        <v>2.6569800000000001E-2</v>
      </c>
      <c r="CP73" s="83">
        <v>6.3499000000000003E-3</v>
      </c>
      <c r="CQ73" s="83">
        <v>0.155614</v>
      </c>
      <c r="CR73" s="83">
        <v>2.6189799999999999E-2</v>
      </c>
      <c r="CS73" s="83">
        <v>6.3499000000000003E-3</v>
      </c>
      <c r="CT73" s="83">
        <v>0.15945699999999999</v>
      </c>
      <c r="CU73" s="83">
        <v>2.7026100000000001E-2</v>
      </c>
      <c r="CV73" s="83">
        <v>6.3499000000000003E-3</v>
      </c>
      <c r="CW73" s="83">
        <v>0.14922299999999999</v>
      </c>
      <c r="CX73" s="83">
        <v>2.6089500000000002E-2</v>
      </c>
    </row>
    <row r="74" spans="1:102" x14ac:dyDescent="0.2">
      <c r="A74" s="83">
        <v>6.4498999999999997E-3</v>
      </c>
      <c r="B74" s="83">
        <v>0.17558499999999999</v>
      </c>
      <c r="C74" s="83">
        <v>2.4693400000000001E-2</v>
      </c>
      <c r="D74" s="83">
        <v>6.4498999999999997E-3</v>
      </c>
      <c r="E74" s="83">
        <v>0.182143</v>
      </c>
      <c r="F74" s="83">
        <v>2.53729E-2</v>
      </c>
      <c r="G74" s="83">
        <v>6.4498999999999997E-3</v>
      </c>
      <c r="H74" s="83">
        <v>0.181591</v>
      </c>
      <c r="I74" s="83">
        <v>2.5153100000000001E-2</v>
      </c>
      <c r="J74" s="83">
        <v>6.4498999999999997E-3</v>
      </c>
      <c r="K74" s="83">
        <v>0.18007000000000001</v>
      </c>
      <c r="L74" s="83">
        <v>2.4807900000000001E-2</v>
      </c>
      <c r="M74" s="83">
        <v>6.4498999999999997E-3</v>
      </c>
      <c r="N74" s="83">
        <v>0.18357100000000001</v>
      </c>
      <c r="O74" s="83">
        <v>2.5069299999999999E-2</v>
      </c>
      <c r="P74" s="83">
        <v>6.4498999999999997E-3</v>
      </c>
      <c r="Q74" s="83">
        <v>0.18984999999999999</v>
      </c>
      <c r="R74" s="83">
        <v>2.5565999999999998E-2</v>
      </c>
      <c r="S74" s="83">
        <v>6.4498999999999997E-3</v>
      </c>
      <c r="T74" s="83">
        <v>0.19264200000000001</v>
      </c>
      <c r="U74" s="83">
        <v>2.5677800000000001E-2</v>
      </c>
      <c r="V74" s="83">
        <v>6.4498999999999997E-3</v>
      </c>
      <c r="W74" s="83">
        <v>0.18689900000000001</v>
      </c>
      <c r="X74" s="83">
        <v>2.5213599999999999E-2</v>
      </c>
      <c r="Y74" s="83">
        <v>6.4498999999999997E-3</v>
      </c>
      <c r="Z74" s="83">
        <v>0.188968</v>
      </c>
      <c r="AA74" s="83">
        <v>2.5594100000000002E-2</v>
      </c>
      <c r="AB74" s="83">
        <v>6.4498999999999997E-3</v>
      </c>
      <c r="AC74" s="83">
        <v>0.18315000000000001</v>
      </c>
      <c r="AD74" s="83">
        <v>2.51848E-2</v>
      </c>
      <c r="AE74" s="83">
        <v>6.4498999999999997E-3</v>
      </c>
      <c r="AF74" s="83">
        <v>0.18323</v>
      </c>
      <c r="AG74" s="83">
        <v>2.5459300000000001E-2</v>
      </c>
      <c r="AH74" s="83">
        <v>6.4498999999999997E-3</v>
      </c>
      <c r="AI74" s="83">
        <v>0.17905799999999999</v>
      </c>
      <c r="AJ74" s="83">
        <v>2.5069299999999999E-2</v>
      </c>
      <c r="AK74" s="83">
        <v>6.4498999999999997E-3</v>
      </c>
      <c r="AL74" s="83">
        <v>0.17649000000000001</v>
      </c>
      <c r="AM74" s="83">
        <v>2.50212E-2</v>
      </c>
      <c r="AN74" s="83">
        <v>6.4498999999999997E-3</v>
      </c>
      <c r="AO74" s="83">
        <v>0.18281600000000001</v>
      </c>
      <c r="AP74" s="83">
        <v>2.59986E-2</v>
      </c>
      <c r="AQ74" s="83">
        <v>6.4498999999999997E-3</v>
      </c>
      <c r="AR74" s="83">
        <v>0.17685699999999999</v>
      </c>
      <c r="AS74" s="83">
        <v>2.5535800000000001E-2</v>
      </c>
      <c r="AT74" s="83">
        <v>6.4498999999999997E-3</v>
      </c>
      <c r="AU74" s="83">
        <v>0.17133799999999999</v>
      </c>
      <c r="AV74" s="83">
        <v>2.5129800000000001E-2</v>
      </c>
      <c r="AW74" s="83">
        <v>6.4498999999999997E-3</v>
      </c>
      <c r="AX74" s="83">
        <v>0.168489</v>
      </c>
      <c r="AY74" s="83">
        <v>2.4845599999999999E-2</v>
      </c>
      <c r="AZ74" s="83">
        <v>6.4498999999999997E-3</v>
      </c>
      <c r="BA74" s="83">
        <v>0.175704</v>
      </c>
      <c r="BB74" s="83">
        <v>2.59764E-2</v>
      </c>
      <c r="BC74" s="83">
        <v>6.4498999999999997E-3</v>
      </c>
      <c r="BD74" s="83">
        <v>0.16839699999999999</v>
      </c>
      <c r="BE74" s="83">
        <v>2.5255900000000001E-2</v>
      </c>
      <c r="BF74" s="83">
        <v>6.4498999999999997E-3</v>
      </c>
      <c r="BG74" s="83">
        <v>0.16503799999999999</v>
      </c>
      <c r="BH74" s="83">
        <v>2.5039700000000002E-2</v>
      </c>
      <c r="BI74" s="83">
        <v>6.4498999999999997E-3</v>
      </c>
      <c r="BJ74" s="83">
        <v>0.166573</v>
      </c>
      <c r="BK74" s="83">
        <v>2.54221E-2</v>
      </c>
      <c r="BL74" s="83">
        <v>6.4498999999999997E-3</v>
      </c>
      <c r="BM74" s="83">
        <v>0.16736799999999999</v>
      </c>
      <c r="BN74" s="83">
        <v>2.5715999999999999E-2</v>
      </c>
      <c r="BO74" s="83">
        <v>6.4498999999999997E-3</v>
      </c>
      <c r="BP74" s="83">
        <v>0.16236100000000001</v>
      </c>
      <c r="BQ74" s="83">
        <v>2.5286200000000002E-2</v>
      </c>
      <c r="BR74" s="83">
        <v>6.4498999999999997E-3</v>
      </c>
      <c r="BS74" s="83">
        <v>0.16513700000000001</v>
      </c>
      <c r="BT74" s="83">
        <v>2.5751300000000001E-2</v>
      </c>
      <c r="BU74" s="83">
        <v>6.4498999999999997E-3</v>
      </c>
      <c r="BV74" s="83">
        <v>0.16506000000000001</v>
      </c>
      <c r="BW74" s="83">
        <v>2.5963699999999999E-2</v>
      </c>
      <c r="BX74" s="83">
        <v>6.4498999999999997E-3</v>
      </c>
      <c r="BY74" s="83">
        <v>0.16143399999999999</v>
      </c>
      <c r="BZ74" s="83">
        <v>2.564E-2</v>
      </c>
      <c r="CA74" s="83">
        <v>6.4498999999999997E-3</v>
      </c>
      <c r="CB74" s="83">
        <v>0.154367</v>
      </c>
      <c r="CC74" s="83">
        <v>2.4919199999999999E-2</v>
      </c>
      <c r="CD74" s="83">
        <v>6.4498999999999997E-3</v>
      </c>
      <c r="CE74" s="83">
        <v>0.15269099999999999</v>
      </c>
      <c r="CF74" s="83">
        <v>2.4909000000000001E-2</v>
      </c>
      <c r="CG74" s="83">
        <v>6.4498999999999997E-3</v>
      </c>
      <c r="CH74" s="83">
        <v>0.155112</v>
      </c>
      <c r="CI74" s="83">
        <v>2.53209E-2</v>
      </c>
      <c r="CJ74" s="83">
        <v>6.4498999999999997E-3</v>
      </c>
      <c r="CK74" s="83">
        <v>0.15556500000000001</v>
      </c>
      <c r="CL74" s="83">
        <v>2.5668300000000002E-2</v>
      </c>
      <c r="CM74" s="83">
        <v>6.4498999999999997E-3</v>
      </c>
      <c r="CN74" s="83">
        <v>0.15069299999999999</v>
      </c>
      <c r="CO74" s="83">
        <v>2.5309999999999999E-2</v>
      </c>
      <c r="CP74" s="83">
        <v>6.4498999999999997E-3</v>
      </c>
      <c r="CQ74" s="83">
        <v>0.14641999999999999</v>
      </c>
      <c r="CR74" s="83">
        <v>2.4966200000000001E-2</v>
      </c>
      <c r="CS74" s="83">
        <v>6.4498999999999997E-3</v>
      </c>
      <c r="CT74" s="83">
        <v>0.150038</v>
      </c>
      <c r="CU74" s="83">
        <v>2.5771200000000001E-2</v>
      </c>
      <c r="CV74" s="83">
        <v>6.4498999999999997E-3</v>
      </c>
      <c r="CW74" s="83">
        <v>0.13997999999999999</v>
      </c>
      <c r="CX74" s="83">
        <v>2.4888299999999999E-2</v>
      </c>
    </row>
    <row r="75" spans="1:102" x14ac:dyDescent="0.2">
      <c r="A75" s="83">
        <v>6.5499E-3</v>
      </c>
      <c r="B75" s="83">
        <v>0.166186</v>
      </c>
      <c r="C75" s="83">
        <v>2.3537099999999998E-2</v>
      </c>
      <c r="D75" s="83">
        <v>6.5499E-3</v>
      </c>
      <c r="E75" s="83">
        <v>0.17233299999999999</v>
      </c>
      <c r="F75" s="83">
        <v>2.4193200000000002E-2</v>
      </c>
      <c r="G75" s="83">
        <v>6.5499E-3</v>
      </c>
      <c r="H75" s="83">
        <v>0.172211</v>
      </c>
      <c r="I75" s="83">
        <v>2.3964599999999999E-2</v>
      </c>
      <c r="J75" s="83">
        <v>6.5499E-3</v>
      </c>
      <c r="K75" s="83">
        <v>0.16989899999999999</v>
      </c>
      <c r="L75" s="83">
        <v>2.36321E-2</v>
      </c>
      <c r="M75" s="83">
        <v>6.5499E-3</v>
      </c>
      <c r="N75" s="83">
        <v>0.17328299999999999</v>
      </c>
      <c r="O75" s="83">
        <v>2.3870100000000002E-2</v>
      </c>
      <c r="P75" s="83">
        <v>6.5499E-3</v>
      </c>
      <c r="Q75" s="83">
        <v>0.179733</v>
      </c>
      <c r="R75" s="83">
        <v>2.4358999999999999E-2</v>
      </c>
      <c r="S75" s="83">
        <v>6.5499E-3</v>
      </c>
      <c r="T75" s="83">
        <v>0.18184600000000001</v>
      </c>
      <c r="U75" s="83">
        <v>2.4489299999999999E-2</v>
      </c>
      <c r="V75" s="83">
        <v>6.5499E-3</v>
      </c>
      <c r="W75" s="83">
        <v>0.17648900000000001</v>
      </c>
      <c r="X75" s="83">
        <v>2.4085599999999999E-2</v>
      </c>
      <c r="Y75" s="83">
        <v>6.5499E-3</v>
      </c>
      <c r="Z75" s="83">
        <v>0.17864099999999999</v>
      </c>
      <c r="AA75" s="83">
        <v>2.44026E-2</v>
      </c>
      <c r="AB75" s="83">
        <v>6.5499E-3</v>
      </c>
      <c r="AC75" s="83">
        <v>0.17280300000000001</v>
      </c>
      <c r="AD75" s="83">
        <v>2.4037300000000001E-2</v>
      </c>
      <c r="AE75" s="83">
        <v>6.5499E-3</v>
      </c>
      <c r="AF75" s="83">
        <v>0.17302500000000001</v>
      </c>
      <c r="AG75" s="83">
        <v>2.4274799999999999E-2</v>
      </c>
      <c r="AH75" s="83">
        <v>6.5499E-3</v>
      </c>
      <c r="AI75" s="83">
        <v>0.168853</v>
      </c>
      <c r="AJ75" s="83">
        <v>2.38867E-2</v>
      </c>
      <c r="AK75" s="83">
        <v>6.5499E-3</v>
      </c>
      <c r="AL75" s="83">
        <v>0.16677800000000001</v>
      </c>
      <c r="AM75" s="83">
        <v>2.3851299999999999E-2</v>
      </c>
      <c r="AN75" s="83">
        <v>6.5499E-3</v>
      </c>
      <c r="AO75" s="83">
        <v>0.17252799999999999</v>
      </c>
      <c r="AP75" s="83">
        <v>2.48004E-2</v>
      </c>
      <c r="AQ75" s="83">
        <v>6.5499E-3</v>
      </c>
      <c r="AR75" s="83">
        <v>0.16695399999999999</v>
      </c>
      <c r="AS75" s="83">
        <v>2.4325800000000002E-2</v>
      </c>
      <c r="AT75" s="83">
        <v>6.5499E-3</v>
      </c>
      <c r="AU75" s="83">
        <v>0.16207099999999999</v>
      </c>
      <c r="AV75" s="83">
        <v>2.39423E-2</v>
      </c>
      <c r="AW75" s="83">
        <v>6.5499E-3</v>
      </c>
      <c r="AX75" s="83">
        <v>0.15904099999999999</v>
      </c>
      <c r="AY75" s="83">
        <v>2.36893E-2</v>
      </c>
      <c r="AZ75" s="83">
        <v>6.5499E-3</v>
      </c>
      <c r="BA75" s="83">
        <v>0.16576199999999999</v>
      </c>
      <c r="BB75" s="83">
        <v>2.4784E-2</v>
      </c>
      <c r="BC75" s="83">
        <v>6.5499E-3</v>
      </c>
      <c r="BD75" s="83">
        <v>0.158807</v>
      </c>
      <c r="BE75" s="83">
        <v>2.4086E-2</v>
      </c>
      <c r="BF75" s="83">
        <v>6.5499E-3</v>
      </c>
      <c r="BG75" s="83">
        <v>0.155888</v>
      </c>
      <c r="BH75" s="83">
        <v>2.3888300000000001E-2</v>
      </c>
      <c r="BI75" s="83">
        <v>6.5499E-3</v>
      </c>
      <c r="BJ75" s="83">
        <v>0.157384</v>
      </c>
      <c r="BK75" s="83">
        <v>2.42502E-2</v>
      </c>
      <c r="BL75" s="83">
        <v>6.5499E-3</v>
      </c>
      <c r="BM75" s="83">
        <v>0.15767500000000001</v>
      </c>
      <c r="BN75" s="83">
        <v>2.4507000000000001E-2</v>
      </c>
      <c r="BO75" s="83">
        <v>6.5499E-3</v>
      </c>
      <c r="BP75" s="83">
        <v>0.15310799999999999</v>
      </c>
      <c r="BQ75" s="83">
        <v>2.4120099999999998E-2</v>
      </c>
      <c r="BR75" s="83">
        <v>6.5499E-3</v>
      </c>
      <c r="BS75" s="83">
        <v>0.155474</v>
      </c>
      <c r="BT75" s="83">
        <v>2.4535399999999999E-2</v>
      </c>
      <c r="BU75" s="83">
        <v>6.5499E-3</v>
      </c>
      <c r="BV75" s="83">
        <v>0.15601699999999999</v>
      </c>
      <c r="BW75" s="83">
        <v>2.47508E-2</v>
      </c>
      <c r="BX75" s="83">
        <v>6.5499E-3</v>
      </c>
      <c r="BY75" s="83">
        <v>0.15221499999999999</v>
      </c>
      <c r="BZ75" s="83">
        <v>2.44359E-2</v>
      </c>
      <c r="CA75" s="83">
        <v>6.5499E-3</v>
      </c>
      <c r="CB75" s="83">
        <v>0.145148</v>
      </c>
      <c r="CC75" s="83">
        <v>2.3761899999999999E-2</v>
      </c>
      <c r="CD75" s="83">
        <v>6.5499E-3</v>
      </c>
      <c r="CE75" s="83">
        <v>0.143623</v>
      </c>
      <c r="CF75" s="83">
        <v>2.3737100000000001E-2</v>
      </c>
      <c r="CG75" s="83">
        <v>6.5499E-3</v>
      </c>
      <c r="CH75" s="83">
        <v>0.14621999999999999</v>
      </c>
      <c r="CI75" s="83">
        <v>2.4150000000000001E-2</v>
      </c>
      <c r="CJ75" s="83">
        <v>6.5499E-3</v>
      </c>
      <c r="CK75" s="83">
        <v>0.14624799999999999</v>
      </c>
      <c r="CL75" s="83">
        <v>2.4467099999999999E-2</v>
      </c>
      <c r="CM75" s="83">
        <v>6.5499E-3</v>
      </c>
      <c r="CN75" s="83">
        <v>0.14177699999999999</v>
      </c>
      <c r="CO75" s="83">
        <v>2.4137200000000001E-2</v>
      </c>
      <c r="CP75" s="83">
        <v>6.5499E-3</v>
      </c>
      <c r="CQ75" s="83">
        <v>0.137182</v>
      </c>
      <c r="CR75" s="83">
        <v>2.3810899999999999E-2</v>
      </c>
      <c r="CS75" s="83">
        <v>6.5499E-3</v>
      </c>
      <c r="CT75" s="83">
        <v>0.14088300000000001</v>
      </c>
      <c r="CU75" s="83">
        <v>2.4557300000000001E-2</v>
      </c>
      <c r="CV75" s="83">
        <v>6.5499E-3</v>
      </c>
      <c r="CW75" s="83">
        <v>0.13164000000000001</v>
      </c>
      <c r="CX75" s="83">
        <v>2.3731100000000001E-2</v>
      </c>
    </row>
    <row r="76" spans="1:102" x14ac:dyDescent="0.2">
      <c r="A76" s="83">
        <v>6.6499000000000003E-3</v>
      </c>
      <c r="B76" s="83">
        <v>0.15720600000000001</v>
      </c>
      <c r="C76" s="83">
        <v>2.2452099999999999E-2</v>
      </c>
      <c r="D76" s="83">
        <v>6.6499000000000003E-3</v>
      </c>
      <c r="E76" s="83">
        <v>0.16336300000000001</v>
      </c>
      <c r="F76" s="83">
        <v>2.3050600000000001E-2</v>
      </c>
      <c r="G76" s="83">
        <v>6.6499000000000003E-3</v>
      </c>
      <c r="H76" s="83">
        <v>0.16277700000000001</v>
      </c>
      <c r="I76" s="83">
        <v>2.28387E-2</v>
      </c>
      <c r="J76" s="83">
        <v>6.6499000000000003E-3</v>
      </c>
      <c r="K76" s="83">
        <v>0.161105</v>
      </c>
      <c r="L76" s="83">
        <v>2.2509100000000001E-2</v>
      </c>
      <c r="M76" s="83">
        <v>6.6499000000000003E-3</v>
      </c>
      <c r="N76" s="83">
        <v>0.163908</v>
      </c>
      <c r="O76" s="83">
        <v>2.2750900000000001E-2</v>
      </c>
      <c r="P76" s="83">
        <v>6.6499000000000003E-3</v>
      </c>
      <c r="Q76" s="83">
        <v>0.16942499999999999</v>
      </c>
      <c r="R76" s="83">
        <v>2.3195899999999998E-2</v>
      </c>
      <c r="S76" s="83">
        <v>6.6499000000000003E-3</v>
      </c>
      <c r="T76" s="83">
        <v>0.17172399999999999</v>
      </c>
      <c r="U76" s="83">
        <v>2.3335000000000002E-2</v>
      </c>
      <c r="V76" s="83">
        <v>6.6499000000000003E-3</v>
      </c>
      <c r="W76" s="83">
        <v>0.16708500000000001</v>
      </c>
      <c r="X76" s="83">
        <v>2.2949899999999999E-2</v>
      </c>
      <c r="Y76" s="83">
        <v>6.6499000000000003E-3</v>
      </c>
      <c r="Z76" s="83">
        <v>0.16891999999999999</v>
      </c>
      <c r="AA76" s="83">
        <v>2.3254199999999999E-2</v>
      </c>
      <c r="AB76" s="83">
        <v>6.6499000000000003E-3</v>
      </c>
      <c r="AC76" s="83">
        <v>0.16347700000000001</v>
      </c>
      <c r="AD76" s="83">
        <v>2.2913300000000001E-2</v>
      </c>
      <c r="AE76" s="83">
        <v>6.6499000000000003E-3</v>
      </c>
      <c r="AF76" s="83">
        <v>0.16362499999999999</v>
      </c>
      <c r="AG76" s="83">
        <v>2.3128300000000001E-2</v>
      </c>
      <c r="AH76" s="83">
        <v>6.6499000000000003E-3</v>
      </c>
      <c r="AI76" s="83">
        <v>0.159302</v>
      </c>
      <c r="AJ76" s="83">
        <v>2.2787100000000001E-2</v>
      </c>
      <c r="AK76" s="83">
        <v>6.6499000000000003E-3</v>
      </c>
      <c r="AL76" s="83">
        <v>0.15804199999999999</v>
      </c>
      <c r="AM76" s="83">
        <v>2.2741899999999999E-2</v>
      </c>
      <c r="AN76" s="83">
        <v>6.6499000000000003E-3</v>
      </c>
      <c r="AO76" s="83">
        <v>0.16261600000000001</v>
      </c>
      <c r="AP76" s="83">
        <v>2.36373E-2</v>
      </c>
      <c r="AQ76" s="83">
        <v>6.6499000000000003E-3</v>
      </c>
      <c r="AR76" s="83">
        <v>0.15790599999999999</v>
      </c>
      <c r="AS76" s="83">
        <v>2.3203700000000001E-2</v>
      </c>
      <c r="AT76" s="83">
        <v>6.6499000000000003E-3</v>
      </c>
      <c r="AU76" s="83">
        <v>0.15288099999999999</v>
      </c>
      <c r="AV76" s="83">
        <v>2.28066E-2</v>
      </c>
      <c r="AW76" s="83">
        <v>6.6499000000000003E-3</v>
      </c>
      <c r="AX76" s="83">
        <v>0.14998300000000001</v>
      </c>
      <c r="AY76" s="83">
        <v>2.2575000000000001E-2</v>
      </c>
      <c r="AZ76" s="83">
        <v>6.6499000000000003E-3</v>
      </c>
      <c r="BA76" s="83">
        <v>0.15692500000000001</v>
      </c>
      <c r="BB76" s="83">
        <v>2.3610200000000001E-2</v>
      </c>
      <c r="BC76" s="83">
        <v>6.6499000000000003E-3</v>
      </c>
      <c r="BD76" s="83">
        <v>0.14993000000000001</v>
      </c>
      <c r="BE76" s="83">
        <v>2.2949299999999999E-2</v>
      </c>
      <c r="BF76" s="83">
        <v>6.6499000000000003E-3</v>
      </c>
      <c r="BG76" s="83">
        <v>0.14671799999999999</v>
      </c>
      <c r="BH76" s="83">
        <v>2.2750599999999999E-2</v>
      </c>
      <c r="BI76" s="83">
        <v>6.6499000000000003E-3</v>
      </c>
      <c r="BJ76" s="83">
        <v>0.14827299999999999</v>
      </c>
      <c r="BK76" s="83">
        <v>2.3139799999999999E-2</v>
      </c>
      <c r="BL76" s="83">
        <v>6.6499000000000003E-3</v>
      </c>
      <c r="BM76" s="83">
        <v>0.14855399999999999</v>
      </c>
      <c r="BN76" s="83">
        <v>2.3380100000000001E-2</v>
      </c>
      <c r="BO76" s="83">
        <v>6.6499000000000003E-3</v>
      </c>
      <c r="BP76" s="83">
        <v>0.14422599999999999</v>
      </c>
      <c r="BQ76" s="83">
        <v>2.2969699999999999E-2</v>
      </c>
      <c r="BR76" s="83">
        <v>6.6499000000000003E-3</v>
      </c>
      <c r="BS76" s="83">
        <v>0.14679700000000001</v>
      </c>
      <c r="BT76" s="83">
        <v>2.33919E-2</v>
      </c>
      <c r="BU76" s="83">
        <v>6.6499000000000003E-3</v>
      </c>
      <c r="BV76" s="83">
        <v>0.14671999999999999</v>
      </c>
      <c r="BW76" s="83">
        <v>2.3595499999999998E-2</v>
      </c>
      <c r="BX76" s="83">
        <v>6.6499000000000003E-3</v>
      </c>
      <c r="BY76" s="83">
        <v>0.14335300000000001</v>
      </c>
      <c r="BZ76" s="83">
        <v>2.3292299999999998E-2</v>
      </c>
      <c r="CA76" s="83">
        <v>6.6499000000000003E-3</v>
      </c>
      <c r="CB76" s="83">
        <v>0.13595399999999999</v>
      </c>
      <c r="CC76" s="83">
        <v>2.2634000000000001E-2</v>
      </c>
      <c r="CD76" s="83">
        <v>6.6499000000000003E-3</v>
      </c>
      <c r="CE76" s="83">
        <v>0.13510800000000001</v>
      </c>
      <c r="CF76" s="83">
        <v>2.2632699999999999E-2</v>
      </c>
      <c r="CG76" s="83">
        <v>6.6499000000000003E-3</v>
      </c>
      <c r="CH76" s="83">
        <v>0.13680600000000001</v>
      </c>
      <c r="CI76" s="83">
        <v>2.30133E-2</v>
      </c>
      <c r="CJ76" s="83">
        <v>6.6499000000000003E-3</v>
      </c>
      <c r="CK76" s="83">
        <v>0.13774700000000001</v>
      </c>
      <c r="CL76" s="83">
        <v>2.3297200000000001E-2</v>
      </c>
      <c r="CM76" s="83">
        <v>6.6499000000000003E-3</v>
      </c>
      <c r="CN76" s="83">
        <v>0.13314899999999999</v>
      </c>
      <c r="CO76" s="83">
        <v>2.2985800000000001E-2</v>
      </c>
      <c r="CP76" s="83">
        <v>6.6499000000000003E-3</v>
      </c>
      <c r="CQ76" s="83">
        <v>0.129242</v>
      </c>
      <c r="CR76" s="83">
        <v>2.2682000000000001E-2</v>
      </c>
      <c r="CS76" s="83">
        <v>6.6499000000000003E-3</v>
      </c>
      <c r="CT76" s="83">
        <v>0.131967</v>
      </c>
      <c r="CU76" s="83">
        <v>2.3406900000000001E-2</v>
      </c>
      <c r="CV76" s="83">
        <v>6.6499000000000003E-3</v>
      </c>
      <c r="CW76" s="83">
        <v>0.123667</v>
      </c>
      <c r="CX76" s="83">
        <v>2.2613899999999999E-2</v>
      </c>
    </row>
    <row r="77" spans="1:102" x14ac:dyDescent="0.2">
      <c r="A77" s="83">
        <v>6.7498999999999997E-3</v>
      </c>
      <c r="B77" s="83">
        <v>0.148427</v>
      </c>
      <c r="C77" s="83">
        <v>2.1360299999999999E-2</v>
      </c>
      <c r="D77" s="83">
        <v>6.7498999999999997E-3</v>
      </c>
      <c r="E77" s="83">
        <v>0.15453</v>
      </c>
      <c r="F77" s="83">
        <v>2.1953899999999998E-2</v>
      </c>
      <c r="G77" s="83">
        <v>6.7498999999999997E-3</v>
      </c>
      <c r="H77" s="83">
        <v>0.154144</v>
      </c>
      <c r="I77" s="83">
        <v>2.1757599999999998E-2</v>
      </c>
      <c r="J77" s="83">
        <v>6.7498999999999997E-3</v>
      </c>
      <c r="K77" s="83">
        <v>0.15229100000000001</v>
      </c>
      <c r="L77" s="83">
        <v>2.1445599999999999E-2</v>
      </c>
      <c r="M77" s="83">
        <v>6.7498999999999997E-3</v>
      </c>
      <c r="N77" s="83">
        <v>0.15510499999999999</v>
      </c>
      <c r="O77" s="83">
        <v>2.1649399999999999E-2</v>
      </c>
      <c r="P77" s="83">
        <v>6.7498999999999997E-3</v>
      </c>
      <c r="Q77" s="83">
        <v>0.16058700000000001</v>
      </c>
      <c r="R77" s="83">
        <v>2.2130500000000001E-2</v>
      </c>
      <c r="S77" s="83">
        <v>6.7498999999999997E-3</v>
      </c>
      <c r="T77" s="83">
        <v>0.162462</v>
      </c>
      <c r="U77" s="83">
        <v>2.22422E-2</v>
      </c>
      <c r="V77" s="83">
        <v>6.7498999999999997E-3</v>
      </c>
      <c r="W77" s="83">
        <v>0.157724</v>
      </c>
      <c r="X77" s="83">
        <v>2.18718E-2</v>
      </c>
      <c r="Y77" s="83">
        <v>6.7498999999999997E-3</v>
      </c>
      <c r="Z77" s="83">
        <v>0.159828</v>
      </c>
      <c r="AA77" s="83">
        <v>2.2190700000000001E-2</v>
      </c>
      <c r="AB77" s="83">
        <v>6.7498999999999997E-3</v>
      </c>
      <c r="AC77" s="83">
        <v>0.154502</v>
      </c>
      <c r="AD77" s="83">
        <v>2.1834200000000002E-2</v>
      </c>
      <c r="AE77" s="83">
        <v>6.7498999999999997E-3</v>
      </c>
      <c r="AF77" s="83">
        <v>0.154695</v>
      </c>
      <c r="AG77" s="83">
        <v>2.2031599999999998E-2</v>
      </c>
      <c r="AH77" s="83">
        <v>6.7498999999999997E-3</v>
      </c>
      <c r="AI77" s="83">
        <v>0.15030299999999999</v>
      </c>
      <c r="AJ77" s="83">
        <v>2.17041E-2</v>
      </c>
      <c r="AK77" s="83">
        <v>6.7498999999999997E-3</v>
      </c>
      <c r="AL77" s="83">
        <v>0.14926800000000001</v>
      </c>
      <c r="AM77" s="83">
        <v>2.1649100000000001E-2</v>
      </c>
      <c r="AN77" s="83">
        <v>6.7498999999999997E-3</v>
      </c>
      <c r="AO77" s="83">
        <v>0.15326000000000001</v>
      </c>
      <c r="AP77" s="83">
        <v>2.25338E-2</v>
      </c>
      <c r="AQ77" s="83">
        <v>6.7498999999999997E-3</v>
      </c>
      <c r="AR77" s="83">
        <v>0.149005</v>
      </c>
      <c r="AS77" s="83">
        <v>2.2134399999999999E-2</v>
      </c>
      <c r="AT77" s="83">
        <v>6.7498999999999997E-3</v>
      </c>
      <c r="AU77" s="83">
        <v>0.14405299999999999</v>
      </c>
      <c r="AV77" s="83">
        <v>2.17451E-2</v>
      </c>
      <c r="AW77" s="83">
        <v>6.7498999999999997E-3</v>
      </c>
      <c r="AX77" s="83">
        <v>0.14146300000000001</v>
      </c>
      <c r="AY77" s="83">
        <v>2.1508599999999999E-2</v>
      </c>
      <c r="AZ77" s="83">
        <v>6.7498999999999997E-3</v>
      </c>
      <c r="BA77" s="83">
        <v>0.14766199999999999</v>
      </c>
      <c r="BB77" s="83">
        <v>2.2519399999999998E-2</v>
      </c>
      <c r="BC77" s="83">
        <v>6.7498999999999997E-3</v>
      </c>
      <c r="BD77" s="83">
        <v>0.14144399999999999</v>
      </c>
      <c r="BE77" s="83">
        <v>2.18643E-2</v>
      </c>
      <c r="BF77" s="83">
        <v>6.7498999999999997E-3</v>
      </c>
      <c r="BG77" s="83">
        <v>0.13814399999999999</v>
      </c>
      <c r="BH77" s="83">
        <v>2.1688099999999998E-2</v>
      </c>
      <c r="BI77" s="83">
        <v>6.7498999999999997E-3</v>
      </c>
      <c r="BJ77" s="83">
        <v>0.13994799999999999</v>
      </c>
      <c r="BK77" s="83">
        <v>2.20354E-2</v>
      </c>
      <c r="BL77" s="83">
        <v>6.7498999999999997E-3</v>
      </c>
      <c r="BM77" s="83">
        <v>0.13989199999999999</v>
      </c>
      <c r="BN77" s="83">
        <v>2.2244300000000002E-2</v>
      </c>
      <c r="BO77" s="83">
        <v>6.7498999999999997E-3</v>
      </c>
      <c r="BP77" s="83">
        <v>0.13550000000000001</v>
      </c>
      <c r="BQ77" s="83">
        <v>2.18975E-2</v>
      </c>
      <c r="BR77" s="83">
        <v>6.7498999999999997E-3</v>
      </c>
      <c r="BS77" s="83">
        <v>0.137793</v>
      </c>
      <c r="BT77" s="83">
        <v>2.2277600000000002E-2</v>
      </c>
      <c r="BU77" s="83">
        <v>6.7498999999999997E-3</v>
      </c>
      <c r="BV77" s="83">
        <v>0.138151</v>
      </c>
      <c r="BW77" s="83">
        <v>2.2494E-2</v>
      </c>
      <c r="BX77" s="83">
        <v>6.7498999999999997E-3</v>
      </c>
      <c r="BY77" s="83">
        <v>0.13422200000000001</v>
      </c>
      <c r="BZ77" s="83">
        <v>2.2210299999999999E-2</v>
      </c>
      <c r="CA77" s="83">
        <v>6.7498999999999997E-3</v>
      </c>
      <c r="CB77" s="83">
        <v>0.12823399999999999</v>
      </c>
      <c r="CC77" s="83">
        <v>2.1575400000000002E-2</v>
      </c>
      <c r="CD77" s="83">
        <v>6.7498999999999997E-3</v>
      </c>
      <c r="CE77" s="83">
        <v>0.12663099999999999</v>
      </c>
      <c r="CF77" s="83">
        <v>2.1564300000000002E-2</v>
      </c>
      <c r="CG77" s="83">
        <v>6.7498999999999997E-3</v>
      </c>
      <c r="CH77" s="83">
        <v>0.12859799999999999</v>
      </c>
      <c r="CI77" s="83">
        <v>2.1916600000000001E-2</v>
      </c>
      <c r="CJ77" s="83">
        <v>6.7498999999999997E-3</v>
      </c>
      <c r="CK77" s="83">
        <v>0.12895300000000001</v>
      </c>
      <c r="CL77" s="83">
        <v>2.22201E-2</v>
      </c>
      <c r="CM77" s="83">
        <v>6.7498999999999997E-3</v>
      </c>
      <c r="CN77" s="83">
        <v>0.125024</v>
      </c>
      <c r="CO77" s="83">
        <v>2.19086E-2</v>
      </c>
      <c r="CP77" s="83">
        <v>6.7498999999999997E-3</v>
      </c>
      <c r="CQ77" s="83">
        <v>0.12115099999999999</v>
      </c>
      <c r="CR77" s="83">
        <v>2.1588300000000001E-2</v>
      </c>
      <c r="CS77" s="83">
        <v>6.7498999999999997E-3</v>
      </c>
      <c r="CT77" s="83">
        <v>0.12403699999999999</v>
      </c>
      <c r="CU77" s="83">
        <v>2.2322000000000002E-2</v>
      </c>
      <c r="CV77" s="83">
        <v>6.7498999999999997E-3</v>
      </c>
      <c r="CW77" s="83">
        <v>0.11602</v>
      </c>
      <c r="CX77" s="83">
        <v>2.15494E-2</v>
      </c>
    </row>
    <row r="78" spans="1:102" x14ac:dyDescent="0.2">
      <c r="A78" s="83">
        <v>6.8498999999999999E-3</v>
      </c>
      <c r="B78" s="83">
        <v>0.140766</v>
      </c>
      <c r="C78" s="83">
        <v>2.0352499999999999E-2</v>
      </c>
      <c r="D78" s="83">
        <v>6.8498999999999999E-3</v>
      </c>
      <c r="E78" s="83">
        <v>0.14637600000000001</v>
      </c>
      <c r="F78" s="83">
        <v>2.0924600000000002E-2</v>
      </c>
      <c r="G78" s="83">
        <v>6.8498999999999999E-3</v>
      </c>
      <c r="H78" s="83">
        <v>0.14548700000000001</v>
      </c>
      <c r="I78" s="83">
        <v>2.0698000000000001E-2</v>
      </c>
      <c r="J78" s="83">
        <v>6.8498999999999999E-3</v>
      </c>
      <c r="K78" s="83">
        <v>0.14377100000000001</v>
      </c>
      <c r="L78" s="83">
        <v>2.04417E-2</v>
      </c>
      <c r="M78" s="83">
        <v>6.8498999999999999E-3</v>
      </c>
      <c r="N78" s="83">
        <v>0.14629600000000001</v>
      </c>
      <c r="O78" s="83">
        <v>2.0590799999999999E-2</v>
      </c>
      <c r="P78" s="83">
        <v>6.8498999999999999E-3</v>
      </c>
      <c r="Q78" s="83">
        <v>0.15185699999999999</v>
      </c>
      <c r="R78" s="83">
        <v>2.10709E-2</v>
      </c>
      <c r="S78" s="83">
        <v>6.8498999999999999E-3</v>
      </c>
      <c r="T78" s="83">
        <v>0.15376500000000001</v>
      </c>
      <c r="U78" s="83">
        <v>2.1181700000000001E-2</v>
      </c>
      <c r="V78" s="83">
        <v>6.8498999999999999E-3</v>
      </c>
      <c r="W78" s="83">
        <v>0.149033</v>
      </c>
      <c r="X78" s="83">
        <v>2.0816100000000001E-2</v>
      </c>
      <c r="Y78" s="83">
        <v>6.8498999999999999E-3</v>
      </c>
      <c r="Z78" s="83">
        <v>0.150672</v>
      </c>
      <c r="AA78" s="83">
        <v>2.11077E-2</v>
      </c>
      <c r="AB78" s="83">
        <v>6.8498999999999999E-3</v>
      </c>
      <c r="AC78" s="83">
        <v>0.14593300000000001</v>
      </c>
      <c r="AD78" s="83">
        <v>2.0785399999999999E-2</v>
      </c>
      <c r="AE78" s="83">
        <v>6.8498999999999999E-3</v>
      </c>
      <c r="AF78" s="83">
        <v>0.14610600000000001</v>
      </c>
      <c r="AG78" s="83">
        <v>2.0992500000000001E-2</v>
      </c>
      <c r="AH78" s="83">
        <v>6.8498999999999999E-3</v>
      </c>
      <c r="AI78" s="83">
        <v>0.141514</v>
      </c>
      <c r="AJ78" s="83">
        <v>2.0640599999999999E-2</v>
      </c>
      <c r="AK78" s="83">
        <v>6.8498999999999999E-3</v>
      </c>
      <c r="AL78" s="83">
        <v>0.14039099999999999</v>
      </c>
      <c r="AM78" s="83">
        <v>2.0611999999999998E-2</v>
      </c>
      <c r="AN78" s="83">
        <v>6.8498999999999999E-3</v>
      </c>
      <c r="AO78" s="83">
        <v>0.14466200000000001</v>
      </c>
      <c r="AP78" s="83">
        <v>2.14401E-2</v>
      </c>
      <c r="AQ78" s="83">
        <v>6.8498999999999999E-3</v>
      </c>
      <c r="AR78" s="83">
        <v>0.14063100000000001</v>
      </c>
      <c r="AS78" s="83">
        <v>2.1071900000000001E-2</v>
      </c>
      <c r="AT78" s="83">
        <v>6.8498999999999999E-3</v>
      </c>
      <c r="AU78" s="83">
        <v>0.13572799999999999</v>
      </c>
      <c r="AV78" s="83">
        <v>2.07011E-2</v>
      </c>
      <c r="AW78" s="83">
        <v>6.8498999999999999E-3</v>
      </c>
      <c r="AX78" s="83">
        <v>0.13275700000000001</v>
      </c>
      <c r="AY78" s="83">
        <v>2.0455899999999999E-2</v>
      </c>
      <c r="AZ78" s="83">
        <v>6.8498999999999999E-3</v>
      </c>
      <c r="BA78" s="83">
        <v>0.139151</v>
      </c>
      <c r="BB78" s="83">
        <v>2.1434399999999999E-2</v>
      </c>
      <c r="BC78" s="83">
        <v>6.8498999999999999E-3</v>
      </c>
      <c r="BD78" s="83">
        <v>0.13289899999999999</v>
      </c>
      <c r="BE78" s="83">
        <v>2.0809600000000001E-2</v>
      </c>
      <c r="BF78" s="83">
        <v>6.8498999999999999E-3</v>
      </c>
      <c r="BG78" s="83">
        <v>0.12978899999999999</v>
      </c>
      <c r="BH78" s="83">
        <v>2.0648099999999999E-2</v>
      </c>
      <c r="BI78" s="83">
        <v>6.8498999999999999E-3</v>
      </c>
      <c r="BJ78" s="83">
        <v>0.131661</v>
      </c>
      <c r="BK78" s="83">
        <v>2.0970900000000001E-2</v>
      </c>
      <c r="BL78" s="83">
        <v>6.8498999999999999E-3</v>
      </c>
      <c r="BM78" s="83">
        <v>0.131743</v>
      </c>
      <c r="BN78" s="83">
        <v>2.12111E-2</v>
      </c>
      <c r="BO78" s="83">
        <v>6.8498999999999999E-3</v>
      </c>
      <c r="BP78" s="83">
        <v>0.12747800000000001</v>
      </c>
      <c r="BQ78" s="83">
        <v>2.0878899999999999E-2</v>
      </c>
      <c r="BR78" s="83">
        <v>6.8498999999999999E-3</v>
      </c>
      <c r="BS78" s="83">
        <v>0.12934599999999999</v>
      </c>
      <c r="BT78" s="83">
        <v>2.1221E-2</v>
      </c>
      <c r="BU78" s="83">
        <v>6.8498999999999999E-3</v>
      </c>
      <c r="BV78" s="83">
        <v>0.12975700000000001</v>
      </c>
      <c r="BW78" s="83">
        <v>2.14197E-2</v>
      </c>
      <c r="BX78" s="83">
        <v>6.8498999999999999E-3</v>
      </c>
      <c r="BY78" s="83">
        <v>0.12615499999999999</v>
      </c>
      <c r="BZ78" s="83">
        <v>2.1142899999999999E-2</v>
      </c>
      <c r="CA78" s="83">
        <v>6.8498999999999999E-3</v>
      </c>
      <c r="CB78" s="83">
        <v>0.120431</v>
      </c>
      <c r="CC78" s="83">
        <v>2.05393E-2</v>
      </c>
      <c r="CD78" s="83">
        <v>6.8498999999999999E-3</v>
      </c>
      <c r="CE78" s="83">
        <v>0.119161</v>
      </c>
      <c r="CF78" s="83">
        <v>2.0508599999999998E-2</v>
      </c>
      <c r="CG78" s="83">
        <v>6.8498999999999999E-3</v>
      </c>
      <c r="CH78" s="83">
        <v>0.121132</v>
      </c>
      <c r="CI78" s="83">
        <v>2.0898099999999999E-2</v>
      </c>
      <c r="CJ78" s="83">
        <v>6.8498999999999999E-3</v>
      </c>
      <c r="CK78" s="83">
        <v>0.12163400000000001</v>
      </c>
      <c r="CL78" s="83">
        <v>2.1153700000000001E-2</v>
      </c>
      <c r="CM78" s="83">
        <v>6.8498999999999999E-3</v>
      </c>
      <c r="CN78" s="83">
        <v>0.11749900000000001</v>
      </c>
      <c r="CO78" s="83">
        <v>2.0848100000000001E-2</v>
      </c>
      <c r="CP78" s="83">
        <v>6.8498999999999999E-3</v>
      </c>
      <c r="CQ78" s="83">
        <v>0.113798</v>
      </c>
      <c r="CR78" s="83">
        <v>2.05697E-2</v>
      </c>
      <c r="CS78" s="83">
        <v>6.8498999999999999E-3</v>
      </c>
      <c r="CT78" s="83">
        <v>0.11623</v>
      </c>
      <c r="CU78" s="83">
        <v>2.1230200000000001E-2</v>
      </c>
      <c r="CV78" s="83">
        <v>6.8498999999999999E-3</v>
      </c>
      <c r="CW78" s="83">
        <v>0.108584</v>
      </c>
      <c r="CX78" s="83">
        <v>2.0483999999999999E-2</v>
      </c>
    </row>
    <row r="79" spans="1:102" x14ac:dyDescent="0.2">
      <c r="A79" s="83">
        <v>6.9499000000000002E-3</v>
      </c>
      <c r="B79" s="83">
        <v>0.132524</v>
      </c>
      <c r="C79" s="83">
        <v>1.9378900000000001E-2</v>
      </c>
      <c r="D79" s="83">
        <v>6.9499000000000002E-3</v>
      </c>
      <c r="E79" s="83">
        <v>0.13764100000000001</v>
      </c>
      <c r="F79" s="83">
        <v>1.9913899999999998E-2</v>
      </c>
      <c r="G79" s="83">
        <v>6.9499000000000002E-3</v>
      </c>
      <c r="H79" s="83">
        <v>0.137294</v>
      </c>
      <c r="I79" s="83">
        <v>1.9716600000000001E-2</v>
      </c>
      <c r="J79" s="83">
        <v>6.9499000000000002E-3</v>
      </c>
      <c r="K79" s="83">
        <v>0.13573399999999999</v>
      </c>
      <c r="L79" s="83">
        <v>1.9440700000000002E-2</v>
      </c>
      <c r="M79" s="83">
        <v>6.9499000000000002E-3</v>
      </c>
      <c r="N79" s="83">
        <v>0.13810700000000001</v>
      </c>
      <c r="O79" s="83">
        <v>1.96162E-2</v>
      </c>
      <c r="P79" s="83">
        <v>6.9499000000000002E-3</v>
      </c>
      <c r="Q79" s="83">
        <v>0.14326800000000001</v>
      </c>
      <c r="R79" s="83">
        <v>2.0099200000000001E-2</v>
      </c>
      <c r="S79" s="83">
        <v>6.9499000000000002E-3</v>
      </c>
      <c r="T79" s="83">
        <v>0.14482999999999999</v>
      </c>
      <c r="U79" s="83">
        <v>2.0179699999999998E-2</v>
      </c>
      <c r="V79" s="83">
        <v>6.9499000000000002E-3</v>
      </c>
      <c r="W79" s="83">
        <v>0.141015</v>
      </c>
      <c r="X79" s="83">
        <v>1.9817999999999999E-2</v>
      </c>
      <c r="Y79" s="83">
        <v>6.9499000000000002E-3</v>
      </c>
      <c r="Z79" s="83">
        <v>0.142377</v>
      </c>
      <c r="AA79" s="83">
        <v>2.0122399999999999E-2</v>
      </c>
      <c r="AB79" s="83">
        <v>6.9499000000000002E-3</v>
      </c>
      <c r="AC79" s="83">
        <v>0.13753000000000001</v>
      </c>
      <c r="AD79" s="83">
        <v>1.9802E-2</v>
      </c>
      <c r="AE79" s="83">
        <v>6.9499000000000002E-3</v>
      </c>
      <c r="AF79" s="83">
        <v>0.137209</v>
      </c>
      <c r="AG79" s="83">
        <v>1.9993500000000001E-2</v>
      </c>
      <c r="AH79" s="83">
        <v>6.9499000000000002E-3</v>
      </c>
      <c r="AI79" s="83">
        <v>0.133907</v>
      </c>
      <c r="AJ79" s="83">
        <v>1.9682600000000001E-2</v>
      </c>
      <c r="AK79" s="83">
        <v>6.9499000000000002E-3</v>
      </c>
      <c r="AL79" s="83">
        <v>0.13250999999999999</v>
      </c>
      <c r="AM79" s="83">
        <v>1.9642300000000001E-2</v>
      </c>
      <c r="AN79" s="83">
        <v>6.9499000000000002E-3</v>
      </c>
      <c r="AO79" s="83">
        <v>0.13605800000000001</v>
      </c>
      <c r="AP79" s="83">
        <v>2.0442999999999999E-2</v>
      </c>
      <c r="AQ79" s="83">
        <v>6.9499000000000002E-3</v>
      </c>
      <c r="AR79" s="83">
        <v>0.13244800000000001</v>
      </c>
      <c r="AS79" s="83">
        <v>2.0082599999999999E-2</v>
      </c>
      <c r="AT79" s="83">
        <v>6.9499000000000002E-3</v>
      </c>
      <c r="AU79" s="83">
        <v>0.12803300000000001</v>
      </c>
      <c r="AV79" s="83">
        <v>1.97372E-2</v>
      </c>
      <c r="AW79" s="83">
        <v>6.9499000000000002E-3</v>
      </c>
      <c r="AX79" s="83">
        <v>0.12559400000000001</v>
      </c>
      <c r="AY79" s="83">
        <v>1.9493E-2</v>
      </c>
      <c r="AZ79" s="83">
        <v>6.9499000000000002E-3</v>
      </c>
      <c r="BA79" s="83">
        <v>0.130748</v>
      </c>
      <c r="BB79" s="83">
        <v>2.0437400000000001E-2</v>
      </c>
      <c r="BC79" s="83">
        <v>6.9499000000000002E-3</v>
      </c>
      <c r="BD79" s="83">
        <v>0.12524299999999999</v>
      </c>
      <c r="BE79" s="83">
        <v>1.9829200000000002E-2</v>
      </c>
      <c r="BF79" s="83">
        <v>6.9499000000000002E-3</v>
      </c>
      <c r="BG79" s="83">
        <v>0.12206500000000001</v>
      </c>
      <c r="BH79" s="83">
        <v>1.9675399999999999E-2</v>
      </c>
      <c r="BI79" s="83">
        <v>6.9499000000000002E-3</v>
      </c>
      <c r="BJ79" s="83">
        <v>0.123839</v>
      </c>
      <c r="BK79" s="83">
        <v>1.9978699999999999E-2</v>
      </c>
      <c r="BL79" s="83">
        <v>6.9499000000000002E-3</v>
      </c>
      <c r="BM79" s="83">
        <v>0.12400799999999999</v>
      </c>
      <c r="BN79" s="83">
        <v>2.0182800000000001E-2</v>
      </c>
      <c r="BO79" s="83">
        <v>6.9499000000000002E-3</v>
      </c>
      <c r="BP79" s="83">
        <v>0.119973</v>
      </c>
      <c r="BQ79" s="83">
        <v>1.9867200000000002E-2</v>
      </c>
      <c r="BR79" s="83">
        <v>6.9499000000000002E-3</v>
      </c>
      <c r="BS79" s="83">
        <v>0.121841</v>
      </c>
      <c r="BT79" s="83">
        <v>2.0228800000000002E-2</v>
      </c>
      <c r="BU79" s="83">
        <v>6.9499000000000002E-3</v>
      </c>
      <c r="BV79" s="83">
        <v>0.122243</v>
      </c>
      <c r="BW79" s="83">
        <v>2.0407999999999999E-2</v>
      </c>
      <c r="BX79" s="83">
        <v>6.9499000000000002E-3</v>
      </c>
      <c r="BY79" s="83">
        <v>0.119202</v>
      </c>
      <c r="BZ79" s="83">
        <v>2.0136100000000001E-2</v>
      </c>
      <c r="CA79" s="83">
        <v>6.9499000000000002E-3</v>
      </c>
      <c r="CB79" s="83">
        <v>0.11376600000000001</v>
      </c>
      <c r="CC79" s="83">
        <v>1.9550000000000001E-2</v>
      </c>
      <c r="CD79" s="83">
        <v>6.9499000000000002E-3</v>
      </c>
      <c r="CE79" s="83">
        <v>0.11179699999999999</v>
      </c>
      <c r="CF79" s="83">
        <v>1.95467E-2</v>
      </c>
      <c r="CG79" s="83">
        <v>6.9499000000000002E-3</v>
      </c>
      <c r="CH79" s="83">
        <v>0.113979</v>
      </c>
      <c r="CI79" s="83">
        <v>1.9891200000000001E-2</v>
      </c>
      <c r="CJ79" s="83">
        <v>6.9499000000000002E-3</v>
      </c>
      <c r="CK79" s="83">
        <v>0.113909</v>
      </c>
      <c r="CL79" s="83">
        <v>2.0184899999999999E-2</v>
      </c>
      <c r="CM79" s="83">
        <v>6.9499000000000002E-3</v>
      </c>
      <c r="CN79" s="83">
        <v>0.110107</v>
      </c>
      <c r="CO79" s="83">
        <v>1.9906699999999999E-2</v>
      </c>
      <c r="CP79" s="83">
        <v>6.9499000000000002E-3</v>
      </c>
      <c r="CQ79" s="83">
        <v>0.10696700000000001</v>
      </c>
      <c r="CR79" s="83">
        <v>1.9600900000000001E-2</v>
      </c>
      <c r="CS79" s="83">
        <v>6.9499000000000002E-3</v>
      </c>
      <c r="CT79" s="83">
        <v>0.10885599999999999</v>
      </c>
      <c r="CU79" s="83">
        <v>2.0212600000000001E-2</v>
      </c>
      <c r="CV79" s="83">
        <v>6.9499000000000002E-3</v>
      </c>
      <c r="CW79" s="83">
        <v>0.10205500000000001</v>
      </c>
      <c r="CX79" s="83">
        <v>1.95338E-2</v>
      </c>
    </row>
    <row r="80" spans="1:102" x14ac:dyDescent="0.2">
      <c r="A80" s="83">
        <v>7.0498999999999996E-3</v>
      </c>
      <c r="B80" s="83">
        <v>0.12497</v>
      </c>
      <c r="C80" s="83">
        <v>1.8467799999999999E-2</v>
      </c>
      <c r="D80" s="83">
        <v>7.0498999999999996E-3</v>
      </c>
      <c r="E80" s="83">
        <v>0.12995499999999999</v>
      </c>
      <c r="F80" s="83">
        <v>1.8971499999999999E-2</v>
      </c>
      <c r="G80" s="83">
        <v>7.0498999999999996E-3</v>
      </c>
      <c r="H80" s="83">
        <v>0.12982299999999999</v>
      </c>
      <c r="I80" s="83">
        <v>1.87762E-2</v>
      </c>
      <c r="J80" s="83">
        <v>7.0498999999999996E-3</v>
      </c>
      <c r="K80" s="83">
        <v>0.127638</v>
      </c>
      <c r="L80" s="83">
        <v>1.8525699999999999E-2</v>
      </c>
      <c r="M80" s="83">
        <v>7.0498999999999996E-3</v>
      </c>
      <c r="N80" s="83">
        <v>0.13033400000000001</v>
      </c>
      <c r="O80" s="83">
        <v>1.8690399999999999E-2</v>
      </c>
      <c r="P80" s="83">
        <v>7.0498999999999996E-3</v>
      </c>
      <c r="Q80" s="83">
        <v>0.13523099999999999</v>
      </c>
      <c r="R80" s="83">
        <v>1.9139300000000001E-2</v>
      </c>
      <c r="S80" s="83">
        <v>7.0498999999999996E-3</v>
      </c>
      <c r="T80" s="83">
        <v>0.136744</v>
      </c>
      <c r="U80" s="83">
        <v>1.9233400000000001E-2</v>
      </c>
      <c r="V80" s="83">
        <v>7.0498999999999996E-3</v>
      </c>
      <c r="W80" s="83">
        <v>0.132768</v>
      </c>
      <c r="X80" s="83">
        <v>1.8898100000000001E-2</v>
      </c>
      <c r="Y80" s="83">
        <v>7.0498999999999996E-3</v>
      </c>
      <c r="Z80" s="83">
        <v>0.13406599999999999</v>
      </c>
      <c r="AA80" s="83">
        <v>1.9168299999999999E-2</v>
      </c>
      <c r="AB80" s="83">
        <v>7.0498999999999996E-3</v>
      </c>
      <c r="AC80" s="83">
        <v>0.12975100000000001</v>
      </c>
      <c r="AD80" s="83">
        <v>1.88889E-2</v>
      </c>
      <c r="AE80" s="83">
        <v>7.0498999999999996E-3</v>
      </c>
      <c r="AF80" s="83">
        <v>0.12962599999999999</v>
      </c>
      <c r="AG80" s="83">
        <v>1.90736E-2</v>
      </c>
      <c r="AH80" s="83">
        <v>7.0498999999999996E-3</v>
      </c>
      <c r="AI80" s="83">
        <v>0.126162</v>
      </c>
      <c r="AJ80" s="83">
        <v>1.8763700000000001E-2</v>
      </c>
      <c r="AK80" s="83">
        <v>7.0498999999999996E-3</v>
      </c>
      <c r="AL80" s="83">
        <v>0.124336</v>
      </c>
      <c r="AM80" s="83">
        <v>1.8733099999999999E-2</v>
      </c>
      <c r="AN80" s="83">
        <v>7.0498999999999996E-3</v>
      </c>
      <c r="AO80" s="83">
        <v>0.128607</v>
      </c>
      <c r="AP80" s="83">
        <v>1.9479099999999999E-2</v>
      </c>
      <c r="AQ80" s="83">
        <v>7.0498999999999996E-3</v>
      </c>
      <c r="AR80" s="83">
        <v>0.124181</v>
      </c>
      <c r="AS80" s="83">
        <v>1.9133399999999998E-2</v>
      </c>
      <c r="AT80" s="83">
        <v>7.0498999999999996E-3</v>
      </c>
      <c r="AU80" s="83">
        <v>0.12052300000000001</v>
      </c>
      <c r="AV80" s="83">
        <v>1.8845600000000001E-2</v>
      </c>
      <c r="AW80" s="83">
        <v>7.0498999999999996E-3</v>
      </c>
      <c r="AX80" s="83">
        <v>0.117913</v>
      </c>
      <c r="AY80" s="83">
        <v>1.8580900000000001E-2</v>
      </c>
      <c r="AZ80" s="83">
        <v>7.0498999999999996E-3</v>
      </c>
      <c r="BA80" s="83">
        <v>0.123555</v>
      </c>
      <c r="BB80" s="83">
        <v>1.94637E-2</v>
      </c>
      <c r="BC80" s="83">
        <v>7.0498999999999996E-3</v>
      </c>
      <c r="BD80" s="83">
        <v>0.117811</v>
      </c>
      <c r="BE80" s="83">
        <v>1.8885800000000001E-2</v>
      </c>
      <c r="BF80" s="83">
        <v>7.0498999999999996E-3</v>
      </c>
      <c r="BG80" s="83">
        <v>0.115175</v>
      </c>
      <c r="BH80" s="83">
        <v>1.8748600000000001E-2</v>
      </c>
      <c r="BI80" s="83">
        <v>7.0498999999999996E-3</v>
      </c>
      <c r="BJ80" s="83">
        <v>0.116481</v>
      </c>
      <c r="BK80" s="83">
        <v>1.9061700000000001E-2</v>
      </c>
      <c r="BL80" s="83">
        <v>7.0498999999999996E-3</v>
      </c>
      <c r="BM80" s="83">
        <v>0.116621</v>
      </c>
      <c r="BN80" s="83">
        <v>1.9250199999999999E-2</v>
      </c>
      <c r="BO80" s="83">
        <v>7.0498999999999996E-3</v>
      </c>
      <c r="BP80" s="83">
        <v>0.112956</v>
      </c>
      <c r="BQ80" s="83">
        <v>1.89356E-2</v>
      </c>
      <c r="BR80" s="83">
        <v>7.0498999999999996E-3</v>
      </c>
      <c r="BS80" s="83">
        <v>0.114868</v>
      </c>
      <c r="BT80" s="83">
        <v>1.9279600000000001E-2</v>
      </c>
      <c r="BU80" s="83">
        <v>7.0498999999999996E-3</v>
      </c>
      <c r="BV80" s="83">
        <v>0.114591</v>
      </c>
      <c r="BW80" s="83">
        <v>1.9449999999999999E-2</v>
      </c>
      <c r="BX80" s="83">
        <v>7.0498999999999996E-3</v>
      </c>
      <c r="BY80" s="83">
        <v>0.111785</v>
      </c>
      <c r="BZ80" s="83">
        <v>1.9194699999999999E-2</v>
      </c>
      <c r="CA80" s="83">
        <v>7.0498999999999996E-3</v>
      </c>
      <c r="CB80" s="83">
        <v>0.10709100000000001</v>
      </c>
      <c r="CC80" s="83">
        <v>1.86623E-2</v>
      </c>
      <c r="CD80" s="83">
        <v>7.0498999999999996E-3</v>
      </c>
      <c r="CE80" s="83">
        <v>0.10520599999999999</v>
      </c>
      <c r="CF80" s="83">
        <v>1.86219E-2</v>
      </c>
      <c r="CG80" s="83">
        <v>7.0498999999999996E-3</v>
      </c>
      <c r="CH80" s="83">
        <v>0.10705000000000001</v>
      </c>
      <c r="CI80" s="83">
        <v>1.89713E-2</v>
      </c>
      <c r="CJ80" s="83">
        <v>7.0498999999999996E-3</v>
      </c>
      <c r="CK80" s="83">
        <v>0.107015</v>
      </c>
      <c r="CL80" s="83">
        <v>1.9197599999999999E-2</v>
      </c>
      <c r="CM80" s="83">
        <v>7.0498999999999996E-3</v>
      </c>
      <c r="CN80" s="83">
        <v>0.103862</v>
      </c>
      <c r="CO80" s="83">
        <v>1.8954499999999999E-2</v>
      </c>
      <c r="CP80" s="83">
        <v>7.0498999999999996E-3</v>
      </c>
      <c r="CQ80" s="83">
        <v>0.10075099999999999</v>
      </c>
      <c r="CR80" s="83">
        <v>1.8677099999999999E-2</v>
      </c>
      <c r="CS80" s="83">
        <v>7.0498999999999996E-3</v>
      </c>
      <c r="CT80" s="83">
        <v>0.102675</v>
      </c>
      <c r="CU80" s="83">
        <v>1.92663E-2</v>
      </c>
      <c r="CV80" s="83">
        <v>7.0498999999999996E-3</v>
      </c>
      <c r="CW80" s="83">
        <v>9.5863799999999999E-2</v>
      </c>
      <c r="CX80" s="83">
        <v>1.8624600000000002E-2</v>
      </c>
    </row>
    <row r="81" spans="1:102" x14ac:dyDescent="0.2">
      <c r="A81" s="83">
        <v>7.1498999999999998E-3</v>
      </c>
      <c r="B81" s="83">
        <v>0.118022</v>
      </c>
      <c r="C81" s="83">
        <v>1.7598599999999999E-2</v>
      </c>
      <c r="D81" s="83">
        <v>7.1498999999999998E-3</v>
      </c>
      <c r="E81" s="83">
        <v>0.123363</v>
      </c>
      <c r="F81" s="83">
        <v>1.80897E-2</v>
      </c>
      <c r="G81" s="83">
        <v>7.1498999999999998E-3</v>
      </c>
      <c r="H81" s="83">
        <v>0.122318</v>
      </c>
      <c r="I81" s="83">
        <v>1.7917800000000001E-2</v>
      </c>
      <c r="J81" s="83">
        <v>7.1498999999999998E-3</v>
      </c>
      <c r="K81" s="83">
        <v>0.12069000000000001</v>
      </c>
      <c r="L81" s="83">
        <v>1.7650699999999998E-2</v>
      </c>
      <c r="M81" s="83">
        <v>7.1498999999999998E-3</v>
      </c>
      <c r="N81" s="83">
        <v>0.123015</v>
      </c>
      <c r="O81" s="83">
        <v>1.78281E-2</v>
      </c>
      <c r="P81" s="83">
        <v>7.1498999999999998E-3</v>
      </c>
      <c r="Q81" s="83">
        <v>0.12812599999999999</v>
      </c>
      <c r="R81" s="83">
        <v>1.8228100000000001E-2</v>
      </c>
      <c r="S81" s="83">
        <v>7.1498999999999998E-3</v>
      </c>
      <c r="T81" s="83">
        <v>0.12884399999999999</v>
      </c>
      <c r="U81" s="83">
        <v>1.8351599999999999E-2</v>
      </c>
      <c r="V81" s="83">
        <v>7.1498999999999998E-3</v>
      </c>
      <c r="W81" s="83">
        <v>0.125307</v>
      </c>
      <c r="X81" s="83">
        <v>1.8015300000000001E-2</v>
      </c>
      <c r="Y81" s="83">
        <v>7.1498999999999998E-3</v>
      </c>
      <c r="Z81" s="83">
        <v>0.12654199999999999</v>
      </c>
      <c r="AA81" s="83">
        <v>1.82825E-2</v>
      </c>
      <c r="AB81" s="83">
        <v>7.1498999999999998E-3</v>
      </c>
      <c r="AC81" s="83">
        <v>0.122251</v>
      </c>
      <c r="AD81" s="83">
        <v>1.7994400000000001E-2</v>
      </c>
      <c r="AE81" s="83">
        <v>7.1498999999999998E-3</v>
      </c>
      <c r="AF81" s="83">
        <v>0.122263</v>
      </c>
      <c r="AG81" s="83">
        <v>1.81849E-2</v>
      </c>
      <c r="AH81" s="83">
        <v>7.1498999999999998E-3</v>
      </c>
      <c r="AI81" s="83">
        <v>0.11887200000000001</v>
      </c>
      <c r="AJ81" s="83">
        <v>1.7886699999999998E-2</v>
      </c>
      <c r="AK81" s="83">
        <v>7.1498999999999998E-3</v>
      </c>
      <c r="AL81" s="83">
        <v>0.11705599999999999</v>
      </c>
      <c r="AM81" s="83">
        <v>1.7835699999999999E-2</v>
      </c>
      <c r="AN81" s="83">
        <v>7.1498999999999998E-3</v>
      </c>
      <c r="AO81" s="83">
        <v>0.12109200000000001</v>
      </c>
      <c r="AP81" s="83">
        <v>1.8580699999999999E-2</v>
      </c>
      <c r="AQ81" s="83">
        <v>7.1498999999999998E-3</v>
      </c>
      <c r="AR81" s="83">
        <v>0.11729100000000001</v>
      </c>
      <c r="AS81" s="83">
        <v>1.8234E-2</v>
      </c>
      <c r="AT81" s="83">
        <v>7.1498999999999998E-3</v>
      </c>
      <c r="AU81" s="83">
        <v>0.113604</v>
      </c>
      <c r="AV81" s="83">
        <v>1.7954999999999999E-2</v>
      </c>
      <c r="AW81" s="83">
        <v>7.1498999999999998E-3</v>
      </c>
      <c r="AX81" s="83">
        <v>0.110945</v>
      </c>
      <c r="AY81" s="83">
        <v>1.77118E-2</v>
      </c>
      <c r="AZ81" s="83">
        <v>7.1498999999999998E-3</v>
      </c>
      <c r="BA81" s="83">
        <v>0.115982</v>
      </c>
      <c r="BB81" s="83">
        <v>1.8558499999999999E-2</v>
      </c>
      <c r="BC81" s="83">
        <v>7.1498999999999998E-3</v>
      </c>
      <c r="BD81" s="83">
        <v>0.111468</v>
      </c>
      <c r="BE81" s="83">
        <v>1.8021599999999999E-2</v>
      </c>
      <c r="BF81" s="83">
        <v>7.1498999999999998E-3</v>
      </c>
      <c r="BG81" s="83">
        <v>0.108442</v>
      </c>
      <c r="BH81" s="83">
        <v>1.7860000000000001E-2</v>
      </c>
      <c r="BI81" s="83">
        <v>7.1498999999999998E-3</v>
      </c>
      <c r="BJ81" s="83">
        <v>0.10954700000000001</v>
      </c>
      <c r="BK81" s="83">
        <v>1.8170100000000002E-2</v>
      </c>
      <c r="BL81" s="83">
        <v>7.1498999999999998E-3</v>
      </c>
      <c r="BM81" s="83">
        <v>0.109765</v>
      </c>
      <c r="BN81" s="83">
        <v>1.8367399999999999E-2</v>
      </c>
      <c r="BO81" s="83">
        <v>7.1498999999999998E-3</v>
      </c>
      <c r="BP81" s="83">
        <v>0.10620300000000001</v>
      </c>
      <c r="BQ81" s="83">
        <v>1.8087900000000001E-2</v>
      </c>
      <c r="BR81" s="83">
        <v>7.1498999999999998E-3</v>
      </c>
      <c r="BS81" s="83">
        <v>0.108125</v>
      </c>
      <c r="BT81" s="83">
        <v>1.83743E-2</v>
      </c>
      <c r="BU81" s="83">
        <v>7.1498999999999998E-3</v>
      </c>
      <c r="BV81" s="83">
        <v>0.108239</v>
      </c>
      <c r="BW81" s="83">
        <v>1.8567199999999999E-2</v>
      </c>
      <c r="BX81" s="83">
        <v>7.1498999999999998E-3</v>
      </c>
      <c r="BY81" s="83">
        <v>0.10532999999999999</v>
      </c>
      <c r="BZ81" s="83">
        <v>1.8302100000000002E-2</v>
      </c>
      <c r="CA81" s="83">
        <v>7.1498999999999998E-3</v>
      </c>
      <c r="CB81" s="83">
        <v>0.10047499999999999</v>
      </c>
      <c r="CC81" s="83">
        <v>1.7784399999999999E-2</v>
      </c>
      <c r="CD81" s="83">
        <v>7.1498999999999998E-3</v>
      </c>
      <c r="CE81" s="83">
        <v>9.8628400000000005E-2</v>
      </c>
      <c r="CF81" s="83">
        <v>1.77743E-2</v>
      </c>
      <c r="CG81" s="83">
        <v>7.1498999999999998E-3</v>
      </c>
      <c r="CH81" s="83">
        <v>0.10050199999999999</v>
      </c>
      <c r="CI81" s="83">
        <v>1.80611E-2</v>
      </c>
      <c r="CJ81" s="83">
        <v>7.1498999999999998E-3</v>
      </c>
      <c r="CK81" s="83">
        <v>0.10022300000000001</v>
      </c>
      <c r="CL81" s="83">
        <v>1.8317699999999999E-2</v>
      </c>
      <c r="CM81" s="83">
        <v>7.1498999999999998E-3</v>
      </c>
      <c r="CN81" s="83">
        <v>9.7479700000000002E-2</v>
      </c>
      <c r="CO81" s="83">
        <v>1.8083399999999999E-2</v>
      </c>
      <c r="CP81" s="83">
        <v>7.1498999999999998E-3</v>
      </c>
      <c r="CQ81" s="83">
        <v>9.4740400000000002E-2</v>
      </c>
      <c r="CR81" s="83">
        <v>1.7808000000000001E-2</v>
      </c>
      <c r="CS81" s="83">
        <v>7.1498999999999998E-3</v>
      </c>
      <c r="CT81" s="83">
        <v>9.6420000000000006E-2</v>
      </c>
      <c r="CU81" s="83">
        <v>1.8393300000000001E-2</v>
      </c>
      <c r="CV81" s="83">
        <v>7.1498999999999998E-3</v>
      </c>
      <c r="CW81" s="83">
        <v>8.9853100000000005E-2</v>
      </c>
      <c r="CX81" s="83">
        <v>1.7732999999999999E-2</v>
      </c>
    </row>
    <row r="82" spans="1:102" x14ac:dyDescent="0.2">
      <c r="A82" s="83">
        <v>7.2499000000000001E-3</v>
      </c>
      <c r="B82" s="83">
        <v>0.111679</v>
      </c>
      <c r="C82" s="83">
        <v>1.6792000000000001E-2</v>
      </c>
      <c r="D82" s="83">
        <v>7.2499000000000001E-3</v>
      </c>
      <c r="E82" s="83">
        <v>0.116108</v>
      </c>
      <c r="F82" s="83">
        <v>1.72537E-2</v>
      </c>
      <c r="G82" s="83">
        <v>7.2499000000000001E-3</v>
      </c>
      <c r="H82" s="83">
        <v>0.11537500000000001</v>
      </c>
      <c r="I82" s="83">
        <v>1.7053499999999999E-2</v>
      </c>
      <c r="J82" s="83">
        <v>7.2499000000000001E-3</v>
      </c>
      <c r="K82" s="83">
        <v>0.11411300000000001</v>
      </c>
      <c r="L82" s="83">
        <v>1.68372E-2</v>
      </c>
      <c r="M82" s="83">
        <v>7.2499000000000001E-3</v>
      </c>
      <c r="N82" s="83">
        <v>0.11605699999999999</v>
      </c>
      <c r="O82" s="83">
        <v>1.6997999999999999E-2</v>
      </c>
      <c r="P82" s="83">
        <v>7.2499000000000001E-3</v>
      </c>
      <c r="Q82" s="83">
        <v>0.12080200000000001</v>
      </c>
      <c r="R82" s="83">
        <v>1.7373599999999999E-2</v>
      </c>
      <c r="S82" s="83">
        <v>7.2499000000000001E-3</v>
      </c>
      <c r="T82" s="83">
        <v>0.12129</v>
      </c>
      <c r="U82" s="83">
        <v>1.7479499999999999E-2</v>
      </c>
      <c r="V82" s="83">
        <v>7.2499000000000001E-3</v>
      </c>
      <c r="W82" s="83">
        <v>0.11804199999999999</v>
      </c>
      <c r="X82" s="83">
        <v>1.7168599999999999E-2</v>
      </c>
      <c r="Y82" s="83">
        <v>7.2499000000000001E-3</v>
      </c>
      <c r="Z82" s="83">
        <v>0.119286</v>
      </c>
      <c r="AA82" s="83">
        <v>1.7435800000000001E-2</v>
      </c>
      <c r="AB82" s="83">
        <v>7.2499000000000001E-3</v>
      </c>
      <c r="AC82" s="83">
        <v>0.115372</v>
      </c>
      <c r="AD82" s="83">
        <v>1.7191600000000001E-2</v>
      </c>
      <c r="AE82" s="83">
        <v>7.2499000000000001E-3</v>
      </c>
      <c r="AF82" s="83">
        <v>0.11526599999999999</v>
      </c>
      <c r="AG82" s="83">
        <v>1.73256E-2</v>
      </c>
      <c r="AH82" s="83">
        <v>7.2499000000000001E-3</v>
      </c>
      <c r="AI82" s="83">
        <v>0.112012</v>
      </c>
      <c r="AJ82" s="83">
        <v>1.7059600000000001E-2</v>
      </c>
      <c r="AK82" s="83">
        <v>7.2499000000000001E-3</v>
      </c>
      <c r="AL82" s="83">
        <v>0.110664</v>
      </c>
      <c r="AM82" s="83">
        <v>1.6993899999999999E-2</v>
      </c>
      <c r="AN82" s="83">
        <v>7.2499000000000001E-3</v>
      </c>
      <c r="AO82" s="83">
        <v>0.113861</v>
      </c>
      <c r="AP82" s="83">
        <v>1.7718399999999999E-2</v>
      </c>
      <c r="AQ82" s="83">
        <v>7.2499000000000001E-3</v>
      </c>
      <c r="AR82" s="83">
        <v>0.110431</v>
      </c>
      <c r="AS82" s="83">
        <v>1.7367799999999999E-2</v>
      </c>
      <c r="AT82" s="83">
        <v>7.2499000000000001E-3</v>
      </c>
      <c r="AU82" s="83">
        <v>0.10709</v>
      </c>
      <c r="AV82" s="83">
        <v>1.7112200000000001E-2</v>
      </c>
      <c r="AW82" s="83">
        <v>7.2499000000000001E-3</v>
      </c>
      <c r="AX82" s="83">
        <v>0.10453900000000001</v>
      </c>
      <c r="AY82" s="83">
        <v>1.6865100000000001E-2</v>
      </c>
      <c r="AZ82" s="83">
        <v>7.2499000000000001E-3</v>
      </c>
      <c r="BA82" s="83">
        <v>0.10935599999999999</v>
      </c>
      <c r="BB82" s="83">
        <v>1.7695200000000001E-2</v>
      </c>
      <c r="BC82" s="83">
        <v>7.2499000000000001E-3</v>
      </c>
      <c r="BD82" s="83">
        <v>0.10455399999999999</v>
      </c>
      <c r="BE82" s="83">
        <v>1.7170000000000001E-2</v>
      </c>
      <c r="BF82" s="83">
        <v>7.2499000000000001E-3</v>
      </c>
      <c r="BG82" s="83">
        <v>0.10187400000000001</v>
      </c>
      <c r="BH82" s="83">
        <v>1.70358E-2</v>
      </c>
      <c r="BI82" s="83">
        <v>7.2499000000000001E-3</v>
      </c>
      <c r="BJ82" s="83">
        <v>0.10323400000000001</v>
      </c>
      <c r="BK82" s="83">
        <v>1.7310699999999998E-2</v>
      </c>
      <c r="BL82" s="83">
        <v>7.2499000000000001E-3</v>
      </c>
      <c r="BM82" s="83">
        <v>0.10281700000000001</v>
      </c>
      <c r="BN82" s="83">
        <v>1.7498199999999998E-2</v>
      </c>
      <c r="BO82" s="83">
        <v>7.2499000000000001E-3</v>
      </c>
      <c r="BP82" s="83">
        <v>9.9826499999999999E-2</v>
      </c>
      <c r="BQ82" s="83">
        <v>1.7226600000000002E-2</v>
      </c>
      <c r="BR82" s="83">
        <v>7.2499000000000001E-3</v>
      </c>
      <c r="BS82" s="83">
        <v>0.101738</v>
      </c>
      <c r="BT82" s="83">
        <v>1.7515900000000001E-2</v>
      </c>
      <c r="BU82" s="83">
        <v>7.2499000000000001E-3</v>
      </c>
      <c r="BV82" s="83">
        <v>0.101608</v>
      </c>
      <c r="BW82" s="83">
        <v>1.7683399999999998E-2</v>
      </c>
      <c r="BX82" s="83">
        <v>7.2499000000000001E-3</v>
      </c>
      <c r="BY82" s="83">
        <v>9.8919099999999996E-2</v>
      </c>
      <c r="BZ82" s="83">
        <v>1.7457400000000001E-2</v>
      </c>
      <c r="CA82" s="83">
        <v>7.2499000000000001E-3</v>
      </c>
      <c r="CB82" s="83">
        <v>9.4459399999999999E-2</v>
      </c>
      <c r="CC82" s="83">
        <v>1.69553E-2</v>
      </c>
      <c r="CD82" s="83">
        <v>7.2499000000000001E-3</v>
      </c>
      <c r="CE82" s="83">
        <v>9.3105900000000005E-2</v>
      </c>
      <c r="CF82" s="83">
        <v>1.6939300000000001E-2</v>
      </c>
      <c r="CG82" s="83">
        <v>7.2499000000000001E-3</v>
      </c>
      <c r="CH82" s="83">
        <v>9.4364500000000004E-2</v>
      </c>
      <c r="CI82" s="83">
        <v>1.7235E-2</v>
      </c>
      <c r="CJ82" s="83">
        <v>7.2499000000000001E-3</v>
      </c>
      <c r="CK82" s="83">
        <v>9.4529600000000005E-2</v>
      </c>
      <c r="CL82" s="83">
        <v>1.74623E-2</v>
      </c>
      <c r="CM82" s="83">
        <v>7.2499000000000001E-3</v>
      </c>
      <c r="CN82" s="83">
        <v>9.1820499999999999E-2</v>
      </c>
      <c r="CO82" s="83">
        <v>1.72368E-2</v>
      </c>
      <c r="CP82" s="83">
        <v>7.2499000000000001E-3</v>
      </c>
      <c r="CQ82" s="83">
        <v>8.8827299999999998E-2</v>
      </c>
      <c r="CR82" s="83">
        <v>1.69984E-2</v>
      </c>
      <c r="CS82" s="83">
        <v>7.2499000000000001E-3</v>
      </c>
      <c r="CT82" s="83">
        <v>9.0531299999999995E-2</v>
      </c>
      <c r="CU82" s="83">
        <v>1.7501699999999999E-2</v>
      </c>
      <c r="CV82" s="83">
        <v>7.2499000000000001E-3</v>
      </c>
      <c r="CW82" s="83">
        <v>8.4223199999999998E-2</v>
      </c>
      <c r="CX82" s="83">
        <v>1.69049E-2</v>
      </c>
    </row>
    <row r="83" spans="1:102" x14ac:dyDescent="0.2">
      <c r="A83" s="83">
        <v>7.3499000000000004E-3</v>
      </c>
      <c r="B83" s="83">
        <v>0.10523399999999999</v>
      </c>
      <c r="C83" s="83">
        <v>1.5985300000000001E-2</v>
      </c>
      <c r="D83" s="83">
        <v>7.3499000000000004E-3</v>
      </c>
      <c r="E83" s="83">
        <v>0.10932</v>
      </c>
      <c r="F83" s="83">
        <v>1.6433400000000001E-2</v>
      </c>
      <c r="G83" s="83">
        <v>7.3499000000000004E-3</v>
      </c>
      <c r="H83" s="83">
        <v>0.108998</v>
      </c>
      <c r="I83" s="83">
        <v>1.6281E-2</v>
      </c>
      <c r="J83" s="83">
        <v>7.3499000000000004E-3</v>
      </c>
      <c r="K83" s="83">
        <v>0.107433</v>
      </c>
      <c r="L83" s="83">
        <v>1.6050100000000001E-2</v>
      </c>
      <c r="M83" s="83">
        <v>7.3499000000000004E-3</v>
      </c>
      <c r="N83" s="83">
        <v>0.109338</v>
      </c>
      <c r="O83" s="83">
        <v>1.6204099999999999E-2</v>
      </c>
      <c r="P83" s="83">
        <v>7.3499000000000004E-3</v>
      </c>
      <c r="Q83" s="83">
        <v>0.113497</v>
      </c>
      <c r="R83" s="83">
        <v>1.6554300000000001E-2</v>
      </c>
      <c r="S83" s="83">
        <v>7.3499000000000004E-3</v>
      </c>
      <c r="T83" s="83">
        <v>0.114659</v>
      </c>
      <c r="U83" s="83">
        <v>1.6662099999999999E-2</v>
      </c>
      <c r="V83" s="83">
        <v>7.3499000000000004E-3</v>
      </c>
      <c r="W83" s="83">
        <v>0.11144</v>
      </c>
      <c r="X83" s="83">
        <v>1.63991E-2</v>
      </c>
      <c r="Y83" s="83">
        <v>7.3499000000000004E-3</v>
      </c>
      <c r="Z83" s="83">
        <v>0.112289</v>
      </c>
      <c r="AA83" s="83">
        <v>1.6621400000000001E-2</v>
      </c>
      <c r="AB83" s="83">
        <v>7.3499000000000004E-3</v>
      </c>
      <c r="AC83" s="83">
        <v>0.108677</v>
      </c>
      <c r="AD83" s="83">
        <v>1.6355700000000001E-2</v>
      </c>
      <c r="AE83" s="83">
        <v>7.3499000000000004E-3</v>
      </c>
      <c r="AF83" s="83">
        <v>0.108567</v>
      </c>
      <c r="AG83" s="83">
        <v>1.6536499999999999E-2</v>
      </c>
      <c r="AH83" s="83">
        <v>7.3499000000000004E-3</v>
      </c>
      <c r="AI83" s="83">
        <v>0.10521999999999999</v>
      </c>
      <c r="AJ83" s="83">
        <v>1.62705E-2</v>
      </c>
      <c r="AK83" s="83">
        <v>7.3499000000000004E-3</v>
      </c>
      <c r="AL83" s="83">
        <v>0.10410700000000001</v>
      </c>
      <c r="AM83" s="83">
        <v>1.6216499999999998E-2</v>
      </c>
      <c r="AN83" s="83">
        <v>7.3499000000000004E-3</v>
      </c>
      <c r="AO83" s="83">
        <v>0.10734200000000001</v>
      </c>
      <c r="AP83" s="83">
        <v>1.6881500000000001E-2</v>
      </c>
      <c r="AQ83" s="83">
        <v>7.3499000000000004E-3</v>
      </c>
      <c r="AR83" s="83">
        <v>0.10401000000000001</v>
      </c>
      <c r="AS83" s="83">
        <v>1.6576799999999999E-2</v>
      </c>
      <c r="AT83" s="83">
        <v>7.3499000000000004E-3</v>
      </c>
      <c r="AU83" s="83">
        <v>0.100982</v>
      </c>
      <c r="AV83" s="83">
        <v>1.63056E-2</v>
      </c>
      <c r="AW83" s="83">
        <v>7.3499000000000004E-3</v>
      </c>
      <c r="AX83" s="83">
        <v>9.8518499999999995E-2</v>
      </c>
      <c r="AY83" s="83">
        <v>1.6085800000000001E-2</v>
      </c>
      <c r="AZ83" s="83">
        <v>7.3499000000000004E-3</v>
      </c>
      <c r="BA83" s="83">
        <v>0.10299899999999999</v>
      </c>
      <c r="BB83" s="83">
        <v>1.6883599999999999E-2</v>
      </c>
      <c r="BC83" s="83">
        <v>7.3499000000000004E-3</v>
      </c>
      <c r="BD83" s="83">
        <v>9.8230899999999996E-2</v>
      </c>
      <c r="BE83" s="83">
        <v>1.6378E-2</v>
      </c>
      <c r="BF83" s="83">
        <v>7.3499000000000004E-3</v>
      </c>
      <c r="BG83" s="83">
        <v>9.5751299999999998E-2</v>
      </c>
      <c r="BH83" s="83">
        <v>1.6222299999999999E-2</v>
      </c>
      <c r="BI83" s="83">
        <v>7.3499000000000004E-3</v>
      </c>
      <c r="BJ83" s="83">
        <v>9.7193600000000005E-2</v>
      </c>
      <c r="BK83" s="83">
        <v>1.6504100000000001E-2</v>
      </c>
      <c r="BL83" s="83">
        <v>7.3499000000000004E-3</v>
      </c>
      <c r="BM83" s="83">
        <v>9.7021099999999999E-2</v>
      </c>
      <c r="BN83" s="83">
        <v>1.6677899999999999E-2</v>
      </c>
      <c r="BO83" s="83">
        <v>7.3499000000000004E-3</v>
      </c>
      <c r="BP83" s="83">
        <v>9.3732700000000002E-2</v>
      </c>
      <c r="BQ83" s="83">
        <v>1.64317E-2</v>
      </c>
      <c r="BR83" s="83">
        <v>7.3499000000000004E-3</v>
      </c>
      <c r="BS83" s="83">
        <v>9.5683799999999999E-2</v>
      </c>
      <c r="BT83" s="83">
        <v>1.67151E-2</v>
      </c>
      <c r="BU83" s="83">
        <v>7.3499000000000004E-3</v>
      </c>
      <c r="BV83" s="83">
        <v>9.53629E-2</v>
      </c>
      <c r="BW83" s="83">
        <v>1.6868999999999999E-2</v>
      </c>
      <c r="BX83" s="83">
        <v>7.3499000000000004E-3</v>
      </c>
      <c r="BY83" s="83">
        <v>9.2644699999999996E-2</v>
      </c>
      <c r="BZ83" s="83">
        <v>1.6636100000000001E-2</v>
      </c>
      <c r="CA83" s="83">
        <v>7.3499000000000004E-3</v>
      </c>
      <c r="CB83" s="83">
        <v>8.8941800000000001E-2</v>
      </c>
      <c r="CC83" s="83">
        <v>1.61555E-2</v>
      </c>
      <c r="CD83" s="83">
        <v>7.3499000000000004E-3</v>
      </c>
      <c r="CE83" s="83">
        <v>8.7349099999999999E-2</v>
      </c>
      <c r="CF83" s="83">
        <v>1.6142400000000001E-2</v>
      </c>
      <c r="CG83" s="83">
        <v>7.3499000000000004E-3</v>
      </c>
      <c r="CH83" s="83">
        <v>8.8729699999999995E-2</v>
      </c>
      <c r="CI83" s="83">
        <v>1.6414700000000001E-2</v>
      </c>
      <c r="CJ83" s="83">
        <v>7.3499000000000004E-3</v>
      </c>
      <c r="CK83" s="83">
        <v>8.8909500000000002E-2</v>
      </c>
      <c r="CL83" s="83">
        <v>1.66556E-2</v>
      </c>
      <c r="CM83" s="83">
        <v>7.3499000000000004E-3</v>
      </c>
      <c r="CN83" s="83">
        <v>8.5755999999999999E-2</v>
      </c>
      <c r="CO83" s="83">
        <v>1.64399E-2</v>
      </c>
      <c r="CP83" s="83">
        <v>7.3499000000000004E-3</v>
      </c>
      <c r="CQ83" s="83">
        <v>8.3421999999999996E-2</v>
      </c>
      <c r="CR83" s="83">
        <v>1.6190800000000002E-2</v>
      </c>
      <c r="CS83" s="83">
        <v>7.3499000000000004E-3</v>
      </c>
      <c r="CT83" s="83">
        <v>8.4974599999999997E-2</v>
      </c>
      <c r="CU83" s="83">
        <v>1.6694000000000001E-2</v>
      </c>
      <c r="CV83" s="83">
        <v>7.3499000000000004E-3</v>
      </c>
      <c r="CW83" s="83">
        <v>7.9188999999999996E-2</v>
      </c>
      <c r="CX83" s="83">
        <v>1.61012E-2</v>
      </c>
    </row>
    <row r="84" spans="1:102" x14ac:dyDescent="0.2">
      <c r="A84" s="83">
        <v>7.4498999999999998E-3</v>
      </c>
      <c r="B84" s="83">
        <v>9.94477E-2</v>
      </c>
      <c r="C84" s="83">
        <v>1.52041E-2</v>
      </c>
      <c r="D84" s="83">
        <v>7.4498999999999998E-3</v>
      </c>
      <c r="E84" s="83">
        <v>0.10349</v>
      </c>
      <c r="F84" s="83">
        <v>1.5647299999999999E-2</v>
      </c>
      <c r="G84" s="83">
        <v>7.4498999999999998E-3</v>
      </c>
      <c r="H84" s="83">
        <v>0.102953</v>
      </c>
      <c r="I84" s="83">
        <v>1.55135E-2</v>
      </c>
      <c r="J84" s="83">
        <v>7.4498999999999998E-3</v>
      </c>
      <c r="K84" s="83">
        <v>0.101066</v>
      </c>
      <c r="L84" s="83">
        <v>1.5282499999999999E-2</v>
      </c>
      <c r="M84" s="83">
        <v>7.4498999999999998E-3</v>
      </c>
      <c r="N84" s="83">
        <v>0.103073</v>
      </c>
      <c r="O84" s="83">
        <v>1.54267E-2</v>
      </c>
      <c r="P84" s="83">
        <v>7.4498999999999998E-3</v>
      </c>
      <c r="Q84" s="83">
        <v>0.106822</v>
      </c>
      <c r="R84" s="83">
        <v>1.5778899999999998E-2</v>
      </c>
      <c r="S84" s="83">
        <v>7.4498999999999998E-3</v>
      </c>
      <c r="T84" s="83">
        <v>0.108214</v>
      </c>
      <c r="U84" s="83">
        <v>1.58721E-2</v>
      </c>
      <c r="V84" s="83">
        <v>7.4498999999999998E-3</v>
      </c>
      <c r="W84" s="83">
        <v>0.105522</v>
      </c>
      <c r="X84" s="83">
        <v>1.56247E-2</v>
      </c>
      <c r="Y84" s="83">
        <v>7.4498999999999998E-3</v>
      </c>
      <c r="Z84" s="83">
        <v>0.105878</v>
      </c>
      <c r="AA84" s="83">
        <v>1.5865500000000001E-2</v>
      </c>
      <c r="AB84" s="83">
        <v>7.4498999999999998E-3</v>
      </c>
      <c r="AC84" s="83">
        <v>0.102837</v>
      </c>
      <c r="AD84" s="83">
        <v>1.5592999999999999E-2</v>
      </c>
      <c r="AE84" s="83">
        <v>7.4498999999999998E-3</v>
      </c>
      <c r="AF84" s="83">
        <v>0.102742</v>
      </c>
      <c r="AG84" s="83">
        <v>1.57552E-2</v>
      </c>
      <c r="AH84" s="83">
        <v>7.4498999999999998E-3</v>
      </c>
      <c r="AI84" s="83">
        <v>9.9013900000000002E-2</v>
      </c>
      <c r="AJ84" s="83">
        <v>1.55117E-2</v>
      </c>
      <c r="AK84" s="83">
        <v>7.4498999999999998E-3</v>
      </c>
      <c r="AL84" s="83">
        <v>9.8135100000000003E-2</v>
      </c>
      <c r="AM84" s="83">
        <v>1.54675E-2</v>
      </c>
      <c r="AN84" s="83">
        <v>7.4498999999999998E-3</v>
      </c>
      <c r="AO84" s="83">
        <v>0.100887</v>
      </c>
      <c r="AP84" s="83">
        <v>1.6117800000000002E-2</v>
      </c>
      <c r="AQ84" s="83">
        <v>7.4498999999999998E-3</v>
      </c>
      <c r="AR84" s="83">
        <v>9.7842999999999999E-2</v>
      </c>
      <c r="AS84" s="83">
        <v>1.5784800000000002E-2</v>
      </c>
      <c r="AT84" s="83">
        <v>7.4498999999999998E-3</v>
      </c>
      <c r="AU84" s="83">
        <v>9.5225000000000004E-2</v>
      </c>
      <c r="AV84" s="83">
        <v>1.5530199999999999E-2</v>
      </c>
      <c r="AW84" s="83">
        <v>7.4498999999999998E-3</v>
      </c>
      <c r="AX84" s="83">
        <v>9.2966800000000002E-2</v>
      </c>
      <c r="AY84" s="83">
        <v>1.53124E-2</v>
      </c>
      <c r="AZ84" s="83">
        <v>7.4498999999999998E-3</v>
      </c>
      <c r="BA84" s="83">
        <v>9.6797599999999998E-2</v>
      </c>
      <c r="BB84" s="83">
        <v>1.6079900000000001E-2</v>
      </c>
      <c r="BC84" s="83">
        <v>7.4498999999999998E-3</v>
      </c>
      <c r="BD84" s="83">
        <v>9.2435000000000003E-2</v>
      </c>
      <c r="BE84" s="83">
        <v>1.55782E-2</v>
      </c>
      <c r="BF84" s="83">
        <v>7.4498999999999998E-3</v>
      </c>
      <c r="BG84" s="83">
        <v>9.0052999999999994E-2</v>
      </c>
      <c r="BH84" s="83">
        <v>1.54801E-2</v>
      </c>
      <c r="BI84" s="83">
        <v>7.4498999999999998E-3</v>
      </c>
      <c r="BJ84" s="83">
        <v>9.1202400000000003E-2</v>
      </c>
      <c r="BK84" s="83">
        <v>1.57307E-2</v>
      </c>
      <c r="BL84" s="83">
        <v>7.4498999999999998E-3</v>
      </c>
      <c r="BM84" s="83">
        <v>9.1313099999999994E-2</v>
      </c>
      <c r="BN84" s="83">
        <v>1.5891800000000001E-2</v>
      </c>
      <c r="BO84" s="83">
        <v>7.4498999999999998E-3</v>
      </c>
      <c r="BP84" s="83">
        <v>8.8102899999999998E-2</v>
      </c>
      <c r="BQ84" s="83">
        <v>1.5658200000000001E-2</v>
      </c>
      <c r="BR84" s="83">
        <v>7.4498999999999998E-3</v>
      </c>
      <c r="BS84" s="83">
        <v>8.9746300000000001E-2</v>
      </c>
      <c r="BT84" s="83">
        <v>1.5930900000000001E-2</v>
      </c>
      <c r="BU84" s="83">
        <v>7.4498999999999998E-3</v>
      </c>
      <c r="BV84" s="83">
        <v>8.9825799999999997E-2</v>
      </c>
      <c r="BW84" s="83">
        <v>1.6077899999999999E-2</v>
      </c>
      <c r="BX84" s="83">
        <v>7.4498999999999998E-3</v>
      </c>
      <c r="BY84" s="83">
        <v>8.7747199999999997E-2</v>
      </c>
      <c r="BZ84" s="83">
        <v>1.5863599999999999E-2</v>
      </c>
      <c r="CA84" s="83">
        <v>7.4498999999999998E-3</v>
      </c>
      <c r="CB84" s="83">
        <v>8.3731799999999995E-2</v>
      </c>
      <c r="CC84" s="83">
        <v>1.5391800000000001E-2</v>
      </c>
      <c r="CD84" s="83">
        <v>7.4498999999999998E-3</v>
      </c>
      <c r="CE84" s="83">
        <v>8.2056100000000007E-2</v>
      </c>
      <c r="CF84" s="83">
        <v>1.5382699999999999E-2</v>
      </c>
      <c r="CG84" s="83">
        <v>7.4498999999999998E-3</v>
      </c>
      <c r="CH84" s="83">
        <v>8.3446500000000007E-2</v>
      </c>
      <c r="CI84" s="83">
        <v>1.5659800000000001E-2</v>
      </c>
      <c r="CJ84" s="83">
        <v>7.4498999999999998E-3</v>
      </c>
      <c r="CK84" s="83">
        <v>8.3357700000000007E-2</v>
      </c>
      <c r="CL84" s="83">
        <v>1.5845100000000001E-2</v>
      </c>
      <c r="CM84" s="83">
        <v>7.4498999999999998E-3</v>
      </c>
      <c r="CN84" s="83">
        <v>8.0882999999999997E-2</v>
      </c>
      <c r="CO84" s="83">
        <v>1.5656699999999999E-2</v>
      </c>
      <c r="CP84" s="83">
        <v>7.4498999999999998E-3</v>
      </c>
      <c r="CQ84" s="83">
        <v>7.8822400000000001E-2</v>
      </c>
      <c r="CR84" s="83">
        <v>1.5438800000000001E-2</v>
      </c>
      <c r="CS84" s="83">
        <v>7.4498999999999998E-3</v>
      </c>
      <c r="CT84" s="83">
        <v>7.9711000000000004E-2</v>
      </c>
      <c r="CU84" s="83">
        <v>1.5907899999999999E-2</v>
      </c>
      <c r="CV84" s="83">
        <v>7.4498999999999998E-3</v>
      </c>
      <c r="CW84" s="83">
        <v>7.4071799999999993E-2</v>
      </c>
      <c r="CX84" s="83">
        <v>1.53551E-2</v>
      </c>
    </row>
    <row r="85" spans="1:102" x14ac:dyDescent="0.2">
      <c r="A85" s="83">
        <v>7.5499E-3</v>
      </c>
      <c r="B85" s="83">
        <v>9.3681100000000003E-2</v>
      </c>
      <c r="C85" s="83">
        <v>1.44853E-2</v>
      </c>
      <c r="D85" s="83">
        <v>7.5499E-3</v>
      </c>
      <c r="E85" s="83">
        <v>9.7689600000000001E-2</v>
      </c>
      <c r="F85" s="83">
        <v>1.49295E-2</v>
      </c>
      <c r="G85" s="83">
        <v>7.5499E-3</v>
      </c>
      <c r="H85" s="83">
        <v>9.7259600000000002E-2</v>
      </c>
      <c r="I85" s="83">
        <v>1.47674E-2</v>
      </c>
      <c r="J85" s="83">
        <v>7.5499E-3</v>
      </c>
      <c r="K85" s="83">
        <v>9.5269999999999994E-2</v>
      </c>
      <c r="L85" s="83">
        <v>1.45706E-2</v>
      </c>
      <c r="M85" s="83">
        <v>7.5499E-3</v>
      </c>
      <c r="N85" s="83">
        <v>9.6940399999999996E-2</v>
      </c>
      <c r="O85" s="83">
        <v>1.4685500000000001E-2</v>
      </c>
      <c r="P85" s="83">
        <v>7.5499E-3</v>
      </c>
      <c r="Q85" s="83">
        <v>0.100699</v>
      </c>
      <c r="R85" s="83">
        <v>1.50309E-2</v>
      </c>
      <c r="S85" s="83">
        <v>7.5499E-3</v>
      </c>
      <c r="T85" s="83">
        <v>0.1019</v>
      </c>
      <c r="U85" s="83">
        <v>1.51495E-2</v>
      </c>
      <c r="V85" s="83">
        <v>7.5499E-3</v>
      </c>
      <c r="W85" s="83">
        <v>9.8984000000000003E-2</v>
      </c>
      <c r="X85" s="83">
        <v>1.48737E-2</v>
      </c>
      <c r="Y85" s="83">
        <v>7.5499E-3</v>
      </c>
      <c r="Z85" s="83">
        <v>9.9359000000000003E-2</v>
      </c>
      <c r="AA85" s="83">
        <v>1.50823E-2</v>
      </c>
      <c r="AB85" s="83">
        <v>7.5499E-3</v>
      </c>
      <c r="AC85" s="83">
        <v>9.6572699999999997E-2</v>
      </c>
      <c r="AD85" s="83">
        <v>1.48684E-2</v>
      </c>
      <c r="AE85" s="83">
        <v>7.5499E-3</v>
      </c>
      <c r="AF85" s="83">
        <v>9.6491599999999997E-2</v>
      </c>
      <c r="AG85" s="83">
        <v>1.50072E-2</v>
      </c>
      <c r="AH85" s="83">
        <v>7.5499E-3</v>
      </c>
      <c r="AI85" s="83">
        <v>9.3374299999999993E-2</v>
      </c>
      <c r="AJ85" s="83">
        <v>1.47607E-2</v>
      </c>
      <c r="AK85" s="83">
        <v>7.5499E-3</v>
      </c>
      <c r="AL85" s="83">
        <v>9.2212299999999997E-2</v>
      </c>
      <c r="AM85" s="83">
        <v>1.47175E-2</v>
      </c>
      <c r="AN85" s="83">
        <v>7.5499E-3</v>
      </c>
      <c r="AO85" s="83">
        <v>9.4915700000000006E-2</v>
      </c>
      <c r="AP85" s="83">
        <v>1.5339500000000001E-2</v>
      </c>
      <c r="AQ85" s="83">
        <v>7.5499E-3</v>
      </c>
      <c r="AR85" s="83">
        <v>9.1915300000000005E-2</v>
      </c>
      <c r="AS85" s="83">
        <v>1.5043600000000001E-2</v>
      </c>
      <c r="AT85" s="83">
        <v>7.5499E-3</v>
      </c>
      <c r="AU85" s="83">
        <v>8.94731E-2</v>
      </c>
      <c r="AV85" s="83">
        <v>1.48124E-2</v>
      </c>
      <c r="AW85" s="83">
        <v>7.5499E-3</v>
      </c>
      <c r="AX85" s="83">
        <v>8.71416E-2</v>
      </c>
      <c r="AY85" s="83">
        <v>1.4619999999999999E-2</v>
      </c>
      <c r="AZ85" s="83">
        <v>7.5499E-3</v>
      </c>
      <c r="BA85" s="83">
        <v>9.1265399999999997E-2</v>
      </c>
      <c r="BB85" s="83">
        <v>1.53241E-2</v>
      </c>
      <c r="BC85" s="83">
        <v>7.5499E-3</v>
      </c>
      <c r="BD85" s="83">
        <v>8.7093199999999996E-2</v>
      </c>
      <c r="BE85" s="83">
        <v>1.4880000000000001E-2</v>
      </c>
      <c r="BF85" s="83">
        <v>7.5499E-3</v>
      </c>
      <c r="BG85" s="83">
        <v>8.4598900000000005E-2</v>
      </c>
      <c r="BH85" s="83">
        <v>1.47467E-2</v>
      </c>
      <c r="BI85" s="83">
        <v>7.5499E-3</v>
      </c>
      <c r="BJ85" s="83">
        <v>8.5767800000000005E-2</v>
      </c>
      <c r="BK85" s="83">
        <v>1.4970900000000001E-2</v>
      </c>
      <c r="BL85" s="83">
        <v>7.5499E-3</v>
      </c>
      <c r="BM85" s="83">
        <v>8.5790599999999995E-2</v>
      </c>
      <c r="BN85" s="83">
        <v>1.5158400000000001E-2</v>
      </c>
      <c r="BO85" s="83">
        <v>7.5499E-3</v>
      </c>
      <c r="BP85" s="83">
        <v>8.3063799999999993E-2</v>
      </c>
      <c r="BQ85" s="83">
        <v>1.4916E-2</v>
      </c>
      <c r="BR85" s="83">
        <v>7.5499E-3</v>
      </c>
      <c r="BS85" s="83">
        <v>8.4428900000000001E-2</v>
      </c>
      <c r="BT85" s="83">
        <v>1.5185799999999999E-2</v>
      </c>
      <c r="BU85" s="83">
        <v>7.5499E-3</v>
      </c>
      <c r="BV85" s="83">
        <v>8.4337499999999996E-2</v>
      </c>
      <c r="BW85" s="83">
        <v>1.5288899999999999E-2</v>
      </c>
      <c r="BX85" s="83">
        <v>7.5499E-3</v>
      </c>
      <c r="BY85" s="83">
        <v>8.2112500000000005E-2</v>
      </c>
      <c r="BZ85" s="83">
        <v>1.50911E-2</v>
      </c>
      <c r="CA85" s="83">
        <v>7.5499E-3</v>
      </c>
      <c r="CB85" s="83">
        <v>7.8648800000000005E-2</v>
      </c>
      <c r="CC85" s="83">
        <v>1.4663300000000001E-2</v>
      </c>
      <c r="CD85" s="83">
        <v>7.5499E-3</v>
      </c>
      <c r="CE85" s="83">
        <v>7.7534599999999995E-2</v>
      </c>
      <c r="CF85" s="83">
        <v>1.46424E-2</v>
      </c>
      <c r="CG85" s="83">
        <v>7.5499E-3</v>
      </c>
      <c r="CH85" s="83">
        <v>7.8451400000000004E-2</v>
      </c>
      <c r="CI85" s="83">
        <v>1.49205E-2</v>
      </c>
      <c r="CJ85" s="83">
        <v>7.5499E-3</v>
      </c>
      <c r="CK85" s="83">
        <v>7.8660499999999994E-2</v>
      </c>
      <c r="CL85" s="83">
        <v>1.51185E-2</v>
      </c>
      <c r="CM85" s="83">
        <v>7.5499E-3</v>
      </c>
      <c r="CN85" s="83">
        <v>7.6092999999999994E-2</v>
      </c>
      <c r="CO85" s="83">
        <v>1.4896899999999999E-2</v>
      </c>
      <c r="CP85" s="83">
        <v>7.5499E-3</v>
      </c>
      <c r="CQ85" s="83">
        <v>7.4379000000000001E-2</v>
      </c>
      <c r="CR85" s="83">
        <v>1.4700599999999999E-2</v>
      </c>
      <c r="CS85" s="83">
        <v>7.5499E-3</v>
      </c>
      <c r="CT85" s="83">
        <v>7.4251999999999999E-2</v>
      </c>
      <c r="CU85" s="83">
        <v>1.51501E-2</v>
      </c>
      <c r="CV85" s="83">
        <v>7.5499E-3</v>
      </c>
      <c r="CW85" s="83">
        <v>6.9921399999999995E-2</v>
      </c>
      <c r="CX85" s="83">
        <v>1.4622700000000001E-2</v>
      </c>
    </row>
    <row r="86" spans="1:102" x14ac:dyDescent="0.2">
      <c r="A86" s="83">
        <v>7.6499000000000003E-3</v>
      </c>
      <c r="B86" s="83">
        <v>8.8368600000000005E-2</v>
      </c>
      <c r="C86" s="83">
        <v>1.37988E-2</v>
      </c>
      <c r="D86" s="83">
        <v>7.6499000000000003E-3</v>
      </c>
      <c r="E86" s="83">
        <v>9.1932799999999995E-2</v>
      </c>
      <c r="F86" s="83">
        <v>1.4200000000000001E-2</v>
      </c>
      <c r="G86" s="83">
        <v>7.6499000000000003E-3</v>
      </c>
      <c r="H86" s="83">
        <v>9.1732300000000003E-2</v>
      </c>
      <c r="I86" s="83">
        <v>1.4089600000000001E-2</v>
      </c>
      <c r="J86" s="83">
        <v>7.6499000000000003E-3</v>
      </c>
      <c r="K86" s="83">
        <v>9.0309100000000003E-2</v>
      </c>
      <c r="L86" s="83">
        <v>1.38665E-2</v>
      </c>
      <c r="M86" s="83">
        <v>7.6499000000000003E-3</v>
      </c>
      <c r="N86" s="83">
        <v>9.1496099999999997E-2</v>
      </c>
      <c r="O86" s="83">
        <v>1.40068E-2</v>
      </c>
      <c r="P86" s="83">
        <v>7.6499000000000003E-3</v>
      </c>
      <c r="Q86" s="83">
        <v>9.53185E-2</v>
      </c>
      <c r="R86" s="83">
        <v>1.4316000000000001E-2</v>
      </c>
      <c r="S86" s="83">
        <v>7.6499000000000003E-3</v>
      </c>
      <c r="T86" s="83">
        <v>9.59285E-2</v>
      </c>
      <c r="U86" s="83">
        <v>1.44209E-2</v>
      </c>
      <c r="V86" s="83">
        <v>7.6499000000000003E-3</v>
      </c>
      <c r="W86" s="83">
        <v>9.3539700000000003E-2</v>
      </c>
      <c r="X86" s="83">
        <v>1.41764E-2</v>
      </c>
      <c r="Y86" s="83">
        <v>7.6499000000000003E-3</v>
      </c>
      <c r="Z86" s="83">
        <v>9.3792600000000004E-2</v>
      </c>
      <c r="AA86" s="83">
        <v>1.43909E-2</v>
      </c>
      <c r="AB86" s="83">
        <v>7.6499000000000003E-3</v>
      </c>
      <c r="AC86" s="83">
        <v>9.0981900000000004E-2</v>
      </c>
      <c r="AD86" s="83">
        <v>1.41662E-2</v>
      </c>
      <c r="AE86" s="83">
        <v>7.6499000000000003E-3</v>
      </c>
      <c r="AF86" s="83">
        <v>9.0734800000000004E-2</v>
      </c>
      <c r="AG86" s="83">
        <v>1.42855E-2</v>
      </c>
      <c r="AH86" s="83">
        <v>7.6499000000000003E-3</v>
      </c>
      <c r="AI86" s="83">
        <v>8.7871400000000002E-2</v>
      </c>
      <c r="AJ86" s="83">
        <v>1.4061499999999999E-2</v>
      </c>
      <c r="AK86" s="83">
        <v>7.6499000000000003E-3</v>
      </c>
      <c r="AL86" s="83">
        <v>8.7007200000000007E-2</v>
      </c>
      <c r="AM86" s="83">
        <v>1.4024099999999999E-2</v>
      </c>
      <c r="AN86" s="83">
        <v>7.6499000000000003E-3</v>
      </c>
      <c r="AO86" s="83">
        <v>8.9412699999999998E-2</v>
      </c>
      <c r="AP86" s="83">
        <v>1.4625600000000001E-2</v>
      </c>
      <c r="AQ86" s="83">
        <v>7.6499000000000003E-3</v>
      </c>
      <c r="AR86" s="83">
        <v>8.6607699999999996E-2</v>
      </c>
      <c r="AS86" s="83">
        <v>1.43229E-2</v>
      </c>
      <c r="AT86" s="83">
        <v>7.6499000000000003E-3</v>
      </c>
      <c r="AU86" s="83">
        <v>8.4326600000000002E-2</v>
      </c>
      <c r="AV86" s="83">
        <v>1.41025E-2</v>
      </c>
      <c r="AW86" s="83">
        <v>7.6499000000000003E-3</v>
      </c>
      <c r="AX86" s="83">
        <v>8.2190399999999997E-2</v>
      </c>
      <c r="AY86" s="83">
        <v>1.3906099999999999E-2</v>
      </c>
      <c r="AZ86" s="83">
        <v>7.6499000000000003E-3</v>
      </c>
      <c r="BA86" s="83">
        <v>8.5908899999999996E-2</v>
      </c>
      <c r="BB86" s="83">
        <v>1.4618000000000001E-2</v>
      </c>
      <c r="BC86" s="83">
        <v>7.6499000000000003E-3</v>
      </c>
      <c r="BD86" s="83">
        <v>8.2298300000000005E-2</v>
      </c>
      <c r="BE86" s="83">
        <v>1.4188600000000001E-2</v>
      </c>
      <c r="BF86" s="83">
        <v>7.6499000000000003E-3</v>
      </c>
      <c r="BG86" s="83">
        <v>7.9349900000000001E-2</v>
      </c>
      <c r="BH86" s="83">
        <v>1.40494E-2</v>
      </c>
      <c r="BI86" s="83">
        <v>7.6499000000000003E-3</v>
      </c>
      <c r="BJ86" s="83">
        <v>8.0367400000000005E-2</v>
      </c>
      <c r="BK86" s="83">
        <v>1.42697E-2</v>
      </c>
      <c r="BL86" s="83">
        <v>7.6499000000000003E-3</v>
      </c>
      <c r="BM86" s="83">
        <v>8.0766199999999996E-2</v>
      </c>
      <c r="BN86" s="83">
        <v>1.44201E-2</v>
      </c>
      <c r="BO86" s="83">
        <v>7.6499000000000003E-3</v>
      </c>
      <c r="BP86" s="83">
        <v>7.8073600000000007E-2</v>
      </c>
      <c r="BQ86" s="83">
        <v>1.4206099999999999E-2</v>
      </c>
      <c r="BR86" s="83">
        <v>7.6499000000000003E-3</v>
      </c>
      <c r="BS86" s="83">
        <v>7.9511899999999996E-2</v>
      </c>
      <c r="BT86" s="83">
        <v>1.44485E-2</v>
      </c>
      <c r="BU86" s="83">
        <v>7.6499000000000003E-3</v>
      </c>
      <c r="BV86" s="83">
        <v>7.9557199999999995E-2</v>
      </c>
      <c r="BW86" s="83">
        <v>1.4578900000000001E-2</v>
      </c>
      <c r="BX86" s="83">
        <v>7.6499000000000003E-3</v>
      </c>
      <c r="BY86" s="83">
        <v>7.7166200000000004E-2</v>
      </c>
      <c r="BZ86" s="83">
        <v>1.43841E-2</v>
      </c>
      <c r="CA86" s="83">
        <v>7.6499000000000003E-3</v>
      </c>
      <c r="CB86" s="83">
        <v>7.3639099999999999E-2</v>
      </c>
      <c r="CC86" s="83">
        <v>1.3957300000000001E-2</v>
      </c>
      <c r="CD86" s="83">
        <v>7.6499000000000003E-3</v>
      </c>
      <c r="CE86" s="83">
        <v>7.2910600000000006E-2</v>
      </c>
      <c r="CF86" s="83">
        <v>1.39715E-2</v>
      </c>
      <c r="CG86" s="83">
        <v>7.6499000000000003E-3</v>
      </c>
      <c r="CH86" s="83">
        <v>7.3773699999999998E-2</v>
      </c>
      <c r="CI86" s="83">
        <v>1.42106E-2</v>
      </c>
      <c r="CJ86" s="83">
        <v>7.6499000000000003E-3</v>
      </c>
      <c r="CK86" s="83">
        <v>7.3792300000000005E-2</v>
      </c>
      <c r="CL86" s="83">
        <v>1.4386100000000001E-2</v>
      </c>
      <c r="CM86" s="83">
        <v>7.6499000000000003E-3</v>
      </c>
      <c r="CN86" s="83">
        <v>7.1141800000000005E-2</v>
      </c>
      <c r="CO86" s="83">
        <v>1.4193799999999999E-2</v>
      </c>
      <c r="CP86" s="83">
        <v>7.6499000000000003E-3</v>
      </c>
      <c r="CQ86" s="83">
        <v>6.9335099999999997E-2</v>
      </c>
      <c r="CR86" s="83">
        <v>1.4009199999999999E-2</v>
      </c>
      <c r="CS86" s="83">
        <v>7.6499000000000003E-3</v>
      </c>
      <c r="CT86" s="83">
        <v>7.0301799999999998E-2</v>
      </c>
      <c r="CU86" s="83">
        <v>1.4460600000000001E-2</v>
      </c>
      <c r="CV86" s="83">
        <v>7.6499000000000003E-3</v>
      </c>
      <c r="CW86" s="83">
        <v>6.5624500000000002E-2</v>
      </c>
      <c r="CX86" s="83">
        <v>1.39381E-2</v>
      </c>
    </row>
    <row r="87" spans="1:102" x14ac:dyDescent="0.2">
      <c r="A87" s="83">
        <v>7.7498999999999997E-3</v>
      </c>
      <c r="B87" s="83">
        <v>8.2968200000000006E-2</v>
      </c>
      <c r="C87" s="83">
        <v>1.3166000000000001E-2</v>
      </c>
      <c r="D87" s="83">
        <v>7.7498999999999997E-3</v>
      </c>
      <c r="E87" s="83">
        <v>8.6698399999999995E-2</v>
      </c>
      <c r="F87" s="83">
        <v>1.35018E-2</v>
      </c>
      <c r="G87" s="83">
        <v>7.7498999999999997E-3</v>
      </c>
      <c r="H87" s="83">
        <v>8.6385600000000007E-2</v>
      </c>
      <c r="I87" s="83">
        <v>1.3417800000000001E-2</v>
      </c>
      <c r="J87" s="83">
        <v>7.7498999999999997E-3</v>
      </c>
      <c r="K87" s="83">
        <v>8.4845199999999996E-2</v>
      </c>
      <c r="L87" s="83">
        <v>1.32014E-2</v>
      </c>
      <c r="M87" s="83">
        <v>7.7498999999999997E-3</v>
      </c>
      <c r="N87" s="83">
        <v>8.6071300000000003E-2</v>
      </c>
      <c r="O87" s="83">
        <v>1.33349E-2</v>
      </c>
      <c r="P87" s="83">
        <v>7.7498999999999997E-3</v>
      </c>
      <c r="Q87" s="83">
        <v>8.9693499999999995E-2</v>
      </c>
      <c r="R87" s="83">
        <v>1.36305E-2</v>
      </c>
      <c r="S87" s="83">
        <v>7.7498999999999997E-3</v>
      </c>
      <c r="T87" s="83">
        <v>9.0298600000000007E-2</v>
      </c>
      <c r="U87" s="83">
        <v>1.37217E-2</v>
      </c>
      <c r="V87" s="83">
        <v>7.7498999999999997E-3</v>
      </c>
      <c r="W87" s="83">
        <v>8.7983099999999995E-2</v>
      </c>
      <c r="X87" s="83">
        <v>1.34792E-2</v>
      </c>
      <c r="Y87" s="83">
        <v>7.7498999999999997E-3</v>
      </c>
      <c r="Z87" s="83">
        <v>8.8089500000000001E-2</v>
      </c>
      <c r="AA87" s="83">
        <v>1.3698500000000001E-2</v>
      </c>
      <c r="AB87" s="83">
        <v>7.7498999999999997E-3</v>
      </c>
      <c r="AC87" s="83">
        <v>8.6025799999999999E-2</v>
      </c>
      <c r="AD87" s="83">
        <v>1.34553E-2</v>
      </c>
      <c r="AE87" s="83">
        <v>7.7498999999999997E-3</v>
      </c>
      <c r="AF87" s="83">
        <v>8.5744500000000001E-2</v>
      </c>
      <c r="AG87" s="83">
        <v>1.3620500000000001E-2</v>
      </c>
      <c r="AH87" s="83">
        <v>7.7498999999999997E-3</v>
      </c>
      <c r="AI87" s="83">
        <v>8.2568600000000006E-2</v>
      </c>
      <c r="AJ87" s="83">
        <v>1.33662E-2</v>
      </c>
      <c r="AK87" s="83">
        <v>7.7498999999999997E-3</v>
      </c>
      <c r="AL87" s="83">
        <v>8.1914399999999998E-2</v>
      </c>
      <c r="AM87" s="83">
        <v>1.3352299999999999E-2</v>
      </c>
      <c r="AN87" s="83">
        <v>7.7498999999999997E-3</v>
      </c>
      <c r="AO87" s="83">
        <v>8.4153900000000004E-2</v>
      </c>
      <c r="AP87" s="83">
        <v>1.39069E-2</v>
      </c>
      <c r="AQ87" s="83">
        <v>7.7498999999999997E-3</v>
      </c>
      <c r="AR87" s="83">
        <v>8.16418E-2</v>
      </c>
      <c r="AS87" s="83">
        <v>1.3661700000000001E-2</v>
      </c>
      <c r="AT87" s="83">
        <v>7.7498999999999997E-3</v>
      </c>
      <c r="AU87" s="83">
        <v>7.9287499999999997E-2</v>
      </c>
      <c r="AV87" s="83">
        <v>1.34267E-2</v>
      </c>
      <c r="AW87" s="83">
        <v>7.7498999999999997E-3</v>
      </c>
      <c r="AX87" s="83">
        <v>7.6662999999999995E-2</v>
      </c>
      <c r="AY87" s="83">
        <v>1.3223499999999999E-2</v>
      </c>
      <c r="AZ87" s="83">
        <v>7.7498999999999997E-3</v>
      </c>
      <c r="BA87" s="83">
        <v>8.0718499999999999E-2</v>
      </c>
      <c r="BB87" s="83">
        <v>1.3916899999999999E-2</v>
      </c>
      <c r="BC87" s="83">
        <v>7.7498999999999997E-3</v>
      </c>
      <c r="BD87" s="83">
        <v>7.7044399999999999E-2</v>
      </c>
      <c r="BE87" s="83">
        <v>1.35108E-2</v>
      </c>
      <c r="BF87" s="83">
        <v>7.7498999999999997E-3</v>
      </c>
      <c r="BG87" s="83">
        <v>7.4999300000000005E-2</v>
      </c>
      <c r="BH87" s="83">
        <v>1.33688E-2</v>
      </c>
      <c r="BI87" s="83">
        <v>7.7498999999999997E-3</v>
      </c>
      <c r="BJ87" s="83">
        <v>7.5338100000000005E-2</v>
      </c>
      <c r="BK87" s="83">
        <v>1.35773E-2</v>
      </c>
      <c r="BL87" s="83">
        <v>7.7498999999999997E-3</v>
      </c>
      <c r="BM87" s="83">
        <v>7.5600200000000006E-2</v>
      </c>
      <c r="BN87" s="83">
        <v>1.3744299999999999E-2</v>
      </c>
      <c r="BO87" s="83">
        <v>7.7498999999999997E-3</v>
      </c>
      <c r="BP87" s="83">
        <v>7.3171200000000006E-2</v>
      </c>
      <c r="BQ87" s="83">
        <v>1.35196E-2</v>
      </c>
      <c r="BR87" s="83">
        <v>7.7498999999999997E-3</v>
      </c>
      <c r="BS87" s="83">
        <v>7.4590000000000004E-2</v>
      </c>
      <c r="BT87" s="83">
        <v>1.3751299999999999E-2</v>
      </c>
      <c r="BU87" s="83">
        <v>7.7498999999999997E-3</v>
      </c>
      <c r="BV87" s="83">
        <v>7.4801400000000004E-2</v>
      </c>
      <c r="BW87" s="83">
        <v>1.3890400000000001E-2</v>
      </c>
      <c r="BX87" s="83">
        <v>7.7498999999999997E-3</v>
      </c>
      <c r="BY87" s="83">
        <v>7.2425000000000003E-2</v>
      </c>
      <c r="BZ87" s="83">
        <v>1.36956E-2</v>
      </c>
      <c r="CA87" s="83">
        <v>7.7498999999999997E-3</v>
      </c>
      <c r="CB87" s="83">
        <v>6.9386100000000006E-2</v>
      </c>
      <c r="CC87" s="83">
        <v>1.3302E-2</v>
      </c>
      <c r="CD87" s="83">
        <v>7.7498999999999997E-3</v>
      </c>
      <c r="CE87" s="83">
        <v>6.8642999999999996E-2</v>
      </c>
      <c r="CF87" s="83">
        <v>1.3281100000000001E-2</v>
      </c>
      <c r="CG87" s="83">
        <v>7.7498999999999997E-3</v>
      </c>
      <c r="CH87" s="83">
        <v>6.9174100000000002E-2</v>
      </c>
      <c r="CI87" s="83">
        <v>1.3527000000000001E-2</v>
      </c>
      <c r="CJ87" s="83">
        <v>7.7498999999999997E-3</v>
      </c>
      <c r="CK87" s="83">
        <v>6.8982699999999994E-2</v>
      </c>
      <c r="CL87" s="83">
        <v>1.37289E-2</v>
      </c>
      <c r="CM87" s="83">
        <v>7.7498999999999997E-3</v>
      </c>
      <c r="CN87" s="83">
        <v>6.6786300000000007E-2</v>
      </c>
      <c r="CO87" s="83">
        <v>1.35219E-2</v>
      </c>
      <c r="CP87" s="83">
        <v>7.7498999999999997E-3</v>
      </c>
      <c r="CQ87" s="83">
        <v>6.5619300000000005E-2</v>
      </c>
      <c r="CR87" s="83">
        <v>1.3349E-2</v>
      </c>
      <c r="CS87" s="83">
        <v>7.7498999999999997E-3</v>
      </c>
      <c r="CT87" s="83">
        <v>6.5951200000000001E-2</v>
      </c>
      <c r="CU87" s="83">
        <v>1.3736999999999999E-2</v>
      </c>
      <c r="CV87" s="83">
        <v>7.7498999999999997E-3</v>
      </c>
      <c r="CW87" s="83">
        <v>6.1395999999999999E-2</v>
      </c>
      <c r="CX87" s="83">
        <v>1.32633E-2</v>
      </c>
    </row>
    <row r="88" spans="1:102" x14ac:dyDescent="0.2">
      <c r="A88" s="83">
        <v>7.8498999999999999E-3</v>
      </c>
      <c r="B88" s="83">
        <v>7.8285599999999997E-2</v>
      </c>
      <c r="C88" s="83">
        <v>1.2525400000000001E-2</v>
      </c>
      <c r="D88" s="83">
        <v>7.8498999999999999E-3</v>
      </c>
      <c r="E88" s="83">
        <v>8.1761899999999998E-2</v>
      </c>
      <c r="F88" s="83">
        <v>1.2869999999999999E-2</v>
      </c>
      <c r="G88" s="83">
        <v>7.8498999999999999E-3</v>
      </c>
      <c r="H88" s="83">
        <v>8.1536999999999998E-2</v>
      </c>
      <c r="I88" s="83">
        <v>1.27586E-2</v>
      </c>
      <c r="J88" s="83">
        <v>7.8498999999999999E-3</v>
      </c>
      <c r="K88" s="83">
        <v>7.9732899999999995E-2</v>
      </c>
      <c r="L88" s="83">
        <v>1.2551E-2</v>
      </c>
      <c r="M88" s="83">
        <v>7.8498999999999999E-3</v>
      </c>
      <c r="N88" s="83">
        <v>8.1056699999999995E-2</v>
      </c>
      <c r="O88" s="83">
        <v>1.26894E-2</v>
      </c>
      <c r="P88" s="83">
        <v>7.8498999999999999E-3</v>
      </c>
      <c r="Q88" s="83">
        <v>8.4649600000000005E-2</v>
      </c>
      <c r="R88" s="83">
        <v>1.29645E-2</v>
      </c>
      <c r="S88" s="83">
        <v>7.8498999999999999E-3</v>
      </c>
      <c r="T88" s="83">
        <v>8.5176600000000005E-2</v>
      </c>
      <c r="U88" s="83">
        <v>1.30811E-2</v>
      </c>
      <c r="V88" s="83">
        <v>7.8498999999999999E-3</v>
      </c>
      <c r="W88" s="83">
        <v>8.2782900000000006E-2</v>
      </c>
      <c r="X88" s="83">
        <v>1.2863899999999999E-2</v>
      </c>
      <c r="Y88" s="83">
        <v>7.8498999999999999E-3</v>
      </c>
      <c r="Z88" s="83">
        <v>8.2835599999999995E-2</v>
      </c>
      <c r="AA88" s="83">
        <v>1.3017900000000001E-2</v>
      </c>
      <c r="AB88" s="83">
        <v>7.8498999999999999E-3</v>
      </c>
      <c r="AC88" s="83">
        <v>8.0991599999999997E-2</v>
      </c>
      <c r="AD88" s="83">
        <v>1.2843E-2</v>
      </c>
      <c r="AE88" s="83">
        <v>7.8498999999999999E-3</v>
      </c>
      <c r="AF88" s="83">
        <v>8.0270900000000006E-2</v>
      </c>
      <c r="AG88" s="83">
        <v>1.29379E-2</v>
      </c>
      <c r="AH88" s="83">
        <v>7.8498999999999999E-3</v>
      </c>
      <c r="AI88" s="83">
        <v>7.7636999999999998E-2</v>
      </c>
      <c r="AJ88" s="83">
        <v>1.27695E-2</v>
      </c>
      <c r="AK88" s="83">
        <v>7.8498999999999999E-3</v>
      </c>
      <c r="AL88" s="83">
        <v>7.7129299999999998E-2</v>
      </c>
      <c r="AM88" s="83">
        <v>1.2697999999999999E-2</v>
      </c>
      <c r="AN88" s="83">
        <v>7.8498999999999999E-3</v>
      </c>
      <c r="AO88" s="83">
        <v>7.9212500000000005E-2</v>
      </c>
      <c r="AP88" s="83">
        <v>1.3256499999999999E-2</v>
      </c>
      <c r="AQ88" s="83">
        <v>7.8498999999999999E-3</v>
      </c>
      <c r="AR88" s="83">
        <v>7.68176E-2</v>
      </c>
      <c r="AS88" s="83">
        <v>1.2986899999999999E-2</v>
      </c>
      <c r="AT88" s="83">
        <v>7.8498999999999999E-3</v>
      </c>
      <c r="AU88" s="83">
        <v>7.4482900000000005E-2</v>
      </c>
      <c r="AV88" s="83">
        <v>1.27841E-2</v>
      </c>
      <c r="AW88" s="83">
        <v>7.8498999999999999E-3</v>
      </c>
      <c r="AX88" s="83">
        <v>7.2795899999999997E-2</v>
      </c>
      <c r="AY88" s="83">
        <v>1.2608299999999999E-2</v>
      </c>
      <c r="AZ88" s="83">
        <v>7.8498999999999999E-3</v>
      </c>
      <c r="BA88" s="83">
        <v>7.6001700000000005E-2</v>
      </c>
      <c r="BB88" s="83">
        <v>1.32411E-2</v>
      </c>
      <c r="BC88" s="83">
        <v>7.8498999999999999E-3</v>
      </c>
      <c r="BD88" s="83">
        <v>7.2347099999999998E-2</v>
      </c>
      <c r="BE88" s="83">
        <v>1.28536E-2</v>
      </c>
      <c r="BF88" s="83">
        <v>7.8498999999999999E-3</v>
      </c>
      <c r="BG88" s="83">
        <v>7.0389900000000005E-2</v>
      </c>
      <c r="BH88" s="83">
        <v>1.27379E-2</v>
      </c>
      <c r="BI88" s="83">
        <v>7.8498999999999999E-3</v>
      </c>
      <c r="BJ88" s="83">
        <v>7.0880100000000001E-2</v>
      </c>
      <c r="BK88" s="83">
        <v>1.29065E-2</v>
      </c>
      <c r="BL88" s="83">
        <v>7.8498999999999999E-3</v>
      </c>
      <c r="BM88" s="83">
        <v>7.0722300000000002E-2</v>
      </c>
      <c r="BN88" s="83">
        <v>1.3087100000000001E-2</v>
      </c>
      <c r="BO88" s="83">
        <v>7.8498999999999999E-3</v>
      </c>
      <c r="BP88" s="83">
        <v>6.90355E-2</v>
      </c>
      <c r="BQ88" s="83">
        <v>1.2870100000000001E-2</v>
      </c>
      <c r="BR88" s="83">
        <v>7.8498999999999999E-3</v>
      </c>
      <c r="BS88" s="83">
        <v>7.0112499999999994E-2</v>
      </c>
      <c r="BT88" s="83">
        <v>1.30872E-2</v>
      </c>
      <c r="BU88" s="83">
        <v>7.8498999999999999E-3</v>
      </c>
      <c r="BV88" s="83">
        <v>6.9772100000000004E-2</v>
      </c>
      <c r="BW88" s="83">
        <v>1.32371E-2</v>
      </c>
      <c r="BX88" s="83">
        <v>7.8498999999999999E-3</v>
      </c>
      <c r="BY88" s="83">
        <v>6.8103700000000003E-2</v>
      </c>
      <c r="BZ88" s="83">
        <v>1.30384E-2</v>
      </c>
      <c r="CA88" s="83">
        <v>7.8498999999999999E-3</v>
      </c>
      <c r="CB88" s="83">
        <v>6.5177200000000005E-2</v>
      </c>
      <c r="CC88" s="83">
        <v>1.26584E-2</v>
      </c>
      <c r="CD88" s="83">
        <v>7.8498999999999999E-3</v>
      </c>
      <c r="CE88" s="83">
        <v>6.4224100000000006E-2</v>
      </c>
      <c r="CF88" s="83">
        <v>1.26727E-2</v>
      </c>
      <c r="CG88" s="83">
        <v>7.8498999999999999E-3</v>
      </c>
      <c r="CH88" s="83">
        <v>6.4838099999999996E-2</v>
      </c>
      <c r="CI88" s="83">
        <v>1.28854E-2</v>
      </c>
      <c r="CJ88" s="83">
        <v>7.8498999999999999E-3</v>
      </c>
      <c r="CK88" s="83">
        <v>6.4832299999999995E-2</v>
      </c>
      <c r="CL88" s="83">
        <v>1.30355E-2</v>
      </c>
      <c r="CM88" s="83">
        <v>7.8498999999999999E-3</v>
      </c>
      <c r="CN88" s="83">
        <v>6.3094899999999995E-2</v>
      </c>
      <c r="CO88" s="83">
        <v>1.285E-2</v>
      </c>
      <c r="CP88" s="83">
        <v>7.8498999999999999E-3</v>
      </c>
      <c r="CQ88" s="83">
        <v>6.1048999999999999E-2</v>
      </c>
      <c r="CR88" s="83">
        <v>1.26918E-2</v>
      </c>
      <c r="CS88" s="83">
        <v>7.8498999999999999E-3</v>
      </c>
      <c r="CT88" s="83">
        <v>6.18936E-2</v>
      </c>
      <c r="CU88" s="83">
        <v>1.30983E-2</v>
      </c>
      <c r="CV88" s="83">
        <v>7.8498999999999999E-3</v>
      </c>
      <c r="CW88" s="83">
        <v>5.7660700000000002E-2</v>
      </c>
      <c r="CX88" s="83">
        <v>1.26383E-2</v>
      </c>
    </row>
    <row r="89" spans="1:102" x14ac:dyDescent="0.2">
      <c r="A89" s="83">
        <v>7.9498999999999993E-3</v>
      </c>
      <c r="B89" s="83">
        <v>7.3612700000000003E-2</v>
      </c>
      <c r="C89" s="83">
        <v>1.1911100000000001E-2</v>
      </c>
      <c r="D89" s="83">
        <v>7.9498999999999993E-3</v>
      </c>
      <c r="E89" s="83">
        <v>7.7064599999999997E-2</v>
      </c>
      <c r="F89" s="83">
        <v>1.22498E-2</v>
      </c>
      <c r="G89" s="83">
        <v>7.9498999999999993E-3</v>
      </c>
      <c r="H89" s="83">
        <v>7.6522300000000001E-2</v>
      </c>
      <c r="I89" s="83">
        <v>1.2151199999999999E-2</v>
      </c>
      <c r="J89" s="83">
        <v>7.9498999999999993E-3</v>
      </c>
      <c r="K89" s="83">
        <v>7.5143000000000001E-2</v>
      </c>
      <c r="L89" s="83">
        <v>1.1933900000000001E-2</v>
      </c>
      <c r="M89" s="83">
        <v>7.9498999999999993E-3</v>
      </c>
      <c r="N89" s="83">
        <v>7.6779299999999995E-2</v>
      </c>
      <c r="O89" s="83">
        <v>1.2083E-2</v>
      </c>
      <c r="P89" s="83">
        <v>7.9498999999999993E-3</v>
      </c>
      <c r="Q89" s="83">
        <v>7.9752100000000006E-2</v>
      </c>
      <c r="R89" s="83">
        <v>1.23473E-2</v>
      </c>
      <c r="S89" s="83">
        <v>7.9498999999999993E-3</v>
      </c>
      <c r="T89" s="83">
        <v>7.9756599999999997E-2</v>
      </c>
      <c r="U89" s="83">
        <v>1.24434E-2</v>
      </c>
      <c r="V89" s="83">
        <v>7.9498999999999993E-3</v>
      </c>
      <c r="W89" s="83">
        <v>7.7914700000000003E-2</v>
      </c>
      <c r="X89" s="83">
        <v>1.2240900000000001E-2</v>
      </c>
      <c r="Y89" s="83">
        <v>7.9498999999999993E-3</v>
      </c>
      <c r="Z89" s="83">
        <v>7.8406900000000002E-2</v>
      </c>
      <c r="AA89" s="83">
        <v>1.2403600000000001E-2</v>
      </c>
      <c r="AB89" s="83">
        <v>7.9498999999999993E-3</v>
      </c>
      <c r="AC89" s="83">
        <v>7.6348100000000002E-2</v>
      </c>
      <c r="AD89" s="83">
        <v>1.22346E-2</v>
      </c>
      <c r="AE89" s="83">
        <v>7.9498999999999993E-3</v>
      </c>
      <c r="AF89" s="83">
        <v>7.57689E-2</v>
      </c>
      <c r="AG89" s="83">
        <v>1.2316799999999999E-2</v>
      </c>
      <c r="AH89" s="83">
        <v>7.9498999999999993E-3</v>
      </c>
      <c r="AI89" s="83">
        <v>7.3149699999999998E-2</v>
      </c>
      <c r="AJ89" s="83">
        <v>1.21709E-2</v>
      </c>
      <c r="AK89" s="83">
        <v>7.9498999999999993E-3</v>
      </c>
      <c r="AL89" s="83">
        <v>7.2554099999999996E-2</v>
      </c>
      <c r="AM89" s="83">
        <v>1.2112E-2</v>
      </c>
      <c r="AN89" s="83">
        <v>7.9498999999999993E-3</v>
      </c>
      <c r="AO89" s="83">
        <v>7.4275999999999995E-2</v>
      </c>
      <c r="AP89" s="83">
        <v>1.2619699999999999E-2</v>
      </c>
      <c r="AQ89" s="83">
        <v>7.9498999999999993E-3</v>
      </c>
      <c r="AR89" s="83">
        <v>7.2276599999999996E-2</v>
      </c>
      <c r="AS89" s="83">
        <v>1.23756E-2</v>
      </c>
      <c r="AT89" s="83">
        <v>7.9498999999999993E-3</v>
      </c>
      <c r="AU89" s="83">
        <v>6.9966200000000006E-2</v>
      </c>
      <c r="AV89" s="83">
        <v>1.21972E-2</v>
      </c>
      <c r="AW89" s="83">
        <v>7.9498999999999993E-3</v>
      </c>
      <c r="AX89" s="83">
        <v>6.8577100000000002E-2</v>
      </c>
      <c r="AY89" s="83">
        <v>1.1983300000000001E-2</v>
      </c>
      <c r="AZ89" s="83">
        <v>7.9498999999999993E-3</v>
      </c>
      <c r="BA89" s="83">
        <v>7.1309300000000006E-2</v>
      </c>
      <c r="BB89" s="83">
        <v>1.2615100000000001E-2</v>
      </c>
      <c r="BC89" s="83">
        <v>7.9498999999999993E-3</v>
      </c>
      <c r="BD89" s="83">
        <v>6.7806099999999994E-2</v>
      </c>
      <c r="BE89" s="83">
        <v>1.2245199999999999E-2</v>
      </c>
      <c r="BF89" s="83">
        <v>7.9498999999999993E-3</v>
      </c>
      <c r="BG89" s="83">
        <v>6.6254199999999999E-2</v>
      </c>
      <c r="BH89" s="83">
        <v>1.2155900000000001E-2</v>
      </c>
      <c r="BI89" s="83">
        <v>7.9498999999999993E-3</v>
      </c>
      <c r="BJ89" s="83">
        <v>6.7081299999999996E-2</v>
      </c>
      <c r="BK89" s="83">
        <v>1.2312699999999999E-2</v>
      </c>
      <c r="BL89" s="83">
        <v>7.9498999999999993E-3</v>
      </c>
      <c r="BM89" s="83">
        <v>6.6537700000000005E-2</v>
      </c>
      <c r="BN89" s="83">
        <v>1.2469900000000001E-2</v>
      </c>
      <c r="BO89" s="83">
        <v>7.9498999999999993E-3</v>
      </c>
      <c r="BP89" s="83">
        <v>6.4694699999999994E-2</v>
      </c>
      <c r="BQ89" s="83">
        <v>1.2260800000000001E-2</v>
      </c>
      <c r="BR89" s="83">
        <v>7.9498999999999993E-3</v>
      </c>
      <c r="BS89" s="83">
        <v>6.5883999999999998E-2</v>
      </c>
      <c r="BT89" s="83">
        <v>1.24768E-2</v>
      </c>
      <c r="BU89" s="83">
        <v>7.9498999999999993E-3</v>
      </c>
      <c r="BV89" s="83">
        <v>6.5807199999999996E-2</v>
      </c>
      <c r="BW89" s="83">
        <v>1.25789E-2</v>
      </c>
      <c r="BX89" s="83">
        <v>7.9498999999999993E-3</v>
      </c>
      <c r="BY89" s="83">
        <v>6.4163300000000006E-2</v>
      </c>
      <c r="BZ89" s="83">
        <v>1.24242E-2</v>
      </c>
      <c r="CA89" s="83">
        <v>7.9498999999999993E-3</v>
      </c>
      <c r="CB89" s="83">
        <v>6.1515E-2</v>
      </c>
      <c r="CC89" s="83">
        <v>1.2050999999999999E-2</v>
      </c>
      <c r="CD89" s="83">
        <v>7.9498999999999993E-3</v>
      </c>
      <c r="CE89" s="83">
        <v>6.0234799999999998E-2</v>
      </c>
      <c r="CF89" s="83">
        <v>1.20448E-2</v>
      </c>
      <c r="CG89" s="83">
        <v>7.9498999999999993E-3</v>
      </c>
      <c r="CH89" s="83">
        <v>6.05266E-2</v>
      </c>
      <c r="CI89" s="83">
        <v>1.22623E-2</v>
      </c>
      <c r="CJ89" s="83">
        <v>7.9498999999999993E-3</v>
      </c>
      <c r="CK89" s="83">
        <v>6.0584300000000001E-2</v>
      </c>
      <c r="CL89" s="83">
        <v>1.2396799999999999E-2</v>
      </c>
      <c r="CM89" s="83">
        <v>7.9498999999999993E-3</v>
      </c>
      <c r="CN89" s="83">
        <v>5.9335100000000002E-2</v>
      </c>
      <c r="CO89" s="83">
        <v>1.22446E-2</v>
      </c>
      <c r="CP89" s="83">
        <v>7.9498999999999993E-3</v>
      </c>
      <c r="CQ89" s="83">
        <v>5.7347799999999997E-2</v>
      </c>
      <c r="CR89" s="83">
        <v>1.2101900000000001E-2</v>
      </c>
      <c r="CS89" s="83">
        <v>7.9498999999999993E-3</v>
      </c>
      <c r="CT89" s="83">
        <v>5.8138700000000001E-2</v>
      </c>
      <c r="CU89" s="83">
        <v>1.24733E-2</v>
      </c>
      <c r="CV89" s="83">
        <v>7.9498999999999993E-3</v>
      </c>
      <c r="CW89" s="83">
        <v>5.3940000000000002E-2</v>
      </c>
      <c r="CX89" s="83">
        <v>1.20211E-2</v>
      </c>
    </row>
    <row r="90" spans="1:102" x14ac:dyDescent="0.2">
      <c r="A90" s="83">
        <v>8.0499000000000005E-3</v>
      </c>
      <c r="B90" s="83">
        <v>6.9359799999999999E-2</v>
      </c>
      <c r="C90" s="83">
        <v>1.1334E-2</v>
      </c>
      <c r="D90" s="83">
        <v>8.0499000000000005E-3</v>
      </c>
      <c r="E90" s="83">
        <v>7.2508900000000001E-2</v>
      </c>
      <c r="F90" s="83">
        <v>1.1654100000000001E-2</v>
      </c>
      <c r="G90" s="83">
        <v>8.0499000000000005E-3</v>
      </c>
      <c r="H90" s="83">
        <v>7.2279200000000002E-2</v>
      </c>
      <c r="I90" s="83">
        <v>1.15633E-2</v>
      </c>
      <c r="J90" s="83">
        <v>8.0499000000000005E-3</v>
      </c>
      <c r="K90" s="83">
        <v>7.0958499999999994E-2</v>
      </c>
      <c r="L90" s="83">
        <v>1.1387E-2</v>
      </c>
      <c r="M90" s="83">
        <v>8.0499000000000005E-3</v>
      </c>
      <c r="N90" s="83">
        <v>7.2282200000000005E-2</v>
      </c>
      <c r="O90" s="83">
        <v>1.1521399999999999E-2</v>
      </c>
      <c r="P90" s="83">
        <v>8.0499000000000005E-3</v>
      </c>
      <c r="Q90" s="83">
        <v>7.5006000000000003E-2</v>
      </c>
      <c r="R90" s="83">
        <v>1.17555E-2</v>
      </c>
      <c r="S90" s="83">
        <v>8.0499000000000005E-3</v>
      </c>
      <c r="T90" s="83">
        <v>7.5176599999999996E-2</v>
      </c>
      <c r="U90" s="83">
        <v>1.1825199999999999E-2</v>
      </c>
      <c r="V90" s="83">
        <v>8.0499000000000005E-3</v>
      </c>
      <c r="W90" s="83">
        <v>7.3695899999999995E-2</v>
      </c>
      <c r="X90" s="83">
        <v>1.1665699999999999E-2</v>
      </c>
      <c r="Y90" s="83">
        <v>8.0499000000000005E-3</v>
      </c>
      <c r="Z90" s="83">
        <v>7.3597300000000004E-2</v>
      </c>
      <c r="AA90" s="83">
        <v>1.17952E-2</v>
      </c>
      <c r="AB90" s="83">
        <v>8.0499000000000005E-3</v>
      </c>
      <c r="AC90" s="83">
        <v>7.1694800000000003E-2</v>
      </c>
      <c r="AD90" s="83">
        <v>1.1636000000000001E-2</v>
      </c>
      <c r="AE90" s="83">
        <v>8.0499000000000005E-3</v>
      </c>
      <c r="AF90" s="83">
        <v>7.0939799999999997E-2</v>
      </c>
      <c r="AG90" s="83">
        <v>1.17416E-2</v>
      </c>
      <c r="AH90" s="83">
        <v>8.0499000000000005E-3</v>
      </c>
      <c r="AI90" s="83">
        <v>6.8799100000000002E-2</v>
      </c>
      <c r="AJ90" s="83">
        <v>1.1584000000000001E-2</v>
      </c>
      <c r="AK90" s="83">
        <v>8.0499000000000005E-3</v>
      </c>
      <c r="AL90" s="83">
        <v>6.8154599999999996E-2</v>
      </c>
      <c r="AM90" s="83">
        <v>1.1542699999999999E-2</v>
      </c>
      <c r="AN90" s="83">
        <v>8.0499000000000005E-3</v>
      </c>
      <c r="AO90" s="83">
        <v>6.9925399999999999E-2</v>
      </c>
      <c r="AP90" s="83">
        <v>1.20026E-2</v>
      </c>
      <c r="AQ90" s="83">
        <v>8.0499000000000005E-3</v>
      </c>
      <c r="AR90" s="83">
        <v>6.7828399999999997E-2</v>
      </c>
      <c r="AS90" s="83">
        <v>1.17897E-2</v>
      </c>
      <c r="AT90" s="83">
        <v>8.0499000000000005E-3</v>
      </c>
      <c r="AU90" s="83">
        <v>6.5718200000000004E-2</v>
      </c>
      <c r="AV90" s="83">
        <v>1.16083E-2</v>
      </c>
      <c r="AW90" s="83">
        <v>8.0499000000000005E-3</v>
      </c>
      <c r="AX90" s="83">
        <v>6.4177700000000004E-2</v>
      </c>
      <c r="AY90" s="83">
        <v>1.1439299999999999E-2</v>
      </c>
      <c r="AZ90" s="83">
        <v>8.0499000000000005E-3</v>
      </c>
      <c r="BA90" s="83">
        <v>6.7525100000000005E-2</v>
      </c>
      <c r="BB90" s="83">
        <v>1.2000800000000001E-2</v>
      </c>
      <c r="BC90" s="83">
        <v>8.0499000000000005E-3</v>
      </c>
      <c r="BD90" s="83">
        <v>6.41684E-2</v>
      </c>
      <c r="BE90" s="83">
        <v>1.16163E-2</v>
      </c>
      <c r="BF90" s="83">
        <v>8.0499000000000005E-3</v>
      </c>
      <c r="BG90" s="83">
        <v>6.2089199999999997E-2</v>
      </c>
      <c r="BH90" s="83">
        <v>1.1572900000000001E-2</v>
      </c>
      <c r="BI90" s="83">
        <v>8.0499000000000005E-3</v>
      </c>
      <c r="BJ90" s="83">
        <v>6.2877199999999994E-2</v>
      </c>
      <c r="BK90" s="83">
        <v>1.1715E-2</v>
      </c>
      <c r="BL90" s="83">
        <v>8.0499000000000005E-3</v>
      </c>
      <c r="BM90" s="83">
        <v>6.3212500000000005E-2</v>
      </c>
      <c r="BN90" s="83">
        <v>1.1854699999999999E-2</v>
      </c>
      <c r="BO90" s="83">
        <v>8.0499000000000005E-3</v>
      </c>
      <c r="BP90" s="83">
        <v>6.0558899999999999E-2</v>
      </c>
      <c r="BQ90" s="83">
        <v>1.1703099999999999E-2</v>
      </c>
      <c r="BR90" s="83">
        <v>8.0499000000000005E-3</v>
      </c>
      <c r="BS90" s="83">
        <v>6.2172999999999999E-2</v>
      </c>
      <c r="BT90" s="83">
        <v>1.18919E-2</v>
      </c>
      <c r="BU90" s="83">
        <v>8.0499000000000005E-3</v>
      </c>
      <c r="BV90" s="83">
        <v>6.1393200000000002E-2</v>
      </c>
      <c r="BW90" s="83">
        <v>1.19764E-2</v>
      </c>
      <c r="BX90" s="83">
        <v>8.0499000000000005E-3</v>
      </c>
      <c r="BY90" s="83">
        <v>6.0422999999999998E-2</v>
      </c>
      <c r="BZ90" s="83">
        <v>1.18011E-2</v>
      </c>
      <c r="CA90" s="83">
        <v>8.0499000000000005E-3</v>
      </c>
      <c r="CB90" s="83">
        <v>5.7745499999999998E-2</v>
      </c>
      <c r="CC90" s="83">
        <v>1.14778E-2</v>
      </c>
      <c r="CD90" s="83">
        <v>8.0499000000000005E-3</v>
      </c>
      <c r="CE90" s="83">
        <v>5.6650800000000001E-2</v>
      </c>
      <c r="CF90" s="83">
        <v>1.14813E-2</v>
      </c>
      <c r="CG90" s="83">
        <v>8.0499000000000005E-3</v>
      </c>
      <c r="CH90" s="83">
        <v>5.6810800000000002E-2</v>
      </c>
      <c r="CI90" s="83">
        <v>1.1703699999999999E-2</v>
      </c>
      <c r="CJ90" s="83">
        <v>8.0499000000000005E-3</v>
      </c>
      <c r="CK90" s="83">
        <v>5.7210299999999999E-2</v>
      </c>
      <c r="CL90" s="83">
        <v>1.18177E-2</v>
      </c>
      <c r="CM90" s="83">
        <v>8.0499000000000005E-3</v>
      </c>
      <c r="CN90" s="83">
        <v>5.5697400000000001E-2</v>
      </c>
      <c r="CO90" s="83">
        <v>1.16752E-2</v>
      </c>
      <c r="CP90" s="83">
        <v>8.0499000000000005E-3</v>
      </c>
      <c r="CQ90" s="83">
        <v>5.4227699999999997E-2</v>
      </c>
      <c r="CR90" s="83">
        <v>1.15326E-2</v>
      </c>
      <c r="CS90" s="83">
        <v>8.0499000000000005E-3</v>
      </c>
      <c r="CT90" s="83">
        <v>5.4212900000000001E-2</v>
      </c>
      <c r="CU90" s="83">
        <v>1.1861E-2</v>
      </c>
      <c r="CV90" s="83">
        <v>8.0499000000000005E-3</v>
      </c>
      <c r="CW90" s="83">
        <v>5.0292499999999997E-2</v>
      </c>
      <c r="CX90" s="83">
        <v>1.1439100000000001E-2</v>
      </c>
    </row>
    <row r="91" spans="1:102" x14ac:dyDescent="0.2">
      <c r="A91" s="83">
        <v>8.1498999999999999E-3</v>
      </c>
      <c r="B91" s="83">
        <v>6.5018999999999993E-2</v>
      </c>
      <c r="C91" s="83">
        <v>1.07861E-2</v>
      </c>
      <c r="D91" s="83">
        <v>8.1498999999999999E-3</v>
      </c>
      <c r="E91" s="83">
        <v>6.84757E-2</v>
      </c>
      <c r="F91" s="83">
        <v>1.10965E-2</v>
      </c>
      <c r="G91" s="83">
        <v>8.1498999999999999E-3</v>
      </c>
      <c r="H91" s="83">
        <v>6.8070199999999997E-2</v>
      </c>
      <c r="I91" s="83">
        <v>1.10066E-2</v>
      </c>
      <c r="J91" s="83">
        <v>8.1498999999999999E-3</v>
      </c>
      <c r="K91" s="83">
        <v>6.6422300000000004E-2</v>
      </c>
      <c r="L91" s="83">
        <v>1.08255E-2</v>
      </c>
      <c r="M91" s="83">
        <v>8.1498999999999999E-3</v>
      </c>
      <c r="N91" s="83">
        <v>6.76924E-2</v>
      </c>
      <c r="O91" s="83">
        <v>1.0944300000000001E-2</v>
      </c>
      <c r="P91" s="83">
        <v>8.1498999999999999E-3</v>
      </c>
      <c r="Q91" s="83">
        <v>7.0411299999999996E-2</v>
      </c>
      <c r="R91" s="83">
        <v>1.12154E-2</v>
      </c>
      <c r="S91" s="83">
        <v>8.1498999999999999E-3</v>
      </c>
      <c r="T91" s="83">
        <v>7.0430499999999993E-2</v>
      </c>
      <c r="U91" s="83">
        <v>1.12608E-2</v>
      </c>
      <c r="V91" s="83">
        <v>8.1498999999999999E-3</v>
      </c>
      <c r="W91" s="83">
        <v>6.8891300000000003E-2</v>
      </c>
      <c r="X91" s="83">
        <v>1.10925E-2</v>
      </c>
      <c r="Y91" s="83">
        <v>8.1498999999999999E-3</v>
      </c>
      <c r="Z91" s="83">
        <v>6.8934200000000001E-2</v>
      </c>
      <c r="AA91" s="83">
        <v>1.12278E-2</v>
      </c>
      <c r="AB91" s="83">
        <v>8.1498999999999999E-3</v>
      </c>
      <c r="AC91" s="83">
        <v>6.7251400000000003E-2</v>
      </c>
      <c r="AD91" s="83">
        <v>1.1094E-2</v>
      </c>
      <c r="AE91" s="83">
        <v>8.1498999999999999E-3</v>
      </c>
      <c r="AF91" s="83">
        <v>6.6711300000000001E-2</v>
      </c>
      <c r="AG91" s="83">
        <v>1.1167399999999999E-2</v>
      </c>
      <c r="AH91" s="83">
        <v>8.1498999999999999E-3</v>
      </c>
      <c r="AI91" s="83">
        <v>6.4726800000000001E-2</v>
      </c>
      <c r="AJ91" s="83">
        <v>1.1008799999999999E-2</v>
      </c>
      <c r="AK91" s="83">
        <v>8.1498999999999999E-3</v>
      </c>
      <c r="AL91" s="83">
        <v>6.3828499999999996E-2</v>
      </c>
      <c r="AM91" s="83">
        <v>1.0973399999999999E-2</v>
      </c>
      <c r="AN91" s="83">
        <v>8.1498999999999999E-3</v>
      </c>
      <c r="AO91" s="83">
        <v>6.5521099999999999E-2</v>
      </c>
      <c r="AP91" s="83">
        <v>1.1430299999999999E-2</v>
      </c>
      <c r="AQ91" s="83">
        <v>8.1498999999999999E-3</v>
      </c>
      <c r="AR91" s="83">
        <v>6.3663300000000006E-2</v>
      </c>
      <c r="AS91" s="83">
        <v>1.1214500000000001E-2</v>
      </c>
      <c r="AT91" s="83">
        <v>8.1498999999999999E-3</v>
      </c>
      <c r="AU91" s="83">
        <v>6.1504299999999998E-2</v>
      </c>
      <c r="AV91" s="83">
        <v>1.10566E-2</v>
      </c>
      <c r="AW91" s="83">
        <v>8.1498999999999999E-3</v>
      </c>
      <c r="AX91" s="83">
        <v>6.0461899999999999E-2</v>
      </c>
      <c r="AY91" s="83">
        <v>1.0873900000000001E-2</v>
      </c>
      <c r="AZ91" s="83">
        <v>8.1498999999999999E-3</v>
      </c>
      <c r="BA91" s="83">
        <v>6.3145300000000001E-2</v>
      </c>
      <c r="BB91" s="83">
        <v>1.14403E-2</v>
      </c>
      <c r="BC91" s="83">
        <v>8.1498999999999999E-3</v>
      </c>
      <c r="BD91" s="83">
        <v>5.9646900000000003E-2</v>
      </c>
      <c r="BE91" s="83">
        <v>1.10977E-2</v>
      </c>
      <c r="BF91" s="83">
        <v>8.1498999999999999E-3</v>
      </c>
      <c r="BG91" s="83">
        <v>5.7943700000000001E-2</v>
      </c>
      <c r="BH91" s="83">
        <v>1.10153E-2</v>
      </c>
      <c r="BI91" s="83">
        <v>8.1498999999999999E-3</v>
      </c>
      <c r="BJ91" s="83">
        <v>5.9014900000000002E-2</v>
      </c>
      <c r="BK91" s="83">
        <v>1.1176999999999999E-2</v>
      </c>
      <c r="BL91" s="83">
        <v>8.1498999999999999E-3</v>
      </c>
      <c r="BM91" s="83">
        <v>5.9228099999999999E-2</v>
      </c>
      <c r="BN91" s="83">
        <v>1.1283400000000001E-2</v>
      </c>
      <c r="BO91" s="83">
        <v>8.1498999999999999E-3</v>
      </c>
      <c r="BP91" s="83">
        <v>5.6940699999999997E-2</v>
      </c>
      <c r="BQ91" s="83">
        <v>1.1117200000000001E-2</v>
      </c>
      <c r="BR91" s="83">
        <v>8.1498999999999999E-3</v>
      </c>
      <c r="BS91" s="83">
        <v>5.7983600000000003E-2</v>
      </c>
      <c r="BT91" s="83">
        <v>1.13128E-2</v>
      </c>
      <c r="BU91" s="83">
        <v>8.1498999999999999E-3</v>
      </c>
      <c r="BV91" s="83">
        <v>5.8185199999999999E-2</v>
      </c>
      <c r="BW91" s="83">
        <v>1.14188E-2</v>
      </c>
      <c r="BX91" s="83">
        <v>8.1498999999999999E-3</v>
      </c>
      <c r="BY91" s="83">
        <v>5.6233600000000002E-2</v>
      </c>
      <c r="BZ91" s="83">
        <v>1.1239600000000001E-2</v>
      </c>
      <c r="CA91" s="83">
        <v>8.1498999999999999E-3</v>
      </c>
      <c r="CB91" s="83">
        <v>5.4063899999999998E-2</v>
      </c>
      <c r="CC91" s="83">
        <v>1.09309E-2</v>
      </c>
      <c r="CD91" s="83">
        <v>8.1498999999999999E-3</v>
      </c>
      <c r="CE91" s="83">
        <v>5.28666E-2</v>
      </c>
      <c r="CF91" s="83">
        <v>1.0933399999999999E-2</v>
      </c>
      <c r="CG91" s="83">
        <v>8.1498999999999999E-3</v>
      </c>
      <c r="CH91" s="83">
        <v>5.3011900000000001E-2</v>
      </c>
      <c r="CI91" s="83">
        <v>1.11393E-2</v>
      </c>
      <c r="CJ91" s="83">
        <v>8.1498999999999999E-3</v>
      </c>
      <c r="CK91" s="83">
        <v>5.3460300000000002E-2</v>
      </c>
      <c r="CL91" s="83">
        <v>1.12406E-2</v>
      </c>
      <c r="CM91" s="83">
        <v>8.1498999999999999E-3</v>
      </c>
      <c r="CN91" s="83">
        <v>5.16398E-2</v>
      </c>
      <c r="CO91" s="83">
        <v>1.11293E-2</v>
      </c>
      <c r="CP91" s="83">
        <v>8.1498999999999999E-3</v>
      </c>
      <c r="CQ91" s="83">
        <v>5.04825E-2</v>
      </c>
      <c r="CR91" s="83">
        <v>1.0960299999999999E-2</v>
      </c>
      <c r="CS91" s="83">
        <v>8.1498999999999999E-3</v>
      </c>
      <c r="CT91" s="83">
        <v>5.0619200000000003E-2</v>
      </c>
      <c r="CU91" s="83">
        <v>1.1313200000000001E-2</v>
      </c>
      <c r="CV91" s="83">
        <v>8.1498999999999999E-3</v>
      </c>
      <c r="CW91" s="83">
        <v>4.7421400000000002E-2</v>
      </c>
      <c r="CX91" s="83">
        <v>1.09049E-2</v>
      </c>
    </row>
    <row r="92" spans="1:102" x14ac:dyDescent="0.2">
      <c r="A92" s="83">
        <v>8.2498999999999992E-3</v>
      </c>
      <c r="B92" s="83">
        <v>6.1508300000000002E-2</v>
      </c>
      <c r="C92" s="83">
        <v>1.0286099999999999E-2</v>
      </c>
      <c r="D92" s="83">
        <v>8.2498999999999992E-3</v>
      </c>
      <c r="E92" s="83">
        <v>6.4095899999999997E-2</v>
      </c>
      <c r="F92" s="83">
        <v>1.0567200000000001E-2</v>
      </c>
      <c r="G92" s="83">
        <v>8.2498999999999992E-3</v>
      </c>
      <c r="H92" s="83">
        <v>6.4149300000000006E-2</v>
      </c>
      <c r="I92" s="83">
        <v>1.0467600000000001E-2</v>
      </c>
      <c r="J92" s="83">
        <v>8.2498999999999992E-3</v>
      </c>
      <c r="K92" s="83">
        <v>6.2789499999999998E-2</v>
      </c>
      <c r="L92" s="83">
        <v>1.03108E-2</v>
      </c>
      <c r="M92" s="83">
        <v>8.2498999999999992E-3</v>
      </c>
      <c r="N92" s="83">
        <v>6.3366199999999998E-2</v>
      </c>
      <c r="O92" s="83">
        <v>1.0455000000000001E-2</v>
      </c>
      <c r="P92" s="83">
        <v>8.2498999999999992E-3</v>
      </c>
      <c r="Q92" s="83">
        <v>6.6299999999999998E-2</v>
      </c>
      <c r="R92" s="83">
        <v>1.0653899999999999E-2</v>
      </c>
      <c r="S92" s="83">
        <v>8.2498999999999992E-3</v>
      </c>
      <c r="T92" s="83">
        <v>6.6367999999999996E-2</v>
      </c>
      <c r="U92" s="83">
        <v>1.07403E-2</v>
      </c>
      <c r="V92" s="83">
        <v>8.2498999999999992E-3</v>
      </c>
      <c r="W92" s="83">
        <v>6.5312200000000001E-2</v>
      </c>
      <c r="X92" s="83">
        <v>1.0573900000000001E-2</v>
      </c>
      <c r="Y92" s="83">
        <v>8.2498999999999992E-3</v>
      </c>
      <c r="Z92" s="83">
        <v>6.4798499999999995E-2</v>
      </c>
      <c r="AA92" s="83">
        <v>1.0701499999999999E-2</v>
      </c>
      <c r="AB92" s="83">
        <v>8.2498999999999992E-3</v>
      </c>
      <c r="AC92" s="83">
        <v>6.33793E-2</v>
      </c>
      <c r="AD92" s="83">
        <v>1.05588E-2</v>
      </c>
      <c r="AE92" s="83">
        <v>8.2498999999999992E-3</v>
      </c>
      <c r="AF92" s="83">
        <v>6.28832E-2</v>
      </c>
      <c r="AG92" s="83">
        <v>1.06459E-2</v>
      </c>
      <c r="AH92" s="83">
        <v>8.2498999999999992E-3</v>
      </c>
      <c r="AI92" s="83">
        <v>6.07083E-2</v>
      </c>
      <c r="AJ92" s="83">
        <v>1.05039E-2</v>
      </c>
      <c r="AK92" s="83">
        <v>8.2498999999999992E-3</v>
      </c>
      <c r="AL92" s="83">
        <v>5.9770900000000002E-2</v>
      </c>
      <c r="AM92" s="83">
        <v>1.04402E-2</v>
      </c>
      <c r="AN92" s="83">
        <v>8.2498999999999992E-3</v>
      </c>
      <c r="AO92" s="83">
        <v>6.1761400000000001E-2</v>
      </c>
      <c r="AP92" s="83">
        <v>1.0881500000000001E-2</v>
      </c>
      <c r="AQ92" s="83">
        <v>8.2498999999999992E-3</v>
      </c>
      <c r="AR92" s="83">
        <v>5.9869400000000003E-2</v>
      </c>
      <c r="AS92" s="83">
        <v>1.06979E-2</v>
      </c>
      <c r="AT92" s="83">
        <v>8.2498999999999992E-3</v>
      </c>
      <c r="AU92" s="83">
        <v>5.8120499999999999E-2</v>
      </c>
      <c r="AV92" s="83">
        <v>1.0519499999999999E-2</v>
      </c>
      <c r="AW92" s="83">
        <v>8.2498999999999992E-3</v>
      </c>
      <c r="AX92" s="83">
        <v>5.6697200000000003E-2</v>
      </c>
      <c r="AY92" s="83">
        <v>1.03622E-2</v>
      </c>
      <c r="AZ92" s="83">
        <v>8.2498999999999992E-3</v>
      </c>
      <c r="BA92" s="83">
        <v>5.9156E-2</v>
      </c>
      <c r="BB92" s="83">
        <v>1.09227E-2</v>
      </c>
      <c r="BC92" s="83">
        <v>8.2498999999999992E-3</v>
      </c>
      <c r="BD92" s="83">
        <v>5.6072700000000003E-2</v>
      </c>
      <c r="BE92" s="83">
        <v>1.05811E-2</v>
      </c>
      <c r="BF92" s="83">
        <v>8.2498999999999992E-3</v>
      </c>
      <c r="BG92" s="83">
        <v>5.4501300000000003E-2</v>
      </c>
      <c r="BH92" s="83">
        <v>1.04977E-2</v>
      </c>
      <c r="BI92" s="83">
        <v>8.2498999999999992E-3</v>
      </c>
      <c r="BJ92" s="83">
        <v>5.5240499999999998E-2</v>
      </c>
      <c r="BK92" s="83">
        <v>1.0657399999999999E-2</v>
      </c>
      <c r="BL92" s="83">
        <v>8.2498999999999992E-3</v>
      </c>
      <c r="BM92" s="83">
        <v>5.4940999999999997E-2</v>
      </c>
      <c r="BN92" s="83">
        <v>1.0754100000000001E-2</v>
      </c>
      <c r="BO92" s="83">
        <v>8.2498999999999992E-3</v>
      </c>
      <c r="BP92" s="83">
        <v>5.3566700000000002E-2</v>
      </c>
      <c r="BQ92" s="83">
        <v>1.0584E-2</v>
      </c>
      <c r="BR92" s="83">
        <v>8.2498999999999992E-3</v>
      </c>
      <c r="BS92" s="83">
        <v>5.4609600000000001E-2</v>
      </c>
      <c r="BT92" s="83">
        <v>1.07835E-2</v>
      </c>
      <c r="BU92" s="83">
        <v>8.2498999999999992E-3</v>
      </c>
      <c r="BV92" s="83">
        <v>5.4181300000000002E-2</v>
      </c>
      <c r="BW92" s="83">
        <v>1.08807E-2</v>
      </c>
      <c r="BX92" s="83">
        <v>8.2498999999999992E-3</v>
      </c>
      <c r="BY92" s="83">
        <v>5.2854699999999998E-2</v>
      </c>
      <c r="BZ92" s="83">
        <v>1.0719100000000001E-2</v>
      </c>
      <c r="CA92" s="83">
        <v>8.2498999999999992E-3</v>
      </c>
      <c r="CB92" s="83">
        <v>5.0889999999999998E-2</v>
      </c>
      <c r="CC92" s="83">
        <v>1.0431899999999999E-2</v>
      </c>
      <c r="CD92" s="83">
        <v>8.2498999999999992E-3</v>
      </c>
      <c r="CE92" s="83">
        <v>4.9722099999999998E-2</v>
      </c>
      <c r="CF92" s="83">
        <v>1.04149E-2</v>
      </c>
      <c r="CG92" s="83">
        <v>8.2498999999999992E-3</v>
      </c>
      <c r="CH92" s="83">
        <v>5.0199399999999998E-2</v>
      </c>
      <c r="CI92" s="83">
        <v>1.0602200000000001E-2</v>
      </c>
      <c r="CJ92" s="83">
        <v>8.2498999999999992E-3</v>
      </c>
      <c r="CK92" s="83">
        <v>5.0081399999999998E-2</v>
      </c>
      <c r="CL92" s="83">
        <v>1.07064E-2</v>
      </c>
      <c r="CM92" s="83">
        <v>8.2498999999999992E-3</v>
      </c>
      <c r="CN92" s="83">
        <v>4.8715000000000001E-2</v>
      </c>
      <c r="CO92" s="83">
        <v>1.05776E-2</v>
      </c>
      <c r="CP92" s="83">
        <v>8.2498999999999992E-3</v>
      </c>
      <c r="CQ92" s="83">
        <v>4.7611500000000001E-2</v>
      </c>
      <c r="CR92" s="83">
        <v>1.04574E-2</v>
      </c>
      <c r="CS92" s="83">
        <v>8.2498999999999992E-3</v>
      </c>
      <c r="CT92" s="83">
        <v>4.7640700000000001E-2</v>
      </c>
      <c r="CU92" s="83">
        <v>1.07683E-2</v>
      </c>
      <c r="CV92" s="83">
        <v>8.2498999999999992E-3</v>
      </c>
      <c r="CW92" s="83">
        <v>4.4188999999999999E-2</v>
      </c>
      <c r="CX92" s="83">
        <v>1.0357999999999999E-2</v>
      </c>
    </row>
    <row r="93" spans="1:102" x14ac:dyDescent="0.2">
      <c r="A93" s="83">
        <v>8.3499000000000004E-3</v>
      </c>
      <c r="B93" s="83">
        <v>5.7357900000000003E-2</v>
      </c>
      <c r="C93" s="83">
        <v>9.8007700000000003E-3</v>
      </c>
      <c r="D93" s="83">
        <v>8.3499000000000004E-3</v>
      </c>
      <c r="E93" s="83">
        <v>6.0023600000000003E-2</v>
      </c>
      <c r="F93" s="83">
        <v>1.00643E-2</v>
      </c>
      <c r="G93" s="83">
        <v>8.3499000000000004E-3</v>
      </c>
      <c r="H93" s="83">
        <v>6.0272300000000001E-2</v>
      </c>
      <c r="I93" s="83">
        <v>9.9724400000000008E-3</v>
      </c>
      <c r="J93" s="83">
        <v>8.3499000000000004E-3</v>
      </c>
      <c r="K93" s="83">
        <v>5.8653799999999999E-2</v>
      </c>
      <c r="L93" s="83">
        <v>9.8137399999999996E-3</v>
      </c>
      <c r="M93" s="83">
        <v>8.3499000000000004E-3</v>
      </c>
      <c r="N93" s="83">
        <v>5.99873E-2</v>
      </c>
      <c r="O93" s="83">
        <v>9.9188999999999996E-3</v>
      </c>
      <c r="P93" s="83">
        <v>8.3499000000000004E-3</v>
      </c>
      <c r="Q93" s="83">
        <v>6.2798999999999994E-2</v>
      </c>
      <c r="R93" s="83">
        <v>1.01695E-2</v>
      </c>
      <c r="S93" s="83">
        <v>8.3499000000000004E-3</v>
      </c>
      <c r="T93" s="83">
        <v>6.2471499999999999E-2</v>
      </c>
      <c r="U93" s="83">
        <v>1.0234399999999999E-2</v>
      </c>
      <c r="V93" s="83">
        <v>8.3499000000000004E-3</v>
      </c>
      <c r="W93" s="83">
        <v>6.1020199999999997E-2</v>
      </c>
      <c r="X93" s="83">
        <v>1.00573E-2</v>
      </c>
      <c r="Y93" s="83">
        <v>8.3499000000000004E-3</v>
      </c>
      <c r="Z93" s="83">
        <v>6.0711599999999998E-2</v>
      </c>
      <c r="AA93" s="83">
        <v>1.01946E-2</v>
      </c>
      <c r="AB93" s="83">
        <v>8.3499000000000004E-3</v>
      </c>
      <c r="AC93" s="83">
        <v>5.93705E-2</v>
      </c>
      <c r="AD93" s="83">
        <v>1.00442E-2</v>
      </c>
      <c r="AE93" s="83">
        <v>8.3499000000000004E-3</v>
      </c>
      <c r="AF93" s="83">
        <v>5.8830500000000001E-2</v>
      </c>
      <c r="AG93" s="83">
        <v>1.01254E-2</v>
      </c>
      <c r="AH93" s="83">
        <v>8.3499000000000004E-3</v>
      </c>
      <c r="AI93" s="83">
        <v>5.7021700000000002E-2</v>
      </c>
      <c r="AJ93" s="83">
        <v>1.0012699999999999E-2</v>
      </c>
      <c r="AK93" s="83">
        <v>8.3499000000000004E-3</v>
      </c>
      <c r="AL93" s="83">
        <v>5.6177100000000001E-2</v>
      </c>
      <c r="AM93" s="83">
        <v>9.9684700000000001E-3</v>
      </c>
      <c r="AN93" s="83">
        <v>8.3499000000000004E-3</v>
      </c>
      <c r="AO93" s="83">
        <v>5.78112E-2</v>
      </c>
      <c r="AP93" s="83">
        <v>1.03795E-2</v>
      </c>
      <c r="AQ93" s="83">
        <v>8.3499000000000004E-3</v>
      </c>
      <c r="AR93" s="83">
        <v>5.63489E-2</v>
      </c>
      <c r="AS93" s="83">
        <v>1.01735E-2</v>
      </c>
      <c r="AT93" s="83">
        <v>8.3499000000000004E-3</v>
      </c>
      <c r="AU93" s="83">
        <v>5.4546299999999999E-2</v>
      </c>
      <c r="AV93" s="83">
        <v>1.0022400000000001E-2</v>
      </c>
      <c r="AW93" s="83">
        <v>8.3499000000000004E-3</v>
      </c>
      <c r="AX93" s="83">
        <v>5.3401299999999999E-2</v>
      </c>
      <c r="AY93" s="83">
        <v>9.8924300000000007E-3</v>
      </c>
      <c r="AZ93" s="83">
        <v>8.3499000000000004E-3</v>
      </c>
      <c r="BA93" s="83">
        <v>5.5987099999999998E-2</v>
      </c>
      <c r="BB93" s="83">
        <v>1.0411999999999999E-2</v>
      </c>
      <c r="BC93" s="83">
        <v>8.3499000000000004E-3</v>
      </c>
      <c r="BD93" s="83">
        <v>5.2620599999999997E-2</v>
      </c>
      <c r="BE93" s="83">
        <v>1.0064500000000001E-2</v>
      </c>
      <c r="BF93" s="83">
        <v>8.3499000000000004E-3</v>
      </c>
      <c r="BG93" s="83">
        <v>5.11712E-2</v>
      </c>
      <c r="BH93" s="83">
        <v>9.9791199999999993E-3</v>
      </c>
      <c r="BI93" s="83">
        <v>8.3499000000000004E-3</v>
      </c>
      <c r="BJ93" s="83">
        <v>5.1446499999999999E-2</v>
      </c>
      <c r="BK93" s="83">
        <v>1.0150599999999999E-2</v>
      </c>
      <c r="BL93" s="83">
        <v>8.3499000000000004E-3</v>
      </c>
      <c r="BM93" s="83">
        <v>5.19137E-2</v>
      </c>
      <c r="BN93" s="83">
        <v>1.02404E-2</v>
      </c>
      <c r="BO93" s="83">
        <v>8.3499000000000004E-3</v>
      </c>
      <c r="BP93" s="83">
        <v>5.0085299999999999E-2</v>
      </c>
      <c r="BQ93" s="83">
        <v>1.0101600000000001E-2</v>
      </c>
      <c r="BR93" s="83">
        <v>8.3499000000000004E-3</v>
      </c>
      <c r="BS93" s="83">
        <v>5.0781399999999997E-2</v>
      </c>
      <c r="BT93" s="83">
        <v>1.02571E-2</v>
      </c>
      <c r="BU93" s="83">
        <v>8.3499000000000004E-3</v>
      </c>
      <c r="BV93" s="83">
        <v>5.0719300000000002E-2</v>
      </c>
      <c r="BW93" s="83">
        <v>1.0350399999999999E-2</v>
      </c>
      <c r="BX93" s="83">
        <v>8.3499000000000004E-3</v>
      </c>
      <c r="BY93" s="83">
        <v>4.9944500000000003E-2</v>
      </c>
      <c r="BZ93" s="83">
        <v>1.0226900000000001E-2</v>
      </c>
      <c r="CA93" s="83">
        <v>8.3499000000000004E-3</v>
      </c>
      <c r="CB93" s="83">
        <v>4.7721100000000002E-2</v>
      </c>
      <c r="CC93" s="83">
        <v>9.9260100000000007E-3</v>
      </c>
      <c r="CD93" s="83">
        <v>8.3499000000000004E-3</v>
      </c>
      <c r="CE93" s="83">
        <v>4.6699699999999997E-2</v>
      </c>
      <c r="CF93" s="83">
        <v>9.8904700000000002E-3</v>
      </c>
      <c r="CG93" s="83">
        <v>8.3499000000000004E-3</v>
      </c>
      <c r="CH93" s="83">
        <v>4.7450399999999997E-2</v>
      </c>
      <c r="CI93" s="83">
        <v>1.00768E-2</v>
      </c>
      <c r="CJ93" s="83">
        <v>8.3499000000000004E-3</v>
      </c>
      <c r="CK93" s="83">
        <v>4.70345E-2</v>
      </c>
      <c r="CL93" s="83">
        <v>1.0206399999999999E-2</v>
      </c>
      <c r="CM93" s="83">
        <v>8.3499000000000004E-3</v>
      </c>
      <c r="CN93" s="83">
        <v>4.5634000000000001E-2</v>
      </c>
      <c r="CO93" s="83">
        <v>1.00737E-2</v>
      </c>
      <c r="CP93" s="83">
        <v>8.3499000000000004E-3</v>
      </c>
      <c r="CQ93" s="83">
        <v>4.4672000000000003E-2</v>
      </c>
      <c r="CR93" s="83">
        <v>9.9407899999999997E-3</v>
      </c>
      <c r="CS93" s="83">
        <v>8.3499000000000004E-3</v>
      </c>
      <c r="CT93" s="83">
        <v>4.4628000000000001E-2</v>
      </c>
      <c r="CU93" s="83">
        <v>1.02595E-2</v>
      </c>
      <c r="CV93" s="83">
        <v>8.3499000000000004E-3</v>
      </c>
      <c r="CW93" s="83">
        <v>4.1576700000000001E-2</v>
      </c>
      <c r="CX93" s="83">
        <v>9.8804700000000006E-3</v>
      </c>
    </row>
    <row r="94" spans="1:102" x14ac:dyDescent="0.2">
      <c r="A94" s="83">
        <v>8.4498999999999998E-3</v>
      </c>
      <c r="B94" s="83">
        <v>5.40864E-2</v>
      </c>
      <c r="C94" s="83">
        <v>9.3271399999999994E-3</v>
      </c>
      <c r="D94" s="83">
        <v>8.4498999999999998E-3</v>
      </c>
      <c r="E94" s="83">
        <v>5.6732600000000001E-2</v>
      </c>
      <c r="F94" s="83">
        <v>9.5760099999999994E-3</v>
      </c>
      <c r="G94" s="83">
        <v>8.4498999999999998E-3</v>
      </c>
      <c r="H94" s="83">
        <v>5.65516E-2</v>
      </c>
      <c r="I94" s="83">
        <v>9.4861100000000007E-3</v>
      </c>
      <c r="J94" s="83">
        <v>8.4498999999999998E-3</v>
      </c>
      <c r="K94" s="83">
        <v>5.4908699999999998E-2</v>
      </c>
      <c r="L94" s="83">
        <v>9.3274099999999995E-3</v>
      </c>
      <c r="M94" s="83">
        <v>8.4498999999999998E-3</v>
      </c>
      <c r="N94" s="83">
        <v>5.61006E-2</v>
      </c>
      <c r="O94" s="83">
        <v>9.4648000000000006E-3</v>
      </c>
      <c r="P94" s="83">
        <v>8.4498999999999998E-3</v>
      </c>
      <c r="Q94" s="83">
        <v>5.8663199999999999E-2</v>
      </c>
      <c r="R94" s="83">
        <v>9.6568499999999998E-3</v>
      </c>
      <c r="S94" s="83">
        <v>8.4498999999999998E-3</v>
      </c>
      <c r="T94" s="83">
        <v>5.8335699999999997E-2</v>
      </c>
      <c r="U94" s="83">
        <v>9.7236700000000002E-3</v>
      </c>
      <c r="V94" s="83">
        <v>8.4498999999999998E-3</v>
      </c>
      <c r="W94" s="83">
        <v>5.7519199999999999E-2</v>
      </c>
      <c r="X94" s="83">
        <v>9.5768299999999997E-3</v>
      </c>
      <c r="Y94" s="83">
        <v>8.4498999999999998E-3</v>
      </c>
      <c r="Z94" s="83">
        <v>5.7220300000000002E-2</v>
      </c>
      <c r="AA94" s="83">
        <v>9.7083099999999995E-3</v>
      </c>
      <c r="AB94" s="83">
        <v>8.4498999999999998E-3</v>
      </c>
      <c r="AC94" s="83">
        <v>5.5845100000000002E-2</v>
      </c>
      <c r="AD94" s="83">
        <v>9.5646800000000008E-3</v>
      </c>
      <c r="AE94" s="83">
        <v>8.4498999999999998E-3</v>
      </c>
      <c r="AF94" s="83">
        <v>5.51928E-2</v>
      </c>
      <c r="AG94" s="83">
        <v>9.6517300000000007E-3</v>
      </c>
      <c r="AH94" s="83">
        <v>8.4498999999999998E-3</v>
      </c>
      <c r="AI94" s="83">
        <v>5.3457299999999999E-2</v>
      </c>
      <c r="AJ94" s="83">
        <v>9.5136600000000002E-3</v>
      </c>
      <c r="AK94" s="83">
        <v>8.4498999999999998E-3</v>
      </c>
      <c r="AL94" s="83">
        <v>5.2627300000000002E-2</v>
      </c>
      <c r="AM94" s="83">
        <v>9.4899600000000004E-3</v>
      </c>
      <c r="AN94" s="83">
        <v>8.4498999999999998E-3</v>
      </c>
      <c r="AO94" s="83">
        <v>5.4329700000000002E-2</v>
      </c>
      <c r="AP94" s="83">
        <v>9.8814599999999999E-3</v>
      </c>
      <c r="AQ94" s="83">
        <v>8.4498999999999998E-3</v>
      </c>
      <c r="AR94" s="83">
        <v>5.2535400000000003E-2</v>
      </c>
      <c r="AS94" s="83">
        <v>9.6802999999999993E-3</v>
      </c>
      <c r="AT94" s="83">
        <v>8.4498999999999998E-3</v>
      </c>
      <c r="AU94" s="83">
        <v>5.0942800000000003E-2</v>
      </c>
      <c r="AV94" s="83">
        <v>9.5233799999999997E-3</v>
      </c>
      <c r="AW94" s="83">
        <v>8.4498999999999998E-3</v>
      </c>
      <c r="AX94" s="83">
        <v>4.9753899999999997E-2</v>
      </c>
      <c r="AY94" s="83">
        <v>9.4217299999999997E-3</v>
      </c>
      <c r="AZ94" s="83">
        <v>8.4498999999999998E-3</v>
      </c>
      <c r="BA94" s="83">
        <v>5.2520299999999999E-2</v>
      </c>
      <c r="BB94" s="83">
        <v>9.8855999999999996E-3</v>
      </c>
      <c r="BC94" s="83">
        <v>8.4498999999999998E-3</v>
      </c>
      <c r="BD94" s="83">
        <v>4.9529700000000003E-2</v>
      </c>
      <c r="BE94" s="83">
        <v>9.59285E-3</v>
      </c>
      <c r="BF94" s="83">
        <v>8.4498999999999998E-3</v>
      </c>
      <c r="BG94" s="83">
        <v>4.8187800000000003E-2</v>
      </c>
      <c r="BH94" s="83">
        <v>9.5084100000000001E-3</v>
      </c>
      <c r="BI94" s="83">
        <v>8.4498999999999998E-3</v>
      </c>
      <c r="BJ94" s="83">
        <v>4.8590099999999997E-2</v>
      </c>
      <c r="BK94" s="83">
        <v>9.6525399999999994E-3</v>
      </c>
      <c r="BL94" s="83">
        <v>8.4498999999999998E-3</v>
      </c>
      <c r="BM94" s="83">
        <v>4.8813099999999998E-2</v>
      </c>
      <c r="BN94" s="83">
        <v>9.7374999999999996E-3</v>
      </c>
      <c r="BO94" s="83">
        <v>8.4498999999999998E-3</v>
      </c>
      <c r="BP94" s="83">
        <v>4.7228800000000001E-2</v>
      </c>
      <c r="BQ94" s="83">
        <v>9.5869300000000005E-3</v>
      </c>
      <c r="BR94" s="83">
        <v>8.4498999999999998E-3</v>
      </c>
      <c r="BS94" s="83">
        <v>4.78518E-2</v>
      </c>
      <c r="BT94" s="83">
        <v>9.7746900000000008E-3</v>
      </c>
      <c r="BU94" s="83">
        <v>8.4498999999999998E-3</v>
      </c>
      <c r="BV94" s="83">
        <v>4.7442999999999999E-2</v>
      </c>
      <c r="BW94" s="83">
        <v>9.8269599999999992E-3</v>
      </c>
      <c r="BX94" s="83">
        <v>8.4498999999999998E-3</v>
      </c>
      <c r="BY94" s="83">
        <v>4.6755999999999999E-2</v>
      </c>
      <c r="BZ94" s="83">
        <v>9.7337299999999995E-3</v>
      </c>
      <c r="CA94" s="83">
        <v>8.4498999999999998E-3</v>
      </c>
      <c r="CB94" s="83">
        <v>4.4972100000000001E-2</v>
      </c>
      <c r="CC94" s="83">
        <v>9.47484E-3</v>
      </c>
      <c r="CD94" s="83">
        <v>8.4498999999999998E-3</v>
      </c>
      <c r="CE94" s="83">
        <v>4.4175199999999998E-2</v>
      </c>
      <c r="CF94" s="83">
        <v>9.4461300000000005E-3</v>
      </c>
      <c r="CG94" s="83">
        <v>8.4498999999999998E-3</v>
      </c>
      <c r="CH94" s="83">
        <v>4.4047099999999999E-2</v>
      </c>
      <c r="CI94" s="83">
        <v>9.6168099999999999E-3</v>
      </c>
      <c r="CJ94" s="83">
        <v>8.4498999999999998E-3</v>
      </c>
      <c r="CK94" s="83">
        <v>4.3850899999999998E-2</v>
      </c>
      <c r="CL94" s="83">
        <v>9.7171400000000008E-3</v>
      </c>
      <c r="CM94" s="83">
        <v>8.4498999999999998E-3</v>
      </c>
      <c r="CN94" s="83">
        <v>4.2709200000000003E-2</v>
      </c>
      <c r="CO94" s="83">
        <v>9.5824699999999992E-3</v>
      </c>
      <c r="CP94" s="83">
        <v>8.4498999999999998E-3</v>
      </c>
      <c r="CQ94" s="83">
        <v>4.2132900000000001E-2</v>
      </c>
      <c r="CR94" s="83">
        <v>9.4769199999999998E-3</v>
      </c>
      <c r="CS94" s="83">
        <v>8.4498999999999998E-3</v>
      </c>
      <c r="CT94" s="83">
        <v>4.2206100000000003E-2</v>
      </c>
      <c r="CU94" s="83">
        <v>9.7545900000000005E-3</v>
      </c>
      <c r="CV94" s="83">
        <v>8.4498999999999998E-3</v>
      </c>
      <c r="CW94" s="83">
        <v>3.9189000000000002E-2</v>
      </c>
      <c r="CX94" s="83">
        <v>9.4097699999999996E-3</v>
      </c>
    </row>
    <row r="95" spans="1:102" x14ac:dyDescent="0.2">
      <c r="A95" s="83">
        <v>8.5498999999999992E-3</v>
      </c>
      <c r="B95" s="83">
        <v>5.0624500000000003E-2</v>
      </c>
      <c r="C95" s="83">
        <v>8.8720599999999993E-3</v>
      </c>
      <c r="D95" s="83">
        <v>8.5498999999999992E-3</v>
      </c>
      <c r="E95" s="83">
        <v>5.3470900000000002E-2</v>
      </c>
      <c r="F95" s="83">
        <v>9.1306900000000003E-3</v>
      </c>
      <c r="G95" s="83">
        <v>8.5498999999999992E-3</v>
      </c>
      <c r="H95" s="83">
        <v>5.2918800000000002E-2</v>
      </c>
      <c r="I95" s="83">
        <v>9.0222500000000008E-3</v>
      </c>
      <c r="J95" s="83">
        <v>8.5498999999999992E-3</v>
      </c>
      <c r="K95" s="83">
        <v>5.1715299999999999E-2</v>
      </c>
      <c r="L95" s="83">
        <v>8.8713500000000001E-3</v>
      </c>
      <c r="M95" s="83">
        <v>8.5498999999999992E-3</v>
      </c>
      <c r="N95" s="83">
        <v>5.1925800000000001E-2</v>
      </c>
      <c r="O95" s="83">
        <v>9.0028899999999995E-3</v>
      </c>
      <c r="P95" s="83">
        <v>8.5498999999999992E-3</v>
      </c>
      <c r="Q95" s="83">
        <v>5.5269699999999998E-2</v>
      </c>
      <c r="R95" s="83">
        <v>9.2076299999999996E-3</v>
      </c>
      <c r="S95" s="83">
        <v>8.5498999999999992E-3</v>
      </c>
      <c r="T95" s="83">
        <v>5.48494E-2</v>
      </c>
      <c r="U95" s="83">
        <v>9.2724999999999995E-3</v>
      </c>
      <c r="V95" s="83">
        <v>8.5498999999999992E-3</v>
      </c>
      <c r="W95" s="83">
        <v>5.38229E-2</v>
      </c>
      <c r="X95" s="83">
        <v>9.1363999999999994E-3</v>
      </c>
      <c r="Y95" s="83">
        <v>8.5498999999999992E-3</v>
      </c>
      <c r="Z95" s="83">
        <v>5.3743800000000001E-2</v>
      </c>
      <c r="AA95" s="83">
        <v>9.2336999999999992E-3</v>
      </c>
      <c r="AB95" s="83">
        <v>8.5498999999999992E-3</v>
      </c>
      <c r="AC95" s="83">
        <v>5.2407599999999999E-2</v>
      </c>
      <c r="AD95" s="83">
        <v>9.0949599999999992E-3</v>
      </c>
      <c r="AE95" s="83">
        <v>8.5498999999999992E-3</v>
      </c>
      <c r="AF95" s="83">
        <v>5.1921299999999997E-2</v>
      </c>
      <c r="AG95" s="83">
        <v>9.1859100000000003E-3</v>
      </c>
      <c r="AH95" s="83">
        <v>8.5498999999999992E-3</v>
      </c>
      <c r="AI95" s="83">
        <v>4.9931900000000001E-2</v>
      </c>
      <c r="AJ95" s="83">
        <v>9.0400299999999992E-3</v>
      </c>
      <c r="AK95" s="83">
        <v>8.5498999999999992E-3</v>
      </c>
      <c r="AL95" s="83">
        <v>4.9604799999999998E-2</v>
      </c>
      <c r="AM95" s="83">
        <v>9.0046099999999997E-3</v>
      </c>
      <c r="AN95" s="83">
        <v>8.5498999999999992E-3</v>
      </c>
      <c r="AO95" s="83">
        <v>5.0677399999999997E-2</v>
      </c>
      <c r="AP95" s="83">
        <v>9.4088000000000001E-3</v>
      </c>
      <c r="AQ95" s="83">
        <v>8.5498999999999992E-3</v>
      </c>
      <c r="AR95" s="83">
        <v>4.9307900000000002E-2</v>
      </c>
      <c r="AS95" s="83">
        <v>9.2086200000000007E-3</v>
      </c>
      <c r="AT95" s="83">
        <v>8.5498999999999992E-3</v>
      </c>
      <c r="AU95" s="83">
        <v>4.7998499999999999E-2</v>
      </c>
      <c r="AV95" s="83">
        <v>9.0809900000000006E-3</v>
      </c>
      <c r="AW95" s="83">
        <v>8.5498999999999992E-3</v>
      </c>
      <c r="AX95" s="83">
        <v>4.6848599999999997E-2</v>
      </c>
      <c r="AY95" s="83">
        <v>8.9705600000000007E-3</v>
      </c>
      <c r="AZ95" s="83">
        <v>8.5498999999999992E-3</v>
      </c>
      <c r="BA95" s="83">
        <v>4.90535E-2</v>
      </c>
      <c r="BB95" s="83">
        <v>9.3953700000000001E-3</v>
      </c>
      <c r="BC95" s="83">
        <v>8.5498999999999992E-3</v>
      </c>
      <c r="BD95" s="83">
        <v>4.6233799999999999E-2</v>
      </c>
      <c r="BE95" s="83">
        <v>9.1026200000000005E-3</v>
      </c>
      <c r="BF95" s="83">
        <v>8.5498999999999992E-3</v>
      </c>
      <c r="BG95" s="83">
        <v>4.5223899999999997E-2</v>
      </c>
      <c r="BH95" s="83">
        <v>9.0377099999999991E-3</v>
      </c>
      <c r="BI95" s="83">
        <v>8.5498999999999992E-3</v>
      </c>
      <c r="BJ95" s="83">
        <v>4.5679900000000002E-2</v>
      </c>
      <c r="BK95" s="83">
        <v>9.19063E-3</v>
      </c>
      <c r="BL95" s="83">
        <v>8.5498999999999992E-3</v>
      </c>
      <c r="BM95" s="83">
        <v>4.5839499999999998E-2</v>
      </c>
      <c r="BN95" s="83">
        <v>9.2824199999999996E-3</v>
      </c>
      <c r="BO95" s="83">
        <v>8.5498999999999992E-3</v>
      </c>
      <c r="BP95" s="83">
        <v>4.4250299999999999E-2</v>
      </c>
      <c r="BQ95" s="83">
        <v>9.1230700000000005E-3</v>
      </c>
      <c r="BR95" s="83">
        <v>8.5498999999999992E-3</v>
      </c>
      <c r="BS95" s="83">
        <v>4.5356599999999997E-2</v>
      </c>
      <c r="BT95" s="83">
        <v>9.3166900000000007E-3</v>
      </c>
      <c r="BU95" s="83">
        <v>8.5498999999999992E-3</v>
      </c>
      <c r="BV95" s="83">
        <v>4.4469300000000003E-2</v>
      </c>
      <c r="BW95" s="83">
        <v>9.3962999999999998E-3</v>
      </c>
      <c r="BX95" s="83">
        <v>8.5498999999999992E-3</v>
      </c>
      <c r="BY95" s="83">
        <v>4.40363E-2</v>
      </c>
      <c r="BZ95" s="83">
        <v>9.2522799999999999E-3</v>
      </c>
      <c r="CA95" s="83">
        <v>8.5498999999999992E-3</v>
      </c>
      <c r="CB95" s="83">
        <v>4.2598999999999998E-2</v>
      </c>
      <c r="CC95" s="83">
        <v>8.9972999999999997E-3</v>
      </c>
      <c r="CD95" s="83">
        <v>8.5498999999999992E-3</v>
      </c>
      <c r="CE95" s="83">
        <v>4.1387199999999999E-2</v>
      </c>
      <c r="CF95" s="83">
        <v>8.9744500000000001E-3</v>
      </c>
      <c r="CG95" s="83">
        <v>8.5498999999999992E-3</v>
      </c>
      <c r="CH95" s="83">
        <v>4.1503199999999997E-2</v>
      </c>
      <c r="CI95" s="83">
        <v>9.1587999999999999E-3</v>
      </c>
      <c r="CJ95" s="83">
        <v>8.5498999999999992E-3</v>
      </c>
      <c r="CK95" s="83">
        <v>4.1292299999999997E-2</v>
      </c>
      <c r="CL95" s="83">
        <v>9.2464399999999999E-3</v>
      </c>
      <c r="CM95" s="83">
        <v>8.5498999999999992E-3</v>
      </c>
      <c r="CN95" s="83">
        <v>4.02531E-2</v>
      </c>
      <c r="CO95" s="83">
        <v>9.1303200000000008E-3</v>
      </c>
      <c r="CP95" s="83">
        <v>8.5498999999999992E-3</v>
      </c>
      <c r="CQ95" s="83">
        <v>3.9525499999999998E-2</v>
      </c>
      <c r="CR95" s="83">
        <v>9.0120800000000004E-3</v>
      </c>
      <c r="CS95" s="83">
        <v>8.5498999999999992E-3</v>
      </c>
      <c r="CT95" s="83">
        <v>3.9501000000000001E-2</v>
      </c>
      <c r="CU95" s="83">
        <v>9.2731399999999992E-3</v>
      </c>
      <c r="CV95" s="83">
        <v>8.5498999999999992E-3</v>
      </c>
      <c r="CW95" s="83">
        <v>3.6615700000000001E-2</v>
      </c>
      <c r="CX95" s="83">
        <v>8.9244200000000006E-3</v>
      </c>
    </row>
    <row r="96" spans="1:102" x14ac:dyDescent="0.2">
      <c r="A96" s="83">
        <v>8.6499000000000003E-3</v>
      </c>
      <c r="B96" s="83">
        <v>4.7396899999999999E-2</v>
      </c>
      <c r="C96" s="83">
        <v>8.4560499999999997E-3</v>
      </c>
      <c r="D96" s="83">
        <v>8.6499000000000003E-3</v>
      </c>
      <c r="E96" s="83">
        <v>5.0228700000000001E-2</v>
      </c>
      <c r="F96" s="83">
        <v>8.6785500000000002E-3</v>
      </c>
      <c r="G96" s="83">
        <v>8.6499000000000003E-3</v>
      </c>
      <c r="H96" s="83">
        <v>4.9930500000000003E-2</v>
      </c>
      <c r="I96" s="83">
        <v>8.6013500000000007E-3</v>
      </c>
      <c r="J96" s="83">
        <v>8.6499000000000003E-3</v>
      </c>
      <c r="K96" s="83">
        <v>4.8478E-2</v>
      </c>
      <c r="L96" s="83">
        <v>8.4514299999999994E-3</v>
      </c>
      <c r="M96" s="83">
        <v>8.6499000000000003E-3</v>
      </c>
      <c r="N96" s="83">
        <v>4.9069300000000003E-2</v>
      </c>
      <c r="O96" s="83">
        <v>8.5702699999999996E-3</v>
      </c>
      <c r="P96" s="83">
        <v>8.6499000000000003E-3</v>
      </c>
      <c r="Q96" s="83">
        <v>5.1983599999999998E-2</v>
      </c>
      <c r="R96" s="83">
        <v>8.7554899999999995E-3</v>
      </c>
      <c r="S96" s="83">
        <v>8.6499000000000003E-3</v>
      </c>
      <c r="T96" s="83">
        <v>5.11092E-2</v>
      </c>
      <c r="U96" s="83">
        <v>8.8242600000000004E-3</v>
      </c>
      <c r="V96" s="83">
        <v>8.6499000000000003E-3</v>
      </c>
      <c r="W96" s="83">
        <v>5.0634400000000003E-2</v>
      </c>
      <c r="X96" s="83">
        <v>8.7008599999999995E-3</v>
      </c>
      <c r="Y96" s="83">
        <v>8.6499000000000003E-3</v>
      </c>
      <c r="Z96" s="83">
        <v>5.0423500000000003E-2</v>
      </c>
      <c r="AA96" s="83">
        <v>8.8264699999999995E-3</v>
      </c>
      <c r="AB96" s="83">
        <v>8.6499000000000003E-3</v>
      </c>
      <c r="AC96" s="83">
        <v>4.9385199999999997E-2</v>
      </c>
      <c r="AD96" s="83">
        <v>8.6857800000000006E-3</v>
      </c>
      <c r="AE96" s="83">
        <v>8.6499000000000003E-3</v>
      </c>
      <c r="AF96" s="83">
        <v>4.9118599999999998E-2</v>
      </c>
      <c r="AG96" s="83">
        <v>8.7591500000000003E-3</v>
      </c>
      <c r="AH96" s="83">
        <v>8.6499000000000003E-3</v>
      </c>
      <c r="AI96" s="83">
        <v>4.64602E-2</v>
      </c>
      <c r="AJ96" s="83">
        <v>8.60058E-3</v>
      </c>
      <c r="AK96" s="83">
        <v>8.6499000000000003E-3</v>
      </c>
      <c r="AL96" s="83">
        <v>4.6611699999999999E-2</v>
      </c>
      <c r="AM96" s="83">
        <v>8.5739400000000004E-3</v>
      </c>
      <c r="AN96" s="83">
        <v>8.6499000000000003E-3</v>
      </c>
      <c r="AO96" s="83">
        <v>4.7923500000000001E-2</v>
      </c>
      <c r="AP96" s="83">
        <v>8.9390800000000003E-3</v>
      </c>
      <c r="AQ96" s="83">
        <v>8.6499000000000003E-3</v>
      </c>
      <c r="AR96" s="83">
        <v>4.6466100000000003E-2</v>
      </c>
      <c r="AS96" s="83">
        <v>8.7584299999999993E-3</v>
      </c>
      <c r="AT96" s="83">
        <v>8.6499000000000003E-3</v>
      </c>
      <c r="AU96" s="83">
        <v>4.4917400000000003E-2</v>
      </c>
      <c r="AV96" s="83">
        <v>8.6288400000000005E-3</v>
      </c>
      <c r="AW96" s="83">
        <v>8.6499000000000003E-3</v>
      </c>
      <c r="AX96" s="83">
        <v>4.45732E-2</v>
      </c>
      <c r="AY96" s="83">
        <v>8.5242700000000005E-3</v>
      </c>
      <c r="AZ96" s="83">
        <v>8.6499000000000003E-3</v>
      </c>
      <c r="BA96" s="83">
        <v>4.6309299999999998E-2</v>
      </c>
      <c r="BB96" s="83">
        <v>8.9637299999999996E-3</v>
      </c>
      <c r="BC96" s="83">
        <v>8.6499000000000003E-3</v>
      </c>
      <c r="BD96" s="83">
        <v>4.3650799999999997E-2</v>
      </c>
      <c r="BE96" s="83">
        <v>8.6973399999999996E-3</v>
      </c>
      <c r="BF96" s="83">
        <v>8.6499000000000003E-3</v>
      </c>
      <c r="BG96" s="83">
        <v>4.2015900000000002E-2</v>
      </c>
      <c r="BH96" s="83">
        <v>8.6070499999999998E-3</v>
      </c>
      <c r="BI96" s="83">
        <v>8.6499000000000003E-3</v>
      </c>
      <c r="BJ96" s="83">
        <v>4.2545199999999998E-2</v>
      </c>
      <c r="BK96" s="83">
        <v>8.7453199999999991E-3</v>
      </c>
      <c r="BL96" s="83">
        <v>8.6499000000000003E-3</v>
      </c>
      <c r="BM96" s="83">
        <v>4.2895099999999999E-2</v>
      </c>
      <c r="BN96" s="83">
        <v>8.8263600000000001E-3</v>
      </c>
      <c r="BO96" s="83">
        <v>8.6499000000000003E-3</v>
      </c>
      <c r="BP96" s="83">
        <v>4.1398799999999999E-2</v>
      </c>
      <c r="BQ96" s="83">
        <v>8.6748299999999997E-3</v>
      </c>
      <c r="BR96" s="83">
        <v>8.6499000000000003E-3</v>
      </c>
      <c r="BS96" s="83">
        <v>4.2509999999999999E-2</v>
      </c>
      <c r="BT96" s="83">
        <v>8.8645400000000006E-3</v>
      </c>
      <c r="BU96" s="83">
        <v>8.6499000000000003E-3</v>
      </c>
      <c r="BV96" s="83">
        <v>4.1939999999999998E-2</v>
      </c>
      <c r="BW96" s="83">
        <v>8.9148500000000002E-3</v>
      </c>
      <c r="BX96" s="83">
        <v>8.6499000000000003E-3</v>
      </c>
      <c r="BY96" s="83">
        <v>4.1194500000000002E-2</v>
      </c>
      <c r="BZ96" s="83">
        <v>8.8011099999999991E-3</v>
      </c>
      <c r="CA96" s="83">
        <v>8.6499000000000003E-3</v>
      </c>
      <c r="CB96" s="83">
        <v>4.0040399999999997E-2</v>
      </c>
      <c r="CC96" s="83">
        <v>8.5432000000000008E-3</v>
      </c>
      <c r="CD96" s="83">
        <v>8.6499000000000003E-3</v>
      </c>
      <c r="CE96" s="83">
        <v>3.9101999999999998E-2</v>
      </c>
      <c r="CF96" s="83">
        <v>8.5379300000000009E-3</v>
      </c>
      <c r="CG96" s="83">
        <v>8.6499000000000003E-3</v>
      </c>
      <c r="CH96" s="83">
        <v>3.9017799999999998E-2</v>
      </c>
      <c r="CI96" s="83">
        <v>8.7007899999999999E-3</v>
      </c>
      <c r="CJ96" s="83">
        <v>8.6499000000000003E-3</v>
      </c>
      <c r="CK96" s="83">
        <v>3.8792300000000002E-2</v>
      </c>
      <c r="CL96" s="83">
        <v>8.7688999999999996E-3</v>
      </c>
      <c r="CM96" s="83">
        <v>8.6499000000000003E-3</v>
      </c>
      <c r="CN96" s="83">
        <v>3.82756E-2</v>
      </c>
      <c r="CO96" s="83">
        <v>8.6801299999999994E-3</v>
      </c>
      <c r="CP96" s="83">
        <v>8.6499000000000003E-3</v>
      </c>
      <c r="CQ96" s="83">
        <v>3.6918100000000002E-2</v>
      </c>
      <c r="CR96" s="83">
        <v>8.5570000000000004E-3</v>
      </c>
      <c r="CS96" s="83">
        <v>8.6499000000000003E-3</v>
      </c>
      <c r="CT96" s="83">
        <v>3.7098699999999998E-2</v>
      </c>
      <c r="CU96" s="83">
        <v>8.8346599999999994E-3</v>
      </c>
      <c r="CV96" s="83">
        <v>8.6499000000000003E-3</v>
      </c>
      <c r="CW96" s="83">
        <v>3.42866E-2</v>
      </c>
      <c r="CX96" s="83">
        <v>8.5152400000000003E-3</v>
      </c>
    </row>
    <row r="97" spans="1:102" x14ac:dyDescent="0.2">
      <c r="A97" s="83">
        <v>8.7498999999999997E-3</v>
      </c>
      <c r="B97" s="83">
        <v>4.48823E-2</v>
      </c>
      <c r="C97" s="83">
        <v>8.0224500000000004E-3</v>
      </c>
      <c r="D97" s="83">
        <v>8.7498999999999997E-3</v>
      </c>
      <c r="E97" s="83">
        <v>4.7699400000000003E-2</v>
      </c>
      <c r="F97" s="83">
        <v>8.2498399999999996E-3</v>
      </c>
      <c r="G97" s="83">
        <v>8.7498999999999997E-3</v>
      </c>
      <c r="H97" s="83">
        <v>4.6810400000000002E-2</v>
      </c>
      <c r="I97" s="83">
        <v>8.1531099999999999E-3</v>
      </c>
      <c r="J97" s="83">
        <v>8.7498999999999997E-3</v>
      </c>
      <c r="K97" s="83">
        <v>4.5641099999999997E-2</v>
      </c>
      <c r="L97" s="83">
        <v>8.05495E-3</v>
      </c>
      <c r="M97" s="83">
        <v>8.7498999999999997E-3</v>
      </c>
      <c r="N97" s="83">
        <v>4.6100599999999999E-2</v>
      </c>
      <c r="O97" s="83">
        <v>8.1435099999999996E-3</v>
      </c>
      <c r="P97" s="83">
        <v>8.7498999999999997E-3</v>
      </c>
      <c r="Q97" s="83">
        <v>4.8834099999999998E-2</v>
      </c>
      <c r="R97" s="83">
        <v>8.3121299999999992E-3</v>
      </c>
      <c r="S97" s="83">
        <v>8.7498999999999997E-3</v>
      </c>
      <c r="T97" s="83">
        <v>4.8125800000000003E-2</v>
      </c>
      <c r="U97" s="83">
        <v>8.3789399999999997E-3</v>
      </c>
      <c r="V97" s="83">
        <v>8.7498999999999997E-3</v>
      </c>
      <c r="W97" s="83">
        <v>4.77536E-2</v>
      </c>
      <c r="X97" s="83">
        <v>8.2740999999999995E-3</v>
      </c>
      <c r="Y97" s="83">
        <v>8.7498999999999997E-3</v>
      </c>
      <c r="Z97" s="83">
        <v>4.7264300000000002E-2</v>
      </c>
      <c r="AA97" s="83">
        <v>8.3743199999999993E-3</v>
      </c>
      <c r="AB97" s="83">
        <v>8.7498999999999997E-3</v>
      </c>
      <c r="AC97" s="83">
        <v>4.6377399999999999E-2</v>
      </c>
      <c r="AD97" s="83">
        <v>8.2385099999999992E-3</v>
      </c>
      <c r="AE97" s="83">
        <v>8.7498999999999997E-3</v>
      </c>
      <c r="AF97" s="83">
        <v>4.5573599999999999E-2</v>
      </c>
      <c r="AG97" s="83">
        <v>8.3177400000000005E-3</v>
      </c>
      <c r="AH97" s="83">
        <v>8.7498999999999997E-3</v>
      </c>
      <c r="AI97" s="83">
        <v>4.3476800000000003E-2</v>
      </c>
      <c r="AJ97" s="83">
        <v>8.1923800000000008E-3</v>
      </c>
      <c r="AK97" s="83">
        <v>8.7498999999999997E-3</v>
      </c>
      <c r="AL97" s="83">
        <v>4.3794300000000001E-2</v>
      </c>
      <c r="AM97" s="83">
        <v>8.1774599999999992E-3</v>
      </c>
      <c r="AN97" s="83">
        <v>8.7498999999999997E-3</v>
      </c>
      <c r="AO97" s="83">
        <v>4.4456700000000002E-2</v>
      </c>
      <c r="AP97" s="83">
        <v>8.5084099999999992E-3</v>
      </c>
      <c r="AQ97" s="83">
        <v>8.7498999999999997E-3</v>
      </c>
      <c r="AR97" s="83">
        <v>4.3394799999999997E-2</v>
      </c>
      <c r="AS97" s="83">
        <v>8.3189800000000001E-3</v>
      </c>
      <c r="AT97" s="83">
        <v>8.7498999999999997E-3</v>
      </c>
      <c r="AU97" s="83">
        <v>4.2402799999999997E-2</v>
      </c>
      <c r="AV97" s="83">
        <v>8.2382199999999992E-3</v>
      </c>
      <c r="AW97" s="83">
        <v>8.7498999999999997E-3</v>
      </c>
      <c r="AX97" s="83">
        <v>4.1770500000000002E-2</v>
      </c>
      <c r="AY97" s="83">
        <v>8.0984899999999999E-3</v>
      </c>
      <c r="AZ97" s="83">
        <v>8.7498999999999997E-3</v>
      </c>
      <c r="BA97" s="83">
        <v>4.3555400000000001E-2</v>
      </c>
      <c r="BB97" s="83">
        <v>8.5555200000000005E-3</v>
      </c>
      <c r="BC97" s="83">
        <v>8.7498999999999997E-3</v>
      </c>
      <c r="BD97" s="83">
        <v>4.0711400000000002E-2</v>
      </c>
      <c r="BE97" s="83">
        <v>8.24715E-3</v>
      </c>
      <c r="BF97" s="83">
        <v>8.7498999999999997E-3</v>
      </c>
      <c r="BG97" s="83">
        <v>4.0067699999999998E-2</v>
      </c>
      <c r="BH97" s="83">
        <v>8.1744299999999999E-3</v>
      </c>
      <c r="BI97" s="83">
        <v>8.7498999999999997E-3</v>
      </c>
      <c r="BJ97" s="83">
        <v>3.9874300000000001E-2</v>
      </c>
      <c r="BK97" s="83">
        <v>8.3009799999999995E-3</v>
      </c>
      <c r="BL97" s="83">
        <v>8.7498999999999997E-3</v>
      </c>
      <c r="BM97" s="83">
        <v>4.0795499999999998E-2</v>
      </c>
      <c r="BN97" s="83">
        <v>8.3937500000000002E-3</v>
      </c>
      <c r="BO97" s="83">
        <v>8.7498999999999997E-3</v>
      </c>
      <c r="BP97" s="83">
        <v>3.8908499999999999E-2</v>
      </c>
      <c r="BQ97" s="83">
        <v>8.2773599999999992E-3</v>
      </c>
      <c r="BR97" s="83">
        <v>8.7498999999999997E-3</v>
      </c>
      <c r="BS97" s="83">
        <v>3.96291E-2</v>
      </c>
      <c r="BT97" s="83">
        <v>8.4319200000000007E-3</v>
      </c>
      <c r="BU97" s="83">
        <v>8.7498999999999997E-3</v>
      </c>
      <c r="BV97" s="83">
        <v>3.9459599999999997E-2</v>
      </c>
      <c r="BW97" s="83">
        <v>8.49689E-3</v>
      </c>
      <c r="BX97" s="83">
        <v>8.7498999999999997E-3</v>
      </c>
      <c r="BY97" s="83">
        <v>3.8381999999999999E-2</v>
      </c>
      <c r="BZ97" s="83">
        <v>8.3655599999999993E-3</v>
      </c>
      <c r="CA97" s="83">
        <v>8.7498999999999997E-3</v>
      </c>
      <c r="CB97" s="83">
        <v>3.6998400000000001E-2</v>
      </c>
      <c r="CC97" s="83">
        <v>8.12621E-3</v>
      </c>
      <c r="CD97" s="83">
        <v>8.7498999999999997E-3</v>
      </c>
      <c r="CE97" s="83">
        <v>3.66118E-2</v>
      </c>
      <c r="CF97" s="83">
        <v>8.1189899999999995E-3</v>
      </c>
      <c r="CG97" s="83">
        <v>8.7498999999999997E-3</v>
      </c>
      <c r="CH97" s="83">
        <v>3.6625199999999997E-2</v>
      </c>
      <c r="CI97" s="83">
        <v>8.2789200000000004E-3</v>
      </c>
      <c r="CJ97" s="83">
        <v>8.7498999999999997E-3</v>
      </c>
      <c r="CK97" s="83">
        <v>3.63314E-2</v>
      </c>
      <c r="CL97" s="83">
        <v>8.3665600000000003E-3</v>
      </c>
      <c r="CM97" s="83">
        <v>8.7498999999999997E-3</v>
      </c>
      <c r="CN97" s="83">
        <v>3.5975800000000002E-2</v>
      </c>
      <c r="CO97" s="83">
        <v>8.25825E-3</v>
      </c>
      <c r="CP97" s="83">
        <v>8.7498999999999997E-3</v>
      </c>
      <c r="CQ97" s="83">
        <v>3.49796E-2</v>
      </c>
      <c r="CR97" s="83">
        <v>8.1234099999999993E-3</v>
      </c>
      <c r="CS97" s="83">
        <v>8.7498999999999997E-3</v>
      </c>
      <c r="CT97" s="83">
        <v>3.4398499999999999E-2</v>
      </c>
      <c r="CU97" s="83">
        <v>8.4059500000000006E-3</v>
      </c>
      <c r="CV97" s="83">
        <v>8.7498999999999997E-3</v>
      </c>
      <c r="CW97" s="83">
        <v>3.2328599999999999E-2</v>
      </c>
      <c r="CX97" s="83">
        <v>8.0923799999999997E-3</v>
      </c>
    </row>
    <row r="98" spans="1:102" x14ac:dyDescent="0.2">
      <c r="A98" s="83">
        <v>8.8499000000000008E-3</v>
      </c>
      <c r="B98" s="83">
        <v>4.2021000000000003E-2</v>
      </c>
      <c r="C98" s="83">
        <v>7.6269399999999996E-3</v>
      </c>
      <c r="D98" s="83">
        <v>8.8499000000000008E-3</v>
      </c>
      <c r="E98" s="83">
        <v>4.4437699999999997E-2</v>
      </c>
      <c r="F98" s="83">
        <v>7.8279600000000001E-3</v>
      </c>
      <c r="G98" s="83">
        <v>8.8499000000000008E-3</v>
      </c>
      <c r="H98" s="83">
        <v>4.4617999999999998E-2</v>
      </c>
      <c r="I98" s="83">
        <v>7.7302600000000001E-3</v>
      </c>
      <c r="J98" s="83">
        <v>8.8499000000000008E-3</v>
      </c>
      <c r="K98" s="83">
        <v>4.2701599999999999E-2</v>
      </c>
      <c r="L98" s="83">
        <v>7.6428399999999997E-3</v>
      </c>
      <c r="M98" s="83">
        <v>8.8499000000000008E-3</v>
      </c>
      <c r="N98" s="83">
        <v>4.3126999999999999E-2</v>
      </c>
      <c r="O98" s="83">
        <v>7.7480099999999996E-3</v>
      </c>
      <c r="P98" s="83">
        <v>8.8499000000000008E-3</v>
      </c>
      <c r="Q98" s="83">
        <v>4.54308E-2</v>
      </c>
      <c r="R98" s="83">
        <v>7.9146700000000004E-3</v>
      </c>
      <c r="S98" s="83">
        <v>8.8499000000000008E-3</v>
      </c>
      <c r="T98" s="83">
        <v>4.5484200000000002E-2</v>
      </c>
      <c r="U98" s="83">
        <v>7.9834299999999997E-3</v>
      </c>
      <c r="V98" s="83">
        <v>8.8499000000000008E-3</v>
      </c>
      <c r="W98" s="83">
        <v>4.4560200000000001E-2</v>
      </c>
      <c r="X98" s="83">
        <v>7.8600400000000004E-3</v>
      </c>
      <c r="Y98" s="83">
        <v>8.8499000000000008E-3</v>
      </c>
      <c r="Z98" s="83">
        <v>4.4280899999999998E-2</v>
      </c>
      <c r="AA98" s="83">
        <v>7.9641699999999996E-3</v>
      </c>
      <c r="AB98" s="83">
        <v>8.8499000000000008E-3</v>
      </c>
      <c r="AC98" s="83">
        <v>4.3550199999999997E-2</v>
      </c>
      <c r="AD98" s="83">
        <v>7.8342199999999994E-3</v>
      </c>
      <c r="AE98" s="83">
        <v>8.8499000000000008E-3</v>
      </c>
      <c r="AF98" s="83">
        <v>4.3317799999999997E-2</v>
      </c>
      <c r="AG98" s="83">
        <v>7.9398100000000003E-3</v>
      </c>
      <c r="AH98" s="83">
        <v>8.8499000000000008E-3</v>
      </c>
      <c r="AI98" s="83">
        <v>4.0864499999999998E-2</v>
      </c>
      <c r="AJ98" s="83">
        <v>7.7724500000000002E-3</v>
      </c>
      <c r="AK98" s="83">
        <v>8.8499000000000008E-3</v>
      </c>
      <c r="AL98" s="83">
        <v>4.0986700000000001E-2</v>
      </c>
      <c r="AM98" s="83">
        <v>7.7936699999999999E-3</v>
      </c>
      <c r="AN98" s="83">
        <v>8.8499000000000008E-3</v>
      </c>
      <c r="AO98" s="83">
        <v>4.1693000000000001E-2</v>
      </c>
      <c r="AP98" s="83">
        <v>8.0670099999999995E-3</v>
      </c>
      <c r="AQ98" s="83">
        <v>8.8499000000000008E-3</v>
      </c>
      <c r="AR98" s="83">
        <v>4.0899699999999997E-2</v>
      </c>
      <c r="AS98" s="83">
        <v>7.9469099999999997E-3</v>
      </c>
      <c r="AT98" s="83">
        <v>8.8499000000000008E-3</v>
      </c>
      <c r="AU98" s="83">
        <v>3.9844200000000003E-2</v>
      </c>
      <c r="AV98" s="83">
        <v>7.8221999999999996E-3</v>
      </c>
      <c r="AW98" s="83">
        <v>8.8499000000000008E-3</v>
      </c>
      <c r="AX98" s="83">
        <v>3.8684499999999997E-2</v>
      </c>
      <c r="AY98" s="83">
        <v>7.7361799999999996E-3</v>
      </c>
      <c r="AZ98" s="83">
        <v>8.8499000000000008E-3</v>
      </c>
      <c r="BA98" s="83">
        <v>4.0386499999999999E-2</v>
      </c>
      <c r="BB98" s="83">
        <v>8.1053300000000009E-3</v>
      </c>
      <c r="BC98" s="83">
        <v>8.8499000000000008E-3</v>
      </c>
      <c r="BD98" s="83">
        <v>3.8177200000000001E-2</v>
      </c>
      <c r="BE98" s="83">
        <v>7.8467599999999995E-3</v>
      </c>
      <c r="BF98" s="83">
        <v>8.8499000000000008E-3</v>
      </c>
      <c r="BG98" s="83">
        <v>3.7006200000000003E-2</v>
      </c>
      <c r="BH98" s="83">
        <v>7.7584100000000003E-3</v>
      </c>
      <c r="BI98" s="83">
        <v>8.8499000000000008E-3</v>
      </c>
      <c r="BJ98" s="83">
        <v>3.7745399999999998E-2</v>
      </c>
      <c r="BK98" s="83">
        <v>7.8908299999999997E-3</v>
      </c>
      <c r="BL98" s="83">
        <v>8.8499000000000008E-3</v>
      </c>
      <c r="BM98" s="83">
        <v>3.8153899999999998E-2</v>
      </c>
      <c r="BN98" s="83">
        <v>8.0060500000000007E-3</v>
      </c>
      <c r="BO98" s="83">
        <v>8.8499000000000008E-3</v>
      </c>
      <c r="BP98" s="83">
        <v>3.6550100000000002E-2</v>
      </c>
      <c r="BQ98" s="83">
        <v>7.8330299999999995E-3</v>
      </c>
      <c r="BR98" s="83">
        <v>8.8499000000000008E-3</v>
      </c>
      <c r="BS98" s="83">
        <v>3.6870300000000002E-2</v>
      </c>
      <c r="BT98" s="83">
        <v>8.0246899999999993E-3</v>
      </c>
      <c r="BU98" s="83">
        <v>8.8499000000000008E-3</v>
      </c>
      <c r="BV98" s="83">
        <v>3.7345299999999998E-2</v>
      </c>
      <c r="BW98" s="83">
        <v>8.0779400000000005E-3</v>
      </c>
      <c r="BX98" s="83">
        <v>8.8499000000000008E-3</v>
      </c>
      <c r="BY98" s="83">
        <v>3.6516800000000002E-2</v>
      </c>
      <c r="BZ98" s="83">
        <v>7.9729799999999993E-3</v>
      </c>
      <c r="CA98" s="83">
        <v>8.8499000000000008E-3</v>
      </c>
      <c r="CB98" s="83">
        <v>3.44106E-2</v>
      </c>
      <c r="CC98" s="83">
        <v>7.7238599999999999E-3</v>
      </c>
      <c r="CD98" s="83">
        <v>8.8499000000000008E-3</v>
      </c>
      <c r="CE98" s="83">
        <v>3.3984800000000003E-2</v>
      </c>
      <c r="CF98" s="83">
        <v>7.7332399999999997E-3</v>
      </c>
      <c r="CG98" s="83">
        <v>8.8499000000000008E-3</v>
      </c>
      <c r="CH98" s="83">
        <v>3.4320499999999997E-2</v>
      </c>
      <c r="CI98" s="83">
        <v>7.8853599999999992E-3</v>
      </c>
      <c r="CJ98" s="83">
        <v>8.8499000000000008E-3</v>
      </c>
      <c r="CK98" s="83">
        <v>3.4739600000000002E-2</v>
      </c>
      <c r="CL98" s="83">
        <v>7.9319899999999999E-3</v>
      </c>
      <c r="CM98" s="83">
        <v>8.8499000000000008E-3</v>
      </c>
      <c r="CN98" s="83">
        <v>3.3246299999999999E-2</v>
      </c>
      <c r="CO98" s="83">
        <v>7.8432099999999998E-3</v>
      </c>
      <c r="CP98" s="83">
        <v>8.8499000000000008E-3</v>
      </c>
      <c r="CQ98" s="83">
        <v>3.2787200000000002E-2</v>
      </c>
      <c r="CR98" s="83">
        <v>7.7337600000000001E-3</v>
      </c>
      <c r="CS98" s="83">
        <v>8.8499000000000008E-3</v>
      </c>
      <c r="CT98" s="83">
        <v>3.27041E-2</v>
      </c>
      <c r="CU98" s="83">
        <v>8.0006799999999996E-3</v>
      </c>
      <c r="CV98" s="83">
        <v>8.8499000000000008E-3</v>
      </c>
      <c r="CW98" s="83">
        <v>3.0356000000000001E-2</v>
      </c>
      <c r="CX98" s="83">
        <v>7.7037099999999999E-3</v>
      </c>
    </row>
    <row r="99" spans="1:102" x14ac:dyDescent="0.2">
      <c r="A99" s="83">
        <v>8.9499000000000002E-3</v>
      </c>
      <c r="B99" s="83">
        <v>3.9379299999999999E-2</v>
      </c>
      <c r="C99" s="83">
        <v>7.2538999999999998E-3</v>
      </c>
      <c r="D99" s="83">
        <v>8.9499000000000002E-3</v>
      </c>
      <c r="E99" s="83">
        <v>4.1913199999999998E-2</v>
      </c>
      <c r="F99" s="83">
        <v>7.4422200000000003E-3</v>
      </c>
      <c r="G99" s="83">
        <v>8.9499000000000002E-3</v>
      </c>
      <c r="H99" s="83">
        <v>4.1507700000000002E-2</v>
      </c>
      <c r="I99" s="83">
        <v>7.3679499999999998E-3</v>
      </c>
      <c r="J99" s="83">
        <v>8.9499000000000002E-3</v>
      </c>
      <c r="K99" s="83">
        <v>4.0211400000000001E-2</v>
      </c>
      <c r="L99" s="83">
        <v>7.2629599999999997E-3</v>
      </c>
      <c r="M99" s="83">
        <v>8.9499000000000002E-3</v>
      </c>
      <c r="N99" s="83">
        <v>4.0705100000000001E-2</v>
      </c>
      <c r="O99" s="83">
        <v>7.3788600000000001E-3</v>
      </c>
      <c r="P99" s="83">
        <v>8.9499000000000002E-3</v>
      </c>
      <c r="Q99" s="83">
        <v>4.2569500000000003E-2</v>
      </c>
      <c r="R99" s="83">
        <v>7.4918099999999998E-3</v>
      </c>
      <c r="S99" s="83">
        <v>8.9499000000000002E-3</v>
      </c>
      <c r="T99" s="83">
        <v>4.2559399999999997E-2</v>
      </c>
      <c r="U99" s="83">
        <v>7.5849999999999997E-3</v>
      </c>
      <c r="V99" s="83">
        <v>8.9499000000000002E-3</v>
      </c>
      <c r="W99" s="83">
        <v>4.18795E-2</v>
      </c>
      <c r="X99" s="83">
        <v>7.4918700000000003E-3</v>
      </c>
      <c r="Y99" s="83">
        <v>8.9499000000000002E-3</v>
      </c>
      <c r="Z99" s="83">
        <v>4.1365800000000001E-2</v>
      </c>
      <c r="AA99" s="83">
        <v>7.5696399999999999E-3</v>
      </c>
      <c r="AB99" s="83">
        <v>8.9499000000000002E-3</v>
      </c>
      <c r="AC99" s="83">
        <v>4.0849999999999997E-2</v>
      </c>
      <c r="AD99" s="83">
        <v>7.4357800000000003E-3</v>
      </c>
      <c r="AE99" s="83">
        <v>8.9499000000000002E-3</v>
      </c>
      <c r="AF99" s="83">
        <v>4.0490600000000002E-2</v>
      </c>
      <c r="AG99" s="83">
        <v>7.5277E-3</v>
      </c>
      <c r="AH99" s="83">
        <v>8.9499000000000002E-3</v>
      </c>
      <c r="AI99" s="83">
        <v>3.8379200000000002E-2</v>
      </c>
      <c r="AJ99" s="83">
        <v>7.4120999999999996E-3</v>
      </c>
      <c r="AK99" s="83">
        <v>8.9499000000000002E-3</v>
      </c>
      <c r="AL99" s="83">
        <v>3.8310900000000002E-2</v>
      </c>
      <c r="AM99" s="83">
        <v>7.4001099999999997E-3</v>
      </c>
      <c r="AN99" s="83">
        <v>8.9499000000000002E-3</v>
      </c>
      <c r="AO99" s="83">
        <v>3.9403000000000001E-2</v>
      </c>
      <c r="AP99" s="83">
        <v>7.6861500000000001E-3</v>
      </c>
      <c r="AQ99" s="83">
        <v>8.9499000000000002E-3</v>
      </c>
      <c r="AR99" s="83">
        <v>3.8424100000000003E-2</v>
      </c>
      <c r="AS99" s="83">
        <v>7.5338200000000001E-3</v>
      </c>
      <c r="AT99" s="83">
        <v>8.9499000000000002E-3</v>
      </c>
      <c r="AU99" s="83">
        <v>3.7441799999999997E-2</v>
      </c>
      <c r="AV99" s="83">
        <v>7.4081399999999997E-3</v>
      </c>
      <c r="AW99" s="83">
        <v>8.9499000000000002E-3</v>
      </c>
      <c r="AX99" s="83">
        <v>3.67216E-2</v>
      </c>
      <c r="AY99" s="83">
        <v>7.3270000000000002E-3</v>
      </c>
      <c r="AZ99" s="83">
        <v>8.9499000000000002E-3</v>
      </c>
      <c r="BA99" s="83">
        <v>3.79841E-2</v>
      </c>
      <c r="BB99" s="83">
        <v>7.7020099999999996E-3</v>
      </c>
      <c r="BC99" s="83">
        <v>8.9499000000000002E-3</v>
      </c>
      <c r="BD99" s="83">
        <v>3.6126400000000003E-2</v>
      </c>
      <c r="BE99" s="83">
        <v>7.4727400000000003E-3</v>
      </c>
      <c r="BF99" s="83">
        <v>8.9499000000000002E-3</v>
      </c>
      <c r="BG99" s="83">
        <v>3.4540300000000003E-2</v>
      </c>
      <c r="BH99" s="83">
        <v>7.3941600000000003E-3</v>
      </c>
      <c r="BI99" s="83">
        <v>8.9499000000000002E-3</v>
      </c>
      <c r="BJ99" s="83">
        <v>3.51331E-2</v>
      </c>
      <c r="BK99" s="83">
        <v>7.5041099999999996E-3</v>
      </c>
      <c r="BL99" s="83">
        <v>8.9499000000000002E-3</v>
      </c>
      <c r="BM99" s="83">
        <v>3.5736900000000002E-2</v>
      </c>
      <c r="BN99" s="83">
        <v>7.6076099999999999E-3</v>
      </c>
      <c r="BO99" s="83">
        <v>8.9499000000000002E-3</v>
      </c>
      <c r="BP99" s="83">
        <v>3.47581E-2</v>
      </c>
      <c r="BQ99" s="83">
        <v>7.4756099999999997E-3</v>
      </c>
      <c r="BR99" s="83">
        <v>8.9499000000000002E-3</v>
      </c>
      <c r="BS99" s="83">
        <v>3.5005099999999997E-2</v>
      </c>
      <c r="BT99" s="83">
        <v>7.6155099999999998E-3</v>
      </c>
      <c r="BU99" s="83">
        <v>8.9499000000000002E-3</v>
      </c>
      <c r="BV99" s="83">
        <v>3.4371699999999998E-2</v>
      </c>
      <c r="BW99" s="83">
        <v>7.6716900000000001E-3</v>
      </c>
      <c r="BX99" s="83">
        <v>8.9499000000000002E-3</v>
      </c>
      <c r="BY99" s="83">
        <v>3.4304899999999999E-2</v>
      </c>
      <c r="BZ99" s="83">
        <v>7.5852899999999997E-3</v>
      </c>
      <c r="CA99" s="83">
        <v>8.9499000000000002E-3</v>
      </c>
      <c r="CB99" s="83">
        <v>3.2589300000000002E-2</v>
      </c>
      <c r="CC99" s="83">
        <v>7.3605800000000002E-3</v>
      </c>
      <c r="CD99" s="83">
        <v>8.9499000000000002E-3</v>
      </c>
      <c r="CE99" s="83">
        <v>3.2104899999999999E-2</v>
      </c>
      <c r="CF99" s="83">
        <v>7.3367600000000003E-3</v>
      </c>
      <c r="CG99" s="83">
        <v>8.9499000000000002E-3</v>
      </c>
      <c r="CH99" s="83">
        <v>3.2489499999999998E-2</v>
      </c>
      <c r="CI99" s="83">
        <v>7.4761799999999998E-3</v>
      </c>
      <c r="CJ99" s="83">
        <v>8.9499000000000002E-3</v>
      </c>
      <c r="CK99" s="83">
        <v>3.2166300000000002E-2</v>
      </c>
      <c r="CL99" s="83">
        <v>7.5472200000000003E-3</v>
      </c>
      <c r="CM99" s="83">
        <v>8.9499000000000002E-3</v>
      </c>
      <c r="CN99" s="83">
        <v>3.1415199999999997E-2</v>
      </c>
      <c r="CO99" s="83">
        <v>7.46724E-3</v>
      </c>
      <c r="CP99" s="83">
        <v>8.9499000000000002E-3</v>
      </c>
      <c r="CQ99" s="83">
        <v>3.08878E-2</v>
      </c>
      <c r="CR99" s="83">
        <v>7.3665700000000002E-3</v>
      </c>
      <c r="CS99" s="83">
        <v>8.9499000000000002E-3</v>
      </c>
      <c r="CT99" s="83">
        <v>3.0502000000000001E-2</v>
      </c>
      <c r="CU99" s="83">
        <v>7.5885700000000002E-3</v>
      </c>
      <c r="CV99" s="83">
        <v>8.9499000000000002E-3</v>
      </c>
      <c r="CW99" s="83">
        <v>2.83833E-2</v>
      </c>
      <c r="CX99" s="83">
        <v>7.30234E-3</v>
      </c>
    </row>
    <row r="100" spans="1:102" x14ac:dyDescent="0.2">
      <c r="A100" s="83">
        <v>9.0498999999999996E-3</v>
      </c>
      <c r="B100" s="83">
        <v>3.6972100000000001E-2</v>
      </c>
      <c r="C100" s="83">
        <v>6.8730400000000004E-3</v>
      </c>
      <c r="D100" s="83">
        <v>9.0498999999999996E-3</v>
      </c>
      <c r="E100" s="83">
        <v>3.9174E-2</v>
      </c>
      <c r="F100" s="83">
        <v>7.0779600000000003E-3</v>
      </c>
      <c r="G100" s="83">
        <v>9.0498999999999996E-3</v>
      </c>
      <c r="H100" s="83">
        <v>3.8441299999999998E-2</v>
      </c>
      <c r="I100" s="83">
        <v>7.0202900000000002E-3</v>
      </c>
      <c r="J100" s="83">
        <v>9.0498999999999996E-3</v>
      </c>
      <c r="K100" s="83">
        <v>3.75307E-2</v>
      </c>
      <c r="L100" s="83">
        <v>6.9035800000000003E-3</v>
      </c>
      <c r="M100" s="83">
        <v>9.0498999999999996E-3</v>
      </c>
      <c r="N100" s="83">
        <v>3.82295E-2</v>
      </c>
      <c r="O100" s="83">
        <v>6.9931200000000002E-3</v>
      </c>
      <c r="P100" s="83">
        <v>9.0498999999999996E-3</v>
      </c>
      <c r="Q100" s="83">
        <v>4.0279500000000003E-2</v>
      </c>
      <c r="R100" s="83">
        <v>7.1285300000000001E-3</v>
      </c>
      <c r="S100" s="83">
        <v>9.0498999999999996E-3</v>
      </c>
      <c r="T100" s="83">
        <v>3.96443E-2</v>
      </c>
      <c r="U100" s="83">
        <v>7.2129300000000002E-3</v>
      </c>
      <c r="V100" s="83">
        <v>9.0498999999999996E-3</v>
      </c>
      <c r="W100" s="83">
        <v>3.9442999999999999E-2</v>
      </c>
      <c r="X100" s="83">
        <v>7.0905100000000004E-3</v>
      </c>
      <c r="Y100" s="83">
        <v>9.0498999999999996E-3</v>
      </c>
      <c r="Z100" s="83">
        <v>3.8685200000000003E-2</v>
      </c>
      <c r="AA100" s="83">
        <v>7.2005000000000003E-3</v>
      </c>
      <c r="AB100" s="83">
        <v>9.0498999999999996E-3</v>
      </c>
      <c r="AC100" s="83">
        <v>3.8393999999999998E-2</v>
      </c>
      <c r="AD100" s="83">
        <v>7.0803100000000002E-3</v>
      </c>
      <c r="AE100" s="83">
        <v>9.0498999999999996E-3</v>
      </c>
      <c r="AF100" s="83">
        <v>3.8019900000000002E-2</v>
      </c>
      <c r="AG100" s="83">
        <v>7.1526999999999997E-3</v>
      </c>
      <c r="AH100" s="83">
        <v>9.0498999999999996E-3</v>
      </c>
      <c r="AI100" s="83">
        <v>3.5679000000000002E-2</v>
      </c>
      <c r="AJ100" s="83">
        <v>7.0331999999999999E-3</v>
      </c>
      <c r="AK100" s="83">
        <v>9.0498999999999996E-3</v>
      </c>
      <c r="AL100" s="83">
        <v>3.6181999999999999E-2</v>
      </c>
      <c r="AM100" s="83">
        <v>7.0192500000000003E-3</v>
      </c>
      <c r="AN100" s="83">
        <v>9.0498999999999996E-3</v>
      </c>
      <c r="AO100" s="83">
        <v>3.6546500000000003E-2</v>
      </c>
      <c r="AP100" s="83">
        <v>7.2916200000000004E-3</v>
      </c>
      <c r="AQ100" s="83">
        <v>9.0498999999999996E-3</v>
      </c>
      <c r="AR100" s="83">
        <v>3.6202400000000003E-2</v>
      </c>
      <c r="AS100" s="83">
        <v>7.1773699999999998E-3</v>
      </c>
      <c r="AT100" s="83">
        <v>9.0498999999999996E-3</v>
      </c>
      <c r="AU100" s="83">
        <v>3.5103000000000002E-2</v>
      </c>
      <c r="AV100" s="83">
        <v>7.0800200000000002E-3</v>
      </c>
      <c r="AW100" s="83">
        <v>9.0498999999999996E-3</v>
      </c>
      <c r="AX100" s="83">
        <v>3.44707E-2</v>
      </c>
      <c r="AY100" s="83">
        <v>6.9881400000000003E-3</v>
      </c>
      <c r="AZ100" s="83">
        <v>9.0498999999999996E-3</v>
      </c>
      <c r="BA100" s="83">
        <v>3.6104200000000003E-2</v>
      </c>
      <c r="BB100" s="83">
        <v>7.3270100000000001E-3</v>
      </c>
      <c r="BC100" s="83">
        <v>9.0498999999999996E-3</v>
      </c>
      <c r="BD100" s="83">
        <v>3.3646000000000002E-2</v>
      </c>
      <c r="BE100" s="83">
        <v>7.1094499999999998E-3</v>
      </c>
      <c r="BF100" s="83">
        <v>9.0498999999999996E-3</v>
      </c>
      <c r="BG100" s="83">
        <v>3.2792300000000003E-2</v>
      </c>
      <c r="BH100" s="83">
        <v>7.0396599999999997E-3</v>
      </c>
      <c r="BI100" s="83">
        <v>9.0498999999999996E-3</v>
      </c>
      <c r="BJ100" s="83">
        <v>3.2730700000000001E-2</v>
      </c>
      <c r="BK100" s="83">
        <v>7.1466899999999998E-3</v>
      </c>
      <c r="BL100" s="83">
        <v>9.0498999999999996E-3</v>
      </c>
      <c r="BM100" s="83">
        <v>3.3700800000000003E-2</v>
      </c>
      <c r="BN100" s="83">
        <v>7.2316400000000001E-3</v>
      </c>
      <c r="BO100" s="83">
        <v>9.0498999999999996E-3</v>
      </c>
      <c r="BP100" s="83">
        <v>3.2009099999999999E-2</v>
      </c>
      <c r="BQ100" s="83">
        <v>7.0908400000000002E-3</v>
      </c>
      <c r="BR100" s="83">
        <v>9.0498999999999996E-3</v>
      </c>
      <c r="BS100" s="83">
        <v>3.2798000000000001E-2</v>
      </c>
      <c r="BT100" s="83">
        <v>7.2795799999999999E-3</v>
      </c>
      <c r="BU100" s="83">
        <v>9.0498999999999996E-3</v>
      </c>
      <c r="BV100" s="83">
        <v>3.26334E-2</v>
      </c>
      <c r="BW100" s="83">
        <v>7.28204E-3</v>
      </c>
      <c r="BX100" s="83">
        <v>9.0498999999999996E-3</v>
      </c>
      <c r="BY100" s="83">
        <v>3.2493300000000003E-2</v>
      </c>
      <c r="BZ100" s="83">
        <v>7.2014999999999996E-3</v>
      </c>
      <c r="CA100" s="83">
        <v>9.0498999999999996E-3</v>
      </c>
      <c r="CB100" s="83">
        <v>3.0909599999999999E-2</v>
      </c>
      <c r="CC100" s="83">
        <v>6.99535E-3</v>
      </c>
      <c r="CD100" s="83">
        <v>9.0498999999999996E-3</v>
      </c>
      <c r="CE100" s="83">
        <v>3.0058999999999999E-2</v>
      </c>
      <c r="CF100" s="83">
        <v>6.9910600000000003E-3</v>
      </c>
      <c r="CG100" s="83">
        <v>9.0498999999999996E-3</v>
      </c>
      <c r="CH100" s="83">
        <v>3.05559E-2</v>
      </c>
      <c r="CI100" s="83">
        <v>7.0923899999999996E-3</v>
      </c>
      <c r="CJ100" s="83">
        <v>9.0498999999999996E-3</v>
      </c>
      <c r="CK100" s="83">
        <v>3.0476900000000001E-2</v>
      </c>
      <c r="CL100" s="83">
        <v>7.1946800000000002E-3</v>
      </c>
      <c r="CM100" s="83">
        <v>9.0498999999999996E-3</v>
      </c>
      <c r="CN100" s="83">
        <v>2.9613500000000001E-2</v>
      </c>
      <c r="CO100" s="83">
        <v>7.1029800000000001E-3</v>
      </c>
      <c r="CP100" s="83">
        <v>9.0498999999999996E-3</v>
      </c>
      <c r="CQ100" s="83">
        <v>2.9076299999999999E-2</v>
      </c>
      <c r="CR100" s="83">
        <v>6.9866900000000003E-3</v>
      </c>
      <c r="CS100" s="83">
        <v>9.0498999999999996E-3</v>
      </c>
      <c r="CT100" s="83">
        <v>2.8758800000000001E-2</v>
      </c>
      <c r="CU100" s="83">
        <v>7.2272400000000002E-3</v>
      </c>
      <c r="CV100" s="83">
        <v>9.0498999999999996E-3</v>
      </c>
      <c r="CW100" s="83">
        <v>2.6796400000000001E-2</v>
      </c>
      <c r="CX100" s="83">
        <v>6.9498099999999998E-3</v>
      </c>
    </row>
    <row r="101" spans="1:102" x14ac:dyDescent="0.2">
      <c r="A101" s="83">
        <v>9.1499000000000007E-3</v>
      </c>
      <c r="B101" s="83">
        <v>3.4784599999999999E-2</v>
      </c>
      <c r="C101" s="83">
        <v>6.5380799999999999E-3</v>
      </c>
      <c r="D101" s="83">
        <v>9.1499000000000007E-3</v>
      </c>
      <c r="E101" s="83">
        <v>3.6507999999999999E-2</v>
      </c>
      <c r="F101" s="83">
        <v>6.7117499999999998E-3</v>
      </c>
      <c r="G101" s="83">
        <v>9.1499000000000007E-3</v>
      </c>
      <c r="H101" s="83">
        <v>3.63466E-2</v>
      </c>
      <c r="I101" s="83">
        <v>6.6492000000000001E-3</v>
      </c>
      <c r="J101" s="83">
        <v>9.1499000000000007E-3</v>
      </c>
      <c r="K101" s="83">
        <v>3.5123500000000002E-2</v>
      </c>
      <c r="L101" s="83">
        <v>6.54421E-3</v>
      </c>
      <c r="M101" s="83">
        <v>9.1499000000000007E-3</v>
      </c>
      <c r="N101" s="83">
        <v>3.5675800000000001E-2</v>
      </c>
      <c r="O101" s="83">
        <v>6.6454699999999997E-3</v>
      </c>
      <c r="P101" s="83">
        <v>9.1499000000000007E-3</v>
      </c>
      <c r="Q101" s="83">
        <v>3.78381E-2</v>
      </c>
      <c r="R101" s="83">
        <v>6.7877099999999998E-3</v>
      </c>
      <c r="S101" s="83">
        <v>9.1499000000000007E-3</v>
      </c>
      <c r="T101" s="83">
        <v>3.7344500000000003E-2</v>
      </c>
      <c r="U101" s="83">
        <v>6.8623399999999998E-3</v>
      </c>
      <c r="V101" s="83">
        <v>9.1499000000000007E-3</v>
      </c>
      <c r="W101" s="83">
        <v>3.7289700000000002E-2</v>
      </c>
      <c r="X101" s="83">
        <v>6.7721500000000002E-3</v>
      </c>
      <c r="Y101" s="83">
        <v>9.1499000000000007E-3</v>
      </c>
      <c r="Z101" s="83">
        <v>3.6468399999999998E-2</v>
      </c>
      <c r="AA101" s="83">
        <v>6.8255E-3</v>
      </c>
      <c r="AB101" s="83">
        <v>9.1499000000000007E-3</v>
      </c>
      <c r="AC101" s="83">
        <v>3.6211399999999998E-2</v>
      </c>
      <c r="AD101" s="83">
        <v>6.6975000000000003E-3</v>
      </c>
      <c r="AE101" s="83">
        <v>9.1499000000000007E-3</v>
      </c>
      <c r="AF101" s="83">
        <v>3.5812900000000002E-2</v>
      </c>
      <c r="AG101" s="83">
        <v>6.8099299999999996E-3</v>
      </c>
      <c r="AH101" s="83">
        <v>9.1499000000000007E-3</v>
      </c>
      <c r="AI101" s="83">
        <v>3.3808900000000003E-2</v>
      </c>
      <c r="AJ101" s="83">
        <v>6.70019E-3</v>
      </c>
      <c r="AK101" s="83">
        <v>9.1499000000000007E-3</v>
      </c>
      <c r="AL101" s="83">
        <v>3.3667299999999997E-2</v>
      </c>
      <c r="AM101" s="83">
        <v>6.6872199999999998E-3</v>
      </c>
      <c r="AN101" s="83">
        <v>9.1499000000000007E-3</v>
      </c>
      <c r="AO101" s="83">
        <v>3.4608E-2</v>
      </c>
      <c r="AP101" s="83">
        <v>6.9439599999999999E-3</v>
      </c>
      <c r="AQ101" s="83">
        <v>9.1499000000000007E-3</v>
      </c>
      <c r="AR101" s="83">
        <v>3.3692600000000003E-2</v>
      </c>
      <c r="AS101" s="83">
        <v>6.8433900000000004E-3</v>
      </c>
      <c r="AT101" s="83">
        <v>9.1499000000000007E-3</v>
      </c>
      <c r="AU101" s="83">
        <v>3.2807999999999997E-2</v>
      </c>
      <c r="AV101" s="83">
        <v>6.7196599999999997E-3</v>
      </c>
      <c r="AW101" s="83">
        <v>9.1499000000000007E-3</v>
      </c>
      <c r="AX101" s="83">
        <v>3.2292899999999999E-2</v>
      </c>
      <c r="AY101" s="83">
        <v>6.6346199999999999E-3</v>
      </c>
      <c r="AZ101" s="83">
        <v>9.1499000000000007E-3</v>
      </c>
      <c r="BA101" s="83">
        <v>3.36189E-2</v>
      </c>
      <c r="BB101" s="83">
        <v>6.9607999999999996E-3</v>
      </c>
      <c r="BC101" s="83">
        <v>9.1499000000000007E-3</v>
      </c>
      <c r="BD101" s="83">
        <v>3.1614700000000003E-2</v>
      </c>
      <c r="BE101" s="83">
        <v>6.7344500000000003E-3</v>
      </c>
      <c r="BF101" s="83">
        <v>9.1499000000000007E-3</v>
      </c>
      <c r="BG101" s="83">
        <v>3.04485E-2</v>
      </c>
      <c r="BH101" s="83">
        <v>6.6900500000000003E-3</v>
      </c>
      <c r="BI101" s="83">
        <v>9.1499000000000007E-3</v>
      </c>
      <c r="BJ101" s="83">
        <v>3.0860599999999998E-2</v>
      </c>
      <c r="BK101" s="83">
        <v>6.77657E-3</v>
      </c>
      <c r="BL101" s="83">
        <v>9.1499000000000007E-3</v>
      </c>
      <c r="BM101" s="83">
        <v>3.1430300000000001E-2</v>
      </c>
      <c r="BN101" s="83">
        <v>6.86054E-3</v>
      </c>
      <c r="BO101" s="83">
        <v>9.1499000000000007E-3</v>
      </c>
      <c r="BP101" s="83">
        <v>3.0075500000000002E-2</v>
      </c>
      <c r="BQ101" s="83">
        <v>6.7588099999999996E-3</v>
      </c>
      <c r="BR101" s="83">
        <v>9.1499000000000007E-3</v>
      </c>
      <c r="BS101" s="83">
        <v>3.0420099999999999E-2</v>
      </c>
      <c r="BT101" s="83">
        <v>6.9016499999999996E-3</v>
      </c>
      <c r="BU101" s="83">
        <v>9.1499000000000007E-3</v>
      </c>
      <c r="BV101" s="83">
        <v>3.0992800000000001E-2</v>
      </c>
      <c r="BW101" s="83">
        <v>6.9461000000000002E-3</v>
      </c>
      <c r="BX101" s="83">
        <v>9.1499000000000007E-3</v>
      </c>
      <c r="BY101" s="83">
        <v>3.0750199999999998E-2</v>
      </c>
      <c r="BZ101" s="83">
        <v>6.8518900000000002E-3</v>
      </c>
      <c r="CA101" s="83">
        <v>9.1499000000000007E-3</v>
      </c>
      <c r="CB101" s="83">
        <v>2.9210400000000001E-2</v>
      </c>
      <c r="CC101" s="83">
        <v>6.6428099999999999E-3</v>
      </c>
      <c r="CD101" s="83">
        <v>9.1499000000000007E-3</v>
      </c>
      <c r="CE101" s="83">
        <v>2.84868E-2</v>
      </c>
      <c r="CF101" s="83">
        <v>6.6199600000000003E-3</v>
      </c>
      <c r="CG101" s="83">
        <v>9.1499000000000007E-3</v>
      </c>
      <c r="CH101" s="83">
        <v>2.85393E-2</v>
      </c>
      <c r="CI101" s="83">
        <v>6.7535299999999998E-3</v>
      </c>
      <c r="CJ101" s="83">
        <v>9.1499000000000007E-3</v>
      </c>
      <c r="CK101" s="83">
        <v>2.8391900000000001E-2</v>
      </c>
      <c r="CL101" s="83">
        <v>6.8255399999999997E-3</v>
      </c>
      <c r="CM101" s="83">
        <v>9.1499000000000007E-3</v>
      </c>
      <c r="CN101" s="83">
        <v>2.79289E-2</v>
      </c>
      <c r="CO101" s="83">
        <v>6.7416500000000001E-3</v>
      </c>
      <c r="CP101" s="83">
        <v>9.1499000000000007E-3</v>
      </c>
      <c r="CQ101" s="83">
        <v>2.7088999999999998E-2</v>
      </c>
      <c r="CR101" s="83">
        <v>6.6536800000000004E-3</v>
      </c>
      <c r="CS101" s="83">
        <v>9.1499000000000007E-3</v>
      </c>
      <c r="CT101" s="83">
        <v>2.7088899999999999E-2</v>
      </c>
      <c r="CU101" s="83">
        <v>6.8698199999999996E-3</v>
      </c>
      <c r="CV101" s="83">
        <v>9.1499000000000007E-3</v>
      </c>
      <c r="CW101" s="83">
        <v>2.5482899999999999E-2</v>
      </c>
      <c r="CX101" s="83">
        <v>6.6089900000000004E-3</v>
      </c>
    </row>
    <row r="102" spans="1:102" x14ac:dyDescent="0.2">
      <c r="A102" s="83">
        <v>9.2499000000000001E-3</v>
      </c>
      <c r="B102" s="83">
        <v>3.2523900000000001E-2</v>
      </c>
      <c r="C102" s="83">
        <v>6.2167899999999998E-3</v>
      </c>
      <c r="D102" s="83">
        <v>9.2499000000000001E-3</v>
      </c>
      <c r="E102" s="83">
        <v>3.4647600000000001E-2</v>
      </c>
      <c r="F102" s="83">
        <v>6.3924100000000003E-3</v>
      </c>
      <c r="G102" s="83">
        <v>9.2499000000000001E-3</v>
      </c>
      <c r="H102" s="83">
        <v>3.41102E-2</v>
      </c>
      <c r="I102" s="83">
        <v>6.3347500000000001E-3</v>
      </c>
      <c r="J102" s="83">
        <v>9.2499000000000001E-3</v>
      </c>
      <c r="K102" s="83">
        <v>3.2994599999999999E-2</v>
      </c>
      <c r="L102" s="83">
        <v>6.2112000000000001E-3</v>
      </c>
      <c r="M102" s="83">
        <v>9.2499000000000001E-3</v>
      </c>
      <c r="N102" s="83">
        <v>3.3371100000000001E-2</v>
      </c>
      <c r="O102" s="83">
        <v>6.3046500000000002E-3</v>
      </c>
      <c r="P102" s="83">
        <v>9.2499000000000001E-3</v>
      </c>
      <c r="Q102" s="83">
        <v>3.5386899999999999E-2</v>
      </c>
      <c r="R102" s="83">
        <v>6.4537300000000004E-3</v>
      </c>
      <c r="S102" s="83">
        <v>9.2499000000000001E-3</v>
      </c>
      <c r="T102" s="83">
        <v>3.51326E-2</v>
      </c>
      <c r="U102" s="83">
        <v>6.5156600000000004E-3</v>
      </c>
      <c r="V102" s="83">
        <v>9.2499000000000001E-3</v>
      </c>
      <c r="W102" s="83">
        <v>3.4814100000000001E-2</v>
      </c>
      <c r="X102" s="83">
        <v>6.4147199999999996E-3</v>
      </c>
      <c r="Y102" s="83">
        <v>9.2499000000000001E-3</v>
      </c>
      <c r="Z102" s="83">
        <v>3.4149100000000002E-2</v>
      </c>
      <c r="AA102" s="83">
        <v>6.4758899999999998E-3</v>
      </c>
      <c r="AB102" s="83">
        <v>9.2499000000000001E-3</v>
      </c>
      <c r="AC102" s="83">
        <v>3.3779700000000003E-2</v>
      </c>
      <c r="AD102" s="83">
        <v>6.38793E-3</v>
      </c>
      <c r="AE102" s="83">
        <v>9.2499000000000001E-3</v>
      </c>
      <c r="AF102" s="83">
        <v>3.3766999999999998E-2</v>
      </c>
      <c r="AG102" s="83">
        <v>6.4661800000000002E-3</v>
      </c>
      <c r="AH102" s="83">
        <v>9.2499000000000001E-3</v>
      </c>
      <c r="AI102" s="83">
        <v>3.1274700000000002E-2</v>
      </c>
      <c r="AJ102" s="83">
        <v>6.3193299999999997E-3</v>
      </c>
      <c r="AK102" s="83">
        <v>9.2499000000000001E-3</v>
      </c>
      <c r="AL102" s="83">
        <v>3.1245499999999999E-2</v>
      </c>
      <c r="AM102" s="83">
        <v>6.3434700000000004E-3</v>
      </c>
      <c r="AN102" s="83">
        <v>9.2499000000000001E-3</v>
      </c>
      <c r="AO102" s="83">
        <v>3.2430300000000002E-2</v>
      </c>
      <c r="AP102" s="83">
        <v>6.6002099999999996E-3</v>
      </c>
      <c r="AQ102" s="83">
        <v>9.2499000000000001E-3</v>
      </c>
      <c r="AR102" s="83">
        <v>3.16467E-2</v>
      </c>
      <c r="AS102" s="83">
        <v>6.4888999999999997E-3</v>
      </c>
      <c r="AT102" s="83">
        <v>9.2499000000000001E-3</v>
      </c>
      <c r="AU102" s="83">
        <v>3.07231E-2</v>
      </c>
      <c r="AV102" s="83">
        <v>6.3925199999999996E-3</v>
      </c>
      <c r="AW102" s="83">
        <v>9.2499000000000001E-3</v>
      </c>
      <c r="AX102" s="83">
        <v>3.05058E-2</v>
      </c>
      <c r="AY102" s="83">
        <v>6.31724E-3</v>
      </c>
      <c r="AZ102" s="83">
        <v>9.2499000000000001E-3</v>
      </c>
      <c r="BA102" s="83">
        <v>3.1538799999999999E-2</v>
      </c>
      <c r="BB102" s="83">
        <v>6.6082600000000003E-3</v>
      </c>
      <c r="BC102" s="83">
        <v>9.2499000000000001E-3</v>
      </c>
      <c r="BD102" s="83">
        <v>2.94028E-2</v>
      </c>
      <c r="BE102" s="83">
        <v>6.3946100000000002E-3</v>
      </c>
      <c r="BF102" s="83">
        <v>9.2499000000000001E-3</v>
      </c>
      <c r="BG102" s="83">
        <v>2.8778600000000001E-2</v>
      </c>
      <c r="BH102" s="83">
        <v>6.3707199999999999E-3</v>
      </c>
      <c r="BI102" s="83">
        <v>9.2499000000000001E-3</v>
      </c>
      <c r="BJ102" s="83">
        <v>2.8966100000000002E-2</v>
      </c>
      <c r="BK102" s="83">
        <v>6.4425799999999998E-3</v>
      </c>
      <c r="BL102" s="83">
        <v>9.2499000000000001E-3</v>
      </c>
      <c r="BM102" s="83">
        <v>2.9931300000000001E-2</v>
      </c>
      <c r="BN102" s="83">
        <v>6.5246100000000001E-3</v>
      </c>
      <c r="BO102" s="83">
        <v>9.2499000000000001E-3</v>
      </c>
      <c r="BP102" s="83">
        <v>2.8547199999999998E-2</v>
      </c>
      <c r="BQ102" s="83">
        <v>6.4023600000000002E-3</v>
      </c>
      <c r="BR102" s="83">
        <v>9.2499000000000001E-3</v>
      </c>
      <c r="BS102" s="83">
        <v>2.8471900000000001E-2</v>
      </c>
      <c r="BT102" s="83">
        <v>6.5608300000000001E-3</v>
      </c>
      <c r="BU102" s="83">
        <v>9.2499000000000001E-3</v>
      </c>
      <c r="BV102" s="83">
        <v>2.8766199999999999E-2</v>
      </c>
      <c r="BW102" s="83">
        <v>6.5798899999999997E-3</v>
      </c>
      <c r="BX102" s="83">
        <v>9.2499000000000001E-3</v>
      </c>
      <c r="BY102" s="83">
        <v>2.8518700000000001E-2</v>
      </c>
      <c r="BZ102" s="83">
        <v>6.4905600000000003E-3</v>
      </c>
      <c r="CA102" s="83">
        <v>9.2499000000000001E-3</v>
      </c>
      <c r="CB102" s="83">
        <v>2.7638099999999999E-2</v>
      </c>
      <c r="CC102" s="83">
        <v>6.3010100000000001E-3</v>
      </c>
      <c r="CD102" s="83">
        <v>9.2499000000000001E-3</v>
      </c>
      <c r="CE102" s="83">
        <v>2.68217E-2</v>
      </c>
      <c r="CF102" s="83">
        <v>6.3006299999999998E-3</v>
      </c>
      <c r="CG102" s="83">
        <v>9.2499000000000001E-3</v>
      </c>
      <c r="CH102" s="83">
        <v>2.6473900000000002E-2</v>
      </c>
      <c r="CI102" s="83">
        <v>6.4097800000000003E-3</v>
      </c>
      <c r="CJ102" s="83">
        <v>9.2499000000000001E-3</v>
      </c>
      <c r="CK102" s="83">
        <v>2.6346000000000001E-2</v>
      </c>
      <c r="CL102" s="83">
        <v>6.4847200000000002E-3</v>
      </c>
      <c r="CM102" s="83">
        <v>9.2499000000000001E-3</v>
      </c>
      <c r="CN102" s="83">
        <v>2.60051E-2</v>
      </c>
      <c r="CO102" s="83">
        <v>6.4145000000000001E-3</v>
      </c>
      <c r="CP102" s="83">
        <v>9.2499000000000001E-3</v>
      </c>
      <c r="CQ102" s="83">
        <v>2.5463E-2</v>
      </c>
      <c r="CR102" s="83">
        <v>6.3070000000000001E-3</v>
      </c>
      <c r="CS102" s="83">
        <v>9.2499000000000001E-3</v>
      </c>
      <c r="CT102" s="83">
        <v>2.5506899999999999E-2</v>
      </c>
      <c r="CU102" s="83">
        <v>6.5221599999999999E-3</v>
      </c>
      <c r="CV102" s="83">
        <v>9.2499000000000001E-3</v>
      </c>
      <c r="CW102" s="83">
        <v>2.3632400000000001E-2</v>
      </c>
      <c r="CX102" s="83">
        <v>6.2915999999999996E-3</v>
      </c>
    </row>
    <row r="103" spans="1:102" x14ac:dyDescent="0.2">
      <c r="A103" s="83">
        <v>9.3498999999999995E-3</v>
      </c>
      <c r="B103" s="83">
        <v>3.07172E-2</v>
      </c>
      <c r="C103" s="83">
        <v>5.9042900000000004E-3</v>
      </c>
      <c r="D103" s="83">
        <v>9.3498999999999995E-3</v>
      </c>
      <c r="E103" s="83">
        <v>3.2572400000000001E-2</v>
      </c>
      <c r="F103" s="83">
        <v>6.0525700000000002E-3</v>
      </c>
      <c r="G103" s="83">
        <v>9.3498999999999995E-3</v>
      </c>
      <c r="H103" s="83">
        <v>3.2054600000000003E-2</v>
      </c>
      <c r="I103" s="83">
        <v>6.0085800000000003E-3</v>
      </c>
      <c r="J103" s="83">
        <v>9.3498999999999995E-3</v>
      </c>
      <c r="K103" s="83">
        <v>3.1007300000000002E-2</v>
      </c>
      <c r="L103" s="83">
        <v>5.8752600000000002E-3</v>
      </c>
      <c r="M103" s="83">
        <v>9.3498999999999995E-3</v>
      </c>
      <c r="N103" s="83">
        <v>3.14522E-2</v>
      </c>
      <c r="O103" s="83">
        <v>5.97066E-3</v>
      </c>
      <c r="P103" s="83">
        <v>9.3498999999999995E-3</v>
      </c>
      <c r="Q103" s="83">
        <v>3.3008900000000001E-2</v>
      </c>
      <c r="R103" s="83">
        <v>6.1295100000000003E-3</v>
      </c>
      <c r="S103" s="83">
        <v>9.3498999999999995E-3</v>
      </c>
      <c r="T103" s="83">
        <v>3.295E-2</v>
      </c>
      <c r="U103" s="83">
        <v>6.1826499999999996E-3</v>
      </c>
      <c r="V103" s="83">
        <v>9.3498999999999995E-3</v>
      </c>
      <c r="W103" s="83">
        <v>3.2631500000000001E-2</v>
      </c>
      <c r="X103" s="83">
        <v>6.0973399999999997E-3</v>
      </c>
      <c r="Y103" s="83">
        <v>9.3498999999999995E-3</v>
      </c>
      <c r="Z103" s="83">
        <v>3.1917599999999997E-2</v>
      </c>
      <c r="AA103" s="83">
        <v>6.1487399999999998E-3</v>
      </c>
      <c r="AB103" s="83">
        <v>9.3498999999999995E-3</v>
      </c>
      <c r="AC103" s="83">
        <v>3.1831499999999999E-2</v>
      </c>
      <c r="AD103" s="83">
        <v>6.0666399999999999E-3</v>
      </c>
      <c r="AE103" s="83">
        <v>9.3498999999999995E-3</v>
      </c>
      <c r="AF103" s="83">
        <v>3.1310900000000003E-2</v>
      </c>
      <c r="AG103" s="83">
        <v>6.1234100000000001E-3</v>
      </c>
      <c r="AH103" s="83">
        <v>9.3498999999999995E-3</v>
      </c>
      <c r="AI103" s="83">
        <v>2.9604800000000001E-2</v>
      </c>
      <c r="AJ103" s="83">
        <v>6.0195200000000004E-3</v>
      </c>
      <c r="AK103" s="83">
        <v>9.3498999999999995E-3</v>
      </c>
      <c r="AL103" s="83">
        <v>2.93607E-2</v>
      </c>
      <c r="AM103" s="83">
        <v>6.0378100000000002E-3</v>
      </c>
      <c r="AN103" s="83">
        <v>9.3498999999999995E-3</v>
      </c>
      <c r="AO103" s="83">
        <v>3.0218399999999999E-2</v>
      </c>
      <c r="AP103" s="83">
        <v>6.2691600000000002E-3</v>
      </c>
      <c r="AQ103" s="83">
        <v>9.3498999999999995E-3</v>
      </c>
      <c r="AR103" s="83">
        <v>2.9605699999999999E-2</v>
      </c>
      <c r="AS103" s="83">
        <v>6.1656599999999999E-3</v>
      </c>
      <c r="AT103" s="83">
        <v>9.3498999999999995E-3</v>
      </c>
      <c r="AU103" s="83">
        <v>2.89506E-2</v>
      </c>
      <c r="AV103" s="83">
        <v>6.0673200000000002E-3</v>
      </c>
      <c r="AW103" s="83">
        <v>9.3498999999999995E-3</v>
      </c>
      <c r="AX103" s="83">
        <v>2.8289000000000002E-2</v>
      </c>
      <c r="AY103" s="83">
        <v>5.9754400000000003E-3</v>
      </c>
      <c r="AZ103" s="83">
        <v>9.3498999999999995E-3</v>
      </c>
      <c r="BA103" s="83">
        <v>2.9497800000000001E-2</v>
      </c>
      <c r="BB103" s="83">
        <v>6.2508399999999997E-3</v>
      </c>
      <c r="BC103" s="83">
        <v>9.3498999999999995E-3</v>
      </c>
      <c r="BD103" s="83">
        <v>2.7322699999999998E-2</v>
      </c>
      <c r="BE103" s="83">
        <v>6.0703900000000002E-3</v>
      </c>
      <c r="BF103" s="83">
        <v>9.3498999999999995E-3</v>
      </c>
      <c r="BG103" s="83">
        <v>2.7240500000000001E-2</v>
      </c>
      <c r="BH103" s="83">
        <v>6.0230600000000002E-3</v>
      </c>
      <c r="BI103" s="83">
        <v>9.3498999999999995E-3</v>
      </c>
      <c r="BJ103" s="83">
        <v>2.7193599999999998E-2</v>
      </c>
      <c r="BK103" s="83">
        <v>6.10079E-3</v>
      </c>
      <c r="BL103" s="83">
        <v>9.3498999999999995E-3</v>
      </c>
      <c r="BM103" s="83">
        <v>2.7543600000000001E-2</v>
      </c>
      <c r="BN103" s="83">
        <v>6.1964799999999999E-3</v>
      </c>
      <c r="BO103" s="83">
        <v>9.3498999999999995E-3</v>
      </c>
      <c r="BP103" s="83">
        <v>2.6349899999999999E-2</v>
      </c>
      <c r="BQ103" s="83">
        <v>6.0732599999999996E-3</v>
      </c>
      <c r="BR103" s="83">
        <v>9.3498999999999995E-3</v>
      </c>
      <c r="BS103" s="83">
        <v>2.7089999999999999E-2</v>
      </c>
      <c r="BT103" s="83">
        <v>6.2200099999999998E-3</v>
      </c>
      <c r="BU103" s="83">
        <v>9.3498999999999995E-3</v>
      </c>
      <c r="BV103" s="83">
        <v>2.6632400000000001E-2</v>
      </c>
      <c r="BW103" s="83">
        <v>6.2517700000000002E-3</v>
      </c>
      <c r="BX103" s="83">
        <v>9.3498999999999995E-3</v>
      </c>
      <c r="BY103" s="83">
        <v>2.66926E-2</v>
      </c>
      <c r="BZ103" s="83">
        <v>6.1614599999999997E-3</v>
      </c>
      <c r="CA103" s="83">
        <v>9.3498999999999995E-3</v>
      </c>
      <c r="CB103" s="83">
        <v>2.5621499999999998E-2</v>
      </c>
      <c r="CC103" s="83">
        <v>5.9709300000000002E-3</v>
      </c>
      <c r="CD103" s="83">
        <v>9.3498999999999995E-3</v>
      </c>
      <c r="CE103" s="83">
        <v>2.5161599999999999E-2</v>
      </c>
      <c r="CF103" s="83">
        <v>6.0066800000000004E-3</v>
      </c>
      <c r="CG103" s="83">
        <v>9.3498999999999995E-3</v>
      </c>
      <c r="CH103" s="83">
        <v>2.44914E-2</v>
      </c>
      <c r="CI103" s="83">
        <v>6.0748199999999999E-3</v>
      </c>
      <c r="CJ103" s="83">
        <v>9.3498999999999995E-3</v>
      </c>
      <c r="CK103" s="83">
        <v>2.4998300000000001E-2</v>
      </c>
      <c r="CL103" s="83">
        <v>6.13511E-3</v>
      </c>
      <c r="CM103" s="83">
        <v>9.3498999999999995E-3</v>
      </c>
      <c r="CN103" s="83">
        <v>2.4579299999999998E-2</v>
      </c>
      <c r="CO103" s="83">
        <v>6.0795399999999996E-3</v>
      </c>
      <c r="CP103" s="83">
        <v>9.3498999999999995E-3</v>
      </c>
      <c r="CQ103" s="83">
        <v>2.41788E-2</v>
      </c>
      <c r="CR103" s="83">
        <v>6.0042699999999999E-3</v>
      </c>
      <c r="CS103" s="83">
        <v>9.3498999999999995E-3</v>
      </c>
      <c r="CT103" s="83">
        <v>2.3646500000000001E-2</v>
      </c>
      <c r="CU103" s="83">
        <v>6.2037999999999998E-3</v>
      </c>
      <c r="CV103" s="83">
        <v>9.3498999999999995E-3</v>
      </c>
      <c r="CW103" s="83">
        <v>2.2431199999999998E-2</v>
      </c>
      <c r="CX103" s="83">
        <v>5.9293000000000002E-3</v>
      </c>
    </row>
    <row r="104" spans="1:102" x14ac:dyDescent="0.2">
      <c r="A104" s="83">
        <v>9.4499000000000007E-3</v>
      </c>
      <c r="B104" s="83">
        <v>2.84418E-2</v>
      </c>
      <c r="C104" s="83">
        <v>5.5898299999999996E-3</v>
      </c>
      <c r="D104" s="83">
        <v>9.4499000000000007E-3</v>
      </c>
      <c r="E104" s="83">
        <v>3.01896E-2</v>
      </c>
      <c r="F104" s="83">
        <v>5.7400699999999999E-3</v>
      </c>
      <c r="G104" s="83">
        <v>9.4499000000000007E-3</v>
      </c>
      <c r="H104" s="83">
        <v>3.01991E-2</v>
      </c>
      <c r="I104" s="83">
        <v>5.6941200000000004E-3</v>
      </c>
      <c r="J104" s="83">
        <v>9.4499000000000007E-3</v>
      </c>
      <c r="K104" s="83">
        <v>2.8726999999999999E-2</v>
      </c>
      <c r="L104" s="83">
        <v>5.5803399999999996E-3</v>
      </c>
      <c r="M104" s="83">
        <v>9.4499000000000007E-3</v>
      </c>
      <c r="N104" s="83">
        <v>2.9264700000000001E-2</v>
      </c>
      <c r="O104" s="83">
        <v>5.6669499999999996E-3</v>
      </c>
      <c r="P104" s="83">
        <v>9.4499000000000007E-3</v>
      </c>
      <c r="Q104" s="83">
        <v>3.0875199999999998E-2</v>
      </c>
      <c r="R104" s="83">
        <v>5.8121300000000004E-3</v>
      </c>
      <c r="S104" s="83">
        <v>9.4499000000000007E-3</v>
      </c>
      <c r="T104" s="83">
        <v>3.02352E-2</v>
      </c>
      <c r="U104" s="83">
        <v>5.8955400000000003E-3</v>
      </c>
      <c r="V104" s="83">
        <v>9.4499000000000007E-3</v>
      </c>
      <c r="W104" s="83">
        <v>3.0570900000000002E-2</v>
      </c>
      <c r="X104" s="83">
        <v>5.78386E-3</v>
      </c>
      <c r="Y104" s="83">
        <v>9.4499000000000007E-3</v>
      </c>
      <c r="Z104" s="83">
        <v>2.9461600000000001E-2</v>
      </c>
      <c r="AA104" s="83">
        <v>5.8303799999999996E-3</v>
      </c>
      <c r="AB104" s="83">
        <v>9.4499000000000007E-3</v>
      </c>
      <c r="AC104" s="83">
        <v>2.9858800000000001E-2</v>
      </c>
      <c r="AD104" s="83">
        <v>5.7600000000000004E-3</v>
      </c>
      <c r="AE104" s="83">
        <v>9.4499000000000007E-3</v>
      </c>
      <c r="AF104" s="83">
        <v>2.9455499999999999E-2</v>
      </c>
      <c r="AG104" s="83">
        <v>5.83337E-3</v>
      </c>
      <c r="AH104" s="83">
        <v>9.4499000000000007E-3</v>
      </c>
      <c r="AI104" s="83">
        <v>2.7319599999999999E-2</v>
      </c>
      <c r="AJ104" s="83">
        <v>5.7265500000000004E-3</v>
      </c>
      <c r="AK104" s="83">
        <v>9.4499000000000007E-3</v>
      </c>
      <c r="AL104" s="83">
        <v>2.7681000000000001E-2</v>
      </c>
      <c r="AM104" s="83">
        <v>5.7301899999999996E-3</v>
      </c>
      <c r="AN104" s="83">
        <v>9.4499000000000007E-3</v>
      </c>
      <c r="AO104" s="83">
        <v>2.81823E-2</v>
      </c>
      <c r="AP104" s="83">
        <v>5.9234500000000002E-3</v>
      </c>
      <c r="AQ104" s="83">
        <v>9.4499000000000007E-3</v>
      </c>
      <c r="AR104" s="83">
        <v>2.7872299999999999E-2</v>
      </c>
      <c r="AS104" s="83">
        <v>5.8580400000000001E-3</v>
      </c>
      <c r="AT104" s="83">
        <v>9.4499000000000007E-3</v>
      </c>
      <c r="AU104" s="83">
        <v>2.7153699999999999E-2</v>
      </c>
      <c r="AV104" s="83">
        <v>5.7626300000000004E-3</v>
      </c>
      <c r="AW104" s="83">
        <v>9.4499000000000007E-3</v>
      </c>
      <c r="AX104" s="83">
        <v>2.6609299999999999E-2</v>
      </c>
      <c r="AY104" s="83">
        <v>5.6639200000000002E-3</v>
      </c>
      <c r="AZ104" s="83">
        <v>9.4499000000000007E-3</v>
      </c>
      <c r="BA104" s="83">
        <v>2.7671600000000001E-2</v>
      </c>
      <c r="BB104" s="83">
        <v>5.9607999999999996E-3</v>
      </c>
      <c r="BC104" s="83">
        <v>9.4499000000000007E-3</v>
      </c>
      <c r="BD104" s="83">
        <v>2.56528E-2</v>
      </c>
      <c r="BE104" s="83">
        <v>5.7530100000000002E-3</v>
      </c>
      <c r="BF104" s="83">
        <v>9.4499000000000007E-3</v>
      </c>
      <c r="BG104" s="83">
        <v>2.52093E-2</v>
      </c>
      <c r="BH104" s="83">
        <v>5.73888E-3</v>
      </c>
      <c r="BI104" s="83">
        <v>9.4499000000000007E-3</v>
      </c>
      <c r="BJ104" s="83">
        <v>2.55921E-2</v>
      </c>
      <c r="BK104" s="83">
        <v>5.7990300000000002E-3</v>
      </c>
      <c r="BL104" s="83">
        <v>9.4499000000000007E-3</v>
      </c>
      <c r="BM104" s="83">
        <v>2.6093399999999999E-2</v>
      </c>
      <c r="BN104" s="83">
        <v>5.8595699999999997E-3</v>
      </c>
      <c r="BO104" s="83">
        <v>9.4499000000000007E-3</v>
      </c>
      <c r="BP104" s="83">
        <v>2.4680000000000001E-2</v>
      </c>
      <c r="BQ104" s="83">
        <v>5.7773599999999996E-3</v>
      </c>
      <c r="BR104" s="83">
        <v>9.4499000000000007E-3</v>
      </c>
      <c r="BS104" s="83">
        <v>2.5210199999999999E-2</v>
      </c>
      <c r="BT104" s="83">
        <v>5.9036000000000002E-3</v>
      </c>
      <c r="BU104" s="83">
        <v>9.4499000000000007E-3</v>
      </c>
      <c r="BV104" s="83">
        <v>2.5465399999999999E-2</v>
      </c>
      <c r="BW104" s="83">
        <v>5.95489E-3</v>
      </c>
      <c r="BX104" s="83">
        <v>9.4499000000000007E-3</v>
      </c>
      <c r="BY104" s="83">
        <v>2.4983600000000002E-2</v>
      </c>
      <c r="BZ104" s="83">
        <v>5.8518900000000002E-3</v>
      </c>
      <c r="CA104" s="83">
        <v>9.4499000000000007E-3</v>
      </c>
      <c r="CB104" s="83">
        <v>2.3931999999999998E-2</v>
      </c>
      <c r="CC104" s="83">
        <v>5.6818700000000003E-3</v>
      </c>
      <c r="CD104" s="83">
        <v>9.4499000000000007E-3</v>
      </c>
      <c r="CE104" s="83">
        <v>2.33598E-2</v>
      </c>
      <c r="CF104" s="83">
        <v>5.6863699999999996E-3</v>
      </c>
      <c r="CG104" s="83">
        <v>9.4499000000000007E-3</v>
      </c>
      <c r="CH104" s="83">
        <v>2.27873E-2</v>
      </c>
      <c r="CI104" s="83">
        <v>5.7681700000000004E-3</v>
      </c>
      <c r="CJ104" s="83">
        <v>9.4499000000000007E-3</v>
      </c>
      <c r="CK104" s="83">
        <v>2.36116E-2</v>
      </c>
      <c r="CL104" s="83">
        <v>5.8675400000000001E-3</v>
      </c>
      <c r="CM104" s="83">
        <v>9.4499000000000007E-3</v>
      </c>
      <c r="CN104" s="83">
        <v>2.3255999999999999E-2</v>
      </c>
      <c r="CO104" s="83">
        <v>5.7582500000000003E-3</v>
      </c>
      <c r="CP104" s="83">
        <v>9.4499000000000007E-3</v>
      </c>
      <c r="CQ104" s="83">
        <v>2.2997199999999999E-2</v>
      </c>
      <c r="CR104" s="83">
        <v>5.6790699999999996E-3</v>
      </c>
      <c r="CS104" s="83">
        <v>9.4499000000000007E-3</v>
      </c>
      <c r="CT104" s="83">
        <v>2.2289099999999999E-2</v>
      </c>
      <c r="CU104" s="83">
        <v>5.8815400000000002E-3</v>
      </c>
      <c r="CV104" s="83">
        <v>9.4499000000000007E-3</v>
      </c>
      <c r="CW104" s="83">
        <v>2.0575699999999999E-2</v>
      </c>
      <c r="CX104" s="83">
        <v>5.6597699999999997E-3</v>
      </c>
    </row>
    <row r="105" spans="1:102" x14ac:dyDescent="0.2">
      <c r="A105" s="83">
        <v>9.5499000000000001E-3</v>
      </c>
      <c r="B105" s="83">
        <v>2.65571E-2</v>
      </c>
      <c r="C105" s="83">
        <v>5.3056600000000002E-3</v>
      </c>
      <c r="D105" s="83">
        <v>9.5499000000000001E-3</v>
      </c>
      <c r="E105" s="83">
        <v>2.8851700000000001E-2</v>
      </c>
      <c r="F105" s="83">
        <v>5.4529599999999998E-3</v>
      </c>
      <c r="G105" s="83">
        <v>9.5499000000000001E-3</v>
      </c>
      <c r="H105" s="83">
        <v>2.85096E-2</v>
      </c>
      <c r="I105" s="83">
        <v>5.4021299999999998E-3</v>
      </c>
      <c r="J105" s="83">
        <v>9.5499000000000001E-3</v>
      </c>
      <c r="K105" s="83">
        <v>2.7076599999999999E-2</v>
      </c>
      <c r="L105" s="83">
        <v>5.2961600000000003E-3</v>
      </c>
      <c r="M105" s="83">
        <v>9.5499000000000001E-3</v>
      </c>
      <c r="N105" s="83">
        <v>2.71162E-2</v>
      </c>
      <c r="O105" s="83">
        <v>5.3827700000000003E-3</v>
      </c>
      <c r="P105" s="83">
        <v>9.5499000000000001E-3</v>
      </c>
      <c r="Q105" s="83">
        <v>2.90295E-2</v>
      </c>
      <c r="R105" s="83">
        <v>5.5181800000000001E-3</v>
      </c>
      <c r="S105" s="83">
        <v>9.5499000000000001E-3</v>
      </c>
      <c r="T105" s="83">
        <v>2.8448000000000001E-2</v>
      </c>
      <c r="U105" s="83">
        <v>5.56742E-3</v>
      </c>
      <c r="V105" s="83">
        <v>9.5499000000000001E-3</v>
      </c>
      <c r="W105" s="83">
        <v>2.8608100000000001E-2</v>
      </c>
      <c r="X105" s="83">
        <v>5.5045700000000003E-3</v>
      </c>
      <c r="Y105" s="83">
        <v>9.5499000000000001E-3</v>
      </c>
      <c r="Z105" s="83">
        <v>2.8367799999999999E-2</v>
      </c>
      <c r="AA105" s="83">
        <v>5.5364300000000002E-3</v>
      </c>
      <c r="AB105" s="83">
        <v>9.5499000000000001E-3</v>
      </c>
      <c r="AC105" s="83">
        <v>2.7773900000000001E-2</v>
      </c>
      <c r="AD105" s="83">
        <v>5.4748399999999999E-3</v>
      </c>
      <c r="AE105" s="83">
        <v>9.5499000000000001E-3</v>
      </c>
      <c r="AF105" s="83">
        <v>2.74486E-2</v>
      </c>
      <c r="AG105" s="83">
        <v>5.5023099999999998E-3</v>
      </c>
      <c r="AH105" s="83">
        <v>9.5499000000000001E-3</v>
      </c>
      <c r="AI105" s="83">
        <v>2.52591E-2</v>
      </c>
      <c r="AJ105" s="83">
        <v>5.4257699999999999E-3</v>
      </c>
      <c r="AK105" s="83">
        <v>9.5499000000000001E-3</v>
      </c>
      <c r="AL105" s="83">
        <v>2.59232E-2</v>
      </c>
      <c r="AM105" s="83">
        <v>5.4303900000000002E-3</v>
      </c>
      <c r="AN105" s="83">
        <v>9.5499000000000001E-3</v>
      </c>
      <c r="AO105" s="83">
        <v>2.6839499999999999E-2</v>
      </c>
      <c r="AP105" s="83">
        <v>5.6470899999999996E-3</v>
      </c>
      <c r="AQ105" s="83">
        <v>9.5499000000000001E-3</v>
      </c>
      <c r="AR105" s="83">
        <v>2.5982700000000001E-2</v>
      </c>
      <c r="AS105" s="83">
        <v>5.5426099999999999E-3</v>
      </c>
      <c r="AT105" s="83">
        <v>9.5499000000000001E-3</v>
      </c>
      <c r="AU105" s="83">
        <v>2.5273899999999998E-2</v>
      </c>
      <c r="AV105" s="83">
        <v>5.4550199999999997E-3</v>
      </c>
      <c r="AW105" s="83">
        <v>9.5499000000000001E-3</v>
      </c>
      <c r="AX105" s="83">
        <v>2.4670899999999999E-2</v>
      </c>
      <c r="AY105" s="83">
        <v>5.3953600000000001E-3</v>
      </c>
      <c r="AZ105" s="83">
        <v>9.5499000000000001E-3</v>
      </c>
      <c r="BA105" s="83">
        <v>2.5913800000000001E-2</v>
      </c>
      <c r="BB105" s="83">
        <v>5.6424400000000003E-3</v>
      </c>
      <c r="BC105" s="83">
        <v>9.5499000000000001E-3</v>
      </c>
      <c r="BD105" s="83">
        <v>2.4065900000000001E-2</v>
      </c>
      <c r="BE105" s="83">
        <v>5.47176E-3</v>
      </c>
      <c r="BF105" s="83">
        <v>9.5499000000000001E-3</v>
      </c>
      <c r="BG105" s="83">
        <v>2.35882E-2</v>
      </c>
      <c r="BH105" s="83">
        <v>5.4361499999999998E-3</v>
      </c>
      <c r="BI105" s="83">
        <v>9.5499000000000001E-3</v>
      </c>
      <c r="BJ105" s="83">
        <v>2.3550999999999999E-2</v>
      </c>
      <c r="BK105" s="83">
        <v>5.5226600000000004E-3</v>
      </c>
      <c r="BL105" s="83">
        <v>9.5499000000000001E-3</v>
      </c>
      <c r="BM105" s="83">
        <v>2.4408800000000001E-2</v>
      </c>
      <c r="BN105" s="83">
        <v>5.6154300000000002E-3</v>
      </c>
      <c r="BO105" s="83">
        <v>9.5499000000000001E-3</v>
      </c>
      <c r="BP105" s="83">
        <v>2.3449500000000002E-2</v>
      </c>
      <c r="BQ105" s="83">
        <v>5.49221E-3</v>
      </c>
      <c r="BR105" s="83">
        <v>9.5499000000000001E-3</v>
      </c>
      <c r="BS105" s="83">
        <v>2.3525600000000001E-2</v>
      </c>
      <c r="BT105" s="83">
        <v>5.5813299999999998E-3</v>
      </c>
      <c r="BU105" s="83">
        <v>9.5499000000000001E-3</v>
      </c>
      <c r="BV105" s="83">
        <v>2.3683200000000001E-2</v>
      </c>
      <c r="BW105" s="83">
        <v>5.6365299999999998E-3</v>
      </c>
      <c r="BX105" s="83">
        <v>9.5499000000000001E-3</v>
      </c>
      <c r="BY105" s="83">
        <v>2.33674E-2</v>
      </c>
      <c r="BZ105" s="83">
        <v>5.5647800000000001E-3</v>
      </c>
      <c r="CA105" s="83">
        <v>9.5499000000000001E-3</v>
      </c>
      <c r="CB105" s="83">
        <v>2.24916E-2</v>
      </c>
      <c r="CC105" s="83">
        <v>5.4250399999999999E-3</v>
      </c>
      <c r="CD105" s="83">
        <v>9.5499000000000001E-3</v>
      </c>
      <c r="CE105" s="83">
        <v>2.2163499999999999E-2</v>
      </c>
      <c r="CF105" s="83">
        <v>5.3836300000000004E-3</v>
      </c>
      <c r="CG105" s="83">
        <v>9.5499000000000001E-3</v>
      </c>
      <c r="CH105" s="83">
        <v>2.17375E-2</v>
      </c>
      <c r="CI105" s="83">
        <v>5.4634899999999997E-3</v>
      </c>
      <c r="CJ105" s="83">
        <v>9.5499000000000001E-3</v>
      </c>
      <c r="CK105" s="83">
        <v>2.2332299999999999E-2</v>
      </c>
      <c r="CL105" s="83">
        <v>5.5628500000000003E-3</v>
      </c>
      <c r="CM105" s="83">
        <v>9.5499000000000001E-3</v>
      </c>
      <c r="CN105" s="83">
        <v>2.17521E-2</v>
      </c>
      <c r="CO105" s="83">
        <v>5.4701699999999999E-3</v>
      </c>
      <c r="CP105" s="83">
        <v>9.5499000000000001E-3</v>
      </c>
      <c r="CQ105" s="83">
        <v>2.1547E-2</v>
      </c>
      <c r="CR105" s="83">
        <v>5.4085699999999997E-3</v>
      </c>
      <c r="CS105" s="83">
        <v>9.5499000000000001E-3</v>
      </c>
      <c r="CT105" s="83">
        <v>2.07461E-2</v>
      </c>
      <c r="CU105" s="83">
        <v>5.58466E-3</v>
      </c>
      <c r="CV105" s="83">
        <v>9.5499000000000001E-3</v>
      </c>
      <c r="CW105" s="83">
        <v>1.91939E-2</v>
      </c>
      <c r="CX105" s="83">
        <v>5.3814500000000003E-3</v>
      </c>
    </row>
    <row r="106" spans="1:102" x14ac:dyDescent="0.2">
      <c r="A106" s="83">
        <v>9.6498999999999995E-3</v>
      </c>
      <c r="B106" s="83">
        <v>2.48139E-2</v>
      </c>
      <c r="C106" s="83">
        <v>5.0175699999999998E-3</v>
      </c>
      <c r="D106" s="83">
        <v>9.6498999999999995E-3</v>
      </c>
      <c r="E106" s="83">
        <v>2.6654500000000001E-2</v>
      </c>
      <c r="F106" s="83">
        <v>5.1961200000000003E-3</v>
      </c>
      <c r="G106" s="83">
        <v>9.6498999999999995E-3</v>
      </c>
      <c r="H106" s="83">
        <v>2.64052E-2</v>
      </c>
      <c r="I106" s="83">
        <v>5.1199000000000001E-3</v>
      </c>
      <c r="J106" s="83">
        <v>9.6498999999999995E-3</v>
      </c>
      <c r="K106" s="83">
        <v>2.5528800000000001E-2</v>
      </c>
      <c r="L106" s="83">
        <v>5.0344400000000003E-3</v>
      </c>
      <c r="M106" s="83">
        <v>9.6498999999999995E-3</v>
      </c>
      <c r="N106" s="83">
        <v>2.5431700000000002E-2</v>
      </c>
      <c r="O106" s="83">
        <v>5.0946799999999999E-3</v>
      </c>
      <c r="P106" s="83">
        <v>9.6498999999999995E-3</v>
      </c>
      <c r="Q106" s="83">
        <v>2.7642699999999999E-2</v>
      </c>
      <c r="R106" s="83">
        <v>5.2398599999999998E-3</v>
      </c>
      <c r="S106" s="83">
        <v>9.6498999999999995E-3</v>
      </c>
      <c r="T106" s="83">
        <v>2.6997799999999999E-2</v>
      </c>
      <c r="U106" s="83">
        <v>5.2842200000000001E-3</v>
      </c>
      <c r="V106" s="83">
        <v>9.6498999999999995E-3</v>
      </c>
      <c r="W106" s="83">
        <v>2.7226199999999999E-2</v>
      </c>
      <c r="X106" s="83">
        <v>5.2155099999999996E-3</v>
      </c>
      <c r="Y106" s="83">
        <v>9.6498999999999995E-3</v>
      </c>
      <c r="Z106" s="83">
        <v>2.6722300000000001E-2</v>
      </c>
      <c r="AA106" s="83">
        <v>5.2756900000000004E-3</v>
      </c>
      <c r="AB106" s="83">
        <v>9.6498999999999995E-3</v>
      </c>
      <c r="AC106" s="83">
        <v>2.5913499999999999E-2</v>
      </c>
      <c r="AD106" s="83">
        <v>5.1740600000000003E-3</v>
      </c>
      <c r="AE106" s="83">
        <v>9.6498999999999995E-3</v>
      </c>
      <c r="AF106" s="83">
        <v>2.5930100000000001E-2</v>
      </c>
      <c r="AG106" s="83">
        <v>5.2357100000000002E-3</v>
      </c>
      <c r="AH106" s="83">
        <v>9.6498999999999995E-3</v>
      </c>
      <c r="AI106" s="83">
        <v>2.4438700000000001E-2</v>
      </c>
      <c r="AJ106" s="83">
        <v>5.1503800000000004E-3</v>
      </c>
      <c r="AK106" s="83">
        <v>9.6498999999999995E-3</v>
      </c>
      <c r="AL106" s="83">
        <v>2.42338E-2</v>
      </c>
      <c r="AM106" s="83">
        <v>5.1794099999999997E-3</v>
      </c>
      <c r="AN106" s="83">
        <v>9.6498999999999995E-3</v>
      </c>
      <c r="AO106" s="83">
        <v>2.51696E-2</v>
      </c>
      <c r="AP106" s="83">
        <v>5.3160300000000002E-3</v>
      </c>
      <c r="AQ106" s="83">
        <v>9.6498999999999995E-3</v>
      </c>
      <c r="AR106" s="83">
        <v>2.4483600000000001E-2</v>
      </c>
      <c r="AS106" s="83">
        <v>5.2633100000000002E-3</v>
      </c>
      <c r="AT106" s="83">
        <v>9.6498999999999995E-3</v>
      </c>
      <c r="AU106" s="83">
        <v>2.4214300000000001E-2</v>
      </c>
      <c r="AV106" s="83">
        <v>5.1835300000000004E-3</v>
      </c>
      <c r="AW106" s="83">
        <v>9.6498999999999995E-3</v>
      </c>
      <c r="AX106" s="83">
        <v>2.3445299999999999E-2</v>
      </c>
      <c r="AY106" s="83">
        <v>5.1082499999999999E-3</v>
      </c>
      <c r="AZ106" s="83">
        <v>9.6498999999999995E-3</v>
      </c>
      <c r="BA106" s="83">
        <v>2.4263400000000001E-2</v>
      </c>
      <c r="BB106" s="83">
        <v>5.3562999999999996E-3</v>
      </c>
      <c r="BC106" s="83">
        <v>9.6498999999999995E-3</v>
      </c>
      <c r="BD106" s="83">
        <v>2.23374E-2</v>
      </c>
      <c r="BE106" s="83">
        <v>5.1846499999999998E-3</v>
      </c>
      <c r="BF106" s="83">
        <v>9.6498999999999995E-3</v>
      </c>
      <c r="BG106" s="83">
        <v>2.1962200000000001E-2</v>
      </c>
      <c r="BH106" s="83">
        <v>5.1353700000000002E-3</v>
      </c>
      <c r="BI106" s="83">
        <v>9.6498999999999995E-3</v>
      </c>
      <c r="BJ106" s="83">
        <v>2.1983699999999998E-2</v>
      </c>
      <c r="BK106" s="83">
        <v>5.2423900000000004E-3</v>
      </c>
      <c r="BL106" s="83">
        <v>9.6498999999999995E-3</v>
      </c>
      <c r="BM106" s="83">
        <v>2.2963500000000001E-2</v>
      </c>
      <c r="BN106" s="83">
        <v>5.2921799999999996E-3</v>
      </c>
      <c r="BO106" s="83">
        <v>9.6498999999999995E-3</v>
      </c>
      <c r="BP106" s="83">
        <v>2.1945599999999999E-2</v>
      </c>
      <c r="BQ106" s="83">
        <v>5.1894699999999998E-3</v>
      </c>
      <c r="BR106" s="83">
        <v>9.6498999999999995E-3</v>
      </c>
      <c r="BS106" s="83">
        <v>2.20314E-2</v>
      </c>
      <c r="BT106" s="83">
        <v>5.2883699999999997E-3</v>
      </c>
      <c r="BU106" s="83">
        <v>9.6498999999999995E-3</v>
      </c>
      <c r="BV106" s="83">
        <v>2.2062100000000001E-2</v>
      </c>
      <c r="BW106" s="83">
        <v>5.3484500000000003E-3</v>
      </c>
      <c r="BX106" s="83">
        <v>9.6498999999999995E-3</v>
      </c>
      <c r="BY106" s="83">
        <v>2.21125E-2</v>
      </c>
      <c r="BZ106" s="83">
        <v>5.2737699999999997E-3</v>
      </c>
      <c r="CA106" s="83">
        <v>9.6498999999999995E-3</v>
      </c>
      <c r="CB106" s="83">
        <v>2.1329500000000001E-2</v>
      </c>
      <c r="CC106" s="83">
        <v>5.12328E-3</v>
      </c>
      <c r="CD106" s="83">
        <v>9.6498999999999995E-3</v>
      </c>
      <c r="CE106" s="83">
        <v>2.06205E-2</v>
      </c>
      <c r="CF106" s="83">
        <v>5.1160600000000004E-3</v>
      </c>
      <c r="CG106" s="83">
        <v>9.6498999999999995E-3</v>
      </c>
      <c r="CH106" s="83">
        <v>2.05217E-2</v>
      </c>
      <c r="CI106" s="83">
        <v>5.1793100000000003E-3</v>
      </c>
      <c r="CJ106" s="83">
        <v>9.6498999999999995E-3</v>
      </c>
      <c r="CK106" s="83">
        <v>2.10189E-2</v>
      </c>
      <c r="CL106" s="83">
        <v>5.2728100000000002E-3</v>
      </c>
      <c r="CM106" s="83">
        <v>9.6498999999999995E-3</v>
      </c>
      <c r="CN106" s="83">
        <v>2.0560700000000001E-2</v>
      </c>
      <c r="CO106" s="83">
        <v>5.1889199999999996E-3</v>
      </c>
      <c r="CP106" s="83">
        <v>9.6498999999999995E-3</v>
      </c>
      <c r="CQ106" s="83">
        <v>1.98283E-2</v>
      </c>
      <c r="CR106" s="83">
        <v>5.11364E-3</v>
      </c>
      <c r="CS106" s="83">
        <v>9.6498999999999995E-3</v>
      </c>
      <c r="CT106" s="83">
        <v>1.9173900000000001E-2</v>
      </c>
      <c r="CU106" s="83">
        <v>5.2819299999999998E-3</v>
      </c>
      <c r="CV106" s="83">
        <v>9.6498999999999995E-3</v>
      </c>
      <c r="CW106" s="83">
        <v>1.7743700000000001E-2</v>
      </c>
      <c r="CX106" s="83">
        <v>5.0855500000000003E-3</v>
      </c>
    </row>
    <row r="107" spans="1:102" x14ac:dyDescent="0.2">
      <c r="A107" s="83">
        <v>9.7499000000000006E-3</v>
      </c>
      <c r="B107" s="83">
        <v>2.3632299999999998E-2</v>
      </c>
      <c r="C107" s="83">
        <v>4.7851500000000002E-3</v>
      </c>
      <c r="D107" s="83">
        <v>9.7499000000000006E-3</v>
      </c>
      <c r="E107" s="83">
        <v>2.46427E-2</v>
      </c>
      <c r="F107" s="83">
        <v>4.8953399999999998E-3</v>
      </c>
      <c r="G107" s="83">
        <v>9.7499000000000006E-3</v>
      </c>
      <c r="H107" s="83">
        <v>2.4598499999999999E-2</v>
      </c>
      <c r="I107" s="83">
        <v>4.8601399999999998E-3</v>
      </c>
      <c r="J107" s="83">
        <v>9.7499000000000006E-3</v>
      </c>
      <c r="K107" s="83">
        <v>2.3741700000000001E-2</v>
      </c>
      <c r="L107" s="83">
        <v>4.75319E-3</v>
      </c>
      <c r="M107" s="83">
        <v>9.7499000000000006E-3</v>
      </c>
      <c r="N107" s="83">
        <v>2.3737299999999999E-2</v>
      </c>
      <c r="O107" s="83">
        <v>4.8261299999999997E-3</v>
      </c>
      <c r="P107" s="83">
        <v>9.7499000000000006E-3</v>
      </c>
      <c r="Q107" s="83">
        <v>2.5577300000000001E-2</v>
      </c>
      <c r="R107" s="83">
        <v>4.9449400000000001E-3</v>
      </c>
      <c r="S107" s="83">
        <v>9.7499000000000006E-3</v>
      </c>
      <c r="T107" s="83">
        <v>2.4981199999999999E-2</v>
      </c>
      <c r="U107" s="83">
        <v>5.0107800000000003E-3</v>
      </c>
      <c r="V107" s="83">
        <v>9.7499000000000006E-3</v>
      </c>
      <c r="W107" s="83">
        <v>2.51364E-2</v>
      </c>
      <c r="X107" s="83">
        <v>4.9342600000000002E-3</v>
      </c>
      <c r="Y107" s="83">
        <v>9.7499000000000006E-3</v>
      </c>
      <c r="Z107" s="83">
        <v>2.4578699999999998E-2</v>
      </c>
      <c r="AA107" s="83">
        <v>4.9954200000000004E-3</v>
      </c>
      <c r="AB107" s="83">
        <v>9.7499000000000006E-3</v>
      </c>
      <c r="AC107" s="83">
        <v>2.4380300000000001E-2</v>
      </c>
      <c r="AD107" s="83">
        <v>4.9279700000000003E-3</v>
      </c>
      <c r="AE107" s="83">
        <v>9.7499000000000006E-3</v>
      </c>
      <c r="AF107" s="83">
        <v>2.41186E-2</v>
      </c>
      <c r="AG107" s="83">
        <v>4.9876599999999997E-3</v>
      </c>
      <c r="AH107" s="83">
        <v>9.7499000000000006E-3</v>
      </c>
      <c r="AI107" s="83">
        <v>2.1870400000000002E-2</v>
      </c>
      <c r="AJ107" s="83">
        <v>4.8720600000000001E-3</v>
      </c>
      <c r="AK107" s="83">
        <v>9.7499000000000006E-3</v>
      </c>
      <c r="AL107" s="83">
        <v>2.27347E-2</v>
      </c>
      <c r="AM107" s="83">
        <v>4.8883900000000003E-3</v>
      </c>
      <c r="AN107" s="83">
        <v>9.7499000000000006E-3</v>
      </c>
      <c r="AO107" s="83">
        <v>2.3665700000000001E-2</v>
      </c>
      <c r="AP107" s="83">
        <v>5.0621299999999998E-3</v>
      </c>
      <c r="AQ107" s="83">
        <v>9.7499000000000006E-3</v>
      </c>
      <c r="AR107" s="83">
        <v>2.2457299999999999E-2</v>
      </c>
      <c r="AS107" s="83">
        <v>4.9957300000000003E-3</v>
      </c>
      <c r="AT107" s="83">
        <v>9.7499000000000006E-3</v>
      </c>
      <c r="AU107" s="83">
        <v>2.19536E-2</v>
      </c>
      <c r="AV107" s="83">
        <v>4.9393900000000001E-3</v>
      </c>
      <c r="AW107" s="83">
        <v>9.7499000000000006E-3</v>
      </c>
      <c r="AX107" s="83">
        <v>2.1570300000000001E-2</v>
      </c>
      <c r="AY107" s="83">
        <v>4.8338399999999998E-3</v>
      </c>
      <c r="AZ107" s="83">
        <v>9.7499000000000006E-3</v>
      </c>
      <c r="BA107" s="83">
        <v>2.2652100000000001E-2</v>
      </c>
      <c r="BB107" s="83">
        <v>5.0975200000000003E-3</v>
      </c>
      <c r="BC107" s="83">
        <v>9.7499000000000006E-3</v>
      </c>
      <c r="BD107" s="83">
        <v>2.0955499999999998E-2</v>
      </c>
      <c r="BE107" s="83">
        <v>4.9082800000000001E-3</v>
      </c>
      <c r="BF107" s="83">
        <v>9.7499000000000006E-3</v>
      </c>
      <c r="BG107" s="83">
        <v>2.1088200000000001E-2</v>
      </c>
      <c r="BH107" s="83">
        <v>4.8716999999999996E-3</v>
      </c>
      <c r="BI107" s="83">
        <v>9.7499000000000006E-3</v>
      </c>
      <c r="BJ107" s="83">
        <v>2.0665300000000001E-2</v>
      </c>
      <c r="BK107" s="83">
        <v>4.9757899999999999E-3</v>
      </c>
      <c r="BL107" s="83">
        <v>9.7499000000000006E-3</v>
      </c>
      <c r="BM107" s="83">
        <v>2.1547500000000001E-2</v>
      </c>
      <c r="BN107" s="83">
        <v>5.0167900000000001E-3</v>
      </c>
      <c r="BO107" s="83">
        <v>9.7499000000000006E-3</v>
      </c>
      <c r="BP107" s="83">
        <v>2.1222999999999999E-2</v>
      </c>
      <c r="BQ107" s="83">
        <v>4.9531499999999999E-3</v>
      </c>
      <c r="BR107" s="83">
        <v>9.7499000000000006E-3</v>
      </c>
      <c r="BS107" s="83">
        <v>2.0674000000000001E-2</v>
      </c>
      <c r="BT107" s="83">
        <v>5.0383700000000003E-3</v>
      </c>
      <c r="BU107" s="83">
        <v>9.7499000000000006E-3</v>
      </c>
      <c r="BV107" s="83">
        <v>2.10318E-2</v>
      </c>
      <c r="BW107" s="83">
        <v>5.0789199999999998E-3</v>
      </c>
      <c r="BX107" s="83">
        <v>9.7499000000000006E-3</v>
      </c>
      <c r="BY107" s="83">
        <v>2.1174999999999999E-2</v>
      </c>
      <c r="BZ107" s="83">
        <v>5.0110700000000003E-3</v>
      </c>
      <c r="CA107" s="83">
        <v>9.7499000000000006E-3</v>
      </c>
      <c r="CB107" s="83">
        <v>2.0260199999999999E-2</v>
      </c>
      <c r="CC107" s="83">
        <v>4.8674199999999999E-3</v>
      </c>
      <c r="CD107" s="83">
        <v>9.7499000000000006E-3</v>
      </c>
      <c r="CE107" s="83">
        <v>1.9634200000000001E-2</v>
      </c>
      <c r="CF107" s="83">
        <v>4.82797E-3</v>
      </c>
      <c r="CG107" s="83">
        <v>9.7499000000000006E-3</v>
      </c>
      <c r="CH107" s="83">
        <v>1.9310799999999999E-2</v>
      </c>
      <c r="CI107" s="83">
        <v>4.90099E-3</v>
      </c>
      <c r="CJ107" s="83">
        <v>9.7499000000000006E-3</v>
      </c>
      <c r="CK107" s="83">
        <v>1.94124E-2</v>
      </c>
      <c r="CL107" s="83">
        <v>5.0003499999999998E-3</v>
      </c>
      <c r="CM107" s="83">
        <v>9.7499000000000006E-3</v>
      </c>
      <c r="CN107" s="83">
        <v>1.9154500000000001E-2</v>
      </c>
      <c r="CO107" s="83">
        <v>4.9184099999999998E-3</v>
      </c>
      <c r="CP107" s="83">
        <v>9.7499000000000006E-3</v>
      </c>
      <c r="CQ107" s="83">
        <v>1.8919999999999999E-2</v>
      </c>
      <c r="CR107" s="83">
        <v>4.8568099999999996E-3</v>
      </c>
      <c r="CS107" s="83">
        <v>9.7499000000000006E-3</v>
      </c>
      <c r="CT107" s="83">
        <v>1.8329100000000001E-2</v>
      </c>
      <c r="CU107" s="83">
        <v>5.00556E-3</v>
      </c>
      <c r="CV107" s="83">
        <v>9.7499000000000006E-3</v>
      </c>
      <c r="CW107" s="83">
        <v>1.6938000000000002E-2</v>
      </c>
      <c r="CX107" s="83">
        <v>4.8140600000000002E-3</v>
      </c>
    </row>
    <row r="108" spans="1:102" x14ac:dyDescent="0.2">
      <c r="A108" s="83">
        <v>9.8499E-3</v>
      </c>
      <c r="B108" s="83">
        <v>2.1571699999999999E-2</v>
      </c>
      <c r="C108" s="83">
        <v>4.4960800000000004E-3</v>
      </c>
      <c r="D108" s="83">
        <v>9.8499E-3</v>
      </c>
      <c r="E108" s="83">
        <v>2.33341E-2</v>
      </c>
      <c r="F108" s="83">
        <v>4.6424099999999996E-3</v>
      </c>
      <c r="G108" s="83">
        <v>9.8499E-3</v>
      </c>
      <c r="H108" s="83">
        <v>2.3001799999999999E-2</v>
      </c>
      <c r="I108" s="83">
        <v>4.6257599999999996E-3</v>
      </c>
      <c r="J108" s="83">
        <v>9.8499E-3</v>
      </c>
      <c r="K108" s="83">
        <v>2.20132E-2</v>
      </c>
      <c r="L108" s="83">
        <v>4.5090499999999997E-3</v>
      </c>
      <c r="M108" s="83">
        <v>9.8499E-3</v>
      </c>
      <c r="N108" s="83">
        <v>2.2243200000000001E-2</v>
      </c>
      <c r="O108" s="83">
        <v>4.5897999999999998E-3</v>
      </c>
      <c r="P108" s="83">
        <v>9.8499E-3</v>
      </c>
      <c r="Q108" s="83">
        <v>2.3555799999999998E-2</v>
      </c>
      <c r="R108" s="83">
        <v>4.6910299999999997E-3</v>
      </c>
      <c r="S108" s="83">
        <v>9.8499E-3</v>
      </c>
      <c r="T108" s="83">
        <v>2.3755700000000001E-2</v>
      </c>
      <c r="U108" s="83">
        <v>4.7353899999999999E-3</v>
      </c>
      <c r="V108" s="83">
        <v>9.8499E-3</v>
      </c>
      <c r="W108" s="83">
        <v>2.3202799999999999E-2</v>
      </c>
      <c r="X108" s="83">
        <v>4.6862099999999997E-3</v>
      </c>
      <c r="Y108" s="83">
        <v>9.8499E-3</v>
      </c>
      <c r="Z108" s="83">
        <v>2.3758399999999999E-2</v>
      </c>
      <c r="AA108" s="83">
        <v>4.7532299999999998E-3</v>
      </c>
      <c r="AB108" s="83">
        <v>9.8499E-3</v>
      </c>
      <c r="AC108" s="83">
        <v>2.31401E-2</v>
      </c>
      <c r="AD108" s="83">
        <v>4.6642899999999998E-3</v>
      </c>
      <c r="AE108" s="83">
        <v>9.8499E-3</v>
      </c>
      <c r="AF108" s="83">
        <v>2.24145E-2</v>
      </c>
      <c r="AG108" s="83">
        <v>4.7259399999999997E-3</v>
      </c>
      <c r="AH108" s="83">
        <v>9.8499E-3</v>
      </c>
      <c r="AI108" s="83">
        <v>2.0400700000000001E-2</v>
      </c>
      <c r="AJ108" s="83">
        <v>4.6415900000000001E-3</v>
      </c>
      <c r="AK108" s="83">
        <v>9.8499E-3</v>
      </c>
      <c r="AL108" s="83">
        <v>2.0908599999999999E-2</v>
      </c>
      <c r="AM108" s="83">
        <v>4.63839E-3</v>
      </c>
      <c r="AN108" s="83">
        <v>9.8499E-3</v>
      </c>
      <c r="AO108" s="83">
        <v>2.2054299999999999E-2</v>
      </c>
      <c r="AP108" s="83">
        <v>4.7867300000000003E-3</v>
      </c>
      <c r="AQ108" s="83">
        <v>9.8499E-3</v>
      </c>
      <c r="AR108" s="83">
        <v>2.1026599999999999E-2</v>
      </c>
      <c r="AS108" s="83">
        <v>4.7369400000000002E-3</v>
      </c>
      <c r="AT108" s="83">
        <v>9.8499E-3</v>
      </c>
      <c r="AU108" s="83">
        <v>2.0737700000000001E-2</v>
      </c>
      <c r="AV108" s="83">
        <v>4.6630200000000004E-3</v>
      </c>
      <c r="AW108" s="83">
        <v>9.8499E-3</v>
      </c>
      <c r="AX108" s="83">
        <v>2.0149400000000001E-2</v>
      </c>
      <c r="AY108" s="83">
        <v>4.59458E-3</v>
      </c>
      <c r="AZ108" s="83">
        <v>9.8499E-3</v>
      </c>
      <c r="BA108" s="83">
        <v>2.0908900000000001E-2</v>
      </c>
      <c r="BB108" s="83">
        <v>4.8445900000000002E-3</v>
      </c>
      <c r="BC108" s="83">
        <v>9.8499E-3</v>
      </c>
      <c r="BD108" s="83">
        <v>1.9554200000000001E-2</v>
      </c>
      <c r="BE108" s="83">
        <v>4.6670699999999997E-3</v>
      </c>
      <c r="BF108" s="83">
        <v>9.8499E-3</v>
      </c>
      <c r="BG108" s="83">
        <v>1.9515899999999999E-2</v>
      </c>
      <c r="BH108" s="83">
        <v>4.6168099999999998E-3</v>
      </c>
      <c r="BI108" s="83">
        <v>9.8499E-3</v>
      </c>
      <c r="BJ108" s="83">
        <v>1.9190700000000002E-2</v>
      </c>
      <c r="BK108" s="83">
        <v>4.6974699999999996E-3</v>
      </c>
      <c r="BL108" s="83">
        <v>9.8499E-3</v>
      </c>
      <c r="BM108" s="83">
        <v>2.0507399999999999E-2</v>
      </c>
      <c r="BN108" s="83">
        <v>4.7863200000000002E-3</v>
      </c>
      <c r="BO108" s="83">
        <v>9.8499E-3</v>
      </c>
      <c r="BP108" s="83">
        <v>1.93919E-2</v>
      </c>
      <c r="BQ108" s="83">
        <v>4.6914299999999999E-3</v>
      </c>
      <c r="BR108" s="83">
        <v>9.8499E-3</v>
      </c>
      <c r="BS108" s="83">
        <v>1.8930900000000001E-2</v>
      </c>
      <c r="BT108" s="83">
        <v>4.7893399999999996E-3</v>
      </c>
      <c r="BU108" s="83">
        <v>9.8499E-3</v>
      </c>
      <c r="BV108" s="83">
        <v>1.9264300000000002E-2</v>
      </c>
      <c r="BW108" s="83">
        <v>4.8103599999999996E-3</v>
      </c>
      <c r="BX108" s="83">
        <v>9.8499E-3</v>
      </c>
      <c r="BY108" s="83">
        <v>1.9490400000000001E-2</v>
      </c>
      <c r="BZ108" s="83">
        <v>4.74545E-3</v>
      </c>
      <c r="CA108" s="83">
        <v>9.8499E-3</v>
      </c>
      <c r="CB108" s="83">
        <v>1.8878300000000001E-2</v>
      </c>
      <c r="CC108" s="83">
        <v>4.5832399999999997E-3</v>
      </c>
      <c r="CD108" s="83">
        <v>9.8499E-3</v>
      </c>
      <c r="CE108" s="83">
        <v>1.7895899999999999E-2</v>
      </c>
      <c r="CF108" s="83">
        <v>4.5867599999999996E-3</v>
      </c>
      <c r="CG108" s="83">
        <v>9.8499E-3</v>
      </c>
      <c r="CH108" s="83">
        <v>1.80705E-2</v>
      </c>
      <c r="CI108" s="83">
        <v>4.6509899999999998E-3</v>
      </c>
      <c r="CJ108" s="83">
        <v>9.8499E-3</v>
      </c>
      <c r="CK108" s="83">
        <v>1.8152600000000001E-2</v>
      </c>
      <c r="CL108" s="83">
        <v>4.72691E-3</v>
      </c>
      <c r="CM108" s="83">
        <v>9.8499E-3</v>
      </c>
      <c r="CN108" s="83">
        <v>1.8016799999999999E-2</v>
      </c>
      <c r="CO108" s="83">
        <v>4.6810999999999997E-3</v>
      </c>
      <c r="CP108" s="83">
        <v>9.8499E-3</v>
      </c>
      <c r="CQ108" s="83">
        <v>1.7152500000000001E-2</v>
      </c>
      <c r="CR108" s="83">
        <v>4.6048499999999997E-3</v>
      </c>
      <c r="CS108" s="83">
        <v>9.8499E-3</v>
      </c>
      <c r="CT108" s="83">
        <v>1.7401400000000001E-2</v>
      </c>
      <c r="CU108" s="83">
        <v>4.7682599999999999E-3</v>
      </c>
      <c r="CV108" s="83">
        <v>9.8499E-3</v>
      </c>
      <c r="CW108" s="83">
        <v>1.5697800000000001E-2</v>
      </c>
      <c r="CX108" s="83">
        <v>4.5660199999999996E-3</v>
      </c>
    </row>
    <row r="109" spans="1:102" x14ac:dyDescent="0.2">
      <c r="A109" s="83">
        <v>9.9498999999999994E-3</v>
      </c>
      <c r="B109" s="83">
        <v>2.0766099999999999E-2</v>
      </c>
      <c r="C109" s="83">
        <v>4.2734299999999999E-3</v>
      </c>
      <c r="D109" s="83">
        <v>9.9498999999999994E-3</v>
      </c>
      <c r="E109" s="83">
        <v>2.1571400000000001E-2</v>
      </c>
      <c r="F109" s="83">
        <v>4.3914399999999999E-3</v>
      </c>
      <c r="G109" s="83">
        <v>9.9498999999999994E-3</v>
      </c>
      <c r="H109" s="83">
        <v>2.15956E-2</v>
      </c>
      <c r="I109" s="83">
        <v>4.35623E-3</v>
      </c>
      <c r="J109" s="83">
        <v>9.9498999999999994E-3</v>
      </c>
      <c r="K109" s="83">
        <v>2.08022E-2</v>
      </c>
      <c r="L109" s="83">
        <v>4.2844399999999996E-3</v>
      </c>
      <c r="M109" s="83">
        <v>9.9498999999999994E-3</v>
      </c>
      <c r="N109" s="83">
        <v>2.0622100000000001E-2</v>
      </c>
      <c r="O109" s="83">
        <v>4.3378499999999999E-3</v>
      </c>
      <c r="P109" s="83">
        <v>9.9498999999999994E-3</v>
      </c>
      <c r="Q109" s="83">
        <v>2.25548E-2</v>
      </c>
      <c r="R109" s="83">
        <v>4.4410300000000003E-3</v>
      </c>
      <c r="S109" s="83">
        <v>9.9498999999999994E-3</v>
      </c>
      <c r="T109" s="83">
        <v>2.2051600000000001E-2</v>
      </c>
      <c r="U109" s="83">
        <v>4.5156600000000003E-3</v>
      </c>
      <c r="V109" s="83">
        <v>9.9498999999999994E-3</v>
      </c>
      <c r="W109" s="83">
        <v>2.1991799999999999E-2</v>
      </c>
      <c r="X109" s="83">
        <v>4.4440199999999999E-3</v>
      </c>
      <c r="Y109" s="83">
        <v>9.9498999999999994E-3</v>
      </c>
      <c r="Z109" s="83">
        <v>2.1922500000000001E-2</v>
      </c>
      <c r="AA109" s="83">
        <v>4.5100699999999997E-3</v>
      </c>
      <c r="AB109" s="83">
        <v>9.9498999999999994E-3</v>
      </c>
      <c r="AC109" s="83">
        <v>2.1645899999999999E-2</v>
      </c>
      <c r="AD109" s="83">
        <v>4.4484700000000004E-3</v>
      </c>
      <c r="AE109" s="83">
        <v>9.9498999999999994E-3</v>
      </c>
      <c r="AF109" s="83">
        <v>2.12572E-2</v>
      </c>
      <c r="AG109" s="83">
        <v>4.4525099999999998E-3</v>
      </c>
      <c r="AH109" s="83">
        <v>9.9498999999999994E-3</v>
      </c>
      <c r="AI109" s="83">
        <v>1.9712199999999999E-2</v>
      </c>
      <c r="AJ109" s="83">
        <v>4.3769500000000001E-3</v>
      </c>
      <c r="AK109" s="83">
        <v>9.9498999999999994E-3</v>
      </c>
      <c r="AL109" s="83">
        <v>1.9770900000000001E-2</v>
      </c>
      <c r="AM109" s="83">
        <v>4.4010899999999999E-3</v>
      </c>
      <c r="AN109" s="83">
        <v>9.9498999999999994E-3</v>
      </c>
      <c r="AO109" s="83">
        <v>2.0574800000000001E-2</v>
      </c>
      <c r="AP109" s="83">
        <v>4.5445499999999996E-3</v>
      </c>
      <c r="AQ109" s="83">
        <v>9.9498999999999994E-3</v>
      </c>
      <c r="AR109" s="83">
        <v>2.0103800000000002E-2</v>
      </c>
      <c r="AS109" s="83">
        <v>4.47132E-3</v>
      </c>
      <c r="AT109" s="83">
        <v>9.9498999999999994E-3</v>
      </c>
      <c r="AU109" s="83">
        <v>1.9634200000000001E-2</v>
      </c>
      <c r="AV109" s="83">
        <v>4.40033E-3</v>
      </c>
      <c r="AW109" s="83">
        <v>9.9498999999999994E-3</v>
      </c>
      <c r="AX109" s="83">
        <v>1.9094699999999999E-2</v>
      </c>
      <c r="AY109" s="83">
        <v>4.3445799999999998E-3</v>
      </c>
      <c r="AZ109" s="83">
        <v>9.9498999999999994E-3</v>
      </c>
      <c r="BA109" s="83">
        <v>2.0205799999999999E-2</v>
      </c>
      <c r="BB109" s="83">
        <v>4.5955600000000003E-3</v>
      </c>
      <c r="BC109" s="83">
        <v>9.9498999999999994E-3</v>
      </c>
      <c r="BD109" s="83">
        <v>1.8641100000000001E-2</v>
      </c>
      <c r="BE109" s="83">
        <v>4.4180499999999998E-3</v>
      </c>
      <c r="BF109" s="83">
        <v>9.9498999999999994E-3</v>
      </c>
      <c r="BG109" s="83">
        <v>1.8431900000000001E-2</v>
      </c>
      <c r="BH109" s="83">
        <v>4.3853700000000004E-3</v>
      </c>
      <c r="BI109" s="83">
        <v>9.9498999999999994E-3</v>
      </c>
      <c r="BJ109" s="83">
        <v>1.8204399999999999E-2</v>
      </c>
      <c r="BK109" s="83">
        <v>4.4630900000000003E-3</v>
      </c>
      <c r="BL109" s="83">
        <v>9.9498999999999994E-3</v>
      </c>
      <c r="BM109" s="83">
        <v>1.8984000000000001E-2</v>
      </c>
      <c r="BN109" s="83">
        <v>4.53339E-3</v>
      </c>
      <c r="BO109" s="83">
        <v>9.9498999999999994E-3</v>
      </c>
      <c r="BP109" s="83">
        <v>1.8483699999999999E-2</v>
      </c>
      <c r="BQ109" s="83">
        <v>4.4336100000000002E-3</v>
      </c>
      <c r="BR109" s="83">
        <v>9.9498999999999994E-3</v>
      </c>
      <c r="BS109" s="83">
        <v>1.7695499999999999E-2</v>
      </c>
      <c r="BT109" s="83">
        <v>4.5305500000000004E-3</v>
      </c>
      <c r="BU109" s="83">
        <v>9.9498999999999994E-3</v>
      </c>
      <c r="BV109" s="83">
        <v>1.85074E-2</v>
      </c>
      <c r="BW109" s="83">
        <v>4.5710999999999998E-3</v>
      </c>
      <c r="BX109" s="83">
        <v>9.9498999999999994E-3</v>
      </c>
      <c r="BY109" s="83">
        <v>1.87482E-2</v>
      </c>
      <c r="BZ109" s="83">
        <v>4.48373E-3</v>
      </c>
      <c r="CA109" s="83">
        <v>9.9498999999999994E-3</v>
      </c>
      <c r="CB109" s="83">
        <v>1.7838300000000001E-2</v>
      </c>
      <c r="CC109" s="83">
        <v>4.3469099999999998E-3</v>
      </c>
      <c r="CD109" s="83">
        <v>9.9498999999999994E-3</v>
      </c>
      <c r="CE109" s="83">
        <v>1.7275800000000001E-2</v>
      </c>
      <c r="CF109" s="83">
        <v>4.3435899999999996E-3</v>
      </c>
      <c r="CG109" s="83">
        <v>9.9498999999999994E-3</v>
      </c>
      <c r="CH109" s="83">
        <v>1.6918200000000001E-2</v>
      </c>
      <c r="CI109" s="83">
        <v>4.4195399999999996E-3</v>
      </c>
      <c r="CJ109" s="83">
        <v>9.9498999999999994E-3</v>
      </c>
      <c r="CK109" s="83">
        <v>1.75814E-2</v>
      </c>
      <c r="CL109" s="83">
        <v>4.4817900000000003E-3</v>
      </c>
      <c r="CM109" s="83">
        <v>9.9498999999999994E-3</v>
      </c>
      <c r="CN109" s="83">
        <v>1.7543199999999998E-2</v>
      </c>
      <c r="CO109" s="83">
        <v>4.4154800000000003E-3</v>
      </c>
      <c r="CP109" s="83">
        <v>9.9498999999999994E-3</v>
      </c>
      <c r="CQ109" s="83">
        <v>1.6444500000000001E-2</v>
      </c>
      <c r="CR109" s="83">
        <v>4.34411E-3</v>
      </c>
      <c r="CS109" s="83">
        <v>9.9498999999999994E-3</v>
      </c>
      <c r="CT109" s="83">
        <v>1.6268600000000001E-2</v>
      </c>
      <c r="CU109" s="83">
        <v>4.5172800000000003E-3</v>
      </c>
      <c r="CV109" s="83">
        <v>9.9498999999999994E-3</v>
      </c>
      <c r="CW109" s="83">
        <v>1.43257E-2</v>
      </c>
      <c r="CX109" s="83">
        <v>4.33067E-3</v>
      </c>
    </row>
    <row r="110" spans="1:102" x14ac:dyDescent="0.2">
      <c r="A110" s="83">
        <v>1.00499E-2</v>
      </c>
      <c r="B110" s="83">
        <v>1.92768E-2</v>
      </c>
      <c r="C110" s="83">
        <v>4.0615099999999999E-3</v>
      </c>
      <c r="D110" s="83">
        <v>1.00499E-2</v>
      </c>
      <c r="E110" s="83">
        <v>2.0863400000000001E-2</v>
      </c>
      <c r="F110" s="83">
        <v>4.1521800000000001E-3</v>
      </c>
      <c r="G110" s="83">
        <v>1.00499E-2</v>
      </c>
      <c r="H110" s="83">
        <v>2.0184500000000001E-2</v>
      </c>
      <c r="I110" s="83">
        <v>4.1189299999999998E-3</v>
      </c>
      <c r="J110" s="83">
        <v>1.00499E-2</v>
      </c>
      <c r="K110" s="83">
        <v>1.9254400000000001E-2</v>
      </c>
      <c r="L110" s="83">
        <v>4.0627600000000003E-3</v>
      </c>
      <c r="M110" s="83">
        <v>1.00499E-2</v>
      </c>
      <c r="N110" s="83">
        <v>1.9352600000000001E-2</v>
      </c>
      <c r="O110" s="83">
        <v>4.1044499999999999E-3</v>
      </c>
      <c r="P110" s="83">
        <v>1.00499E-2</v>
      </c>
      <c r="Q110" s="83">
        <v>2.0645699999999999E-2</v>
      </c>
      <c r="R110" s="83">
        <v>4.2173999999999996E-3</v>
      </c>
      <c r="S110" s="83">
        <v>1.00499E-2</v>
      </c>
      <c r="T110" s="83">
        <v>2.0445100000000001E-2</v>
      </c>
      <c r="U110" s="83">
        <v>4.2695700000000003E-3</v>
      </c>
      <c r="V110" s="83">
        <v>1.00499E-2</v>
      </c>
      <c r="W110" s="83">
        <v>2.0478199999999998E-2</v>
      </c>
      <c r="X110" s="83">
        <v>4.1959700000000003E-3</v>
      </c>
      <c r="Y110" s="83">
        <v>1.00499E-2</v>
      </c>
      <c r="Z110" s="83">
        <v>2.0081700000000001E-2</v>
      </c>
      <c r="AA110" s="83">
        <v>4.2766699999999998E-3</v>
      </c>
      <c r="AB110" s="83">
        <v>1.00499E-2</v>
      </c>
      <c r="AC110" s="83">
        <v>2.0166400000000001E-2</v>
      </c>
      <c r="AD110" s="83">
        <v>4.1916399999999999E-3</v>
      </c>
      <c r="AE110" s="83">
        <v>1.00499E-2</v>
      </c>
      <c r="AF110" s="83">
        <v>1.9577500000000001E-2</v>
      </c>
      <c r="AG110" s="83">
        <v>4.2327800000000002E-3</v>
      </c>
      <c r="AH110" s="83">
        <v>1.00499E-2</v>
      </c>
      <c r="AI110" s="83">
        <v>1.7944600000000002E-2</v>
      </c>
      <c r="AJ110" s="83">
        <v>4.1572199999999997E-3</v>
      </c>
      <c r="AK110" s="83">
        <v>1.00499E-2</v>
      </c>
      <c r="AL110" s="83">
        <v>1.8423200000000001E-2</v>
      </c>
      <c r="AM110" s="83">
        <v>4.1608599999999997E-3</v>
      </c>
      <c r="AN110" s="83">
        <v>1.00499E-2</v>
      </c>
      <c r="AO110" s="83">
        <v>1.92809E-2</v>
      </c>
      <c r="AP110" s="83">
        <v>4.2896599999999998E-3</v>
      </c>
      <c r="AQ110" s="83">
        <v>1.00499E-2</v>
      </c>
      <c r="AR110" s="83">
        <v>1.8673100000000002E-2</v>
      </c>
      <c r="AS110" s="83">
        <v>4.2447600000000002E-3</v>
      </c>
      <c r="AT110" s="83">
        <v>1.00499E-2</v>
      </c>
      <c r="AU110" s="83">
        <v>1.8237699999999999E-2</v>
      </c>
      <c r="AV110" s="83">
        <v>4.1874399999999997E-3</v>
      </c>
      <c r="AW110" s="83">
        <v>1.00499E-2</v>
      </c>
      <c r="AX110" s="83">
        <v>1.7351499999999999E-2</v>
      </c>
      <c r="AY110" s="83">
        <v>4.10239E-3</v>
      </c>
      <c r="AZ110" s="83">
        <v>1.00499E-2</v>
      </c>
      <c r="BA110" s="83">
        <v>1.8291700000000001E-2</v>
      </c>
      <c r="BB110" s="83">
        <v>4.3377499999999996E-3</v>
      </c>
      <c r="BC110" s="83">
        <v>1.00499E-2</v>
      </c>
      <c r="BD110" s="83">
        <v>1.7259199999999999E-2</v>
      </c>
      <c r="BE110" s="83">
        <v>4.2119899999999997E-3</v>
      </c>
      <c r="BF110" s="83">
        <v>1.00499E-2</v>
      </c>
      <c r="BG110" s="83">
        <v>1.6884099999999999E-2</v>
      </c>
      <c r="BH110" s="83">
        <v>4.1177899999999996E-3</v>
      </c>
      <c r="BI110" s="83">
        <v>1.00499E-2</v>
      </c>
      <c r="BJ110" s="83">
        <v>1.6925099999999998E-2</v>
      </c>
      <c r="BK110" s="83">
        <v>4.2043000000000002E-3</v>
      </c>
      <c r="BL110" s="83">
        <v>1.00499E-2</v>
      </c>
      <c r="BM110" s="83">
        <v>1.8525E-2</v>
      </c>
      <c r="BN110" s="83">
        <v>4.2902299999999999E-3</v>
      </c>
      <c r="BO110" s="83">
        <v>1.00499E-2</v>
      </c>
      <c r="BP110" s="83">
        <v>1.7136100000000001E-2</v>
      </c>
      <c r="BQ110" s="83">
        <v>4.22756E-3</v>
      </c>
      <c r="BR110" s="83">
        <v>1.00499E-2</v>
      </c>
      <c r="BS110" s="83">
        <v>1.7124199999999999E-2</v>
      </c>
      <c r="BT110" s="83">
        <v>4.3000800000000004E-3</v>
      </c>
      <c r="BU110" s="83">
        <v>1.00499E-2</v>
      </c>
      <c r="BV110" s="83">
        <v>1.7135399999999999E-2</v>
      </c>
      <c r="BW110" s="83">
        <v>4.29474E-3</v>
      </c>
      <c r="BX110" s="83">
        <v>1.00499E-2</v>
      </c>
      <c r="BY110" s="83">
        <v>1.7464E-2</v>
      </c>
      <c r="BZ110" s="83">
        <v>4.2708399999999997E-3</v>
      </c>
      <c r="CA110" s="83">
        <v>1.00499E-2</v>
      </c>
      <c r="CB110" s="83">
        <v>1.6676199999999999E-2</v>
      </c>
      <c r="CC110" s="83">
        <v>4.1183900000000004E-3</v>
      </c>
      <c r="CD110" s="83">
        <v>1.00499E-2</v>
      </c>
      <c r="CE110" s="83">
        <v>1.6455500000000001E-2</v>
      </c>
      <c r="CF110" s="83">
        <v>4.1316800000000004E-3</v>
      </c>
      <c r="CG110" s="83">
        <v>1.00499E-2</v>
      </c>
      <c r="CH110" s="83">
        <v>1.5658399999999999E-2</v>
      </c>
      <c r="CI110" s="83">
        <v>4.1910300000000001E-3</v>
      </c>
      <c r="CJ110" s="83">
        <v>1.00499E-2</v>
      </c>
      <c r="CK110" s="83">
        <v>1.62776E-2</v>
      </c>
      <c r="CL110" s="83">
        <v>4.2698800000000002E-3</v>
      </c>
      <c r="CM110" s="83">
        <v>1.00499E-2</v>
      </c>
      <c r="CN110" s="83">
        <v>1.5917199999999999E-2</v>
      </c>
      <c r="CO110" s="83">
        <v>4.1781700000000001E-3</v>
      </c>
      <c r="CP110" s="83">
        <v>1.00499E-2</v>
      </c>
      <c r="CQ110" s="83">
        <v>1.50236E-2</v>
      </c>
      <c r="CR110" s="83">
        <v>4.1331700000000002E-3</v>
      </c>
      <c r="CS110" s="83">
        <v>1.00499E-2</v>
      </c>
      <c r="CT110" s="83">
        <v>1.48477E-2</v>
      </c>
      <c r="CU110" s="83">
        <v>4.2877899999999997E-3</v>
      </c>
      <c r="CV110" s="83">
        <v>1.00499E-2</v>
      </c>
      <c r="CW110" s="83">
        <v>1.37202E-2</v>
      </c>
      <c r="CX110" s="83">
        <v>4.0972700000000001E-3</v>
      </c>
    </row>
    <row r="111" spans="1:102" x14ac:dyDescent="0.2">
      <c r="A111" s="83">
        <v>1.01499E-2</v>
      </c>
      <c r="B111" s="83">
        <v>1.8178199999999999E-2</v>
      </c>
      <c r="C111" s="83">
        <v>3.8495999999999999E-3</v>
      </c>
      <c r="D111" s="83">
        <v>1.01499E-2</v>
      </c>
      <c r="E111" s="83">
        <v>1.9247199999999999E-2</v>
      </c>
      <c r="F111" s="83">
        <v>3.94905E-3</v>
      </c>
      <c r="G111" s="83">
        <v>1.01499E-2</v>
      </c>
      <c r="H111" s="83">
        <v>1.8919800000000001E-2</v>
      </c>
      <c r="I111" s="83">
        <v>3.9021300000000002E-3</v>
      </c>
      <c r="J111" s="83">
        <v>1.01499E-2</v>
      </c>
      <c r="K111" s="83">
        <v>1.8331500000000001E-2</v>
      </c>
      <c r="L111" s="83">
        <v>3.8195999999999998E-3</v>
      </c>
      <c r="M111" s="83">
        <v>1.01499E-2</v>
      </c>
      <c r="N111" s="83">
        <v>1.82002E-2</v>
      </c>
      <c r="O111" s="83">
        <v>3.9150000000000001E-3</v>
      </c>
      <c r="P111" s="83">
        <v>1.01499E-2</v>
      </c>
      <c r="Q111" s="83">
        <v>1.9229699999999999E-2</v>
      </c>
      <c r="R111" s="83">
        <v>3.9927900000000004E-3</v>
      </c>
      <c r="S111" s="83">
        <v>1.01499E-2</v>
      </c>
      <c r="T111" s="83">
        <v>1.96004E-2</v>
      </c>
      <c r="U111" s="83">
        <v>4.0303099999999996E-3</v>
      </c>
      <c r="V111" s="83">
        <v>1.01499E-2</v>
      </c>
      <c r="W111" s="83">
        <v>1.8964499999999999E-2</v>
      </c>
      <c r="X111" s="83">
        <v>3.9869900000000002E-3</v>
      </c>
      <c r="Y111" s="83">
        <v>1.01499E-2</v>
      </c>
      <c r="Z111" s="83">
        <v>1.9095299999999999E-2</v>
      </c>
      <c r="AA111" s="83">
        <v>4.0237399999999996E-3</v>
      </c>
      <c r="AB111" s="83">
        <v>1.01499E-2</v>
      </c>
      <c r="AC111" s="83">
        <v>1.9116600000000001E-2</v>
      </c>
      <c r="AD111" s="83">
        <v>3.9601899999999997E-3</v>
      </c>
      <c r="AE111" s="83">
        <v>1.01499E-2</v>
      </c>
      <c r="AF111" s="83">
        <v>1.85863E-2</v>
      </c>
      <c r="AG111" s="83">
        <v>4.0228199999999999E-3</v>
      </c>
      <c r="AH111" s="83">
        <v>1.01499E-2</v>
      </c>
      <c r="AI111" s="83">
        <v>1.7099900000000001E-2</v>
      </c>
      <c r="AJ111" s="83">
        <v>3.8994099999999999E-3</v>
      </c>
      <c r="AK111" s="83">
        <v>1.01499E-2</v>
      </c>
      <c r="AL111" s="83">
        <v>1.7700500000000001E-2</v>
      </c>
      <c r="AM111" s="83">
        <v>3.93722E-3</v>
      </c>
      <c r="AN111" s="83">
        <v>1.01499E-2</v>
      </c>
      <c r="AO111" s="83">
        <v>1.7967400000000001E-2</v>
      </c>
      <c r="AP111" s="83">
        <v>4.08166E-3</v>
      </c>
      <c r="AQ111" s="83">
        <v>1.01499E-2</v>
      </c>
      <c r="AR111" s="83">
        <v>1.7457299999999999E-2</v>
      </c>
      <c r="AS111" s="83">
        <v>4.0172200000000002E-3</v>
      </c>
      <c r="AT111" s="83">
        <v>1.01499E-2</v>
      </c>
      <c r="AU111" s="83">
        <v>1.7861800000000001E-2</v>
      </c>
      <c r="AV111" s="83">
        <v>3.9403700000000003E-3</v>
      </c>
      <c r="AW111" s="83">
        <v>1.01499E-2</v>
      </c>
      <c r="AX111" s="83">
        <v>1.6755800000000001E-2</v>
      </c>
      <c r="AY111" s="83">
        <v>3.8758299999999998E-3</v>
      </c>
      <c r="AZ111" s="83">
        <v>1.01499E-2</v>
      </c>
      <c r="BA111" s="83">
        <v>1.7491E-2</v>
      </c>
      <c r="BB111" s="83">
        <v>4.1111899999999998E-3</v>
      </c>
      <c r="BC111" s="83">
        <v>1.01499E-2</v>
      </c>
      <c r="BD111" s="83">
        <v>1.6429200000000001E-2</v>
      </c>
      <c r="BE111" s="83">
        <v>3.9776200000000003E-3</v>
      </c>
      <c r="BF111" s="83">
        <v>1.01499E-2</v>
      </c>
      <c r="BG111" s="83">
        <v>1.63372E-2</v>
      </c>
      <c r="BH111" s="83">
        <v>3.9205200000000003E-3</v>
      </c>
      <c r="BI111" s="83">
        <v>1.01499E-2</v>
      </c>
      <c r="BJ111" s="83">
        <v>1.5914299999999999E-2</v>
      </c>
      <c r="BK111" s="83">
        <v>4.0070399999999999E-3</v>
      </c>
      <c r="BL111" s="83">
        <v>1.01499E-2</v>
      </c>
      <c r="BM111" s="83">
        <v>1.71871E-2</v>
      </c>
      <c r="BN111" s="83">
        <v>4.0265600000000002E-3</v>
      </c>
      <c r="BO111" s="83">
        <v>1.01499E-2</v>
      </c>
      <c r="BP111" s="83">
        <v>1.6095999999999999E-2</v>
      </c>
      <c r="BQ111" s="83">
        <v>3.9892800000000004E-3</v>
      </c>
      <c r="BR111" s="83">
        <v>1.01499E-2</v>
      </c>
      <c r="BS111" s="83">
        <v>1.5927899999999998E-2</v>
      </c>
      <c r="BT111" s="83">
        <v>4.0852400000000004E-3</v>
      </c>
      <c r="BU111" s="83">
        <v>1.01499E-2</v>
      </c>
      <c r="BV111" s="83">
        <v>1.63102E-2</v>
      </c>
      <c r="BW111" s="83">
        <v>4.0789199999999998E-3</v>
      </c>
      <c r="BX111" s="83">
        <v>1.01499E-2</v>
      </c>
      <c r="BY111" s="83">
        <v>1.62775E-2</v>
      </c>
      <c r="BZ111" s="83">
        <v>4.0511100000000001E-3</v>
      </c>
      <c r="CA111" s="83">
        <v>1.01499E-2</v>
      </c>
      <c r="CB111" s="83">
        <v>1.5333400000000001E-2</v>
      </c>
      <c r="CC111" s="83">
        <v>3.89281E-3</v>
      </c>
      <c r="CD111" s="83">
        <v>1.01499E-2</v>
      </c>
      <c r="CE111" s="83">
        <v>1.51518E-2</v>
      </c>
      <c r="CF111" s="83">
        <v>3.9187900000000001E-3</v>
      </c>
      <c r="CG111" s="83">
        <v>1.01499E-2</v>
      </c>
      <c r="CH111" s="83">
        <v>1.48869E-2</v>
      </c>
      <c r="CI111" s="83">
        <v>3.9253999999999999E-3</v>
      </c>
      <c r="CJ111" s="83">
        <v>1.01499E-2</v>
      </c>
      <c r="CK111" s="83">
        <v>1.51009E-2</v>
      </c>
      <c r="CL111" s="83">
        <v>4.0364800000000003E-3</v>
      </c>
      <c r="CM111" s="83">
        <v>1.01499E-2</v>
      </c>
      <c r="CN111" s="83">
        <v>1.45646E-2</v>
      </c>
      <c r="CO111" s="83">
        <v>3.93794E-3</v>
      </c>
      <c r="CP111" s="83">
        <v>1.01499E-2</v>
      </c>
      <c r="CQ111" s="83">
        <v>1.44034E-2</v>
      </c>
      <c r="CR111" s="83">
        <v>3.9027100000000002E-3</v>
      </c>
      <c r="CS111" s="83">
        <v>1.01499E-2</v>
      </c>
      <c r="CT111" s="83">
        <v>1.4042000000000001E-2</v>
      </c>
      <c r="CU111" s="83">
        <v>4.0485299999999998E-3</v>
      </c>
      <c r="CV111" s="83">
        <v>1.01499E-2</v>
      </c>
      <c r="CW111" s="83">
        <v>1.2475099999999999E-2</v>
      </c>
      <c r="CX111" s="83">
        <v>3.88047E-3</v>
      </c>
    </row>
    <row r="112" spans="1:102" x14ac:dyDescent="0.2">
      <c r="A112" s="83">
        <v>1.0249899999999999E-2</v>
      </c>
      <c r="B112" s="83">
        <v>1.67963E-2</v>
      </c>
      <c r="C112" s="83">
        <v>3.6249899999999998E-3</v>
      </c>
      <c r="D112" s="83">
        <v>1.0249899999999999E-2</v>
      </c>
      <c r="E112" s="83">
        <v>1.8256000000000001E-2</v>
      </c>
      <c r="F112" s="83">
        <v>3.7185899999999999E-3</v>
      </c>
      <c r="G112" s="83">
        <v>1.0249899999999999E-2</v>
      </c>
      <c r="H112" s="83">
        <v>1.8079999999999999E-2</v>
      </c>
      <c r="I112" s="83">
        <v>3.7263499999999998E-3</v>
      </c>
      <c r="J112" s="83">
        <v>1.0249899999999999E-2</v>
      </c>
      <c r="K112" s="83">
        <v>1.6964300000000002E-2</v>
      </c>
      <c r="L112" s="83">
        <v>3.6164700000000001E-3</v>
      </c>
      <c r="M112" s="83">
        <v>1.0249899999999999E-2</v>
      </c>
      <c r="N112" s="83">
        <v>1.66572E-2</v>
      </c>
      <c r="O112" s="83">
        <v>3.6806199999999999E-3</v>
      </c>
      <c r="P112" s="83">
        <v>1.0249899999999999E-2</v>
      </c>
      <c r="Q112" s="83">
        <v>1.7935699999999999E-2</v>
      </c>
      <c r="R112" s="83">
        <v>3.7740400000000002E-3</v>
      </c>
      <c r="S112" s="83">
        <v>1.0249899999999999E-2</v>
      </c>
      <c r="T112" s="83">
        <v>1.8379699999999999E-2</v>
      </c>
      <c r="U112" s="83">
        <v>3.8115599999999999E-3</v>
      </c>
      <c r="V112" s="83">
        <v>1.0249899999999999E-2</v>
      </c>
      <c r="W112" s="83">
        <v>1.77877E-2</v>
      </c>
      <c r="X112" s="83">
        <v>3.78875E-3</v>
      </c>
      <c r="Y112" s="83">
        <v>1.0249899999999999E-2</v>
      </c>
      <c r="Z112" s="83">
        <v>1.7444999999999999E-2</v>
      </c>
      <c r="AA112" s="83">
        <v>3.8157299999999998E-3</v>
      </c>
      <c r="AB112" s="83">
        <v>1.0249899999999999E-2</v>
      </c>
      <c r="AC112" s="83">
        <v>1.7856899999999998E-2</v>
      </c>
      <c r="AD112" s="83">
        <v>3.75121E-3</v>
      </c>
      <c r="AE112" s="83">
        <v>1.0249899999999999E-2</v>
      </c>
      <c r="AF112" s="83">
        <v>1.7267999999999999E-2</v>
      </c>
      <c r="AG112" s="83">
        <v>3.7845399999999999E-3</v>
      </c>
      <c r="AH112" s="83">
        <v>1.0249899999999999E-2</v>
      </c>
      <c r="AI112" s="83">
        <v>1.5576400000000001E-2</v>
      </c>
      <c r="AJ112" s="83">
        <v>3.7333900000000001E-3</v>
      </c>
      <c r="AK112" s="83">
        <v>1.0249899999999999E-2</v>
      </c>
      <c r="AL112" s="83">
        <v>1.6059899999999998E-2</v>
      </c>
      <c r="AM112" s="83">
        <v>3.6999200000000002E-3</v>
      </c>
      <c r="AN112" s="83">
        <v>1.0249899999999999E-2</v>
      </c>
      <c r="AO112" s="83">
        <v>1.6683199999999999E-2</v>
      </c>
      <c r="AP112" s="83">
        <v>3.8570499999999999E-3</v>
      </c>
      <c r="AQ112" s="83">
        <v>1.0249899999999999E-2</v>
      </c>
      <c r="AR112" s="83">
        <v>1.60754E-2</v>
      </c>
      <c r="AS112" s="83">
        <v>3.7896800000000001E-3</v>
      </c>
      <c r="AT112" s="83">
        <v>1.0249899999999999E-2</v>
      </c>
      <c r="AU112" s="83">
        <v>1.6089300000000001E-2</v>
      </c>
      <c r="AV112" s="83">
        <v>3.7362699999999999E-3</v>
      </c>
      <c r="AW112" s="83">
        <v>1.0249899999999999E-2</v>
      </c>
      <c r="AX112" s="83">
        <v>1.62431E-2</v>
      </c>
      <c r="AY112" s="83">
        <v>3.66001E-3</v>
      </c>
      <c r="AZ112" s="83">
        <v>1.0249899999999999E-2</v>
      </c>
      <c r="BA112" s="83">
        <v>1.6407000000000001E-2</v>
      </c>
      <c r="BB112" s="83">
        <v>3.8660700000000001E-3</v>
      </c>
      <c r="BC112" s="83">
        <v>1.0249899999999999E-2</v>
      </c>
      <c r="BD112" s="83">
        <v>1.5750400000000001E-2</v>
      </c>
      <c r="BE112" s="83">
        <v>3.7627699999999999E-3</v>
      </c>
      <c r="BF112" s="83">
        <v>1.0249899999999999E-2</v>
      </c>
      <c r="BG112" s="83">
        <v>1.54827E-2</v>
      </c>
      <c r="BH112" s="83">
        <v>3.7222800000000001E-3</v>
      </c>
      <c r="BI112" s="83">
        <v>1.0249899999999999E-2</v>
      </c>
      <c r="BJ112" s="83">
        <v>1.51672E-2</v>
      </c>
      <c r="BK112" s="83">
        <v>3.7843799999999999E-3</v>
      </c>
      <c r="BL112" s="83">
        <v>1.0249899999999999E-2</v>
      </c>
      <c r="BM112" s="83">
        <v>1.60397E-2</v>
      </c>
      <c r="BN112" s="83">
        <v>3.8302700000000002E-3</v>
      </c>
      <c r="BO112" s="83">
        <v>1.0249899999999999E-2</v>
      </c>
      <c r="BP112" s="83">
        <v>1.4997399999999999E-2</v>
      </c>
      <c r="BQ112" s="83">
        <v>3.7959199999999999E-3</v>
      </c>
      <c r="BR112" s="83">
        <v>1.0249899999999999E-2</v>
      </c>
      <c r="BS112" s="83">
        <v>1.4526600000000001E-2</v>
      </c>
      <c r="BT112" s="83">
        <v>3.8567200000000001E-3</v>
      </c>
      <c r="BU112" s="83">
        <v>1.0249899999999999E-2</v>
      </c>
      <c r="BV112" s="83">
        <v>1.5148099999999999E-2</v>
      </c>
      <c r="BW112" s="83">
        <v>3.85235E-3</v>
      </c>
      <c r="BX112" s="83">
        <v>1.0249899999999999E-2</v>
      </c>
      <c r="BY112" s="83">
        <v>1.4973800000000001E-2</v>
      </c>
      <c r="BZ112" s="83">
        <v>3.8079500000000001E-3</v>
      </c>
      <c r="CA112" s="83">
        <v>1.0249899999999999E-2</v>
      </c>
      <c r="CB112" s="83">
        <v>1.4337300000000001E-2</v>
      </c>
      <c r="CC112" s="83">
        <v>3.6721100000000001E-3</v>
      </c>
      <c r="CD112" s="83">
        <v>1.0249899999999999E-2</v>
      </c>
      <c r="CE112" s="83">
        <v>1.4209400000000001E-2</v>
      </c>
      <c r="CF112" s="83">
        <v>3.6990600000000001E-3</v>
      </c>
      <c r="CG112" s="83">
        <v>1.0249899999999999E-2</v>
      </c>
      <c r="CH112" s="83">
        <v>1.41692E-2</v>
      </c>
      <c r="CI112" s="83">
        <v>3.7164199999999998E-3</v>
      </c>
      <c r="CJ112" s="83">
        <v>1.0249899999999999E-2</v>
      </c>
      <c r="CK112" s="83">
        <v>1.4104800000000001E-2</v>
      </c>
      <c r="CL112" s="83">
        <v>3.7884300000000002E-3</v>
      </c>
      <c r="CM112" s="83">
        <v>1.0249899999999999E-2</v>
      </c>
      <c r="CN112" s="83">
        <v>1.38762E-2</v>
      </c>
      <c r="CO112" s="83">
        <v>3.7250500000000001E-3</v>
      </c>
      <c r="CP112" s="83">
        <v>1.0249899999999999E-2</v>
      </c>
      <c r="CQ112" s="83">
        <v>1.3807699999999999E-2</v>
      </c>
      <c r="CR112" s="83">
        <v>3.7015300000000002E-3</v>
      </c>
      <c r="CS112" s="83">
        <v>1.0249899999999999E-2</v>
      </c>
      <c r="CT112" s="83">
        <v>1.3358399999999999E-2</v>
      </c>
      <c r="CU112" s="83">
        <v>3.8551700000000002E-3</v>
      </c>
      <c r="CV112" s="83">
        <v>1.0249899999999999E-2</v>
      </c>
      <c r="CW112" s="83">
        <v>1.1982E-2</v>
      </c>
      <c r="CX112" s="83">
        <v>3.6822299999999999E-3</v>
      </c>
    </row>
    <row r="113" spans="1:102" x14ac:dyDescent="0.2">
      <c r="A113" s="83">
        <v>1.03499E-2</v>
      </c>
      <c r="B113" s="83">
        <v>1.5766100000000002E-2</v>
      </c>
      <c r="C113" s="83">
        <v>3.4267500000000001E-3</v>
      </c>
      <c r="D113" s="83">
        <v>1.03499E-2</v>
      </c>
      <c r="E113" s="83">
        <v>1.6376100000000001E-2</v>
      </c>
      <c r="F113" s="83">
        <v>3.5135100000000001E-3</v>
      </c>
      <c r="G113" s="83">
        <v>1.03499E-2</v>
      </c>
      <c r="H113" s="83">
        <v>1.6868999999999999E-2</v>
      </c>
      <c r="I113" s="83">
        <v>3.50272E-3</v>
      </c>
      <c r="J113" s="83">
        <v>1.03499E-2</v>
      </c>
      <c r="K113" s="83">
        <v>1.6529800000000001E-2</v>
      </c>
      <c r="L113" s="83">
        <v>3.4240899999999999E-3</v>
      </c>
      <c r="M113" s="83">
        <v>1.03499E-2</v>
      </c>
      <c r="N113" s="83">
        <v>1.59492E-2</v>
      </c>
      <c r="O113" s="83">
        <v>3.4696800000000002E-3</v>
      </c>
      <c r="P113" s="83">
        <v>1.03499E-2</v>
      </c>
      <c r="Q113" s="83">
        <v>1.6719899999999999E-2</v>
      </c>
      <c r="R113" s="83">
        <v>3.5621300000000002E-3</v>
      </c>
      <c r="S113" s="83">
        <v>1.03499E-2</v>
      </c>
      <c r="T113" s="83">
        <v>1.7154099999999999E-2</v>
      </c>
      <c r="U113" s="83">
        <v>3.6387099999999999E-3</v>
      </c>
      <c r="V113" s="83">
        <v>1.03499E-2</v>
      </c>
      <c r="W113" s="83">
        <v>1.6943E-2</v>
      </c>
      <c r="X113" s="83">
        <v>3.53777E-3</v>
      </c>
      <c r="Y113" s="83">
        <v>1.03499E-2</v>
      </c>
      <c r="Z113" s="83">
        <v>1.6878500000000001E-2</v>
      </c>
      <c r="AA113" s="83">
        <v>3.6204200000000001E-3</v>
      </c>
      <c r="AB113" s="83">
        <v>1.03499E-2</v>
      </c>
      <c r="AC113" s="83">
        <v>1.6577600000000001E-2</v>
      </c>
      <c r="AD113" s="83">
        <v>3.5588299999999998E-3</v>
      </c>
      <c r="AE113" s="83">
        <v>1.03499E-2</v>
      </c>
      <c r="AF113" s="83">
        <v>1.6740600000000001E-2</v>
      </c>
      <c r="AG113" s="83">
        <v>3.5941100000000002E-3</v>
      </c>
      <c r="AH113" s="83">
        <v>1.03499E-2</v>
      </c>
      <c r="AI113" s="83">
        <v>1.4805E-2</v>
      </c>
      <c r="AJ113" s="83">
        <v>3.5224499999999999E-3</v>
      </c>
      <c r="AK113" s="83">
        <v>1.03499E-2</v>
      </c>
      <c r="AL113" s="83">
        <v>1.52836E-2</v>
      </c>
      <c r="AM113" s="83">
        <v>3.51046E-3</v>
      </c>
      <c r="AN113" s="83">
        <v>1.03499E-2</v>
      </c>
      <c r="AO113" s="83">
        <v>1.5799500000000001E-2</v>
      </c>
      <c r="AP113" s="83">
        <v>3.6558799999999998E-3</v>
      </c>
      <c r="AQ113" s="83">
        <v>1.03499E-2</v>
      </c>
      <c r="AR113" s="83">
        <v>1.53039E-2</v>
      </c>
      <c r="AS113" s="83">
        <v>3.5982700000000002E-3</v>
      </c>
      <c r="AT113" s="83">
        <v>1.03499E-2</v>
      </c>
      <c r="AU113" s="83">
        <v>1.5381300000000001E-2</v>
      </c>
      <c r="AV113" s="83">
        <v>3.53119E-3</v>
      </c>
      <c r="AW113" s="83">
        <v>1.03499E-2</v>
      </c>
      <c r="AX113" s="83">
        <v>1.46318E-2</v>
      </c>
      <c r="AY113" s="83">
        <v>3.4900899999999999E-3</v>
      </c>
      <c r="AZ113" s="83">
        <v>1.03499E-2</v>
      </c>
      <c r="BA113" s="83">
        <v>1.54451E-2</v>
      </c>
      <c r="BB113" s="83">
        <v>3.6785699999999999E-3</v>
      </c>
      <c r="BC113" s="83">
        <v>1.03499E-2</v>
      </c>
      <c r="BD113" s="83">
        <v>1.45053E-2</v>
      </c>
      <c r="BE113" s="83">
        <v>3.5742999999999999E-3</v>
      </c>
      <c r="BF113" s="83">
        <v>1.03499E-2</v>
      </c>
      <c r="BG113" s="83">
        <v>1.40862E-2</v>
      </c>
      <c r="BH113" s="83">
        <v>3.5123200000000002E-3</v>
      </c>
      <c r="BI113" s="83">
        <v>1.03499E-2</v>
      </c>
      <c r="BJ113" s="83">
        <v>1.38342E-2</v>
      </c>
      <c r="BK113" s="83">
        <v>3.57735E-3</v>
      </c>
      <c r="BL113" s="83">
        <v>1.03499E-2</v>
      </c>
      <c r="BM113" s="83">
        <v>1.49313E-2</v>
      </c>
      <c r="BN113" s="83">
        <v>3.6359299999999999E-3</v>
      </c>
      <c r="BO113" s="83">
        <v>1.03499E-2</v>
      </c>
      <c r="BP113" s="83">
        <v>1.45042E-2</v>
      </c>
      <c r="BQ113" s="83">
        <v>3.5849800000000002E-3</v>
      </c>
      <c r="BR113" s="83">
        <v>1.03499E-2</v>
      </c>
      <c r="BS113" s="83">
        <v>1.32766E-2</v>
      </c>
      <c r="BT113" s="83">
        <v>3.6408999999999999E-3</v>
      </c>
      <c r="BU113" s="83">
        <v>1.03499E-2</v>
      </c>
      <c r="BV113" s="83">
        <v>1.42154E-2</v>
      </c>
      <c r="BW113" s="83">
        <v>3.6423900000000001E-3</v>
      </c>
      <c r="BX113" s="83">
        <v>1.03499E-2</v>
      </c>
      <c r="BY113" s="83">
        <v>1.4368300000000001E-2</v>
      </c>
      <c r="BZ113" s="83">
        <v>3.5628299999999999E-3</v>
      </c>
      <c r="CA113" s="83">
        <v>1.03499E-2</v>
      </c>
      <c r="CB113" s="83">
        <v>1.3595100000000001E-2</v>
      </c>
      <c r="CC113" s="83">
        <v>3.4728900000000002E-3</v>
      </c>
      <c r="CD113" s="83">
        <v>1.03499E-2</v>
      </c>
      <c r="CE113" s="83">
        <v>1.30717E-2</v>
      </c>
      <c r="CF113" s="83">
        <v>3.47445E-3</v>
      </c>
      <c r="CG113" s="83">
        <v>1.03499E-2</v>
      </c>
      <c r="CH113" s="83">
        <v>1.2553E-2</v>
      </c>
      <c r="CI113" s="83">
        <v>3.5289200000000001E-3</v>
      </c>
      <c r="CJ113" s="83">
        <v>1.03499E-2</v>
      </c>
      <c r="CK113" s="83">
        <v>1.3553000000000001E-2</v>
      </c>
      <c r="CL113" s="83">
        <v>3.60386E-3</v>
      </c>
      <c r="CM113" s="83">
        <v>1.03499E-2</v>
      </c>
      <c r="CN113" s="83">
        <v>1.3383000000000001E-2</v>
      </c>
      <c r="CO113" s="83">
        <v>3.5639199999999999E-3</v>
      </c>
      <c r="CP113" s="83">
        <v>1.03499E-2</v>
      </c>
      <c r="CQ113" s="83">
        <v>1.2142699999999999E-2</v>
      </c>
      <c r="CR113" s="83">
        <v>3.49548E-3</v>
      </c>
      <c r="CS113" s="83">
        <v>1.03499E-2</v>
      </c>
      <c r="CT113" s="83">
        <v>1.1825199999999999E-2</v>
      </c>
      <c r="CU113" s="83">
        <v>3.6208E-3</v>
      </c>
      <c r="CV113" s="83">
        <v>1.03499E-2</v>
      </c>
      <c r="CW113" s="83">
        <v>1.1806199999999999E-2</v>
      </c>
      <c r="CX113" s="83">
        <v>3.4830099999999999E-3</v>
      </c>
    </row>
    <row r="114" spans="1:102" x14ac:dyDescent="0.2">
      <c r="A114" s="83">
        <v>1.04499E-2</v>
      </c>
      <c r="B114" s="83">
        <v>1.477E-2</v>
      </c>
      <c r="C114" s="83">
        <v>3.2431600000000001E-3</v>
      </c>
      <c r="D114" s="83">
        <v>1.04499E-2</v>
      </c>
      <c r="E114" s="83">
        <v>1.6029499999999999E-2</v>
      </c>
      <c r="F114" s="83">
        <v>3.34651E-3</v>
      </c>
      <c r="G114" s="83">
        <v>1.04499E-2</v>
      </c>
      <c r="H114" s="83">
        <v>1.5794800000000001E-2</v>
      </c>
      <c r="I114" s="83">
        <v>3.2917799999999998E-3</v>
      </c>
      <c r="J114" s="83">
        <v>1.04499E-2</v>
      </c>
      <c r="K114" s="83">
        <v>1.4757299999999999E-2</v>
      </c>
      <c r="L114" s="83">
        <v>3.2697899999999998E-3</v>
      </c>
      <c r="M114" s="83">
        <v>1.04499E-2</v>
      </c>
      <c r="N114" s="83">
        <v>1.4855500000000001E-2</v>
      </c>
      <c r="O114" s="83">
        <v>3.2831599999999998E-3</v>
      </c>
      <c r="P114" s="83">
        <v>1.04499E-2</v>
      </c>
      <c r="Q114" s="83">
        <v>1.58459E-2</v>
      </c>
      <c r="R114" s="83">
        <v>3.37463E-3</v>
      </c>
      <c r="S114" s="83">
        <v>1.04499E-2</v>
      </c>
      <c r="T114" s="83">
        <v>1.6074999999999999E-2</v>
      </c>
      <c r="U114" s="83">
        <v>3.4189799999999998E-3</v>
      </c>
      <c r="V114" s="83">
        <v>1.04499E-2</v>
      </c>
      <c r="W114" s="83">
        <v>1.55123E-2</v>
      </c>
      <c r="X114" s="83">
        <v>3.3795700000000001E-3</v>
      </c>
      <c r="Y114" s="83">
        <v>1.04499E-2</v>
      </c>
      <c r="Z114" s="83">
        <v>1.5965500000000001E-2</v>
      </c>
      <c r="AA114" s="83">
        <v>3.4104600000000001E-3</v>
      </c>
      <c r="AB114" s="83">
        <v>1.04499E-2</v>
      </c>
      <c r="AC114" s="83">
        <v>1.5269E-2</v>
      </c>
      <c r="AD114" s="83">
        <v>3.3547199999999998E-3</v>
      </c>
      <c r="AE114" s="83">
        <v>1.04499E-2</v>
      </c>
      <c r="AF114" s="83">
        <v>1.55785E-2</v>
      </c>
      <c r="AG114" s="83">
        <v>3.3929400000000001E-3</v>
      </c>
      <c r="AH114" s="83">
        <v>1.04499E-2</v>
      </c>
      <c r="AI114" s="83">
        <v>1.3862599999999999E-2</v>
      </c>
      <c r="AJ114" s="83">
        <v>3.3349500000000002E-3</v>
      </c>
      <c r="AK114" s="83">
        <v>1.04499E-2</v>
      </c>
      <c r="AL114" s="83">
        <v>1.3970099999999999E-2</v>
      </c>
      <c r="AM114" s="83">
        <v>3.3200399999999998E-3</v>
      </c>
      <c r="AN114" s="83">
        <v>1.04499E-2</v>
      </c>
      <c r="AO114" s="83">
        <v>1.5052400000000001E-2</v>
      </c>
      <c r="AP114" s="83">
        <v>3.4625200000000002E-3</v>
      </c>
      <c r="AQ114" s="83">
        <v>1.04499E-2</v>
      </c>
      <c r="AR114" s="83">
        <v>1.3848900000000001E-2</v>
      </c>
      <c r="AS114" s="83">
        <v>3.4000300000000001E-3</v>
      </c>
      <c r="AT114" s="83">
        <v>1.04499E-2</v>
      </c>
      <c r="AU114" s="83">
        <v>1.4023900000000001E-2</v>
      </c>
      <c r="AV114" s="83">
        <v>3.3436899999999999E-3</v>
      </c>
      <c r="AW114" s="83">
        <v>1.04499E-2</v>
      </c>
      <c r="AX114" s="83">
        <v>1.3499000000000001E-2</v>
      </c>
      <c r="AY114" s="83">
        <v>3.31431E-3</v>
      </c>
      <c r="AZ114" s="83">
        <v>1.04499E-2</v>
      </c>
      <c r="BA114" s="83">
        <v>1.42439E-2</v>
      </c>
      <c r="BB114" s="83">
        <v>3.5008399999999999E-3</v>
      </c>
      <c r="BC114" s="83">
        <v>1.04499E-2</v>
      </c>
      <c r="BD114" s="83">
        <v>1.36606E-2</v>
      </c>
      <c r="BE114" s="83">
        <v>3.3526200000000002E-3</v>
      </c>
      <c r="BF114" s="83">
        <v>1.04499E-2</v>
      </c>
      <c r="BG114" s="83">
        <v>1.2836200000000001E-2</v>
      </c>
      <c r="BH114" s="83">
        <v>3.3238400000000002E-3</v>
      </c>
      <c r="BI114" s="83">
        <v>1.04499E-2</v>
      </c>
      <c r="BJ114" s="83">
        <v>1.3145799999999999E-2</v>
      </c>
      <c r="BK114" s="83">
        <v>3.3771500000000002E-3</v>
      </c>
      <c r="BL114" s="83">
        <v>1.04499E-2</v>
      </c>
      <c r="BM114" s="83">
        <v>1.4008400000000001E-2</v>
      </c>
      <c r="BN114" s="83">
        <v>3.4337899999999999E-3</v>
      </c>
      <c r="BO114" s="83">
        <v>1.04499E-2</v>
      </c>
      <c r="BP114" s="83">
        <v>1.31907E-2</v>
      </c>
      <c r="BQ114" s="83">
        <v>3.4033399999999999E-3</v>
      </c>
      <c r="BR114" s="83">
        <v>1.04499E-2</v>
      </c>
      <c r="BS114" s="83">
        <v>1.2793199999999999E-2</v>
      </c>
      <c r="BT114" s="83">
        <v>3.4534000000000001E-3</v>
      </c>
      <c r="BU114" s="83">
        <v>1.04499E-2</v>
      </c>
      <c r="BV114" s="83">
        <v>1.3150999999999999E-2</v>
      </c>
      <c r="BW114" s="83">
        <v>3.4539200000000001E-3</v>
      </c>
      <c r="BX114" s="83">
        <v>1.04499E-2</v>
      </c>
      <c r="BY114" s="83">
        <v>1.3772599999999999E-2</v>
      </c>
      <c r="BZ114" s="83">
        <v>3.3850899999999999E-3</v>
      </c>
      <c r="CA114" s="83">
        <v>1.04499E-2</v>
      </c>
      <c r="CB114" s="83">
        <v>1.29604E-2</v>
      </c>
      <c r="CC114" s="83">
        <v>3.2902700000000001E-3</v>
      </c>
      <c r="CD114" s="83">
        <v>1.04499E-2</v>
      </c>
      <c r="CE114" s="83">
        <v>1.2871499999999999E-2</v>
      </c>
      <c r="CF114" s="83">
        <v>3.2879300000000001E-3</v>
      </c>
      <c r="CG114" s="83">
        <v>1.04499E-2</v>
      </c>
      <c r="CH114" s="83">
        <v>1.21233E-2</v>
      </c>
      <c r="CI114" s="83">
        <v>3.3443499999999998E-3</v>
      </c>
      <c r="CJ114" s="83">
        <v>1.04499E-2</v>
      </c>
      <c r="CK114" s="83">
        <v>1.2796200000000001E-2</v>
      </c>
      <c r="CL114" s="83">
        <v>3.41246E-3</v>
      </c>
      <c r="CM114" s="83">
        <v>1.04499E-2</v>
      </c>
      <c r="CN114" s="83">
        <v>1.26213E-2</v>
      </c>
      <c r="CO114" s="83">
        <v>3.3559100000000001E-3</v>
      </c>
      <c r="CP114" s="83">
        <v>1.04499E-2</v>
      </c>
      <c r="CQ114" s="83">
        <v>1.20597E-2</v>
      </c>
      <c r="CR114" s="83">
        <v>3.2884500000000001E-3</v>
      </c>
      <c r="CS114" s="83">
        <v>1.04499E-2</v>
      </c>
      <c r="CT114" s="83">
        <v>1.15567E-2</v>
      </c>
      <c r="CU114" s="83">
        <v>3.4206000000000002E-3</v>
      </c>
      <c r="CV114" s="83">
        <v>1.04499E-2</v>
      </c>
      <c r="CW114" s="83">
        <v>1.0873600000000001E-2</v>
      </c>
      <c r="CX114" s="83">
        <v>3.2798800000000002E-3</v>
      </c>
    </row>
    <row r="115" spans="1:102" x14ac:dyDescent="0.2">
      <c r="A115" s="83">
        <v>1.0549899999999999E-2</v>
      </c>
      <c r="B115" s="83">
        <v>1.4017999999999999E-2</v>
      </c>
      <c r="C115" s="83">
        <v>3.0644399999999999E-3</v>
      </c>
      <c r="D115" s="83">
        <v>1.0549899999999999E-2</v>
      </c>
      <c r="E115" s="83">
        <v>1.5306800000000001E-2</v>
      </c>
      <c r="F115" s="83">
        <v>3.1648700000000002E-3</v>
      </c>
      <c r="G115" s="83">
        <v>1.0549899999999999E-2</v>
      </c>
      <c r="H115" s="83">
        <v>1.42372E-2</v>
      </c>
      <c r="I115" s="83">
        <v>3.1452899999999998E-3</v>
      </c>
      <c r="J115" s="83">
        <v>1.0549899999999999E-2</v>
      </c>
      <c r="K115" s="83">
        <v>1.3688000000000001E-2</v>
      </c>
      <c r="L115" s="83">
        <v>3.0783899999999999E-3</v>
      </c>
      <c r="M115" s="83">
        <v>1.0549899999999999E-2</v>
      </c>
      <c r="N115" s="83">
        <v>1.37617E-2</v>
      </c>
      <c r="O115" s="83">
        <v>3.09078E-3</v>
      </c>
      <c r="P115" s="83">
        <v>1.0549899999999999E-2</v>
      </c>
      <c r="Q115" s="83">
        <v>1.4981599999999999E-2</v>
      </c>
      <c r="R115" s="83">
        <v>3.1812699999999999E-3</v>
      </c>
      <c r="S115" s="83">
        <v>1.0549899999999999E-2</v>
      </c>
      <c r="T115" s="83">
        <v>1.48299E-2</v>
      </c>
      <c r="U115" s="83">
        <v>3.2510099999999999E-3</v>
      </c>
      <c r="V115" s="83">
        <v>1.0549899999999999E-2</v>
      </c>
      <c r="W115" s="83">
        <v>1.4526000000000001E-2</v>
      </c>
      <c r="X115" s="83">
        <v>3.1940200000000001E-3</v>
      </c>
      <c r="Y115" s="83">
        <v>1.0549899999999999E-2</v>
      </c>
      <c r="Z115" s="83">
        <v>1.49742E-2</v>
      </c>
      <c r="AA115" s="83">
        <v>3.2258899999999999E-3</v>
      </c>
      <c r="AB115" s="83">
        <v>1.0549899999999999E-2</v>
      </c>
      <c r="AC115" s="83">
        <v>1.44242E-2</v>
      </c>
      <c r="AD115" s="83">
        <v>3.1711299999999999E-3</v>
      </c>
      <c r="AE115" s="83">
        <v>1.0549899999999999E-2</v>
      </c>
      <c r="AF115" s="83">
        <v>1.4377300000000001E-2</v>
      </c>
      <c r="AG115" s="83">
        <v>3.2034799999999999E-3</v>
      </c>
      <c r="AH115" s="83">
        <v>1.0549899999999999E-2</v>
      </c>
      <c r="AI115" s="83">
        <v>1.3066700000000001E-2</v>
      </c>
      <c r="AJ115" s="83">
        <v>3.1494100000000001E-3</v>
      </c>
      <c r="AK115" s="83">
        <v>1.0549899999999999E-2</v>
      </c>
      <c r="AL115" s="83">
        <v>1.3350000000000001E-2</v>
      </c>
      <c r="AM115" s="83">
        <v>3.1569499999999999E-3</v>
      </c>
      <c r="AN115" s="83">
        <v>1.0549899999999999E-2</v>
      </c>
      <c r="AO115" s="83">
        <v>1.3899999999999999E-2</v>
      </c>
      <c r="AP115" s="83">
        <v>3.2681799999999999E-3</v>
      </c>
      <c r="AQ115" s="83">
        <v>1.0549899999999999E-2</v>
      </c>
      <c r="AR115" s="83">
        <v>1.30481E-2</v>
      </c>
      <c r="AS115" s="83">
        <v>3.2203399999999999E-3</v>
      </c>
      <c r="AT115" s="83">
        <v>1.0549899999999999E-2</v>
      </c>
      <c r="AU115" s="83">
        <v>1.3096099999999999E-2</v>
      </c>
      <c r="AV115" s="83">
        <v>3.18841E-3</v>
      </c>
      <c r="AW115" s="83">
        <v>1.0549899999999999E-2</v>
      </c>
      <c r="AX115" s="83">
        <v>1.2288E-2</v>
      </c>
      <c r="AY115" s="83">
        <v>3.1385300000000001E-3</v>
      </c>
      <c r="AZ115" s="83">
        <v>1.0549899999999999E-2</v>
      </c>
      <c r="BA115" s="83">
        <v>1.3286900000000001E-2</v>
      </c>
      <c r="BB115" s="83">
        <v>3.2977100000000001E-3</v>
      </c>
      <c r="BC115" s="83">
        <v>1.0549899999999999E-2</v>
      </c>
      <c r="BD115" s="83">
        <v>1.2200600000000001E-2</v>
      </c>
      <c r="BE115" s="83">
        <v>3.1641400000000002E-3</v>
      </c>
      <c r="BF115" s="83">
        <v>1.0549899999999999E-2</v>
      </c>
      <c r="BG115" s="83">
        <v>1.2289400000000001E-2</v>
      </c>
      <c r="BH115" s="83">
        <v>3.1597800000000001E-3</v>
      </c>
      <c r="BI115" s="83">
        <v>1.0549899999999999E-2</v>
      </c>
      <c r="BJ115" s="83">
        <v>1.19934E-2</v>
      </c>
      <c r="BK115" s="83">
        <v>3.2033299999999999E-3</v>
      </c>
      <c r="BL115" s="83">
        <v>1.0549899999999999E-2</v>
      </c>
      <c r="BM115" s="83">
        <v>1.3080700000000001E-2</v>
      </c>
      <c r="BN115" s="83">
        <v>3.23457E-3</v>
      </c>
      <c r="BO115" s="83">
        <v>1.0549899999999999E-2</v>
      </c>
      <c r="BP115" s="83">
        <v>1.26097E-2</v>
      </c>
      <c r="BQ115" s="83">
        <v>3.2080300000000002E-3</v>
      </c>
      <c r="BR115" s="83">
        <v>1.0549899999999999E-2</v>
      </c>
      <c r="BS115" s="83">
        <v>1.2236500000000001E-2</v>
      </c>
      <c r="BT115" s="83">
        <v>3.2580899999999999E-3</v>
      </c>
      <c r="BU115" s="83">
        <v>1.0549899999999999E-2</v>
      </c>
      <c r="BV115" s="83">
        <v>1.2267200000000001E-2</v>
      </c>
      <c r="BW115" s="83">
        <v>3.2830200000000002E-3</v>
      </c>
      <c r="BX115" s="83">
        <v>1.0549899999999999E-2</v>
      </c>
      <c r="BY115" s="83">
        <v>1.29426E-2</v>
      </c>
      <c r="BZ115" s="83">
        <v>3.22982E-3</v>
      </c>
      <c r="CA115" s="83">
        <v>1.0549899999999999E-2</v>
      </c>
      <c r="CB115" s="83">
        <v>1.1861699999999999E-2</v>
      </c>
      <c r="CC115" s="83">
        <v>3.1135099999999999E-3</v>
      </c>
      <c r="CD115" s="83">
        <v>1.0549899999999999E-2</v>
      </c>
      <c r="CE115" s="83">
        <v>1.19633E-2</v>
      </c>
      <c r="CF115" s="83">
        <v>3.1160599999999999E-3</v>
      </c>
      <c r="CG115" s="83">
        <v>1.0549899999999999E-2</v>
      </c>
      <c r="CH115" s="83">
        <v>1.18108E-2</v>
      </c>
      <c r="CI115" s="83">
        <v>3.1714999999999998E-3</v>
      </c>
      <c r="CJ115" s="83">
        <v>1.0549899999999999E-2</v>
      </c>
      <c r="CK115" s="83">
        <v>1.1580399999999999E-2</v>
      </c>
      <c r="CL115" s="83">
        <v>3.2181200000000001E-3</v>
      </c>
      <c r="CM115" s="83">
        <v>1.0549899999999999E-2</v>
      </c>
      <c r="CN115" s="83">
        <v>1.20012E-2</v>
      </c>
      <c r="CO115" s="83">
        <v>3.2006399999999998E-3</v>
      </c>
      <c r="CP115" s="83">
        <v>1.0549899999999999E-2</v>
      </c>
      <c r="CQ115" s="83">
        <v>1.12833E-2</v>
      </c>
      <c r="CR115" s="83">
        <v>3.1156000000000001E-3</v>
      </c>
      <c r="CS115" s="83">
        <v>1.0549899999999999E-2</v>
      </c>
      <c r="CT115" s="83">
        <v>1.1127E-2</v>
      </c>
      <c r="CU115" s="83">
        <v>3.2428700000000001E-3</v>
      </c>
      <c r="CV115" s="83">
        <v>1.0549899999999999E-2</v>
      </c>
      <c r="CW115" s="83">
        <v>1.0097200000000001E-2</v>
      </c>
      <c r="CX115" s="83">
        <v>3.0914100000000002E-3</v>
      </c>
    </row>
    <row r="116" spans="1:102" x14ac:dyDescent="0.2">
      <c r="A116" s="83">
        <v>1.06499E-2</v>
      </c>
      <c r="B116" s="83">
        <v>1.3173300000000001E-2</v>
      </c>
      <c r="C116" s="83">
        <v>2.87499E-3</v>
      </c>
      <c r="D116" s="83">
        <v>1.06499E-2</v>
      </c>
      <c r="E116" s="83">
        <v>1.38859E-2</v>
      </c>
      <c r="F116" s="83">
        <v>2.9764000000000001E-3</v>
      </c>
      <c r="G116" s="83">
        <v>1.06499E-2</v>
      </c>
      <c r="H116" s="83">
        <v>1.37977E-2</v>
      </c>
      <c r="I116" s="83">
        <v>2.9939300000000001E-3</v>
      </c>
      <c r="J116" s="83">
        <v>1.06499E-2</v>
      </c>
      <c r="K116" s="83">
        <v>1.26382E-2</v>
      </c>
      <c r="L116" s="83">
        <v>2.9035799999999998E-3</v>
      </c>
      <c r="M116" s="83">
        <v>1.06499E-2</v>
      </c>
      <c r="N116" s="83">
        <v>1.3302700000000001E-2</v>
      </c>
      <c r="O116" s="83">
        <v>2.92867E-3</v>
      </c>
      <c r="P116" s="83">
        <v>1.06499E-2</v>
      </c>
      <c r="Q116" s="83">
        <v>1.36095E-2</v>
      </c>
      <c r="R116" s="83">
        <v>3.0015799999999998E-3</v>
      </c>
      <c r="S116" s="83">
        <v>1.06499E-2</v>
      </c>
      <c r="T116" s="83">
        <v>1.36775E-2</v>
      </c>
      <c r="U116" s="83">
        <v>3.0508200000000001E-3</v>
      </c>
      <c r="V116" s="83">
        <v>1.06499E-2</v>
      </c>
      <c r="W116" s="83">
        <v>1.38327E-2</v>
      </c>
      <c r="X116" s="83">
        <v>3.0075000000000002E-3</v>
      </c>
      <c r="Y116" s="83">
        <v>1.06499E-2</v>
      </c>
      <c r="Z116" s="83">
        <v>1.39147E-2</v>
      </c>
      <c r="AA116" s="83">
        <v>3.0481499999999999E-3</v>
      </c>
      <c r="AB116" s="83">
        <v>1.06499E-2</v>
      </c>
      <c r="AC116" s="83">
        <v>1.38432E-2</v>
      </c>
      <c r="AD116" s="83">
        <v>2.9933999999999998E-3</v>
      </c>
      <c r="AE116" s="83">
        <v>1.06499E-2</v>
      </c>
      <c r="AF116" s="83">
        <v>1.30102E-2</v>
      </c>
      <c r="AG116" s="83">
        <v>3.0657900000000001E-3</v>
      </c>
      <c r="AH116" s="83">
        <v>1.06499E-2</v>
      </c>
      <c r="AI116" s="83">
        <v>1.25589E-2</v>
      </c>
      <c r="AJ116" s="83">
        <v>2.9775299999999999E-3</v>
      </c>
      <c r="AK116" s="83">
        <v>1.06499E-2</v>
      </c>
      <c r="AL116" s="83">
        <v>1.2182999999999999E-2</v>
      </c>
      <c r="AM116" s="83">
        <v>2.9831200000000001E-3</v>
      </c>
      <c r="AN116" s="83">
        <v>1.06499E-2</v>
      </c>
      <c r="AO116" s="83">
        <v>1.29625E-2</v>
      </c>
      <c r="AP116" s="83">
        <v>3.1002099999999999E-3</v>
      </c>
      <c r="AQ116" s="83">
        <v>1.06499E-2</v>
      </c>
      <c r="AR116" s="83">
        <v>1.27698E-2</v>
      </c>
      <c r="AS116" s="83">
        <v>3.0269799999999999E-3</v>
      </c>
      <c r="AT116" s="83">
        <v>1.06499E-2</v>
      </c>
      <c r="AU116" s="83">
        <v>1.24858E-2</v>
      </c>
      <c r="AV116" s="83">
        <v>2.9862700000000001E-3</v>
      </c>
      <c r="AW116" s="83">
        <v>1.06499E-2</v>
      </c>
      <c r="AX116" s="83">
        <v>1.18242E-2</v>
      </c>
      <c r="AY116" s="83">
        <v>2.9285700000000001E-3</v>
      </c>
      <c r="AZ116" s="83">
        <v>1.06499E-2</v>
      </c>
      <c r="BA116" s="83">
        <v>1.26716E-2</v>
      </c>
      <c r="BB116" s="83">
        <v>3.1189999999999998E-3</v>
      </c>
      <c r="BC116" s="83">
        <v>1.06499E-2</v>
      </c>
      <c r="BD116" s="83">
        <v>1.11655E-2</v>
      </c>
      <c r="BE116" s="83">
        <v>2.97957E-3</v>
      </c>
      <c r="BF116" s="83">
        <v>1.06499E-2</v>
      </c>
      <c r="BG116" s="83">
        <v>1.1635100000000001E-2</v>
      </c>
      <c r="BH116" s="83">
        <v>2.9625200000000002E-3</v>
      </c>
      <c r="BI116" s="83">
        <v>1.06499E-2</v>
      </c>
      <c r="BJ116" s="83">
        <v>1.1554E-2</v>
      </c>
      <c r="BK116" s="83">
        <v>3.0207099999999998E-3</v>
      </c>
      <c r="BL116" s="83">
        <v>1.06499E-2</v>
      </c>
      <c r="BM116" s="83">
        <v>1.20065E-2</v>
      </c>
      <c r="BN116" s="83">
        <v>3.0666000000000001E-3</v>
      </c>
      <c r="BO116" s="83">
        <v>1.06499E-2</v>
      </c>
      <c r="BP116" s="83">
        <v>1.19652E-2</v>
      </c>
      <c r="BQ116" s="83">
        <v>3.0166199999999998E-3</v>
      </c>
      <c r="BR116" s="83">
        <v>1.06499E-2</v>
      </c>
      <c r="BS116" s="83">
        <v>1.14699E-2</v>
      </c>
      <c r="BT116" s="83">
        <v>3.0608300000000001E-3</v>
      </c>
      <c r="BU116" s="83">
        <v>1.06499E-2</v>
      </c>
      <c r="BV116" s="83">
        <v>1.1627500000000001E-2</v>
      </c>
      <c r="BW116" s="83">
        <v>3.0886799999999999E-3</v>
      </c>
      <c r="BX116" s="83">
        <v>1.06499E-2</v>
      </c>
      <c r="BY116" s="83">
        <v>1.1604700000000001E-2</v>
      </c>
      <c r="BZ116" s="83">
        <v>3.0589200000000001E-3</v>
      </c>
      <c r="CA116" s="83">
        <v>1.06499E-2</v>
      </c>
      <c r="CB116" s="83">
        <v>1.14027E-2</v>
      </c>
      <c r="CC116" s="83">
        <v>2.9533599999999999E-3</v>
      </c>
      <c r="CD116" s="83">
        <v>1.06499E-2</v>
      </c>
      <c r="CE116" s="83">
        <v>1.07622E-2</v>
      </c>
      <c r="CF116" s="83">
        <v>2.9598099999999998E-3</v>
      </c>
      <c r="CG116" s="83">
        <v>1.06499E-2</v>
      </c>
      <c r="CH116" s="83">
        <v>1.1014899999999999E-2</v>
      </c>
      <c r="CI116" s="83">
        <v>2.98497E-3</v>
      </c>
      <c r="CJ116" s="83">
        <v>1.06499E-2</v>
      </c>
      <c r="CK116" s="83">
        <v>1.10872E-2</v>
      </c>
      <c r="CL116" s="83">
        <v>3.0316000000000002E-3</v>
      </c>
      <c r="CM116" s="83">
        <v>1.06499E-2</v>
      </c>
      <c r="CN116" s="83">
        <v>1.1283400000000001E-2</v>
      </c>
      <c r="CO116" s="83">
        <v>2.9838400000000002E-3</v>
      </c>
      <c r="CP116" s="83">
        <v>1.06499E-2</v>
      </c>
      <c r="CQ116" s="83">
        <v>1.06388E-2</v>
      </c>
      <c r="CR116" s="83">
        <v>2.9417699999999998E-3</v>
      </c>
      <c r="CS116" s="83">
        <v>1.06499E-2</v>
      </c>
      <c r="CT116" s="83">
        <v>1.00967E-2</v>
      </c>
      <c r="CU116" s="83">
        <v>3.0612299999999999E-3</v>
      </c>
      <c r="CV116" s="83">
        <v>1.06499E-2</v>
      </c>
      <c r="CW116" s="83">
        <v>9.5649700000000008E-3</v>
      </c>
      <c r="CX116" s="83">
        <v>2.9478500000000001E-3</v>
      </c>
    </row>
    <row r="117" spans="1:102" x14ac:dyDescent="0.2">
      <c r="A117" s="83">
        <v>1.07499E-2</v>
      </c>
      <c r="B117" s="83">
        <v>1.21821E-2</v>
      </c>
      <c r="C117" s="83">
        <v>2.7343699999999999E-3</v>
      </c>
      <c r="D117" s="83">
        <v>1.07499E-2</v>
      </c>
      <c r="E117" s="83">
        <v>1.3124200000000001E-2</v>
      </c>
      <c r="F117" s="83">
        <v>2.7869399999999999E-3</v>
      </c>
      <c r="G117" s="83">
        <v>1.07499E-2</v>
      </c>
      <c r="H117" s="83">
        <v>1.26307E-2</v>
      </c>
      <c r="I117" s="83">
        <v>2.8210800000000001E-3</v>
      </c>
      <c r="J117" s="83">
        <v>1.07499E-2</v>
      </c>
      <c r="K117" s="83">
        <v>1.19887E-2</v>
      </c>
      <c r="L117" s="83">
        <v>2.7385399999999998E-3</v>
      </c>
      <c r="M117" s="83">
        <v>1.07499E-2</v>
      </c>
      <c r="N117" s="83">
        <v>1.2223599999999999E-2</v>
      </c>
      <c r="O117" s="83">
        <v>2.74019E-3</v>
      </c>
      <c r="P117" s="83">
        <v>1.07499E-2</v>
      </c>
      <c r="Q117" s="83">
        <v>1.29943E-2</v>
      </c>
      <c r="R117" s="83">
        <v>2.8638800000000001E-3</v>
      </c>
      <c r="S117" s="83">
        <v>1.07499E-2</v>
      </c>
      <c r="T117" s="83">
        <v>1.30428E-2</v>
      </c>
      <c r="U117" s="83">
        <v>2.8867599999999999E-3</v>
      </c>
      <c r="V117" s="83">
        <v>1.07499E-2</v>
      </c>
      <c r="W117" s="83">
        <v>1.2695E-2</v>
      </c>
      <c r="X117" s="83">
        <v>2.85418E-3</v>
      </c>
      <c r="Y117" s="83">
        <v>1.07499E-2</v>
      </c>
      <c r="Z117" s="83">
        <v>1.2493799999999999E-2</v>
      </c>
      <c r="AA117" s="83">
        <v>2.8733500000000002E-3</v>
      </c>
      <c r="AB117" s="83">
        <v>1.07499E-2</v>
      </c>
      <c r="AC117" s="83">
        <v>1.23149E-2</v>
      </c>
      <c r="AD117" s="83">
        <v>2.8254299999999999E-3</v>
      </c>
      <c r="AE117" s="83">
        <v>1.07499E-2</v>
      </c>
      <c r="AF117" s="83">
        <v>1.21557E-2</v>
      </c>
      <c r="AG117" s="83">
        <v>2.8655899999999999E-3</v>
      </c>
      <c r="AH117" s="83">
        <v>1.07499E-2</v>
      </c>
      <c r="AI117" s="83">
        <v>1.1367499999999999E-2</v>
      </c>
      <c r="AJ117" s="83">
        <v>2.81249E-3</v>
      </c>
      <c r="AK117" s="83">
        <v>1.07499E-2</v>
      </c>
      <c r="AL117" s="83">
        <v>1.1250400000000001E-2</v>
      </c>
      <c r="AM117" s="83">
        <v>2.7995300000000002E-3</v>
      </c>
      <c r="AN117" s="83">
        <v>1.07499E-2</v>
      </c>
      <c r="AO117" s="83">
        <v>1.25573E-2</v>
      </c>
      <c r="AP117" s="83">
        <v>2.91662E-3</v>
      </c>
      <c r="AQ117" s="83">
        <v>1.07499E-2</v>
      </c>
      <c r="AR117" s="83">
        <v>1.1407499999999999E-2</v>
      </c>
      <c r="AS117" s="83">
        <v>2.8707300000000002E-3</v>
      </c>
      <c r="AT117" s="83">
        <v>1.07499E-2</v>
      </c>
      <c r="AU117" s="83">
        <v>1.1143E-2</v>
      </c>
      <c r="AV117" s="83">
        <v>2.8319700000000001E-3</v>
      </c>
      <c r="AW117" s="83">
        <v>1.07499E-2</v>
      </c>
      <c r="AX117" s="83">
        <v>1.1228500000000001E-2</v>
      </c>
      <c r="AY117" s="83">
        <v>2.7498499999999999E-3</v>
      </c>
      <c r="AZ117" s="83">
        <v>1.07499E-2</v>
      </c>
      <c r="BA117" s="83">
        <v>1.1158E-2</v>
      </c>
      <c r="BB117" s="83">
        <v>2.9471300000000001E-3</v>
      </c>
      <c r="BC117" s="83">
        <v>1.07499E-2</v>
      </c>
      <c r="BD117" s="83">
        <v>1.10727E-2</v>
      </c>
      <c r="BE117" s="83">
        <v>2.81453E-3</v>
      </c>
      <c r="BF117" s="83">
        <v>1.07499E-2</v>
      </c>
      <c r="BG117" s="83">
        <v>1.1356700000000001E-2</v>
      </c>
      <c r="BH117" s="83">
        <v>2.7974800000000002E-3</v>
      </c>
      <c r="BI117" s="83">
        <v>1.07499E-2</v>
      </c>
      <c r="BJ117" s="83">
        <v>1.09534E-2</v>
      </c>
      <c r="BK117" s="83">
        <v>2.8419999999999999E-3</v>
      </c>
      <c r="BL117" s="83">
        <v>1.07499E-2</v>
      </c>
      <c r="BM117" s="83">
        <v>1.1601200000000001E-2</v>
      </c>
      <c r="BN117" s="83">
        <v>2.8849600000000002E-3</v>
      </c>
      <c r="BO117" s="83">
        <v>1.07499E-2</v>
      </c>
      <c r="BP117" s="83">
        <v>1.0973999999999999E-2</v>
      </c>
      <c r="BQ117" s="83">
        <v>2.8760000000000001E-3</v>
      </c>
      <c r="BR117" s="83">
        <v>1.07499E-2</v>
      </c>
      <c r="BS117" s="83">
        <v>1.0444500000000001E-2</v>
      </c>
      <c r="BT117" s="83">
        <v>2.88602E-3</v>
      </c>
      <c r="BU117" s="83">
        <v>1.07499E-2</v>
      </c>
      <c r="BV117" s="83">
        <v>1.11637E-2</v>
      </c>
      <c r="BW117" s="83">
        <v>2.9090000000000001E-3</v>
      </c>
      <c r="BX117" s="83">
        <v>1.07499E-2</v>
      </c>
      <c r="BY117" s="83">
        <v>1.1448399999999999E-2</v>
      </c>
      <c r="BZ117" s="83">
        <v>2.8909500000000002E-3</v>
      </c>
      <c r="CA117" s="83">
        <v>1.07499E-2</v>
      </c>
      <c r="CB117" s="83">
        <v>1.0968200000000001E-2</v>
      </c>
      <c r="CC117" s="83">
        <v>2.7863599999999999E-3</v>
      </c>
      <c r="CD117" s="83">
        <v>1.07499E-2</v>
      </c>
      <c r="CE117" s="83">
        <v>1.05034E-2</v>
      </c>
      <c r="CF117" s="83">
        <v>2.8025799999999998E-3</v>
      </c>
      <c r="CG117" s="83">
        <v>1.07499E-2</v>
      </c>
      <c r="CH117" s="83">
        <v>9.7160400000000004E-3</v>
      </c>
      <c r="CI117" s="83">
        <v>2.83556E-3</v>
      </c>
      <c r="CJ117" s="83">
        <v>1.07499E-2</v>
      </c>
      <c r="CK117" s="83">
        <v>1.08968E-2</v>
      </c>
      <c r="CL117" s="83">
        <v>2.8636299999999998E-3</v>
      </c>
      <c r="CM117" s="83">
        <v>1.07499E-2</v>
      </c>
      <c r="CN117" s="83">
        <v>1.0594900000000001E-2</v>
      </c>
      <c r="CO117" s="83">
        <v>2.8090300000000001E-3</v>
      </c>
      <c r="CP117" s="83">
        <v>1.07499E-2</v>
      </c>
      <c r="CQ117" s="83">
        <v>9.5157499999999999E-3</v>
      </c>
      <c r="CR117" s="83">
        <v>2.77868E-3</v>
      </c>
      <c r="CS117" s="83">
        <v>1.07499E-2</v>
      </c>
      <c r="CT117" s="83">
        <v>9.2568700000000004E-3</v>
      </c>
      <c r="CU117" s="83">
        <v>2.86396E-3</v>
      </c>
      <c r="CV117" s="83">
        <v>1.07499E-2</v>
      </c>
      <c r="CW117" s="83">
        <v>9.17923E-3</v>
      </c>
      <c r="CX117" s="83">
        <v>2.75742E-3</v>
      </c>
    </row>
    <row r="118" spans="1:102" x14ac:dyDescent="0.2">
      <c r="A118" s="83">
        <v>1.0849900000000001E-2</v>
      </c>
      <c r="B118" s="83">
        <v>1.16743E-2</v>
      </c>
      <c r="C118" s="83">
        <v>2.5615099999999999E-3</v>
      </c>
      <c r="D118" s="83">
        <v>1.0849900000000001E-2</v>
      </c>
      <c r="E118" s="83">
        <v>1.1659299999999999E-2</v>
      </c>
      <c r="F118" s="83">
        <v>2.6521800000000001E-3</v>
      </c>
      <c r="G118" s="83">
        <v>1.0849900000000001E-2</v>
      </c>
      <c r="H118" s="83">
        <v>1.1693200000000001E-2</v>
      </c>
      <c r="I118" s="83">
        <v>2.6482200000000002E-3</v>
      </c>
      <c r="J118" s="83">
        <v>1.0849900000000001E-2</v>
      </c>
      <c r="K118" s="83">
        <v>1.14565E-2</v>
      </c>
      <c r="L118" s="83">
        <v>2.58034E-3</v>
      </c>
      <c r="M118" s="83">
        <v>1.0849900000000001E-2</v>
      </c>
      <c r="N118" s="83">
        <v>1.11299E-2</v>
      </c>
      <c r="O118" s="83">
        <v>2.5898000000000002E-3</v>
      </c>
      <c r="P118" s="83">
        <v>1.0849900000000001E-2</v>
      </c>
      <c r="Q118" s="83">
        <v>1.1954299999999999E-2</v>
      </c>
      <c r="R118" s="83">
        <v>2.7056799999999998E-3</v>
      </c>
      <c r="S118" s="83">
        <v>1.0849900000000001E-2</v>
      </c>
      <c r="T118" s="83">
        <v>1.2256599999999999E-2</v>
      </c>
      <c r="U118" s="83">
        <v>2.7314800000000001E-3</v>
      </c>
      <c r="V118" s="83">
        <v>1.0849900000000001E-2</v>
      </c>
      <c r="W118" s="83">
        <v>1.17868E-2</v>
      </c>
      <c r="X118" s="83">
        <v>2.6842599999999999E-3</v>
      </c>
      <c r="Y118" s="83">
        <v>1.0849900000000001E-2</v>
      </c>
      <c r="Z118" s="83">
        <v>1.20153E-2</v>
      </c>
      <c r="AA118" s="83">
        <v>2.7131899999999999E-3</v>
      </c>
      <c r="AB118" s="83">
        <v>1.0849900000000001E-2</v>
      </c>
      <c r="AC118" s="83">
        <v>1.19291E-2</v>
      </c>
      <c r="AD118" s="83">
        <v>2.66234E-3</v>
      </c>
      <c r="AE118" s="83">
        <v>1.0849900000000001E-2</v>
      </c>
      <c r="AF118" s="83">
        <v>1.14965E-2</v>
      </c>
      <c r="AG118" s="83">
        <v>2.6878599999999998E-3</v>
      </c>
      <c r="AH118" s="83">
        <v>1.0849900000000001E-2</v>
      </c>
      <c r="AI118" s="83">
        <v>1.04788E-2</v>
      </c>
      <c r="AJ118" s="83">
        <v>2.6562399999999998E-3</v>
      </c>
      <c r="AK118" s="83">
        <v>1.0849900000000001E-2</v>
      </c>
      <c r="AL118" s="83">
        <v>1.0918300000000001E-2</v>
      </c>
      <c r="AM118" s="83">
        <v>2.6315599999999998E-3</v>
      </c>
      <c r="AN118" s="83">
        <v>1.0849900000000001E-2</v>
      </c>
      <c r="AO118" s="83">
        <v>1.11608E-2</v>
      </c>
      <c r="AP118" s="83">
        <v>2.7613400000000001E-3</v>
      </c>
      <c r="AQ118" s="83">
        <v>1.0849900000000001E-2</v>
      </c>
      <c r="AR118" s="83">
        <v>1.08948E-2</v>
      </c>
      <c r="AS118" s="83">
        <v>2.7164400000000001E-3</v>
      </c>
      <c r="AT118" s="83">
        <v>1.0849900000000001E-2</v>
      </c>
      <c r="AU118" s="83">
        <v>1.0859799999999999E-2</v>
      </c>
      <c r="AV118" s="83">
        <v>2.6815799999999998E-3</v>
      </c>
      <c r="AW118" s="83">
        <v>1.0849900000000001E-2</v>
      </c>
      <c r="AX118" s="83">
        <v>9.9198800000000007E-3</v>
      </c>
      <c r="AY118" s="83">
        <v>2.5965300000000001E-3</v>
      </c>
      <c r="AZ118" s="83">
        <v>1.0849900000000001E-2</v>
      </c>
      <c r="BA118" s="83">
        <v>1.05232E-2</v>
      </c>
      <c r="BB118" s="83">
        <v>2.7713400000000002E-3</v>
      </c>
      <c r="BC118" s="83">
        <v>1.0849900000000001E-2</v>
      </c>
      <c r="BD118" s="83">
        <v>1.02378E-2</v>
      </c>
      <c r="BE118" s="83">
        <v>2.6612099999999998E-3</v>
      </c>
      <c r="BF118" s="83">
        <v>1.0849900000000001E-2</v>
      </c>
      <c r="BG118" s="83">
        <v>1.12005E-2</v>
      </c>
      <c r="BH118" s="83">
        <v>2.6324400000000002E-3</v>
      </c>
      <c r="BI118" s="83">
        <v>1.0849900000000001E-2</v>
      </c>
      <c r="BJ118" s="83">
        <v>1.02063E-2</v>
      </c>
      <c r="BK118" s="83">
        <v>2.7033299999999999E-3</v>
      </c>
      <c r="BL118" s="83">
        <v>1.0849900000000001E-2</v>
      </c>
      <c r="BM118" s="83">
        <v>1.11275E-2</v>
      </c>
      <c r="BN118" s="83">
        <v>2.7169899999999999E-3</v>
      </c>
      <c r="BO118" s="83">
        <v>1.0849900000000001E-2</v>
      </c>
      <c r="BP118" s="83">
        <v>1.0007200000000001E-2</v>
      </c>
      <c r="BQ118" s="83">
        <v>2.6963099999999999E-3</v>
      </c>
      <c r="BR118" s="83">
        <v>1.0849900000000001E-2</v>
      </c>
      <c r="BS118" s="83">
        <v>9.8195299999999999E-3</v>
      </c>
      <c r="BT118" s="83">
        <v>2.7453999999999998E-3</v>
      </c>
      <c r="BU118" s="83">
        <v>1.0849900000000001E-2</v>
      </c>
      <c r="BV118" s="83">
        <v>1.02799E-2</v>
      </c>
      <c r="BW118" s="83">
        <v>2.7673900000000002E-3</v>
      </c>
      <c r="BX118" s="83">
        <v>1.0849900000000001E-2</v>
      </c>
      <c r="BY118" s="83">
        <v>1.0618300000000001E-2</v>
      </c>
      <c r="BZ118" s="83">
        <v>2.7171299999999999E-3</v>
      </c>
      <c r="CA118" s="83">
        <v>1.0849900000000001E-2</v>
      </c>
      <c r="CB118" s="83">
        <v>1.00404E-2</v>
      </c>
      <c r="CC118" s="83">
        <v>2.6320699999999998E-3</v>
      </c>
      <c r="CD118" s="83">
        <v>1.0849900000000001E-2</v>
      </c>
      <c r="CE118" s="83">
        <v>9.3510199999999998E-3</v>
      </c>
      <c r="CF118" s="83">
        <v>2.6170299999999998E-3</v>
      </c>
      <c r="CG118" s="83">
        <v>1.0849900000000001E-2</v>
      </c>
      <c r="CH118" s="83">
        <v>9.6476800000000005E-3</v>
      </c>
      <c r="CI118" s="83">
        <v>2.6636799999999999E-3</v>
      </c>
      <c r="CJ118" s="83">
        <v>1.0849900000000001E-2</v>
      </c>
      <c r="CK118" s="83">
        <v>1.0222999999999999E-2</v>
      </c>
      <c r="CL118" s="83">
        <v>2.7093299999999998E-3</v>
      </c>
      <c r="CM118" s="83">
        <v>1.0849900000000001E-2</v>
      </c>
      <c r="CN118" s="83">
        <v>9.3400299999999992E-3</v>
      </c>
      <c r="CO118" s="83">
        <v>2.65767E-3</v>
      </c>
      <c r="CP118" s="83">
        <v>1.0849900000000001E-2</v>
      </c>
      <c r="CQ118" s="83">
        <v>9.05188E-3</v>
      </c>
      <c r="CR118" s="83">
        <v>2.5960699999999998E-3</v>
      </c>
      <c r="CS118" s="83">
        <v>1.0849900000000001E-2</v>
      </c>
      <c r="CT118" s="83">
        <v>9.1006200000000002E-3</v>
      </c>
      <c r="CU118" s="83">
        <v>2.7077099999999999E-3</v>
      </c>
      <c r="CV118" s="83">
        <v>1.0849900000000001E-2</v>
      </c>
      <c r="CW118" s="83">
        <v>7.7290299999999996E-3</v>
      </c>
      <c r="CX118" s="83">
        <v>2.61875E-3</v>
      </c>
    </row>
    <row r="119" spans="1:102" x14ac:dyDescent="0.2">
      <c r="A119" s="83">
        <v>1.09499E-2</v>
      </c>
      <c r="B119" s="83">
        <v>1.09272E-2</v>
      </c>
      <c r="C119" s="83">
        <v>2.4042899999999999E-3</v>
      </c>
      <c r="D119" s="83">
        <v>1.09499E-2</v>
      </c>
      <c r="E119" s="83">
        <v>1.1424999999999999E-2</v>
      </c>
      <c r="F119" s="83">
        <v>2.50081E-3</v>
      </c>
      <c r="G119" s="83">
        <v>1.09499E-2</v>
      </c>
      <c r="H119" s="83">
        <v>1.15663E-2</v>
      </c>
      <c r="I119" s="83">
        <v>2.47342E-3</v>
      </c>
      <c r="J119" s="83">
        <v>1.09499E-2</v>
      </c>
      <c r="K119" s="83">
        <v>1.0768E-2</v>
      </c>
      <c r="L119" s="83">
        <v>2.4348299999999998E-3</v>
      </c>
      <c r="M119" s="83">
        <v>1.09499E-2</v>
      </c>
      <c r="N119" s="83">
        <v>1.06856E-2</v>
      </c>
      <c r="O119" s="83">
        <v>2.4247600000000002E-3</v>
      </c>
      <c r="P119" s="83">
        <v>1.09499E-2</v>
      </c>
      <c r="Q119" s="83">
        <v>1.09386E-2</v>
      </c>
      <c r="R119" s="83">
        <v>2.57092E-3</v>
      </c>
      <c r="S119" s="83">
        <v>1.09499E-2</v>
      </c>
      <c r="T119" s="83">
        <v>1.19734E-2</v>
      </c>
      <c r="U119" s="83">
        <v>2.5625399999999999E-3</v>
      </c>
      <c r="V119" s="83">
        <v>1.09499E-2</v>
      </c>
      <c r="W119" s="83">
        <v>1.0776000000000001E-2</v>
      </c>
      <c r="X119" s="83">
        <v>2.5514399999999999E-3</v>
      </c>
      <c r="Y119" s="83">
        <v>1.09499E-2</v>
      </c>
      <c r="Z119" s="83">
        <v>1.1268200000000001E-2</v>
      </c>
      <c r="AA119" s="83">
        <v>2.55303E-3</v>
      </c>
      <c r="AB119" s="83">
        <v>1.09499E-2</v>
      </c>
      <c r="AC119" s="83">
        <v>1.06645E-2</v>
      </c>
      <c r="AD119" s="83">
        <v>2.5246499999999998E-3</v>
      </c>
      <c r="AE119" s="83">
        <v>1.09499E-2</v>
      </c>
      <c r="AF119" s="83">
        <v>1.06029E-2</v>
      </c>
      <c r="AG119" s="83">
        <v>2.5462599999999998E-3</v>
      </c>
      <c r="AH119" s="83">
        <v>1.09499E-2</v>
      </c>
      <c r="AI119" s="83">
        <v>1.01809E-2</v>
      </c>
      <c r="AJ119" s="83">
        <v>2.4892500000000001E-3</v>
      </c>
      <c r="AK119" s="83">
        <v>1.09499E-2</v>
      </c>
      <c r="AL119" s="83">
        <v>1.01371E-2</v>
      </c>
      <c r="AM119" s="83">
        <v>2.4909300000000001E-3</v>
      </c>
      <c r="AN119" s="83">
        <v>1.09499E-2</v>
      </c>
      <c r="AO119" s="83">
        <v>1.0770200000000001E-2</v>
      </c>
      <c r="AP119" s="83">
        <v>2.61291E-3</v>
      </c>
      <c r="AQ119" s="83">
        <v>1.09499E-2</v>
      </c>
      <c r="AR119" s="83">
        <v>1.0064699999999999E-2</v>
      </c>
      <c r="AS119" s="83">
        <v>2.5621400000000001E-3</v>
      </c>
      <c r="AT119" s="83">
        <v>1.09499E-2</v>
      </c>
      <c r="AU119" s="83">
        <v>1.0635199999999999E-2</v>
      </c>
      <c r="AV119" s="83">
        <v>2.5136099999999999E-3</v>
      </c>
      <c r="AW119" s="83">
        <v>1.09499E-2</v>
      </c>
      <c r="AX119" s="83">
        <v>9.7196799999999996E-3</v>
      </c>
      <c r="AY119" s="83">
        <v>2.4520000000000002E-3</v>
      </c>
      <c r="AZ119" s="83">
        <v>1.09499E-2</v>
      </c>
      <c r="BA119" s="83">
        <v>1.02107E-2</v>
      </c>
      <c r="BB119" s="83">
        <v>2.6170500000000001E-3</v>
      </c>
      <c r="BC119" s="83">
        <v>1.09499E-2</v>
      </c>
      <c r="BD119" s="83">
        <v>9.4662700000000006E-3</v>
      </c>
      <c r="BE119" s="83">
        <v>2.5166799999999999E-3</v>
      </c>
      <c r="BF119" s="83">
        <v>1.09499E-2</v>
      </c>
      <c r="BG119" s="83">
        <v>9.8284199999999992E-3</v>
      </c>
      <c r="BH119" s="83">
        <v>2.47423E-3</v>
      </c>
      <c r="BI119" s="83">
        <v>1.09499E-2</v>
      </c>
      <c r="BJ119" s="83">
        <v>9.6936100000000001E-3</v>
      </c>
      <c r="BK119" s="83">
        <v>2.5265700000000001E-3</v>
      </c>
      <c r="BL119" s="83">
        <v>1.09499E-2</v>
      </c>
      <c r="BM119" s="83">
        <v>1.01656E-2</v>
      </c>
      <c r="BN119" s="83">
        <v>2.56464E-3</v>
      </c>
      <c r="BO119" s="83">
        <v>1.09499E-2</v>
      </c>
      <c r="BP119" s="83">
        <v>9.8460200000000005E-3</v>
      </c>
      <c r="BQ119" s="83">
        <v>2.5508000000000002E-3</v>
      </c>
      <c r="BR119" s="83">
        <v>1.09499E-2</v>
      </c>
      <c r="BS119" s="83">
        <v>9.4386699999999997E-3</v>
      </c>
      <c r="BT119" s="83">
        <v>2.5764500000000001E-3</v>
      </c>
      <c r="BU119" s="83">
        <v>1.09499E-2</v>
      </c>
      <c r="BV119" s="83">
        <v>9.5181699999999994E-3</v>
      </c>
      <c r="BW119" s="83">
        <v>2.6131000000000001E-3</v>
      </c>
      <c r="BX119" s="83">
        <v>1.09499E-2</v>
      </c>
      <c r="BY119" s="83">
        <v>9.7980299999999992E-3</v>
      </c>
      <c r="BZ119" s="83">
        <v>2.55697E-3</v>
      </c>
      <c r="CA119" s="83">
        <v>1.09499E-2</v>
      </c>
      <c r="CB119" s="83">
        <v>9.2152399999999995E-3</v>
      </c>
      <c r="CC119" s="83">
        <v>2.4601900000000001E-3</v>
      </c>
      <c r="CD119" s="83">
        <v>1.09499E-2</v>
      </c>
      <c r="CE119" s="83">
        <v>8.2865600000000001E-3</v>
      </c>
      <c r="CF119" s="83">
        <v>2.4695699999999999E-3</v>
      </c>
      <c r="CG119" s="83">
        <v>1.09499E-2</v>
      </c>
      <c r="CH119" s="83">
        <v>9.4035400000000002E-3</v>
      </c>
      <c r="CI119" s="83">
        <v>2.5152500000000001E-3</v>
      </c>
      <c r="CJ119" s="83">
        <v>1.09499E-2</v>
      </c>
      <c r="CK119" s="83">
        <v>9.2415099999999997E-3</v>
      </c>
      <c r="CL119" s="83">
        <v>2.5618699999999999E-3</v>
      </c>
      <c r="CM119" s="83">
        <v>1.09499E-2</v>
      </c>
      <c r="CN119" s="83">
        <v>8.8908100000000007E-3</v>
      </c>
      <c r="CO119" s="83">
        <v>2.5014199999999999E-3</v>
      </c>
      <c r="CP119" s="83">
        <v>1.09499E-2</v>
      </c>
      <c r="CQ119" s="83">
        <v>8.6173099999999996E-3</v>
      </c>
      <c r="CR119" s="83">
        <v>2.4681400000000002E-3</v>
      </c>
      <c r="CS119" s="83">
        <v>1.09499E-2</v>
      </c>
      <c r="CT119" s="83">
        <v>8.4902699999999994E-3</v>
      </c>
      <c r="CU119" s="83">
        <v>2.53681E-3</v>
      </c>
      <c r="CV119" s="83">
        <v>1.09499E-2</v>
      </c>
      <c r="CW119" s="83">
        <v>7.4653599999999999E-3</v>
      </c>
      <c r="CX119" s="83">
        <v>2.4751999999999999E-3</v>
      </c>
    </row>
    <row r="120" spans="1:102" x14ac:dyDescent="0.2">
      <c r="A120" s="83">
        <v>1.10499E-2</v>
      </c>
      <c r="B120" s="83">
        <v>9.6332599999999994E-3</v>
      </c>
      <c r="C120" s="83">
        <v>2.2812399999999999E-3</v>
      </c>
      <c r="D120" s="83">
        <v>1.10499E-2</v>
      </c>
      <c r="E120" s="83">
        <v>1.05656E-2</v>
      </c>
      <c r="F120" s="83">
        <v>2.3367499999999999E-3</v>
      </c>
      <c r="G120" s="83">
        <v>1.10499E-2</v>
      </c>
      <c r="H120" s="83">
        <v>1.0453E-2</v>
      </c>
      <c r="I120" s="83">
        <v>2.3367000000000001E-3</v>
      </c>
      <c r="J120" s="83">
        <v>1.10499E-2</v>
      </c>
      <c r="K120" s="83">
        <v>1.0074700000000001E-2</v>
      </c>
      <c r="L120" s="83">
        <v>2.2824899999999999E-3</v>
      </c>
      <c r="M120" s="83">
        <v>1.10499E-2</v>
      </c>
      <c r="N120" s="83">
        <v>1.00313E-2</v>
      </c>
      <c r="O120" s="83">
        <v>2.2734000000000001E-3</v>
      </c>
      <c r="P120" s="83">
        <v>1.10499E-2</v>
      </c>
      <c r="Q120" s="83">
        <v>1.0523599999999999E-2</v>
      </c>
      <c r="R120" s="83">
        <v>2.3970900000000002E-3</v>
      </c>
      <c r="S120" s="83">
        <v>1.10499E-2</v>
      </c>
      <c r="T120" s="83">
        <v>1.03768E-2</v>
      </c>
      <c r="U120" s="83">
        <v>2.41019E-3</v>
      </c>
      <c r="V120" s="83">
        <v>1.10499E-2</v>
      </c>
      <c r="W120" s="83">
        <v>1.0326800000000001E-2</v>
      </c>
      <c r="X120" s="83">
        <v>2.3922599999999998E-3</v>
      </c>
      <c r="Y120" s="83">
        <v>1.10499E-2</v>
      </c>
      <c r="Z120" s="83">
        <v>1.05211E-2</v>
      </c>
      <c r="AA120" s="83">
        <v>2.4075300000000002E-3</v>
      </c>
      <c r="AB120" s="83">
        <v>1.10499E-2</v>
      </c>
      <c r="AC120" s="83">
        <v>1.01957E-2</v>
      </c>
      <c r="AD120" s="83">
        <v>2.3967200000000002E-3</v>
      </c>
      <c r="AE120" s="83">
        <v>1.10499E-2</v>
      </c>
      <c r="AF120" s="83">
        <v>9.8753899999999995E-3</v>
      </c>
      <c r="AG120" s="83">
        <v>2.38024E-3</v>
      </c>
      <c r="AH120" s="83">
        <v>1.10499E-2</v>
      </c>
      <c r="AI120" s="83">
        <v>9.8781900000000002E-3</v>
      </c>
      <c r="AJ120" s="83">
        <v>2.3378800000000001E-3</v>
      </c>
      <c r="AK120" s="83">
        <v>1.10499E-2</v>
      </c>
      <c r="AL120" s="83">
        <v>9.5413700000000004E-3</v>
      </c>
      <c r="AM120" s="83">
        <v>2.3590999999999998E-3</v>
      </c>
      <c r="AN120" s="83">
        <v>1.10499E-2</v>
      </c>
      <c r="AO120" s="83">
        <v>1.03991E-2</v>
      </c>
      <c r="AP120" s="83">
        <v>2.4439599999999998E-3</v>
      </c>
      <c r="AQ120" s="83">
        <v>1.10499E-2</v>
      </c>
      <c r="AR120" s="83">
        <v>9.1320700000000008E-3</v>
      </c>
      <c r="AS120" s="83">
        <v>2.4273699999999999E-3</v>
      </c>
      <c r="AT120" s="83">
        <v>1.10499E-2</v>
      </c>
      <c r="AU120" s="83">
        <v>9.4242600000000003E-3</v>
      </c>
      <c r="AV120" s="83">
        <v>2.37396E-3</v>
      </c>
      <c r="AW120" s="83">
        <v>1.10499E-2</v>
      </c>
      <c r="AX120" s="83">
        <v>9.4169500000000003E-3</v>
      </c>
      <c r="AY120" s="83">
        <v>2.3104000000000002E-3</v>
      </c>
      <c r="AZ120" s="83">
        <v>1.10499E-2</v>
      </c>
      <c r="BA120" s="83">
        <v>9.8151799999999997E-3</v>
      </c>
      <c r="BB120" s="83">
        <v>2.4608E-3</v>
      </c>
      <c r="BC120" s="83">
        <v>1.10499E-2</v>
      </c>
      <c r="BD120" s="83">
        <v>8.9926399999999997E-3</v>
      </c>
      <c r="BE120" s="83">
        <v>2.3701999999999998E-3</v>
      </c>
      <c r="BF120" s="83">
        <v>1.10499E-2</v>
      </c>
      <c r="BG120" s="83">
        <v>9.1301799999999999E-3</v>
      </c>
      <c r="BH120" s="83">
        <v>2.32482E-3</v>
      </c>
      <c r="BI120" s="83">
        <v>1.10499E-2</v>
      </c>
      <c r="BJ120" s="83">
        <v>9.0197899999999998E-3</v>
      </c>
      <c r="BK120" s="83">
        <v>2.3839899999999999E-3</v>
      </c>
      <c r="BL120" s="83">
        <v>1.10499E-2</v>
      </c>
      <c r="BM120" s="83">
        <v>9.8580100000000004E-3</v>
      </c>
      <c r="BN120" s="83">
        <v>2.4103499999999999E-3</v>
      </c>
      <c r="BO120" s="83">
        <v>1.10499E-2</v>
      </c>
      <c r="BP120" s="83">
        <v>9.4065699999999995E-3</v>
      </c>
      <c r="BQ120" s="83">
        <v>2.3965000000000002E-3</v>
      </c>
      <c r="BR120" s="83">
        <v>1.10499E-2</v>
      </c>
      <c r="BS120" s="83">
        <v>8.3546899999999997E-3</v>
      </c>
      <c r="BT120" s="83">
        <v>2.44364E-3</v>
      </c>
      <c r="BU120" s="83">
        <v>1.10499E-2</v>
      </c>
      <c r="BV120" s="83">
        <v>9.09336E-3</v>
      </c>
      <c r="BW120" s="83">
        <v>2.4588000000000001E-3</v>
      </c>
      <c r="BX120" s="83">
        <v>1.10499E-2</v>
      </c>
      <c r="BY120" s="83">
        <v>9.1779099999999992E-3</v>
      </c>
      <c r="BZ120" s="83">
        <v>2.4241599999999999E-3</v>
      </c>
      <c r="CA120" s="83">
        <v>1.10499E-2</v>
      </c>
      <c r="CB120" s="83">
        <v>8.9417999999999997E-3</v>
      </c>
      <c r="CC120" s="83">
        <v>2.3097999999999999E-3</v>
      </c>
      <c r="CD120" s="83">
        <v>1.10499E-2</v>
      </c>
      <c r="CE120" s="83">
        <v>8.3988699999999993E-3</v>
      </c>
      <c r="CF120" s="83">
        <v>2.30942E-3</v>
      </c>
      <c r="CG120" s="83">
        <v>1.10499E-2</v>
      </c>
      <c r="CH120" s="83">
        <v>8.8517800000000001E-3</v>
      </c>
      <c r="CI120" s="83">
        <v>2.36681E-3</v>
      </c>
      <c r="CJ120" s="83">
        <v>1.10499E-2</v>
      </c>
      <c r="CK120" s="83">
        <v>8.9583100000000006E-3</v>
      </c>
      <c r="CL120" s="83">
        <v>2.40953E-3</v>
      </c>
      <c r="CM120" s="83">
        <v>1.10499E-2</v>
      </c>
      <c r="CN120" s="83">
        <v>8.7003800000000006E-3</v>
      </c>
      <c r="CO120" s="83">
        <v>2.34614E-3</v>
      </c>
      <c r="CP120" s="83">
        <v>1.10499E-2</v>
      </c>
      <c r="CQ120" s="83">
        <v>7.7823500000000004E-3</v>
      </c>
      <c r="CR120" s="83">
        <v>2.3177499999999999E-3</v>
      </c>
      <c r="CS120" s="83">
        <v>1.10499E-2</v>
      </c>
      <c r="CT120" s="83">
        <v>7.52347E-3</v>
      </c>
      <c r="CU120" s="83">
        <v>2.3698199999999999E-3</v>
      </c>
      <c r="CV120" s="83">
        <v>1.10499E-2</v>
      </c>
      <c r="CW120" s="83">
        <v>7.1040299999999999E-3</v>
      </c>
      <c r="CX120" s="83">
        <v>2.3091800000000001E-3</v>
      </c>
    </row>
    <row r="121" spans="1:102" x14ac:dyDescent="0.2">
      <c r="A121" s="83">
        <v>1.1149900000000001E-2</v>
      </c>
      <c r="B121" s="83">
        <v>9.4086499999999993E-3</v>
      </c>
      <c r="C121" s="83">
        <v>2.1581899999999999E-3</v>
      </c>
      <c r="D121" s="83">
        <v>1.1149900000000001E-2</v>
      </c>
      <c r="E121" s="83">
        <v>9.5841399999999997E-3</v>
      </c>
      <c r="F121" s="83">
        <v>2.21273E-3</v>
      </c>
      <c r="G121" s="83">
        <v>1.1149900000000001E-2</v>
      </c>
      <c r="H121" s="83">
        <v>9.4959799999999994E-3</v>
      </c>
      <c r="I121" s="83">
        <v>2.2370900000000002E-3</v>
      </c>
      <c r="J121" s="83">
        <v>1.1149900000000001E-2</v>
      </c>
      <c r="K121" s="83">
        <v>9.5131599999999997E-3</v>
      </c>
      <c r="L121" s="83">
        <v>2.1408899999999999E-3</v>
      </c>
      <c r="M121" s="83">
        <v>1.1149900000000001E-2</v>
      </c>
      <c r="N121" s="83">
        <v>9.0156400000000001E-3</v>
      </c>
      <c r="O121" s="83">
        <v>2.1366800000000002E-3</v>
      </c>
      <c r="P121" s="83">
        <v>1.1149900000000001E-2</v>
      </c>
      <c r="Q121" s="83">
        <v>9.5177400000000002E-3</v>
      </c>
      <c r="R121" s="83">
        <v>2.2652499999999999E-3</v>
      </c>
      <c r="S121" s="83">
        <v>1.1149900000000001E-2</v>
      </c>
      <c r="T121" s="83">
        <v>1.0054499999999999E-2</v>
      </c>
      <c r="U121" s="83">
        <v>2.2568699999999998E-3</v>
      </c>
      <c r="V121" s="83">
        <v>1.1149900000000001E-2</v>
      </c>
      <c r="W121" s="83">
        <v>9.7750400000000005E-3</v>
      </c>
      <c r="X121" s="83">
        <v>2.24968E-3</v>
      </c>
      <c r="Y121" s="83">
        <v>1.1149900000000001E-2</v>
      </c>
      <c r="Z121" s="83">
        <v>1.01549E-2</v>
      </c>
      <c r="AA121" s="83">
        <v>2.27276E-3</v>
      </c>
      <c r="AB121" s="83">
        <v>1.1149900000000001E-2</v>
      </c>
      <c r="AC121" s="83">
        <v>9.6927999999999997E-3</v>
      </c>
      <c r="AD121" s="83">
        <v>2.2316800000000002E-3</v>
      </c>
      <c r="AE121" s="83">
        <v>1.1149900000000001E-2</v>
      </c>
      <c r="AF121" s="83">
        <v>9.5335999999999997E-3</v>
      </c>
      <c r="AG121" s="83">
        <v>2.2405900000000002E-3</v>
      </c>
      <c r="AH121" s="83">
        <v>1.1149900000000001E-2</v>
      </c>
      <c r="AI121" s="83">
        <v>8.8430399999999999E-3</v>
      </c>
      <c r="AJ121" s="83">
        <v>2.22558E-3</v>
      </c>
      <c r="AK121" s="83">
        <v>1.1149900000000001E-2</v>
      </c>
      <c r="AL121" s="83">
        <v>8.4427400000000007E-3</v>
      </c>
      <c r="AM121" s="83">
        <v>2.2135900000000001E-3</v>
      </c>
      <c r="AN121" s="83">
        <v>1.1149900000000001E-2</v>
      </c>
      <c r="AO121" s="83">
        <v>9.50551E-3</v>
      </c>
      <c r="AP121" s="83">
        <v>2.3267700000000001E-3</v>
      </c>
      <c r="AQ121" s="83">
        <v>1.1149900000000001E-2</v>
      </c>
      <c r="AR121" s="83">
        <v>8.5070700000000003E-3</v>
      </c>
      <c r="AS121" s="83">
        <v>2.2584300000000001E-3</v>
      </c>
      <c r="AT121" s="83">
        <v>1.1149900000000001E-2</v>
      </c>
      <c r="AU121" s="83">
        <v>8.6137100000000001E-3</v>
      </c>
      <c r="AV121" s="83">
        <v>2.2284499999999999E-3</v>
      </c>
      <c r="AW121" s="83">
        <v>1.1149900000000001E-2</v>
      </c>
      <c r="AX121" s="83">
        <v>8.1181199999999995E-3</v>
      </c>
      <c r="AY121" s="83">
        <v>2.17271E-3</v>
      </c>
      <c r="AZ121" s="83">
        <v>1.1149900000000001E-2</v>
      </c>
      <c r="BA121" s="83">
        <v>8.4089300000000002E-3</v>
      </c>
      <c r="BB121" s="83">
        <v>2.3192E-3</v>
      </c>
      <c r="BC121" s="83">
        <v>1.1149900000000001E-2</v>
      </c>
      <c r="BD121" s="83">
        <v>8.7240800000000004E-3</v>
      </c>
      <c r="BE121" s="83">
        <v>2.2188300000000002E-3</v>
      </c>
      <c r="BF121" s="83">
        <v>1.1149900000000001E-2</v>
      </c>
      <c r="BG121" s="83">
        <v>8.8567400000000001E-3</v>
      </c>
      <c r="BH121" s="83">
        <v>2.1881000000000001E-3</v>
      </c>
      <c r="BI121" s="83">
        <v>1.1149900000000001E-2</v>
      </c>
      <c r="BJ121" s="83">
        <v>8.3606099999999992E-3</v>
      </c>
      <c r="BK121" s="83">
        <v>2.2677800000000001E-3</v>
      </c>
      <c r="BL121" s="83">
        <v>1.1149900000000001E-2</v>
      </c>
      <c r="BM121" s="83">
        <v>9.2916100000000005E-3</v>
      </c>
      <c r="BN121" s="83">
        <v>2.29218E-3</v>
      </c>
      <c r="BO121" s="83">
        <v>1.1149900000000001E-2</v>
      </c>
      <c r="BP121" s="83">
        <v>8.6790300000000008E-3</v>
      </c>
      <c r="BQ121" s="83">
        <v>2.2402500000000001E-3</v>
      </c>
      <c r="BR121" s="83">
        <v>1.1149900000000001E-2</v>
      </c>
      <c r="BS121" s="83">
        <v>7.6417999999999998E-3</v>
      </c>
      <c r="BT121" s="83">
        <v>2.2903200000000002E-3</v>
      </c>
      <c r="BU121" s="83">
        <v>1.1149900000000001E-2</v>
      </c>
      <c r="BV121" s="83">
        <v>8.7857500000000002E-3</v>
      </c>
      <c r="BW121" s="83">
        <v>2.3113399999999998E-3</v>
      </c>
      <c r="BX121" s="83">
        <v>1.1149900000000001E-2</v>
      </c>
      <c r="BY121" s="83">
        <v>8.9630700000000001E-3</v>
      </c>
      <c r="BZ121" s="83">
        <v>2.2698599999999998E-3</v>
      </c>
      <c r="CA121" s="83">
        <v>1.1149900000000001E-2</v>
      </c>
      <c r="CB121" s="83">
        <v>8.3802800000000004E-3</v>
      </c>
      <c r="CC121" s="83">
        <v>2.1662500000000002E-3</v>
      </c>
      <c r="CD121" s="83">
        <v>1.1149900000000001E-2</v>
      </c>
      <c r="CE121" s="83">
        <v>8.1254299999999995E-3</v>
      </c>
      <c r="CF121" s="83">
        <v>2.1795299999999998E-3</v>
      </c>
      <c r="CG121" s="83">
        <v>1.1149900000000001E-2</v>
      </c>
      <c r="CH121" s="83">
        <v>8.5197499999999995E-3</v>
      </c>
      <c r="CI121" s="83">
        <v>2.23595E-3</v>
      </c>
      <c r="CJ121" s="83">
        <v>1.1149900000000001E-2</v>
      </c>
      <c r="CK121" s="83">
        <v>8.5628000000000006E-3</v>
      </c>
      <c r="CL121" s="83">
        <v>2.2640199999999998E-3</v>
      </c>
      <c r="CM121" s="83">
        <v>1.1149900000000001E-2</v>
      </c>
      <c r="CN121" s="83">
        <v>7.9386600000000002E-3</v>
      </c>
      <c r="CO121" s="83">
        <v>2.1811000000000001E-3</v>
      </c>
      <c r="CP121" s="83">
        <v>1.1149900000000001E-2</v>
      </c>
      <c r="CQ121" s="83">
        <v>7.27942E-3</v>
      </c>
      <c r="CR121" s="83">
        <v>2.1937200000000001E-3</v>
      </c>
      <c r="CS121" s="83">
        <v>1.1149900000000001E-2</v>
      </c>
      <c r="CT121" s="83">
        <v>7.1035500000000001E-3</v>
      </c>
      <c r="CU121" s="83">
        <v>2.24384E-3</v>
      </c>
      <c r="CV121" s="83">
        <v>1.1149900000000001E-2</v>
      </c>
      <c r="CW121" s="83">
        <v>6.9721899999999996E-3</v>
      </c>
      <c r="CX121" s="83">
        <v>2.18125E-3</v>
      </c>
    </row>
    <row r="122" spans="1:102" x14ac:dyDescent="0.2">
      <c r="A122" s="83">
        <v>1.12499E-2</v>
      </c>
      <c r="B122" s="83">
        <v>8.81294E-3</v>
      </c>
      <c r="C122" s="83">
        <v>1.9921800000000001E-3</v>
      </c>
      <c r="D122" s="83">
        <v>1.12499E-2</v>
      </c>
      <c r="E122" s="83">
        <v>9.0079700000000006E-3</v>
      </c>
      <c r="F122" s="83">
        <v>2.0730800000000001E-3</v>
      </c>
      <c r="G122" s="83">
        <v>1.12499E-2</v>
      </c>
      <c r="H122" s="83">
        <v>9.3592599999999995E-3</v>
      </c>
      <c r="I122" s="83">
        <v>2.0788899999999999E-3</v>
      </c>
      <c r="J122" s="83">
        <v>1.12499E-2</v>
      </c>
      <c r="K122" s="83">
        <v>8.6977300000000007E-3</v>
      </c>
      <c r="L122" s="83">
        <v>2.0217500000000001E-3</v>
      </c>
      <c r="M122" s="83">
        <v>1.12499E-2</v>
      </c>
      <c r="N122" s="83">
        <v>8.5908300000000007E-3</v>
      </c>
      <c r="O122" s="83">
        <v>2.0400000000000001E-3</v>
      </c>
      <c r="P122" s="83">
        <v>1.12499E-2</v>
      </c>
      <c r="Q122" s="83">
        <v>8.9318000000000002E-3</v>
      </c>
      <c r="R122" s="83">
        <v>2.1148600000000001E-3</v>
      </c>
      <c r="S122" s="83">
        <v>1.12499E-2</v>
      </c>
      <c r="T122" s="83">
        <v>9.3367199999999997E-3</v>
      </c>
      <c r="U122" s="83">
        <v>2.11918E-3</v>
      </c>
      <c r="V122" s="83">
        <v>1.12499E-2</v>
      </c>
      <c r="W122" s="83">
        <v>8.9840300000000005E-3</v>
      </c>
      <c r="X122" s="83">
        <v>2.13152E-3</v>
      </c>
      <c r="Y122" s="83">
        <v>1.12499E-2</v>
      </c>
      <c r="Z122" s="83">
        <v>9.6226799999999998E-3</v>
      </c>
      <c r="AA122" s="83">
        <v>2.1380000000000001E-3</v>
      </c>
      <c r="AB122" s="83">
        <v>1.12499E-2</v>
      </c>
      <c r="AC122" s="83">
        <v>9.4486599999999994E-3</v>
      </c>
      <c r="AD122" s="83">
        <v>2.0920299999999999E-3</v>
      </c>
      <c r="AE122" s="83">
        <v>1.12499E-2</v>
      </c>
      <c r="AF122" s="83">
        <v>9.1771500000000002E-3</v>
      </c>
      <c r="AG122" s="83">
        <v>2.1204800000000001E-3</v>
      </c>
      <c r="AH122" s="83">
        <v>1.12499E-2</v>
      </c>
      <c r="AI122" s="83">
        <v>8.0080800000000008E-3</v>
      </c>
      <c r="AJ122" s="83">
        <v>2.07128E-3</v>
      </c>
      <c r="AK122" s="83">
        <v>1.12499E-2</v>
      </c>
      <c r="AL122" s="83">
        <v>7.6761299999999998E-3</v>
      </c>
      <c r="AM122" s="83">
        <v>2.0758899999999999E-3</v>
      </c>
      <c r="AN122" s="83">
        <v>1.12499E-2</v>
      </c>
      <c r="AO122" s="83">
        <v>9.2271899999999997E-3</v>
      </c>
      <c r="AP122" s="83">
        <v>2.1675900000000001E-3</v>
      </c>
      <c r="AQ122" s="83">
        <v>1.12499E-2</v>
      </c>
      <c r="AR122" s="83">
        <v>8.0920300000000001E-3</v>
      </c>
      <c r="AS122" s="83">
        <v>2.13343E-3</v>
      </c>
      <c r="AT122" s="83">
        <v>1.12499E-2</v>
      </c>
      <c r="AU122" s="83">
        <v>8.2182000000000002E-3</v>
      </c>
      <c r="AV122" s="83">
        <v>2.0819699999999998E-3</v>
      </c>
      <c r="AW122" s="83">
        <v>1.12499E-2</v>
      </c>
      <c r="AX122" s="83">
        <v>7.6591300000000001E-3</v>
      </c>
      <c r="AY122" s="83">
        <v>2.0447799999999999E-3</v>
      </c>
      <c r="AZ122" s="83">
        <v>1.12499E-2</v>
      </c>
      <c r="BA122" s="83">
        <v>8.2038500000000004E-3</v>
      </c>
      <c r="BB122" s="83">
        <v>2.2020099999999999E-3</v>
      </c>
      <c r="BC122" s="83">
        <v>1.12499E-2</v>
      </c>
      <c r="BD122" s="83">
        <v>8.0307199999999999E-3</v>
      </c>
      <c r="BE122" s="83">
        <v>2.0752700000000002E-3</v>
      </c>
      <c r="BF122" s="83">
        <v>1.12499E-2</v>
      </c>
      <c r="BG122" s="83">
        <v>8.3782300000000004E-3</v>
      </c>
      <c r="BH122" s="83">
        <v>2.0640799999999998E-3</v>
      </c>
      <c r="BI122" s="83">
        <v>1.12499E-2</v>
      </c>
      <c r="BJ122" s="83">
        <v>8.0334599999999992E-3</v>
      </c>
      <c r="BK122" s="83">
        <v>2.1037199999999999E-3</v>
      </c>
      <c r="BL122" s="83">
        <v>1.12499E-2</v>
      </c>
      <c r="BM122" s="83">
        <v>8.6080099999999993E-3</v>
      </c>
      <c r="BN122" s="83">
        <v>2.13203E-3</v>
      </c>
      <c r="BO122" s="83">
        <v>1.12499E-2</v>
      </c>
      <c r="BP122" s="83">
        <v>7.8977800000000001E-3</v>
      </c>
      <c r="BQ122" s="83">
        <v>2.12502E-3</v>
      </c>
      <c r="BR122" s="83">
        <v>1.12499E-2</v>
      </c>
      <c r="BS122" s="83">
        <v>7.4318300000000004E-3</v>
      </c>
      <c r="BT122" s="83">
        <v>2.15555E-3</v>
      </c>
      <c r="BU122" s="83">
        <v>1.12499E-2</v>
      </c>
      <c r="BV122" s="83">
        <v>7.8628900000000009E-3</v>
      </c>
      <c r="BW122" s="83">
        <v>2.1892700000000001E-3</v>
      </c>
      <c r="BX122" s="83">
        <v>1.12499E-2</v>
      </c>
      <c r="BY122" s="83">
        <v>8.2550599999999998E-3</v>
      </c>
      <c r="BZ122" s="83">
        <v>2.14584E-3</v>
      </c>
      <c r="CA122" s="83">
        <v>1.12499E-2</v>
      </c>
      <c r="CB122" s="83">
        <v>8.1459099999999993E-3</v>
      </c>
      <c r="CC122" s="83">
        <v>2.0637099999999999E-3</v>
      </c>
      <c r="CD122" s="83">
        <v>1.12499E-2</v>
      </c>
      <c r="CE122" s="83">
        <v>7.1830499999999999E-3</v>
      </c>
      <c r="CF122" s="83">
        <v>2.0594200000000002E-3</v>
      </c>
      <c r="CG122" s="83">
        <v>1.12499E-2</v>
      </c>
      <c r="CH122" s="83">
        <v>7.2990499999999996E-3</v>
      </c>
      <c r="CI122" s="83">
        <v>2.0865300000000001E-3</v>
      </c>
      <c r="CJ122" s="83">
        <v>1.12499E-2</v>
      </c>
      <c r="CK122" s="83">
        <v>7.3958100000000001E-3</v>
      </c>
      <c r="CL122" s="83">
        <v>2.1087499999999999E-3</v>
      </c>
      <c r="CM122" s="83">
        <v>1.12499E-2</v>
      </c>
      <c r="CN122" s="83">
        <v>7.6456900000000001E-3</v>
      </c>
      <c r="CO122" s="83">
        <v>2.0902799999999999E-3</v>
      </c>
      <c r="CP122" s="83">
        <v>1.12499E-2</v>
      </c>
      <c r="CQ122" s="83">
        <v>6.9278600000000001E-3</v>
      </c>
      <c r="CR122" s="83">
        <v>2.0521200000000002E-3</v>
      </c>
      <c r="CS122" s="83">
        <v>1.12499E-2</v>
      </c>
      <c r="CT122" s="83">
        <v>6.8301100000000003E-3</v>
      </c>
      <c r="CU122" s="83">
        <v>2.1159099999999999E-3</v>
      </c>
      <c r="CV122" s="83">
        <v>1.12499E-2</v>
      </c>
      <c r="CW122" s="83">
        <v>6.4741499999999997E-3</v>
      </c>
      <c r="CX122" s="83">
        <v>2.0669899999999999E-3</v>
      </c>
    </row>
    <row r="123" spans="1:102" x14ac:dyDescent="0.2">
      <c r="A123" s="83">
        <v>1.13499E-2</v>
      </c>
      <c r="B123" s="83">
        <v>8.5004399999999997E-3</v>
      </c>
      <c r="C123" s="83">
        <v>1.8964800000000001E-3</v>
      </c>
      <c r="D123" s="83">
        <v>1.13499E-2</v>
      </c>
      <c r="E123" s="83">
        <v>8.84683E-3</v>
      </c>
      <c r="F123" s="83">
        <v>1.9500299999999999E-3</v>
      </c>
      <c r="G123" s="83">
        <v>1.13499E-2</v>
      </c>
      <c r="H123" s="83">
        <v>8.8660900000000001E-3</v>
      </c>
      <c r="I123" s="83">
        <v>1.9743999999999999E-3</v>
      </c>
      <c r="J123" s="83">
        <v>1.13499E-2</v>
      </c>
      <c r="K123" s="83">
        <v>8.1557399999999999E-3</v>
      </c>
      <c r="L123" s="83">
        <v>1.8996799999999999E-3</v>
      </c>
      <c r="M123" s="83">
        <v>1.13499E-2</v>
      </c>
      <c r="N123" s="83">
        <v>8.0732600000000005E-3</v>
      </c>
      <c r="O123" s="83">
        <v>1.92183E-3</v>
      </c>
      <c r="P123" s="83">
        <v>1.13499E-2</v>
      </c>
      <c r="Q123" s="83">
        <v>8.5070000000000007E-3</v>
      </c>
      <c r="R123" s="83">
        <v>1.9967000000000001E-3</v>
      </c>
      <c r="S123" s="83">
        <v>1.13499E-2</v>
      </c>
      <c r="T123" s="83">
        <v>9.0193300000000007E-3</v>
      </c>
      <c r="U123" s="83">
        <v>2.01468E-3</v>
      </c>
      <c r="V123" s="83">
        <v>1.13499E-2</v>
      </c>
      <c r="W123" s="83">
        <v>8.3004299999999993E-3</v>
      </c>
      <c r="X123" s="83">
        <v>1.99285E-3</v>
      </c>
      <c r="Y123" s="83">
        <v>1.13499E-2</v>
      </c>
      <c r="Z123" s="83">
        <v>8.88538E-3</v>
      </c>
      <c r="AA123" s="83">
        <v>2.0071400000000001E-3</v>
      </c>
      <c r="AB123" s="83">
        <v>1.13499E-2</v>
      </c>
      <c r="AC123" s="83">
        <v>8.6674100000000004E-3</v>
      </c>
      <c r="AD123" s="83">
        <v>1.98168E-3</v>
      </c>
      <c r="AE123" s="83">
        <v>1.13499E-2</v>
      </c>
      <c r="AF123" s="83">
        <v>7.8246099999999992E-3</v>
      </c>
      <c r="AG123" s="83">
        <v>2.0042599999999999E-3</v>
      </c>
      <c r="AH123" s="83">
        <v>1.13499E-2</v>
      </c>
      <c r="AI123" s="83">
        <v>7.8274099999999999E-3</v>
      </c>
      <c r="AJ123" s="83">
        <v>1.9394499999999999E-3</v>
      </c>
      <c r="AK123" s="83">
        <v>1.13499E-2</v>
      </c>
      <c r="AL123" s="83">
        <v>7.7054300000000001E-3</v>
      </c>
      <c r="AM123" s="83">
        <v>1.92746E-3</v>
      </c>
      <c r="AN123" s="83">
        <v>1.13499E-2</v>
      </c>
      <c r="AO123" s="83">
        <v>8.2848100000000001E-3</v>
      </c>
      <c r="AP123" s="83">
        <v>2.0650500000000001E-3</v>
      </c>
      <c r="AQ123" s="83">
        <v>1.13499E-2</v>
      </c>
      <c r="AR123" s="83">
        <v>7.8186000000000002E-3</v>
      </c>
      <c r="AS123" s="83">
        <v>2.0191699999999998E-3</v>
      </c>
      <c r="AT123" s="83">
        <v>1.13499E-2</v>
      </c>
      <c r="AU123" s="83">
        <v>7.5248399999999997E-3</v>
      </c>
      <c r="AV123" s="83">
        <v>1.9686899999999999E-3</v>
      </c>
      <c r="AW123" s="83">
        <v>1.13499E-2</v>
      </c>
      <c r="AX123" s="83">
        <v>7.1317899999999998E-3</v>
      </c>
      <c r="AY123" s="83">
        <v>1.92271E-3</v>
      </c>
      <c r="AZ123" s="83">
        <v>1.13499E-2</v>
      </c>
      <c r="BA123" s="83">
        <v>7.9011099999999994E-3</v>
      </c>
      <c r="BB123" s="83">
        <v>2.05259E-3</v>
      </c>
      <c r="BC123" s="83">
        <v>1.13499E-2</v>
      </c>
      <c r="BD123" s="83">
        <v>7.3813100000000003E-3</v>
      </c>
      <c r="BE123" s="83">
        <v>1.9492999999999999E-3</v>
      </c>
      <c r="BF123" s="83">
        <v>1.13499E-2</v>
      </c>
      <c r="BG123" s="83">
        <v>7.29913E-3</v>
      </c>
      <c r="BH123" s="83">
        <v>1.9293100000000001E-3</v>
      </c>
      <c r="BI123" s="83">
        <v>1.13499E-2</v>
      </c>
      <c r="BJ123" s="83">
        <v>7.9944000000000005E-3</v>
      </c>
      <c r="BK123" s="83">
        <v>1.99629E-3</v>
      </c>
      <c r="BL123" s="83">
        <v>1.13499E-2</v>
      </c>
      <c r="BM123" s="83">
        <v>7.6070399999999998E-3</v>
      </c>
      <c r="BN123" s="83">
        <v>2.0265600000000002E-3</v>
      </c>
      <c r="BO123" s="83">
        <v>1.13499E-2</v>
      </c>
      <c r="BP123" s="83">
        <v>7.31184E-3</v>
      </c>
      <c r="BQ123" s="83">
        <v>1.9980699999999998E-3</v>
      </c>
      <c r="BR123" s="83">
        <v>1.13499E-2</v>
      </c>
      <c r="BS123" s="83">
        <v>7.1730500000000003E-3</v>
      </c>
      <c r="BT123" s="83">
        <v>2.0198099999999999E-3</v>
      </c>
      <c r="BU123" s="83">
        <v>1.13499E-2</v>
      </c>
      <c r="BV123" s="83">
        <v>7.3013699999999997E-3</v>
      </c>
      <c r="BW123" s="83">
        <v>2.0525500000000002E-3</v>
      </c>
      <c r="BX123" s="83">
        <v>1.13499E-2</v>
      </c>
      <c r="BY123" s="83">
        <v>7.9913899999999993E-3</v>
      </c>
      <c r="BZ123" s="83">
        <v>2.02572E-3</v>
      </c>
      <c r="CA123" s="83">
        <v>1.13499E-2</v>
      </c>
      <c r="CB123" s="83">
        <v>6.9593800000000003E-3</v>
      </c>
      <c r="CC123" s="83">
        <v>1.92406E-3</v>
      </c>
      <c r="CD123" s="83">
        <v>1.13499E-2</v>
      </c>
      <c r="CE123" s="83">
        <v>6.8412500000000001E-3</v>
      </c>
      <c r="CF123" s="83">
        <v>1.93246E-3</v>
      </c>
      <c r="CG123" s="83">
        <v>1.13499E-2</v>
      </c>
      <c r="CH123" s="83">
        <v>7.0549100000000002E-3</v>
      </c>
      <c r="CI123" s="83">
        <v>1.9693499999999999E-3</v>
      </c>
      <c r="CJ123" s="83">
        <v>1.13499E-2</v>
      </c>
      <c r="CK123" s="83">
        <v>7.0735399999999997E-3</v>
      </c>
      <c r="CL123" s="83">
        <v>2.0003500000000001E-3</v>
      </c>
      <c r="CM123" s="83">
        <v>1.13499E-2</v>
      </c>
      <c r="CN123" s="83">
        <v>7.0353400000000002E-3</v>
      </c>
      <c r="CO123" s="83">
        <v>1.9516100000000001E-3</v>
      </c>
      <c r="CP123" s="83">
        <v>1.13499E-2</v>
      </c>
      <c r="CQ123" s="83">
        <v>6.4151599999999996E-3</v>
      </c>
      <c r="CR123" s="83">
        <v>1.91931E-3</v>
      </c>
      <c r="CS123" s="83">
        <v>1.13499E-2</v>
      </c>
      <c r="CT123" s="83">
        <v>6.4590200000000002E-3</v>
      </c>
      <c r="CU123" s="83">
        <v>2.0045900000000001E-3</v>
      </c>
      <c r="CV123" s="83">
        <v>1.13499E-2</v>
      </c>
      <c r="CW123" s="83">
        <v>5.66848E-3</v>
      </c>
      <c r="CX123" s="83">
        <v>1.9331999999999999E-3</v>
      </c>
    </row>
    <row r="124" spans="1:102" x14ac:dyDescent="0.2">
      <c r="A124" s="83">
        <v>1.1449900000000001E-2</v>
      </c>
      <c r="B124" s="83">
        <v>7.8510300000000002E-3</v>
      </c>
      <c r="C124" s="83">
        <v>1.7617100000000001E-3</v>
      </c>
      <c r="D124" s="83">
        <v>1.1449900000000001E-2</v>
      </c>
      <c r="E124" s="83">
        <v>8.4806199999999995E-3</v>
      </c>
      <c r="F124" s="83">
        <v>1.81624E-3</v>
      </c>
      <c r="G124" s="83">
        <v>1.1449900000000001E-2</v>
      </c>
      <c r="H124" s="83">
        <v>8.4266400000000009E-3</v>
      </c>
      <c r="I124" s="83">
        <v>1.86502E-3</v>
      </c>
      <c r="J124" s="83">
        <v>1.1449900000000001E-2</v>
      </c>
      <c r="K124" s="83">
        <v>7.8578899999999993E-3</v>
      </c>
      <c r="L124" s="83">
        <v>1.7717500000000001E-3</v>
      </c>
      <c r="M124" s="83">
        <v>1.1449900000000001E-2</v>
      </c>
      <c r="N124" s="83">
        <v>7.8974700000000002E-3</v>
      </c>
      <c r="O124" s="83">
        <v>1.8114800000000001E-3</v>
      </c>
      <c r="P124" s="83">
        <v>1.1449900000000001E-2</v>
      </c>
      <c r="Q124" s="83">
        <v>8.1017199999999998E-3</v>
      </c>
      <c r="R124" s="83">
        <v>1.88342E-3</v>
      </c>
      <c r="S124" s="83">
        <v>1.1449900000000001E-2</v>
      </c>
      <c r="T124" s="83">
        <v>8.1697200000000001E-3</v>
      </c>
      <c r="U124" s="83">
        <v>1.8682E-3</v>
      </c>
      <c r="V124" s="83">
        <v>1.1449900000000001E-2</v>
      </c>
      <c r="W124" s="83">
        <v>7.9000400000000005E-3</v>
      </c>
      <c r="X124" s="83">
        <v>1.8795699999999999E-3</v>
      </c>
      <c r="Y124" s="83">
        <v>1.1449900000000001E-2</v>
      </c>
      <c r="Z124" s="83">
        <v>8.9293299999999992E-3</v>
      </c>
      <c r="AA124" s="83">
        <v>1.8977600000000001E-3</v>
      </c>
      <c r="AB124" s="83">
        <v>1.1449900000000001E-2</v>
      </c>
      <c r="AC124" s="83">
        <v>8.3500299999999996E-3</v>
      </c>
      <c r="AD124" s="83">
        <v>1.8420299999999999E-3</v>
      </c>
      <c r="AE124" s="83">
        <v>1.1449900000000001E-2</v>
      </c>
      <c r="AF124" s="83">
        <v>7.2484400000000001E-3</v>
      </c>
      <c r="AG124" s="83">
        <v>1.88317E-3</v>
      </c>
      <c r="AH124" s="83">
        <v>1.1449900000000001E-2</v>
      </c>
      <c r="AI124" s="83">
        <v>7.26101E-3</v>
      </c>
      <c r="AJ124" s="83">
        <v>1.85155E-3</v>
      </c>
      <c r="AK124" s="83">
        <v>1.1449900000000001E-2</v>
      </c>
      <c r="AL124" s="83">
        <v>6.6849199999999996E-3</v>
      </c>
      <c r="AM124" s="83">
        <v>1.8210100000000001E-3</v>
      </c>
      <c r="AN124" s="83">
        <v>1.1449900000000001E-2</v>
      </c>
      <c r="AO124" s="83">
        <v>8.1773799999999997E-3</v>
      </c>
      <c r="AP124" s="83">
        <v>1.94494E-3</v>
      </c>
      <c r="AQ124" s="83">
        <v>1.1449900000000001E-2</v>
      </c>
      <c r="AR124" s="83">
        <v>7.4767999999999996E-3</v>
      </c>
      <c r="AS124" s="83">
        <v>1.8941699999999999E-3</v>
      </c>
      <c r="AT124" s="83">
        <v>1.1449900000000001E-2</v>
      </c>
      <c r="AU124" s="83">
        <v>6.6068699999999999E-3</v>
      </c>
      <c r="AV124" s="83">
        <v>1.8515000000000001E-3</v>
      </c>
      <c r="AW124" s="83">
        <v>1.1449900000000001E-2</v>
      </c>
      <c r="AX124" s="83">
        <v>7.03902E-3</v>
      </c>
      <c r="AY124" s="83">
        <v>1.79087E-3</v>
      </c>
      <c r="AZ124" s="83">
        <v>1.1449900000000001E-2</v>
      </c>
      <c r="BA124" s="83">
        <v>6.71947E-3</v>
      </c>
      <c r="BB124" s="83">
        <v>1.9275900000000001E-3</v>
      </c>
      <c r="BC124" s="83">
        <v>1.1449900000000001E-2</v>
      </c>
      <c r="BD124" s="83">
        <v>6.7172500000000001E-3</v>
      </c>
      <c r="BE124" s="83">
        <v>1.8760599999999999E-3</v>
      </c>
      <c r="BF124" s="83">
        <v>1.1449900000000001E-2</v>
      </c>
      <c r="BG124" s="83">
        <v>7.0891699999999997E-3</v>
      </c>
      <c r="BH124" s="83">
        <v>1.80529E-3</v>
      </c>
      <c r="BI124" s="83">
        <v>1.1449900000000001E-2</v>
      </c>
      <c r="BJ124" s="83">
        <v>6.9836500000000001E-3</v>
      </c>
      <c r="BK124" s="83">
        <v>1.87422E-3</v>
      </c>
      <c r="BL124" s="83">
        <v>1.1449900000000001E-2</v>
      </c>
      <c r="BM124" s="83">
        <v>7.5728599999999998E-3</v>
      </c>
      <c r="BN124" s="83">
        <v>1.91132E-3</v>
      </c>
      <c r="BO124" s="83">
        <v>1.1449900000000001E-2</v>
      </c>
      <c r="BP124" s="83">
        <v>7.1897699999999998E-3</v>
      </c>
      <c r="BQ124" s="83">
        <v>1.8691599999999999E-3</v>
      </c>
      <c r="BR124" s="83">
        <v>1.1449900000000001E-2</v>
      </c>
      <c r="BS124" s="83">
        <v>7.1486299999999996E-3</v>
      </c>
      <c r="BT124" s="83">
        <v>1.9162999999999999E-3</v>
      </c>
      <c r="BU124" s="83">
        <v>1.1449900000000001E-2</v>
      </c>
      <c r="BV124" s="83">
        <v>7.0621099999999999E-3</v>
      </c>
      <c r="BW124" s="83">
        <v>1.9382900000000001E-3</v>
      </c>
      <c r="BX124" s="83">
        <v>1.1449900000000001E-2</v>
      </c>
      <c r="BY124" s="83">
        <v>7.32733E-3</v>
      </c>
      <c r="BZ124" s="83">
        <v>1.8948599999999999E-3</v>
      </c>
      <c r="CA124" s="83">
        <v>1.1449900000000001E-2</v>
      </c>
      <c r="CB124" s="83">
        <v>6.7152399999999999E-3</v>
      </c>
      <c r="CC124" s="83">
        <v>1.8303099999999999E-3</v>
      </c>
      <c r="CD124" s="83">
        <v>1.1449900000000001E-2</v>
      </c>
      <c r="CE124" s="83">
        <v>6.2064900000000003E-3</v>
      </c>
      <c r="CF124" s="83">
        <v>1.82895E-3</v>
      </c>
      <c r="CG124" s="83">
        <v>1.1449900000000001E-2</v>
      </c>
      <c r="CH124" s="83">
        <v>6.5324500000000004E-3</v>
      </c>
      <c r="CI124" s="83">
        <v>1.8384899999999999E-3</v>
      </c>
      <c r="CJ124" s="83">
        <v>1.1449900000000001E-2</v>
      </c>
      <c r="CK124" s="83">
        <v>6.8342899999999998E-3</v>
      </c>
      <c r="CL124" s="83">
        <v>1.89781E-3</v>
      </c>
      <c r="CM124" s="83">
        <v>1.1449900000000001E-2</v>
      </c>
      <c r="CN124" s="83">
        <v>6.4298699999999999E-3</v>
      </c>
      <c r="CO124" s="83">
        <v>1.84614E-3</v>
      </c>
      <c r="CP124" s="83">
        <v>1.1449900000000001E-2</v>
      </c>
      <c r="CQ124" s="83">
        <v>6.1075499999999998E-3</v>
      </c>
      <c r="CR124" s="83">
        <v>1.81091E-3</v>
      </c>
      <c r="CS124" s="83">
        <v>1.1449900000000001E-2</v>
      </c>
      <c r="CT124" s="83">
        <v>6.3076499999999997E-3</v>
      </c>
      <c r="CU124" s="83">
        <v>1.8707999999999999E-3</v>
      </c>
      <c r="CV124" s="83">
        <v>1.1449900000000001E-2</v>
      </c>
      <c r="CW124" s="83">
        <v>5.55618E-3</v>
      </c>
      <c r="CX124" s="83">
        <v>1.8062499999999999E-3</v>
      </c>
    </row>
    <row r="125" spans="1:102" x14ac:dyDescent="0.2">
      <c r="A125" s="83">
        <v>1.15499E-2</v>
      </c>
      <c r="B125" s="83">
        <v>7.4506399999999997E-3</v>
      </c>
      <c r="C125" s="83">
        <v>1.6464800000000001E-3</v>
      </c>
      <c r="D125" s="83">
        <v>1.15499E-2</v>
      </c>
      <c r="E125" s="83">
        <v>7.7530799999999999E-3</v>
      </c>
      <c r="F125" s="83">
        <v>1.73226E-3</v>
      </c>
      <c r="G125" s="83">
        <v>1.15499E-2</v>
      </c>
      <c r="H125" s="83">
        <v>7.2840600000000002E-3</v>
      </c>
      <c r="I125" s="83">
        <v>1.7409999999999999E-3</v>
      </c>
      <c r="J125" s="83">
        <v>1.15499E-2</v>
      </c>
      <c r="K125" s="83">
        <v>7.3500800000000002E-3</v>
      </c>
      <c r="L125" s="83">
        <v>1.69264E-3</v>
      </c>
      <c r="M125" s="83">
        <v>1.15499E-2</v>
      </c>
      <c r="N125" s="83">
        <v>6.76955E-3</v>
      </c>
      <c r="O125" s="83">
        <v>1.69527E-3</v>
      </c>
      <c r="P125" s="83">
        <v>1.15499E-2</v>
      </c>
      <c r="Q125" s="83">
        <v>6.9493799999999998E-3</v>
      </c>
      <c r="R125" s="83">
        <v>1.79748E-3</v>
      </c>
      <c r="S125" s="83">
        <v>1.15499E-2</v>
      </c>
      <c r="T125" s="83">
        <v>7.91094E-3</v>
      </c>
      <c r="U125" s="83">
        <v>1.75785E-3</v>
      </c>
      <c r="V125" s="83">
        <v>1.15499E-2</v>
      </c>
      <c r="W125" s="83">
        <v>7.1529699999999998E-3</v>
      </c>
      <c r="X125" s="83">
        <v>1.77801E-3</v>
      </c>
      <c r="Y125" s="83">
        <v>1.15499E-2</v>
      </c>
      <c r="Z125" s="83">
        <v>8.0797200000000003E-3</v>
      </c>
      <c r="AA125" s="83">
        <v>1.78448E-3</v>
      </c>
      <c r="AB125" s="83">
        <v>1.15499E-2</v>
      </c>
      <c r="AC125" s="83">
        <v>7.6468999999999999E-3</v>
      </c>
      <c r="AD125" s="83">
        <v>1.7365600000000001E-3</v>
      </c>
      <c r="AE125" s="83">
        <v>1.15499E-2</v>
      </c>
      <c r="AF125" s="83">
        <v>7.2826200000000001E-3</v>
      </c>
      <c r="AG125" s="83">
        <v>1.7611E-3</v>
      </c>
      <c r="AH125" s="83">
        <v>1.15499E-2</v>
      </c>
      <c r="AI125" s="83">
        <v>6.6018300000000004E-3</v>
      </c>
      <c r="AJ125" s="83">
        <v>1.7206999999999999E-3</v>
      </c>
      <c r="AK125" s="83">
        <v>1.15499E-2</v>
      </c>
      <c r="AL125" s="83">
        <v>6.4505500000000002E-3</v>
      </c>
      <c r="AM125" s="83">
        <v>1.7458199999999999E-3</v>
      </c>
      <c r="AN125" s="83">
        <v>1.15499E-2</v>
      </c>
      <c r="AO125" s="83">
        <v>7.4205499999999997E-3</v>
      </c>
      <c r="AP125" s="83">
        <v>1.8384899999999999E-3</v>
      </c>
      <c r="AQ125" s="83">
        <v>1.15499E-2</v>
      </c>
      <c r="AR125" s="83">
        <v>7.0910599999999997E-3</v>
      </c>
      <c r="AS125" s="83">
        <v>1.7896800000000001E-3</v>
      </c>
      <c r="AT125" s="83">
        <v>1.15499E-2</v>
      </c>
      <c r="AU125" s="83">
        <v>6.3773800000000002E-3</v>
      </c>
      <c r="AV125" s="83">
        <v>1.7411499999999999E-3</v>
      </c>
      <c r="AW125" s="83">
        <v>1.15499E-2</v>
      </c>
      <c r="AX125" s="83">
        <v>6.2138200000000001E-3</v>
      </c>
      <c r="AY125" s="83">
        <v>1.7010300000000001E-3</v>
      </c>
      <c r="AZ125" s="83">
        <v>1.15499E-2</v>
      </c>
      <c r="BA125" s="83">
        <v>6.2067800000000003E-3</v>
      </c>
      <c r="BB125" s="83">
        <v>1.8133400000000001E-3</v>
      </c>
      <c r="BC125" s="83">
        <v>1.15499E-2</v>
      </c>
      <c r="BD125" s="83">
        <v>6.3754500000000004E-3</v>
      </c>
      <c r="BE125" s="83">
        <v>1.7285899999999999E-3</v>
      </c>
      <c r="BF125" s="83">
        <v>1.15499E-2</v>
      </c>
      <c r="BG125" s="83">
        <v>6.7473699999999999E-3</v>
      </c>
      <c r="BH125" s="83">
        <v>1.6998200000000001E-3</v>
      </c>
      <c r="BI125" s="83">
        <v>1.15499E-2</v>
      </c>
      <c r="BJ125" s="83">
        <v>6.3684199999999996E-3</v>
      </c>
      <c r="BK125" s="83">
        <v>1.7629E-3</v>
      </c>
      <c r="BL125" s="83">
        <v>1.15499E-2</v>
      </c>
      <c r="BM125" s="83">
        <v>7.0162200000000001E-3</v>
      </c>
      <c r="BN125" s="83">
        <v>1.78046E-3</v>
      </c>
      <c r="BO125" s="83">
        <v>1.15499E-2</v>
      </c>
      <c r="BP125" s="83">
        <v>6.7210200000000003E-3</v>
      </c>
      <c r="BQ125" s="83">
        <v>1.751E-3</v>
      </c>
      <c r="BR125" s="83">
        <v>1.15499E-2</v>
      </c>
      <c r="BS125" s="83">
        <v>5.7179700000000002E-3</v>
      </c>
      <c r="BT125" s="83">
        <v>1.7854399999999999E-3</v>
      </c>
      <c r="BU125" s="83">
        <v>1.15499E-2</v>
      </c>
      <c r="BV125" s="83">
        <v>6.9742199999999997E-3</v>
      </c>
      <c r="BW125" s="83">
        <v>1.8044999999999999E-3</v>
      </c>
      <c r="BX125" s="83">
        <v>1.15499E-2</v>
      </c>
      <c r="BY125" s="83">
        <v>6.7413899999999999E-3</v>
      </c>
      <c r="BZ125" s="83">
        <v>1.77377E-3</v>
      </c>
      <c r="CA125" s="83">
        <v>1.15499E-2</v>
      </c>
      <c r="CB125" s="83">
        <v>6.43204E-3</v>
      </c>
      <c r="CC125" s="83">
        <v>1.7033599999999999E-3</v>
      </c>
      <c r="CD125" s="83">
        <v>1.15499E-2</v>
      </c>
      <c r="CE125" s="83">
        <v>5.81586E-3</v>
      </c>
      <c r="CF125" s="83">
        <v>1.70981E-3</v>
      </c>
      <c r="CG125" s="83">
        <v>1.15499E-2</v>
      </c>
      <c r="CH125" s="83">
        <v>6.6447499999999996E-3</v>
      </c>
      <c r="CI125" s="83">
        <v>1.74278E-3</v>
      </c>
      <c r="CJ125" s="83">
        <v>1.15499E-2</v>
      </c>
      <c r="CK125" s="83">
        <v>6.4339000000000002E-3</v>
      </c>
      <c r="CL125" s="83">
        <v>1.78941E-3</v>
      </c>
      <c r="CM125" s="83">
        <v>1.15499E-2</v>
      </c>
      <c r="CN125" s="83">
        <v>6.2980299999999996E-3</v>
      </c>
      <c r="CO125" s="83">
        <v>1.73872E-3</v>
      </c>
      <c r="CP125" s="83">
        <v>1.15499E-2</v>
      </c>
      <c r="CQ125" s="83">
        <v>5.76575E-3</v>
      </c>
      <c r="CR125" s="83">
        <v>1.7064199999999999E-3</v>
      </c>
      <c r="CS125" s="83">
        <v>1.15499E-2</v>
      </c>
      <c r="CT125" s="83">
        <v>6.0390900000000004E-3</v>
      </c>
      <c r="CU125" s="83">
        <v>1.7497000000000001E-3</v>
      </c>
      <c r="CV125" s="83">
        <v>1.15499E-2</v>
      </c>
      <c r="CW125" s="83">
        <v>4.9702399999999999E-3</v>
      </c>
      <c r="CX125" s="83">
        <v>1.71445E-3</v>
      </c>
    </row>
    <row r="126" spans="1:102" x14ac:dyDescent="0.2">
      <c r="A126" s="83">
        <v>1.1649899999999999E-2</v>
      </c>
      <c r="B126" s="83">
        <v>7.2455599999999998E-3</v>
      </c>
      <c r="C126" s="83">
        <v>1.5615099999999999E-3</v>
      </c>
      <c r="D126" s="83">
        <v>1.1649899999999999E-2</v>
      </c>
      <c r="E126" s="83">
        <v>7.1085499999999999E-3</v>
      </c>
      <c r="F126" s="83">
        <v>1.61312E-3</v>
      </c>
      <c r="G126" s="83">
        <v>1.1649899999999999E-2</v>
      </c>
      <c r="H126" s="83">
        <v>6.8446100000000001E-3</v>
      </c>
      <c r="I126" s="83">
        <v>1.6667800000000001E-3</v>
      </c>
      <c r="J126" s="83">
        <v>1.1649899999999999E-2</v>
      </c>
      <c r="K126" s="83">
        <v>7.2133600000000003E-3</v>
      </c>
      <c r="L126" s="83">
        <v>1.5705700000000001E-3</v>
      </c>
      <c r="M126" s="83">
        <v>1.1649899999999999E-2</v>
      </c>
      <c r="N126" s="83">
        <v>6.69142E-3</v>
      </c>
      <c r="O126" s="83">
        <v>1.6083600000000001E-3</v>
      </c>
      <c r="P126" s="83">
        <v>1.1649899999999999E-2</v>
      </c>
      <c r="Q126" s="83">
        <v>6.6710600000000004E-3</v>
      </c>
      <c r="R126" s="83">
        <v>1.6617400000000001E-3</v>
      </c>
      <c r="S126" s="83">
        <v>1.1649899999999999E-2</v>
      </c>
      <c r="T126" s="83">
        <v>7.51543E-3</v>
      </c>
      <c r="U126" s="83">
        <v>1.6592200000000001E-3</v>
      </c>
      <c r="V126" s="83">
        <v>1.1649899999999999E-2</v>
      </c>
      <c r="W126" s="83">
        <v>6.4937900000000002E-3</v>
      </c>
      <c r="X126" s="83">
        <v>1.6530099999999999E-3</v>
      </c>
      <c r="Y126" s="83">
        <v>1.1649899999999999E-2</v>
      </c>
      <c r="Z126" s="83">
        <v>7.11292E-3</v>
      </c>
      <c r="AA126" s="83">
        <v>1.6780300000000001E-3</v>
      </c>
      <c r="AB126" s="83">
        <v>1.1649899999999999E-2</v>
      </c>
      <c r="AC126" s="83">
        <v>6.9291300000000004E-3</v>
      </c>
      <c r="AD126" s="83">
        <v>1.64281E-3</v>
      </c>
      <c r="AE126" s="83">
        <v>1.1649899999999999E-2</v>
      </c>
      <c r="AF126" s="83">
        <v>6.9310600000000002E-3</v>
      </c>
      <c r="AG126" s="83">
        <v>1.6741900000000001E-3</v>
      </c>
      <c r="AH126" s="83">
        <v>1.1649899999999999E-2</v>
      </c>
      <c r="AI126" s="83">
        <v>6.5627599999999999E-3</v>
      </c>
      <c r="AJ126" s="83">
        <v>1.61718E-3</v>
      </c>
      <c r="AK126" s="83">
        <v>1.1649899999999999E-2</v>
      </c>
      <c r="AL126" s="83">
        <v>6.2015200000000003E-3</v>
      </c>
      <c r="AM126" s="83">
        <v>1.60421E-3</v>
      </c>
      <c r="AN126" s="83">
        <v>1.1649899999999999E-2</v>
      </c>
      <c r="AO126" s="83">
        <v>6.9371499999999996E-3</v>
      </c>
      <c r="AP126" s="83">
        <v>1.7154500000000001E-3</v>
      </c>
      <c r="AQ126" s="83">
        <v>1.1649899999999999E-2</v>
      </c>
      <c r="AR126" s="83">
        <v>5.7873500000000001E-3</v>
      </c>
      <c r="AS126" s="83">
        <v>1.66468E-3</v>
      </c>
      <c r="AT126" s="83">
        <v>1.1649899999999999E-2</v>
      </c>
      <c r="AU126" s="83">
        <v>6.0648799999999999E-3</v>
      </c>
      <c r="AV126" s="83">
        <v>1.6327500000000001E-3</v>
      </c>
      <c r="AW126" s="83">
        <v>1.1649899999999999E-2</v>
      </c>
      <c r="AX126" s="83">
        <v>5.7157700000000002E-3</v>
      </c>
      <c r="AY126" s="83">
        <v>1.59263E-3</v>
      </c>
      <c r="AZ126" s="83">
        <v>1.1649899999999999E-2</v>
      </c>
      <c r="BA126" s="83">
        <v>5.9724000000000001E-3</v>
      </c>
      <c r="BB126" s="83">
        <v>1.7108E-3</v>
      </c>
      <c r="BC126" s="83">
        <v>1.1649899999999999E-2</v>
      </c>
      <c r="BD126" s="83">
        <v>6.3022099999999999E-3</v>
      </c>
      <c r="BE126" s="83">
        <v>1.6534E-3</v>
      </c>
      <c r="BF126" s="83">
        <v>1.1649899999999999E-2</v>
      </c>
      <c r="BG126" s="83">
        <v>6.5764700000000001E-3</v>
      </c>
      <c r="BH126" s="83">
        <v>1.6148600000000001E-3</v>
      </c>
      <c r="BI126" s="83">
        <v>1.1649899999999999E-2</v>
      </c>
      <c r="BJ126" s="83">
        <v>6.3537699999999999E-3</v>
      </c>
      <c r="BK126" s="83">
        <v>1.65059E-3</v>
      </c>
      <c r="BL126" s="83">
        <v>1.1649899999999999E-2</v>
      </c>
      <c r="BM126" s="83">
        <v>6.7086000000000003E-3</v>
      </c>
      <c r="BN126" s="83">
        <v>1.6750000000000001E-3</v>
      </c>
      <c r="BO126" s="83">
        <v>1.1649899999999999E-2</v>
      </c>
      <c r="BP126" s="83">
        <v>6.6087200000000002E-3</v>
      </c>
      <c r="BQ126" s="83">
        <v>1.65822E-3</v>
      </c>
      <c r="BR126" s="83">
        <v>1.1649899999999999E-2</v>
      </c>
      <c r="BS126" s="83">
        <v>5.7130799999999997E-3</v>
      </c>
      <c r="BT126" s="83">
        <v>1.6887600000000001E-3</v>
      </c>
      <c r="BU126" s="83">
        <v>1.1649899999999999E-2</v>
      </c>
      <c r="BV126" s="83">
        <v>6.6031299999999996E-3</v>
      </c>
      <c r="BW126" s="83">
        <v>1.7097799999999999E-3</v>
      </c>
      <c r="BX126" s="83">
        <v>1.1649899999999999E-2</v>
      </c>
      <c r="BY126" s="83">
        <v>6.53631E-3</v>
      </c>
      <c r="BZ126" s="83">
        <v>1.68392E-3</v>
      </c>
      <c r="CA126" s="83">
        <v>1.1649899999999999E-2</v>
      </c>
      <c r="CB126" s="83">
        <v>5.9291099999999996E-3</v>
      </c>
      <c r="CC126" s="83">
        <v>1.59398E-3</v>
      </c>
      <c r="CD126" s="83">
        <v>1.1649899999999999E-2</v>
      </c>
      <c r="CE126" s="83">
        <v>5.6693799999999999E-3</v>
      </c>
      <c r="CF126" s="83">
        <v>1.59457E-3</v>
      </c>
      <c r="CG126" s="83">
        <v>1.1649899999999999E-2</v>
      </c>
      <c r="CH126" s="83">
        <v>6.3615499999999997E-3</v>
      </c>
      <c r="CI126" s="83">
        <v>1.6529400000000001E-3</v>
      </c>
      <c r="CJ126" s="83">
        <v>1.1649899999999999E-2</v>
      </c>
      <c r="CK126" s="83">
        <v>6.1311600000000001E-3</v>
      </c>
      <c r="CL126" s="83">
        <v>1.6566E-3</v>
      </c>
      <c r="CM126" s="83">
        <v>1.1649899999999999E-2</v>
      </c>
      <c r="CN126" s="83">
        <v>5.93182E-3</v>
      </c>
      <c r="CO126" s="83">
        <v>1.6361800000000001E-3</v>
      </c>
      <c r="CP126" s="83">
        <v>1.1649899999999999E-2</v>
      </c>
      <c r="CQ126" s="83">
        <v>4.9014899999999997E-3</v>
      </c>
      <c r="CR126" s="83">
        <v>1.5941099999999999E-3</v>
      </c>
      <c r="CS126" s="83">
        <v>1.1649899999999999E-2</v>
      </c>
      <c r="CT126" s="83">
        <v>5.0137000000000003E-3</v>
      </c>
      <c r="CU126" s="83">
        <v>1.64912E-3</v>
      </c>
      <c r="CV126" s="83">
        <v>1.1649899999999999E-2</v>
      </c>
      <c r="CW126" s="83">
        <v>4.6577399999999996E-3</v>
      </c>
      <c r="CX126" s="83">
        <v>1.59727E-3</v>
      </c>
    </row>
    <row r="127" spans="1:102" x14ac:dyDescent="0.2">
      <c r="A127" s="83">
        <v>1.1749900000000001E-2</v>
      </c>
      <c r="B127" s="83">
        <v>6.82564E-3</v>
      </c>
      <c r="C127" s="83">
        <v>1.48437E-3</v>
      </c>
      <c r="D127" s="83">
        <v>1.1749900000000001E-2</v>
      </c>
      <c r="E127" s="83">
        <v>6.6153899999999996E-3</v>
      </c>
      <c r="F127" s="83">
        <v>1.50862E-3</v>
      </c>
      <c r="G127" s="83">
        <v>1.1749900000000001E-2</v>
      </c>
      <c r="H127" s="83">
        <v>6.6590599999999996E-3</v>
      </c>
      <c r="I127" s="83">
        <v>1.5544700000000001E-3</v>
      </c>
      <c r="J127" s="83">
        <v>1.1749900000000001E-2</v>
      </c>
      <c r="K127" s="83">
        <v>6.9936299999999998E-3</v>
      </c>
      <c r="L127" s="83">
        <v>1.45925E-3</v>
      </c>
      <c r="M127" s="83">
        <v>1.1749900000000001E-2</v>
      </c>
      <c r="N127" s="83">
        <v>6.2324399999999997E-3</v>
      </c>
      <c r="O127" s="83">
        <v>1.4696799999999999E-3</v>
      </c>
      <c r="P127" s="83">
        <v>1.1749900000000001E-2</v>
      </c>
      <c r="Q127" s="83">
        <v>6.1485999999999997E-3</v>
      </c>
      <c r="R127" s="83">
        <v>1.53185E-3</v>
      </c>
      <c r="S127" s="83">
        <v>1.1749900000000001E-2</v>
      </c>
      <c r="T127" s="83">
        <v>6.71465E-3</v>
      </c>
      <c r="U127" s="83">
        <v>1.57621E-3</v>
      </c>
      <c r="V127" s="83">
        <v>1.1749900000000001E-2</v>
      </c>
      <c r="W127" s="83">
        <v>5.86391E-3</v>
      </c>
      <c r="X127" s="83">
        <v>1.5377699999999999E-3</v>
      </c>
      <c r="Y127" s="83">
        <v>1.1749900000000001E-2</v>
      </c>
      <c r="Z127" s="83">
        <v>6.8492500000000003E-3</v>
      </c>
      <c r="AA127" s="83">
        <v>1.5803799999999999E-3</v>
      </c>
      <c r="AB127" s="83">
        <v>1.1749900000000001E-2</v>
      </c>
      <c r="AC127" s="83">
        <v>6.0258100000000004E-3</v>
      </c>
      <c r="AD127" s="83">
        <v>1.5217200000000001E-3</v>
      </c>
      <c r="AE127" s="83">
        <v>1.1749900000000001E-2</v>
      </c>
      <c r="AF127" s="83">
        <v>6.6136700000000003E-3</v>
      </c>
      <c r="AG127" s="83">
        <v>1.5511399999999999E-3</v>
      </c>
      <c r="AH127" s="83">
        <v>1.1749900000000001E-2</v>
      </c>
      <c r="AI127" s="83">
        <v>6.3772200000000003E-3</v>
      </c>
      <c r="AJ127" s="83">
        <v>1.5419800000000001E-3</v>
      </c>
      <c r="AK127" s="83">
        <v>1.1749900000000001E-2</v>
      </c>
      <c r="AL127" s="83">
        <v>6.1136300000000001E-3</v>
      </c>
      <c r="AM127" s="83">
        <v>1.51144E-3</v>
      </c>
      <c r="AN127" s="83">
        <v>1.1749900000000001E-2</v>
      </c>
      <c r="AO127" s="83">
        <v>6.3463299999999999E-3</v>
      </c>
      <c r="AP127" s="83">
        <v>1.62463E-3</v>
      </c>
      <c r="AQ127" s="83">
        <v>1.1749900000000001E-2</v>
      </c>
      <c r="AR127" s="83">
        <v>5.6115699999999998E-3</v>
      </c>
      <c r="AS127" s="83">
        <v>1.5582300000000001E-3</v>
      </c>
      <c r="AT127" s="83">
        <v>1.1749900000000001E-2</v>
      </c>
      <c r="AU127" s="83">
        <v>5.8598000000000001E-3</v>
      </c>
      <c r="AV127" s="83">
        <v>1.51947E-3</v>
      </c>
      <c r="AW127" s="83">
        <v>1.1749900000000001E-2</v>
      </c>
      <c r="AX127" s="83">
        <v>5.4765200000000003E-3</v>
      </c>
      <c r="AY127" s="83">
        <v>1.4891100000000001E-3</v>
      </c>
      <c r="AZ127" s="83">
        <v>1.1749900000000001E-2</v>
      </c>
      <c r="BA127" s="83">
        <v>5.7087300000000004E-3</v>
      </c>
      <c r="BB127" s="83">
        <v>1.5779800000000001E-3</v>
      </c>
      <c r="BC127" s="83">
        <v>1.1749900000000001E-2</v>
      </c>
      <c r="BD127" s="83">
        <v>6.0483000000000004E-3</v>
      </c>
      <c r="BE127" s="83">
        <v>1.5371899999999999E-3</v>
      </c>
      <c r="BF127" s="83">
        <v>1.1749900000000001E-2</v>
      </c>
      <c r="BG127" s="83">
        <v>6.0491299999999998E-3</v>
      </c>
      <c r="BH127" s="83">
        <v>1.49084E-3</v>
      </c>
      <c r="BI127" s="83">
        <v>1.1749900000000001E-2</v>
      </c>
      <c r="BJ127" s="83">
        <v>5.9533800000000003E-3</v>
      </c>
      <c r="BK127" s="83">
        <v>1.5334000000000001E-3</v>
      </c>
      <c r="BL127" s="83">
        <v>1.1749900000000001E-2</v>
      </c>
      <c r="BM127" s="83">
        <v>6.4937600000000003E-3</v>
      </c>
      <c r="BN127" s="83">
        <v>1.56953E-3</v>
      </c>
      <c r="BO127" s="83">
        <v>1.1749900000000001E-2</v>
      </c>
      <c r="BP127" s="83">
        <v>5.83235E-3</v>
      </c>
      <c r="BQ127" s="83">
        <v>1.54787E-3</v>
      </c>
      <c r="BR127" s="83">
        <v>1.1749900000000001E-2</v>
      </c>
      <c r="BS127" s="83">
        <v>5.0783199999999999E-3</v>
      </c>
      <c r="BT127" s="83">
        <v>1.5959800000000001E-3</v>
      </c>
      <c r="BU127" s="83">
        <v>1.1749900000000001E-2</v>
      </c>
      <c r="BV127" s="83">
        <v>6.4566399999999996E-3</v>
      </c>
      <c r="BW127" s="83">
        <v>1.60333E-3</v>
      </c>
      <c r="BX127" s="83">
        <v>1.1749900000000001E-2</v>
      </c>
      <c r="BY127" s="83">
        <v>6.4337700000000001E-3</v>
      </c>
      <c r="BZ127" s="83">
        <v>1.56478E-3</v>
      </c>
      <c r="CA127" s="83">
        <v>1.1749900000000001E-2</v>
      </c>
      <c r="CB127" s="83">
        <v>5.5531299999999999E-3</v>
      </c>
      <c r="CC127" s="83">
        <v>1.4924199999999999E-3</v>
      </c>
      <c r="CD127" s="83">
        <v>1.1749900000000001E-2</v>
      </c>
      <c r="CE127" s="83">
        <v>5.1469200000000001E-3</v>
      </c>
      <c r="CF127" s="83">
        <v>1.5027700000000001E-3</v>
      </c>
      <c r="CG127" s="83">
        <v>1.1749900000000001E-2</v>
      </c>
      <c r="CH127" s="83">
        <v>5.7560800000000002E-3</v>
      </c>
      <c r="CI127" s="83">
        <v>1.5464999999999999E-3</v>
      </c>
      <c r="CJ127" s="83">
        <v>1.1749900000000001E-2</v>
      </c>
      <c r="CK127" s="83">
        <v>5.3889699999999999E-3</v>
      </c>
      <c r="CL127" s="83">
        <v>1.57066E-3</v>
      </c>
      <c r="CM127" s="83">
        <v>1.1749900000000001E-2</v>
      </c>
      <c r="CN127" s="83">
        <v>5.5753799999999996E-3</v>
      </c>
      <c r="CO127" s="83">
        <v>1.5404800000000001E-3</v>
      </c>
      <c r="CP127" s="83">
        <v>1.1749900000000001E-2</v>
      </c>
      <c r="CQ127" s="83">
        <v>4.8087199999999998E-3</v>
      </c>
      <c r="CR127" s="83">
        <v>1.49939E-3</v>
      </c>
      <c r="CS127" s="83">
        <v>1.1749900000000001E-2</v>
      </c>
      <c r="CT127" s="83">
        <v>4.6377299999999996E-3</v>
      </c>
      <c r="CU127" s="83">
        <v>1.54853E-3</v>
      </c>
      <c r="CV127" s="83">
        <v>1.1749900000000001E-2</v>
      </c>
      <c r="CW127" s="83">
        <v>4.50637E-3</v>
      </c>
      <c r="CX127" s="83">
        <v>1.5406300000000001E-3</v>
      </c>
    </row>
    <row r="128" spans="1:102" x14ac:dyDescent="0.2">
      <c r="A128" s="83">
        <v>1.18499E-2</v>
      </c>
      <c r="B128" s="83">
        <v>6.6010299999999999E-3</v>
      </c>
      <c r="C128" s="83">
        <v>1.39062E-3</v>
      </c>
      <c r="D128" s="83">
        <v>1.18499E-2</v>
      </c>
      <c r="E128" s="83">
        <v>6.3077699999999999E-3</v>
      </c>
      <c r="F128" s="83">
        <v>1.4256200000000001E-3</v>
      </c>
      <c r="G128" s="83">
        <v>1.18499E-2</v>
      </c>
      <c r="H128" s="83">
        <v>6.0096500000000001E-3</v>
      </c>
      <c r="I128" s="83">
        <v>1.4753699999999999E-3</v>
      </c>
      <c r="J128" s="83">
        <v>1.18499E-2</v>
      </c>
      <c r="K128" s="83">
        <v>6.5297599999999999E-3</v>
      </c>
      <c r="L128" s="83">
        <v>1.3986999999999999E-3</v>
      </c>
      <c r="M128" s="83">
        <v>1.18499E-2</v>
      </c>
      <c r="N128" s="83">
        <v>6.1689600000000002E-3</v>
      </c>
      <c r="O128" s="83">
        <v>1.3964400000000001E-3</v>
      </c>
      <c r="P128" s="83">
        <v>1.18499E-2</v>
      </c>
      <c r="Q128" s="83">
        <v>5.95328E-3</v>
      </c>
      <c r="R128" s="83">
        <v>1.44494E-3</v>
      </c>
      <c r="S128" s="83">
        <v>1.18499E-2</v>
      </c>
      <c r="T128" s="83">
        <v>6.6853499999999996E-3</v>
      </c>
      <c r="U128" s="83">
        <v>1.46488E-3</v>
      </c>
      <c r="V128" s="83">
        <v>1.18499E-2</v>
      </c>
      <c r="W128" s="83">
        <v>5.5562900000000002E-3</v>
      </c>
      <c r="X128" s="83">
        <v>1.47722E-3</v>
      </c>
      <c r="Y128" s="83">
        <v>1.18499E-2</v>
      </c>
      <c r="Z128" s="83">
        <v>6.4683900000000001E-3</v>
      </c>
      <c r="AA128" s="83">
        <v>1.46905E-3</v>
      </c>
      <c r="AB128" s="83">
        <v>1.18499E-2</v>
      </c>
      <c r="AC128" s="83">
        <v>6.06487E-3</v>
      </c>
      <c r="AD128" s="83">
        <v>1.4523800000000001E-3</v>
      </c>
      <c r="AE128" s="83">
        <v>1.18499E-2</v>
      </c>
      <c r="AF128" s="83">
        <v>6.1498100000000003E-3</v>
      </c>
      <c r="AG128" s="83">
        <v>1.4622700000000001E-3</v>
      </c>
      <c r="AH128" s="83">
        <v>1.18499E-2</v>
      </c>
      <c r="AI128" s="83">
        <v>6.0061200000000002E-3</v>
      </c>
      <c r="AJ128" s="83">
        <v>1.4160100000000001E-3</v>
      </c>
      <c r="AK128" s="83">
        <v>1.18499E-2</v>
      </c>
      <c r="AL128" s="83">
        <v>5.3030899999999999E-3</v>
      </c>
      <c r="AM128" s="83">
        <v>1.43234E-3</v>
      </c>
      <c r="AN128" s="83">
        <v>1.18499E-2</v>
      </c>
      <c r="AO128" s="83">
        <v>5.7945699999999998E-3</v>
      </c>
      <c r="AP128" s="83">
        <v>1.49865E-3</v>
      </c>
      <c r="AQ128" s="83">
        <v>1.18499E-2</v>
      </c>
      <c r="AR128" s="83">
        <v>5.1037499999999998E-3</v>
      </c>
      <c r="AS128" s="83">
        <v>1.4703400000000001E-3</v>
      </c>
      <c r="AT128" s="83">
        <v>1.18499E-2</v>
      </c>
      <c r="AU128" s="83">
        <v>5.1957399999999999E-3</v>
      </c>
      <c r="AV128" s="83">
        <v>1.4130200000000001E-3</v>
      </c>
      <c r="AW128" s="83">
        <v>1.18499E-2</v>
      </c>
      <c r="AX128" s="83">
        <v>4.8319900000000004E-3</v>
      </c>
      <c r="AY128" s="83">
        <v>1.3982899999999999E-3</v>
      </c>
      <c r="AZ128" s="83">
        <v>1.18499E-2</v>
      </c>
      <c r="BA128" s="83">
        <v>5.3229899999999997E-3</v>
      </c>
      <c r="BB128" s="83">
        <v>1.48814E-3</v>
      </c>
      <c r="BC128" s="83">
        <v>1.18499E-2</v>
      </c>
      <c r="BD128" s="83">
        <v>5.51119E-3</v>
      </c>
      <c r="BE128" s="83">
        <v>1.43856E-3</v>
      </c>
      <c r="BF128" s="83">
        <v>1.18499E-2</v>
      </c>
      <c r="BG128" s="83">
        <v>5.8879900000000001E-3</v>
      </c>
      <c r="BH128" s="83">
        <v>1.42931E-3</v>
      </c>
      <c r="BI128" s="83">
        <v>1.18499E-2</v>
      </c>
      <c r="BJ128" s="83">
        <v>5.5676399999999996E-3</v>
      </c>
      <c r="BK128" s="83">
        <v>1.44356E-3</v>
      </c>
      <c r="BL128" s="83">
        <v>1.18499E-2</v>
      </c>
      <c r="BM128" s="83">
        <v>6.1275399999999999E-3</v>
      </c>
      <c r="BN128" s="83">
        <v>1.4611299999999999E-3</v>
      </c>
      <c r="BO128" s="83">
        <v>1.18499E-2</v>
      </c>
      <c r="BP128" s="83">
        <v>5.4124300000000002E-3</v>
      </c>
      <c r="BQ128" s="83">
        <v>1.4677900000000001E-3</v>
      </c>
      <c r="BR128" s="83">
        <v>1.18499E-2</v>
      </c>
      <c r="BS128" s="83">
        <v>5.12226E-3</v>
      </c>
      <c r="BT128" s="83">
        <v>1.4924700000000001E-3</v>
      </c>
      <c r="BU128" s="83">
        <v>1.18499E-2</v>
      </c>
      <c r="BV128" s="83">
        <v>6.1295000000000004E-3</v>
      </c>
      <c r="BW128" s="83">
        <v>1.50275E-3</v>
      </c>
      <c r="BX128" s="83">
        <v>1.18499E-2</v>
      </c>
      <c r="BY128" s="83">
        <v>5.5060400000000002E-3</v>
      </c>
      <c r="BZ128" s="83">
        <v>1.47689E-3</v>
      </c>
      <c r="CA128" s="83">
        <v>1.18499E-2</v>
      </c>
      <c r="CB128" s="83">
        <v>4.5521600000000004E-3</v>
      </c>
      <c r="CC128" s="83">
        <v>1.42308E-3</v>
      </c>
      <c r="CD128" s="83">
        <v>1.18499E-2</v>
      </c>
      <c r="CE128" s="83">
        <v>4.99067E-3</v>
      </c>
      <c r="CF128" s="83">
        <v>1.41293E-3</v>
      </c>
      <c r="CG128" s="83">
        <v>1.18499E-2</v>
      </c>
      <c r="CH128" s="83">
        <v>5.2824500000000002E-3</v>
      </c>
      <c r="CI128" s="83">
        <v>1.4566500000000001E-3</v>
      </c>
      <c r="CJ128" s="83">
        <v>1.18499E-2</v>
      </c>
      <c r="CK128" s="83">
        <v>5.3938600000000003E-3</v>
      </c>
      <c r="CL128" s="83">
        <v>1.47496E-3</v>
      </c>
      <c r="CM128" s="83">
        <v>1.18499E-2</v>
      </c>
      <c r="CN128" s="83">
        <v>4.7599499999999998E-3</v>
      </c>
      <c r="CO128" s="83">
        <v>1.4623500000000001E-3</v>
      </c>
      <c r="CP128" s="83">
        <v>1.18499E-2</v>
      </c>
      <c r="CQ128" s="83">
        <v>4.6231700000000002E-3</v>
      </c>
      <c r="CR128" s="83">
        <v>1.4007500000000001E-3</v>
      </c>
      <c r="CS128" s="83">
        <v>1.18499E-2</v>
      </c>
      <c r="CT128" s="83">
        <v>4.4277700000000001E-3</v>
      </c>
      <c r="CU128" s="83">
        <v>1.4625899999999999E-3</v>
      </c>
      <c r="CV128" s="83">
        <v>1.18499E-2</v>
      </c>
      <c r="CW128" s="83">
        <v>4.5796200000000004E-3</v>
      </c>
      <c r="CX128" s="83">
        <v>1.4214900000000001E-3</v>
      </c>
    </row>
    <row r="129" spans="1:102" x14ac:dyDescent="0.2">
      <c r="A129" s="83">
        <v>1.1949899999999999E-2</v>
      </c>
      <c r="B129" s="83">
        <v>5.9565E-3</v>
      </c>
      <c r="C129" s="83">
        <v>1.29784E-3</v>
      </c>
      <c r="D129" s="83">
        <v>1.1949899999999999E-2</v>
      </c>
      <c r="E129" s="83">
        <v>5.9952699999999996E-3</v>
      </c>
      <c r="F129" s="83">
        <v>1.32796E-3</v>
      </c>
      <c r="G129" s="83">
        <v>1.1949899999999999E-2</v>
      </c>
      <c r="H129" s="83">
        <v>6.0877700000000002E-3</v>
      </c>
      <c r="I129" s="83">
        <v>1.36893E-3</v>
      </c>
      <c r="J129" s="83">
        <v>1.1949899999999999E-2</v>
      </c>
      <c r="K129" s="83">
        <v>6.2319100000000002E-3</v>
      </c>
      <c r="L129" s="83">
        <v>1.2942100000000001E-3</v>
      </c>
      <c r="M129" s="83">
        <v>1.1949899999999999E-2</v>
      </c>
      <c r="N129" s="83">
        <v>5.8711099999999997E-3</v>
      </c>
      <c r="O129" s="83">
        <v>1.3192900000000001E-3</v>
      </c>
      <c r="P129" s="83">
        <v>1.1949899999999999E-2</v>
      </c>
      <c r="Q129" s="83">
        <v>5.5675400000000002E-3</v>
      </c>
      <c r="R129" s="83">
        <v>1.36681E-3</v>
      </c>
      <c r="S129" s="83">
        <v>1.1949899999999999E-2</v>
      </c>
      <c r="T129" s="83">
        <v>5.8064400000000004E-3</v>
      </c>
      <c r="U129" s="83">
        <v>1.37992E-3</v>
      </c>
      <c r="V129" s="83">
        <v>1.1949899999999999E-2</v>
      </c>
      <c r="W129" s="83">
        <v>5.5514099999999997E-3</v>
      </c>
      <c r="X129" s="83">
        <v>1.3414799999999999E-3</v>
      </c>
      <c r="Y129" s="83">
        <v>1.1949899999999999E-2</v>
      </c>
      <c r="Z129" s="83">
        <v>6.2681899999999999E-3</v>
      </c>
      <c r="AA129" s="83">
        <v>1.39678E-3</v>
      </c>
      <c r="AB129" s="83">
        <v>1.1949899999999999E-2</v>
      </c>
      <c r="AC129" s="83">
        <v>5.5472899999999999E-3</v>
      </c>
      <c r="AD129" s="83">
        <v>1.3527700000000001E-3</v>
      </c>
      <c r="AE129" s="83">
        <v>1.1949899999999999E-2</v>
      </c>
      <c r="AF129" s="83">
        <v>5.4466799999999998E-3</v>
      </c>
      <c r="AG129" s="83">
        <v>1.3812200000000001E-3</v>
      </c>
      <c r="AH129" s="83">
        <v>1.1949899999999999E-2</v>
      </c>
      <c r="AI129" s="83">
        <v>5.6106100000000002E-3</v>
      </c>
      <c r="AJ129" s="83">
        <v>1.3359299999999999E-3</v>
      </c>
      <c r="AK129" s="83">
        <v>1.1949899999999999E-2</v>
      </c>
      <c r="AL129" s="83">
        <v>4.8099199999999996E-3</v>
      </c>
      <c r="AM129" s="83">
        <v>1.32296E-3</v>
      </c>
      <c r="AN129" s="83">
        <v>1.1949899999999999E-2</v>
      </c>
      <c r="AO129" s="83">
        <v>5.7164499999999997E-3</v>
      </c>
      <c r="AP129" s="83">
        <v>1.42443E-3</v>
      </c>
      <c r="AQ129" s="83">
        <v>1.1949899999999999E-2</v>
      </c>
      <c r="AR129" s="83">
        <v>4.4933999999999998E-3</v>
      </c>
      <c r="AS129" s="83">
        <v>1.3834299999999999E-3</v>
      </c>
      <c r="AT129" s="83">
        <v>1.1949899999999999E-2</v>
      </c>
      <c r="AU129" s="83">
        <v>4.91254E-3</v>
      </c>
      <c r="AV129" s="83">
        <v>1.3378299999999999E-3</v>
      </c>
      <c r="AW129" s="83">
        <v>1.1949899999999999E-2</v>
      </c>
      <c r="AX129" s="83">
        <v>4.6171399999999996E-3</v>
      </c>
      <c r="AY129" s="83">
        <v>1.31138E-3</v>
      </c>
      <c r="AZ129" s="83">
        <v>1.1949899999999999E-2</v>
      </c>
      <c r="BA129" s="83">
        <v>5.2448599999999996E-3</v>
      </c>
      <c r="BB129" s="83">
        <v>1.4139199999999999E-3</v>
      </c>
      <c r="BC129" s="83">
        <v>1.1949899999999999E-2</v>
      </c>
      <c r="BD129" s="83">
        <v>5.2768199999999998E-3</v>
      </c>
      <c r="BE129" s="83">
        <v>1.35457E-3</v>
      </c>
      <c r="BF129" s="83">
        <v>1.1949899999999999E-2</v>
      </c>
      <c r="BG129" s="83">
        <v>5.4778400000000003E-3</v>
      </c>
      <c r="BH129" s="83">
        <v>1.3384899999999999E-3</v>
      </c>
      <c r="BI129" s="83">
        <v>1.1949899999999999E-2</v>
      </c>
      <c r="BJ129" s="83">
        <v>5.3576800000000001E-3</v>
      </c>
      <c r="BK129" s="83">
        <v>1.36348E-3</v>
      </c>
      <c r="BL129" s="83">
        <v>1.1949899999999999E-2</v>
      </c>
      <c r="BM129" s="83">
        <v>4.9947300000000002E-3</v>
      </c>
      <c r="BN129" s="83">
        <v>1.40351E-3</v>
      </c>
      <c r="BO129" s="83">
        <v>1.1949899999999999E-2</v>
      </c>
      <c r="BP129" s="83">
        <v>5.0999299999999999E-3</v>
      </c>
      <c r="BQ129" s="83">
        <v>1.3838100000000001E-3</v>
      </c>
      <c r="BR129" s="83">
        <v>1.1949899999999999E-2</v>
      </c>
      <c r="BS129" s="83">
        <v>4.6876900000000004E-3</v>
      </c>
      <c r="BT129" s="83">
        <v>1.4045800000000001E-3</v>
      </c>
      <c r="BU129" s="83">
        <v>1.1949899999999999E-2</v>
      </c>
      <c r="BV129" s="83">
        <v>5.0894599999999996E-3</v>
      </c>
      <c r="BW129" s="83">
        <v>1.4158300000000001E-3</v>
      </c>
      <c r="BX129" s="83">
        <v>1.1949899999999999E-2</v>
      </c>
      <c r="BY129" s="83">
        <v>5.1154099999999999E-3</v>
      </c>
      <c r="BZ129" s="83">
        <v>1.3821599999999999E-3</v>
      </c>
      <c r="CA129" s="83">
        <v>1.1949899999999999E-2</v>
      </c>
      <c r="CB129" s="83">
        <v>4.4300800000000003E-3</v>
      </c>
      <c r="CC129" s="83">
        <v>1.3185899999999999E-3</v>
      </c>
      <c r="CD129" s="83">
        <v>1.1949899999999999E-2</v>
      </c>
      <c r="CE129" s="83">
        <v>4.7416400000000001E-3</v>
      </c>
      <c r="CF129" s="83">
        <v>1.33676E-3</v>
      </c>
      <c r="CG129" s="83">
        <v>1.1949899999999999E-2</v>
      </c>
      <c r="CH129" s="83">
        <v>4.9308900000000003E-3</v>
      </c>
      <c r="CI129" s="83">
        <v>1.34337E-3</v>
      </c>
      <c r="CJ129" s="83">
        <v>1.1949899999999999E-2</v>
      </c>
      <c r="CK129" s="83">
        <v>4.8176800000000004E-3</v>
      </c>
      <c r="CL129" s="83">
        <v>1.37437E-3</v>
      </c>
      <c r="CM129" s="83">
        <v>1.1949899999999999E-2</v>
      </c>
      <c r="CN129" s="83">
        <v>4.8868999999999996E-3</v>
      </c>
      <c r="CO129" s="83">
        <v>1.32759E-3</v>
      </c>
      <c r="CP129" s="83">
        <v>1.1949899999999999E-2</v>
      </c>
      <c r="CQ129" s="83">
        <v>4.5743399999999997E-3</v>
      </c>
      <c r="CR129" s="83">
        <v>1.33337E-3</v>
      </c>
      <c r="CS129" s="83">
        <v>1.1949899999999999E-2</v>
      </c>
      <c r="CT129" s="83">
        <v>4.2080399999999997E-3</v>
      </c>
      <c r="CU129" s="83">
        <v>1.35615E-3</v>
      </c>
      <c r="CV129" s="83">
        <v>1.1949899999999999E-2</v>
      </c>
      <c r="CW129" s="83">
        <v>4.4526599999999998E-3</v>
      </c>
      <c r="CX129" s="83">
        <v>1.33457E-3</v>
      </c>
    </row>
    <row r="130" spans="1:102" x14ac:dyDescent="0.2">
      <c r="A130" s="83">
        <v>1.2049900000000001E-2</v>
      </c>
      <c r="B130" s="83">
        <v>5.5072799999999998E-3</v>
      </c>
      <c r="C130" s="83">
        <v>1.22558E-3</v>
      </c>
      <c r="D130" s="83">
        <v>1.2049900000000001E-2</v>
      </c>
      <c r="E130" s="83">
        <v>5.2286700000000004E-3</v>
      </c>
      <c r="F130" s="83">
        <v>1.24007E-3</v>
      </c>
      <c r="G130" s="83">
        <v>1.2049900000000001E-2</v>
      </c>
      <c r="H130" s="83">
        <v>5.2332799999999999E-3</v>
      </c>
      <c r="I130" s="83">
        <v>1.2937300000000001E-3</v>
      </c>
      <c r="J130" s="83">
        <v>1.2049900000000001E-2</v>
      </c>
      <c r="K130" s="83">
        <v>5.2260500000000003E-3</v>
      </c>
      <c r="L130" s="83">
        <v>1.20436E-3</v>
      </c>
      <c r="M130" s="83">
        <v>1.2049900000000001E-2</v>
      </c>
      <c r="N130" s="83">
        <v>5.5049000000000001E-3</v>
      </c>
      <c r="O130" s="83">
        <v>1.22945E-3</v>
      </c>
      <c r="P130" s="83">
        <v>1.2049900000000001E-2</v>
      </c>
      <c r="Q130" s="83">
        <v>5.2599300000000003E-3</v>
      </c>
      <c r="R130" s="83">
        <v>1.2642700000000001E-3</v>
      </c>
      <c r="S130" s="83">
        <v>1.2049900000000001E-2</v>
      </c>
      <c r="T130" s="83">
        <v>5.4353500000000003E-3</v>
      </c>
      <c r="U130" s="83">
        <v>1.29593E-3</v>
      </c>
      <c r="V130" s="83">
        <v>1.2049900000000001E-2</v>
      </c>
      <c r="W130" s="83">
        <v>5.1021900000000004E-3</v>
      </c>
      <c r="X130" s="83">
        <v>1.28191E-3</v>
      </c>
      <c r="Y130" s="83">
        <v>1.2049900000000001E-2</v>
      </c>
      <c r="Z130" s="83">
        <v>5.8287399999999998E-3</v>
      </c>
      <c r="AA130" s="83">
        <v>1.2834999999999999E-3</v>
      </c>
      <c r="AB130" s="83">
        <v>1.2049900000000001E-2</v>
      </c>
      <c r="AC130" s="83">
        <v>5.0004200000000002E-3</v>
      </c>
      <c r="AD130" s="83">
        <v>1.2648799999999999E-3</v>
      </c>
      <c r="AE130" s="83">
        <v>1.2049900000000001E-2</v>
      </c>
      <c r="AF130" s="83">
        <v>4.6947300000000003E-3</v>
      </c>
      <c r="AG130" s="83">
        <v>1.2738000000000001E-3</v>
      </c>
      <c r="AH130" s="83">
        <v>1.2049900000000001E-2</v>
      </c>
      <c r="AI130" s="83">
        <v>5.4201800000000001E-3</v>
      </c>
      <c r="AJ130" s="83">
        <v>1.2509699999999999E-3</v>
      </c>
      <c r="AK130" s="83">
        <v>1.2049900000000001E-2</v>
      </c>
      <c r="AL130" s="83">
        <v>4.4681299999999998E-3</v>
      </c>
      <c r="AM130" s="83">
        <v>1.23898E-3</v>
      </c>
      <c r="AN130" s="83">
        <v>1.2049900000000001E-2</v>
      </c>
      <c r="AO130" s="83">
        <v>5.6627400000000003E-3</v>
      </c>
      <c r="AP130" s="83">
        <v>1.33556E-3</v>
      </c>
      <c r="AQ130" s="83">
        <v>1.2049900000000001E-2</v>
      </c>
      <c r="AR130" s="83">
        <v>4.94262E-3</v>
      </c>
      <c r="AS130" s="83">
        <v>1.2642899999999999E-3</v>
      </c>
      <c r="AT130" s="83">
        <v>1.2049900000000001E-2</v>
      </c>
      <c r="AU130" s="83">
        <v>4.2582399999999999E-3</v>
      </c>
      <c r="AV130" s="83">
        <v>1.25091E-3</v>
      </c>
      <c r="AW130" s="83">
        <v>1.2049900000000001E-2</v>
      </c>
      <c r="AX130" s="83">
        <v>4.4706600000000004E-3</v>
      </c>
      <c r="AY130" s="83">
        <v>1.2283699999999999E-3</v>
      </c>
      <c r="AZ130" s="83">
        <v>1.2049900000000001E-2</v>
      </c>
      <c r="BA130" s="83">
        <v>4.6052200000000001E-3</v>
      </c>
      <c r="BB130" s="83">
        <v>1.32603E-3</v>
      </c>
      <c r="BC130" s="83">
        <v>1.2049900000000001E-2</v>
      </c>
      <c r="BD130" s="83">
        <v>5.0570900000000002E-3</v>
      </c>
      <c r="BE130" s="83">
        <v>1.2715599999999999E-3</v>
      </c>
      <c r="BF130" s="83">
        <v>1.2049900000000001E-2</v>
      </c>
      <c r="BG130" s="83">
        <v>5.7268600000000003E-3</v>
      </c>
      <c r="BH130" s="83">
        <v>1.2418100000000001E-3</v>
      </c>
      <c r="BI130" s="83">
        <v>1.2049900000000001E-2</v>
      </c>
      <c r="BJ130" s="83">
        <v>5.4406899999999998E-3</v>
      </c>
      <c r="BK130" s="83">
        <v>1.28243E-3</v>
      </c>
      <c r="BL130" s="83">
        <v>1.2049900000000001E-2</v>
      </c>
      <c r="BM130" s="83">
        <v>4.8531299999999998E-3</v>
      </c>
      <c r="BN130" s="83">
        <v>1.3107399999999999E-3</v>
      </c>
      <c r="BO130" s="83">
        <v>1.2049900000000001E-2</v>
      </c>
      <c r="BP130" s="83">
        <v>4.7679000000000003E-3</v>
      </c>
      <c r="BQ130" s="83">
        <v>1.2695499999999999E-3</v>
      </c>
      <c r="BR130" s="83">
        <v>1.2049900000000001E-2</v>
      </c>
      <c r="BS130" s="83">
        <v>4.4581999999999998E-3</v>
      </c>
      <c r="BT130" s="83">
        <v>1.32255E-3</v>
      </c>
      <c r="BU130" s="83">
        <v>1.2049900000000001E-2</v>
      </c>
      <c r="BV130" s="83">
        <v>4.8062499999999998E-3</v>
      </c>
      <c r="BW130" s="83">
        <v>1.31036E-3</v>
      </c>
      <c r="BX130" s="83">
        <v>1.2049900000000001E-2</v>
      </c>
      <c r="BY130" s="83">
        <v>4.4660000000000004E-3</v>
      </c>
      <c r="BZ130" s="83">
        <v>1.3050200000000001E-3</v>
      </c>
      <c r="CA130" s="83">
        <v>1.2049900000000001E-2</v>
      </c>
      <c r="CB130" s="83">
        <v>4.2347699999999997E-3</v>
      </c>
      <c r="CC130" s="83">
        <v>1.2648799999999999E-3</v>
      </c>
      <c r="CD130" s="83">
        <v>1.2049900000000001E-2</v>
      </c>
      <c r="CE130" s="83">
        <v>3.9603900000000003E-3</v>
      </c>
      <c r="CF130" s="83">
        <v>1.23715E-3</v>
      </c>
      <c r="CG130" s="83">
        <v>1.2049900000000001E-2</v>
      </c>
      <c r="CH130" s="83">
        <v>4.7209299999999999E-3</v>
      </c>
      <c r="CI130" s="83">
        <v>1.2545E-3</v>
      </c>
      <c r="CJ130" s="83">
        <v>1.2049900000000001E-2</v>
      </c>
      <c r="CK130" s="83">
        <v>4.6516700000000001E-3</v>
      </c>
      <c r="CL130" s="83">
        <v>1.26304E-3</v>
      </c>
      <c r="CM130" s="83">
        <v>1.2049900000000001E-2</v>
      </c>
      <c r="CN130" s="83">
        <v>4.3351400000000003E-3</v>
      </c>
      <c r="CO130" s="83">
        <v>1.2553200000000001E-3</v>
      </c>
      <c r="CP130" s="83">
        <v>1.2049900000000001E-2</v>
      </c>
      <c r="CQ130" s="83">
        <v>4.4962200000000004E-3</v>
      </c>
      <c r="CR130" s="83">
        <v>1.2513400000000001E-3</v>
      </c>
      <c r="CS130" s="83">
        <v>1.2049900000000001E-2</v>
      </c>
      <c r="CT130" s="83">
        <v>4.2080399999999997E-3</v>
      </c>
      <c r="CU130" s="83">
        <v>1.2702099999999999E-3</v>
      </c>
      <c r="CV130" s="83">
        <v>1.2049900000000001E-2</v>
      </c>
      <c r="CW130" s="83">
        <v>4.4233700000000003E-3</v>
      </c>
      <c r="CX130" s="83">
        <v>1.23594E-3</v>
      </c>
    </row>
    <row r="131" spans="1:102" x14ac:dyDescent="0.2">
      <c r="A131" s="83">
        <v>1.21499E-2</v>
      </c>
      <c r="B131" s="83">
        <v>4.8285699999999999E-3</v>
      </c>
      <c r="C131" s="83">
        <v>1.1415900000000001E-3</v>
      </c>
      <c r="D131" s="83">
        <v>1.21499E-2</v>
      </c>
      <c r="E131" s="83">
        <v>4.5401900000000004E-3</v>
      </c>
      <c r="F131" s="83">
        <v>1.15609E-3</v>
      </c>
      <c r="G131" s="83">
        <v>1.21499E-2</v>
      </c>
      <c r="H131" s="83">
        <v>4.5448099999999998E-3</v>
      </c>
      <c r="I131" s="83">
        <v>1.2302599999999999E-3</v>
      </c>
      <c r="J131" s="83">
        <v>1.21499E-2</v>
      </c>
      <c r="K131" s="83">
        <v>5.1479300000000002E-3</v>
      </c>
      <c r="L131" s="83">
        <v>1.1360000000000001E-3</v>
      </c>
      <c r="M131" s="83">
        <v>1.21499E-2</v>
      </c>
      <c r="N131" s="83">
        <v>5.2363399999999999E-3</v>
      </c>
      <c r="O131" s="83">
        <v>1.12984E-3</v>
      </c>
      <c r="P131" s="83">
        <v>1.21499E-2</v>
      </c>
      <c r="Q131" s="83">
        <v>4.9181299999999997E-3</v>
      </c>
      <c r="R131" s="83">
        <v>1.2242399999999999E-3</v>
      </c>
      <c r="S131" s="83">
        <v>1.21499E-2</v>
      </c>
      <c r="T131" s="83">
        <v>5.1765600000000002E-3</v>
      </c>
      <c r="U131" s="83">
        <v>1.2080400000000001E-3</v>
      </c>
      <c r="V131" s="83">
        <v>1.21499E-2</v>
      </c>
      <c r="W131" s="83">
        <v>4.9361800000000001E-3</v>
      </c>
      <c r="X131" s="83">
        <v>1.18621E-3</v>
      </c>
      <c r="Y131" s="83">
        <v>1.21499E-2</v>
      </c>
      <c r="Z131" s="83">
        <v>5.2232700000000003E-3</v>
      </c>
      <c r="AA131" s="83">
        <v>1.21514E-3</v>
      </c>
      <c r="AB131" s="83">
        <v>1.21499E-2</v>
      </c>
      <c r="AC131" s="83">
        <v>4.8148699999999997E-3</v>
      </c>
      <c r="AD131" s="83">
        <v>1.1652699999999999E-3</v>
      </c>
      <c r="AE131" s="83">
        <v>1.21499E-2</v>
      </c>
      <c r="AF131" s="83">
        <v>4.3968799999999997E-3</v>
      </c>
      <c r="AG131" s="83">
        <v>1.1966500000000001E-3</v>
      </c>
      <c r="AH131" s="83">
        <v>1.21499E-2</v>
      </c>
      <c r="AI131" s="83">
        <v>5.2737000000000001E-3</v>
      </c>
      <c r="AJ131" s="83">
        <v>1.1620999999999999E-3</v>
      </c>
      <c r="AK131" s="83">
        <v>1.21499E-2</v>
      </c>
      <c r="AL131" s="83">
        <v>3.8773100000000001E-3</v>
      </c>
      <c r="AM131" s="83">
        <v>1.19601E-3</v>
      </c>
      <c r="AN131" s="83">
        <v>1.21499E-2</v>
      </c>
      <c r="AO131" s="83">
        <v>5.4234799999999996E-3</v>
      </c>
      <c r="AP131" s="83">
        <v>1.2379100000000001E-3</v>
      </c>
      <c r="AQ131" s="83">
        <v>1.21499E-2</v>
      </c>
      <c r="AR131" s="83">
        <v>4.5129300000000001E-3</v>
      </c>
      <c r="AS131" s="83">
        <v>1.2008100000000001E-3</v>
      </c>
      <c r="AT131" s="83">
        <v>1.21499E-2</v>
      </c>
      <c r="AU131" s="83">
        <v>4.0482799999999996E-3</v>
      </c>
      <c r="AV131" s="83">
        <v>1.16205E-3</v>
      </c>
      <c r="AW131" s="83">
        <v>1.21499E-2</v>
      </c>
      <c r="AX131" s="83">
        <v>4.2704600000000002E-3</v>
      </c>
      <c r="AY131" s="83">
        <v>1.1482899999999999E-3</v>
      </c>
      <c r="AZ131" s="83">
        <v>1.21499E-2</v>
      </c>
      <c r="BA131" s="83">
        <v>3.7507199999999999E-3</v>
      </c>
      <c r="BB131" s="83">
        <v>1.2449799999999999E-3</v>
      </c>
      <c r="BC131" s="83">
        <v>1.21499E-2</v>
      </c>
      <c r="BD131" s="83">
        <v>4.2855999999999997E-3</v>
      </c>
      <c r="BE131" s="83">
        <v>1.2090600000000001E-3</v>
      </c>
      <c r="BF131" s="83">
        <v>1.21499E-2</v>
      </c>
      <c r="BG131" s="83">
        <v>4.6868200000000004E-3</v>
      </c>
      <c r="BH131" s="83">
        <v>1.1773599999999999E-3</v>
      </c>
      <c r="BI131" s="83">
        <v>1.21499E-2</v>
      </c>
      <c r="BJ131" s="83">
        <v>4.7277899999999999E-3</v>
      </c>
      <c r="BK131" s="83">
        <v>1.2003999999999999E-3</v>
      </c>
      <c r="BL131" s="83">
        <v>1.21499E-2</v>
      </c>
      <c r="BM131" s="83">
        <v>4.4869200000000001E-3</v>
      </c>
      <c r="BN131" s="83">
        <v>1.2082E-3</v>
      </c>
      <c r="BO131" s="83">
        <v>1.21499E-2</v>
      </c>
      <c r="BP131" s="83">
        <v>4.7532499999999997E-3</v>
      </c>
      <c r="BQ131" s="83">
        <v>1.2158399999999999E-3</v>
      </c>
      <c r="BR131" s="83">
        <v>1.21499E-2</v>
      </c>
      <c r="BS131" s="83">
        <v>4.5998000000000002E-3</v>
      </c>
      <c r="BT131" s="83">
        <v>1.24149E-3</v>
      </c>
      <c r="BU131" s="83">
        <v>1.21499E-2</v>
      </c>
      <c r="BV131" s="83">
        <v>4.9820300000000001E-3</v>
      </c>
      <c r="BW131" s="83">
        <v>1.2351700000000001E-3</v>
      </c>
      <c r="BX131" s="83">
        <v>1.21499E-2</v>
      </c>
      <c r="BY131" s="83">
        <v>4.25604E-3</v>
      </c>
      <c r="BZ131" s="83">
        <v>1.21615E-3</v>
      </c>
      <c r="CA131" s="83">
        <v>1.21499E-2</v>
      </c>
      <c r="CB131" s="83">
        <v>4.3128999999999997E-3</v>
      </c>
      <c r="CC131" s="83">
        <v>1.18285E-3</v>
      </c>
      <c r="CD131" s="83">
        <v>1.21499E-2</v>
      </c>
      <c r="CE131" s="83">
        <v>3.7162499999999999E-3</v>
      </c>
      <c r="CF131" s="83">
        <v>1.1785599999999999E-3</v>
      </c>
      <c r="CG131" s="83">
        <v>1.21499E-2</v>
      </c>
      <c r="CH131" s="83">
        <v>4.5256100000000002E-3</v>
      </c>
      <c r="CI131" s="83">
        <v>1.1959099999999999E-3</v>
      </c>
      <c r="CJ131" s="83">
        <v>1.21499E-2</v>
      </c>
      <c r="CK131" s="83">
        <v>4.3538200000000004E-3</v>
      </c>
      <c r="CL131" s="83">
        <v>1.1995700000000001E-3</v>
      </c>
      <c r="CM131" s="83">
        <v>1.21499E-2</v>
      </c>
      <c r="CN131" s="83">
        <v>3.9933499999999997E-3</v>
      </c>
      <c r="CO131" s="83">
        <v>1.17427E-3</v>
      </c>
      <c r="CP131" s="83">
        <v>1.21499E-2</v>
      </c>
      <c r="CQ131" s="83">
        <v>4.32044E-3</v>
      </c>
      <c r="CR131" s="83">
        <v>1.1820000000000001E-3</v>
      </c>
      <c r="CS131" s="83">
        <v>1.21499E-2</v>
      </c>
      <c r="CT131" s="83">
        <v>4.3301099999999999E-3</v>
      </c>
      <c r="CU131" s="83">
        <v>1.17548E-3</v>
      </c>
      <c r="CV131" s="83">
        <v>1.21499E-2</v>
      </c>
      <c r="CW131" s="83">
        <v>4.2524700000000004E-3</v>
      </c>
      <c r="CX131" s="83">
        <v>1.1636699999999999E-3</v>
      </c>
    </row>
    <row r="132" spans="1:102" x14ac:dyDescent="0.2">
      <c r="A132" s="83">
        <v>1.2249899999999999E-2</v>
      </c>
      <c r="B132" s="83">
        <v>4.8041500000000001E-3</v>
      </c>
      <c r="C132" s="83">
        <v>1.06737E-3</v>
      </c>
      <c r="D132" s="83">
        <v>1.2249899999999999E-2</v>
      </c>
      <c r="E132" s="83">
        <v>4.4474199999999997E-3</v>
      </c>
      <c r="F132" s="83">
        <v>1.07796E-3</v>
      </c>
      <c r="G132" s="83">
        <v>1.2249899999999999E-2</v>
      </c>
      <c r="H132" s="83">
        <v>4.6815199999999998E-3</v>
      </c>
      <c r="I132" s="83">
        <v>1.1599399999999999E-3</v>
      </c>
      <c r="J132" s="83">
        <v>1.2249899999999999E-2</v>
      </c>
      <c r="K132" s="83">
        <v>4.8061299999999996E-3</v>
      </c>
      <c r="L132" s="83">
        <v>1.05104E-3</v>
      </c>
      <c r="M132" s="83">
        <v>1.2249899999999999E-2</v>
      </c>
      <c r="N132" s="83">
        <v>4.95314E-3</v>
      </c>
      <c r="O132" s="83">
        <v>1.0507400000000001E-3</v>
      </c>
      <c r="P132" s="83">
        <v>1.2249899999999999E-2</v>
      </c>
      <c r="Q132" s="83">
        <v>4.4152000000000002E-3</v>
      </c>
      <c r="R132" s="83">
        <v>1.13927E-3</v>
      </c>
      <c r="S132" s="83">
        <v>1.2249899999999999E-2</v>
      </c>
      <c r="T132" s="83">
        <v>5.1277299999999996E-3</v>
      </c>
      <c r="U132" s="83">
        <v>1.1250399999999999E-3</v>
      </c>
      <c r="V132" s="83">
        <v>1.2249899999999999E-2</v>
      </c>
      <c r="W132" s="83">
        <v>3.8180100000000002E-3</v>
      </c>
      <c r="X132" s="83">
        <v>1.1266399999999999E-3</v>
      </c>
      <c r="Y132" s="83">
        <v>1.2249899999999999E-2</v>
      </c>
      <c r="Z132" s="83">
        <v>5.30628E-3</v>
      </c>
      <c r="AA132" s="83">
        <v>1.1213900000000001E-3</v>
      </c>
      <c r="AB132" s="83">
        <v>1.2249899999999999E-2</v>
      </c>
      <c r="AC132" s="83">
        <v>4.6879199999999999E-3</v>
      </c>
      <c r="AD132" s="83">
        <v>1.0891E-3</v>
      </c>
      <c r="AE132" s="83">
        <v>1.2249899999999999E-2</v>
      </c>
      <c r="AF132" s="83">
        <v>4.4066399999999999E-3</v>
      </c>
      <c r="AG132" s="83">
        <v>1.0970400000000001E-3</v>
      </c>
      <c r="AH132" s="83">
        <v>1.2249899999999999E-2</v>
      </c>
      <c r="AI132" s="83">
        <v>4.2239000000000001E-3</v>
      </c>
      <c r="AJ132" s="83">
        <v>1.0996000000000001E-3</v>
      </c>
      <c r="AK132" s="83">
        <v>1.2249899999999999E-2</v>
      </c>
      <c r="AL132" s="83">
        <v>4.0628499999999998E-3</v>
      </c>
      <c r="AM132" s="83">
        <v>1.1110499999999999E-3</v>
      </c>
      <c r="AN132" s="83">
        <v>1.2249899999999999E-2</v>
      </c>
      <c r="AO132" s="83">
        <v>4.3785600000000001E-3</v>
      </c>
      <c r="AP132" s="83">
        <v>1.11779E-3</v>
      </c>
      <c r="AQ132" s="83">
        <v>1.2249899999999999E-2</v>
      </c>
      <c r="AR132" s="83">
        <v>4.2590299999999996E-3</v>
      </c>
      <c r="AS132" s="83">
        <v>1.13148E-3</v>
      </c>
      <c r="AT132" s="83">
        <v>1.2249899999999999E-2</v>
      </c>
      <c r="AU132" s="83">
        <v>3.8139100000000002E-3</v>
      </c>
      <c r="AV132" s="83">
        <v>1.0829500000000001E-3</v>
      </c>
      <c r="AW132" s="83">
        <v>1.2249899999999999E-2</v>
      </c>
      <c r="AX132" s="83">
        <v>4.0409699999999996E-3</v>
      </c>
      <c r="AY132" s="83">
        <v>1.0564999999999999E-3</v>
      </c>
      <c r="AZ132" s="83">
        <v>1.2249899999999999E-2</v>
      </c>
      <c r="BA132" s="83">
        <v>3.57983E-3</v>
      </c>
      <c r="BB132" s="83">
        <v>1.15806E-3</v>
      </c>
      <c r="BC132" s="83">
        <v>1.2249899999999999E-2</v>
      </c>
      <c r="BD132" s="83">
        <v>4.4369700000000001E-3</v>
      </c>
      <c r="BE132" s="83">
        <v>1.1289900000000001E-3</v>
      </c>
      <c r="BF132" s="83">
        <v>1.2249899999999999E-2</v>
      </c>
      <c r="BG132" s="83">
        <v>4.8040100000000001E-3</v>
      </c>
      <c r="BH132" s="83">
        <v>1.08556E-3</v>
      </c>
      <c r="BI132" s="83">
        <v>1.2249899999999999E-2</v>
      </c>
      <c r="BJ132" s="83">
        <v>4.62526E-3</v>
      </c>
      <c r="BK132" s="83">
        <v>1.11348E-3</v>
      </c>
      <c r="BL132" s="83">
        <v>1.2249899999999999E-2</v>
      </c>
      <c r="BM132" s="83">
        <v>4.5259799999999998E-3</v>
      </c>
      <c r="BN132" s="83">
        <v>1.1300699999999999E-3</v>
      </c>
      <c r="BO132" s="83">
        <v>1.2249899999999999E-2</v>
      </c>
      <c r="BP132" s="83">
        <v>4.3040300000000004E-3</v>
      </c>
      <c r="BQ132" s="83">
        <v>1.1123299999999999E-3</v>
      </c>
      <c r="BR132" s="83">
        <v>1.2249899999999999E-2</v>
      </c>
      <c r="BS132" s="83">
        <v>3.8673800000000001E-3</v>
      </c>
      <c r="BT132" s="83">
        <v>1.1858299999999999E-3</v>
      </c>
      <c r="BU132" s="83">
        <v>1.2249899999999999E-2</v>
      </c>
      <c r="BV132" s="83">
        <v>4.6548900000000001E-3</v>
      </c>
      <c r="BW132" s="83">
        <v>1.1658300000000001E-3</v>
      </c>
      <c r="BX132" s="83">
        <v>1.2249899999999999E-2</v>
      </c>
      <c r="BY132" s="83">
        <v>4.4562300000000003E-3</v>
      </c>
      <c r="BZ132" s="83">
        <v>1.1399800000000001E-3</v>
      </c>
      <c r="CA132" s="83">
        <v>1.2249899999999999E-2</v>
      </c>
      <c r="CB132" s="83">
        <v>4.08341E-3</v>
      </c>
      <c r="CC132" s="83">
        <v>1.1105799999999999E-3</v>
      </c>
      <c r="CD132" s="83">
        <v>1.2249899999999999E-2</v>
      </c>
      <c r="CE132" s="83">
        <v>3.36469E-3</v>
      </c>
      <c r="CF132" s="83">
        <v>1.1043400000000001E-3</v>
      </c>
      <c r="CG132" s="83">
        <v>1.2249899999999999E-2</v>
      </c>
      <c r="CH132" s="83">
        <v>4.4719E-3</v>
      </c>
      <c r="CI132" s="83">
        <v>1.1187599999999999E-3</v>
      </c>
      <c r="CJ132" s="83">
        <v>1.2249899999999999E-2</v>
      </c>
      <c r="CK132" s="83">
        <v>4.1194400000000003E-3</v>
      </c>
      <c r="CL132" s="83">
        <v>1.1185100000000001E-3</v>
      </c>
      <c r="CM132" s="83">
        <v>1.2249899999999999E-2</v>
      </c>
      <c r="CN132" s="83">
        <v>3.7833900000000002E-3</v>
      </c>
      <c r="CO132" s="83">
        <v>1.0854E-3</v>
      </c>
      <c r="CP132" s="83">
        <v>1.2249899999999999E-2</v>
      </c>
      <c r="CQ132" s="83">
        <v>3.1485599999999999E-3</v>
      </c>
      <c r="CR132" s="83">
        <v>1.1009500000000001E-3</v>
      </c>
      <c r="CS132" s="83">
        <v>1.2249899999999999E-2</v>
      </c>
      <c r="CT132" s="83">
        <v>4.0810899999999999E-3</v>
      </c>
      <c r="CU132" s="83">
        <v>1.1188400000000001E-3</v>
      </c>
      <c r="CV132" s="83">
        <v>1.2249899999999999E-2</v>
      </c>
      <c r="CW132" s="83">
        <v>3.42239E-3</v>
      </c>
      <c r="CX132" s="83">
        <v>1.09238E-3</v>
      </c>
    </row>
    <row r="133" spans="1:102" x14ac:dyDescent="0.2">
      <c r="A133" s="83">
        <v>1.23499E-2</v>
      </c>
      <c r="B133" s="83">
        <v>4.7748599999999997E-3</v>
      </c>
      <c r="C133" s="83">
        <v>1.00292E-3</v>
      </c>
      <c r="D133" s="83">
        <v>1.23499E-2</v>
      </c>
      <c r="E133" s="83">
        <v>4.1105100000000004E-3</v>
      </c>
      <c r="F133" s="83">
        <v>9.949519999999999E-4</v>
      </c>
      <c r="G133" s="83">
        <v>1.23499E-2</v>
      </c>
      <c r="H133" s="83">
        <v>4.4764499999999999E-3</v>
      </c>
      <c r="I133" s="83">
        <v>1.0525199999999999E-3</v>
      </c>
      <c r="J133" s="83">
        <v>1.23499E-2</v>
      </c>
      <c r="K133" s="83">
        <v>4.6742900000000002E-3</v>
      </c>
      <c r="L133" s="83">
        <v>9.8268300000000004E-4</v>
      </c>
      <c r="M133" s="83">
        <v>1.23499E-2</v>
      </c>
      <c r="N133" s="83">
        <v>3.9521599999999997E-3</v>
      </c>
      <c r="O133" s="83">
        <v>9.8921600000000001E-4</v>
      </c>
      <c r="P133" s="83">
        <v>1.23499E-2</v>
      </c>
      <c r="Q133" s="83">
        <v>3.8976200000000001E-3</v>
      </c>
      <c r="R133" s="83">
        <v>1.0474799999999999E-3</v>
      </c>
      <c r="S133" s="83">
        <v>1.23499E-2</v>
      </c>
      <c r="T133" s="83">
        <v>4.9861300000000001E-3</v>
      </c>
      <c r="U133" s="83">
        <v>1.0254299999999999E-3</v>
      </c>
      <c r="V133" s="83">
        <v>1.23499E-2</v>
      </c>
      <c r="W133" s="83">
        <v>4.1451600000000002E-3</v>
      </c>
      <c r="X133" s="83">
        <v>1.0407000000000001E-3</v>
      </c>
      <c r="Y133" s="83">
        <v>1.23499E-2</v>
      </c>
      <c r="Z133" s="83">
        <v>4.6617500000000001E-3</v>
      </c>
      <c r="AA133" s="83">
        <v>1.07354E-3</v>
      </c>
      <c r="AB133" s="83">
        <v>1.23499E-2</v>
      </c>
      <c r="AC133" s="83">
        <v>4.47307E-3</v>
      </c>
      <c r="AD133" s="83">
        <v>1.0031599999999999E-3</v>
      </c>
      <c r="AE133" s="83">
        <v>1.23499E-2</v>
      </c>
      <c r="AF133" s="83">
        <v>4.16738E-3</v>
      </c>
      <c r="AG133" s="83">
        <v>1.0511400000000001E-3</v>
      </c>
      <c r="AH133" s="83">
        <v>1.23499E-2</v>
      </c>
      <c r="AI133" s="83">
        <v>4.0285800000000004E-3</v>
      </c>
      <c r="AJ133" s="83">
        <v>1.01464E-3</v>
      </c>
      <c r="AK133" s="83">
        <v>1.23499E-2</v>
      </c>
      <c r="AL133" s="83">
        <v>3.8724200000000001E-3</v>
      </c>
      <c r="AM133" s="83">
        <v>1.0387899999999999E-3</v>
      </c>
      <c r="AN133" s="83">
        <v>1.23499E-2</v>
      </c>
      <c r="AO133" s="83">
        <v>4.04164E-3</v>
      </c>
      <c r="AP133" s="83">
        <v>1.0884899999999999E-3</v>
      </c>
      <c r="AQ133" s="83">
        <v>1.23499E-2</v>
      </c>
      <c r="AR133" s="83">
        <v>3.6291399999999999E-3</v>
      </c>
      <c r="AS133" s="83">
        <v>1.04944E-3</v>
      </c>
      <c r="AT133" s="83">
        <v>1.23499E-2</v>
      </c>
      <c r="AU133" s="83">
        <v>3.7162499999999999E-3</v>
      </c>
      <c r="AV133" s="83">
        <v>9.8626599999999997E-4</v>
      </c>
      <c r="AW133" s="83">
        <v>1.23499E-2</v>
      </c>
      <c r="AX133" s="83">
        <v>3.4452699999999998E-3</v>
      </c>
      <c r="AY133" s="83">
        <v>9.9790199999999995E-4</v>
      </c>
      <c r="AZ133" s="83">
        <v>1.23499E-2</v>
      </c>
      <c r="BA133" s="83">
        <v>3.4089300000000001E-3</v>
      </c>
      <c r="BB133" s="83">
        <v>1.0916599999999999E-3</v>
      </c>
      <c r="BC133" s="83">
        <v>1.23499E-2</v>
      </c>
      <c r="BD133" s="83">
        <v>4.2416600000000004E-3</v>
      </c>
      <c r="BE133" s="83">
        <v>1.04207E-3</v>
      </c>
      <c r="BF133" s="83">
        <v>1.23499E-2</v>
      </c>
      <c r="BG133" s="83">
        <v>4.3840900000000002E-3</v>
      </c>
      <c r="BH133" s="83">
        <v>1.04845E-3</v>
      </c>
      <c r="BI133" s="83">
        <v>1.23499E-2</v>
      </c>
      <c r="BJ133" s="83">
        <v>4.0246700000000002E-3</v>
      </c>
      <c r="BK133" s="83">
        <v>1.0460999999999999E-3</v>
      </c>
      <c r="BL133" s="83">
        <v>1.23499E-2</v>
      </c>
      <c r="BM133" s="83">
        <v>4.3013699999999997E-3</v>
      </c>
      <c r="BN133" s="83">
        <v>1.0402300000000001E-3</v>
      </c>
      <c r="BO133" s="83">
        <v>1.23499E-2</v>
      </c>
      <c r="BP133" s="83">
        <v>3.9573500000000001E-3</v>
      </c>
      <c r="BQ133" s="83">
        <v>1.0342000000000001E-3</v>
      </c>
      <c r="BR133" s="83">
        <v>1.23499E-2</v>
      </c>
      <c r="BS133" s="83">
        <v>3.5841800000000002E-3</v>
      </c>
      <c r="BT133" s="83">
        <v>1.0930499999999999E-3</v>
      </c>
      <c r="BU133" s="83">
        <v>1.23499E-2</v>
      </c>
      <c r="BV133" s="83">
        <v>4.4449299999999997E-3</v>
      </c>
      <c r="BW133" s="83">
        <v>1.0925900000000001E-3</v>
      </c>
      <c r="BX133" s="83">
        <v>1.23499E-2</v>
      </c>
      <c r="BY133" s="83">
        <v>4.2950999999999996E-3</v>
      </c>
      <c r="BZ133" s="83">
        <v>1.05013E-3</v>
      </c>
      <c r="CA133" s="83">
        <v>1.23499E-2</v>
      </c>
      <c r="CB133" s="83">
        <v>3.5853600000000001E-3</v>
      </c>
      <c r="CC133" s="83">
        <v>1.0344099999999999E-3</v>
      </c>
      <c r="CD133" s="83">
        <v>1.23499E-2</v>
      </c>
      <c r="CE133" s="83">
        <v>3.1986699999999998E-3</v>
      </c>
      <c r="CF133" s="83">
        <v>1.0359799999999999E-3</v>
      </c>
      <c r="CG133" s="83">
        <v>1.23499E-2</v>
      </c>
      <c r="CH133" s="83">
        <v>4.22288E-3</v>
      </c>
      <c r="CI133" s="83">
        <v>1.04845E-3</v>
      </c>
      <c r="CJ133" s="83">
        <v>1.23499E-2</v>
      </c>
      <c r="CK133" s="83">
        <v>3.9631900000000001E-3</v>
      </c>
      <c r="CL133" s="83">
        <v>1.0511299999999999E-3</v>
      </c>
      <c r="CM133" s="83">
        <v>1.23499E-2</v>
      </c>
      <c r="CN133" s="83">
        <v>3.62225E-3</v>
      </c>
      <c r="CO133" s="83">
        <v>1.0248499999999999E-3</v>
      </c>
      <c r="CP133" s="83">
        <v>1.23499E-2</v>
      </c>
      <c r="CQ133" s="83">
        <v>3.08509E-3</v>
      </c>
      <c r="CR133" s="83">
        <v>1.0198900000000001E-3</v>
      </c>
      <c r="CS133" s="83">
        <v>1.23499E-2</v>
      </c>
      <c r="CT133" s="83">
        <v>3.9199500000000002E-3</v>
      </c>
      <c r="CU133" s="83">
        <v>1.06123E-3</v>
      </c>
      <c r="CV133" s="83">
        <v>1.23499E-2</v>
      </c>
      <c r="CW133" s="83">
        <v>3.3833299999999999E-3</v>
      </c>
      <c r="CX133" s="83">
        <v>1.01231E-3</v>
      </c>
    </row>
    <row r="134" spans="1:102" x14ac:dyDescent="0.2">
      <c r="A134" s="83">
        <v>1.24499E-2</v>
      </c>
      <c r="B134" s="83">
        <v>4.5014199999999999E-3</v>
      </c>
      <c r="C134" s="83">
        <v>9.3553799999999997E-4</v>
      </c>
      <c r="D134" s="83">
        <v>1.24499E-2</v>
      </c>
      <c r="E134" s="83">
        <v>3.9054300000000001E-3</v>
      </c>
      <c r="F134" s="83">
        <v>9.2854600000000004E-4</v>
      </c>
      <c r="G134" s="83">
        <v>1.24499E-2</v>
      </c>
      <c r="H134" s="83">
        <v>4.2030100000000001E-3</v>
      </c>
      <c r="I134" s="83">
        <v>9.7634900000000005E-4</v>
      </c>
      <c r="J134" s="83">
        <v>1.24499E-2</v>
      </c>
      <c r="K134" s="83">
        <v>4.3666800000000004E-3</v>
      </c>
      <c r="L134" s="83">
        <v>9.2897200000000002E-4</v>
      </c>
      <c r="M134" s="83">
        <v>1.24499E-2</v>
      </c>
      <c r="N134" s="83">
        <v>3.8252099999999999E-3</v>
      </c>
      <c r="O134" s="83">
        <v>9.4527100000000002E-4</v>
      </c>
      <c r="P134" s="83">
        <v>1.24499E-2</v>
      </c>
      <c r="Q134" s="83">
        <v>3.8390299999999998E-3</v>
      </c>
      <c r="R134" s="83">
        <v>9.8595400000000004E-4</v>
      </c>
      <c r="S134" s="83">
        <v>1.24499E-2</v>
      </c>
      <c r="T134" s="83">
        <v>4.6638599999999997E-3</v>
      </c>
      <c r="U134" s="83">
        <v>9.5706800000000005E-4</v>
      </c>
      <c r="V134" s="83">
        <v>1.24499E-2</v>
      </c>
      <c r="W134" s="83">
        <v>3.6080499999999998E-3</v>
      </c>
      <c r="X134" s="83">
        <v>9.6843500000000002E-4</v>
      </c>
      <c r="Y134" s="83">
        <v>1.24499E-2</v>
      </c>
      <c r="Z134" s="83">
        <v>4.5103799999999996E-3</v>
      </c>
      <c r="AA134" s="83">
        <v>9.9346399999999989E-4</v>
      </c>
      <c r="AB134" s="83">
        <v>1.24499E-2</v>
      </c>
      <c r="AC134" s="83">
        <v>3.5209199999999999E-3</v>
      </c>
      <c r="AD134" s="83">
        <v>9.6214599999999999E-4</v>
      </c>
      <c r="AE134" s="83">
        <v>1.24499E-2</v>
      </c>
      <c r="AF134" s="83">
        <v>4.1869200000000002E-3</v>
      </c>
      <c r="AG134" s="83">
        <v>9.7008499999999998E-4</v>
      </c>
      <c r="AH134" s="83">
        <v>1.24499E-2</v>
      </c>
      <c r="AI134" s="83">
        <v>4.2776100000000003E-3</v>
      </c>
      <c r="AJ134" s="83">
        <v>9.5409399999999995E-4</v>
      </c>
      <c r="AK134" s="83">
        <v>1.24499E-2</v>
      </c>
      <c r="AL134" s="83">
        <v>4.0140200000000001E-3</v>
      </c>
      <c r="AM134" s="83">
        <v>9.7921500000000008E-4</v>
      </c>
      <c r="AN134" s="83">
        <v>1.24499E-2</v>
      </c>
      <c r="AO134" s="83">
        <v>4.1441799999999999E-3</v>
      </c>
      <c r="AP134" s="83">
        <v>1.0074400000000001E-3</v>
      </c>
      <c r="AQ134" s="83">
        <v>1.24499E-2</v>
      </c>
      <c r="AR134" s="83">
        <v>3.2824600000000001E-3</v>
      </c>
      <c r="AS134" s="83">
        <v>9.8792099999999989E-4</v>
      </c>
      <c r="AT134" s="83">
        <v>1.24499E-2</v>
      </c>
      <c r="AU134" s="83">
        <v>3.3842199999999998E-3</v>
      </c>
      <c r="AV134" s="83">
        <v>9.5306299999999998E-4</v>
      </c>
      <c r="AW134" s="83">
        <v>1.24499E-2</v>
      </c>
      <c r="AX134" s="83">
        <v>3.3769099999999999E-3</v>
      </c>
      <c r="AY134" s="83">
        <v>9.3735499999999996E-4</v>
      </c>
      <c r="AZ134" s="83">
        <v>1.24499E-2</v>
      </c>
      <c r="BA134" s="83">
        <v>3.4821700000000001E-3</v>
      </c>
      <c r="BB134" s="83">
        <v>9.9985999999999998E-4</v>
      </c>
      <c r="BC134" s="83">
        <v>1.24499E-2</v>
      </c>
      <c r="BD134" s="83">
        <v>4.2318900000000003E-3</v>
      </c>
      <c r="BE134" s="83">
        <v>9.9128999999999992E-4</v>
      </c>
      <c r="BF134" s="83">
        <v>1.24499E-2</v>
      </c>
      <c r="BG134" s="83">
        <v>4.36456E-3</v>
      </c>
      <c r="BH134" s="83">
        <v>9.6446900000000003E-4</v>
      </c>
      <c r="BI134" s="83">
        <v>1.24499E-2</v>
      </c>
      <c r="BJ134" s="83">
        <v>3.8440100000000001E-3</v>
      </c>
      <c r="BK134" s="83">
        <v>9.6016199999999997E-4</v>
      </c>
      <c r="BL134" s="83">
        <v>1.24499E-2</v>
      </c>
      <c r="BM134" s="83">
        <v>3.9449300000000001E-3</v>
      </c>
      <c r="BN134" s="83">
        <v>9.6601200000000003E-4</v>
      </c>
      <c r="BO134" s="83">
        <v>1.24499E-2</v>
      </c>
      <c r="BP134" s="83">
        <v>3.80598E-3</v>
      </c>
      <c r="BQ134" s="83">
        <v>9.5998199999999996E-4</v>
      </c>
      <c r="BR134" s="83">
        <v>1.24499E-2</v>
      </c>
      <c r="BS134" s="83">
        <v>3.5255799999999999E-3</v>
      </c>
      <c r="BT134" s="83">
        <v>1.02469E-3</v>
      </c>
      <c r="BU134" s="83">
        <v>1.24499E-2</v>
      </c>
      <c r="BV134" s="83">
        <v>4.3961E-3</v>
      </c>
      <c r="BW134" s="83">
        <v>1.0134899999999999E-3</v>
      </c>
      <c r="BX134" s="83">
        <v>1.24499E-2</v>
      </c>
      <c r="BY134" s="83">
        <v>3.5773300000000001E-3</v>
      </c>
      <c r="BZ134" s="83">
        <v>1.0052100000000001E-3</v>
      </c>
      <c r="CA134" s="83">
        <v>1.24499E-2</v>
      </c>
      <c r="CB134" s="83">
        <v>3.9808700000000001E-3</v>
      </c>
      <c r="CC134" s="83">
        <v>9.66051E-4</v>
      </c>
      <c r="CD134" s="83">
        <v>1.24499E-2</v>
      </c>
      <c r="CE134" s="83">
        <v>3.28656E-3</v>
      </c>
      <c r="CF134" s="83">
        <v>9.5199300000000004E-4</v>
      </c>
      <c r="CG134" s="83">
        <v>1.24499E-2</v>
      </c>
      <c r="CH134" s="83">
        <v>4.2131099999999999E-3</v>
      </c>
      <c r="CI134" s="83">
        <v>9.4786200000000005E-4</v>
      </c>
      <c r="CJ134" s="83">
        <v>1.24499E-2</v>
      </c>
      <c r="CK134" s="83">
        <v>3.9436599999999999E-3</v>
      </c>
      <c r="CL134" s="83">
        <v>9.7105100000000001E-4</v>
      </c>
      <c r="CM134" s="83">
        <v>1.24499E-2</v>
      </c>
      <c r="CN134" s="83">
        <v>3.5685399999999998E-3</v>
      </c>
      <c r="CO134" s="83">
        <v>9.4673000000000001E-4</v>
      </c>
      <c r="CP134" s="83">
        <v>1.24499E-2</v>
      </c>
      <c r="CQ134" s="83">
        <v>2.8800100000000001E-3</v>
      </c>
      <c r="CR134" s="83">
        <v>9.4274500000000004E-4</v>
      </c>
      <c r="CS134" s="83">
        <v>1.24499E-2</v>
      </c>
      <c r="CT134" s="83">
        <v>3.7929999999999999E-3</v>
      </c>
      <c r="CU134" s="83">
        <v>9.8114800000000005E-4</v>
      </c>
      <c r="CV134" s="83">
        <v>1.24499E-2</v>
      </c>
      <c r="CW134" s="83">
        <v>2.7632099999999999E-3</v>
      </c>
      <c r="CX134" s="83">
        <v>9.3711E-4</v>
      </c>
    </row>
    <row r="135" spans="1:102" x14ac:dyDescent="0.2">
      <c r="A135" s="83" t="s">
        <v>57</v>
      </c>
      <c r="B135" s="83" t="s">
        <v>131</v>
      </c>
      <c r="D135" s="83" t="s">
        <v>57</v>
      </c>
      <c r="E135" s="83" t="s">
        <v>131</v>
      </c>
      <c r="G135" s="83" t="s">
        <v>57</v>
      </c>
      <c r="H135" s="83" t="s">
        <v>131</v>
      </c>
      <c r="J135" s="83" t="s">
        <v>57</v>
      </c>
      <c r="K135" s="83" t="s">
        <v>131</v>
      </c>
      <c r="M135" s="83" t="s">
        <v>57</v>
      </c>
      <c r="N135" s="83" t="s">
        <v>131</v>
      </c>
      <c r="P135" s="83" t="s">
        <v>57</v>
      </c>
      <c r="Q135" s="83" t="s">
        <v>131</v>
      </c>
      <c r="S135" s="83" t="s">
        <v>57</v>
      </c>
      <c r="T135" s="83" t="s">
        <v>131</v>
      </c>
      <c r="V135" s="83" t="s">
        <v>57</v>
      </c>
      <c r="W135" s="83" t="s">
        <v>131</v>
      </c>
      <c r="Y135" s="83" t="s">
        <v>57</v>
      </c>
      <c r="Z135" s="83" t="s">
        <v>131</v>
      </c>
      <c r="AB135" s="83" t="s">
        <v>57</v>
      </c>
      <c r="AC135" s="83" t="s">
        <v>131</v>
      </c>
      <c r="AE135" s="83" t="s">
        <v>57</v>
      </c>
      <c r="AF135" s="83" t="s">
        <v>131</v>
      </c>
      <c r="AH135" s="83" t="s">
        <v>57</v>
      </c>
      <c r="AI135" s="83" t="s">
        <v>131</v>
      </c>
      <c r="AK135" s="83" t="s">
        <v>57</v>
      </c>
      <c r="AL135" s="83" t="s">
        <v>131</v>
      </c>
      <c r="AN135" s="83" t="s">
        <v>57</v>
      </c>
      <c r="AO135" s="83" t="s">
        <v>131</v>
      </c>
      <c r="AQ135" s="83" t="s">
        <v>57</v>
      </c>
      <c r="AR135" s="83" t="s">
        <v>131</v>
      </c>
      <c r="AT135" s="83" t="s">
        <v>57</v>
      </c>
      <c r="AU135" s="83" t="s">
        <v>131</v>
      </c>
      <c r="AW135" s="83" t="s">
        <v>57</v>
      </c>
      <c r="AX135" s="83" t="s">
        <v>131</v>
      </c>
      <c r="AZ135" s="83" t="s">
        <v>57</v>
      </c>
      <c r="BA135" s="83" t="s">
        <v>131</v>
      </c>
      <c r="BC135" s="83" t="s">
        <v>57</v>
      </c>
      <c r="BD135" s="83" t="s">
        <v>131</v>
      </c>
      <c r="BF135" s="83" t="s">
        <v>57</v>
      </c>
      <c r="BG135" s="83" t="s">
        <v>131</v>
      </c>
      <c r="BI135" s="83" t="s">
        <v>57</v>
      </c>
      <c r="BJ135" s="83" t="s">
        <v>131</v>
      </c>
      <c r="BL135" s="83" t="s">
        <v>57</v>
      </c>
      <c r="BM135" s="83" t="s">
        <v>131</v>
      </c>
      <c r="BO135" s="83" t="s">
        <v>57</v>
      </c>
      <c r="BP135" s="83" t="s">
        <v>131</v>
      </c>
      <c r="BR135" s="83" t="s">
        <v>57</v>
      </c>
      <c r="BS135" s="83" t="s">
        <v>131</v>
      </c>
      <c r="BU135" s="83" t="s">
        <v>57</v>
      </c>
      <c r="BV135" s="83" t="s">
        <v>131</v>
      </c>
      <c r="BX135" s="83" t="s">
        <v>57</v>
      </c>
      <c r="BY135" s="83" t="s">
        <v>131</v>
      </c>
      <c r="CA135" s="83" t="s">
        <v>57</v>
      </c>
      <c r="CB135" s="83" t="s">
        <v>131</v>
      </c>
      <c r="CD135" s="83" t="s">
        <v>57</v>
      </c>
      <c r="CE135" s="83" t="s">
        <v>131</v>
      </c>
      <c r="CG135" s="83" t="s">
        <v>57</v>
      </c>
      <c r="CH135" s="83" t="s">
        <v>131</v>
      </c>
      <c r="CJ135" s="83" t="s">
        <v>57</v>
      </c>
      <c r="CK135" s="83" t="s">
        <v>131</v>
      </c>
      <c r="CM135" s="83" t="s">
        <v>57</v>
      </c>
      <c r="CN135" s="83" t="s">
        <v>131</v>
      </c>
      <c r="CP135" s="83" t="s">
        <v>57</v>
      </c>
      <c r="CQ135" s="83" t="s">
        <v>131</v>
      </c>
      <c r="CS135" s="83" t="s">
        <v>57</v>
      </c>
      <c r="CT135" s="83" t="s">
        <v>131</v>
      </c>
      <c r="CV135" s="83" t="s">
        <v>57</v>
      </c>
      <c r="CW135" s="83" t="s">
        <v>131</v>
      </c>
    </row>
    <row r="137" spans="1:102" x14ac:dyDescent="0.2">
      <c r="A137" s="83" t="s">
        <v>80</v>
      </c>
      <c r="B137" s="83" t="s">
        <v>132</v>
      </c>
      <c r="D137" s="83" t="s">
        <v>80</v>
      </c>
      <c r="E137" s="83" t="s">
        <v>132</v>
      </c>
      <c r="G137" s="83" t="s">
        <v>80</v>
      </c>
      <c r="H137" s="83" t="s">
        <v>132</v>
      </c>
      <c r="J137" s="83" t="s">
        <v>80</v>
      </c>
      <c r="K137" s="83" t="s">
        <v>132</v>
      </c>
      <c r="M137" s="83" t="s">
        <v>80</v>
      </c>
      <c r="N137" s="83" t="s">
        <v>132</v>
      </c>
      <c r="P137" s="83" t="s">
        <v>80</v>
      </c>
      <c r="Q137" s="83" t="s">
        <v>132</v>
      </c>
      <c r="S137" s="83" t="s">
        <v>80</v>
      </c>
      <c r="T137" s="83" t="s">
        <v>132</v>
      </c>
      <c r="V137" s="83" t="s">
        <v>80</v>
      </c>
      <c r="W137" s="83" t="s">
        <v>132</v>
      </c>
      <c r="Y137" s="83" t="s">
        <v>80</v>
      </c>
      <c r="Z137" s="83" t="s">
        <v>132</v>
      </c>
      <c r="AB137" s="83" t="s">
        <v>80</v>
      </c>
      <c r="AC137" s="83" t="s">
        <v>132</v>
      </c>
      <c r="AE137" s="83" t="s">
        <v>80</v>
      </c>
      <c r="AF137" s="83" t="s">
        <v>132</v>
      </c>
      <c r="AH137" s="83" t="s">
        <v>80</v>
      </c>
      <c r="AI137" s="83" t="s">
        <v>132</v>
      </c>
      <c r="AK137" s="83" t="s">
        <v>80</v>
      </c>
      <c r="AL137" s="83" t="s">
        <v>132</v>
      </c>
      <c r="AN137" s="83" t="s">
        <v>80</v>
      </c>
      <c r="AO137" s="83" t="s">
        <v>132</v>
      </c>
      <c r="AQ137" s="83" t="s">
        <v>80</v>
      </c>
      <c r="AR137" s="83" t="s">
        <v>132</v>
      </c>
      <c r="AT137" s="83" t="s">
        <v>80</v>
      </c>
      <c r="AU137" s="83" t="s">
        <v>132</v>
      </c>
      <c r="AW137" s="83" t="s">
        <v>80</v>
      </c>
      <c r="AX137" s="83" t="s">
        <v>132</v>
      </c>
      <c r="AZ137" s="83" t="s">
        <v>80</v>
      </c>
      <c r="BA137" s="83" t="s">
        <v>132</v>
      </c>
      <c r="BC137" s="83" t="s">
        <v>80</v>
      </c>
      <c r="BD137" s="83" t="s">
        <v>132</v>
      </c>
      <c r="BF137" s="83" t="s">
        <v>80</v>
      </c>
      <c r="BG137" s="83" t="s">
        <v>132</v>
      </c>
      <c r="BI137" s="83" t="s">
        <v>80</v>
      </c>
      <c r="BJ137" s="83" t="s">
        <v>132</v>
      </c>
      <c r="BL137" s="83" t="s">
        <v>80</v>
      </c>
      <c r="BM137" s="83" t="s">
        <v>132</v>
      </c>
      <c r="BO137" s="83" t="s">
        <v>80</v>
      </c>
      <c r="BP137" s="83" t="s">
        <v>132</v>
      </c>
      <c r="BR137" s="83" t="s">
        <v>80</v>
      </c>
      <c r="BS137" s="83" t="s">
        <v>132</v>
      </c>
      <c r="BU137" s="83" t="s">
        <v>80</v>
      </c>
      <c r="BV137" s="83" t="s">
        <v>132</v>
      </c>
      <c r="BX137" s="83" t="s">
        <v>80</v>
      </c>
      <c r="BY137" s="83" t="s">
        <v>132</v>
      </c>
      <c r="CA137" s="83" t="s">
        <v>80</v>
      </c>
      <c r="CB137" s="83" t="s">
        <v>132</v>
      </c>
      <c r="CD137" s="83" t="s">
        <v>80</v>
      </c>
      <c r="CE137" s="83" t="s">
        <v>132</v>
      </c>
      <c r="CG137" s="83" t="s">
        <v>80</v>
      </c>
      <c r="CH137" s="83" t="s">
        <v>132</v>
      </c>
      <c r="CJ137" s="83" t="s">
        <v>80</v>
      </c>
      <c r="CK137" s="83" t="s">
        <v>132</v>
      </c>
      <c r="CM137" s="83" t="s">
        <v>80</v>
      </c>
      <c r="CN137" s="83" t="s">
        <v>132</v>
      </c>
      <c r="CP137" s="83" t="s">
        <v>80</v>
      </c>
      <c r="CQ137" s="83" t="s">
        <v>132</v>
      </c>
      <c r="CS137" s="83" t="s">
        <v>80</v>
      </c>
      <c r="CT137" s="83" t="s">
        <v>132</v>
      </c>
      <c r="CV137" s="83" t="s">
        <v>80</v>
      </c>
      <c r="CW137" s="83" t="s">
        <v>132</v>
      </c>
    </row>
    <row r="139" spans="1:102" x14ac:dyDescent="0.2">
      <c r="A139" s="83" t="s">
        <v>69</v>
      </c>
      <c r="B139" s="83">
        <v>5</v>
      </c>
      <c r="D139" s="83" t="s">
        <v>69</v>
      </c>
      <c r="E139" s="83">
        <v>5</v>
      </c>
      <c r="G139" s="83" t="s">
        <v>69</v>
      </c>
      <c r="H139" s="83">
        <v>5</v>
      </c>
      <c r="J139" s="83" t="s">
        <v>69</v>
      </c>
      <c r="K139" s="83">
        <v>5</v>
      </c>
      <c r="M139" s="83" t="s">
        <v>69</v>
      </c>
      <c r="N139" s="83">
        <v>5</v>
      </c>
      <c r="P139" s="83" t="s">
        <v>69</v>
      </c>
      <c r="Q139" s="83">
        <v>5</v>
      </c>
      <c r="S139" s="83" t="s">
        <v>69</v>
      </c>
      <c r="T139" s="83">
        <v>5</v>
      </c>
      <c r="V139" s="83" t="s">
        <v>69</v>
      </c>
      <c r="W139" s="83">
        <v>5</v>
      </c>
      <c r="Y139" s="83" t="s">
        <v>69</v>
      </c>
      <c r="Z139" s="83">
        <v>5</v>
      </c>
      <c r="AB139" s="83" t="s">
        <v>69</v>
      </c>
      <c r="AC139" s="83">
        <v>5</v>
      </c>
      <c r="AE139" s="83" t="s">
        <v>69</v>
      </c>
      <c r="AF139" s="83">
        <v>5</v>
      </c>
      <c r="AH139" s="83" t="s">
        <v>69</v>
      </c>
      <c r="AI139" s="83">
        <v>5</v>
      </c>
      <c r="AK139" s="83" t="s">
        <v>69</v>
      </c>
      <c r="AL139" s="83">
        <v>5</v>
      </c>
      <c r="AN139" s="83" t="s">
        <v>69</v>
      </c>
      <c r="AO139" s="83">
        <v>5</v>
      </c>
      <c r="AQ139" s="83" t="s">
        <v>69</v>
      </c>
      <c r="AR139" s="83">
        <v>5</v>
      </c>
      <c r="AT139" s="83" t="s">
        <v>69</v>
      </c>
      <c r="AU139" s="83">
        <v>5</v>
      </c>
      <c r="AW139" s="83" t="s">
        <v>69</v>
      </c>
      <c r="AX139" s="83">
        <v>5</v>
      </c>
      <c r="AZ139" s="83" t="s">
        <v>69</v>
      </c>
      <c r="BA139" s="83">
        <v>5</v>
      </c>
      <c r="BC139" s="83" t="s">
        <v>69</v>
      </c>
      <c r="BD139" s="83">
        <v>5</v>
      </c>
      <c r="BF139" s="83" t="s">
        <v>69</v>
      </c>
      <c r="BG139" s="83">
        <v>5</v>
      </c>
      <c r="BI139" s="83" t="s">
        <v>69</v>
      </c>
      <c r="BJ139" s="83">
        <v>5</v>
      </c>
      <c r="BL139" s="83" t="s">
        <v>69</v>
      </c>
      <c r="BM139" s="83">
        <v>5</v>
      </c>
      <c r="BO139" s="83" t="s">
        <v>69</v>
      </c>
      <c r="BP139" s="83">
        <v>5</v>
      </c>
      <c r="BR139" s="83" t="s">
        <v>69</v>
      </c>
      <c r="BS139" s="83">
        <v>5</v>
      </c>
      <c r="BU139" s="83" t="s">
        <v>69</v>
      </c>
      <c r="BV139" s="83">
        <v>5</v>
      </c>
      <c r="BX139" s="83" t="s">
        <v>69</v>
      </c>
      <c r="BY139" s="83">
        <v>5</v>
      </c>
      <c r="CA139" s="83" t="s">
        <v>69</v>
      </c>
      <c r="CB139" s="83">
        <v>5</v>
      </c>
      <c r="CD139" s="83" t="s">
        <v>69</v>
      </c>
      <c r="CE139" s="83">
        <v>5</v>
      </c>
      <c r="CG139" s="83" t="s">
        <v>69</v>
      </c>
      <c r="CH139" s="83">
        <v>5</v>
      </c>
      <c r="CJ139" s="83" t="s">
        <v>69</v>
      </c>
      <c r="CK139" s="83">
        <v>5</v>
      </c>
      <c r="CM139" s="83" t="s">
        <v>69</v>
      </c>
      <c r="CN139" s="83">
        <v>5</v>
      </c>
      <c r="CP139" s="83" t="s">
        <v>69</v>
      </c>
      <c r="CQ139" s="83">
        <v>5</v>
      </c>
      <c r="CS139" s="83" t="s">
        <v>69</v>
      </c>
      <c r="CT139" s="83">
        <v>5</v>
      </c>
      <c r="CV139" s="83" t="s">
        <v>69</v>
      </c>
      <c r="CW139" s="83">
        <v>5</v>
      </c>
    </row>
    <row r="141" spans="1:102" x14ac:dyDescent="0.2">
      <c r="A141" s="83" t="s">
        <v>68</v>
      </c>
      <c r="B141" s="83">
        <v>5</v>
      </c>
      <c r="D141" s="83" t="s">
        <v>68</v>
      </c>
      <c r="E141" s="83">
        <v>5</v>
      </c>
      <c r="G141" s="83" t="s">
        <v>68</v>
      </c>
      <c r="H141" s="83">
        <v>5</v>
      </c>
      <c r="J141" s="83" t="s">
        <v>68</v>
      </c>
      <c r="K141" s="83">
        <v>5</v>
      </c>
      <c r="M141" s="83" t="s">
        <v>68</v>
      </c>
      <c r="N141" s="83">
        <v>5</v>
      </c>
      <c r="P141" s="83" t="s">
        <v>68</v>
      </c>
      <c r="Q141" s="83">
        <v>5</v>
      </c>
      <c r="S141" s="83" t="s">
        <v>68</v>
      </c>
      <c r="T141" s="83">
        <v>5</v>
      </c>
      <c r="V141" s="83" t="s">
        <v>68</v>
      </c>
      <c r="W141" s="83">
        <v>5</v>
      </c>
      <c r="Y141" s="83" t="s">
        <v>68</v>
      </c>
      <c r="Z141" s="83">
        <v>5</v>
      </c>
      <c r="AB141" s="83" t="s">
        <v>68</v>
      </c>
      <c r="AC141" s="83">
        <v>5</v>
      </c>
      <c r="AE141" s="83" t="s">
        <v>68</v>
      </c>
      <c r="AF141" s="83">
        <v>5</v>
      </c>
      <c r="AH141" s="83" t="s">
        <v>68</v>
      </c>
      <c r="AI141" s="83">
        <v>5</v>
      </c>
      <c r="AK141" s="83" t="s">
        <v>68</v>
      </c>
      <c r="AL141" s="83">
        <v>5</v>
      </c>
      <c r="AN141" s="83" t="s">
        <v>68</v>
      </c>
      <c r="AO141" s="83">
        <v>5</v>
      </c>
      <c r="AQ141" s="83" t="s">
        <v>68</v>
      </c>
      <c r="AR141" s="83">
        <v>5</v>
      </c>
      <c r="AT141" s="83" t="s">
        <v>68</v>
      </c>
      <c r="AU141" s="83">
        <v>5</v>
      </c>
      <c r="AW141" s="83" t="s">
        <v>68</v>
      </c>
      <c r="AX141" s="83">
        <v>5</v>
      </c>
      <c r="AZ141" s="83" t="s">
        <v>68</v>
      </c>
      <c r="BA141" s="83">
        <v>5</v>
      </c>
      <c r="BC141" s="83" t="s">
        <v>68</v>
      </c>
      <c r="BD141" s="83">
        <v>5</v>
      </c>
      <c r="BF141" s="83" t="s">
        <v>68</v>
      </c>
      <c r="BG141" s="83">
        <v>5</v>
      </c>
      <c r="BI141" s="83" t="s">
        <v>68</v>
      </c>
      <c r="BJ141" s="83">
        <v>5</v>
      </c>
      <c r="BL141" s="83" t="s">
        <v>68</v>
      </c>
      <c r="BM141" s="83">
        <v>5</v>
      </c>
      <c r="BO141" s="83" t="s">
        <v>68</v>
      </c>
      <c r="BP141" s="83">
        <v>5</v>
      </c>
      <c r="BR141" s="83" t="s">
        <v>68</v>
      </c>
      <c r="BS141" s="83">
        <v>5</v>
      </c>
      <c r="BU141" s="83" t="s">
        <v>68</v>
      </c>
      <c r="BV141" s="83">
        <v>5</v>
      </c>
      <c r="BX141" s="83" t="s">
        <v>68</v>
      </c>
      <c r="BY141" s="83">
        <v>5</v>
      </c>
      <c r="CA141" s="83" t="s">
        <v>68</v>
      </c>
      <c r="CB141" s="83">
        <v>5</v>
      </c>
      <c r="CD141" s="83" t="s">
        <v>68</v>
      </c>
      <c r="CE141" s="83">
        <v>5</v>
      </c>
      <c r="CG141" s="83" t="s">
        <v>68</v>
      </c>
      <c r="CH141" s="83">
        <v>5</v>
      </c>
      <c r="CJ141" s="83" t="s">
        <v>68</v>
      </c>
      <c r="CK141" s="83">
        <v>5</v>
      </c>
      <c r="CM141" s="83" t="s">
        <v>68</v>
      </c>
      <c r="CN141" s="83">
        <v>5</v>
      </c>
      <c r="CP141" s="83" t="s">
        <v>68</v>
      </c>
      <c r="CQ141" s="83">
        <v>5</v>
      </c>
      <c r="CS141" s="83" t="s">
        <v>68</v>
      </c>
      <c r="CT141" s="83">
        <v>5</v>
      </c>
      <c r="CV141" s="83" t="s">
        <v>68</v>
      </c>
      <c r="CW141" s="83">
        <v>5</v>
      </c>
    </row>
    <row r="143" spans="1:102" x14ac:dyDescent="0.2">
      <c r="A143" s="83" t="s">
        <v>67</v>
      </c>
      <c r="B143" s="83">
        <v>10</v>
      </c>
      <c r="D143" s="83" t="s">
        <v>67</v>
      </c>
      <c r="E143" s="83">
        <v>10</v>
      </c>
      <c r="G143" s="83" t="s">
        <v>67</v>
      </c>
      <c r="H143" s="83">
        <v>10</v>
      </c>
      <c r="J143" s="83" t="s">
        <v>67</v>
      </c>
      <c r="K143" s="83">
        <v>10</v>
      </c>
      <c r="M143" s="83" t="s">
        <v>67</v>
      </c>
      <c r="N143" s="83">
        <v>10</v>
      </c>
      <c r="P143" s="83" t="s">
        <v>67</v>
      </c>
      <c r="Q143" s="83">
        <v>10</v>
      </c>
      <c r="S143" s="83" t="s">
        <v>67</v>
      </c>
      <c r="T143" s="83">
        <v>10</v>
      </c>
      <c r="V143" s="83" t="s">
        <v>67</v>
      </c>
      <c r="W143" s="83">
        <v>10</v>
      </c>
      <c r="Y143" s="83" t="s">
        <v>67</v>
      </c>
      <c r="Z143" s="83">
        <v>10</v>
      </c>
      <c r="AB143" s="83" t="s">
        <v>67</v>
      </c>
      <c r="AC143" s="83">
        <v>10</v>
      </c>
      <c r="AE143" s="83" t="s">
        <v>67</v>
      </c>
      <c r="AF143" s="83">
        <v>10</v>
      </c>
      <c r="AH143" s="83" t="s">
        <v>67</v>
      </c>
      <c r="AI143" s="83">
        <v>10</v>
      </c>
      <c r="AK143" s="83" t="s">
        <v>67</v>
      </c>
      <c r="AL143" s="83">
        <v>10</v>
      </c>
      <c r="AN143" s="83" t="s">
        <v>67</v>
      </c>
      <c r="AO143" s="83">
        <v>10</v>
      </c>
      <c r="AQ143" s="83" t="s">
        <v>67</v>
      </c>
      <c r="AR143" s="83">
        <v>10</v>
      </c>
      <c r="AT143" s="83" t="s">
        <v>67</v>
      </c>
      <c r="AU143" s="83">
        <v>10</v>
      </c>
      <c r="AW143" s="83" t="s">
        <v>67</v>
      </c>
      <c r="AX143" s="83">
        <v>10</v>
      </c>
      <c r="AZ143" s="83" t="s">
        <v>67</v>
      </c>
      <c r="BA143" s="83">
        <v>10</v>
      </c>
      <c r="BC143" s="83" t="s">
        <v>67</v>
      </c>
      <c r="BD143" s="83">
        <v>10</v>
      </c>
      <c r="BF143" s="83" t="s">
        <v>67</v>
      </c>
      <c r="BG143" s="83">
        <v>10</v>
      </c>
      <c r="BI143" s="83" t="s">
        <v>67</v>
      </c>
      <c r="BJ143" s="83">
        <v>10</v>
      </c>
      <c r="BL143" s="83" t="s">
        <v>67</v>
      </c>
      <c r="BM143" s="83">
        <v>10</v>
      </c>
      <c r="BO143" s="83" t="s">
        <v>67</v>
      </c>
      <c r="BP143" s="83">
        <v>10</v>
      </c>
      <c r="BR143" s="83" t="s">
        <v>67</v>
      </c>
      <c r="BS143" s="83">
        <v>10</v>
      </c>
      <c r="BU143" s="83" t="s">
        <v>67</v>
      </c>
      <c r="BV143" s="83">
        <v>10</v>
      </c>
      <c r="BX143" s="83" t="s">
        <v>67</v>
      </c>
      <c r="BY143" s="83">
        <v>10</v>
      </c>
      <c r="CA143" s="83" t="s">
        <v>67</v>
      </c>
      <c r="CB143" s="83">
        <v>10</v>
      </c>
      <c r="CD143" s="83" t="s">
        <v>67</v>
      </c>
      <c r="CE143" s="83">
        <v>10</v>
      </c>
      <c r="CG143" s="83" t="s">
        <v>67</v>
      </c>
      <c r="CH143" s="83">
        <v>10</v>
      </c>
      <c r="CJ143" s="83" t="s">
        <v>67</v>
      </c>
      <c r="CK143" s="83">
        <v>10</v>
      </c>
      <c r="CM143" s="83" t="s">
        <v>67</v>
      </c>
      <c r="CN143" s="83">
        <v>10</v>
      </c>
      <c r="CP143" s="83" t="s">
        <v>67</v>
      </c>
      <c r="CQ143" s="83">
        <v>10</v>
      </c>
      <c r="CS143" s="83" t="s">
        <v>67</v>
      </c>
      <c r="CT143" s="83">
        <v>10</v>
      </c>
      <c r="CV143" s="83" t="s">
        <v>67</v>
      </c>
      <c r="CW143" s="83">
        <v>10</v>
      </c>
    </row>
    <row r="145" spans="1:101" x14ac:dyDescent="0.2">
      <c r="A145" s="83" t="s">
        <v>66</v>
      </c>
      <c r="B145" s="83">
        <v>20</v>
      </c>
      <c r="D145" s="83" t="s">
        <v>66</v>
      </c>
      <c r="E145" s="83">
        <v>20</v>
      </c>
      <c r="G145" s="83" t="s">
        <v>66</v>
      </c>
      <c r="H145" s="83">
        <v>20</v>
      </c>
      <c r="J145" s="83" t="s">
        <v>66</v>
      </c>
      <c r="K145" s="83">
        <v>20</v>
      </c>
      <c r="M145" s="83" t="s">
        <v>66</v>
      </c>
      <c r="N145" s="83">
        <v>20</v>
      </c>
      <c r="P145" s="83" t="s">
        <v>66</v>
      </c>
      <c r="Q145" s="83">
        <v>20</v>
      </c>
      <c r="S145" s="83" t="s">
        <v>66</v>
      </c>
      <c r="T145" s="83">
        <v>20</v>
      </c>
      <c r="V145" s="83" t="s">
        <v>66</v>
      </c>
      <c r="W145" s="83">
        <v>20</v>
      </c>
      <c r="Y145" s="83" t="s">
        <v>66</v>
      </c>
      <c r="Z145" s="83">
        <v>20</v>
      </c>
      <c r="AB145" s="83" t="s">
        <v>66</v>
      </c>
      <c r="AC145" s="83">
        <v>20</v>
      </c>
      <c r="AE145" s="83" t="s">
        <v>66</v>
      </c>
      <c r="AF145" s="83">
        <v>20</v>
      </c>
      <c r="AH145" s="83" t="s">
        <v>66</v>
      </c>
      <c r="AI145" s="83">
        <v>20</v>
      </c>
      <c r="AK145" s="83" t="s">
        <v>66</v>
      </c>
      <c r="AL145" s="83">
        <v>20</v>
      </c>
      <c r="AN145" s="83" t="s">
        <v>66</v>
      </c>
      <c r="AO145" s="83">
        <v>20</v>
      </c>
      <c r="AQ145" s="83" t="s">
        <v>66</v>
      </c>
      <c r="AR145" s="83">
        <v>20</v>
      </c>
      <c r="AT145" s="83" t="s">
        <v>66</v>
      </c>
      <c r="AU145" s="83">
        <v>20</v>
      </c>
      <c r="AW145" s="83" t="s">
        <v>66</v>
      </c>
      <c r="AX145" s="83">
        <v>20</v>
      </c>
      <c r="AZ145" s="83" t="s">
        <v>66</v>
      </c>
      <c r="BA145" s="83">
        <v>20</v>
      </c>
      <c r="BC145" s="83" t="s">
        <v>66</v>
      </c>
      <c r="BD145" s="83">
        <v>20</v>
      </c>
      <c r="BF145" s="83" t="s">
        <v>66</v>
      </c>
      <c r="BG145" s="83">
        <v>20</v>
      </c>
      <c r="BI145" s="83" t="s">
        <v>66</v>
      </c>
      <c r="BJ145" s="83">
        <v>20</v>
      </c>
      <c r="BL145" s="83" t="s">
        <v>66</v>
      </c>
      <c r="BM145" s="83">
        <v>20</v>
      </c>
      <c r="BO145" s="83" t="s">
        <v>66</v>
      </c>
      <c r="BP145" s="83">
        <v>20</v>
      </c>
      <c r="BR145" s="83" t="s">
        <v>66</v>
      </c>
      <c r="BS145" s="83">
        <v>20</v>
      </c>
      <c r="BU145" s="83" t="s">
        <v>66</v>
      </c>
      <c r="BV145" s="83">
        <v>20</v>
      </c>
      <c r="BX145" s="83" t="s">
        <v>66</v>
      </c>
      <c r="BY145" s="83">
        <v>20</v>
      </c>
      <c r="CA145" s="83" t="s">
        <v>66</v>
      </c>
      <c r="CB145" s="83">
        <v>20</v>
      </c>
      <c r="CD145" s="83" t="s">
        <v>66</v>
      </c>
      <c r="CE145" s="83">
        <v>20</v>
      </c>
      <c r="CG145" s="83" t="s">
        <v>66</v>
      </c>
      <c r="CH145" s="83">
        <v>20</v>
      </c>
      <c r="CJ145" s="83" t="s">
        <v>66</v>
      </c>
      <c r="CK145" s="83">
        <v>20</v>
      </c>
      <c r="CM145" s="83" t="s">
        <v>66</v>
      </c>
      <c r="CN145" s="83">
        <v>20</v>
      </c>
      <c r="CP145" s="83" t="s">
        <v>66</v>
      </c>
      <c r="CQ145" s="83">
        <v>20</v>
      </c>
      <c r="CS145" s="83" t="s">
        <v>66</v>
      </c>
      <c r="CT145" s="83">
        <v>20</v>
      </c>
      <c r="CV145" s="83" t="s">
        <v>66</v>
      </c>
      <c r="CW145" s="83">
        <v>20</v>
      </c>
    </row>
    <row r="147" spans="1:101" x14ac:dyDescent="0.2">
      <c r="A147" s="83" t="s">
        <v>73</v>
      </c>
      <c r="B147" s="83">
        <v>1</v>
      </c>
      <c r="D147" s="83" t="s">
        <v>73</v>
      </c>
      <c r="E147" s="83">
        <v>1</v>
      </c>
      <c r="G147" s="83" t="s">
        <v>73</v>
      </c>
      <c r="H147" s="83">
        <v>1</v>
      </c>
      <c r="J147" s="83" t="s">
        <v>73</v>
      </c>
      <c r="K147" s="83">
        <v>1</v>
      </c>
      <c r="M147" s="83" t="s">
        <v>73</v>
      </c>
      <c r="N147" s="83">
        <v>1</v>
      </c>
      <c r="P147" s="83" t="s">
        <v>73</v>
      </c>
      <c r="Q147" s="83">
        <v>1</v>
      </c>
      <c r="S147" s="83" t="s">
        <v>73</v>
      </c>
      <c r="T147" s="83">
        <v>1</v>
      </c>
      <c r="V147" s="83" t="s">
        <v>73</v>
      </c>
      <c r="W147" s="83">
        <v>1</v>
      </c>
      <c r="Y147" s="83" t="s">
        <v>73</v>
      </c>
      <c r="Z147" s="83">
        <v>1</v>
      </c>
      <c r="AB147" s="83" t="s">
        <v>73</v>
      </c>
      <c r="AC147" s="83">
        <v>1</v>
      </c>
      <c r="AE147" s="83" t="s">
        <v>73</v>
      </c>
      <c r="AF147" s="83">
        <v>1</v>
      </c>
      <c r="AH147" s="83" t="s">
        <v>73</v>
      </c>
      <c r="AI147" s="83">
        <v>1</v>
      </c>
      <c r="AK147" s="83" t="s">
        <v>73</v>
      </c>
      <c r="AL147" s="83">
        <v>1</v>
      </c>
      <c r="AN147" s="83" t="s">
        <v>73</v>
      </c>
      <c r="AO147" s="83">
        <v>1</v>
      </c>
      <c r="AQ147" s="83" t="s">
        <v>73</v>
      </c>
      <c r="AR147" s="83">
        <v>1</v>
      </c>
      <c r="AT147" s="83" t="s">
        <v>73</v>
      </c>
      <c r="AU147" s="83">
        <v>1</v>
      </c>
      <c r="AW147" s="83" t="s">
        <v>73</v>
      </c>
      <c r="AX147" s="83">
        <v>1</v>
      </c>
      <c r="AZ147" s="83" t="s">
        <v>73</v>
      </c>
      <c r="BA147" s="83">
        <v>1</v>
      </c>
      <c r="BC147" s="83" t="s">
        <v>73</v>
      </c>
      <c r="BD147" s="83">
        <v>1</v>
      </c>
      <c r="BF147" s="83" t="s">
        <v>73</v>
      </c>
      <c r="BG147" s="83">
        <v>1</v>
      </c>
      <c r="BI147" s="83" t="s">
        <v>73</v>
      </c>
      <c r="BJ147" s="83">
        <v>1</v>
      </c>
      <c r="BL147" s="83" t="s">
        <v>73</v>
      </c>
      <c r="BM147" s="83">
        <v>1</v>
      </c>
      <c r="BO147" s="83" t="s">
        <v>73</v>
      </c>
      <c r="BP147" s="83">
        <v>1</v>
      </c>
      <c r="BR147" s="83" t="s">
        <v>73</v>
      </c>
      <c r="BS147" s="83">
        <v>1</v>
      </c>
      <c r="BU147" s="83" t="s">
        <v>73</v>
      </c>
      <c r="BV147" s="83">
        <v>1</v>
      </c>
      <c r="BX147" s="83" t="s">
        <v>73</v>
      </c>
      <c r="BY147" s="83">
        <v>1</v>
      </c>
      <c r="CA147" s="83" t="s">
        <v>73</v>
      </c>
      <c r="CB147" s="83">
        <v>1</v>
      </c>
      <c r="CD147" s="83" t="s">
        <v>73</v>
      </c>
      <c r="CE147" s="83">
        <v>1</v>
      </c>
      <c r="CG147" s="83" t="s">
        <v>73</v>
      </c>
      <c r="CH147" s="83">
        <v>1</v>
      </c>
      <c r="CJ147" s="83" t="s">
        <v>73</v>
      </c>
      <c r="CK147" s="83">
        <v>1</v>
      </c>
      <c r="CM147" s="83" t="s">
        <v>73</v>
      </c>
      <c r="CN147" s="83">
        <v>1</v>
      </c>
      <c r="CP147" s="83" t="s">
        <v>73</v>
      </c>
      <c r="CQ147" s="83">
        <v>1</v>
      </c>
      <c r="CS147" s="83" t="s">
        <v>73</v>
      </c>
      <c r="CT147" s="83">
        <v>1</v>
      </c>
      <c r="CV147" s="83" t="s">
        <v>73</v>
      </c>
      <c r="CW147" s="83">
        <v>1</v>
      </c>
    </row>
    <row r="149" spans="1:101" x14ac:dyDescent="0.2">
      <c r="A149" s="83" t="s">
        <v>72</v>
      </c>
      <c r="B149" s="83">
        <v>1</v>
      </c>
      <c r="D149" s="83" t="s">
        <v>72</v>
      </c>
      <c r="E149" s="83">
        <v>1</v>
      </c>
      <c r="G149" s="83" t="s">
        <v>72</v>
      </c>
      <c r="H149" s="83">
        <v>1</v>
      </c>
      <c r="J149" s="83" t="s">
        <v>72</v>
      </c>
      <c r="K149" s="83">
        <v>1</v>
      </c>
      <c r="M149" s="83" t="s">
        <v>72</v>
      </c>
      <c r="N149" s="83">
        <v>1</v>
      </c>
      <c r="P149" s="83" t="s">
        <v>72</v>
      </c>
      <c r="Q149" s="83">
        <v>1</v>
      </c>
      <c r="S149" s="83" t="s">
        <v>72</v>
      </c>
      <c r="T149" s="83">
        <v>1</v>
      </c>
      <c r="V149" s="83" t="s">
        <v>72</v>
      </c>
      <c r="W149" s="83">
        <v>1</v>
      </c>
      <c r="Y149" s="83" t="s">
        <v>72</v>
      </c>
      <c r="Z149" s="83">
        <v>1</v>
      </c>
      <c r="AB149" s="83" t="s">
        <v>72</v>
      </c>
      <c r="AC149" s="83">
        <v>1</v>
      </c>
      <c r="AE149" s="83" t="s">
        <v>72</v>
      </c>
      <c r="AF149" s="83">
        <v>1</v>
      </c>
      <c r="AH149" s="83" t="s">
        <v>72</v>
      </c>
      <c r="AI149" s="83">
        <v>1</v>
      </c>
      <c r="AK149" s="83" t="s">
        <v>72</v>
      </c>
      <c r="AL149" s="83">
        <v>1</v>
      </c>
      <c r="AN149" s="83" t="s">
        <v>72</v>
      </c>
      <c r="AO149" s="83">
        <v>1</v>
      </c>
      <c r="AQ149" s="83" t="s">
        <v>72</v>
      </c>
      <c r="AR149" s="83">
        <v>1</v>
      </c>
      <c r="AT149" s="83" t="s">
        <v>72</v>
      </c>
      <c r="AU149" s="83">
        <v>1</v>
      </c>
      <c r="AW149" s="83" t="s">
        <v>72</v>
      </c>
      <c r="AX149" s="83">
        <v>1</v>
      </c>
      <c r="AZ149" s="83" t="s">
        <v>72</v>
      </c>
      <c r="BA149" s="83">
        <v>1</v>
      </c>
      <c r="BC149" s="83" t="s">
        <v>72</v>
      </c>
      <c r="BD149" s="83">
        <v>1</v>
      </c>
      <c r="BF149" s="83" t="s">
        <v>72</v>
      </c>
      <c r="BG149" s="83">
        <v>1</v>
      </c>
      <c r="BI149" s="83" t="s">
        <v>72</v>
      </c>
      <c r="BJ149" s="83">
        <v>1</v>
      </c>
      <c r="BL149" s="83" t="s">
        <v>72</v>
      </c>
      <c r="BM149" s="83">
        <v>1</v>
      </c>
      <c r="BO149" s="83" t="s">
        <v>72</v>
      </c>
      <c r="BP149" s="83">
        <v>1</v>
      </c>
      <c r="BR149" s="83" t="s">
        <v>72</v>
      </c>
      <c r="BS149" s="83">
        <v>1</v>
      </c>
      <c r="BU149" s="83" t="s">
        <v>72</v>
      </c>
      <c r="BV149" s="83">
        <v>1</v>
      </c>
      <c r="BX149" s="83" t="s">
        <v>72</v>
      </c>
      <c r="BY149" s="83">
        <v>1</v>
      </c>
      <c r="CA149" s="83" t="s">
        <v>72</v>
      </c>
      <c r="CB149" s="83">
        <v>1</v>
      </c>
      <c r="CD149" s="83" t="s">
        <v>72</v>
      </c>
      <c r="CE149" s="83">
        <v>1</v>
      </c>
      <c r="CG149" s="83" t="s">
        <v>72</v>
      </c>
      <c r="CH149" s="83">
        <v>1</v>
      </c>
      <c r="CJ149" s="83" t="s">
        <v>72</v>
      </c>
      <c r="CK149" s="83">
        <v>1</v>
      </c>
      <c r="CM149" s="83" t="s">
        <v>72</v>
      </c>
      <c r="CN149" s="83">
        <v>1</v>
      </c>
      <c r="CP149" s="83" t="s">
        <v>72</v>
      </c>
      <c r="CQ149" s="83">
        <v>1</v>
      </c>
      <c r="CS149" s="83" t="s">
        <v>72</v>
      </c>
      <c r="CT149" s="83">
        <v>1</v>
      </c>
      <c r="CV149" s="83" t="s">
        <v>72</v>
      </c>
      <c r="CW149" s="83">
        <v>1</v>
      </c>
    </row>
    <row r="151" spans="1:101" x14ac:dyDescent="0.2">
      <c r="A151" s="83" t="s">
        <v>71</v>
      </c>
      <c r="B151" s="83">
        <v>2.6949900000000002</v>
      </c>
      <c r="D151" s="83" t="s">
        <v>71</v>
      </c>
      <c r="E151" s="83">
        <v>2.7555700000000001</v>
      </c>
      <c r="G151" s="83" t="s">
        <v>71</v>
      </c>
      <c r="H151" s="83">
        <v>2.8461500000000002</v>
      </c>
      <c r="J151" s="83" t="s">
        <v>71</v>
      </c>
      <c r="K151" s="83">
        <v>2.8317999999999999</v>
      </c>
      <c r="M151" s="83" t="s">
        <v>71</v>
      </c>
      <c r="N151" s="83">
        <v>2.9209800000000001</v>
      </c>
      <c r="P151" s="83" t="s">
        <v>71</v>
      </c>
      <c r="Q151" s="83">
        <v>2.9601000000000002</v>
      </c>
      <c r="S151" s="83" t="s">
        <v>71</v>
      </c>
      <c r="T151" s="83">
        <v>3.02515</v>
      </c>
      <c r="V151" s="83" t="s">
        <v>71</v>
      </c>
      <c r="W151" s="83">
        <v>3.00603</v>
      </c>
      <c r="Y151" s="83" t="s">
        <v>71</v>
      </c>
      <c r="Z151" s="83">
        <v>3.0587</v>
      </c>
      <c r="AB151" s="83" t="s">
        <v>71</v>
      </c>
      <c r="AC151" s="83">
        <v>3.0931000000000002</v>
      </c>
      <c r="AE151" s="83" t="s">
        <v>71</v>
      </c>
      <c r="AF151" s="83">
        <v>3.0930499999999999</v>
      </c>
      <c r="AH151" s="83" t="s">
        <v>71</v>
      </c>
      <c r="AI151" s="83">
        <v>3.11822</v>
      </c>
      <c r="AK151" s="83" t="s">
        <v>71</v>
      </c>
      <c r="AL151" s="83">
        <v>3.13367</v>
      </c>
      <c r="AN151" s="83" t="s">
        <v>71</v>
      </c>
      <c r="AO151" s="83">
        <v>3.23814</v>
      </c>
      <c r="AQ151" s="83" t="s">
        <v>71</v>
      </c>
      <c r="AR151" s="83">
        <v>3.28193</v>
      </c>
      <c r="AT151" s="83" t="s">
        <v>71</v>
      </c>
      <c r="AU151" s="83">
        <v>3.2164100000000002</v>
      </c>
      <c r="AW151" s="83" t="s">
        <v>71</v>
      </c>
      <c r="AX151" s="83">
        <v>3.2467899999999998</v>
      </c>
      <c r="AZ151" s="83" t="s">
        <v>71</v>
      </c>
      <c r="BA151" s="83">
        <v>3.3504200000000002</v>
      </c>
      <c r="BC151" s="83" t="s">
        <v>71</v>
      </c>
      <c r="BD151" s="83">
        <v>3.3780100000000002</v>
      </c>
      <c r="BF151" s="83" t="s">
        <v>71</v>
      </c>
      <c r="BG151" s="83">
        <v>3.36612</v>
      </c>
      <c r="BI151" s="83" t="s">
        <v>71</v>
      </c>
      <c r="BJ151" s="83">
        <v>3.40219</v>
      </c>
      <c r="BL151" s="83" t="s">
        <v>71</v>
      </c>
      <c r="BM151" s="83">
        <v>3.4833099999999999</v>
      </c>
      <c r="BO151" s="83" t="s">
        <v>71</v>
      </c>
      <c r="BP151" s="83">
        <v>3.47654</v>
      </c>
      <c r="BR151" s="83" t="s">
        <v>71</v>
      </c>
      <c r="BS151" s="83">
        <v>3.4986799999999998</v>
      </c>
      <c r="BU151" s="83" t="s">
        <v>71</v>
      </c>
      <c r="BV151" s="83">
        <v>3.6275900000000001</v>
      </c>
      <c r="BX151" s="83" t="s">
        <v>71</v>
      </c>
      <c r="BY151" s="83">
        <v>3.6150500000000001</v>
      </c>
      <c r="CA151" s="83" t="s">
        <v>71</v>
      </c>
      <c r="CB151" s="83">
        <v>3.6321400000000001</v>
      </c>
      <c r="CD151" s="83" t="s">
        <v>71</v>
      </c>
      <c r="CE151" s="83">
        <v>3.6360600000000001</v>
      </c>
      <c r="CG151" s="83" t="s">
        <v>71</v>
      </c>
      <c r="CH151" s="83">
        <v>3.78146</v>
      </c>
      <c r="CJ151" s="83" t="s">
        <v>71</v>
      </c>
      <c r="CK151" s="83">
        <v>3.7734899999999998</v>
      </c>
      <c r="CM151" s="83" t="s">
        <v>71</v>
      </c>
      <c r="CN151" s="83">
        <v>3.8123300000000002</v>
      </c>
      <c r="CP151" s="83" t="s">
        <v>71</v>
      </c>
      <c r="CQ151" s="83">
        <v>3.84735</v>
      </c>
      <c r="CS151" s="83" t="s">
        <v>71</v>
      </c>
      <c r="CT151" s="83">
        <v>3.9202499999999998</v>
      </c>
      <c r="CV151" s="83" t="s">
        <v>71</v>
      </c>
      <c r="CW151" s="83">
        <v>3.9059900000000001</v>
      </c>
    </row>
    <row r="153" spans="1:101" x14ac:dyDescent="0.2">
      <c r="A153" s="83" t="s">
        <v>70</v>
      </c>
      <c r="B153" s="83">
        <v>0.62343700000000002</v>
      </c>
      <c r="D153" s="83" t="s">
        <v>70</v>
      </c>
      <c r="E153" s="83">
        <v>0.62780599999999998</v>
      </c>
      <c r="G153" s="83" t="s">
        <v>70</v>
      </c>
      <c r="H153" s="83">
        <v>0.63513299999999995</v>
      </c>
      <c r="J153" s="83" t="s">
        <v>70</v>
      </c>
      <c r="K153" s="83">
        <v>0.62476200000000004</v>
      </c>
      <c r="M153" s="83" t="s">
        <v>70</v>
      </c>
      <c r="N153" s="83">
        <v>0.63062200000000002</v>
      </c>
      <c r="P153" s="83" t="s">
        <v>70</v>
      </c>
      <c r="Q153" s="83">
        <v>0.62721300000000002</v>
      </c>
      <c r="S153" s="83" t="s">
        <v>70</v>
      </c>
      <c r="T153" s="83">
        <v>0.630139</v>
      </c>
      <c r="V153" s="83" t="s">
        <v>70</v>
      </c>
      <c r="W153" s="83">
        <v>0.62037900000000001</v>
      </c>
      <c r="Y153" s="83" t="s">
        <v>70</v>
      </c>
      <c r="Z153" s="83">
        <v>0.62477099999999997</v>
      </c>
      <c r="AB153" s="83" t="s">
        <v>70</v>
      </c>
      <c r="AC153" s="83">
        <v>0.62818799999999997</v>
      </c>
      <c r="AE153" s="83" t="s">
        <v>70</v>
      </c>
      <c r="AF153" s="83">
        <v>0.62281900000000001</v>
      </c>
      <c r="AH153" s="83" t="s">
        <v>70</v>
      </c>
      <c r="AI153" s="83">
        <v>0.62185400000000002</v>
      </c>
      <c r="AK153" s="83" t="s">
        <v>70</v>
      </c>
      <c r="AL153" s="83">
        <v>0.61903600000000003</v>
      </c>
      <c r="AN153" s="83" t="s">
        <v>70</v>
      </c>
      <c r="AO153" s="83">
        <v>0.63367700000000005</v>
      </c>
      <c r="AQ153" s="83" t="s">
        <v>70</v>
      </c>
      <c r="AR153" s="83">
        <v>0.63465099999999997</v>
      </c>
      <c r="AT153" s="83" t="s">
        <v>70</v>
      </c>
      <c r="AU153" s="83">
        <v>0.62195900000000004</v>
      </c>
      <c r="AW153" s="83" t="s">
        <v>70</v>
      </c>
      <c r="AX153" s="83">
        <v>0.61805299999999996</v>
      </c>
      <c r="AZ153" s="83" t="s">
        <v>70</v>
      </c>
      <c r="BA153" s="83">
        <v>0.63123499999999999</v>
      </c>
      <c r="BC153" s="83" t="s">
        <v>70</v>
      </c>
      <c r="BD153" s="83">
        <v>0.63075300000000001</v>
      </c>
      <c r="BF153" s="83" t="s">
        <v>70</v>
      </c>
      <c r="BG153" s="83">
        <v>0.62342200000000003</v>
      </c>
      <c r="BI153" s="83" t="s">
        <v>70</v>
      </c>
      <c r="BJ153" s="83">
        <v>0.62294300000000002</v>
      </c>
      <c r="BL153" s="83" t="s">
        <v>70</v>
      </c>
      <c r="BM153" s="83">
        <v>0.63124599999999997</v>
      </c>
      <c r="BO153" s="83" t="s">
        <v>70</v>
      </c>
      <c r="BP153" s="83">
        <v>0.62196399999999996</v>
      </c>
      <c r="BR153" s="83" t="s">
        <v>70</v>
      </c>
      <c r="BS153" s="83">
        <v>0.62195900000000004</v>
      </c>
      <c r="BU153" s="83" t="s">
        <v>70</v>
      </c>
      <c r="BV153" s="83">
        <v>0.63513900000000001</v>
      </c>
      <c r="BX153" s="83" t="s">
        <v>70</v>
      </c>
      <c r="BY153" s="83">
        <v>0.628305</v>
      </c>
      <c r="CA153" s="83" t="s">
        <v>70</v>
      </c>
      <c r="CB153" s="83">
        <v>0.62391200000000002</v>
      </c>
      <c r="CD153" s="83" t="s">
        <v>70</v>
      </c>
      <c r="CE153" s="83">
        <v>0.61854399999999998</v>
      </c>
      <c r="CG153" s="83" t="s">
        <v>70</v>
      </c>
      <c r="CH153" s="83">
        <v>0.63368000000000002</v>
      </c>
      <c r="CJ153" s="83" t="s">
        <v>70</v>
      </c>
      <c r="CK153" s="83">
        <v>0.62733000000000005</v>
      </c>
      <c r="CM153" s="83" t="s">
        <v>70</v>
      </c>
      <c r="CN153" s="83">
        <v>0.62879799999999997</v>
      </c>
      <c r="CP153" s="83" t="s">
        <v>70</v>
      </c>
      <c r="CQ153" s="83">
        <v>0.62732699999999997</v>
      </c>
      <c r="CS153" s="83" t="s">
        <v>70</v>
      </c>
      <c r="CT153" s="83">
        <v>0.63466199999999995</v>
      </c>
      <c r="CV153" s="83" t="s">
        <v>70</v>
      </c>
      <c r="CW153" s="83">
        <v>0.62831099999999995</v>
      </c>
    </row>
    <row r="155" spans="1:101" x14ac:dyDescent="0.2">
      <c r="A155" s="83" t="s">
        <v>63</v>
      </c>
      <c r="B155" s="83">
        <v>125</v>
      </c>
      <c r="D155" s="83" t="s">
        <v>63</v>
      </c>
      <c r="E155" s="83">
        <v>125</v>
      </c>
      <c r="G155" s="83" t="s">
        <v>63</v>
      </c>
      <c r="H155" s="83">
        <v>125</v>
      </c>
      <c r="J155" s="83" t="s">
        <v>63</v>
      </c>
      <c r="K155" s="83">
        <v>125</v>
      </c>
      <c r="M155" s="83" t="s">
        <v>63</v>
      </c>
      <c r="N155" s="83">
        <v>125</v>
      </c>
      <c r="P155" s="83" t="s">
        <v>63</v>
      </c>
      <c r="Q155" s="83">
        <v>125</v>
      </c>
      <c r="S155" s="83" t="s">
        <v>63</v>
      </c>
      <c r="T155" s="83">
        <v>125</v>
      </c>
      <c r="V155" s="83" t="s">
        <v>63</v>
      </c>
      <c r="W155" s="83">
        <v>125</v>
      </c>
      <c r="Y155" s="83" t="s">
        <v>63</v>
      </c>
      <c r="Z155" s="83">
        <v>125</v>
      </c>
      <c r="AB155" s="83" t="s">
        <v>63</v>
      </c>
      <c r="AC155" s="83">
        <v>125</v>
      </c>
      <c r="AE155" s="83" t="s">
        <v>63</v>
      </c>
      <c r="AF155" s="83">
        <v>125</v>
      </c>
      <c r="AH155" s="83" t="s">
        <v>63</v>
      </c>
      <c r="AI155" s="83">
        <v>125</v>
      </c>
      <c r="AK155" s="83" t="s">
        <v>63</v>
      </c>
      <c r="AL155" s="83">
        <v>125</v>
      </c>
      <c r="AN155" s="83" t="s">
        <v>63</v>
      </c>
      <c r="AO155" s="83">
        <v>125</v>
      </c>
      <c r="AQ155" s="83" t="s">
        <v>63</v>
      </c>
      <c r="AR155" s="83">
        <v>125</v>
      </c>
      <c r="AT155" s="83" t="s">
        <v>63</v>
      </c>
      <c r="AU155" s="83">
        <v>125</v>
      </c>
      <c r="AW155" s="83" t="s">
        <v>63</v>
      </c>
      <c r="AX155" s="83">
        <v>125</v>
      </c>
      <c r="AZ155" s="83" t="s">
        <v>63</v>
      </c>
      <c r="BA155" s="83">
        <v>125</v>
      </c>
      <c r="BC155" s="83" t="s">
        <v>63</v>
      </c>
      <c r="BD155" s="83">
        <v>125</v>
      </c>
      <c r="BF155" s="83" t="s">
        <v>63</v>
      </c>
      <c r="BG155" s="83">
        <v>125</v>
      </c>
      <c r="BI155" s="83" t="s">
        <v>63</v>
      </c>
      <c r="BJ155" s="83">
        <v>125</v>
      </c>
      <c r="BL155" s="83" t="s">
        <v>63</v>
      </c>
      <c r="BM155" s="83">
        <v>125</v>
      </c>
      <c r="BO155" s="83" t="s">
        <v>63</v>
      </c>
      <c r="BP155" s="83">
        <v>125</v>
      </c>
      <c r="BR155" s="83" t="s">
        <v>63</v>
      </c>
      <c r="BS155" s="83">
        <v>125</v>
      </c>
      <c r="BU155" s="83" t="s">
        <v>63</v>
      </c>
      <c r="BV155" s="83">
        <v>125</v>
      </c>
      <c r="BX155" s="83" t="s">
        <v>63</v>
      </c>
      <c r="BY155" s="83">
        <v>125</v>
      </c>
      <c r="CA155" s="83" t="s">
        <v>63</v>
      </c>
      <c r="CB155" s="83">
        <v>125</v>
      </c>
      <c r="CD155" s="83" t="s">
        <v>63</v>
      </c>
      <c r="CE155" s="83">
        <v>125</v>
      </c>
      <c r="CG155" s="83" t="s">
        <v>63</v>
      </c>
      <c r="CH155" s="83">
        <v>125</v>
      </c>
      <c r="CJ155" s="83" t="s">
        <v>63</v>
      </c>
      <c r="CK155" s="83">
        <v>125</v>
      </c>
      <c r="CM155" s="83" t="s">
        <v>63</v>
      </c>
      <c r="CN155" s="83">
        <v>125</v>
      </c>
      <c r="CP155" s="83" t="s">
        <v>63</v>
      </c>
      <c r="CQ155" s="83">
        <v>125</v>
      </c>
      <c r="CS155" s="83" t="s">
        <v>63</v>
      </c>
      <c r="CT155" s="83">
        <v>125</v>
      </c>
      <c r="CV155" s="83" t="s">
        <v>63</v>
      </c>
      <c r="CW155" s="83">
        <v>125</v>
      </c>
    </row>
    <row r="157" spans="1:101" x14ac:dyDescent="0.2">
      <c r="A157" s="83" t="s">
        <v>61</v>
      </c>
      <c r="B157" s="83">
        <v>12500</v>
      </c>
      <c r="D157" s="83" t="s">
        <v>61</v>
      </c>
      <c r="E157" s="83">
        <v>12500</v>
      </c>
      <c r="G157" s="83" t="s">
        <v>61</v>
      </c>
      <c r="H157" s="83">
        <v>12500</v>
      </c>
      <c r="J157" s="83" t="s">
        <v>61</v>
      </c>
      <c r="K157" s="83">
        <v>12500</v>
      </c>
      <c r="M157" s="83" t="s">
        <v>61</v>
      </c>
      <c r="N157" s="83">
        <v>12500</v>
      </c>
      <c r="P157" s="83" t="s">
        <v>61</v>
      </c>
      <c r="Q157" s="83">
        <v>12500</v>
      </c>
      <c r="S157" s="83" t="s">
        <v>61</v>
      </c>
      <c r="T157" s="83">
        <v>12500</v>
      </c>
      <c r="V157" s="83" t="s">
        <v>61</v>
      </c>
      <c r="W157" s="83">
        <v>12500</v>
      </c>
      <c r="Y157" s="83" t="s">
        <v>61</v>
      </c>
      <c r="Z157" s="83">
        <v>12500</v>
      </c>
      <c r="AB157" s="83" t="s">
        <v>61</v>
      </c>
      <c r="AC157" s="83">
        <v>12500</v>
      </c>
      <c r="AE157" s="83" t="s">
        <v>61</v>
      </c>
      <c r="AF157" s="83">
        <v>12500</v>
      </c>
      <c r="AH157" s="83" t="s">
        <v>61</v>
      </c>
      <c r="AI157" s="83">
        <v>12500</v>
      </c>
      <c r="AK157" s="83" t="s">
        <v>61</v>
      </c>
      <c r="AL157" s="83">
        <v>12500</v>
      </c>
      <c r="AN157" s="83" t="s">
        <v>61</v>
      </c>
      <c r="AO157" s="83">
        <v>12500</v>
      </c>
      <c r="AQ157" s="83" t="s">
        <v>61</v>
      </c>
      <c r="AR157" s="83">
        <v>12500</v>
      </c>
      <c r="AT157" s="83" t="s">
        <v>61</v>
      </c>
      <c r="AU157" s="83">
        <v>12500</v>
      </c>
      <c r="AW157" s="83" t="s">
        <v>61</v>
      </c>
      <c r="AX157" s="83">
        <v>12500</v>
      </c>
      <c r="AZ157" s="83" t="s">
        <v>61</v>
      </c>
      <c r="BA157" s="83">
        <v>12500</v>
      </c>
      <c r="BC157" s="83" t="s">
        <v>61</v>
      </c>
      <c r="BD157" s="83">
        <v>12500</v>
      </c>
      <c r="BF157" s="83" t="s">
        <v>61</v>
      </c>
      <c r="BG157" s="83">
        <v>12500</v>
      </c>
      <c r="BI157" s="83" t="s">
        <v>61</v>
      </c>
      <c r="BJ157" s="83">
        <v>12500</v>
      </c>
      <c r="BL157" s="83" t="s">
        <v>61</v>
      </c>
      <c r="BM157" s="83">
        <v>12500</v>
      </c>
      <c r="BO157" s="83" t="s">
        <v>61</v>
      </c>
      <c r="BP157" s="83">
        <v>12500</v>
      </c>
      <c r="BR157" s="83" t="s">
        <v>61</v>
      </c>
      <c r="BS157" s="83">
        <v>12500</v>
      </c>
      <c r="BU157" s="83" t="s">
        <v>61</v>
      </c>
      <c r="BV157" s="83">
        <v>12500</v>
      </c>
      <c r="BX157" s="83" t="s">
        <v>61</v>
      </c>
      <c r="BY157" s="83">
        <v>12500</v>
      </c>
      <c r="CA157" s="83" t="s">
        <v>61</v>
      </c>
      <c r="CB157" s="83">
        <v>12500</v>
      </c>
      <c r="CD157" s="83" t="s">
        <v>61</v>
      </c>
      <c r="CE157" s="83">
        <v>12500</v>
      </c>
      <c r="CG157" s="83" t="s">
        <v>61</v>
      </c>
      <c r="CH157" s="83">
        <v>12500</v>
      </c>
      <c r="CJ157" s="83" t="s">
        <v>61</v>
      </c>
      <c r="CK157" s="83">
        <v>12500</v>
      </c>
      <c r="CM157" s="83" t="s">
        <v>61</v>
      </c>
      <c r="CN157" s="83">
        <v>12500</v>
      </c>
      <c r="CP157" s="83" t="s">
        <v>61</v>
      </c>
      <c r="CQ157" s="83">
        <v>12500</v>
      </c>
      <c r="CS157" s="83" t="s">
        <v>61</v>
      </c>
      <c r="CT157" s="83">
        <v>12500</v>
      </c>
      <c r="CV157" s="83" t="s">
        <v>61</v>
      </c>
      <c r="CW157" s="83">
        <v>12500</v>
      </c>
    </row>
    <row r="159" spans="1:101" x14ac:dyDescent="0.2">
      <c r="A159" s="83" t="s">
        <v>58</v>
      </c>
      <c r="B159" s="83">
        <v>0.2</v>
      </c>
      <c r="D159" s="83" t="s">
        <v>58</v>
      </c>
      <c r="E159" s="83">
        <v>0.2</v>
      </c>
      <c r="G159" s="83" t="s">
        <v>58</v>
      </c>
      <c r="H159" s="83">
        <v>0.2</v>
      </c>
      <c r="J159" s="83" t="s">
        <v>58</v>
      </c>
      <c r="K159" s="83">
        <v>0.2</v>
      </c>
      <c r="M159" s="83" t="s">
        <v>58</v>
      </c>
      <c r="N159" s="83">
        <v>0.2</v>
      </c>
      <c r="P159" s="83" t="s">
        <v>58</v>
      </c>
      <c r="Q159" s="83">
        <v>0.2</v>
      </c>
      <c r="S159" s="83" t="s">
        <v>58</v>
      </c>
      <c r="T159" s="83">
        <v>0.2</v>
      </c>
      <c r="V159" s="83" t="s">
        <v>58</v>
      </c>
      <c r="W159" s="83">
        <v>0.2</v>
      </c>
      <c r="Y159" s="83" t="s">
        <v>58</v>
      </c>
      <c r="Z159" s="83">
        <v>0.2</v>
      </c>
      <c r="AB159" s="83" t="s">
        <v>58</v>
      </c>
      <c r="AC159" s="83">
        <v>0.2</v>
      </c>
      <c r="AE159" s="83" t="s">
        <v>58</v>
      </c>
      <c r="AF159" s="83">
        <v>0.2</v>
      </c>
      <c r="AH159" s="83" t="s">
        <v>58</v>
      </c>
      <c r="AI159" s="83">
        <v>0.2</v>
      </c>
      <c r="AK159" s="83" t="s">
        <v>58</v>
      </c>
      <c r="AL159" s="83">
        <v>0.2</v>
      </c>
      <c r="AN159" s="83" t="s">
        <v>58</v>
      </c>
      <c r="AO159" s="83">
        <v>0.2</v>
      </c>
      <c r="AQ159" s="83" t="s">
        <v>58</v>
      </c>
      <c r="AR159" s="83">
        <v>0.2</v>
      </c>
      <c r="AT159" s="83" t="s">
        <v>58</v>
      </c>
      <c r="AU159" s="83">
        <v>0.2</v>
      </c>
      <c r="AW159" s="83" t="s">
        <v>58</v>
      </c>
      <c r="AX159" s="83">
        <v>0.2</v>
      </c>
      <c r="AZ159" s="83" t="s">
        <v>58</v>
      </c>
      <c r="BA159" s="83">
        <v>0.2</v>
      </c>
      <c r="BC159" s="83" t="s">
        <v>58</v>
      </c>
      <c r="BD159" s="83">
        <v>0.2</v>
      </c>
      <c r="BF159" s="83" t="s">
        <v>58</v>
      </c>
      <c r="BG159" s="83">
        <v>0.2</v>
      </c>
      <c r="BI159" s="83" t="s">
        <v>58</v>
      </c>
      <c r="BJ159" s="83">
        <v>0.2</v>
      </c>
      <c r="BL159" s="83" t="s">
        <v>58</v>
      </c>
      <c r="BM159" s="83">
        <v>0.2</v>
      </c>
      <c r="BO159" s="83" t="s">
        <v>58</v>
      </c>
      <c r="BP159" s="83">
        <v>0.2</v>
      </c>
      <c r="BR159" s="83" t="s">
        <v>58</v>
      </c>
      <c r="BS159" s="83">
        <v>0.2</v>
      </c>
      <c r="BU159" s="83" t="s">
        <v>58</v>
      </c>
      <c r="BV159" s="83">
        <v>0.2</v>
      </c>
      <c r="BX159" s="83" t="s">
        <v>58</v>
      </c>
      <c r="BY159" s="83">
        <v>0.2</v>
      </c>
      <c r="CA159" s="83" t="s">
        <v>58</v>
      </c>
      <c r="CB159" s="83">
        <v>0.2</v>
      </c>
      <c r="CD159" s="83" t="s">
        <v>58</v>
      </c>
      <c r="CE159" s="83">
        <v>0.2</v>
      </c>
      <c r="CG159" s="83" t="s">
        <v>58</v>
      </c>
      <c r="CH159" s="83">
        <v>0.2</v>
      </c>
      <c r="CJ159" s="83" t="s">
        <v>58</v>
      </c>
      <c r="CK159" s="83">
        <v>0.2</v>
      </c>
      <c r="CM159" s="83" t="s">
        <v>58</v>
      </c>
      <c r="CN159" s="83">
        <v>0.2</v>
      </c>
      <c r="CP159" s="83" t="s">
        <v>58</v>
      </c>
      <c r="CQ159" s="83">
        <v>0.2</v>
      </c>
      <c r="CS159" s="83" t="s">
        <v>58</v>
      </c>
      <c r="CT159" s="83">
        <v>0.2</v>
      </c>
      <c r="CV159" s="83" t="s">
        <v>58</v>
      </c>
      <c r="CW159" s="83">
        <v>0.2</v>
      </c>
    </row>
    <row r="161" spans="1:101" x14ac:dyDescent="0.2">
      <c r="A161" s="83" t="s">
        <v>59</v>
      </c>
      <c r="B161" s="83">
        <v>0.02</v>
      </c>
      <c r="D161" s="83" t="s">
        <v>59</v>
      </c>
      <c r="E161" s="83">
        <v>0.02</v>
      </c>
      <c r="G161" s="83" t="s">
        <v>59</v>
      </c>
      <c r="H161" s="83">
        <v>0.02</v>
      </c>
      <c r="J161" s="83" t="s">
        <v>59</v>
      </c>
      <c r="K161" s="83">
        <v>0.02</v>
      </c>
      <c r="M161" s="83" t="s">
        <v>59</v>
      </c>
      <c r="N161" s="83">
        <v>0.02</v>
      </c>
      <c r="P161" s="83" t="s">
        <v>59</v>
      </c>
      <c r="Q161" s="83">
        <v>0.02</v>
      </c>
      <c r="S161" s="83" t="s">
        <v>59</v>
      </c>
      <c r="T161" s="83">
        <v>0.02</v>
      </c>
      <c r="V161" s="83" t="s">
        <v>59</v>
      </c>
      <c r="W161" s="83">
        <v>0.02</v>
      </c>
      <c r="Y161" s="83" t="s">
        <v>59</v>
      </c>
      <c r="Z161" s="83">
        <v>0.02</v>
      </c>
      <c r="AB161" s="83" t="s">
        <v>59</v>
      </c>
      <c r="AC161" s="83">
        <v>0.02</v>
      </c>
      <c r="AE161" s="83" t="s">
        <v>59</v>
      </c>
      <c r="AF161" s="83">
        <v>0.02</v>
      </c>
      <c r="AH161" s="83" t="s">
        <v>59</v>
      </c>
      <c r="AI161" s="83">
        <v>0.02</v>
      </c>
      <c r="AK161" s="83" t="s">
        <v>59</v>
      </c>
      <c r="AL161" s="83">
        <v>0.02</v>
      </c>
      <c r="AN161" s="83" t="s">
        <v>59</v>
      </c>
      <c r="AO161" s="83">
        <v>0.02</v>
      </c>
      <c r="AQ161" s="83" t="s">
        <v>59</v>
      </c>
      <c r="AR161" s="83">
        <v>0.02</v>
      </c>
      <c r="AT161" s="83" t="s">
        <v>59</v>
      </c>
      <c r="AU161" s="83">
        <v>0.02</v>
      </c>
      <c r="AW161" s="83" t="s">
        <v>59</v>
      </c>
      <c r="AX161" s="83">
        <v>0.02</v>
      </c>
      <c r="AZ161" s="83" t="s">
        <v>59</v>
      </c>
      <c r="BA161" s="83">
        <v>0.02</v>
      </c>
      <c r="BC161" s="83" t="s">
        <v>59</v>
      </c>
      <c r="BD161" s="83">
        <v>0.02</v>
      </c>
      <c r="BF161" s="83" t="s">
        <v>59</v>
      </c>
      <c r="BG161" s="83">
        <v>0.02</v>
      </c>
      <c r="BI161" s="83" t="s">
        <v>59</v>
      </c>
      <c r="BJ161" s="83">
        <v>0.02</v>
      </c>
      <c r="BL161" s="83" t="s">
        <v>59</v>
      </c>
      <c r="BM161" s="83">
        <v>0.02</v>
      </c>
      <c r="BO161" s="83" t="s">
        <v>59</v>
      </c>
      <c r="BP161" s="83">
        <v>0.02</v>
      </c>
      <c r="BR161" s="83" t="s">
        <v>59</v>
      </c>
      <c r="BS161" s="83">
        <v>0.02</v>
      </c>
      <c r="BU161" s="83" t="s">
        <v>59</v>
      </c>
      <c r="BV161" s="83">
        <v>0.02</v>
      </c>
      <c r="BX161" s="83" t="s">
        <v>59</v>
      </c>
      <c r="BY161" s="83">
        <v>0.02</v>
      </c>
      <c r="CA161" s="83" t="s">
        <v>59</v>
      </c>
      <c r="CB161" s="83">
        <v>0.02</v>
      </c>
      <c r="CD161" s="83" t="s">
        <v>59</v>
      </c>
      <c r="CE161" s="83">
        <v>0.02</v>
      </c>
      <c r="CG161" s="83" t="s">
        <v>59</v>
      </c>
      <c r="CH161" s="83">
        <v>0.02</v>
      </c>
      <c r="CJ161" s="83" t="s">
        <v>59</v>
      </c>
      <c r="CK161" s="83">
        <v>0.02</v>
      </c>
      <c r="CM161" s="83" t="s">
        <v>59</v>
      </c>
      <c r="CN161" s="83">
        <v>0.02</v>
      </c>
      <c r="CP161" s="83" t="s">
        <v>59</v>
      </c>
      <c r="CQ161" s="83">
        <v>0.02</v>
      </c>
      <c r="CS161" s="83" t="s">
        <v>59</v>
      </c>
      <c r="CT161" s="83">
        <v>0.02</v>
      </c>
      <c r="CV161" s="83" t="s">
        <v>59</v>
      </c>
      <c r="CW161" s="83">
        <v>0.02</v>
      </c>
    </row>
    <row r="163" spans="1:101" x14ac:dyDescent="0.2">
      <c r="A163" s="83" t="s">
        <v>60</v>
      </c>
      <c r="B163" s="83">
        <v>1000</v>
      </c>
      <c r="D163" s="83" t="s">
        <v>60</v>
      </c>
      <c r="E163" s="83">
        <v>1000</v>
      </c>
      <c r="G163" s="83" t="s">
        <v>60</v>
      </c>
      <c r="H163" s="83">
        <v>1000</v>
      </c>
      <c r="J163" s="83" t="s">
        <v>60</v>
      </c>
      <c r="K163" s="83">
        <v>1000</v>
      </c>
      <c r="M163" s="83" t="s">
        <v>60</v>
      </c>
      <c r="N163" s="83">
        <v>1000</v>
      </c>
      <c r="P163" s="83" t="s">
        <v>60</v>
      </c>
      <c r="Q163" s="83">
        <v>1000</v>
      </c>
      <c r="S163" s="83" t="s">
        <v>60</v>
      </c>
      <c r="T163" s="83">
        <v>1000</v>
      </c>
      <c r="V163" s="83" t="s">
        <v>60</v>
      </c>
      <c r="W163" s="83">
        <v>1000</v>
      </c>
      <c r="Y163" s="83" t="s">
        <v>60</v>
      </c>
      <c r="Z163" s="83">
        <v>1000</v>
      </c>
      <c r="AB163" s="83" t="s">
        <v>60</v>
      </c>
      <c r="AC163" s="83">
        <v>1000</v>
      </c>
      <c r="AE163" s="83" t="s">
        <v>60</v>
      </c>
      <c r="AF163" s="83">
        <v>1000</v>
      </c>
      <c r="AH163" s="83" t="s">
        <v>60</v>
      </c>
      <c r="AI163" s="83">
        <v>1000</v>
      </c>
      <c r="AK163" s="83" t="s">
        <v>60</v>
      </c>
      <c r="AL163" s="83">
        <v>1000</v>
      </c>
      <c r="AN163" s="83" t="s">
        <v>60</v>
      </c>
      <c r="AO163" s="83">
        <v>1000</v>
      </c>
      <c r="AQ163" s="83" t="s">
        <v>60</v>
      </c>
      <c r="AR163" s="83">
        <v>1000</v>
      </c>
      <c r="AT163" s="83" t="s">
        <v>60</v>
      </c>
      <c r="AU163" s="83">
        <v>1000</v>
      </c>
      <c r="AW163" s="83" t="s">
        <v>60</v>
      </c>
      <c r="AX163" s="83">
        <v>1000</v>
      </c>
      <c r="AZ163" s="83" t="s">
        <v>60</v>
      </c>
      <c r="BA163" s="83">
        <v>1000</v>
      </c>
      <c r="BC163" s="83" t="s">
        <v>60</v>
      </c>
      <c r="BD163" s="83">
        <v>1000</v>
      </c>
      <c r="BF163" s="83" t="s">
        <v>60</v>
      </c>
      <c r="BG163" s="83">
        <v>1000</v>
      </c>
      <c r="BI163" s="83" t="s">
        <v>60</v>
      </c>
      <c r="BJ163" s="83">
        <v>1000</v>
      </c>
      <c r="BL163" s="83" t="s">
        <v>60</v>
      </c>
      <c r="BM163" s="83">
        <v>1000</v>
      </c>
      <c r="BO163" s="83" t="s">
        <v>60</v>
      </c>
      <c r="BP163" s="83">
        <v>1000</v>
      </c>
      <c r="BR163" s="83" t="s">
        <v>60</v>
      </c>
      <c r="BS163" s="83">
        <v>1000</v>
      </c>
      <c r="BU163" s="83" t="s">
        <v>60</v>
      </c>
      <c r="BV163" s="83">
        <v>1000</v>
      </c>
      <c r="BX163" s="83" t="s">
        <v>60</v>
      </c>
      <c r="BY163" s="83">
        <v>1000</v>
      </c>
      <c r="CA163" s="83" t="s">
        <v>60</v>
      </c>
      <c r="CB163" s="83">
        <v>1000</v>
      </c>
      <c r="CD163" s="83" t="s">
        <v>60</v>
      </c>
      <c r="CE163" s="83">
        <v>1000</v>
      </c>
      <c r="CG163" s="83" t="s">
        <v>60</v>
      </c>
      <c r="CH163" s="83">
        <v>1000</v>
      </c>
      <c r="CJ163" s="83" t="s">
        <v>60</v>
      </c>
      <c r="CK163" s="83">
        <v>1000</v>
      </c>
      <c r="CM163" s="83" t="s">
        <v>60</v>
      </c>
      <c r="CN163" s="83">
        <v>1000</v>
      </c>
      <c r="CP163" s="83" t="s">
        <v>60</v>
      </c>
      <c r="CQ163" s="83">
        <v>1000</v>
      </c>
      <c r="CS163" s="83" t="s">
        <v>60</v>
      </c>
      <c r="CT163" s="83">
        <v>1000</v>
      </c>
      <c r="CV163" s="83" t="s">
        <v>60</v>
      </c>
      <c r="CW163" s="83">
        <v>1000</v>
      </c>
    </row>
    <row r="165" spans="1:101" x14ac:dyDescent="0.2">
      <c r="A165" s="83" t="s">
        <v>62</v>
      </c>
      <c r="B165" s="83">
        <v>0.05</v>
      </c>
      <c r="D165" s="83" t="s">
        <v>62</v>
      </c>
      <c r="E165" s="83">
        <v>0.05</v>
      </c>
      <c r="G165" s="83" t="s">
        <v>62</v>
      </c>
      <c r="H165" s="83">
        <v>0.05</v>
      </c>
      <c r="J165" s="83" t="s">
        <v>62</v>
      </c>
      <c r="K165" s="83">
        <v>0.05</v>
      </c>
      <c r="M165" s="83" t="s">
        <v>62</v>
      </c>
      <c r="N165" s="83">
        <v>0.05</v>
      </c>
      <c r="P165" s="83" t="s">
        <v>62</v>
      </c>
      <c r="Q165" s="83">
        <v>0.05</v>
      </c>
      <c r="S165" s="83" t="s">
        <v>62</v>
      </c>
      <c r="T165" s="83">
        <v>0.05</v>
      </c>
      <c r="V165" s="83" t="s">
        <v>62</v>
      </c>
      <c r="W165" s="83">
        <v>0.05</v>
      </c>
      <c r="Y165" s="83" t="s">
        <v>62</v>
      </c>
      <c r="Z165" s="83">
        <v>0.05</v>
      </c>
      <c r="AB165" s="83" t="s">
        <v>62</v>
      </c>
      <c r="AC165" s="83">
        <v>0.05</v>
      </c>
      <c r="AE165" s="83" t="s">
        <v>62</v>
      </c>
      <c r="AF165" s="83">
        <v>0.05</v>
      </c>
      <c r="AH165" s="83" t="s">
        <v>62</v>
      </c>
      <c r="AI165" s="83">
        <v>0.05</v>
      </c>
      <c r="AK165" s="83" t="s">
        <v>62</v>
      </c>
      <c r="AL165" s="83">
        <v>0.05</v>
      </c>
      <c r="AN165" s="83" t="s">
        <v>62</v>
      </c>
      <c r="AO165" s="83">
        <v>0.05</v>
      </c>
      <c r="AQ165" s="83" t="s">
        <v>62</v>
      </c>
      <c r="AR165" s="83">
        <v>0.05</v>
      </c>
      <c r="AT165" s="83" t="s">
        <v>62</v>
      </c>
      <c r="AU165" s="83">
        <v>0.05</v>
      </c>
      <c r="AW165" s="83" t="s">
        <v>62</v>
      </c>
      <c r="AX165" s="83">
        <v>0.05</v>
      </c>
      <c r="AZ165" s="83" t="s">
        <v>62</v>
      </c>
      <c r="BA165" s="83">
        <v>0.05</v>
      </c>
      <c r="BC165" s="83" t="s">
        <v>62</v>
      </c>
      <c r="BD165" s="83">
        <v>0.05</v>
      </c>
      <c r="BF165" s="83" t="s">
        <v>62</v>
      </c>
      <c r="BG165" s="83">
        <v>0.05</v>
      </c>
      <c r="BI165" s="83" t="s">
        <v>62</v>
      </c>
      <c r="BJ165" s="83">
        <v>0.05</v>
      </c>
      <c r="BL165" s="83" t="s">
        <v>62</v>
      </c>
      <c r="BM165" s="83">
        <v>0.05</v>
      </c>
      <c r="BO165" s="83" t="s">
        <v>62</v>
      </c>
      <c r="BP165" s="83">
        <v>0.05</v>
      </c>
      <c r="BR165" s="83" t="s">
        <v>62</v>
      </c>
      <c r="BS165" s="83">
        <v>0.05</v>
      </c>
      <c r="BU165" s="83" t="s">
        <v>62</v>
      </c>
      <c r="BV165" s="83">
        <v>0.05</v>
      </c>
      <c r="BX165" s="83" t="s">
        <v>62</v>
      </c>
      <c r="BY165" s="83">
        <v>0.05</v>
      </c>
      <c r="CA165" s="83" t="s">
        <v>62</v>
      </c>
      <c r="CB165" s="83">
        <v>0.05</v>
      </c>
      <c r="CD165" s="83" t="s">
        <v>62</v>
      </c>
      <c r="CE165" s="83">
        <v>0.05</v>
      </c>
      <c r="CG165" s="83" t="s">
        <v>62</v>
      </c>
      <c r="CH165" s="83">
        <v>0.05</v>
      </c>
      <c r="CJ165" s="83" t="s">
        <v>62</v>
      </c>
      <c r="CK165" s="83">
        <v>0.05</v>
      </c>
      <c r="CM165" s="83" t="s">
        <v>62</v>
      </c>
      <c r="CN165" s="83">
        <v>0.05</v>
      </c>
      <c r="CP165" s="83" t="s">
        <v>62</v>
      </c>
      <c r="CQ165" s="83">
        <v>0.05</v>
      </c>
      <c r="CS165" s="83" t="s">
        <v>62</v>
      </c>
      <c r="CT165" s="83">
        <v>0.05</v>
      </c>
      <c r="CV165" s="83" t="s">
        <v>62</v>
      </c>
      <c r="CW165" s="83">
        <v>0.05</v>
      </c>
    </row>
    <row r="167" spans="1:101" x14ac:dyDescent="0.2">
      <c r="A167" s="83" t="s">
        <v>64</v>
      </c>
      <c r="B167" s="83">
        <v>-0.16226599999999999</v>
      </c>
      <c r="D167" s="83" t="s">
        <v>64</v>
      </c>
      <c r="E167" s="83">
        <v>-0.15642900000000001</v>
      </c>
      <c r="G167" s="83" t="s">
        <v>64</v>
      </c>
      <c r="H167" s="83">
        <v>-0.15290100000000001</v>
      </c>
      <c r="J167" s="83" t="s">
        <v>64</v>
      </c>
      <c r="K167" s="83">
        <v>-0.15720999999999999</v>
      </c>
      <c r="M167" s="83" t="s">
        <v>64</v>
      </c>
      <c r="N167" s="83">
        <v>-0.156169</v>
      </c>
      <c r="P167" s="83" t="s">
        <v>64</v>
      </c>
      <c r="Q167" s="83">
        <v>-0.154227</v>
      </c>
      <c r="S167" s="83" t="s">
        <v>64</v>
      </c>
      <c r="T167" s="83">
        <v>-0.15029899999999999</v>
      </c>
      <c r="V167" s="83" t="s">
        <v>64</v>
      </c>
      <c r="W167" s="83">
        <v>-0.15084400000000001</v>
      </c>
      <c r="Y167" s="83" t="s">
        <v>64</v>
      </c>
      <c r="Z167" s="83">
        <v>-0.15226999999999999</v>
      </c>
      <c r="AB167" s="83" t="s">
        <v>64</v>
      </c>
      <c r="AC167" s="83">
        <v>-0.15670300000000001</v>
      </c>
      <c r="AE167" s="83" t="s">
        <v>64</v>
      </c>
      <c r="AF167" s="83">
        <v>-0.16205600000000001</v>
      </c>
      <c r="AH167" s="83" t="s">
        <v>64</v>
      </c>
      <c r="AI167" s="83">
        <v>-0.170294</v>
      </c>
      <c r="AK167" s="83" t="s">
        <v>64</v>
      </c>
      <c r="AL167" s="83">
        <v>-0.17083200000000001</v>
      </c>
      <c r="AN167" s="83" t="s">
        <v>64</v>
      </c>
      <c r="AO167" s="83">
        <v>-0.17960799999999999</v>
      </c>
      <c r="AQ167" s="83" t="s">
        <v>64</v>
      </c>
      <c r="AR167" s="83">
        <v>-0.18944800000000001</v>
      </c>
      <c r="AT167" s="83" t="s">
        <v>64</v>
      </c>
      <c r="AU167" s="83">
        <v>-0.200073</v>
      </c>
      <c r="AW167" s="83" t="s">
        <v>64</v>
      </c>
      <c r="AX167" s="83">
        <v>-0.210615</v>
      </c>
      <c r="AZ167" s="83" t="s">
        <v>64</v>
      </c>
      <c r="BA167" s="83">
        <v>-0.22418099999999999</v>
      </c>
      <c r="BC167" s="83" t="s">
        <v>64</v>
      </c>
      <c r="BD167" s="83">
        <v>-0.23757500000000001</v>
      </c>
      <c r="BF167" s="83" t="s">
        <v>64</v>
      </c>
      <c r="BG167" s="83">
        <v>-0.25115300000000002</v>
      </c>
      <c r="BI167" s="83" t="s">
        <v>64</v>
      </c>
      <c r="BJ167" s="83">
        <v>-0.26657700000000001</v>
      </c>
      <c r="BL167" s="83" t="s">
        <v>64</v>
      </c>
      <c r="BM167" s="83">
        <v>-0.28298200000000001</v>
      </c>
      <c r="BO167" s="83" t="s">
        <v>64</v>
      </c>
      <c r="BP167" s="83">
        <v>-0.298626</v>
      </c>
      <c r="BR167" s="83" t="s">
        <v>64</v>
      </c>
      <c r="BS167" s="83">
        <v>-0.316247</v>
      </c>
      <c r="BU167" s="83" t="s">
        <v>64</v>
      </c>
      <c r="BV167" s="83">
        <v>-0.33304899999999998</v>
      </c>
      <c r="BX167" s="83" t="s">
        <v>64</v>
      </c>
      <c r="BY167" s="83">
        <v>-0.35215000000000002</v>
      </c>
      <c r="CA167" s="83" t="s">
        <v>64</v>
      </c>
      <c r="CB167" s="83">
        <v>-0.37249300000000002</v>
      </c>
      <c r="CD167" s="83" t="s">
        <v>64</v>
      </c>
      <c r="CE167" s="83">
        <v>-0.39502799999999999</v>
      </c>
      <c r="CG167" s="83" t="s">
        <v>64</v>
      </c>
      <c r="CH167" s="83">
        <v>-0.415599</v>
      </c>
      <c r="CJ167" s="83" t="s">
        <v>64</v>
      </c>
      <c r="CK167" s="83">
        <v>-0.43917499999999998</v>
      </c>
      <c r="CM167" s="83" t="s">
        <v>64</v>
      </c>
      <c r="CN167" s="83">
        <v>-0.46267000000000003</v>
      </c>
      <c r="CP167" s="83" t="s">
        <v>64</v>
      </c>
      <c r="CQ167" s="83">
        <v>-0.485709</v>
      </c>
      <c r="CS167" s="83" t="s">
        <v>64</v>
      </c>
      <c r="CT167" s="83">
        <v>-0.51044900000000004</v>
      </c>
      <c r="CV167" s="83" t="s">
        <v>64</v>
      </c>
      <c r="CW167" s="83">
        <v>-0.53424499999999997</v>
      </c>
    </row>
    <row r="169" spans="1:101" x14ac:dyDescent="0.2">
      <c r="A169" s="83" t="s">
        <v>76</v>
      </c>
      <c r="B169" s="83" t="s">
        <v>131</v>
      </c>
      <c r="D169" s="83" t="s">
        <v>76</v>
      </c>
      <c r="E169" s="83" t="s">
        <v>131</v>
      </c>
      <c r="G169" s="83" t="s">
        <v>76</v>
      </c>
      <c r="H169" s="83" t="s">
        <v>131</v>
      </c>
      <c r="J169" s="83" t="s">
        <v>76</v>
      </c>
      <c r="K169" s="83" t="s">
        <v>131</v>
      </c>
      <c r="M169" s="83" t="s">
        <v>76</v>
      </c>
      <c r="N169" s="83" t="s">
        <v>131</v>
      </c>
      <c r="P169" s="83" t="s">
        <v>76</v>
      </c>
      <c r="Q169" s="83" t="s">
        <v>131</v>
      </c>
      <c r="S169" s="83" t="s">
        <v>76</v>
      </c>
      <c r="T169" s="83" t="s">
        <v>131</v>
      </c>
      <c r="V169" s="83" t="s">
        <v>76</v>
      </c>
      <c r="W169" s="83" t="s">
        <v>131</v>
      </c>
      <c r="Y169" s="83" t="s">
        <v>76</v>
      </c>
      <c r="Z169" s="83" t="s">
        <v>131</v>
      </c>
      <c r="AB169" s="83" t="s">
        <v>76</v>
      </c>
      <c r="AC169" s="83" t="s">
        <v>131</v>
      </c>
      <c r="AE169" s="83" t="s">
        <v>76</v>
      </c>
      <c r="AF169" s="83" t="s">
        <v>131</v>
      </c>
      <c r="AH169" s="83" t="s">
        <v>76</v>
      </c>
      <c r="AI169" s="83" t="s">
        <v>131</v>
      </c>
      <c r="AK169" s="83" t="s">
        <v>76</v>
      </c>
      <c r="AL169" s="83" t="s">
        <v>131</v>
      </c>
      <c r="AN169" s="83" t="s">
        <v>76</v>
      </c>
      <c r="AO169" s="83" t="s">
        <v>131</v>
      </c>
      <c r="AQ169" s="83" t="s">
        <v>76</v>
      </c>
      <c r="AR169" s="83" t="s">
        <v>131</v>
      </c>
      <c r="AT169" s="83" t="s">
        <v>76</v>
      </c>
      <c r="AU169" s="83" t="s">
        <v>131</v>
      </c>
      <c r="AW169" s="83" t="s">
        <v>76</v>
      </c>
      <c r="AX169" s="83" t="s">
        <v>131</v>
      </c>
      <c r="AZ169" s="83" t="s">
        <v>76</v>
      </c>
      <c r="BA169" s="83" t="s">
        <v>131</v>
      </c>
      <c r="BC169" s="83" t="s">
        <v>76</v>
      </c>
      <c r="BD169" s="83" t="s">
        <v>131</v>
      </c>
      <c r="BF169" s="83" t="s">
        <v>76</v>
      </c>
      <c r="BG169" s="83" t="s">
        <v>131</v>
      </c>
      <c r="BI169" s="83" t="s">
        <v>76</v>
      </c>
      <c r="BJ169" s="83" t="s">
        <v>131</v>
      </c>
      <c r="BL169" s="83" t="s">
        <v>76</v>
      </c>
      <c r="BM169" s="83" t="s">
        <v>131</v>
      </c>
      <c r="BO169" s="83" t="s">
        <v>76</v>
      </c>
      <c r="BP169" s="83" t="s">
        <v>131</v>
      </c>
      <c r="BR169" s="83" t="s">
        <v>76</v>
      </c>
      <c r="BS169" s="83" t="s">
        <v>131</v>
      </c>
      <c r="BU169" s="83" t="s">
        <v>76</v>
      </c>
      <c r="BV169" s="83" t="s">
        <v>131</v>
      </c>
      <c r="BX169" s="83" t="s">
        <v>76</v>
      </c>
      <c r="BY169" s="83" t="s">
        <v>131</v>
      </c>
      <c r="CA169" s="83" t="s">
        <v>76</v>
      </c>
      <c r="CB169" s="83" t="s">
        <v>131</v>
      </c>
      <c r="CD169" s="83" t="s">
        <v>76</v>
      </c>
      <c r="CE169" s="83" t="s">
        <v>131</v>
      </c>
      <c r="CG169" s="83" t="s">
        <v>76</v>
      </c>
      <c r="CH169" s="83" t="s">
        <v>131</v>
      </c>
      <c r="CJ169" s="83" t="s">
        <v>76</v>
      </c>
      <c r="CK169" s="83" t="s">
        <v>131</v>
      </c>
      <c r="CM169" s="83" t="s">
        <v>76</v>
      </c>
      <c r="CN169" s="83" t="s">
        <v>131</v>
      </c>
      <c r="CP169" s="83" t="s">
        <v>76</v>
      </c>
      <c r="CQ169" s="83" t="s">
        <v>131</v>
      </c>
      <c r="CS169" s="83" t="s">
        <v>76</v>
      </c>
      <c r="CT169" s="83" t="s">
        <v>131</v>
      </c>
      <c r="CV169" s="83" t="s">
        <v>76</v>
      </c>
      <c r="CW169" s="83" t="s">
        <v>131</v>
      </c>
    </row>
    <row r="171" spans="1:101" x14ac:dyDescent="0.2">
      <c r="A171" s="83" t="s">
        <v>74</v>
      </c>
      <c r="B171" s="83" t="s">
        <v>131</v>
      </c>
      <c r="D171" s="83" t="s">
        <v>74</v>
      </c>
      <c r="E171" s="83" t="s">
        <v>131</v>
      </c>
      <c r="G171" s="83" t="s">
        <v>74</v>
      </c>
      <c r="H171" s="83" t="s">
        <v>131</v>
      </c>
      <c r="J171" s="83" t="s">
        <v>74</v>
      </c>
      <c r="K171" s="83" t="s">
        <v>131</v>
      </c>
      <c r="M171" s="83" t="s">
        <v>74</v>
      </c>
      <c r="N171" s="83" t="s">
        <v>131</v>
      </c>
      <c r="P171" s="83" t="s">
        <v>74</v>
      </c>
      <c r="Q171" s="83" t="s">
        <v>131</v>
      </c>
      <c r="S171" s="83" t="s">
        <v>74</v>
      </c>
      <c r="T171" s="83" t="s">
        <v>131</v>
      </c>
      <c r="V171" s="83" t="s">
        <v>74</v>
      </c>
      <c r="W171" s="83" t="s">
        <v>131</v>
      </c>
      <c r="Y171" s="83" t="s">
        <v>74</v>
      </c>
      <c r="Z171" s="83" t="s">
        <v>131</v>
      </c>
      <c r="AB171" s="83" t="s">
        <v>74</v>
      </c>
      <c r="AC171" s="83" t="s">
        <v>131</v>
      </c>
      <c r="AE171" s="83" t="s">
        <v>74</v>
      </c>
      <c r="AF171" s="83" t="s">
        <v>131</v>
      </c>
      <c r="AH171" s="83" t="s">
        <v>74</v>
      </c>
      <c r="AI171" s="83" t="s">
        <v>131</v>
      </c>
      <c r="AK171" s="83" t="s">
        <v>74</v>
      </c>
      <c r="AL171" s="83" t="s">
        <v>131</v>
      </c>
      <c r="AN171" s="83" t="s">
        <v>74</v>
      </c>
      <c r="AO171" s="83" t="s">
        <v>131</v>
      </c>
      <c r="AQ171" s="83" t="s">
        <v>74</v>
      </c>
      <c r="AR171" s="83" t="s">
        <v>131</v>
      </c>
      <c r="AT171" s="83" t="s">
        <v>74</v>
      </c>
      <c r="AU171" s="83" t="s">
        <v>131</v>
      </c>
      <c r="AW171" s="83" t="s">
        <v>74</v>
      </c>
      <c r="AX171" s="83" t="s">
        <v>131</v>
      </c>
      <c r="AZ171" s="83" t="s">
        <v>74</v>
      </c>
      <c r="BA171" s="83" t="s">
        <v>131</v>
      </c>
      <c r="BC171" s="83" t="s">
        <v>74</v>
      </c>
      <c r="BD171" s="83" t="s">
        <v>131</v>
      </c>
      <c r="BF171" s="83" t="s">
        <v>74</v>
      </c>
      <c r="BG171" s="83" t="s">
        <v>131</v>
      </c>
      <c r="BI171" s="83" t="s">
        <v>74</v>
      </c>
      <c r="BJ171" s="83" t="s">
        <v>131</v>
      </c>
      <c r="BL171" s="83" t="s">
        <v>74</v>
      </c>
      <c r="BM171" s="83" t="s">
        <v>131</v>
      </c>
      <c r="BO171" s="83" t="s">
        <v>74</v>
      </c>
      <c r="BP171" s="83" t="s">
        <v>131</v>
      </c>
      <c r="BR171" s="83" t="s">
        <v>74</v>
      </c>
      <c r="BS171" s="83" t="s">
        <v>131</v>
      </c>
      <c r="BU171" s="83" t="s">
        <v>74</v>
      </c>
      <c r="BV171" s="83" t="s">
        <v>131</v>
      </c>
      <c r="BX171" s="83" t="s">
        <v>74</v>
      </c>
      <c r="BY171" s="83" t="s">
        <v>131</v>
      </c>
      <c r="CA171" s="83" t="s">
        <v>74</v>
      </c>
      <c r="CB171" s="83" t="s">
        <v>131</v>
      </c>
      <c r="CD171" s="83" t="s">
        <v>74</v>
      </c>
      <c r="CE171" s="83" t="s">
        <v>131</v>
      </c>
      <c r="CG171" s="83" t="s">
        <v>74</v>
      </c>
      <c r="CH171" s="83" t="s">
        <v>131</v>
      </c>
      <c r="CJ171" s="83" t="s">
        <v>74</v>
      </c>
      <c r="CK171" s="83" t="s">
        <v>131</v>
      </c>
      <c r="CM171" s="83" t="s">
        <v>74</v>
      </c>
      <c r="CN171" s="83" t="s">
        <v>131</v>
      </c>
      <c r="CP171" s="83" t="s">
        <v>74</v>
      </c>
      <c r="CQ171" s="83" t="s">
        <v>131</v>
      </c>
      <c r="CS171" s="83" t="s">
        <v>74</v>
      </c>
      <c r="CT171" s="83" t="s">
        <v>131</v>
      </c>
      <c r="CV171" s="83" t="s">
        <v>74</v>
      </c>
      <c r="CW171" s="83" t="s">
        <v>131</v>
      </c>
    </row>
    <row r="173" spans="1:101" x14ac:dyDescent="0.2">
      <c r="A173" s="83" t="s">
        <v>75</v>
      </c>
      <c r="B173" s="83" t="s">
        <v>132</v>
      </c>
      <c r="D173" s="83" t="s">
        <v>75</v>
      </c>
      <c r="E173" s="83" t="s">
        <v>132</v>
      </c>
      <c r="G173" s="83" t="s">
        <v>75</v>
      </c>
      <c r="H173" s="83" t="s">
        <v>132</v>
      </c>
      <c r="J173" s="83" t="s">
        <v>75</v>
      </c>
      <c r="K173" s="83" t="s">
        <v>132</v>
      </c>
      <c r="M173" s="83" t="s">
        <v>75</v>
      </c>
      <c r="N173" s="83" t="s">
        <v>132</v>
      </c>
      <c r="P173" s="83" t="s">
        <v>75</v>
      </c>
      <c r="Q173" s="83" t="s">
        <v>132</v>
      </c>
      <c r="S173" s="83" t="s">
        <v>75</v>
      </c>
      <c r="T173" s="83" t="s">
        <v>132</v>
      </c>
      <c r="V173" s="83" t="s">
        <v>75</v>
      </c>
      <c r="W173" s="83" t="s">
        <v>132</v>
      </c>
      <c r="Y173" s="83" t="s">
        <v>75</v>
      </c>
      <c r="Z173" s="83" t="s">
        <v>132</v>
      </c>
      <c r="AB173" s="83" t="s">
        <v>75</v>
      </c>
      <c r="AC173" s="83" t="s">
        <v>132</v>
      </c>
      <c r="AE173" s="83" t="s">
        <v>75</v>
      </c>
      <c r="AF173" s="83" t="s">
        <v>132</v>
      </c>
      <c r="AH173" s="83" t="s">
        <v>75</v>
      </c>
      <c r="AI173" s="83" t="s">
        <v>132</v>
      </c>
      <c r="AK173" s="83" t="s">
        <v>75</v>
      </c>
      <c r="AL173" s="83" t="s">
        <v>132</v>
      </c>
      <c r="AN173" s="83" t="s">
        <v>75</v>
      </c>
      <c r="AO173" s="83" t="s">
        <v>132</v>
      </c>
      <c r="AQ173" s="83" t="s">
        <v>75</v>
      </c>
      <c r="AR173" s="83" t="s">
        <v>132</v>
      </c>
      <c r="AT173" s="83" t="s">
        <v>75</v>
      </c>
      <c r="AU173" s="83" t="s">
        <v>132</v>
      </c>
      <c r="AW173" s="83" t="s">
        <v>75</v>
      </c>
      <c r="AX173" s="83" t="s">
        <v>132</v>
      </c>
      <c r="AZ173" s="83" t="s">
        <v>75</v>
      </c>
      <c r="BA173" s="83" t="s">
        <v>132</v>
      </c>
      <c r="BC173" s="83" t="s">
        <v>75</v>
      </c>
      <c r="BD173" s="83" t="s">
        <v>132</v>
      </c>
      <c r="BF173" s="83" t="s">
        <v>75</v>
      </c>
      <c r="BG173" s="83" t="s">
        <v>132</v>
      </c>
      <c r="BI173" s="83" t="s">
        <v>75</v>
      </c>
      <c r="BJ173" s="83" t="s">
        <v>132</v>
      </c>
      <c r="BL173" s="83" t="s">
        <v>75</v>
      </c>
      <c r="BM173" s="83" t="s">
        <v>132</v>
      </c>
      <c r="BO173" s="83" t="s">
        <v>75</v>
      </c>
      <c r="BP173" s="83" t="s">
        <v>132</v>
      </c>
      <c r="BR173" s="83" t="s">
        <v>75</v>
      </c>
      <c r="BS173" s="83" t="s">
        <v>132</v>
      </c>
      <c r="BU173" s="83" t="s">
        <v>75</v>
      </c>
      <c r="BV173" s="83" t="s">
        <v>132</v>
      </c>
      <c r="BX173" s="83" t="s">
        <v>75</v>
      </c>
      <c r="BY173" s="83" t="s">
        <v>132</v>
      </c>
      <c r="CA173" s="83" t="s">
        <v>75</v>
      </c>
      <c r="CB173" s="83" t="s">
        <v>132</v>
      </c>
      <c r="CD173" s="83" t="s">
        <v>75</v>
      </c>
      <c r="CE173" s="83" t="s">
        <v>132</v>
      </c>
      <c r="CG173" s="83" t="s">
        <v>75</v>
      </c>
      <c r="CH173" s="83" t="s">
        <v>132</v>
      </c>
      <c r="CJ173" s="83" t="s">
        <v>75</v>
      </c>
      <c r="CK173" s="83" t="s">
        <v>132</v>
      </c>
      <c r="CM173" s="83" t="s">
        <v>75</v>
      </c>
      <c r="CN173" s="83" t="s">
        <v>132</v>
      </c>
      <c r="CP173" s="83" t="s">
        <v>75</v>
      </c>
      <c r="CQ173" s="83" t="s">
        <v>132</v>
      </c>
      <c r="CS173" s="83" t="s">
        <v>75</v>
      </c>
      <c r="CT173" s="83" t="s">
        <v>132</v>
      </c>
      <c r="CV173" s="83" t="s">
        <v>75</v>
      </c>
      <c r="CW173" s="83" t="s">
        <v>132</v>
      </c>
    </row>
    <row r="175" spans="1:101" x14ac:dyDescent="0.2">
      <c r="A175" s="83" t="s">
        <v>79</v>
      </c>
      <c r="B175" s="83">
        <v>20000</v>
      </c>
      <c r="D175" s="83" t="s">
        <v>79</v>
      </c>
      <c r="E175" s="83">
        <v>20000</v>
      </c>
      <c r="G175" s="83" t="s">
        <v>79</v>
      </c>
      <c r="H175" s="83">
        <v>20000</v>
      </c>
      <c r="J175" s="83" t="s">
        <v>79</v>
      </c>
      <c r="K175" s="83">
        <v>20000</v>
      </c>
      <c r="M175" s="83" t="s">
        <v>79</v>
      </c>
      <c r="N175" s="83">
        <v>20000</v>
      </c>
      <c r="P175" s="83" t="s">
        <v>79</v>
      </c>
      <c r="Q175" s="83">
        <v>20000</v>
      </c>
      <c r="S175" s="83" t="s">
        <v>79</v>
      </c>
      <c r="T175" s="83">
        <v>20000</v>
      </c>
      <c r="V175" s="83" t="s">
        <v>79</v>
      </c>
      <c r="W175" s="83">
        <v>20000</v>
      </c>
      <c r="Y175" s="83" t="s">
        <v>79</v>
      </c>
      <c r="Z175" s="83">
        <v>20000</v>
      </c>
      <c r="AB175" s="83" t="s">
        <v>79</v>
      </c>
      <c r="AC175" s="83">
        <v>20000</v>
      </c>
      <c r="AE175" s="83" t="s">
        <v>79</v>
      </c>
      <c r="AF175" s="83">
        <v>20000</v>
      </c>
      <c r="AH175" s="83" t="s">
        <v>79</v>
      </c>
      <c r="AI175" s="83">
        <v>20000</v>
      </c>
      <c r="AK175" s="83" t="s">
        <v>79</v>
      </c>
      <c r="AL175" s="83">
        <v>20000</v>
      </c>
      <c r="AN175" s="83" t="s">
        <v>79</v>
      </c>
      <c r="AO175" s="83">
        <v>20000</v>
      </c>
      <c r="AQ175" s="83" t="s">
        <v>79</v>
      </c>
      <c r="AR175" s="83">
        <v>20000</v>
      </c>
      <c r="AT175" s="83" t="s">
        <v>79</v>
      </c>
      <c r="AU175" s="83">
        <v>20000</v>
      </c>
      <c r="AW175" s="83" t="s">
        <v>79</v>
      </c>
      <c r="AX175" s="83">
        <v>20000</v>
      </c>
      <c r="AZ175" s="83" t="s">
        <v>79</v>
      </c>
      <c r="BA175" s="83">
        <v>20000</v>
      </c>
      <c r="BC175" s="83" t="s">
        <v>79</v>
      </c>
      <c r="BD175" s="83">
        <v>20000</v>
      </c>
      <c r="BF175" s="83" t="s">
        <v>79</v>
      </c>
      <c r="BG175" s="83">
        <v>20000</v>
      </c>
      <c r="BI175" s="83" t="s">
        <v>79</v>
      </c>
      <c r="BJ175" s="83">
        <v>20000</v>
      </c>
      <c r="BL175" s="83" t="s">
        <v>79</v>
      </c>
      <c r="BM175" s="83">
        <v>20000</v>
      </c>
      <c r="BO175" s="83" t="s">
        <v>79</v>
      </c>
      <c r="BP175" s="83">
        <v>20000</v>
      </c>
      <c r="BR175" s="83" t="s">
        <v>79</v>
      </c>
      <c r="BS175" s="83">
        <v>20000</v>
      </c>
      <c r="BU175" s="83" t="s">
        <v>79</v>
      </c>
      <c r="BV175" s="83">
        <v>20000</v>
      </c>
      <c r="BX175" s="83" t="s">
        <v>79</v>
      </c>
      <c r="BY175" s="83">
        <v>20000</v>
      </c>
      <c r="CA175" s="83" t="s">
        <v>79</v>
      </c>
      <c r="CB175" s="83">
        <v>20000</v>
      </c>
      <c r="CD175" s="83" t="s">
        <v>79</v>
      </c>
      <c r="CE175" s="83">
        <v>20000</v>
      </c>
      <c r="CG175" s="83" t="s">
        <v>79</v>
      </c>
      <c r="CH175" s="83">
        <v>20000</v>
      </c>
      <c r="CJ175" s="83" t="s">
        <v>79</v>
      </c>
      <c r="CK175" s="83">
        <v>20000</v>
      </c>
      <c r="CM175" s="83" t="s">
        <v>79</v>
      </c>
      <c r="CN175" s="83">
        <v>20000</v>
      </c>
      <c r="CP175" s="83" t="s">
        <v>79</v>
      </c>
      <c r="CQ175" s="83">
        <v>20000</v>
      </c>
      <c r="CS175" s="83" t="s">
        <v>79</v>
      </c>
      <c r="CT175" s="83">
        <v>20000</v>
      </c>
      <c r="CV175" s="83" t="s">
        <v>79</v>
      </c>
      <c r="CW175" s="83">
        <v>20000</v>
      </c>
    </row>
    <row r="177" spans="1:101" x14ac:dyDescent="0.2">
      <c r="A177" s="83" t="s">
        <v>77</v>
      </c>
      <c r="B177" s="83">
        <v>6</v>
      </c>
      <c r="D177" s="83" t="s">
        <v>77</v>
      </c>
      <c r="E177" s="83">
        <v>6</v>
      </c>
      <c r="G177" s="83" t="s">
        <v>77</v>
      </c>
      <c r="H177" s="83">
        <v>6</v>
      </c>
      <c r="J177" s="83" t="s">
        <v>77</v>
      </c>
      <c r="K177" s="83">
        <v>6</v>
      </c>
      <c r="M177" s="83" t="s">
        <v>77</v>
      </c>
      <c r="N177" s="83">
        <v>6</v>
      </c>
      <c r="P177" s="83" t="s">
        <v>77</v>
      </c>
      <c r="Q177" s="83">
        <v>6</v>
      </c>
      <c r="S177" s="83" t="s">
        <v>77</v>
      </c>
      <c r="T177" s="83">
        <v>6</v>
      </c>
      <c r="V177" s="83" t="s">
        <v>77</v>
      </c>
      <c r="W177" s="83">
        <v>6</v>
      </c>
      <c r="Y177" s="83" t="s">
        <v>77</v>
      </c>
      <c r="Z177" s="83">
        <v>6</v>
      </c>
      <c r="AB177" s="83" t="s">
        <v>77</v>
      </c>
      <c r="AC177" s="83">
        <v>6</v>
      </c>
      <c r="AE177" s="83" t="s">
        <v>77</v>
      </c>
      <c r="AF177" s="83">
        <v>6</v>
      </c>
      <c r="AH177" s="83" t="s">
        <v>77</v>
      </c>
      <c r="AI177" s="83">
        <v>6</v>
      </c>
      <c r="AK177" s="83" t="s">
        <v>77</v>
      </c>
      <c r="AL177" s="83">
        <v>6</v>
      </c>
      <c r="AN177" s="83" t="s">
        <v>77</v>
      </c>
      <c r="AO177" s="83">
        <v>6</v>
      </c>
      <c r="AQ177" s="83" t="s">
        <v>77</v>
      </c>
      <c r="AR177" s="83">
        <v>6</v>
      </c>
      <c r="AT177" s="83" t="s">
        <v>77</v>
      </c>
      <c r="AU177" s="83">
        <v>6</v>
      </c>
      <c r="AW177" s="83" t="s">
        <v>77</v>
      </c>
      <c r="AX177" s="83">
        <v>6</v>
      </c>
      <c r="AZ177" s="83" t="s">
        <v>77</v>
      </c>
      <c r="BA177" s="83">
        <v>6</v>
      </c>
      <c r="BC177" s="83" t="s">
        <v>77</v>
      </c>
      <c r="BD177" s="83">
        <v>6</v>
      </c>
      <c r="BF177" s="83" t="s">
        <v>77</v>
      </c>
      <c r="BG177" s="83">
        <v>6</v>
      </c>
      <c r="BI177" s="83" t="s">
        <v>77</v>
      </c>
      <c r="BJ177" s="83">
        <v>6</v>
      </c>
      <c r="BL177" s="83" t="s">
        <v>77</v>
      </c>
      <c r="BM177" s="83">
        <v>6</v>
      </c>
      <c r="BO177" s="83" t="s">
        <v>77</v>
      </c>
      <c r="BP177" s="83">
        <v>6</v>
      </c>
      <c r="BR177" s="83" t="s">
        <v>77</v>
      </c>
      <c r="BS177" s="83">
        <v>6</v>
      </c>
      <c r="BU177" s="83" t="s">
        <v>77</v>
      </c>
      <c r="BV177" s="83">
        <v>6</v>
      </c>
      <c r="BX177" s="83" t="s">
        <v>77</v>
      </c>
      <c r="BY177" s="83">
        <v>6</v>
      </c>
      <c r="CA177" s="83" t="s">
        <v>77</v>
      </c>
      <c r="CB177" s="83">
        <v>6</v>
      </c>
      <c r="CD177" s="83" t="s">
        <v>77</v>
      </c>
      <c r="CE177" s="83">
        <v>6</v>
      </c>
      <c r="CG177" s="83" t="s">
        <v>77</v>
      </c>
      <c r="CH177" s="83">
        <v>6</v>
      </c>
      <c r="CJ177" s="83" t="s">
        <v>77</v>
      </c>
      <c r="CK177" s="83">
        <v>6</v>
      </c>
      <c r="CM177" s="83" t="s">
        <v>77</v>
      </c>
      <c r="CN177" s="83">
        <v>6</v>
      </c>
      <c r="CP177" s="83" t="s">
        <v>77</v>
      </c>
      <c r="CQ177" s="83">
        <v>6</v>
      </c>
      <c r="CS177" s="83" t="s">
        <v>77</v>
      </c>
      <c r="CT177" s="83">
        <v>6</v>
      </c>
      <c r="CV177" s="83" t="s">
        <v>77</v>
      </c>
      <c r="CW177" s="83">
        <v>6</v>
      </c>
    </row>
    <row r="179" spans="1:101" x14ac:dyDescent="0.2">
      <c r="A179" s="83" t="s">
        <v>78</v>
      </c>
      <c r="B179" s="83">
        <v>1</v>
      </c>
      <c r="D179" s="83" t="s">
        <v>78</v>
      </c>
      <c r="E179" s="83">
        <v>1</v>
      </c>
      <c r="G179" s="83" t="s">
        <v>78</v>
      </c>
      <c r="H179" s="83">
        <v>1</v>
      </c>
      <c r="J179" s="83" t="s">
        <v>78</v>
      </c>
      <c r="K179" s="83">
        <v>1</v>
      </c>
      <c r="M179" s="83" t="s">
        <v>78</v>
      </c>
      <c r="N179" s="83">
        <v>1</v>
      </c>
      <c r="P179" s="83" t="s">
        <v>78</v>
      </c>
      <c r="Q179" s="83">
        <v>1</v>
      </c>
      <c r="S179" s="83" t="s">
        <v>78</v>
      </c>
      <c r="T179" s="83">
        <v>1</v>
      </c>
      <c r="V179" s="83" t="s">
        <v>78</v>
      </c>
      <c r="W179" s="83">
        <v>1</v>
      </c>
      <c r="Y179" s="83" t="s">
        <v>78</v>
      </c>
      <c r="Z179" s="83">
        <v>1</v>
      </c>
      <c r="AB179" s="83" t="s">
        <v>78</v>
      </c>
      <c r="AC179" s="83">
        <v>1</v>
      </c>
      <c r="AE179" s="83" t="s">
        <v>78</v>
      </c>
      <c r="AF179" s="83">
        <v>1</v>
      </c>
      <c r="AH179" s="83" t="s">
        <v>78</v>
      </c>
      <c r="AI179" s="83">
        <v>1</v>
      </c>
      <c r="AK179" s="83" t="s">
        <v>78</v>
      </c>
      <c r="AL179" s="83">
        <v>1</v>
      </c>
      <c r="AN179" s="83" t="s">
        <v>78</v>
      </c>
      <c r="AO179" s="83">
        <v>1</v>
      </c>
      <c r="AQ179" s="83" t="s">
        <v>78</v>
      </c>
      <c r="AR179" s="83">
        <v>1</v>
      </c>
      <c r="AT179" s="83" t="s">
        <v>78</v>
      </c>
      <c r="AU179" s="83">
        <v>1</v>
      </c>
      <c r="AW179" s="83" t="s">
        <v>78</v>
      </c>
      <c r="AX179" s="83">
        <v>1</v>
      </c>
      <c r="AZ179" s="83" t="s">
        <v>78</v>
      </c>
      <c r="BA179" s="83">
        <v>1</v>
      </c>
      <c r="BC179" s="83" t="s">
        <v>78</v>
      </c>
      <c r="BD179" s="83">
        <v>1</v>
      </c>
      <c r="BF179" s="83" t="s">
        <v>78</v>
      </c>
      <c r="BG179" s="83">
        <v>1</v>
      </c>
      <c r="BI179" s="83" t="s">
        <v>78</v>
      </c>
      <c r="BJ179" s="83">
        <v>1</v>
      </c>
      <c r="BL179" s="83" t="s">
        <v>78</v>
      </c>
      <c r="BM179" s="83">
        <v>1</v>
      </c>
      <c r="BO179" s="83" t="s">
        <v>78</v>
      </c>
      <c r="BP179" s="83">
        <v>1</v>
      </c>
      <c r="BR179" s="83" t="s">
        <v>78</v>
      </c>
      <c r="BS179" s="83">
        <v>1</v>
      </c>
      <c r="BU179" s="83" t="s">
        <v>78</v>
      </c>
      <c r="BV179" s="83">
        <v>1</v>
      </c>
      <c r="BX179" s="83" t="s">
        <v>78</v>
      </c>
      <c r="BY179" s="83">
        <v>1</v>
      </c>
      <c r="CA179" s="83" t="s">
        <v>78</v>
      </c>
      <c r="CB179" s="83">
        <v>1</v>
      </c>
      <c r="CD179" s="83" t="s">
        <v>78</v>
      </c>
      <c r="CE179" s="83">
        <v>1</v>
      </c>
      <c r="CG179" s="83" t="s">
        <v>78</v>
      </c>
      <c r="CH179" s="83">
        <v>1</v>
      </c>
      <c r="CJ179" s="83" t="s">
        <v>78</v>
      </c>
      <c r="CK179" s="83">
        <v>1</v>
      </c>
      <c r="CM179" s="83" t="s">
        <v>78</v>
      </c>
      <c r="CN179" s="83">
        <v>1</v>
      </c>
      <c r="CP179" s="83" t="s">
        <v>78</v>
      </c>
      <c r="CQ179" s="83">
        <v>1</v>
      </c>
      <c r="CS179" s="83" t="s">
        <v>78</v>
      </c>
      <c r="CT179" s="83">
        <v>1</v>
      </c>
      <c r="CV179" s="83" t="s">
        <v>78</v>
      </c>
      <c r="CW179" s="83">
        <v>1</v>
      </c>
    </row>
    <row r="181" spans="1:101" x14ac:dyDescent="0.2">
      <c r="A181" s="83" t="s">
        <v>81</v>
      </c>
      <c r="B181" s="83">
        <v>20</v>
      </c>
      <c r="D181" s="83" t="s">
        <v>81</v>
      </c>
      <c r="E181" s="83">
        <v>20</v>
      </c>
      <c r="G181" s="83" t="s">
        <v>81</v>
      </c>
      <c r="H181" s="83">
        <v>20</v>
      </c>
      <c r="J181" s="83" t="s">
        <v>81</v>
      </c>
      <c r="K181" s="83">
        <v>20</v>
      </c>
      <c r="M181" s="83" t="s">
        <v>81</v>
      </c>
      <c r="N181" s="83">
        <v>20</v>
      </c>
      <c r="P181" s="83" t="s">
        <v>81</v>
      </c>
      <c r="Q181" s="83">
        <v>20</v>
      </c>
      <c r="S181" s="83" t="s">
        <v>81</v>
      </c>
      <c r="T181" s="83">
        <v>20</v>
      </c>
      <c r="V181" s="83" t="s">
        <v>81</v>
      </c>
      <c r="W181" s="83">
        <v>20</v>
      </c>
      <c r="Y181" s="83" t="s">
        <v>81</v>
      </c>
      <c r="Z181" s="83">
        <v>20</v>
      </c>
      <c r="AB181" s="83" t="s">
        <v>81</v>
      </c>
      <c r="AC181" s="83">
        <v>20</v>
      </c>
      <c r="AE181" s="83" t="s">
        <v>81</v>
      </c>
      <c r="AF181" s="83">
        <v>20</v>
      </c>
      <c r="AH181" s="83" t="s">
        <v>81</v>
      </c>
      <c r="AI181" s="83">
        <v>20</v>
      </c>
      <c r="AK181" s="83" t="s">
        <v>81</v>
      </c>
      <c r="AL181" s="83">
        <v>20</v>
      </c>
      <c r="AN181" s="83" t="s">
        <v>81</v>
      </c>
      <c r="AO181" s="83">
        <v>20</v>
      </c>
      <c r="AQ181" s="83" t="s">
        <v>81</v>
      </c>
      <c r="AR181" s="83">
        <v>20</v>
      </c>
      <c r="AT181" s="83" t="s">
        <v>81</v>
      </c>
      <c r="AU181" s="83">
        <v>20</v>
      </c>
      <c r="AW181" s="83" t="s">
        <v>81</v>
      </c>
      <c r="AX181" s="83">
        <v>20</v>
      </c>
      <c r="AZ181" s="83" t="s">
        <v>81</v>
      </c>
      <c r="BA181" s="83">
        <v>20</v>
      </c>
      <c r="BC181" s="83" t="s">
        <v>81</v>
      </c>
      <c r="BD181" s="83">
        <v>20</v>
      </c>
      <c r="BF181" s="83" t="s">
        <v>81</v>
      </c>
      <c r="BG181" s="83">
        <v>20</v>
      </c>
      <c r="BI181" s="83" t="s">
        <v>81</v>
      </c>
      <c r="BJ181" s="83">
        <v>20</v>
      </c>
      <c r="BL181" s="83" t="s">
        <v>81</v>
      </c>
      <c r="BM181" s="83">
        <v>20</v>
      </c>
      <c r="BO181" s="83" t="s">
        <v>81</v>
      </c>
      <c r="BP181" s="83">
        <v>20</v>
      </c>
      <c r="BR181" s="83" t="s">
        <v>81</v>
      </c>
      <c r="BS181" s="83">
        <v>20</v>
      </c>
      <c r="BU181" s="83" t="s">
        <v>81</v>
      </c>
      <c r="BV181" s="83">
        <v>20</v>
      </c>
      <c r="BX181" s="83" t="s">
        <v>81</v>
      </c>
      <c r="BY181" s="83">
        <v>20</v>
      </c>
      <c r="CA181" s="83" t="s">
        <v>81</v>
      </c>
      <c r="CB181" s="83">
        <v>20</v>
      </c>
      <c r="CD181" s="83" t="s">
        <v>81</v>
      </c>
      <c r="CE181" s="83">
        <v>20</v>
      </c>
      <c r="CG181" s="83" t="s">
        <v>81</v>
      </c>
      <c r="CH181" s="83">
        <v>20</v>
      </c>
      <c r="CJ181" s="83" t="s">
        <v>81</v>
      </c>
      <c r="CK181" s="83">
        <v>20</v>
      </c>
      <c r="CM181" s="83" t="s">
        <v>81</v>
      </c>
      <c r="CN181" s="83">
        <v>20</v>
      </c>
      <c r="CP181" s="83" t="s">
        <v>81</v>
      </c>
      <c r="CQ181" s="83">
        <v>20</v>
      </c>
      <c r="CS181" s="83" t="s">
        <v>81</v>
      </c>
      <c r="CT181" s="83">
        <v>20</v>
      </c>
      <c r="CV181" s="83" t="s">
        <v>81</v>
      </c>
      <c r="CW181" s="83">
        <v>20</v>
      </c>
    </row>
    <row r="183" spans="1:101" x14ac:dyDescent="0.2">
      <c r="A183" s="83" t="s">
        <v>83</v>
      </c>
      <c r="B183" s="83">
        <v>1</v>
      </c>
      <c r="D183" s="83" t="s">
        <v>83</v>
      </c>
      <c r="E183" s="83">
        <v>1</v>
      </c>
      <c r="G183" s="83" t="s">
        <v>83</v>
      </c>
      <c r="H183" s="83">
        <v>1</v>
      </c>
      <c r="J183" s="83" t="s">
        <v>83</v>
      </c>
      <c r="K183" s="83">
        <v>1</v>
      </c>
      <c r="M183" s="83" t="s">
        <v>83</v>
      </c>
      <c r="N183" s="83">
        <v>1</v>
      </c>
      <c r="P183" s="83" t="s">
        <v>83</v>
      </c>
      <c r="Q183" s="83">
        <v>1</v>
      </c>
      <c r="S183" s="83" t="s">
        <v>83</v>
      </c>
      <c r="T183" s="83">
        <v>1</v>
      </c>
      <c r="V183" s="83" t="s">
        <v>83</v>
      </c>
      <c r="W183" s="83">
        <v>1</v>
      </c>
      <c r="Y183" s="83" t="s">
        <v>83</v>
      </c>
      <c r="Z183" s="83">
        <v>1</v>
      </c>
      <c r="AB183" s="83" t="s">
        <v>83</v>
      </c>
      <c r="AC183" s="83">
        <v>1</v>
      </c>
      <c r="AE183" s="83" t="s">
        <v>83</v>
      </c>
      <c r="AF183" s="83">
        <v>1</v>
      </c>
      <c r="AH183" s="83" t="s">
        <v>83</v>
      </c>
      <c r="AI183" s="83">
        <v>1</v>
      </c>
      <c r="AK183" s="83" t="s">
        <v>83</v>
      </c>
      <c r="AL183" s="83">
        <v>1</v>
      </c>
      <c r="AN183" s="83" t="s">
        <v>83</v>
      </c>
      <c r="AO183" s="83">
        <v>1</v>
      </c>
      <c r="AQ183" s="83" t="s">
        <v>83</v>
      </c>
      <c r="AR183" s="83">
        <v>1</v>
      </c>
      <c r="AT183" s="83" t="s">
        <v>83</v>
      </c>
      <c r="AU183" s="83">
        <v>1</v>
      </c>
      <c r="AW183" s="83" t="s">
        <v>83</v>
      </c>
      <c r="AX183" s="83">
        <v>1</v>
      </c>
      <c r="AZ183" s="83" t="s">
        <v>83</v>
      </c>
      <c r="BA183" s="83">
        <v>1</v>
      </c>
      <c r="BC183" s="83" t="s">
        <v>83</v>
      </c>
      <c r="BD183" s="83">
        <v>1</v>
      </c>
      <c r="BF183" s="83" t="s">
        <v>83</v>
      </c>
      <c r="BG183" s="83">
        <v>1</v>
      </c>
      <c r="BI183" s="83" t="s">
        <v>83</v>
      </c>
      <c r="BJ183" s="83">
        <v>1</v>
      </c>
      <c r="BL183" s="83" t="s">
        <v>83</v>
      </c>
      <c r="BM183" s="83">
        <v>1</v>
      </c>
      <c r="BO183" s="83" t="s">
        <v>83</v>
      </c>
      <c r="BP183" s="83">
        <v>1</v>
      </c>
      <c r="BR183" s="83" t="s">
        <v>83</v>
      </c>
      <c r="BS183" s="83">
        <v>1</v>
      </c>
      <c r="BU183" s="83" t="s">
        <v>83</v>
      </c>
      <c r="BV183" s="83">
        <v>1</v>
      </c>
      <c r="BX183" s="83" t="s">
        <v>83</v>
      </c>
      <c r="BY183" s="83">
        <v>1</v>
      </c>
      <c r="CA183" s="83" t="s">
        <v>83</v>
      </c>
      <c r="CB183" s="83">
        <v>1</v>
      </c>
      <c r="CD183" s="83" t="s">
        <v>83</v>
      </c>
      <c r="CE183" s="83">
        <v>1</v>
      </c>
      <c r="CG183" s="83" t="s">
        <v>83</v>
      </c>
      <c r="CH183" s="83">
        <v>1</v>
      </c>
      <c r="CJ183" s="83" t="s">
        <v>83</v>
      </c>
      <c r="CK183" s="83">
        <v>1</v>
      </c>
      <c r="CM183" s="83" t="s">
        <v>83</v>
      </c>
      <c r="CN183" s="83">
        <v>1</v>
      </c>
      <c r="CP183" s="83" t="s">
        <v>83</v>
      </c>
      <c r="CQ183" s="83">
        <v>1</v>
      </c>
      <c r="CS183" s="83" t="s">
        <v>83</v>
      </c>
      <c r="CT183" s="83">
        <v>1</v>
      </c>
      <c r="CV183" s="83" t="s">
        <v>83</v>
      </c>
      <c r="CW183" s="83">
        <v>1</v>
      </c>
    </row>
    <row r="185" spans="1:101" x14ac:dyDescent="0.2">
      <c r="A185" s="83" t="s">
        <v>84</v>
      </c>
      <c r="B185" s="83" t="s">
        <v>132</v>
      </c>
      <c r="D185" s="83" t="s">
        <v>84</v>
      </c>
      <c r="E185" s="83" t="s">
        <v>132</v>
      </c>
      <c r="G185" s="83" t="s">
        <v>84</v>
      </c>
      <c r="H185" s="83" t="s">
        <v>132</v>
      </c>
      <c r="J185" s="83" t="s">
        <v>84</v>
      </c>
      <c r="K185" s="83" t="s">
        <v>132</v>
      </c>
      <c r="M185" s="83" t="s">
        <v>84</v>
      </c>
      <c r="N185" s="83" t="s">
        <v>132</v>
      </c>
      <c r="P185" s="83" t="s">
        <v>84</v>
      </c>
      <c r="Q185" s="83" t="s">
        <v>132</v>
      </c>
      <c r="S185" s="83" t="s">
        <v>84</v>
      </c>
      <c r="T185" s="83" t="s">
        <v>132</v>
      </c>
      <c r="V185" s="83" t="s">
        <v>84</v>
      </c>
      <c r="W185" s="83" t="s">
        <v>132</v>
      </c>
      <c r="Y185" s="83" t="s">
        <v>84</v>
      </c>
      <c r="Z185" s="83" t="s">
        <v>132</v>
      </c>
      <c r="AB185" s="83" t="s">
        <v>84</v>
      </c>
      <c r="AC185" s="83" t="s">
        <v>132</v>
      </c>
      <c r="AE185" s="83" t="s">
        <v>84</v>
      </c>
      <c r="AF185" s="83" t="s">
        <v>132</v>
      </c>
      <c r="AH185" s="83" t="s">
        <v>84</v>
      </c>
      <c r="AI185" s="83" t="s">
        <v>132</v>
      </c>
      <c r="AK185" s="83" t="s">
        <v>84</v>
      </c>
      <c r="AL185" s="83" t="s">
        <v>132</v>
      </c>
      <c r="AN185" s="83" t="s">
        <v>84</v>
      </c>
      <c r="AO185" s="83" t="s">
        <v>132</v>
      </c>
      <c r="AQ185" s="83" t="s">
        <v>84</v>
      </c>
      <c r="AR185" s="83" t="s">
        <v>132</v>
      </c>
      <c r="AT185" s="83" t="s">
        <v>84</v>
      </c>
      <c r="AU185" s="83" t="s">
        <v>132</v>
      </c>
      <c r="AW185" s="83" t="s">
        <v>84</v>
      </c>
      <c r="AX185" s="83" t="s">
        <v>132</v>
      </c>
      <c r="AZ185" s="83" t="s">
        <v>84</v>
      </c>
      <c r="BA185" s="83" t="s">
        <v>132</v>
      </c>
      <c r="BC185" s="83" t="s">
        <v>84</v>
      </c>
      <c r="BD185" s="83" t="s">
        <v>132</v>
      </c>
      <c r="BF185" s="83" t="s">
        <v>84</v>
      </c>
      <c r="BG185" s="83" t="s">
        <v>132</v>
      </c>
      <c r="BI185" s="83" t="s">
        <v>84</v>
      </c>
      <c r="BJ185" s="83" t="s">
        <v>132</v>
      </c>
      <c r="BL185" s="83" t="s">
        <v>84</v>
      </c>
      <c r="BM185" s="83" t="s">
        <v>132</v>
      </c>
      <c r="BO185" s="83" t="s">
        <v>84</v>
      </c>
      <c r="BP185" s="83" t="s">
        <v>132</v>
      </c>
      <c r="BR185" s="83" t="s">
        <v>84</v>
      </c>
      <c r="BS185" s="83" t="s">
        <v>132</v>
      </c>
      <c r="BU185" s="83" t="s">
        <v>84</v>
      </c>
      <c r="BV185" s="83" t="s">
        <v>132</v>
      </c>
      <c r="BX185" s="83" t="s">
        <v>84</v>
      </c>
      <c r="BY185" s="83" t="s">
        <v>132</v>
      </c>
      <c r="CA185" s="83" t="s">
        <v>84</v>
      </c>
      <c r="CB185" s="83" t="s">
        <v>132</v>
      </c>
      <c r="CD185" s="83" t="s">
        <v>84</v>
      </c>
      <c r="CE185" s="83" t="s">
        <v>132</v>
      </c>
      <c r="CG185" s="83" t="s">
        <v>84</v>
      </c>
      <c r="CH185" s="83" t="s">
        <v>132</v>
      </c>
      <c r="CJ185" s="83" t="s">
        <v>84</v>
      </c>
      <c r="CK185" s="83" t="s">
        <v>132</v>
      </c>
      <c r="CM185" s="83" t="s">
        <v>84</v>
      </c>
      <c r="CN185" s="83" t="s">
        <v>132</v>
      </c>
      <c r="CP185" s="83" t="s">
        <v>84</v>
      </c>
      <c r="CQ185" s="83" t="s">
        <v>132</v>
      </c>
      <c r="CS185" s="83" t="s">
        <v>84</v>
      </c>
      <c r="CT185" s="83" t="s">
        <v>132</v>
      </c>
      <c r="CV185" s="83" t="s">
        <v>84</v>
      </c>
      <c r="CW185" s="83" t="s">
        <v>132</v>
      </c>
    </row>
    <row r="187" spans="1:101" x14ac:dyDescent="0.2">
      <c r="A187" s="83" t="s">
        <v>85</v>
      </c>
      <c r="D187" s="83" t="s">
        <v>85</v>
      </c>
      <c r="G187" s="83" t="s">
        <v>85</v>
      </c>
      <c r="J187" s="83" t="s">
        <v>85</v>
      </c>
      <c r="M187" s="83" t="s">
        <v>85</v>
      </c>
      <c r="P187" s="83" t="s">
        <v>85</v>
      </c>
      <c r="S187" s="83" t="s">
        <v>85</v>
      </c>
      <c r="V187" s="83" t="s">
        <v>85</v>
      </c>
      <c r="Y187" s="83" t="s">
        <v>85</v>
      </c>
      <c r="AB187" s="83" t="s">
        <v>85</v>
      </c>
      <c r="AE187" s="83" t="s">
        <v>85</v>
      </c>
      <c r="AH187" s="83" t="s">
        <v>85</v>
      </c>
      <c r="AK187" s="83" t="s">
        <v>85</v>
      </c>
      <c r="AN187" s="83" t="s">
        <v>85</v>
      </c>
      <c r="AQ187" s="83" t="s">
        <v>85</v>
      </c>
      <c r="AT187" s="83" t="s">
        <v>85</v>
      </c>
      <c r="AW187" s="83" t="s">
        <v>85</v>
      </c>
      <c r="AZ187" s="83" t="s">
        <v>85</v>
      </c>
      <c r="BC187" s="83" t="s">
        <v>85</v>
      </c>
      <c r="BF187" s="83" t="s">
        <v>85</v>
      </c>
      <c r="BI187" s="83" t="s">
        <v>85</v>
      </c>
      <c r="BL187" s="83" t="s">
        <v>85</v>
      </c>
      <c r="BO187" s="83" t="s">
        <v>85</v>
      </c>
      <c r="BR187" s="83" t="s">
        <v>85</v>
      </c>
      <c r="BU187" s="83" t="s">
        <v>85</v>
      </c>
      <c r="BX187" s="83" t="s">
        <v>85</v>
      </c>
      <c r="CA187" s="83" t="s">
        <v>85</v>
      </c>
      <c r="CD187" s="83" t="s">
        <v>85</v>
      </c>
      <c r="CG187" s="83" t="s">
        <v>85</v>
      </c>
      <c r="CJ187" s="83" t="s">
        <v>85</v>
      </c>
      <c r="CM187" s="83" t="s">
        <v>85</v>
      </c>
      <c r="CP187" s="83" t="s">
        <v>85</v>
      </c>
      <c r="CS187" s="83" t="s">
        <v>85</v>
      </c>
      <c r="CV187" s="83" t="s">
        <v>85</v>
      </c>
    </row>
    <row r="188" spans="1:101" x14ac:dyDescent="0.2">
      <c r="A188" s="83" t="s">
        <v>99</v>
      </c>
      <c r="B188" s="83">
        <v>1</v>
      </c>
      <c r="D188" s="83" t="s">
        <v>99</v>
      </c>
      <c r="E188" s="83">
        <v>1</v>
      </c>
      <c r="G188" s="83" t="s">
        <v>99</v>
      </c>
      <c r="H188" s="83">
        <v>1</v>
      </c>
      <c r="J188" s="83" t="s">
        <v>99</v>
      </c>
      <c r="K188" s="83">
        <v>1</v>
      </c>
      <c r="M188" s="83" t="s">
        <v>99</v>
      </c>
      <c r="N188" s="83">
        <v>1</v>
      </c>
      <c r="P188" s="83" t="s">
        <v>99</v>
      </c>
      <c r="Q188" s="83">
        <v>1</v>
      </c>
      <c r="S188" s="83" t="s">
        <v>99</v>
      </c>
      <c r="T188" s="83">
        <v>1</v>
      </c>
      <c r="V188" s="83" t="s">
        <v>99</v>
      </c>
      <c r="W188" s="83">
        <v>1</v>
      </c>
      <c r="Y188" s="83" t="s">
        <v>99</v>
      </c>
      <c r="Z188" s="83">
        <v>1</v>
      </c>
      <c r="AB188" s="83" t="s">
        <v>99</v>
      </c>
      <c r="AC188" s="83">
        <v>1</v>
      </c>
      <c r="AE188" s="83" t="s">
        <v>99</v>
      </c>
      <c r="AF188" s="83">
        <v>1</v>
      </c>
      <c r="AH188" s="83" t="s">
        <v>99</v>
      </c>
      <c r="AI188" s="83">
        <v>1</v>
      </c>
      <c r="AK188" s="83" t="s">
        <v>99</v>
      </c>
      <c r="AL188" s="83">
        <v>1</v>
      </c>
      <c r="AN188" s="83" t="s">
        <v>99</v>
      </c>
      <c r="AO188" s="83">
        <v>1</v>
      </c>
      <c r="AQ188" s="83" t="s">
        <v>99</v>
      </c>
      <c r="AR188" s="83">
        <v>1</v>
      </c>
      <c r="AT188" s="83" t="s">
        <v>99</v>
      </c>
      <c r="AU188" s="83">
        <v>1</v>
      </c>
      <c r="AW188" s="83" t="s">
        <v>99</v>
      </c>
      <c r="AX188" s="83">
        <v>1</v>
      </c>
      <c r="AZ188" s="83" t="s">
        <v>99</v>
      </c>
      <c r="BA188" s="83">
        <v>1</v>
      </c>
      <c r="BC188" s="83" t="s">
        <v>99</v>
      </c>
      <c r="BD188" s="83">
        <v>1</v>
      </c>
      <c r="BF188" s="83" t="s">
        <v>99</v>
      </c>
      <c r="BG188" s="83">
        <v>1</v>
      </c>
      <c r="BI188" s="83" t="s">
        <v>99</v>
      </c>
      <c r="BJ188" s="83">
        <v>1</v>
      </c>
      <c r="BL188" s="83" t="s">
        <v>99</v>
      </c>
      <c r="BM188" s="83">
        <v>1</v>
      </c>
      <c r="BO188" s="83" t="s">
        <v>99</v>
      </c>
      <c r="BP188" s="83">
        <v>1</v>
      </c>
      <c r="BR188" s="83" t="s">
        <v>99</v>
      </c>
      <c r="BS188" s="83">
        <v>1</v>
      </c>
      <c r="BU188" s="83" t="s">
        <v>99</v>
      </c>
      <c r="BV188" s="83">
        <v>1</v>
      </c>
      <c r="BX188" s="83" t="s">
        <v>99</v>
      </c>
      <c r="BY188" s="83">
        <v>1</v>
      </c>
      <c r="CA188" s="83" t="s">
        <v>99</v>
      </c>
      <c r="CB188" s="83">
        <v>1</v>
      </c>
      <c r="CD188" s="83" t="s">
        <v>99</v>
      </c>
      <c r="CE188" s="83">
        <v>1</v>
      </c>
      <c r="CG188" s="83" t="s">
        <v>99</v>
      </c>
      <c r="CH188" s="83">
        <v>1</v>
      </c>
      <c r="CJ188" s="83" t="s">
        <v>99</v>
      </c>
      <c r="CK188" s="83">
        <v>1</v>
      </c>
      <c r="CM188" s="83" t="s">
        <v>99</v>
      </c>
      <c r="CN188" s="83">
        <v>1</v>
      </c>
      <c r="CP188" s="83" t="s">
        <v>99</v>
      </c>
      <c r="CQ188" s="83">
        <v>1</v>
      </c>
      <c r="CS188" s="83" t="s">
        <v>99</v>
      </c>
      <c r="CT188" s="83">
        <v>1</v>
      </c>
      <c r="CV188" s="83" t="s">
        <v>99</v>
      </c>
      <c r="CW188" s="83">
        <v>1</v>
      </c>
    </row>
    <row r="190" spans="1:101" x14ac:dyDescent="0.2">
      <c r="A190" s="83" t="s">
        <v>100</v>
      </c>
      <c r="B190" s="83">
        <v>1</v>
      </c>
      <c r="D190" s="83" t="s">
        <v>100</v>
      </c>
      <c r="E190" s="83">
        <v>1</v>
      </c>
      <c r="G190" s="83" t="s">
        <v>100</v>
      </c>
      <c r="H190" s="83">
        <v>1</v>
      </c>
      <c r="J190" s="83" t="s">
        <v>100</v>
      </c>
      <c r="K190" s="83">
        <v>1</v>
      </c>
      <c r="M190" s="83" t="s">
        <v>100</v>
      </c>
      <c r="N190" s="83">
        <v>1</v>
      </c>
      <c r="P190" s="83" t="s">
        <v>100</v>
      </c>
      <c r="Q190" s="83">
        <v>1</v>
      </c>
      <c r="S190" s="83" t="s">
        <v>100</v>
      </c>
      <c r="T190" s="83">
        <v>1</v>
      </c>
      <c r="V190" s="83" t="s">
        <v>100</v>
      </c>
      <c r="W190" s="83">
        <v>1</v>
      </c>
      <c r="Y190" s="83" t="s">
        <v>100</v>
      </c>
      <c r="Z190" s="83">
        <v>1</v>
      </c>
      <c r="AB190" s="83" t="s">
        <v>100</v>
      </c>
      <c r="AC190" s="83">
        <v>1</v>
      </c>
      <c r="AE190" s="83" t="s">
        <v>100</v>
      </c>
      <c r="AF190" s="83">
        <v>1</v>
      </c>
      <c r="AH190" s="83" t="s">
        <v>100</v>
      </c>
      <c r="AI190" s="83">
        <v>1</v>
      </c>
      <c r="AK190" s="83" t="s">
        <v>100</v>
      </c>
      <c r="AL190" s="83">
        <v>1</v>
      </c>
      <c r="AN190" s="83" t="s">
        <v>100</v>
      </c>
      <c r="AO190" s="83">
        <v>1</v>
      </c>
      <c r="AQ190" s="83" t="s">
        <v>100</v>
      </c>
      <c r="AR190" s="83">
        <v>1</v>
      </c>
      <c r="AT190" s="83" t="s">
        <v>100</v>
      </c>
      <c r="AU190" s="83">
        <v>1</v>
      </c>
      <c r="AW190" s="83" t="s">
        <v>100</v>
      </c>
      <c r="AX190" s="83">
        <v>1</v>
      </c>
      <c r="AZ190" s="83" t="s">
        <v>100</v>
      </c>
      <c r="BA190" s="83">
        <v>1</v>
      </c>
      <c r="BC190" s="83" t="s">
        <v>100</v>
      </c>
      <c r="BD190" s="83">
        <v>1</v>
      </c>
      <c r="BF190" s="83" t="s">
        <v>100</v>
      </c>
      <c r="BG190" s="83">
        <v>1</v>
      </c>
      <c r="BI190" s="83" t="s">
        <v>100</v>
      </c>
      <c r="BJ190" s="83">
        <v>1</v>
      </c>
      <c r="BL190" s="83" t="s">
        <v>100</v>
      </c>
      <c r="BM190" s="83">
        <v>1</v>
      </c>
      <c r="BO190" s="83" t="s">
        <v>100</v>
      </c>
      <c r="BP190" s="83">
        <v>1</v>
      </c>
      <c r="BR190" s="83" t="s">
        <v>100</v>
      </c>
      <c r="BS190" s="83">
        <v>1</v>
      </c>
      <c r="BU190" s="83" t="s">
        <v>100</v>
      </c>
      <c r="BV190" s="83">
        <v>1</v>
      </c>
      <c r="BX190" s="83" t="s">
        <v>100</v>
      </c>
      <c r="BY190" s="83">
        <v>1</v>
      </c>
      <c r="CA190" s="83" t="s">
        <v>100</v>
      </c>
      <c r="CB190" s="83">
        <v>1</v>
      </c>
      <c r="CD190" s="83" t="s">
        <v>100</v>
      </c>
      <c r="CE190" s="83">
        <v>1</v>
      </c>
      <c r="CG190" s="83" t="s">
        <v>100</v>
      </c>
      <c r="CH190" s="83">
        <v>1</v>
      </c>
      <c r="CJ190" s="83" t="s">
        <v>100</v>
      </c>
      <c r="CK190" s="83">
        <v>1</v>
      </c>
      <c r="CM190" s="83" t="s">
        <v>100</v>
      </c>
      <c r="CN190" s="83">
        <v>1</v>
      </c>
      <c r="CP190" s="83" t="s">
        <v>100</v>
      </c>
      <c r="CQ190" s="83">
        <v>1</v>
      </c>
      <c r="CS190" s="83" t="s">
        <v>100</v>
      </c>
      <c r="CT190" s="83">
        <v>1</v>
      </c>
      <c r="CV190" s="83" t="s">
        <v>100</v>
      </c>
      <c r="CW190" s="83">
        <v>1</v>
      </c>
    </row>
    <row r="192" spans="1:101" x14ac:dyDescent="0.2">
      <c r="A192" s="83" t="s">
        <v>101</v>
      </c>
      <c r="B192" s="83">
        <v>1</v>
      </c>
      <c r="D192" s="83" t="s">
        <v>101</v>
      </c>
      <c r="E192" s="83">
        <v>1</v>
      </c>
      <c r="G192" s="83" t="s">
        <v>101</v>
      </c>
      <c r="H192" s="83">
        <v>1</v>
      </c>
      <c r="J192" s="83" t="s">
        <v>101</v>
      </c>
      <c r="K192" s="83">
        <v>1</v>
      </c>
      <c r="M192" s="83" t="s">
        <v>101</v>
      </c>
      <c r="N192" s="83">
        <v>1</v>
      </c>
      <c r="P192" s="83" t="s">
        <v>101</v>
      </c>
      <c r="Q192" s="83">
        <v>1</v>
      </c>
      <c r="S192" s="83" t="s">
        <v>101</v>
      </c>
      <c r="T192" s="83">
        <v>1</v>
      </c>
      <c r="V192" s="83" t="s">
        <v>101</v>
      </c>
      <c r="W192" s="83">
        <v>1</v>
      </c>
      <c r="Y192" s="83" t="s">
        <v>101</v>
      </c>
      <c r="Z192" s="83">
        <v>1</v>
      </c>
      <c r="AB192" s="83" t="s">
        <v>101</v>
      </c>
      <c r="AC192" s="83">
        <v>1</v>
      </c>
      <c r="AE192" s="83" t="s">
        <v>101</v>
      </c>
      <c r="AF192" s="83">
        <v>1</v>
      </c>
      <c r="AH192" s="83" t="s">
        <v>101</v>
      </c>
      <c r="AI192" s="83">
        <v>1</v>
      </c>
      <c r="AK192" s="83" t="s">
        <v>101</v>
      </c>
      <c r="AL192" s="83">
        <v>1</v>
      </c>
      <c r="AN192" s="83" t="s">
        <v>101</v>
      </c>
      <c r="AO192" s="83">
        <v>1</v>
      </c>
      <c r="AQ192" s="83" t="s">
        <v>101</v>
      </c>
      <c r="AR192" s="83">
        <v>1</v>
      </c>
      <c r="AT192" s="83" t="s">
        <v>101</v>
      </c>
      <c r="AU192" s="83">
        <v>1</v>
      </c>
      <c r="AW192" s="83" t="s">
        <v>101</v>
      </c>
      <c r="AX192" s="83">
        <v>1</v>
      </c>
      <c r="AZ192" s="83" t="s">
        <v>101</v>
      </c>
      <c r="BA192" s="83">
        <v>1</v>
      </c>
      <c r="BC192" s="83" t="s">
        <v>101</v>
      </c>
      <c r="BD192" s="83">
        <v>1</v>
      </c>
      <c r="BF192" s="83" t="s">
        <v>101</v>
      </c>
      <c r="BG192" s="83">
        <v>1</v>
      </c>
      <c r="BI192" s="83" t="s">
        <v>101</v>
      </c>
      <c r="BJ192" s="83">
        <v>1</v>
      </c>
      <c r="BL192" s="83" t="s">
        <v>101</v>
      </c>
      <c r="BM192" s="83">
        <v>1</v>
      </c>
      <c r="BO192" s="83" t="s">
        <v>101</v>
      </c>
      <c r="BP192" s="83">
        <v>1</v>
      </c>
      <c r="BR192" s="83" t="s">
        <v>101</v>
      </c>
      <c r="BS192" s="83">
        <v>1</v>
      </c>
      <c r="BU192" s="83" t="s">
        <v>101</v>
      </c>
      <c r="BV192" s="83">
        <v>1</v>
      </c>
      <c r="BX192" s="83" t="s">
        <v>101</v>
      </c>
      <c r="BY192" s="83">
        <v>1</v>
      </c>
      <c r="CA192" s="83" t="s">
        <v>101</v>
      </c>
      <c r="CB192" s="83">
        <v>1</v>
      </c>
      <c r="CD192" s="83" t="s">
        <v>101</v>
      </c>
      <c r="CE192" s="83">
        <v>1</v>
      </c>
      <c r="CG192" s="83" t="s">
        <v>101</v>
      </c>
      <c r="CH192" s="83">
        <v>1</v>
      </c>
      <c r="CJ192" s="83" t="s">
        <v>101</v>
      </c>
      <c r="CK192" s="83">
        <v>1</v>
      </c>
      <c r="CM192" s="83" t="s">
        <v>101</v>
      </c>
      <c r="CN192" s="83">
        <v>1</v>
      </c>
      <c r="CP192" s="83" t="s">
        <v>101</v>
      </c>
      <c r="CQ192" s="83">
        <v>1</v>
      </c>
      <c r="CS192" s="83" t="s">
        <v>101</v>
      </c>
      <c r="CT192" s="83">
        <v>1</v>
      </c>
      <c r="CV192" s="83" t="s">
        <v>101</v>
      </c>
      <c r="CW192" s="83">
        <v>1</v>
      </c>
    </row>
    <row r="194" spans="1:101" x14ac:dyDescent="0.2">
      <c r="A194" s="83" t="s">
        <v>102</v>
      </c>
      <c r="B194" s="83">
        <v>1</v>
      </c>
      <c r="D194" s="83" t="s">
        <v>102</v>
      </c>
      <c r="E194" s="83">
        <v>1</v>
      </c>
      <c r="G194" s="83" t="s">
        <v>102</v>
      </c>
      <c r="H194" s="83">
        <v>1</v>
      </c>
      <c r="J194" s="83" t="s">
        <v>102</v>
      </c>
      <c r="K194" s="83">
        <v>1</v>
      </c>
      <c r="M194" s="83" t="s">
        <v>102</v>
      </c>
      <c r="N194" s="83">
        <v>1</v>
      </c>
      <c r="P194" s="83" t="s">
        <v>102</v>
      </c>
      <c r="Q194" s="83">
        <v>1</v>
      </c>
      <c r="S194" s="83" t="s">
        <v>102</v>
      </c>
      <c r="T194" s="83">
        <v>1</v>
      </c>
      <c r="V194" s="83" t="s">
        <v>102</v>
      </c>
      <c r="W194" s="83">
        <v>1</v>
      </c>
      <c r="Y194" s="83" t="s">
        <v>102</v>
      </c>
      <c r="Z194" s="83">
        <v>1</v>
      </c>
      <c r="AB194" s="83" t="s">
        <v>102</v>
      </c>
      <c r="AC194" s="83">
        <v>1</v>
      </c>
      <c r="AE194" s="83" t="s">
        <v>102</v>
      </c>
      <c r="AF194" s="83">
        <v>1</v>
      </c>
      <c r="AH194" s="83" t="s">
        <v>102</v>
      </c>
      <c r="AI194" s="83">
        <v>1</v>
      </c>
      <c r="AK194" s="83" t="s">
        <v>102</v>
      </c>
      <c r="AL194" s="83">
        <v>1</v>
      </c>
      <c r="AN194" s="83" t="s">
        <v>102</v>
      </c>
      <c r="AO194" s="83">
        <v>1</v>
      </c>
      <c r="AQ194" s="83" t="s">
        <v>102</v>
      </c>
      <c r="AR194" s="83">
        <v>1</v>
      </c>
      <c r="AT194" s="83" t="s">
        <v>102</v>
      </c>
      <c r="AU194" s="83">
        <v>1</v>
      </c>
      <c r="AW194" s="83" t="s">
        <v>102</v>
      </c>
      <c r="AX194" s="83">
        <v>1</v>
      </c>
      <c r="AZ194" s="83" t="s">
        <v>102</v>
      </c>
      <c r="BA194" s="83">
        <v>1</v>
      </c>
      <c r="BC194" s="83" t="s">
        <v>102</v>
      </c>
      <c r="BD194" s="83">
        <v>1</v>
      </c>
      <c r="BF194" s="83" t="s">
        <v>102</v>
      </c>
      <c r="BG194" s="83">
        <v>1</v>
      </c>
      <c r="BI194" s="83" t="s">
        <v>102</v>
      </c>
      <c r="BJ194" s="83">
        <v>1</v>
      </c>
      <c r="BL194" s="83" t="s">
        <v>102</v>
      </c>
      <c r="BM194" s="83">
        <v>1</v>
      </c>
      <c r="BO194" s="83" t="s">
        <v>102</v>
      </c>
      <c r="BP194" s="83">
        <v>1</v>
      </c>
      <c r="BR194" s="83" t="s">
        <v>102</v>
      </c>
      <c r="BS194" s="83">
        <v>1</v>
      </c>
      <c r="BU194" s="83" t="s">
        <v>102</v>
      </c>
      <c r="BV194" s="83">
        <v>1</v>
      </c>
      <c r="BX194" s="83" t="s">
        <v>102</v>
      </c>
      <c r="BY194" s="83">
        <v>1</v>
      </c>
      <c r="CA194" s="83" t="s">
        <v>102</v>
      </c>
      <c r="CB194" s="83">
        <v>1</v>
      </c>
      <c r="CD194" s="83" t="s">
        <v>102</v>
      </c>
      <c r="CE194" s="83">
        <v>1</v>
      </c>
      <c r="CG194" s="83" t="s">
        <v>102</v>
      </c>
      <c r="CH194" s="83">
        <v>1</v>
      </c>
      <c r="CJ194" s="83" t="s">
        <v>102</v>
      </c>
      <c r="CK194" s="83">
        <v>1</v>
      </c>
      <c r="CM194" s="83" t="s">
        <v>102</v>
      </c>
      <c r="CN194" s="83">
        <v>1</v>
      </c>
      <c r="CP194" s="83" t="s">
        <v>102</v>
      </c>
      <c r="CQ194" s="83">
        <v>1</v>
      </c>
      <c r="CS194" s="83" t="s">
        <v>102</v>
      </c>
      <c r="CT194" s="83">
        <v>1</v>
      </c>
      <c r="CV194" s="83" t="s">
        <v>102</v>
      </c>
      <c r="CW194" s="83">
        <v>1</v>
      </c>
    </row>
    <row r="196" spans="1:101" x14ac:dyDescent="0.2">
      <c r="A196" s="83" t="s">
        <v>103</v>
      </c>
      <c r="B196" s="83">
        <v>1</v>
      </c>
      <c r="D196" s="83" t="s">
        <v>103</v>
      </c>
      <c r="E196" s="83">
        <v>1</v>
      </c>
      <c r="G196" s="83" t="s">
        <v>103</v>
      </c>
      <c r="H196" s="83">
        <v>1</v>
      </c>
      <c r="J196" s="83" t="s">
        <v>103</v>
      </c>
      <c r="K196" s="83">
        <v>1</v>
      </c>
      <c r="M196" s="83" t="s">
        <v>103</v>
      </c>
      <c r="N196" s="83">
        <v>1</v>
      </c>
      <c r="P196" s="83" t="s">
        <v>103</v>
      </c>
      <c r="Q196" s="83">
        <v>1</v>
      </c>
      <c r="S196" s="83" t="s">
        <v>103</v>
      </c>
      <c r="T196" s="83">
        <v>1</v>
      </c>
      <c r="V196" s="83" t="s">
        <v>103</v>
      </c>
      <c r="W196" s="83">
        <v>1</v>
      </c>
      <c r="Y196" s="83" t="s">
        <v>103</v>
      </c>
      <c r="Z196" s="83">
        <v>1</v>
      </c>
      <c r="AB196" s="83" t="s">
        <v>103</v>
      </c>
      <c r="AC196" s="83">
        <v>1</v>
      </c>
      <c r="AE196" s="83" t="s">
        <v>103</v>
      </c>
      <c r="AF196" s="83">
        <v>1</v>
      </c>
      <c r="AH196" s="83" t="s">
        <v>103</v>
      </c>
      <c r="AI196" s="83">
        <v>1</v>
      </c>
      <c r="AK196" s="83" t="s">
        <v>103</v>
      </c>
      <c r="AL196" s="83">
        <v>1</v>
      </c>
      <c r="AN196" s="83" t="s">
        <v>103</v>
      </c>
      <c r="AO196" s="83">
        <v>1</v>
      </c>
      <c r="AQ196" s="83" t="s">
        <v>103</v>
      </c>
      <c r="AR196" s="83">
        <v>1</v>
      </c>
      <c r="AT196" s="83" t="s">
        <v>103</v>
      </c>
      <c r="AU196" s="83">
        <v>1</v>
      </c>
      <c r="AW196" s="83" t="s">
        <v>103</v>
      </c>
      <c r="AX196" s="83">
        <v>1</v>
      </c>
      <c r="AZ196" s="83" t="s">
        <v>103</v>
      </c>
      <c r="BA196" s="83">
        <v>1</v>
      </c>
      <c r="BC196" s="83" t="s">
        <v>103</v>
      </c>
      <c r="BD196" s="83">
        <v>1</v>
      </c>
      <c r="BF196" s="83" t="s">
        <v>103</v>
      </c>
      <c r="BG196" s="83">
        <v>1</v>
      </c>
      <c r="BI196" s="83" t="s">
        <v>103</v>
      </c>
      <c r="BJ196" s="83">
        <v>1</v>
      </c>
      <c r="BL196" s="83" t="s">
        <v>103</v>
      </c>
      <c r="BM196" s="83">
        <v>1</v>
      </c>
      <c r="BO196" s="83" t="s">
        <v>103</v>
      </c>
      <c r="BP196" s="83">
        <v>1</v>
      </c>
      <c r="BR196" s="83" t="s">
        <v>103</v>
      </c>
      <c r="BS196" s="83">
        <v>1</v>
      </c>
      <c r="BU196" s="83" t="s">
        <v>103</v>
      </c>
      <c r="BV196" s="83">
        <v>1</v>
      </c>
      <c r="BX196" s="83" t="s">
        <v>103</v>
      </c>
      <c r="BY196" s="83">
        <v>1</v>
      </c>
      <c r="CA196" s="83" t="s">
        <v>103</v>
      </c>
      <c r="CB196" s="83">
        <v>1</v>
      </c>
      <c r="CD196" s="83" t="s">
        <v>103</v>
      </c>
      <c r="CE196" s="83">
        <v>1</v>
      </c>
      <c r="CG196" s="83" t="s">
        <v>103</v>
      </c>
      <c r="CH196" s="83">
        <v>1</v>
      </c>
      <c r="CJ196" s="83" t="s">
        <v>103</v>
      </c>
      <c r="CK196" s="83">
        <v>1</v>
      </c>
      <c r="CM196" s="83" t="s">
        <v>103</v>
      </c>
      <c r="CN196" s="83">
        <v>1</v>
      </c>
      <c r="CP196" s="83" t="s">
        <v>103</v>
      </c>
      <c r="CQ196" s="83">
        <v>1</v>
      </c>
      <c r="CS196" s="83" t="s">
        <v>103</v>
      </c>
      <c r="CT196" s="83">
        <v>1</v>
      </c>
      <c r="CV196" s="83" t="s">
        <v>103</v>
      </c>
      <c r="CW196" s="83">
        <v>1</v>
      </c>
    </row>
    <row r="198" spans="1:101" x14ac:dyDescent="0.2">
      <c r="A198" s="83" t="s">
        <v>104</v>
      </c>
      <c r="B198" s="83">
        <v>1</v>
      </c>
      <c r="D198" s="83" t="s">
        <v>104</v>
      </c>
      <c r="E198" s="83">
        <v>1</v>
      </c>
      <c r="G198" s="83" t="s">
        <v>104</v>
      </c>
      <c r="H198" s="83">
        <v>1</v>
      </c>
      <c r="J198" s="83" t="s">
        <v>104</v>
      </c>
      <c r="K198" s="83">
        <v>1</v>
      </c>
      <c r="M198" s="83" t="s">
        <v>104</v>
      </c>
      <c r="N198" s="83">
        <v>1</v>
      </c>
      <c r="P198" s="83" t="s">
        <v>104</v>
      </c>
      <c r="Q198" s="83">
        <v>1</v>
      </c>
      <c r="S198" s="83" t="s">
        <v>104</v>
      </c>
      <c r="T198" s="83">
        <v>1</v>
      </c>
      <c r="V198" s="83" t="s">
        <v>104</v>
      </c>
      <c r="W198" s="83">
        <v>1</v>
      </c>
      <c r="Y198" s="83" t="s">
        <v>104</v>
      </c>
      <c r="Z198" s="83">
        <v>1</v>
      </c>
      <c r="AB198" s="83" t="s">
        <v>104</v>
      </c>
      <c r="AC198" s="83">
        <v>1</v>
      </c>
      <c r="AE198" s="83" t="s">
        <v>104</v>
      </c>
      <c r="AF198" s="83">
        <v>1</v>
      </c>
      <c r="AH198" s="83" t="s">
        <v>104</v>
      </c>
      <c r="AI198" s="83">
        <v>1</v>
      </c>
      <c r="AK198" s="83" t="s">
        <v>104</v>
      </c>
      <c r="AL198" s="83">
        <v>1</v>
      </c>
      <c r="AN198" s="83" t="s">
        <v>104</v>
      </c>
      <c r="AO198" s="83">
        <v>1</v>
      </c>
      <c r="AQ198" s="83" t="s">
        <v>104</v>
      </c>
      <c r="AR198" s="83">
        <v>1</v>
      </c>
      <c r="AT198" s="83" t="s">
        <v>104</v>
      </c>
      <c r="AU198" s="83">
        <v>1</v>
      </c>
      <c r="AW198" s="83" t="s">
        <v>104</v>
      </c>
      <c r="AX198" s="83">
        <v>1</v>
      </c>
      <c r="AZ198" s="83" t="s">
        <v>104</v>
      </c>
      <c r="BA198" s="83">
        <v>1</v>
      </c>
      <c r="BC198" s="83" t="s">
        <v>104</v>
      </c>
      <c r="BD198" s="83">
        <v>1</v>
      </c>
      <c r="BF198" s="83" t="s">
        <v>104</v>
      </c>
      <c r="BG198" s="83">
        <v>1</v>
      </c>
      <c r="BI198" s="83" t="s">
        <v>104</v>
      </c>
      <c r="BJ198" s="83">
        <v>1</v>
      </c>
      <c r="BL198" s="83" t="s">
        <v>104</v>
      </c>
      <c r="BM198" s="83">
        <v>1</v>
      </c>
      <c r="BO198" s="83" t="s">
        <v>104</v>
      </c>
      <c r="BP198" s="83">
        <v>1</v>
      </c>
      <c r="BR198" s="83" t="s">
        <v>104</v>
      </c>
      <c r="BS198" s="83">
        <v>1</v>
      </c>
      <c r="BU198" s="83" t="s">
        <v>104</v>
      </c>
      <c r="BV198" s="83">
        <v>1</v>
      </c>
      <c r="BX198" s="83" t="s">
        <v>104</v>
      </c>
      <c r="BY198" s="83">
        <v>1</v>
      </c>
      <c r="CA198" s="83" t="s">
        <v>104</v>
      </c>
      <c r="CB198" s="83">
        <v>1</v>
      </c>
      <c r="CD198" s="83" t="s">
        <v>104</v>
      </c>
      <c r="CE198" s="83">
        <v>1</v>
      </c>
      <c r="CG198" s="83" t="s">
        <v>104</v>
      </c>
      <c r="CH198" s="83">
        <v>1</v>
      </c>
      <c r="CJ198" s="83" t="s">
        <v>104</v>
      </c>
      <c r="CK198" s="83">
        <v>1</v>
      </c>
      <c r="CM198" s="83" t="s">
        <v>104</v>
      </c>
      <c r="CN198" s="83">
        <v>1</v>
      </c>
      <c r="CP198" s="83" t="s">
        <v>104</v>
      </c>
      <c r="CQ198" s="83">
        <v>1</v>
      </c>
      <c r="CS198" s="83" t="s">
        <v>104</v>
      </c>
      <c r="CT198" s="83">
        <v>1</v>
      </c>
      <c r="CV198" s="83" t="s">
        <v>104</v>
      </c>
      <c r="CW198" s="83">
        <v>1</v>
      </c>
    </row>
    <row r="200" spans="1:101" x14ac:dyDescent="0.2">
      <c r="A200" s="83" t="s">
        <v>105</v>
      </c>
      <c r="B200" s="83">
        <v>1</v>
      </c>
      <c r="D200" s="83" t="s">
        <v>105</v>
      </c>
      <c r="E200" s="83">
        <v>1</v>
      </c>
      <c r="G200" s="83" t="s">
        <v>105</v>
      </c>
      <c r="H200" s="83">
        <v>1</v>
      </c>
      <c r="J200" s="83" t="s">
        <v>105</v>
      </c>
      <c r="K200" s="83">
        <v>1</v>
      </c>
      <c r="M200" s="83" t="s">
        <v>105</v>
      </c>
      <c r="N200" s="83">
        <v>1</v>
      </c>
      <c r="P200" s="83" t="s">
        <v>105</v>
      </c>
      <c r="Q200" s="83">
        <v>1</v>
      </c>
      <c r="S200" s="83" t="s">
        <v>105</v>
      </c>
      <c r="T200" s="83">
        <v>1</v>
      </c>
      <c r="V200" s="83" t="s">
        <v>105</v>
      </c>
      <c r="W200" s="83">
        <v>1</v>
      </c>
      <c r="Y200" s="83" t="s">
        <v>105</v>
      </c>
      <c r="Z200" s="83">
        <v>1</v>
      </c>
      <c r="AB200" s="83" t="s">
        <v>105</v>
      </c>
      <c r="AC200" s="83">
        <v>1</v>
      </c>
      <c r="AE200" s="83" t="s">
        <v>105</v>
      </c>
      <c r="AF200" s="83">
        <v>1</v>
      </c>
      <c r="AH200" s="83" t="s">
        <v>105</v>
      </c>
      <c r="AI200" s="83">
        <v>1</v>
      </c>
      <c r="AK200" s="83" t="s">
        <v>105</v>
      </c>
      <c r="AL200" s="83">
        <v>1</v>
      </c>
      <c r="AN200" s="83" t="s">
        <v>105</v>
      </c>
      <c r="AO200" s="83">
        <v>1</v>
      </c>
      <c r="AQ200" s="83" t="s">
        <v>105</v>
      </c>
      <c r="AR200" s="83">
        <v>1</v>
      </c>
      <c r="AT200" s="83" t="s">
        <v>105</v>
      </c>
      <c r="AU200" s="83">
        <v>1</v>
      </c>
      <c r="AW200" s="83" t="s">
        <v>105</v>
      </c>
      <c r="AX200" s="83">
        <v>1</v>
      </c>
      <c r="AZ200" s="83" t="s">
        <v>105</v>
      </c>
      <c r="BA200" s="83">
        <v>1</v>
      </c>
      <c r="BC200" s="83" t="s">
        <v>105</v>
      </c>
      <c r="BD200" s="83">
        <v>1</v>
      </c>
      <c r="BF200" s="83" t="s">
        <v>105</v>
      </c>
      <c r="BG200" s="83">
        <v>1</v>
      </c>
      <c r="BI200" s="83" t="s">
        <v>105</v>
      </c>
      <c r="BJ200" s="83">
        <v>1</v>
      </c>
      <c r="BL200" s="83" t="s">
        <v>105</v>
      </c>
      <c r="BM200" s="83">
        <v>1</v>
      </c>
      <c r="BO200" s="83" t="s">
        <v>105</v>
      </c>
      <c r="BP200" s="83">
        <v>1</v>
      </c>
      <c r="BR200" s="83" t="s">
        <v>105</v>
      </c>
      <c r="BS200" s="83">
        <v>1</v>
      </c>
      <c r="BU200" s="83" t="s">
        <v>105</v>
      </c>
      <c r="BV200" s="83">
        <v>1</v>
      </c>
      <c r="BX200" s="83" t="s">
        <v>105</v>
      </c>
      <c r="BY200" s="83">
        <v>1</v>
      </c>
      <c r="CA200" s="83" t="s">
        <v>105</v>
      </c>
      <c r="CB200" s="83">
        <v>1</v>
      </c>
      <c r="CD200" s="83" t="s">
        <v>105</v>
      </c>
      <c r="CE200" s="83">
        <v>1</v>
      </c>
      <c r="CG200" s="83" t="s">
        <v>105</v>
      </c>
      <c r="CH200" s="83">
        <v>1</v>
      </c>
      <c r="CJ200" s="83" t="s">
        <v>105</v>
      </c>
      <c r="CK200" s="83">
        <v>1</v>
      </c>
      <c r="CM200" s="83" t="s">
        <v>105</v>
      </c>
      <c r="CN200" s="83">
        <v>1</v>
      </c>
      <c r="CP200" s="83" t="s">
        <v>105</v>
      </c>
      <c r="CQ200" s="83">
        <v>1</v>
      </c>
      <c r="CS200" s="83" t="s">
        <v>105</v>
      </c>
      <c r="CT200" s="83">
        <v>1</v>
      </c>
      <c r="CV200" s="83" t="s">
        <v>105</v>
      </c>
      <c r="CW200" s="83">
        <v>1</v>
      </c>
    </row>
    <row r="202" spans="1:101" x14ac:dyDescent="0.2">
      <c r="A202" s="83" t="s">
        <v>106</v>
      </c>
      <c r="B202" s="83">
        <v>1</v>
      </c>
      <c r="D202" s="83" t="s">
        <v>106</v>
      </c>
      <c r="E202" s="83">
        <v>1</v>
      </c>
      <c r="G202" s="83" t="s">
        <v>106</v>
      </c>
      <c r="H202" s="83">
        <v>1</v>
      </c>
      <c r="J202" s="83" t="s">
        <v>106</v>
      </c>
      <c r="K202" s="83">
        <v>1</v>
      </c>
      <c r="M202" s="83" t="s">
        <v>106</v>
      </c>
      <c r="N202" s="83">
        <v>1</v>
      </c>
      <c r="P202" s="83" t="s">
        <v>106</v>
      </c>
      <c r="Q202" s="83">
        <v>1</v>
      </c>
      <c r="S202" s="83" t="s">
        <v>106</v>
      </c>
      <c r="T202" s="83">
        <v>1</v>
      </c>
      <c r="V202" s="83" t="s">
        <v>106</v>
      </c>
      <c r="W202" s="83">
        <v>1</v>
      </c>
      <c r="Y202" s="83" t="s">
        <v>106</v>
      </c>
      <c r="Z202" s="83">
        <v>1</v>
      </c>
      <c r="AB202" s="83" t="s">
        <v>106</v>
      </c>
      <c r="AC202" s="83">
        <v>1</v>
      </c>
      <c r="AE202" s="83" t="s">
        <v>106</v>
      </c>
      <c r="AF202" s="83">
        <v>1</v>
      </c>
      <c r="AH202" s="83" t="s">
        <v>106</v>
      </c>
      <c r="AI202" s="83">
        <v>1</v>
      </c>
      <c r="AK202" s="83" t="s">
        <v>106</v>
      </c>
      <c r="AL202" s="83">
        <v>1</v>
      </c>
      <c r="AN202" s="83" t="s">
        <v>106</v>
      </c>
      <c r="AO202" s="83">
        <v>1</v>
      </c>
      <c r="AQ202" s="83" t="s">
        <v>106</v>
      </c>
      <c r="AR202" s="83">
        <v>1</v>
      </c>
      <c r="AT202" s="83" t="s">
        <v>106</v>
      </c>
      <c r="AU202" s="83">
        <v>1</v>
      </c>
      <c r="AW202" s="83" t="s">
        <v>106</v>
      </c>
      <c r="AX202" s="83">
        <v>1</v>
      </c>
      <c r="AZ202" s="83" t="s">
        <v>106</v>
      </c>
      <c r="BA202" s="83">
        <v>1</v>
      </c>
      <c r="BC202" s="83" t="s">
        <v>106</v>
      </c>
      <c r="BD202" s="83">
        <v>1</v>
      </c>
      <c r="BF202" s="83" t="s">
        <v>106</v>
      </c>
      <c r="BG202" s="83">
        <v>1</v>
      </c>
      <c r="BI202" s="83" t="s">
        <v>106</v>
      </c>
      <c r="BJ202" s="83">
        <v>1</v>
      </c>
      <c r="BL202" s="83" t="s">
        <v>106</v>
      </c>
      <c r="BM202" s="83">
        <v>1</v>
      </c>
      <c r="BO202" s="83" t="s">
        <v>106</v>
      </c>
      <c r="BP202" s="83">
        <v>1</v>
      </c>
      <c r="BR202" s="83" t="s">
        <v>106</v>
      </c>
      <c r="BS202" s="83">
        <v>1</v>
      </c>
      <c r="BU202" s="83" t="s">
        <v>106</v>
      </c>
      <c r="BV202" s="83">
        <v>1</v>
      </c>
      <c r="BX202" s="83" t="s">
        <v>106</v>
      </c>
      <c r="BY202" s="83">
        <v>1</v>
      </c>
      <c r="CA202" s="83" t="s">
        <v>106</v>
      </c>
      <c r="CB202" s="83">
        <v>1</v>
      </c>
      <c r="CD202" s="83" t="s">
        <v>106</v>
      </c>
      <c r="CE202" s="83">
        <v>1</v>
      </c>
      <c r="CG202" s="83" t="s">
        <v>106</v>
      </c>
      <c r="CH202" s="83">
        <v>1</v>
      </c>
      <c r="CJ202" s="83" t="s">
        <v>106</v>
      </c>
      <c r="CK202" s="83">
        <v>1</v>
      </c>
      <c r="CM202" s="83" t="s">
        <v>106</v>
      </c>
      <c r="CN202" s="83">
        <v>1</v>
      </c>
      <c r="CP202" s="83" t="s">
        <v>106</v>
      </c>
      <c r="CQ202" s="83">
        <v>1</v>
      </c>
      <c r="CS202" s="83" t="s">
        <v>106</v>
      </c>
      <c r="CT202" s="83">
        <v>1</v>
      </c>
      <c r="CV202" s="83" t="s">
        <v>106</v>
      </c>
      <c r="CW202" s="83">
        <v>1</v>
      </c>
    </row>
    <row r="204" spans="1:101" x14ac:dyDescent="0.2">
      <c r="A204" s="83" t="s">
        <v>107</v>
      </c>
      <c r="B204" s="83">
        <v>1</v>
      </c>
      <c r="D204" s="83" t="s">
        <v>107</v>
      </c>
      <c r="E204" s="83">
        <v>1</v>
      </c>
      <c r="G204" s="83" t="s">
        <v>107</v>
      </c>
      <c r="H204" s="83">
        <v>1</v>
      </c>
      <c r="J204" s="83" t="s">
        <v>107</v>
      </c>
      <c r="K204" s="83">
        <v>1</v>
      </c>
      <c r="M204" s="83" t="s">
        <v>107</v>
      </c>
      <c r="N204" s="83">
        <v>1</v>
      </c>
      <c r="P204" s="83" t="s">
        <v>107</v>
      </c>
      <c r="Q204" s="83">
        <v>1</v>
      </c>
      <c r="S204" s="83" t="s">
        <v>107</v>
      </c>
      <c r="T204" s="83">
        <v>1</v>
      </c>
      <c r="V204" s="83" t="s">
        <v>107</v>
      </c>
      <c r="W204" s="83">
        <v>1</v>
      </c>
      <c r="Y204" s="83" t="s">
        <v>107</v>
      </c>
      <c r="Z204" s="83">
        <v>1</v>
      </c>
      <c r="AB204" s="83" t="s">
        <v>107</v>
      </c>
      <c r="AC204" s="83">
        <v>1</v>
      </c>
      <c r="AE204" s="83" t="s">
        <v>107</v>
      </c>
      <c r="AF204" s="83">
        <v>1</v>
      </c>
      <c r="AH204" s="83" t="s">
        <v>107</v>
      </c>
      <c r="AI204" s="83">
        <v>1</v>
      </c>
      <c r="AK204" s="83" t="s">
        <v>107</v>
      </c>
      <c r="AL204" s="83">
        <v>1</v>
      </c>
      <c r="AN204" s="83" t="s">
        <v>107</v>
      </c>
      <c r="AO204" s="83">
        <v>1</v>
      </c>
      <c r="AQ204" s="83" t="s">
        <v>107</v>
      </c>
      <c r="AR204" s="83">
        <v>1</v>
      </c>
      <c r="AT204" s="83" t="s">
        <v>107</v>
      </c>
      <c r="AU204" s="83">
        <v>1</v>
      </c>
      <c r="AW204" s="83" t="s">
        <v>107</v>
      </c>
      <c r="AX204" s="83">
        <v>1</v>
      </c>
      <c r="AZ204" s="83" t="s">
        <v>107</v>
      </c>
      <c r="BA204" s="83">
        <v>1</v>
      </c>
      <c r="BC204" s="83" t="s">
        <v>107</v>
      </c>
      <c r="BD204" s="83">
        <v>1</v>
      </c>
      <c r="BF204" s="83" t="s">
        <v>107</v>
      </c>
      <c r="BG204" s="83">
        <v>1</v>
      </c>
      <c r="BI204" s="83" t="s">
        <v>107</v>
      </c>
      <c r="BJ204" s="83">
        <v>1</v>
      </c>
      <c r="BL204" s="83" t="s">
        <v>107</v>
      </c>
      <c r="BM204" s="83">
        <v>1</v>
      </c>
      <c r="BO204" s="83" t="s">
        <v>107</v>
      </c>
      <c r="BP204" s="83">
        <v>1</v>
      </c>
      <c r="BR204" s="83" t="s">
        <v>107</v>
      </c>
      <c r="BS204" s="83">
        <v>1</v>
      </c>
      <c r="BU204" s="83" t="s">
        <v>107</v>
      </c>
      <c r="BV204" s="83">
        <v>1</v>
      </c>
      <c r="BX204" s="83" t="s">
        <v>107</v>
      </c>
      <c r="BY204" s="83">
        <v>1</v>
      </c>
      <c r="CA204" s="83" t="s">
        <v>107</v>
      </c>
      <c r="CB204" s="83">
        <v>1</v>
      </c>
      <c r="CD204" s="83" t="s">
        <v>107</v>
      </c>
      <c r="CE204" s="83">
        <v>1</v>
      </c>
      <c r="CG204" s="83" t="s">
        <v>107</v>
      </c>
      <c r="CH204" s="83">
        <v>1</v>
      </c>
      <c r="CJ204" s="83" t="s">
        <v>107</v>
      </c>
      <c r="CK204" s="83">
        <v>1</v>
      </c>
      <c r="CM204" s="83" t="s">
        <v>107</v>
      </c>
      <c r="CN204" s="83">
        <v>1</v>
      </c>
      <c r="CP204" s="83" t="s">
        <v>107</v>
      </c>
      <c r="CQ204" s="83">
        <v>1</v>
      </c>
      <c r="CS204" s="83" t="s">
        <v>107</v>
      </c>
      <c r="CT204" s="83">
        <v>1</v>
      </c>
      <c r="CV204" s="83" t="s">
        <v>107</v>
      </c>
      <c r="CW204" s="83">
        <v>1</v>
      </c>
    </row>
    <row r="206" spans="1:101" x14ac:dyDescent="0.2">
      <c r="A206" s="83" t="s">
        <v>108</v>
      </c>
      <c r="B206" s="83" t="s">
        <v>132</v>
      </c>
      <c r="D206" s="83" t="s">
        <v>108</v>
      </c>
      <c r="E206" s="83" t="s">
        <v>132</v>
      </c>
      <c r="G206" s="83" t="s">
        <v>108</v>
      </c>
      <c r="H206" s="83" t="s">
        <v>132</v>
      </c>
      <c r="J206" s="83" t="s">
        <v>108</v>
      </c>
      <c r="K206" s="83" t="s">
        <v>132</v>
      </c>
      <c r="M206" s="83" t="s">
        <v>108</v>
      </c>
      <c r="N206" s="83" t="s">
        <v>132</v>
      </c>
      <c r="P206" s="83" t="s">
        <v>108</v>
      </c>
      <c r="Q206" s="83" t="s">
        <v>132</v>
      </c>
      <c r="S206" s="83" t="s">
        <v>108</v>
      </c>
      <c r="T206" s="83" t="s">
        <v>132</v>
      </c>
      <c r="V206" s="83" t="s">
        <v>108</v>
      </c>
      <c r="W206" s="83" t="s">
        <v>132</v>
      </c>
      <c r="Y206" s="83" t="s">
        <v>108</v>
      </c>
      <c r="Z206" s="83" t="s">
        <v>132</v>
      </c>
      <c r="AB206" s="83" t="s">
        <v>108</v>
      </c>
      <c r="AC206" s="83" t="s">
        <v>132</v>
      </c>
      <c r="AE206" s="83" t="s">
        <v>108</v>
      </c>
      <c r="AF206" s="83" t="s">
        <v>132</v>
      </c>
      <c r="AH206" s="83" t="s">
        <v>108</v>
      </c>
      <c r="AI206" s="83" t="s">
        <v>132</v>
      </c>
      <c r="AK206" s="83" t="s">
        <v>108</v>
      </c>
      <c r="AL206" s="83" t="s">
        <v>132</v>
      </c>
      <c r="AN206" s="83" t="s">
        <v>108</v>
      </c>
      <c r="AO206" s="83" t="s">
        <v>132</v>
      </c>
      <c r="AQ206" s="83" t="s">
        <v>108</v>
      </c>
      <c r="AR206" s="83" t="s">
        <v>132</v>
      </c>
      <c r="AT206" s="83" t="s">
        <v>108</v>
      </c>
      <c r="AU206" s="83" t="s">
        <v>132</v>
      </c>
      <c r="AW206" s="83" t="s">
        <v>108</v>
      </c>
      <c r="AX206" s="83" t="s">
        <v>132</v>
      </c>
      <c r="AZ206" s="83" t="s">
        <v>108</v>
      </c>
      <c r="BA206" s="83" t="s">
        <v>132</v>
      </c>
      <c r="BC206" s="83" t="s">
        <v>108</v>
      </c>
      <c r="BD206" s="83" t="s">
        <v>132</v>
      </c>
      <c r="BF206" s="83" t="s">
        <v>108</v>
      </c>
      <c r="BG206" s="83" t="s">
        <v>132</v>
      </c>
      <c r="BI206" s="83" t="s">
        <v>108</v>
      </c>
      <c r="BJ206" s="83" t="s">
        <v>132</v>
      </c>
      <c r="BL206" s="83" t="s">
        <v>108</v>
      </c>
      <c r="BM206" s="83" t="s">
        <v>132</v>
      </c>
      <c r="BO206" s="83" t="s">
        <v>108</v>
      </c>
      <c r="BP206" s="83" t="s">
        <v>132</v>
      </c>
      <c r="BR206" s="83" t="s">
        <v>108</v>
      </c>
      <c r="BS206" s="83" t="s">
        <v>132</v>
      </c>
      <c r="BU206" s="83" t="s">
        <v>108</v>
      </c>
      <c r="BV206" s="83" t="s">
        <v>132</v>
      </c>
      <c r="BX206" s="83" t="s">
        <v>108</v>
      </c>
      <c r="BY206" s="83" t="s">
        <v>132</v>
      </c>
      <c r="CA206" s="83" t="s">
        <v>108</v>
      </c>
      <c r="CB206" s="83" t="s">
        <v>132</v>
      </c>
      <c r="CD206" s="83" t="s">
        <v>108</v>
      </c>
      <c r="CE206" s="83" t="s">
        <v>132</v>
      </c>
      <c r="CG206" s="83" t="s">
        <v>108</v>
      </c>
      <c r="CH206" s="83" t="s">
        <v>132</v>
      </c>
      <c r="CJ206" s="83" t="s">
        <v>108</v>
      </c>
      <c r="CK206" s="83" t="s">
        <v>132</v>
      </c>
      <c r="CM206" s="83" t="s">
        <v>108</v>
      </c>
      <c r="CN206" s="83" t="s">
        <v>132</v>
      </c>
      <c r="CP206" s="83" t="s">
        <v>108</v>
      </c>
      <c r="CQ206" s="83" t="s">
        <v>132</v>
      </c>
      <c r="CS206" s="83" t="s">
        <v>108</v>
      </c>
      <c r="CT206" s="83" t="s">
        <v>132</v>
      </c>
      <c r="CV206" s="83" t="s">
        <v>108</v>
      </c>
      <c r="CW206" s="83" t="s">
        <v>132</v>
      </c>
    </row>
    <row r="208" spans="1:101" x14ac:dyDescent="0.2">
      <c r="A208" s="83" t="s">
        <v>109</v>
      </c>
      <c r="B208" s="83">
        <v>1</v>
      </c>
      <c r="D208" s="83" t="s">
        <v>109</v>
      </c>
      <c r="E208" s="83">
        <v>1</v>
      </c>
      <c r="G208" s="83" t="s">
        <v>109</v>
      </c>
      <c r="H208" s="83">
        <v>1</v>
      </c>
      <c r="J208" s="83" t="s">
        <v>109</v>
      </c>
      <c r="K208" s="83">
        <v>1</v>
      </c>
      <c r="M208" s="83" t="s">
        <v>109</v>
      </c>
      <c r="N208" s="83">
        <v>1</v>
      </c>
      <c r="P208" s="83" t="s">
        <v>109</v>
      </c>
      <c r="Q208" s="83">
        <v>1</v>
      </c>
      <c r="S208" s="83" t="s">
        <v>109</v>
      </c>
      <c r="T208" s="83">
        <v>1</v>
      </c>
      <c r="V208" s="83" t="s">
        <v>109</v>
      </c>
      <c r="W208" s="83">
        <v>1</v>
      </c>
      <c r="Y208" s="83" t="s">
        <v>109</v>
      </c>
      <c r="Z208" s="83">
        <v>1</v>
      </c>
      <c r="AB208" s="83" t="s">
        <v>109</v>
      </c>
      <c r="AC208" s="83">
        <v>1</v>
      </c>
      <c r="AE208" s="83" t="s">
        <v>109</v>
      </c>
      <c r="AF208" s="83">
        <v>1</v>
      </c>
      <c r="AH208" s="83" t="s">
        <v>109</v>
      </c>
      <c r="AI208" s="83">
        <v>1</v>
      </c>
      <c r="AK208" s="83" t="s">
        <v>109</v>
      </c>
      <c r="AL208" s="83">
        <v>1</v>
      </c>
      <c r="AN208" s="83" t="s">
        <v>109</v>
      </c>
      <c r="AO208" s="83">
        <v>1</v>
      </c>
      <c r="AQ208" s="83" t="s">
        <v>109</v>
      </c>
      <c r="AR208" s="83">
        <v>1</v>
      </c>
      <c r="AT208" s="83" t="s">
        <v>109</v>
      </c>
      <c r="AU208" s="83">
        <v>1</v>
      </c>
      <c r="AW208" s="83" t="s">
        <v>109</v>
      </c>
      <c r="AX208" s="83">
        <v>1</v>
      </c>
      <c r="AZ208" s="83" t="s">
        <v>109</v>
      </c>
      <c r="BA208" s="83">
        <v>1</v>
      </c>
      <c r="BC208" s="83" t="s">
        <v>109</v>
      </c>
      <c r="BD208" s="83">
        <v>1</v>
      </c>
      <c r="BF208" s="83" t="s">
        <v>109</v>
      </c>
      <c r="BG208" s="83">
        <v>1</v>
      </c>
      <c r="BI208" s="83" t="s">
        <v>109</v>
      </c>
      <c r="BJ208" s="83">
        <v>1</v>
      </c>
      <c r="BL208" s="83" t="s">
        <v>109</v>
      </c>
      <c r="BM208" s="83">
        <v>1</v>
      </c>
      <c r="BO208" s="83" t="s">
        <v>109</v>
      </c>
      <c r="BP208" s="83">
        <v>1</v>
      </c>
      <c r="BR208" s="83" t="s">
        <v>109</v>
      </c>
      <c r="BS208" s="83">
        <v>1</v>
      </c>
      <c r="BU208" s="83" t="s">
        <v>109</v>
      </c>
      <c r="BV208" s="83">
        <v>1</v>
      </c>
      <c r="BX208" s="83" t="s">
        <v>109</v>
      </c>
      <c r="BY208" s="83">
        <v>1</v>
      </c>
      <c r="CA208" s="83" t="s">
        <v>109</v>
      </c>
      <c r="CB208" s="83">
        <v>1</v>
      </c>
      <c r="CD208" s="83" t="s">
        <v>109</v>
      </c>
      <c r="CE208" s="83">
        <v>1</v>
      </c>
      <c r="CG208" s="83" t="s">
        <v>109</v>
      </c>
      <c r="CH208" s="83">
        <v>1</v>
      </c>
      <c r="CJ208" s="83" t="s">
        <v>109</v>
      </c>
      <c r="CK208" s="83">
        <v>1</v>
      </c>
      <c r="CM208" s="83" t="s">
        <v>109</v>
      </c>
      <c r="CN208" s="83">
        <v>1</v>
      </c>
      <c r="CP208" s="83" t="s">
        <v>109</v>
      </c>
      <c r="CQ208" s="83">
        <v>1</v>
      </c>
      <c r="CS208" s="83" t="s">
        <v>109</v>
      </c>
      <c r="CT208" s="83">
        <v>1</v>
      </c>
      <c r="CV208" s="83" t="s">
        <v>109</v>
      </c>
      <c r="CW208" s="83">
        <v>1</v>
      </c>
    </row>
    <row r="210" spans="1:101" x14ac:dyDescent="0.2">
      <c r="A210" s="83" t="s">
        <v>110</v>
      </c>
      <c r="B210" s="83">
        <v>1</v>
      </c>
      <c r="D210" s="83" t="s">
        <v>110</v>
      </c>
      <c r="E210" s="83">
        <v>1</v>
      </c>
      <c r="G210" s="83" t="s">
        <v>110</v>
      </c>
      <c r="H210" s="83">
        <v>1</v>
      </c>
      <c r="J210" s="83" t="s">
        <v>110</v>
      </c>
      <c r="K210" s="83">
        <v>1</v>
      </c>
      <c r="M210" s="83" t="s">
        <v>110</v>
      </c>
      <c r="N210" s="83">
        <v>1</v>
      </c>
      <c r="P210" s="83" t="s">
        <v>110</v>
      </c>
      <c r="Q210" s="83">
        <v>1</v>
      </c>
      <c r="S210" s="83" t="s">
        <v>110</v>
      </c>
      <c r="T210" s="83">
        <v>1</v>
      </c>
      <c r="V210" s="83" t="s">
        <v>110</v>
      </c>
      <c r="W210" s="83">
        <v>1</v>
      </c>
      <c r="Y210" s="83" t="s">
        <v>110</v>
      </c>
      <c r="Z210" s="83">
        <v>1</v>
      </c>
      <c r="AB210" s="83" t="s">
        <v>110</v>
      </c>
      <c r="AC210" s="83">
        <v>1</v>
      </c>
      <c r="AE210" s="83" t="s">
        <v>110</v>
      </c>
      <c r="AF210" s="83">
        <v>1</v>
      </c>
      <c r="AH210" s="83" t="s">
        <v>110</v>
      </c>
      <c r="AI210" s="83">
        <v>1</v>
      </c>
      <c r="AK210" s="83" t="s">
        <v>110</v>
      </c>
      <c r="AL210" s="83">
        <v>1</v>
      </c>
      <c r="AN210" s="83" t="s">
        <v>110</v>
      </c>
      <c r="AO210" s="83">
        <v>1</v>
      </c>
      <c r="AQ210" s="83" t="s">
        <v>110</v>
      </c>
      <c r="AR210" s="83">
        <v>1</v>
      </c>
      <c r="AT210" s="83" t="s">
        <v>110</v>
      </c>
      <c r="AU210" s="83">
        <v>1</v>
      </c>
      <c r="AW210" s="83" t="s">
        <v>110</v>
      </c>
      <c r="AX210" s="83">
        <v>1</v>
      </c>
      <c r="AZ210" s="83" t="s">
        <v>110</v>
      </c>
      <c r="BA210" s="83">
        <v>1</v>
      </c>
      <c r="BC210" s="83" t="s">
        <v>110</v>
      </c>
      <c r="BD210" s="83">
        <v>1</v>
      </c>
      <c r="BF210" s="83" t="s">
        <v>110</v>
      </c>
      <c r="BG210" s="83">
        <v>1</v>
      </c>
      <c r="BI210" s="83" t="s">
        <v>110</v>
      </c>
      <c r="BJ210" s="83">
        <v>1</v>
      </c>
      <c r="BL210" s="83" t="s">
        <v>110</v>
      </c>
      <c r="BM210" s="83">
        <v>1</v>
      </c>
      <c r="BO210" s="83" t="s">
        <v>110</v>
      </c>
      <c r="BP210" s="83">
        <v>1</v>
      </c>
      <c r="BR210" s="83" t="s">
        <v>110</v>
      </c>
      <c r="BS210" s="83">
        <v>1</v>
      </c>
      <c r="BU210" s="83" t="s">
        <v>110</v>
      </c>
      <c r="BV210" s="83">
        <v>1</v>
      </c>
      <c r="BX210" s="83" t="s">
        <v>110</v>
      </c>
      <c r="BY210" s="83">
        <v>1</v>
      </c>
      <c r="CA210" s="83" t="s">
        <v>110</v>
      </c>
      <c r="CB210" s="83">
        <v>1</v>
      </c>
      <c r="CD210" s="83" t="s">
        <v>110</v>
      </c>
      <c r="CE210" s="83">
        <v>1</v>
      </c>
      <c r="CG210" s="83" t="s">
        <v>110</v>
      </c>
      <c r="CH210" s="83">
        <v>1</v>
      </c>
      <c r="CJ210" s="83" t="s">
        <v>110</v>
      </c>
      <c r="CK210" s="83">
        <v>1</v>
      </c>
      <c r="CM210" s="83" t="s">
        <v>110</v>
      </c>
      <c r="CN210" s="83">
        <v>1</v>
      </c>
      <c r="CP210" s="83" t="s">
        <v>110</v>
      </c>
      <c r="CQ210" s="83">
        <v>1</v>
      </c>
      <c r="CS210" s="83" t="s">
        <v>110</v>
      </c>
      <c r="CT210" s="83">
        <v>1</v>
      </c>
      <c r="CV210" s="83" t="s">
        <v>110</v>
      </c>
      <c r="CW210" s="83">
        <v>1</v>
      </c>
    </row>
    <row r="212" spans="1:101" x14ac:dyDescent="0.2">
      <c r="A212" s="83" t="s">
        <v>91</v>
      </c>
      <c r="B212" s="83">
        <v>1</v>
      </c>
      <c r="D212" s="83" t="s">
        <v>91</v>
      </c>
      <c r="E212" s="83">
        <v>1</v>
      </c>
      <c r="G212" s="83" t="s">
        <v>91</v>
      </c>
      <c r="H212" s="83">
        <v>1</v>
      </c>
      <c r="J212" s="83" t="s">
        <v>91</v>
      </c>
      <c r="K212" s="83">
        <v>1</v>
      </c>
      <c r="M212" s="83" t="s">
        <v>91</v>
      </c>
      <c r="N212" s="83">
        <v>1</v>
      </c>
      <c r="P212" s="83" t="s">
        <v>91</v>
      </c>
      <c r="Q212" s="83">
        <v>1</v>
      </c>
      <c r="S212" s="83" t="s">
        <v>91</v>
      </c>
      <c r="T212" s="83">
        <v>1</v>
      </c>
      <c r="V212" s="83" t="s">
        <v>91</v>
      </c>
      <c r="W212" s="83">
        <v>1</v>
      </c>
      <c r="Y212" s="83" t="s">
        <v>91</v>
      </c>
      <c r="Z212" s="83">
        <v>1</v>
      </c>
      <c r="AB212" s="83" t="s">
        <v>91</v>
      </c>
      <c r="AC212" s="83">
        <v>1</v>
      </c>
      <c r="AE212" s="83" t="s">
        <v>91</v>
      </c>
      <c r="AF212" s="83">
        <v>1</v>
      </c>
      <c r="AH212" s="83" t="s">
        <v>91</v>
      </c>
      <c r="AI212" s="83">
        <v>1</v>
      </c>
      <c r="AK212" s="83" t="s">
        <v>91</v>
      </c>
      <c r="AL212" s="83">
        <v>1</v>
      </c>
      <c r="AN212" s="83" t="s">
        <v>91</v>
      </c>
      <c r="AO212" s="83">
        <v>1</v>
      </c>
      <c r="AQ212" s="83" t="s">
        <v>91</v>
      </c>
      <c r="AR212" s="83">
        <v>1</v>
      </c>
      <c r="AT212" s="83" t="s">
        <v>91</v>
      </c>
      <c r="AU212" s="83">
        <v>1</v>
      </c>
      <c r="AW212" s="83" t="s">
        <v>91</v>
      </c>
      <c r="AX212" s="83">
        <v>1</v>
      </c>
      <c r="AZ212" s="83" t="s">
        <v>91</v>
      </c>
      <c r="BA212" s="83">
        <v>1</v>
      </c>
      <c r="BC212" s="83" t="s">
        <v>91</v>
      </c>
      <c r="BD212" s="83">
        <v>1</v>
      </c>
      <c r="BF212" s="83" t="s">
        <v>91</v>
      </c>
      <c r="BG212" s="83">
        <v>1</v>
      </c>
      <c r="BI212" s="83" t="s">
        <v>91</v>
      </c>
      <c r="BJ212" s="83">
        <v>1</v>
      </c>
      <c r="BL212" s="83" t="s">
        <v>91</v>
      </c>
      <c r="BM212" s="83">
        <v>1</v>
      </c>
      <c r="BO212" s="83" t="s">
        <v>91</v>
      </c>
      <c r="BP212" s="83">
        <v>1</v>
      </c>
      <c r="BR212" s="83" t="s">
        <v>91</v>
      </c>
      <c r="BS212" s="83">
        <v>1</v>
      </c>
      <c r="BU212" s="83" t="s">
        <v>91</v>
      </c>
      <c r="BV212" s="83">
        <v>1</v>
      </c>
      <c r="BX212" s="83" t="s">
        <v>91</v>
      </c>
      <c r="BY212" s="83">
        <v>1</v>
      </c>
      <c r="CA212" s="83" t="s">
        <v>91</v>
      </c>
      <c r="CB212" s="83">
        <v>1</v>
      </c>
      <c r="CD212" s="83" t="s">
        <v>91</v>
      </c>
      <c r="CE212" s="83">
        <v>1</v>
      </c>
      <c r="CG212" s="83" t="s">
        <v>91</v>
      </c>
      <c r="CH212" s="83">
        <v>1</v>
      </c>
      <c r="CJ212" s="83" t="s">
        <v>91</v>
      </c>
      <c r="CK212" s="83">
        <v>1</v>
      </c>
      <c r="CM212" s="83" t="s">
        <v>91</v>
      </c>
      <c r="CN212" s="83">
        <v>1</v>
      </c>
      <c r="CP212" s="83" t="s">
        <v>91</v>
      </c>
      <c r="CQ212" s="83">
        <v>1</v>
      </c>
      <c r="CS212" s="83" t="s">
        <v>91</v>
      </c>
      <c r="CT212" s="83">
        <v>1</v>
      </c>
      <c r="CV212" s="83" t="s">
        <v>91</v>
      </c>
      <c r="CW212" s="83">
        <v>1</v>
      </c>
    </row>
    <row r="214" spans="1:101" x14ac:dyDescent="0.2">
      <c r="A214" s="83" t="s">
        <v>92</v>
      </c>
      <c r="B214" s="83">
        <v>1</v>
      </c>
      <c r="D214" s="83" t="s">
        <v>92</v>
      </c>
      <c r="E214" s="83">
        <v>1</v>
      </c>
      <c r="G214" s="83" t="s">
        <v>92</v>
      </c>
      <c r="H214" s="83">
        <v>1</v>
      </c>
      <c r="J214" s="83" t="s">
        <v>92</v>
      </c>
      <c r="K214" s="83">
        <v>1</v>
      </c>
      <c r="M214" s="83" t="s">
        <v>92</v>
      </c>
      <c r="N214" s="83">
        <v>1</v>
      </c>
      <c r="P214" s="83" t="s">
        <v>92</v>
      </c>
      <c r="Q214" s="83">
        <v>1</v>
      </c>
      <c r="S214" s="83" t="s">
        <v>92</v>
      </c>
      <c r="T214" s="83">
        <v>1</v>
      </c>
      <c r="V214" s="83" t="s">
        <v>92</v>
      </c>
      <c r="W214" s="83">
        <v>1</v>
      </c>
      <c r="Y214" s="83" t="s">
        <v>92</v>
      </c>
      <c r="Z214" s="83">
        <v>1</v>
      </c>
      <c r="AB214" s="83" t="s">
        <v>92</v>
      </c>
      <c r="AC214" s="83">
        <v>1</v>
      </c>
      <c r="AE214" s="83" t="s">
        <v>92</v>
      </c>
      <c r="AF214" s="83">
        <v>1</v>
      </c>
      <c r="AH214" s="83" t="s">
        <v>92</v>
      </c>
      <c r="AI214" s="83">
        <v>1</v>
      </c>
      <c r="AK214" s="83" t="s">
        <v>92</v>
      </c>
      <c r="AL214" s="83">
        <v>1</v>
      </c>
      <c r="AN214" s="83" t="s">
        <v>92</v>
      </c>
      <c r="AO214" s="83">
        <v>1</v>
      </c>
      <c r="AQ214" s="83" t="s">
        <v>92</v>
      </c>
      <c r="AR214" s="83">
        <v>1</v>
      </c>
      <c r="AT214" s="83" t="s">
        <v>92</v>
      </c>
      <c r="AU214" s="83">
        <v>1</v>
      </c>
      <c r="AW214" s="83" t="s">
        <v>92</v>
      </c>
      <c r="AX214" s="83">
        <v>1</v>
      </c>
      <c r="AZ214" s="83" t="s">
        <v>92</v>
      </c>
      <c r="BA214" s="83">
        <v>1</v>
      </c>
      <c r="BC214" s="83" t="s">
        <v>92</v>
      </c>
      <c r="BD214" s="83">
        <v>1</v>
      </c>
      <c r="BF214" s="83" t="s">
        <v>92</v>
      </c>
      <c r="BG214" s="83">
        <v>1</v>
      </c>
      <c r="BI214" s="83" t="s">
        <v>92</v>
      </c>
      <c r="BJ214" s="83">
        <v>1</v>
      </c>
      <c r="BL214" s="83" t="s">
        <v>92</v>
      </c>
      <c r="BM214" s="83">
        <v>1</v>
      </c>
      <c r="BO214" s="83" t="s">
        <v>92</v>
      </c>
      <c r="BP214" s="83">
        <v>1</v>
      </c>
      <c r="BR214" s="83" t="s">
        <v>92</v>
      </c>
      <c r="BS214" s="83">
        <v>1</v>
      </c>
      <c r="BU214" s="83" t="s">
        <v>92</v>
      </c>
      <c r="BV214" s="83">
        <v>1</v>
      </c>
      <c r="BX214" s="83" t="s">
        <v>92</v>
      </c>
      <c r="BY214" s="83">
        <v>1</v>
      </c>
      <c r="CA214" s="83" t="s">
        <v>92</v>
      </c>
      <c r="CB214" s="83">
        <v>1</v>
      </c>
      <c r="CD214" s="83" t="s">
        <v>92</v>
      </c>
      <c r="CE214" s="83">
        <v>1</v>
      </c>
      <c r="CG214" s="83" t="s">
        <v>92</v>
      </c>
      <c r="CH214" s="83">
        <v>1</v>
      </c>
      <c r="CJ214" s="83" t="s">
        <v>92</v>
      </c>
      <c r="CK214" s="83">
        <v>1</v>
      </c>
      <c r="CM214" s="83" t="s">
        <v>92</v>
      </c>
      <c r="CN214" s="83">
        <v>1</v>
      </c>
      <c r="CP214" s="83" t="s">
        <v>92</v>
      </c>
      <c r="CQ214" s="83">
        <v>1</v>
      </c>
      <c r="CS214" s="83" t="s">
        <v>92</v>
      </c>
      <c r="CT214" s="83">
        <v>1</v>
      </c>
      <c r="CV214" s="83" t="s">
        <v>92</v>
      </c>
      <c r="CW214" s="83">
        <v>1</v>
      </c>
    </row>
    <row r="216" spans="1:101" x14ac:dyDescent="0.2">
      <c r="A216" s="83" t="s">
        <v>93</v>
      </c>
      <c r="B216" s="83">
        <v>1</v>
      </c>
      <c r="D216" s="83" t="s">
        <v>93</v>
      </c>
      <c r="E216" s="83">
        <v>1</v>
      </c>
      <c r="G216" s="83" t="s">
        <v>93</v>
      </c>
      <c r="H216" s="83">
        <v>1</v>
      </c>
      <c r="J216" s="83" t="s">
        <v>93</v>
      </c>
      <c r="K216" s="83">
        <v>1</v>
      </c>
      <c r="M216" s="83" t="s">
        <v>93</v>
      </c>
      <c r="N216" s="83">
        <v>1</v>
      </c>
      <c r="P216" s="83" t="s">
        <v>93</v>
      </c>
      <c r="Q216" s="83">
        <v>1</v>
      </c>
      <c r="S216" s="83" t="s">
        <v>93</v>
      </c>
      <c r="T216" s="83">
        <v>1</v>
      </c>
      <c r="V216" s="83" t="s">
        <v>93</v>
      </c>
      <c r="W216" s="83">
        <v>1</v>
      </c>
      <c r="Y216" s="83" t="s">
        <v>93</v>
      </c>
      <c r="Z216" s="83">
        <v>1</v>
      </c>
      <c r="AB216" s="83" t="s">
        <v>93</v>
      </c>
      <c r="AC216" s="83">
        <v>1</v>
      </c>
      <c r="AE216" s="83" t="s">
        <v>93</v>
      </c>
      <c r="AF216" s="83">
        <v>1</v>
      </c>
      <c r="AH216" s="83" t="s">
        <v>93</v>
      </c>
      <c r="AI216" s="83">
        <v>1</v>
      </c>
      <c r="AK216" s="83" t="s">
        <v>93</v>
      </c>
      <c r="AL216" s="83">
        <v>1</v>
      </c>
      <c r="AN216" s="83" t="s">
        <v>93</v>
      </c>
      <c r="AO216" s="83">
        <v>1</v>
      </c>
      <c r="AQ216" s="83" t="s">
        <v>93</v>
      </c>
      <c r="AR216" s="83">
        <v>1</v>
      </c>
      <c r="AT216" s="83" t="s">
        <v>93</v>
      </c>
      <c r="AU216" s="83">
        <v>1</v>
      </c>
      <c r="AW216" s="83" t="s">
        <v>93</v>
      </c>
      <c r="AX216" s="83">
        <v>1</v>
      </c>
      <c r="AZ216" s="83" t="s">
        <v>93</v>
      </c>
      <c r="BA216" s="83">
        <v>1</v>
      </c>
      <c r="BC216" s="83" t="s">
        <v>93</v>
      </c>
      <c r="BD216" s="83">
        <v>1</v>
      </c>
      <c r="BF216" s="83" t="s">
        <v>93</v>
      </c>
      <c r="BG216" s="83">
        <v>1</v>
      </c>
      <c r="BI216" s="83" t="s">
        <v>93</v>
      </c>
      <c r="BJ216" s="83">
        <v>1</v>
      </c>
      <c r="BL216" s="83" t="s">
        <v>93</v>
      </c>
      <c r="BM216" s="83">
        <v>1</v>
      </c>
      <c r="BO216" s="83" t="s">
        <v>93</v>
      </c>
      <c r="BP216" s="83">
        <v>1</v>
      </c>
      <c r="BR216" s="83" t="s">
        <v>93</v>
      </c>
      <c r="BS216" s="83">
        <v>1</v>
      </c>
      <c r="BU216" s="83" t="s">
        <v>93</v>
      </c>
      <c r="BV216" s="83">
        <v>1</v>
      </c>
      <c r="BX216" s="83" t="s">
        <v>93</v>
      </c>
      <c r="BY216" s="83">
        <v>1</v>
      </c>
      <c r="CA216" s="83" t="s">
        <v>93</v>
      </c>
      <c r="CB216" s="83">
        <v>1</v>
      </c>
      <c r="CD216" s="83" t="s">
        <v>93</v>
      </c>
      <c r="CE216" s="83">
        <v>1</v>
      </c>
      <c r="CG216" s="83" t="s">
        <v>93</v>
      </c>
      <c r="CH216" s="83">
        <v>1</v>
      </c>
      <c r="CJ216" s="83" t="s">
        <v>93</v>
      </c>
      <c r="CK216" s="83">
        <v>1</v>
      </c>
      <c r="CM216" s="83" t="s">
        <v>93</v>
      </c>
      <c r="CN216" s="83">
        <v>1</v>
      </c>
      <c r="CP216" s="83" t="s">
        <v>93</v>
      </c>
      <c r="CQ216" s="83">
        <v>1</v>
      </c>
      <c r="CS216" s="83" t="s">
        <v>93</v>
      </c>
      <c r="CT216" s="83">
        <v>1</v>
      </c>
      <c r="CV216" s="83" t="s">
        <v>93</v>
      </c>
      <c r="CW216" s="83">
        <v>1</v>
      </c>
    </row>
    <row r="218" spans="1:101" x14ac:dyDescent="0.2">
      <c r="A218" s="83" t="s">
        <v>94</v>
      </c>
      <c r="B218" s="83">
        <v>1</v>
      </c>
      <c r="D218" s="83" t="s">
        <v>94</v>
      </c>
      <c r="E218" s="83">
        <v>1</v>
      </c>
      <c r="G218" s="83" t="s">
        <v>94</v>
      </c>
      <c r="H218" s="83">
        <v>1</v>
      </c>
      <c r="J218" s="83" t="s">
        <v>94</v>
      </c>
      <c r="K218" s="83">
        <v>1</v>
      </c>
      <c r="M218" s="83" t="s">
        <v>94</v>
      </c>
      <c r="N218" s="83">
        <v>1</v>
      </c>
      <c r="P218" s="83" t="s">
        <v>94</v>
      </c>
      <c r="Q218" s="83">
        <v>1</v>
      </c>
      <c r="S218" s="83" t="s">
        <v>94</v>
      </c>
      <c r="T218" s="83">
        <v>1</v>
      </c>
      <c r="V218" s="83" t="s">
        <v>94</v>
      </c>
      <c r="W218" s="83">
        <v>1</v>
      </c>
      <c r="Y218" s="83" t="s">
        <v>94</v>
      </c>
      <c r="Z218" s="83">
        <v>1</v>
      </c>
      <c r="AB218" s="83" t="s">
        <v>94</v>
      </c>
      <c r="AC218" s="83">
        <v>1</v>
      </c>
      <c r="AE218" s="83" t="s">
        <v>94</v>
      </c>
      <c r="AF218" s="83">
        <v>1</v>
      </c>
      <c r="AH218" s="83" t="s">
        <v>94</v>
      </c>
      <c r="AI218" s="83">
        <v>1</v>
      </c>
      <c r="AK218" s="83" t="s">
        <v>94</v>
      </c>
      <c r="AL218" s="83">
        <v>1</v>
      </c>
      <c r="AN218" s="83" t="s">
        <v>94</v>
      </c>
      <c r="AO218" s="83">
        <v>1</v>
      </c>
      <c r="AQ218" s="83" t="s">
        <v>94</v>
      </c>
      <c r="AR218" s="83">
        <v>1</v>
      </c>
      <c r="AT218" s="83" t="s">
        <v>94</v>
      </c>
      <c r="AU218" s="83">
        <v>1</v>
      </c>
      <c r="AW218" s="83" t="s">
        <v>94</v>
      </c>
      <c r="AX218" s="83">
        <v>1</v>
      </c>
      <c r="AZ218" s="83" t="s">
        <v>94</v>
      </c>
      <c r="BA218" s="83">
        <v>1</v>
      </c>
      <c r="BC218" s="83" t="s">
        <v>94</v>
      </c>
      <c r="BD218" s="83">
        <v>1</v>
      </c>
      <c r="BF218" s="83" t="s">
        <v>94</v>
      </c>
      <c r="BG218" s="83">
        <v>1</v>
      </c>
      <c r="BI218" s="83" t="s">
        <v>94</v>
      </c>
      <c r="BJ218" s="83">
        <v>1</v>
      </c>
      <c r="BL218" s="83" t="s">
        <v>94</v>
      </c>
      <c r="BM218" s="83">
        <v>1</v>
      </c>
      <c r="BO218" s="83" t="s">
        <v>94</v>
      </c>
      <c r="BP218" s="83">
        <v>1</v>
      </c>
      <c r="BR218" s="83" t="s">
        <v>94</v>
      </c>
      <c r="BS218" s="83">
        <v>1</v>
      </c>
      <c r="BU218" s="83" t="s">
        <v>94</v>
      </c>
      <c r="BV218" s="83">
        <v>1</v>
      </c>
      <c r="BX218" s="83" t="s">
        <v>94</v>
      </c>
      <c r="BY218" s="83">
        <v>1</v>
      </c>
      <c r="CA218" s="83" t="s">
        <v>94</v>
      </c>
      <c r="CB218" s="83">
        <v>1</v>
      </c>
      <c r="CD218" s="83" t="s">
        <v>94</v>
      </c>
      <c r="CE218" s="83">
        <v>1</v>
      </c>
      <c r="CG218" s="83" t="s">
        <v>94</v>
      </c>
      <c r="CH218" s="83">
        <v>1</v>
      </c>
      <c r="CJ218" s="83" t="s">
        <v>94</v>
      </c>
      <c r="CK218" s="83">
        <v>1</v>
      </c>
      <c r="CM218" s="83" t="s">
        <v>94</v>
      </c>
      <c r="CN218" s="83">
        <v>1</v>
      </c>
      <c r="CP218" s="83" t="s">
        <v>94</v>
      </c>
      <c r="CQ218" s="83">
        <v>1</v>
      </c>
      <c r="CS218" s="83" t="s">
        <v>94</v>
      </c>
      <c r="CT218" s="83">
        <v>1</v>
      </c>
      <c r="CV218" s="83" t="s">
        <v>94</v>
      </c>
      <c r="CW218" s="83">
        <v>1</v>
      </c>
    </row>
    <row r="220" spans="1:101" x14ac:dyDescent="0.2">
      <c r="A220" s="83" t="s">
        <v>95</v>
      </c>
      <c r="B220" s="83">
        <v>1</v>
      </c>
      <c r="D220" s="83" t="s">
        <v>95</v>
      </c>
      <c r="E220" s="83">
        <v>1</v>
      </c>
      <c r="G220" s="83" t="s">
        <v>95</v>
      </c>
      <c r="H220" s="83">
        <v>1</v>
      </c>
      <c r="J220" s="83" t="s">
        <v>95</v>
      </c>
      <c r="K220" s="83">
        <v>1</v>
      </c>
      <c r="M220" s="83" t="s">
        <v>95</v>
      </c>
      <c r="N220" s="83">
        <v>1</v>
      </c>
      <c r="P220" s="83" t="s">
        <v>95</v>
      </c>
      <c r="Q220" s="83">
        <v>1</v>
      </c>
      <c r="S220" s="83" t="s">
        <v>95</v>
      </c>
      <c r="T220" s="83">
        <v>1</v>
      </c>
      <c r="V220" s="83" t="s">
        <v>95</v>
      </c>
      <c r="W220" s="83">
        <v>1</v>
      </c>
      <c r="Y220" s="83" t="s">
        <v>95</v>
      </c>
      <c r="Z220" s="83">
        <v>1</v>
      </c>
      <c r="AB220" s="83" t="s">
        <v>95</v>
      </c>
      <c r="AC220" s="83">
        <v>1</v>
      </c>
      <c r="AE220" s="83" t="s">
        <v>95</v>
      </c>
      <c r="AF220" s="83">
        <v>1</v>
      </c>
      <c r="AH220" s="83" t="s">
        <v>95</v>
      </c>
      <c r="AI220" s="83">
        <v>1</v>
      </c>
      <c r="AK220" s="83" t="s">
        <v>95</v>
      </c>
      <c r="AL220" s="83">
        <v>1</v>
      </c>
      <c r="AN220" s="83" t="s">
        <v>95</v>
      </c>
      <c r="AO220" s="83">
        <v>1</v>
      </c>
      <c r="AQ220" s="83" t="s">
        <v>95</v>
      </c>
      <c r="AR220" s="83">
        <v>1</v>
      </c>
      <c r="AT220" s="83" t="s">
        <v>95</v>
      </c>
      <c r="AU220" s="83">
        <v>1</v>
      </c>
      <c r="AW220" s="83" t="s">
        <v>95</v>
      </c>
      <c r="AX220" s="83">
        <v>1</v>
      </c>
      <c r="AZ220" s="83" t="s">
        <v>95</v>
      </c>
      <c r="BA220" s="83">
        <v>1</v>
      </c>
      <c r="BC220" s="83" t="s">
        <v>95</v>
      </c>
      <c r="BD220" s="83">
        <v>1</v>
      </c>
      <c r="BF220" s="83" t="s">
        <v>95</v>
      </c>
      <c r="BG220" s="83">
        <v>1</v>
      </c>
      <c r="BI220" s="83" t="s">
        <v>95</v>
      </c>
      <c r="BJ220" s="83">
        <v>1</v>
      </c>
      <c r="BL220" s="83" t="s">
        <v>95</v>
      </c>
      <c r="BM220" s="83">
        <v>1</v>
      </c>
      <c r="BO220" s="83" t="s">
        <v>95</v>
      </c>
      <c r="BP220" s="83">
        <v>1</v>
      </c>
      <c r="BR220" s="83" t="s">
        <v>95</v>
      </c>
      <c r="BS220" s="83">
        <v>1</v>
      </c>
      <c r="BU220" s="83" t="s">
        <v>95</v>
      </c>
      <c r="BV220" s="83">
        <v>1</v>
      </c>
      <c r="BX220" s="83" t="s">
        <v>95</v>
      </c>
      <c r="BY220" s="83">
        <v>1</v>
      </c>
      <c r="CA220" s="83" t="s">
        <v>95</v>
      </c>
      <c r="CB220" s="83">
        <v>1</v>
      </c>
      <c r="CD220" s="83" t="s">
        <v>95</v>
      </c>
      <c r="CE220" s="83">
        <v>1</v>
      </c>
      <c r="CG220" s="83" t="s">
        <v>95</v>
      </c>
      <c r="CH220" s="83">
        <v>1</v>
      </c>
      <c r="CJ220" s="83" t="s">
        <v>95</v>
      </c>
      <c r="CK220" s="83">
        <v>1</v>
      </c>
      <c r="CM220" s="83" t="s">
        <v>95</v>
      </c>
      <c r="CN220" s="83">
        <v>1</v>
      </c>
      <c r="CP220" s="83" t="s">
        <v>95</v>
      </c>
      <c r="CQ220" s="83">
        <v>1</v>
      </c>
      <c r="CS220" s="83" t="s">
        <v>95</v>
      </c>
      <c r="CT220" s="83">
        <v>1</v>
      </c>
      <c r="CV220" s="83" t="s">
        <v>95</v>
      </c>
      <c r="CW220" s="83">
        <v>1</v>
      </c>
    </row>
    <row r="222" spans="1:101" x14ac:dyDescent="0.2">
      <c r="A222" s="83" t="s">
        <v>98</v>
      </c>
      <c r="B222" s="83">
        <v>1</v>
      </c>
      <c r="D222" s="83" t="s">
        <v>98</v>
      </c>
      <c r="E222" s="83">
        <v>1</v>
      </c>
      <c r="G222" s="83" t="s">
        <v>98</v>
      </c>
      <c r="H222" s="83">
        <v>1</v>
      </c>
      <c r="J222" s="83" t="s">
        <v>98</v>
      </c>
      <c r="K222" s="83">
        <v>1</v>
      </c>
      <c r="M222" s="83" t="s">
        <v>98</v>
      </c>
      <c r="N222" s="83">
        <v>1</v>
      </c>
      <c r="P222" s="83" t="s">
        <v>98</v>
      </c>
      <c r="Q222" s="83">
        <v>1</v>
      </c>
      <c r="S222" s="83" t="s">
        <v>98</v>
      </c>
      <c r="T222" s="83">
        <v>1</v>
      </c>
      <c r="V222" s="83" t="s">
        <v>98</v>
      </c>
      <c r="W222" s="83">
        <v>1</v>
      </c>
      <c r="Y222" s="83" t="s">
        <v>98</v>
      </c>
      <c r="Z222" s="83">
        <v>1</v>
      </c>
      <c r="AB222" s="83" t="s">
        <v>98</v>
      </c>
      <c r="AC222" s="83">
        <v>1</v>
      </c>
      <c r="AE222" s="83" t="s">
        <v>98</v>
      </c>
      <c r="AF222" s="83">
        <v>1</v>
      </c>
      <c r="AH222" s="83" t="s">
        <v>98</v>
      </c>
      <c r="AI222" s="83">
        <v>1</v>
      </c>
      <c r="AK222" s="83" t="s">
        <v>98</v>
      </c>
      <c r="AL222" s="83">
        <v>1</v>
      </c>
      <c r="AN222" s="83" t="s">
        <v>98</v>
      </c>
      <c r="AO222" s="83">
        <v>1</v>
      </c>
      <c r="AQ222" s="83" t="s">
        <v>98</v>
      </c>
      <c r="AR222" s="83">
        <v>1</v>
      </c>
      <c r="AT222" s="83" t="s">
        <v>98</v>
      </c>
      <c r="AU222" s="83">
        <v>1</v>
      </c>
      <c r="AW222" s="83" t="s">
        <v>98</v>
      </c>
      <c r="AX222" s="83">
        <v>1</v>
      </c>
      <c r="AZ222" s="83" t="s">
        <v>98</v>
      </c>
      <c r="BA222" s="83">
        <v>1</v>
      </c>
      <c r="BC222" s="83" t="s">
        <v>98</v>
      </c>
      <c r="BD222" s="83">
        <v>1</v>
      </c>
      <c r="BF222" s="83" t="s">
        <v>98</v>
      </c>
      <c r="BG222" s="83">
        <v>1</v>
      </c>
      <c r="BI222" s="83" t="s">
        <v>98</v>
      </c>
      <c r="BJ222" s="83">
        <v>1</v>
      </c>
      <c r="BL222" s="83" t="s">
        <v>98</v>
      </c>
      <c r="BM222" s="83">
        <v>1</v>
      </c>
      <c r="BO222" s="83" t="s">
        <v>98</v>
      </c>
      <c r="BP222" s="83">
        <v>1</v>
      </c>
      <c r="BR222" s="83" t="s">
        <v>98</v>
      </c>
      <c r="BS222" s="83">
        <v>1</v>
      </c>
      <c r="BU222" s="83" t="s">
        <v>98</v>
      </c>
      <c r="BV222" s="83">
        <v>1</v>
      </c>
      <c r="BX222" s="83" t="s">
        <v>98</v>
      </c>
      <c r="BY222" s="83">
        <v>1</v>
      </c>
      <c r="CA222" s="83" t="s">
        <v>98</v>
      </c>
      <c r="CB222" s="83">
        <v>1</v>
      </c>
      <c r="CD222" s="83" t="s">
        <v>98</v>
      </c>
      <c r="CE222" s="83">
        <v>1</v>
      </c>
      <c r="CG222" s="83" t="s">
        <v>98</v>
      </c>
      <c r="CH222" s="83">
        <v>1</v>
      </c>
      <c r="CJ222" s="83" t="s">
        <v>98</v>
      </c>
      <c r="CK222" s="83">
        <v>1</v>
      </c>
      <c r="CM222" s="83" t="s">
        <v>98</v>
      </c>
      <c r="CN222" s="83">
        <v>1</v>
      </c>
      <c r="CP222" s="83" t="s">
        <v>98</v>
      </c>
      <c r="CQ222" s="83">
        <v>1</v>
      </c>
      <c r="CS222" s="83" t="s">
        <v>98</v>
      </c>
      <c r="CT222" s="83">
        <v>1</v>
      </c>
      <c r="CV222" s="83" t="s">
        <v>98</v>
      </c>
      <c r="CW222" s="83">
        <v>1</v>
      </c>
    </row>
    <row r="224" spans="1:101" x14ac:dyDescent="0.2">
      <c r="A224" s="83" t="s">
        <v>96</v>
      </c>
      <c r="B224" s="83">
        <v>1</v>
      </c>
      <c r="D224" s="83" t="s">
        <v>96</v>
      </c>
      <c r="E224" s="83">
        <v>1</v>
      </c>
      <c r="G224" s="83" t="s">
        <v>96</v>
      </c>
      <c r="H224" s="83">
        <v>1</v>
      </c>
      <c r="J224" s="83" t="s">
        <v>96</v>
      </c>
      <c r="K224" s="83">
        <v>1</v>
      </c>
      <c r="M224" s="83" t="s">
        <v>96</v>
      </c>
      <c r="N224" s="83">
        <v>1</v>
      </c>
      <c r="P224" s="83" t="s">
        <v>96</v>
      </c>
      <c r="Q224" s="83">
        <v>1</v>
      </c>
      <c r="S224" s="83" t="s">
        <v>96</v>
      </c>
      <c r="T224" s="83">
        <v>1</v>
      </c>
      <c r="V224" s="83" t="s">
        <v>96</v>
      </c>
      <c r="W224" s="83">
        <v>1</v>
      </c>
      <c r="Y224" s="83" t="s">
        <v>96</v>
      </c>
      <c r="Z224" s="83">
        <v>1</v>
      </c>
      <c r="AB224" s="83" t="s">
        <v>96</v>
      </c>
      <c r="AC224" s="83">
        <v>1</v>
      </c>
      <c r="AE224" s="83" t="s">
        <v>96</v>
      </c>
      <c r="AF224" s="83">
        <v>1</v>
      </c>
      <c r="AH224" s="83" t="s">
        <v>96</v>
      </c>
      <c r="AI224" s="83">
        <v>1</v>
      </c>
      <c r="AK224" s="83" t="s">
        <v>96</v>
      </c>
      <c r="AL224" s="83">
        <v>1</v>
      </c>
      <c r="AN224" s="83" t="s">
        <v>96</v>
      </c>
      <c r="AO224" s="83">
        <v>1</v>
      </c>
      <c r="AQ224" s="83" t="s">
        <v>96</v>
      </c>
      <c r="AR224" s="83">
        <v>1</v>
      </c>
      <c r="AT224" s="83" t="s">
        <v>96</v>
      </c>
      <c r="AU224" s="83">
        <v>1</v>
      </c>
      <c r="AW224" s="83" t="s">
        <v>96</v>
      </c>
      <c r="AX224" s="83">
        <v>1</v>
      </c>
      <c r="AZ224" s="83" t="s">
        <v>96</v>
      </c>
      <c r="BA224" s="83">
        <v>1</v>
      </c>
      <c r="BC224" s="83" t="s">
        <v>96</v>
      </c>
      <c r="BD224" s="83">
        <v>1</v>
      </c>
      <c r="BF224" s="83" t="s">
        <v>96</v>
      </c>
      <c r="BG224" s="83">
        <v>1</v>
      </c>
      <c r="BI224" s="83" t="s">
        <v>96</v>
      </c>
      <c r="BJ224" s="83">
        <v>1</v>
      </c>
      <c r="BL224" s="83" t="s">
        <v>96</v>
      </c>
      <c r="BM224" s="83">
        <v>1</v>
      </c>
      <c r="BO224" s="83" t="s">
        <v>96</v>
      </c>
      <c r="BP224" s="83">
        <v>1</v>
      </c>
      <c r="BR224" s="83" t="s">
        <v>96</v>
      </c>
      <c r="BS224" s="83">
        <v>1</v>
      </c>
      <c r="BU224" s="83" t="s">
        <v>96</v>
      </c>
      <c r="BV224" s="83">
        <v>1</v>
      </c>
      <c r="BX224" s="83" t="s">
        <v>96</v>
      </c>
      <c r="BY224" s="83">
        <v>1</v>
      </c>
      <c r="CA224" s="83" t="s">
        <v>96</v>
      </c>
      <c r="CB224" s="83">
        <v>1</v>
      </c>
      <c r="CD224" s="83" t="s">
        <v>96</v>
      </c>
      <c r="CE224" s="83">
        <v>1</v>
      </c>
      <c r="CG224" s="83" t="s">
        <v>96</v>
      </c>
      <c r="CH224" s="83">
        <v>1</v>
      </c>
      <c r="CJ224" s="83" t="s">
        <v>96</v>
      </c>
      <c r="CK224" s="83">
        <v>1</v>
      </c>
      <c r="CM224" s="83" t="s">
        <v>96</v>
      </c>
      <c r="CN224" s="83">
        <v>1</v>
      </c>
      <c r="CP224" s="83" t="s">
        <v>96</v>
      </c>
      <c r="CQ224" s="83">
        <v>1</v>
      </c>
      <c r="CS224" s="83" t="s">
        <v>96</v>
      </c>
      <c r="CT224" s="83">
        <v>1</v>
      </c>
      <c r="CV224" s="83" t="s">
        <v>96</v>
      </c>
      <c r="CW224" s="83">
        <v>1</v>
      </c>
    </row>
    <row r="226" spans="1:101" x14ac:dyDescent="0.2">
      <c r="A226" s="83" t="s">
        <v>97</v>
      </c>
      <c r="B226" s="83">
        <v>1</v>
      </c>
      <c r="D226" s="83" t="s">
        <v>97</v>
      </c>
      <c r="E226" s="83">
        <v>1</v>
      </c>
      <c r="G226" s="83" t="s">
        <v>97</v>
      </c>
      <c r="H226" s="83">
        <v>1</v>
      </c>
      <c r="J226" s="83" t="s">
        <v>97</v>
      </c>
      <c r="K226" s="83">
        <v>1</v>
      </c>
      <c r="M226" s="83" t="s">
        <v>97</v>
      </c>
      <c r="N226" s="83">
        <v>1</v>
      </c>
      <c r="P226" s="83" t="s">
        <v>97</v>
      </c>
      <c r="Q226" s="83">
        <v>1</v>
      </c>
      <c r="S226" s="83" t="s">
        <v>97</v>
      </c>
      <c r="T226" s="83">
        <v>1</v>
      </c>
      <c r="V226" s="83" t="s">
        <v>97</v>
      </c>
      <c r="W226" s="83">
        <v>1</v>
      </c>
      <c r="Y226" s="83" t="s">
        <v>97</v>
      </c>
      <c r="Z226" s="83">
        <v>1</v>
      </c>
      <c r="AB226" s="83" t="s">
        <v>97</v>
      </c>
      <c r="AC226" s="83">
        <v>1</v>
      </c>
      <c r="AE226" s="83" t="s">
        <v>97</v>
      </c>
      <c r="AF226" s="83">
        <v>1</v>
      </c>
      <c r="AH226" s="83" t="s">
        <v>97</v>
      </c>
      <c r="AI226" s="83">
        <v>1</v>
      </c>
      <c r="AK226" s="83" t="s">
        <v>97</v>
      </c>
      <c r="AL226" s="83">
        <v>1</v>
      </c>
      <c r="AN226" s="83" t="s">
        <v>97</v>
      </c>
      <c r="AO226" s="83">
        <v>1</v>
      </c>
      <c r="AQ226" s="83" t="s">
        <v>97</v>
      </c>
      <c r="AR226" s="83">
        <v>1</v>
      </c>
      <c r="AT226" s="83" t="s">
        <v>97</v>
      </c>
      <c r="AU226" s="83">
        <v>1</v>
      </c>
      <c r="AW226" s="83" t="s">
        <v>97</v>
      </c>
      <c r="AX226" s="83">
        <v>1</v>
      </c>
      <c r="AZ226" s="83" t="s">
        <v>97</v>
      </c>
      <c r="BA226" s="83">
        <v>1</v>
      </c>
      <c r="BC226" s="83" t="s">
        <v>97</v>
      </c>
      <c r="BD226" s="83">
        <v>1</v>
      </c>
      <c r="BF226" s="83" t="s">
        <v>97</v>
      </c>
      <c r="BG226" s="83">
        <v>1</v>
      </c>
      <c r="BI226" s="83" t="s">
        <v>97</v>
      </c>
      <c r="BJ226" s="83">
        <v>1</v>
      </c>
      <c r="BL226" s="83" t="s">
        <v>97</v>
      </c>
      <c r="BM226" s="83">
        <v>1</v>
      </c>
      <c r="BO226" s="83" t="s">
        <v>97</v>
      </c>
      <c r="BP226" s="83">
        <v>1</v>
      </c>
      <c r="BR226" s="83" t="s">
        <v>97</v>
      </c>
      <c r="BS226" s="83">
        <v>1</v>
      </c>
      <c r="BU226" s="83" t="s">
        <v>97</v>
      </c>
      <c r="BV226" s="83">
        <v>1</v>
      </c>
      <c r="BX226" s="83" t="s">
        <v>97</v>
      </c>
      <c r="BY226" s="83">
        <v>1</v>
      </c>
      <c r="CA226" s="83" t="s">
        <v>97</v>
      </c>
      <c r="CB226" s="83">
        <v>1</v>
      </c>
      <c r="CD226" s="83" t="s">
        <v>97</v>
      </c>
      <c r="CE226" s="83">
        <v>1</v>
      </c>
      <c r="CG226" s="83" t="s">
        <v>97</v>
      </c>
      <c r="CH226" s="83">
        <v>1</v>
      </c>
      <c r="CJ226" s="83" t="s">
        <v>97</v>
      </c>
      <c r="CK226" s="83">
        <v>1</v>
      </c>
      <c r="CM226" s="83" t="s">
        <v>97</v>
      </c>
      <c r="CN226" s="83">
        <v>1</v>
      </c>
      <c r="CP226" s="83" t="s">
        <v>97</v>
      </c>
      <c r="CQ226" s="83">
        <v>1</v>
      </c>
      <c r="CS226" s="83" t="s">
        <v>97</v>
      </c>
      <c r="CT226" s="83">
        <v>1</v>
      </c>
      <c r="CV226" s="83" t="s">
        <v>97</v>
      </c>
      <c r="CW226" s="83">
        <v>1</v>
      </c>
    </row>
    <row r="228" spans="1:101" x14ac:dyDescent="0.2">
      <c r="A228" s="83" t="s">
        <v>111</v>
      </c>
      <c r="B228" s="83">
        <v>1</v>
      </c>
      <c r="D228" s="83" t="s">
        <v>111</v>
      </c>
      <c r="E228" s="83">
        <v>1</v>
      </c>
      <c r="G228" s="83" t="s">
        <v>111</v>
      </c>
      <c r="H228" s="83">
        <v>1</v>
      </c>
      <c r="J228" s="83" t="s">
        <v>111</v>
      </c>
      <c r="K228" s="83">
        <v>1</v>
      </c>
      <c r="M228" s="83" t="s">
        <v>111</v>
      </c>
      <c r="N228" s="83">
        <v>1</v>
      </c>
      <c r="P228" s="83" t="s">
        <v>111</v>
      </c>
      <c r="Q228" s="83">
        <v>1</v>
      </c>
      <c r="S228" s="83" t="s">
        <v>111</v>
      </c>
      <c r="T228" s="83">
        <v>1</v>
      </c>
      <c r="V228" s="83" t="s">
        <v>111</v>
      </c>
      <c r="W228" s="83">
        <v>1</v>
      </c>
      <c r="Y228" s="83" t="s">
        <v>111</v>
      </c>
      <c r="Z228" s="83">
        <v>1</v>
      </c>
      <c r="AB228" s="83" t="s">
        <v>111</v>
      </c>
      <c r="AC228" s="83">
        <v>1</v>
      </c>
      <c r="AE228" s="83" t="s">
        <v>111</v>
      </c>
      <c r="AF228" s="83">
        <v>1</v>
      </c>
      <c r="AH228" s="83" t="s">
        <v>111</v>
      </c>
      <c r="AI228" s="83">
        <v>1</v>
      </c>
      <c r="AK228" s="83" t="s">
        <v>111</v>
      </c>
      <c r="AL228" s="83">
        <v>1</v>
      </c>
      <c r="AN228" s="83" t="s">
        <v>111</v>
      </c>
      <c r="AO228" s="83">
        <v>1</v>
      </c>
      <c r="AQ228" s="83" t="s">
        <v>111</v>
      </c>
      <c r="AR228" s="83">
        <v>1</v>
      </c>
      <c r="AT228" s="83" t="s">
        <v>111</v>
      </c>
      <c r="AU228" s="83">
        <v>1</v>
      </c>
      <c r="AW228" s="83" t="s">
        <v>111</v>
      </c>
      <c r="AX228" s="83">
        <v>1</v>
      </c>
      <c r="AZ228" s="83" t="s">
        <v>111</v>
      </c>
      <c r="BA228" s="83">
        <v>1</v>
      </c>
      <c r="BC228" s="83" t="s">
        <v>111</v>
      </c>
      <c r="BD228" s="83">
        <v>1</v>
      </c>
      <c r="BF228" s="83" t="s">
        <v>111</v>
      </c>
      <c r="BG228" s="83">
        <v>1</v>
      </c>
      <c r="BI228" s="83" t="s">
        <v>111</v>
      </c>
      <c r="BJ228" s="83">
        <v>1</v>
      </c>
      <c r="BL228" s="83" t="s">
        <v>111</v>
      </c>
      <c r="BM228" s="83">
        <v>1</v>
      </c>
      <c r="BO228" s="83" t="s">
        <v>111</v>
      </c>
      <c r="BP228" s="83">
        <v>1</v>
      </c>
      <c r="BR228" s="83" t="s">
        <v>111</v>
      </c>
      <c r="BS228" s="83">
        <v>1</v>
      </c>
      <c r="BU228" s="83" t="s">
        <v>111</v>
      </c>
      <c r="BV228" s="83">
        <v>1</v>
      </c>
      <c r="BX228" s="83" t="s">
        <v>111</v>
      </c>
      <c r="BY228" s="83">
        <v>1</v>
      </c>
      <c r="CA228" s="83" t="s">
        <v>111</v>
      </c>
      <c r="CB228" s="83">
        <v>1</v>
      </c>
      <c r="CD228" s="83" t="s">
        <v>111</v>
      </c>
      <c r="CE228" s="83">
        <v>1</v>
      </c>
      <c r="CG228" s="83" t="s">
        <v>111</v>
      </c>
      <c r="CH228" s="83">
        <v>1</v>
      </c>
      <c r="CJ228" s="83" t="s">
        <v>111</v>
      </c>
      <c r="CK228" s="83">
        <v>1</v>
      </c>
      <c r="CM228" s="83" t="s">
        <v>111</v>
      </c>
      <c r="CN228" s="83">
        <v>1</v>
      </c>
      <c r="CP228" s="83" t="s">
        <v>111</v>
      </c>
      <c r="CQ228" s="83">
        <v>1</v>
      </c>
      <c r="CS228" s="83" t="s">
        <v>111</v>
      </c>
      <c r="CT228" s="83">
        <v>1</v>
      </c>
      <c r="CV228" s="83" t="s">
        <v>111</v>
      </c>
      <c r="CW228" s="83">
        <v>1</v>
      </c>
    </row>
    <row r="230" spans="1:101" x14ac:dyDescent="0.2">
      <c r="A230" s="83" t="s">
        <v>112</v>
      </c>
      <c r="B230" s="83">
        <v>1</v>
      </c>
      <c r="D230" s="83" t="s">
        <v>112</v>
      </c>
      <c r="E230" s="83">
        <v>1</v>
      </c>
      <c r="G230" s="83" t="s">
        <v>112</v>
      </c>
      <c r="H230" s="83">
        <v>1</v>
      </c>
      <c r="J230" s="83" t="s">
        <v>112</v>
      </c>
      <c r="K230" s="83">
        <v>1</v>
      </c>
      <c r="M230" s="83" t="s">
        <v>112</v>
      </c>
      <c r="N230" s="83">
        <v>1</v>
      </c>
      <c r="P230" s="83" t="s">
        <v>112</v>
      </c>
      <c r="Q230" s="83">
        <v>1</v>
      </c>
      <c r="S230" s="83" t="s">
        <v>112</v>
      </c>
      <c r="T230" s="83">
        <v>1</v>
      </c>
      <c r="V230" s="83" t="s">
        <v>112</v>
      </c>
      <c r="W230" s="83">
        <v>1</v>
      </c>
      <c r="Y230" s="83" t="s">
        <v>112</v>
      </c>
      <c r="Z230" s="83">
        <v>1</v>
      </c>
      <c r="AB230" s="83" t="s">
        <v>112</v>
      </c>
      <c r="AC230" s="83">
        <v>1</v>
      </c>
      <c r="AE230" s="83" t="s">
        <v>112</v>
      </c>
      <c r="AF230" s="83">
        <v>1</v>
      </c>
      <c r="AH230" s="83" t="s">
        <v>112</v>
      </c>
      <c r="AI230" s="83">
        <v>1</v>
      </c>
      <c r="AK230" s="83" t="s">
        <v>112</v>
      </c>
      <c r="AL230" s="83">
        <v>1</v>
      </c>
      <c r="AN230" s="83" t="s">
        <v>112</v>
      </c>
      <c r="AO230" s="83">
        <v>1</v>
      </c>
      <c r="AQ230" s="83" t="s">
        <v>112</v>
      </c>
      <c r="AR230" s="83">
        <v>1</v>
      </c>
      <c r="AT230" s="83" t="s">
        <v>112</v>
      </c>
      <c r="AU230" s="83">
        <v>1</v>
      </c>
      <c r="AW230" s="83" t="s">
        <v>112</v>
      </c>
      <c r="AX230" s="83">
        <v>1</v>
      </c>
      <c r="AZ230" s="83" t="s">
        <v>112</v>
      </c>
      <c r="BA230" s="83">
        <v>1</v>
      </c>
      <c r="BC230" s="83" t="s">
        <v>112</v>
      </c>
      <c r="BD230" s="83">
        <v>1</v>
      </c>
      <c r="BF230" s="83" t="s">
        <v>112</v>
      </c>
      <c r="BG230" s="83">
        <v>1</v>
      </c>
      <c r="BI230" s="83" t="s">
        <v>112</v>
      </c>
      <c r="BJ230" s="83">
        <v>1</v>
      </c>
      <c r="BL230" s="83" t="s">
        <v>112</v>
      </c>
      <c r="BM230" s="83">
        <v>1</v>
      </c>
      <c r="BO230" s="83" t="s">
        <v>112</v>
      </c>
      <c r="BP230" s="83">
        <v>1</v>
      </c>
      <c r="BR230" s="83" t="s">
        <v>112</v>
      </c>
      <c r="BS230" s="83">
        <v>1</v>
      </c>
      <c r="BU230" s="83" t="s">
        <v>112</v>
      </c>
      <c r="BV230" s="83">
        <v>1</v>
      </c>
      <c r="BX230" s="83" t="s">
        <v>112</v>
      </c>
      <c r="BY230" s="83">
        <v>1</v>
      </c>
      <c r="CA230" s="83" t="s">
        <v>112</v>
      </c>
      <c r="CB230" s="83">
        <v>1</v>
      </c>
      <c r="CD230" s="83" t="s">
        <v>112</v>
      </c>
      <c r="CE230" s="83">
        <v>1</v>
      </c>
      <c r="CG230" s="83" t="s">
        <v>112</v>
      </c>
      <c r="CH230" s="83">
        <v>1</v>
      </c>
      <c r="CJ230" s="83" t="s">
        <v>112</v>
      </c>
      <c r="CK230" s="83">
        <v>1</v>
      </c>
      <c r="CM230" s="83" t="s">
        <v>112</v>
      </c>
      <c r="CN230" s="83">
        <v>1</v>
      </c>
      <c r="CP230" s="83" t="s">
        <v>112</v>
      </c>
      <c r="CQ230" s="83">
        <v>1</v>
      </c>
      <c r="CS230" s="83" t="s">
        <v>112</v>
      </c>
      <c r="CT230" s="83">
        <v>1</v>
      </c>
      <c r="CV230" s="83" t="s">
        <v>112</v>
      </c>
      <c r="CW230" s="83">
        <v>1</v>
      </c>
    </row>
    <row r="232" spans="1:101" x14ac:dyDescent="0.2">
      <c r="A232" s="83" t="s">
        <v>149</v>
      </c>
      <c r="B232" s="83">
        <v>1</v>
      </c>
      <c r="D232" s="83" t="s">
        <v>149</v>
      </c>
      <c r="E232" s="83">
        <v>1</v>
      </c>
      <c r="G232" s="83" t="s">
        <v>149</v>
      </c>
      <c r="H232" s="83">
        <v>1</v>
      </c>
      <c r="J232" s="83" t="s">
        <v>149</v>
      </c>
      <c r="K232" s="83">
        <v>1</v>
      </c>
      <c r="M232" s="83" t="s">
        <v>149</v>
      </c>
      <c r="N232" s="83">
        <v>1</v>
      </c>
      <c r="P232" s="83" t="s">
        <v>149</v>
      </c>
      <c r="Q232" s="83">
        <v>1</v>
      </c>
      <c r="S232" s="83" t="s">
        <v>149</v>
      </c>
      <c r="T232" s="83">
        <v>1</v>
      </c>
      <c r="V232" s="83" t="s">
        <v>149</v>
      </c>
      <c r="W232" s="83">
        <v>1</v>
      </c>
      <c r="Y232" s="83" t="s">
        <v>149</v>
      </c>
      <c r="Z232" s="83">
        <v>1</v>
      </c>
      <c r="AB232" s="83" t="s">
        <v>149</v>
      </c>
      <c r="AC232" s="83">
        <v>1</v>
      </c>
      <c r="AE232" s="83" t="s">
        <v>149</v>
      </c>
      <c r="AF232" s="83">
        <v>1</v>
      </c>
      <c r="AH232" s="83" t="s">
        <v>149</v>
      </c>
      <c r="AI232" s="83">
        <v>1</v>
      </c>
      <c r="AK232" s="83" t="s">
        <v>149</v>
      </c>
      <c r="AL232" s="83">
        <v>1</v>
      </c>
      <c r="AN232" s="83" t="s">
        <v>149</v>
      </c>
      <c r="AO232" s="83">
        <v>1</v>
      </c>
      <c r="AQ232" s="83" t="s">
        <v>149</v>
      </c>
      <c r="AR232" s="83">
        <v>1</v>
      </c>
      <c r="AT232" s="83" t="s">
        <v>149</v>
      </c>
      <c r="AU232" s="83">
        <v>1</v>
      </c>
      <c r="AW232" s="83" t="s">
        <v>149</v>
      </c>
      <c r="AX232" s="83">
        <v>1</v>
      </c>
      <c r="AZ232" s="83" t="s">
        <v>149</v>
      </c>
      <c r="BA232" s="83">
        <v>1</v>
      </c>
      <c r="BC232" s="83" t="s">
        <v>149</v>
      </c>
      <c r="BD232" s="83">
        <v>1</v>
      </c>
      <c r="BF232" s="83" t="s">
        <v>149</v>
      </c>
      <c r="BG232" s="83">
        <v>1</v>
      </c>
      <c r="BI232" s="83" t="s">
        <v>149</v>
      </c>
      <c r="BJ232" s="83">
        <v>1</v>
      </c>
      <c r="BL232" s="83" t="s">
        <v>149</v>
      </c>
      <c r="BM232" s="83">
        <v>1</v>
      </c>
      <c r="BO232" s="83" t="s">
        <v>149</v>
      </c>
      <c r="BP232" s="83">
        <v>1</v>
      </c>
      <c r="BR232" s="83" t="s">
        <v>149</v>
      </c>
      <c r="BS232" s="83">
        <v>1</v>
      </c>
      <c r="BU232" s="83" t="s">
        <v>149</v>
      </c>
      <c r="BV232" s="83">
        <v>1</v>
      </c>
      <c r="BX232" s="83" t="s">
        <v>149</v>
      </c>
      <c r="BY232" s="83">
        <v>1</v>
      </c>
      <c r="CA232" s="83" t="s">
        <v>149</v>
      </c>
      <c r="CB232" s="83">
        <v>1</v>
      </c>
      <c r="CD232" s="83" t="s">
        <v>149</v>
      </c>
      <c r="CE232" s="83">
        <v>1</v>
      </c>
      <c r="CG232" s="83" t="s">
        <v>149</v>
      </c>
      <c r="CH232" s="83">
        <v>1</v>
      </c>
      <c r="CJ232" s="83" t="s">
        <v>149</v>
      </c>
      <c r="CK232" s="83">
        <v>1</v>
      </c>
      <c r="CM232" s="83" t="s">
        <v>149</v>
      </c>
      <c r="CN232" s="83">
        <v>1</v>
      </c>
      <c r="CP232" s="83" t="s">
        <v>149</v>
      </c>
      <c r="CQ232" s="83">
        <v>1</v>
      </c>
      <c r="CS232" s="83" t="s">
        <v>149</v>
      </c>
      <c r="CT232" s="83">
        <v>1</v>
      </c>
      <c r="CV232" s="83" t="s">
        <v>149</v>
      </c>
      <c r="CW232" s="83">
        <v>1</v>
      </c>
    </row>
    <row r="234" spans="1:101" x14ac:dyDescent="0.2">
      <c r="A234" s="83" t="s">
        <v>150</v>
      </c>
      <c r="B234" s="83">
        <v>1</v>
      </c>
      <c r="D234" s="83" t="s">
        <v>150</v>
      </c>
      <c r="E234" s="83">
        <v>1</v>
      </c>
      <c r="G234" s="83" t="s">
        <v>150</v>
      </c>
      <c r="H234" s="83">
        <v>1</v>
      </c>
      <c r="J234" s="83" t="s">
        <v>150</v>
      </c>
      <c r="K234" s="83">
        <v>1</v>
      </c>
      <c r="M234" s="83" t="s">
        <v>150</v>
      </c>
      <c r="N234" s="83">
        <v>1</v>
      </c>
      <c r="P234" s="83" t="s">
        <v>150</v>
      </c>
      <c r="Q234" s="83">
        <v>1</v>
      </c>
      <c r="S234" s="83" t="s">
        <v>150</v>
      </c>
      <c r="T234" s="83">
        <v>1</v>
      </c>
      <c r="V234" s="83" t="s">
        <v>150</v>
      </c>
      <c r="W234" s="83">
        <v>1</v>
      </c>
      <c r="Y234" s="83" t="s">
        <v>150</v>
      </c>
      <c r="Z234" s="83">
        <v>1</v>
      </c>
      <c r="AB234" s="83" t="s">
        <v>150</v>
      </c>
      <c r="AC234" s="83">
        <v>1</v>
      </c>
      <c r="AE234" s="83" t="s">
        <v>150</v>
      </c>
      <c r="AF234" s="83">
        <v>1</v>
      </c>
      <c r="AH234" s="83" t="s">
        <v>150</v>
      </c>
      <c r="AI234" s="83">
        <v>1</v>
      </c>
      <c r="AK234" s="83" t="s">
        <v>150</v>
      </c>
      <c r="AL234" s="83">
        <v>1</v>
      </c>
      <c r="AN234" s="83" t="s">
        <v>150</v>
      </c>
      <c r="AO234" s="83">
        <v>1</v>
      </c>
      <c r="AQ234" s="83" t="s">
        <v>150</v>
      </c>
      <c r="AR234" s="83">
        <v>1</v>
      </c>
      <c r="AT234" s="83" t="s">
        <v>150</v>
      </c>
      <c r="AU234" s="83">
        <v>1</v>
      </c>
      <c r="AW234" s="83" t="s">
        <v>150</v>
      </c>
      <c r="AX234" s="83">
        <v>1</v>
      </c>
      <c r="AZ234" s="83" t="s">
        <v>150</v>
      </c>
      <c r="BA234" s="83">
        <v>1</v>
      </c>
      <c r="BC234" s="83" t="s">
        <v>150</v>
      </c>
      <c r="BD234" s="83">
        <v>1</v>
      </c>
      <c r="BF234" s="83" t="s">
        <v>150</v>
      </c>
      <c r="BG234" s="83">
        <v>1</v>
      </c>
      <c r="BI234" s="83" t="s">
        <v>150</v>
      </c>
      <c r="BJ234" s="83">
        <v>1</v>
      </c>
      <c r="BL234" s="83" t="s">
        <v>150</v>
      </c>
      <c r="BM234" s="83">
        <v>1</v>
      </c>
      <c r="BO234" s="83" t="s">
        <v>150</v>
      </c>
      <c r="BP234" s="83">
        <v>1</v>
      </c>
      <c r="BR234" s="83" t="s">
        <v>150</v>
      </c>
      <c r="BS234" s="83">
        <v>1</v>
      </c>
      <c r="BU234" s="83" t="s">
        <v>150</v>
      </c>
      <c r="BV234" s="83">
        <v>1</v>
      </c>
      <c r="BX234" s="83" t="s">
        <v>150</v>
      </c>
      <c r="BY234" s="83">
        <v>1</v>
      </c>
      <c r="CA234" s="83" t="s">
        <v>150</v>
      </c>
      <c r="CB234" s="83">
        <v>1</v>
      </c>
      <c r="CD234" s="83" t="s">
        <v>150</v>
      </c>
      <c r="CE234" s="83">
        <v>1</v>
      </c>
      <c r="CG234" s="83" t="s">
        <v>150</v>
      </c>
      <c r="CH234" s="83">
        <v>1</v>
      </c>
      <c r="CJ234" s="83" t="s">
        <v>150</v>
      </c>
      <c r="CK234" s="83">
        <v>1</v>
      </c>
      <c r="CM234" s="83" t="s">
        <v>150</v>
      </c>
      <c r="CN234" s="83">
        <v>1</v>
      </c>
      <c r="CP234" s="83" t="s">
        <v>150</v>
      </c>
      <c r="CQ234" s="83">
        <v>1</v>
      </c>
      <c r="CS234" s="83" t="s">
        <v>150</v>
      </c>
      <c r="CT234" s="83">
        <v>1</v>
      </c>
      <c r="CV234" s="83" t="s">
        <v>150</v>
      </c>
      <c r="CW234" s="83">
        <v>1</v>
      </c>
    </row>
    <row r="236" spans="1:101" x14ac:dyDescent="0.2">
      <c r="A236" s="83" t="s">
        <v>134</v>
      </c>
      <c r="B236" s="83">
        <v>1</v>
      </c>
      <c r="D236" s="83" t="s">
        <v>134</v>
      </c>
      <c r="E236" s="83">
        <v>1</v>
      </c>
      <c r="G236" s="83" t="s">
        <v>134</v>
      </c>
      <c r="H236" s="83">
        <v>1</v>
      </c>
      <c r="J236" s="83" t="s">
        <v>134</v>
      </c>
      <c r="K236" s="83">
        <v>1</v>
      </c>
      <c r="M236" s="83" t="s">
        <v>134</v>
      </c>
      <c r="N236" s="83">
        <v>1</v>
      </c>
      <c r="P236" s="83" t="s">
        <v>134</v>
      </c>
      <c r="Q236" s="83">
        <v>1</v>
      </c>
      <c r="S236" s="83" t="s">
        <v>134</v>
      </c>
      <c r="T236" s="83">
        <v>1</v>
      </c>
      <c r="V236" s="83" t="s">
        <v>134</v>
      </c>
      <c r="W236" s="83">
        <v>1</v>
      </c>
      <c r="Y236" s="83" t="s">
        <v>134</v>
      </c>
      <c r="Z236" s="83">
        <v>1</v>
      </c>
      <c r="AB236" s="83" t="s">
        <v>134</v>
      </c>
      <c r="AC236" s="83">
        <v>1</v>
      </c>
      <c r="AE236" s="83" t="s">
        <v>134</v>
      </c>
      <c r="AF236" s="83">
        <v>1</v>
      </c>
      <c r="AH236" s="83" t="s">
        <v>134</v>
      </c>
      <c r="AI236" s="83">
        <v>1</v>
      </c>
      <c r="AK236" s="83" t="s">
        <v>134</v>
      </c>
      <c r="AL236" s="83">
        <v>1</v>
      </c>
      <c r="AN236" s="83" t="s">
        <v>134</v>
      </c>
      <c r="AO236" s="83">
        <v>1</v>
      </c>
      <c r="AQ236" s="83" t="s">
        <v>134</v>
      </c>
      <c r="AR236" s="83">
        <v>1</v>
      </c>
      <c r="AT236" s="83" t="s">
        <v>134</v>
      </c>
      <c r="AU236" s="83">
        <v>1</v>
      </c>
      <c r="AW236" s="83" t="s">
        <v>134</v>
      </c>
      <c r="AX236" s="83">
        <v>1</v>
      </c>
      <c r="AZ236" s="83" t="s">
        <v>134</v>
      </c>
      <c r="BA236" s="83">
        <v>1</v>
      </c>
      <c r="BC236" s="83" t="s">
        <v>134</v>
      </c>
      <c r="BD236" s="83">
        <v>1</v>
      </c>
      <c r="BF236" s="83" t="s">
        <v>134</v>
      </c>
      <c r="BG236" s="83">
        <v>1</v>
      </c>
      <c r="BI236" s="83" t="s">
        <v>134</v>
      </c>
      <c r="BJ236" s="83">
        <v>1</v>
      </c>
      <c r="BL236" s="83" t="s">
        <v>134</v>
      </c>
      <c r="BM236" s="83">
        <v>1</v>
      </c>
      <c r="BO236" s="83" t="s">
        <v>134</v>
      </c>
      <c r="BP236" s="83">
        <v>1</v>
      </c>
      <c r="BR236" s="83" t="s">
        <v>134</v>
      </c>
      <c r="BS236" s="83">
        <v>1</v>
      </c>
      <c r="BU236" s="83" t="s">
        <v>134</v>
      </c>
      <c r="BV236" s="83">
        <v>1</v>
      </c>
      <c r="BX236" s="83" t="s">
        <v>134</v>
      </c>
      <c r="BY236" s="83">
        <v>1</v>
      </c>
      <c r="CA236" s="83" t="s">
        <v>134</v>
      </c>
      <c r="CB236" s="83">
        <v>1</v>
      </c>
      <c r="CD236" s="83" t="s">
        <v>134</v>
      </c>
      <c r="CE236" s="83">
        <v>1</v>
      </c>
      <c r="CG236" s="83" t="s">
        <v>134</v>
      </c>
      <c r="CH236" s="83">
        <v>1</v>
      </c>
      <c r="CJ236" s="83" t="s">
        <v>134</v>
      </c>
      <c r="CK236" s="83">
        <v>1</v>
      </c>
      <c r="CM236" s="83" t="s">
        <v>134</v>
      </c>
      <c r="CN236" s="83">
        <v>1</v>
      </c>
      <c r="CP236" s="83" t="s">
        <v>134</v>
      </c>
      <c r="CQ236" s="83">
        <v>1</v>
      </c>
      <c r="CS236" s="83" t="s">
        <v>134</v>
      </c>
      <c r="CT236" s="83">
        <v>1</v>
      </c>
      <c r="CV236" s="83" t="s">
        <v>134</v>
      </c>
      <c r="CW236" s="83">
        <v>1</v>
      </c>
    </row>
    <row r="238" spans="1:101" x14ac:dyDescent="0.2">
      <c r="A238" s="83" t="s">
        <v>133</v>
      </c>
      <c r="B238" s="83">
        <v>1</v>
      </c>
      <c r="D238" s="83" t="s">
        <v>133</v>
      </c>
      <c r="E238" s="83">
        <v>1</v>
      </c>
      <c r="G238" s="83" t="s">
        <v>133</v>
      </c>
      <c r="H238" s="83">
        <v>1</v>
      </c>
      <c r="J238" s="83" t="s">
        <v>133</v>
      </c>
      <c r="K238" s="83">
        <v>1</v>
      </c>
      <c r="M238" s="83" t="s">
        <v>133</v>
      </c>
      <c r="N238" s="83">
        <v>1</v>
      </c>
      <c r="P238" s="83" t="s">
        <v>133</v>
      </c>
      <c r="Q238" s="83">
        <v>1</v>
      </c>
      <c r="S238" s="83" t="s">
        <v>133</v>
      </c>
      <c r="T238" s="83">
        <v>1</v>
      </c>
      <c r="V238" s="83" t="s">
        <v>133</v>
      </c>
      <c r="W238" s="83">
        <v>1</v>
      </c>
      <c r="Y238" s="83" t="s">
        <v>133</v>
      </c>
      <c r="Z238" s="83">
        <v>1</v>
      </c>
      <c r="AB238" s="83" t="s">
        <v>133</v>
      </c>
      <c r="AC238" s="83">
        <v>1</v>
      </c>
      <c r="AE238" s="83" t="s">
        <v>133</v>
      </c>
      <c r="AF238" s="83">
        <v>1</v>
      </c>
      <c r="AH238" s="83" t="s">
        <v>133</v>
      </c>
      <c r="AI238" s="83">
        <v>1</v>
      </c>
      <c r="AK238" s="83" t="s">
        <v>133</v>
      </c>
      <c r="AL238" s="83">
        <v>1</v>
      </c>
      <c r="AN238" s="83" t="s">
        <v>133</v>
      </c>
      <c r="AO238" s="83">
        <v>1</v>
      </c>
      <c r="AQ238" s="83" t="s">
        <v>133</v>
      </c>
      <c r="AR238" s="83">
        <v>1</v>
      </c>
      <c r="AT238" s="83" t="s">
        <v>133</v>
      </c>
      <c r="AU238" s="83">
        <v>1</v>
      </c>
      <c r="AW238" s="83" t="s">
        <v>133</v>
      </c>
      <c r="AX238" s="83">
        <v>1</v>
      </c>
      <c r="AZ238" s="83" t="s">
        <v>133</v>
      </c>
      <c r="BA238" s="83">
        <v>1</v>
      </c>
      <c r="BC238" s="83" t="s">
        <v>133</v>
      </c>
      <c r="BD238" s="83">
        <v>1</v>
      </c>
      <c r="BF238" s="83" t="s">
        <v>133</v>
      </c>
      <c r="BG238" s="83">
        <v>1</v>
      </c>
      <c r="BI238" s="83" t="s">
        <v>133</v>
      </c>
      <c r="BJ238" s="83">
        <v>1</v>
      </c>
      <c r="BL238" s="83" t="s">
        <v>133</v>
      </c>
      <c r="BM238" s="83">
        <v>1</v>
      </c>
      <c r="BO238" s="83" t="s">
        <v>133</v>
      </c>
      <c r="BP238" s="83">
        <v>1</v>
      </c>
      <c r="BR238" s="83" t="s">
        <v>133</v>
      </c>
      <c r="BS238" s="83">
        <v>1</v>
      </c>
      <c r="BU238" s="83" t="s">
        <v>133</v>
      </c>
      <c r="BV238" s="83">
        <v>1</v>
      </c>
      <c r="BX238" s="83" t="s">
        <v>133</v>
      </c>
      <c r="BY238" s="83">
        <v>1</v>
      </c>
      <c r="CA238" s="83" t="s">
        <v>133</v>
      </c>
      <c r="CB238" s="83">
        <v>1</v>
      </c>
      <c r="CD238" s="83" t="s">
        <v>133</v>
      </c>
      <c r="CE238" s="83">
        <v>1</v>
      </c>
      <c r="CG238" s="83" t="s">
        <v>133</v>
      </c>
      <c r="CH238" s="83">
        <v>1</v>
      </c>
      <c r="CJ238" s="83" t="s">
        <v>133</v>
      </c>
      <c r="CK238" s="83">
        <v>1</v>
      </c>
      <c r="CM238" s="83" t="s">
        <v>133</v>
      </c>
      <c r="CN238" s="83">
        <v>1</v>
      </c>
      <c r="CP238" s="83" t="s">
        <v>133</v>
      </c>
      <c r="CQ238" s="83">
        <v>1</v>
      </c>
      <c r="CS238" s="83" t="s">
        <v>133</v>
      </c>
      <c r="CT238" s="83">
        <v>1</v>
      </c>
      <c r="CV238" s="83" t="s">
        <v>133</v>
      </c>
      <c r="CW238" s="83">
        <v>1</v>
      </c>
    </row>
    <row r="240" spans="1:101" x14ac:dyDescent="0.2">
      <c r="A240" s="83" t="s">
        <v>135</v>
      </c>
      <c r="B240" s="83">
        <v>1</v>
      </c>
      <c r="D240" s="83" t="s">
        <v>135</v>
      </c>
      <c r="E240" s="83">
        <v>1</v>
      </c>
      <c r="G240" s="83" t="s">
        <v>135</v>
      </c>
      <c r="H240" s="83">
        <v>1</v>
      </c>
      <c r="J240" s="83" t="s">
        <v>135</v>
      </c>
      <c r="K240" s="83">
        <v>1</v>
      </c>
      <c r="M240" s="83" t="s">
        <v>135</v>
      </c>
      <c r="N240" s="83">
        <v>1</v>
      </c>
      <c r="P240" s="83" t="s">
        <v>135</v>
      </c>
      <c r="Q240" s="83">
        <v>1</v>
      </c>
      <c r="S240" s="83" t="s">
        <v>135</v>
      </c>
      <c r="T240" s="83">
        <v>1</v>
      </c>
      <c r="V240" s="83" t="s">
        <v>135</v>
      </c>
      <c r="W240" s="83">
        <v>1</v>
      </c>
      <c r="Y240" s="83" t="s">
        <v>135</v>
      </c>
      <c r="Z240" s="83">
        <v>1</v>
      </c>
      <c r="AB240" s="83" t="s">
        <v>135</v>
      </c>
      <c r="AC240" s="83">
        <v>1</v>
      </c>
      <c r="AE240" s="83" t="s">
        <v>135</v>
      </c>
      <c r="AF240" s="83">
        <v>1</v>
      </c>
      <c r="AH240" s="83" t="s">
        <v>135</v>
      </c>
      <c r="AI240" s="83">
        <v>1</v>
      </c>
      <c r="AK240" s="83" t="s">
        <v>135</v>
      </c>
      <c r="AL240" s="83">
        <v>1</v>
      </c>
      <c r="AN240" s="83" t="s">
        <v>135</v>
      </c>
      <c r="AO240" s="83">
        <v>1</v>
      </c>
      <c r="AQ240" s="83" t="s">
        <v>135</v>
      </c>
      <c r="AR240" s="83">
        <v>1</v>
      </c>
      <c r="AT240" s="83" t="s">
        <v>135</v>
      </c>
      <c r="AU240" s="83">
        <v>1</v>
      </c>
      <c r="AW240" s="83" t="s">
        <v>135</v>
      </c>
      <c r="AX240" s="83">
        <v>1</v>
      </c>
      <c r="AZ240" s="83" t="s">
        <v>135</v>
      </c>
      <c r="BA240" s="83">
        <v>1</v>
      </c>
      <c r="BC240" s="83" t="s">
        <v>135</v>
      </c>
      <c r="BD240" s="83">
        <v>1</v>
      </c>
      <c r="BF240" s="83" t="s">
        <v>135</v>
      </c>
      <c r="BG240" s="83">
        <v>1</v>
      </c>
      <c r="BI240" s="83" t="s">
        <v>135</v>
      </c>
      <c r="BJ240" s="83">
        <v>1</v>
      </c>
      <c r="BL240" s="83" t="s">
        <v>135</v>
      </c>
      <c r="BM240" s="83">
        <v>1</v>
      </c>
      <c r="BO240" s="83" t="s">
        <v>135</v>
      </c>
      <c r="BP240" s="83">
        <v>1</v>
      </c>
      <c r="BR240" s="83" t="s">
        <v>135</v>
      </c>
      <c r="BS240" s="83">
        <v>1</v>
      </c>
      <c r="BU240" s="83" t="s">
        <v>135</v>
      </c>
      <c r="BV240" s="83">
        <v>1</v>
      </c>
      <c r="BX240" s="83" t="s">
        <v>135</v>
      </c>
      <c r="BY240" s="83">
        <v>1</v>
      </c>
      <c r="CA240" s="83" t="s">
        <v>135</v>
      </c>
      <c r="CB240" s="83">
        <v>1</v>
      </c>
      <c r="CD240" s="83" t="s">
        <v>135</v>
      </c>
      <c r="CE240" s="83">
        <v>1</v>
      </c>
      <c r="CG240" s="83" t="s">
        <v>135</v>
      </c>
      <c r="CH240" s="83">
        <v>1</v>
      </c>
      <c r="CJ240" s="83" t="s">
        <v>135</v>
      </c>
      <c r="CK240" s="83">
        <v>1</v>
      </c>
      <c r="CM240" s="83" t="s">
        <v>135</v>
      </c>
      <c r="CN240" s="83">
        <v>1</v>
      </c>
      <c r="CP240" s="83" t="s">
        <v>135</v>
      </c>
      <c r="CQ240" s="83">
        <v>1</v>
      </c>
      <c r="CS240" s="83" t="s">
        <v>135</v>
      </c>
      <c r="CT240" s="83">
        <v>1</v>
      </c>
      <c r="CV240" s="83" t="s">
        <v>135</v>
      </c>
      <c r="CW240" s="83">
        <v>1</v>
      </c>
    </row>
    <row r="242" spans="1:101" x14ac:dyDescent="0.2">
      <c r="A242" s="83" t="s">
        <v>136</v>
      </c>
      <c r="B242" s="83">
        <v>1</v>
      </c>
      <c r="D242" s="83" t="s">
        <v>136</v>
      </c>
      <c r="E242" s="83">
        <v>1</v>
      </c>
      <c r="G242" s="83" t="s">
        <v>136</v>
      </c>
      <c r="H242" s="83">
        <v>1</v>
      </c>
      <c r="J242" s="83" t="s">
        <v>136</v>
      </c>
      <c r="K242" s="83">
        <v>1</v>
      </c>
      <c r="M242" s="83" t="s">
        <v>136</v>
      </c>
      <c r="N242" s="83">
        <v>1</v>
      </c>
      <c r="P242" s="83" t="s">
        <v>136</v>
      </c>
      <c r="Q242" s="83">
        <v>1</v>
      </c>
      <c r="S242" s="83" t="s">
        <v>136</v>
      </c>
      <c r="T242" s="83">
        <v>1</v>
      </c>
      <c r="V242" s="83" t="s">
        <v>136</v>
      </c>
      <c r="W242" s="83">
        <v>1</v>
      </c>
      <c r="Y242" s="83" t="s">
        <v>136</v>
      </c>
      <c r="Z242" s="83">
        <v>1</v>
      </c>
      <c r="AB242" s="83" t="s">
        <v>136</v>
      </c>
      <c r="AC242" s="83">
        <v>1</v>
      </c>
      <c r="AE242" s="83" t="s">
        <v>136</v>
      </c>
      <c r="AF242" s="83">
        <v>1</v>
      </c>
      <c r="AH242" s="83" t="s">
        <v>136</v>
      </c>
      <c r="AI242" s="83">
        <v>1</v>
      </c>
      <c r="AK242" s="83" t="s">
        <v>136</v>
      </c>
      <c r="AL242" s="83">
        <v>1</v>
      </c>
      <c r="AN242" s="83" t="s">
        <v>136</v>
      </c>
      <c r="AO242" s="83">
        <v>1</v>
      </c>
      <c r="AQ242" s="83" t="s">
        <v>136</v>
      </c>
      <c r="AR242" s="83">
        <v>1</v>
      </c>
      <c r="AT242" s="83" t="s">
        <v>136</v>
      </c>
      <c r="AU242" s="83">
        <v>1</v>
      </c>
      <c r="AW242" s="83" t="s">
        <v>136</v>
      </c>
      <c r="AX242" s="83">
        <v>1</v>
      </c>
      <c r="AZ242" s="83" t="s">
        <v>136</v>
      </c>
      <c r="BA242" s="83">
        <v>1</v>
      </c>
      <c r="BC242" s="83" t="s">
        <v>136</v>
      </c>
      <c r="BD242" s="83">
        <v>1</v>
      </c>
      <c r="BF242" s="83" t="s">
        <v>136</v>
      </c>
      <c r="BG242" s="83">
        <v>1</v>
      </c>
      <c r="BI242" s="83" t="s">
        <v>136</v>
      </c>
      <c r="BJ242" s="83">
        <v>1</v>
      </c>
      <c r="BL242" s="83" t="s">
        <v>136</v>
      </c>
      <c r="BM242" s="83">
        <v>1</v>
      </c>
      <c r="BO242" s="83" t="s">
        <v>136</v>
      </c>
      <c r="BP242" s="83">
        <v>1</v>
      </c>
      <c r="BR242" s="83" t="s">
        <v>136</v>
      </c>
      <c r="BS242" s="83">
        <v>1</v>
      </c>
      <c r="BU242" s="83" t="s">
        <v>136</v>
      </c>
      <c r="BV242" s="83">
        <v>1</v>
      </c>
      <c r="BX242" s="83" t="s">
        <v>136</v>
      </c>
      <c r="BY242" s="83">
        <v>1</v>
      </c>
      <c r="CA242" s="83" t="s">
        <v>136</v>
      </c>
      <c r="CB242" s="83">
        <v>1</v>
      </c>
      <c r="CD242" s="83" t="s">
        <v>136</v>
      </c>
      <c r="CE242" s="83">
        <v>1</v>
      </c>
      <c r="CG242" s="83" t="s">
        <v>136</v>
      </c>
      <c r="CH242" s="83">
        <v>1</v>
      </c>
      <c r="CJ242" s="83" t="s">
        <v>136</v>
      </c>
      <c r="CK242" s="83">
        <v>1</v>
      </c>
      <c r="CM242" s="83" t="s">
        <v>136</v>
      </c>
      <c r="CN242" s="83">
        <v>1</v>
      </c>
      <c r="CP242" s="83" t="s">
        <v>136</v>
      </c>
      <c r="CQ242" s="83">
        <v>1</v>
      </c>
      <c r="CS242" s="83" t="s">
        <v>136</v>
      </c>
      <c r="CT242" s="83">
        <v>1</v>
      </c>
      <c r="CV242" s="83" t="s">
        <v>136</v>
      </c>
      <c r="CW242" s="83">
        <v>1</v>
      </c>
    </row>
    <row r="244" spans="1:101" x14ac:dyDescent="0.2">
      <c r="A244" s="83" t="s">
        <v>137</v>
      </c>
      <c r="B244" s="83">
        <v>1</v>
      </c>
      <c r="D244" s="83" t="s">
        <v>137</v>
      </c>
      <c r="E244" s="83">
        <v>1</v>
      </c>
      <c r="G244" s="83" t="s">
        <v>137</v>
      </c>
      <c r="H244" s="83">
        <v>1</v>
      </c>
      <c r="J244" s="83" t="s">
        <v>137</v>
      </c>
      <c r="K244" s="83">
        <v>1</v>
      </c>
      <c r="M244" s="83" t="s">
        <v>137</v>
      </c>
      <c r="N244" s="83">
        <v>1</v>
      </c>
      <c r="P244" s="83" t="s">
        <v>137</v>
      </c>
      <c r="Q244" s="83">
        <v>1</v>
      </c>
      <c r="S244" s="83" t="s">
        <v>137</v>
      </c>
      <c r="T244" s="83">
        <v>1</v>
      </c>
      <c r="V244" s="83" t="s">
        <v>137</v>
      </c>
      <c r="W244" s="83">
        <v>1</v>
      </c>
      <c r="Y244" s="83" t="s">
        <v>137</v>
      </c>
      <c r="Z244" s="83">
        <v>1</v>
      </c>
      <c r="AB244" s="83" t="s">
        <v>137</v>
      </c>
      <c r="AC244" s="83">
        <v>1</v>
      </c>
      <c r="AE244" s="83" t="s">
        <v>137</v>
      </c>
      <c r="AF244" s="83">
        <v>1</v>
      </c>
      <c r="AH244" s="83" t="s">
        <v>137</v>
      </c>
      <c r="AI244" s="83">
        <v>1</v>
      </c>
      <c r="AK244" s="83" t="s">
        <v>137</v>
      </c>
      <c r="AL244" s="83">
        <v>1</v>
      </c>
      <c r="AN244" s="83" t="s">
        <v>137</v>
      </c>
      <c r="AO244" s="83">
        <v>1</v>
      </c>
      <c r="AQ244" s="83" t="s">
        <v>137</v>
      </c>
      <c r="AR244" s="83">
        <v>1</v>
      </c>
      <c r="AT244" s="83" t="s">
        <v>137</v>
      </c>
      <c r="AU244" s="83">
        <v>1</v>
      </c>
      <c r="AW244" s="83" t="s">
        <v>137</v>
      </c>
      <c r="AX244" s="83">
        <v>1</v>
      </c>
      <c r="AZ244" s="83" t="s">
        <v>137</v>
      </c>
      <c r="BA244" s="83">
        <v>1</v>
      </c>
      <c r="BC244" s="83" t="s">
        <v>137</v>
      </c>
      <c r="BD244" s="83">
        <v>1</v>
      </c>
      <c r="BF244" s="83" t="s">
        <v>137</v>
      </c>
      <c r="BG244" s="83">
        <v>1</v>
      </c>
      <c r="BI244" s="83" t="s">
        <v>137</v>
      </c>
      <c r="BJ244" s="83">
        <v>1</v>
      </c>
      <c r="BL244" s="83" t="s">
        <v>137</v>
      </c>
      <c r="BM244" s="83">
        <v>1</v>
      </c>
      <c r="BO244" s="83" t="s">
        <v>137</v>
      </c>
      <c r="BP244" s="83">
        <v>1</v>
      </c>
      <c r="BR244" s="83" t="s">
        <v>137</v>
      </c>
      <c r="BS244" s="83">
        <v>1</v>
      </c>
      <c r="BU244" s="83" t="s">
        <v>137</v>
      </c>
      <c r="BV244" s="83">
        <v>1</v>
      </c>
      <c r="BX244" s="83" t="s">
        <v>137</v>
      </c>
      <c r="BY244" s="83">
        <v>1</v>
      </c>
      <c r="CA244" s="83" t="s">
        <v>137</v>
      </c>
      <c r="CB244" s="83">
        <v>1</v>
      </c>
      <c r="CD244" s="83" t="s">
        <v>137</v>
      </c>
      <c r="CE244" s="83">
        <v>1</v>
      </c>
      <c r="CG244" s="83" t="s">
        <v>137</v>
      </c>
      <c r="CH244" s="83">
        <v>1</v>
      </c>
      <c r="CJ244" s="83" t="s">
        <v>137</v>
      </c>
      <c r="CK244" s="83">
        <v>1</v>
      </c>
      <c r="CM244" s="83" t="s">
        <v>137</v>
      </c>
      <c r="CN244" s="83">
        <v>1</v>
      </c>
      <c r="CP244" s="83" t="s">
        <v>137</v>
      </c>
      <c r="CQ244" s="83">
        <v>1</v>
      </c>
      <c r="CS244" s="83" t="s">
        <v>137</v>
      </c>
      <c r="CT244" s="83">
        <v>1</v>
      </c>
      <c r="CV244" s="83" t="s">
        <v>137</v>
      </c>
      <c r="CW244" s="83">
        <v>1</v>
      </c>
    </row>
    <row r="246" spans="1:101" x14ac:dyDescent="0.2">
      <c r="A246" s="83" t="s">
        <v>138</v>
      </c>
      <c r="B246" s="83">
        <v>1</v>
      </c>
      <c r="D246" s="83" t="s">
        <v>138</v>
      </c>
      <c r="E246" s="83">
        <v>1</v>
      </c>
      <c r="G246" s="83" t="s">
        <v>138</v>
      </c>
      <c r="H246" s="83">
        <v>1</v>
      </c>
      <c r="J246" s="83" t="s">
        <v>138</v>
      </c>
      <c r="K246" s="83">
        <v>1</v>
      </c>
      <c r="M246" s="83" t="s">
        <v>138</v>
      </c>
      <c r="N246" s="83">
        <v>1</v>
      </c>
      <c r="P246" s="83" t="s">
        <v>138</v>
      </c>
      <c r="Q246" s="83">
        <v>1</v>
      </c>
      <c r="S246" s="83" t="s">
        <v>138</v>
      </c>
      <c r="T246" s="83">
        <v>1</v>
      </c>
      <c r="V246" s="83" t="s">
        <v>138</v>
      </c>
      <c r="W246" s="83">
        <v>1</v>
      </c>
      <c r="Y246" s="83" t="s">
        <v>138</v>
      </c>
      <c r="Z246" s="83">
        <v>1</v>
      </c>
      <c r="AB246" s="83" t="s">
        <v>138</v>
      </c>
      <c r="AC246" s="83">
        <v>1</v>
      </c>
      <c r="AE246" s="83" t="s">
        <v>138</v>
      </c>
      <c r="AF246" s="83">
        <v>1</v>
      </c>
      <c r="AH246" s="83" t="s">
        <v>138</v>
      </c>
      <c r="AI246" s="83">
        <v>1</v>
      </c>
      <c r="AK246" s="83" t="s">
        <v>138</v>
      </c>
      <c r="AL246" s="83">
        <v>1</v>
      </c>
      <c r="AN246" s="83" t="s">
        <v>138</v>
      </c>
      <c r="AO246" s="83">
        <v>1</v>
      </c>
      <c r="AQ246" s="83" t="s">
        <v>138</v>
      </c>
      <c r="AR246" s="83">
        <v>1</v>
      </c>
      <c r="AT246" s="83" t="s">
        <v>138</v>
      </c>
      <c r="AU246" s="83">
        <v>1</v>
      </c>
      <c r="AW246" s="83" t="s">
        <v>138</v>
      </c>
      <c r="AX246" s="83">
        <v>1</v>
      </c>
      <c r="AZ246" s="83" t="s">
        <v>138</v>
      </c>
      <c r="BA246" s="83">
        <v>1</v>
      </c>
      <c r="BC246" s="83" t="s">
        <v>138</v>
      </c>
      <c r="BD246" s="83">
        <v>1</v>
      </c>
      <c r="BF246" s="83" t="s">
        <v>138</v>
      </c>
      <c r="BG246" s="83">
        <v>1</v>
      </c>
      <c r="BI246" s="83" t="s">
        <v>138</v>
      </c>
      <c r="BJ246" s="83">
        <v>1</v>
      </c>
      <c r="BL246" s="83" t="s">
        <v>138</v>
      </c>
      <c r="BM246" s="83">
        <v>1</v>
      </c>
      <c r="BO246" s="83" t="s">
        <v>138</v>
      </c>
      <c r="BP246" s="83">
        <v>1</v>
      </c>
      <c r="BR246" s="83" t="s">
        <v>138</v>
      </c>
      <c r="BS246" s="83">
        <v>1</v>
      </c>
      <c r="BU246" s="83" t="s">
        <v>138</v>
      </c>
      <c r="BV246" s="83">
        <v>1</v>
      </c>
      <c r="BX246" s="83" t="s">
        <v>138</v>
      </c>
      <c r="BY246" s="83">
        <v>1</v>
      </c>
      <c r="CA246" s="83" t="s">
        <v>138</v>
      </c>
      <c r="CB246" s="83">
        <v>1</v>
      </c>
      <c r="CD246" s="83" t="s">
        <v>138</v>
      </c>
      <c r="CE246" s="83">
        <v>1</v>
      </c>
      <c r="CG246" s="83" t="s">
        <v>138</v>
      </c>
      <c r="CH246" s="83">
        <v>1</v>
      </c>
      <c r="CJ246" s="83" t="s">
        <v>138</v>
      </c>
      <c r="CK246" s="83">
        <v>1</v>
      </c>
      <c r="CM246" s="83" t="s">
        <v>138</v>
      </c>
      <c r="CN246" s="83">
        <v>1</v>
      </c>
      <c r="CP246" s="83" t="s">
        <v>138</v>
      </c>
      <c r="CQ246" s="83">
        <v>1</v>
      </c>
      <c r="CS246" s="83" t="s">
        <v>138</v>
      </c>
      <c r="CT246" s="83">
        <v>1</v>
      </c>
      <c r="CV246" s="83" t="s">
        <v>138</v>
      </c>
      <c r="CW246" s="83">
        <v>1</v>
      </c>
    </row>
    <row r="248" spans="1:101" x14ac:dyDescent="0.2">
      <c r="A248" s="83" t="s">
        <v>139</v>
      </c>
      <c r="B248" s="83">
        <v>1</v>
      </c>
      <c r="D248" s="83" t="s">
        <v>139</v>
      </c>
      <c r="E248" s="83">
        <v>1</v>
      </c>
      <c r="G248" s="83" t="s">
        <v>139</v>
      </c>
      <c r="H248" s="83">
        <v>1</v>
      </c>
      <c r="J248" s="83" t="s">
        <v>139</v>
      </c>
      <c r="K248" s="83">
        <v>1</v>
      </c>
      <c r="M248" s="83" t="s">
        <v>139</v>
      </c>
      <c r="N248" s="83">
        <v>1</v>
      </c>
      <c r="P248" s="83" t="s">
        <v>139</v>
      </c>
      <c r="Q248" s="83">
        <v>1</v>
      </c>
      <c r="S248" s="83" t="s">
        <v>139</v>
      </c>
      <c r="T248" s="83">
        <v>1</v>
      </c>
      <c r="V248" s="83" t="s">
        <v>139</v>
      </c>
      <c r="W248" s="83">
        <v>1</v>
      </c>
      <c r="Y248" s="83" t="s">
        <v>139</v>
      </c>
      <c r="Z248" s="83">
        <v>1</v>
      </c>
      <c r="AB248" s="83" t="s">
        <v>139</v>
      </c>
      <c r="AC248" s="83">
        <v>1</v>
      </c>
      <c r="AE248" s="83" t="s">
        <v>139</v>
      </c>
      <c r="AF248" s="83">
        <v>1</v>
      </c>
      <c r="AH248" s="83" t="s">
        <v>139</v>
      </c>
      <c r="AI248" s="83">
        <v>1</v>
      </c>
      <c r="AK248" s="83" t="s">
        <v>139</v>
      </c>
      <c r="AL248" s="83">
        <v>1</v>
      </c>
      <c r="AN248" s="83" t="s">
        <v>139</v>
      </c>
      <c r="AO248" s="83">
        <v>1</v>
      </c>
      <c r="AQ248" s="83" t="s">
        <v>139</v>
      </c>
      <c r="AR248" s="83">
        <v>1</v>
      </c>
      <c r="AT248" s="83" t="s">
        <v>139</v>
      </c>
      <c r="AU248" s="83">
        <v>1</v>
      </c>
      <c r="AW248" s="83" t="s">
        <v>139</v>
      </c>
      <c r="AX248" s="83">
        <v>1</v>
      </c>
      <c r="AZ248" s="83" t="s">
        <v>139</v>
      </c>
      <c r="BA248" s="83">
        <v>1</v>
      </c>
      <c r="BC248" s="83" t="s">
        <v>139</v>
      </c>
      <c r="BD248" s="83">
        <v>1</v>
      </c>
      <c r="BF248" s="83" t="s">
        <v>139</v>
      </c>
      <c r="BG248" s="83">
        <v>1</v>
      </c>
      <c r="BI248" s="83" t="s">
        <v>139</v>
      </c>
      <c r="BJ248" s="83">
        <v>1</v>
      </c>
      <c r="BL248" s="83" t="s">
        <v>139</v>
      </c>
      <c r="BM248" s="83">
        <v>1</v>
      </c>
      <c r="BO248" s="83" t="s">
        <v>139</v>
      </c>
      <c r="BP248" s="83">
        <v>1</v>
      </c>
      <c r="BR248" s="83" t="s">
        <v>139</v>
      </c>
      <c r="BS248" s="83">
        <v>1</v>
      </c>
      <c r="BU248" s="83" t="s">
        <v>139</v>
      </c>
      <c r="BV248" s="83">
        <v>1</v>
      </c>
      <c r="BX248" s="83" t="s">
        <v>139</v>
      </c>
      <c r="BY248" s="83">
        <v>1</v>
      </c>
      <c r="CA248" s="83" t="s">
        <v>139</v>
      </c>
      <c r="CB248" s="83">
        <v>1</v>
      </c>
      <c r="CD248" s="83" t="s">
        <v>139</v>
      </c>
      <c r="CE248" s="83">
        <v>1</v>
      </c>
      <c r="CG248" s="83" t="s">
        <v>139</v>
      </c>
      <c r="CH248" s="83">
        <v>1</v>
      </c>
      <c r="CJ248" s="83" t="s">
        <v>139</v>
      </c>
      <c r="CK248" s="83">
        <v>1</v>
      </c>
      <c r="CM248" s="83" t="s">
        <v>139</v>
      </c>
      <c r="CN248" s="83">
        <v>1</v>
      </c>
      <c r="CP248" s="83" t="s">
        <v>139</v>
      </c>
      <c r="CQ248" s="83">
        <v>1</v>
      </c>
      <c r="CS248" s="83" t="s">
        <v>139</v>
      </c>
      <c r="CT248" s="83">
        <v>1</v>
      </c>
      <c r="CV248" s="83" t="s">
        <v>139</v>
      </c>
      <c r="CW248" s="83">
        <v>1</v>
      </c>
    </row>
    <row r="250" spans="1:101" x14ac:dyDescent="0.2">
      <c r="A250" s="83" t="s">
        <v>140</v>
      </c>
      <c r="B250" s="83">
        <v>1</v>
      </c>
      <c r="D250" s="83" t="s">
        <v>140</v>
      </c>
      <c r="E250" s="83">
        <v>1</v>
      </c>
      <c r="G250" s="83" t="s">
        <v>140</v>
      </c>
      <c r="H250" s="83">
        <v>1</v>
      </c>
      <c r="J250" s="83" t="s">
        <v>140</v>
      </c>
      <c r="K250" s="83">
        <v>1</v>
      </c>
      <c r="M250" s="83" t="s">
        <v>140</v>
      </c>
      <c r="N250" s="83">
        <v>1</v>
      </c>
      <c r="P250" s="83" t="s">
        <v>140</v>
      </c>
      <c r="Q250" s="83">
        <v>1</v>
      </c>
      <c r="S250" s="83" t="s">
        <v>140</v>
      </c>
      <c r="T250" s="83">
        <v>1</v>
      </c>
      <c r="V250" s="83" t="s">
        <v>140</v>
      </c>
      <c r="W250" s="83">
        <v>1</v>
      </c>
      <c r="Y250" s="83" t="s">
        <v>140</v>
      </c>
      <c r="Z250" s="83">
        <v>1</v>
      </c>
      <c r="AB250" s="83" t="s">
        <v>140</v>
      </c>
      <c r="AC250" s="83">
        <v>1</v>
      </c>
      <c r="AE250" s="83" t="s">
        <v>140</v>
      </c>
      <c r="AF250" s="83">
        <v>1</v>
      </c>
      <c r="AH250" s="83" t="s">
        <v>140</v>
      </c>
      <c r="AI250" s="83">
        <v>1</v>
      </c>
      <c r="AK250" s="83" t="s">
        <v>140</v>
      </c>
      <c r="AL250" s="83">
        <v>1</v>
      </c>
      <c r="AN250" s="83" t="s">
        <v>140</v>
      </c>
      <c r="AO250" s="83">
        <v>1</v>
      </c>
      <c r="AQ250" s="83" t="s">
        <v>140</v>
      </c>
      <c r="AR250" s="83">
        <v>1</v>
      </c>
      <c r="AT250" s="83" t="s">
        <v>140</v>
      </c>
      <c r="AU250" s="83">
        <v>1</v>
      </c>
      <c r="AW250" s="83" t="s">
        <v>140</v>
      </c>
      <c r="AX250" s="83">
        <v>1</v>
      </c>
      <c r="AZ250" s="83" t="s">
        <v>140</v>
      </c>
      <c r="BA250" s="83">
        <v>1</v>
      </c>
      <c r="BC250" s="83" t="s">
        <v>140</v>
      </c>
      <c r="BD250" s="83">
        <v>1</v>
      </c>
      <c r="BF250" s="83" t="s">
        <v>140</v>
      </c>
      <c r="BG250" s="83">
        <v>1</v>
      </c>
      <c r="BI250" s="83" t="s">
        <v>140</v>
      </c>
      <c r="BJ250" s="83">
        <v>1</v>
      </c>
      <c r="BL250" s="83" t="s">
        <v>140</v>
      </c>
      <c r="BM250" s="83">
        <v>1</v>
      </c>
      <c r="BO250" s="83" t="s">
        <v>140</v>
      </c>
      <c r="BP250" s="83">
        <v>1</v>
      </c>
      <c r="BR250" s="83" t="s">
        <v>140</v>
      </c>
      <c r="BS250" s="83">
        <v>1</v>
      </c>
      <c r="BU250" s="83" t="s">
        <v>140</v>
      </c>
      <c r="BV250" s="83">
        <v>1</v>
      </c>
      <c r="BX250" s="83" t="s">
        <v>140</v>
      </c>
      <c r="BY250" s="83">
        <v>1</v>
      </c>
      <c r="CA250" s="83" t="s">
        <v>140</v>
      </c>
      <c r="CB250" s="83">
        <v>1</v>
      </c>
      <c r="CD250" s="83" t="s">
        <v>140</v>
      </c>
      <c r="CE250" s="83">
        <v>1</v>
      </c>
      <c r="CG250" s="83" t="s">
        <v>140</v>
      </c>
      <c r="CH250" s="83">
        <v>1</v>
      </c>
      <c r="CJ250" s="83" t="s">
        <v>140</v>
      </c>
      <c r="CK250" s="83">
        <v>1</v>
      </c>
      <c r="CM250" s="83" t="s">
        <v>140</v>
      </c>
      <c r="CN250" s="83">
        <v>1</v>
      </c>
      <c r="CP250" s="83" t="s">
        <v>140</v>
      </c>
      <c r="CQ250" s="83">
        <v>1</v>
      </c>
      <c r="CS250" s="83" t="s">
        <v>140</v>
      </c>
      <c r="CT250" s="83">
        <v>1</v>
      </c>
      <c r="CV250" s="83" t="s">
        <v>140</v>
      </c>
      <c r="CW250" s="83">
        <v>1</v>
      </c>
    </row>
    <row r="252" spans="1:101" x14ac:dyDescent="0.2">
      <c r="A252" s="83" t="s">
        <v>141</v>
      </c>
      <c r="B252" s="83">
        <v>1</v>
      </c>
      <c r="D252" s="83" t="s">
        <v>141</v>
      </c>
      <c r="E252" s="83">
        <v>1</v>
      </c>
      <c r="G252" s="83" t="s">
        <v>141</v>
      </c>
      <c r="H252" s="83">
        <v>1</v>
      </c>
      <c r="J252" s="83" t="s">
        <v>141</v>
      </c>
      <c r="K252" s="83">
        <v>1</v>
      </c>
      <c r="M252" s="83" t="s">
        <v>141</v>
      </c>
      <c r="N252" s="83">
        <v>1</v>
      </c>
      <c r="P252" s="83" t="s">
        <v>141</v>
      </c>
      <c r="Q252" s="83">
        <v>1</v>
      </c>
      <c r="S252" s="83" t="s">
        <v>141</v>
      </c>
      <c r="T252" s="83">
        <v>1</v>
      </c>
      <c r="V252" s="83" t="s">
        <v>141</v>
      </c>
      <c r="W252" s="83">
        <v>1</v>
      </c>
      <c r="Y252" s="83" t="s">
        <v>141</v>
      </c>
      <c r="Z252" s="83">
        <v>1</v>
      </c>
      <c r="AB252" s="83" t="s">
        <v>141</v>
      </c>
      <c r="AC252" s="83">
        <v>1</v>
      </c>
      <c r="AE252" s="83" t="s">
        <v>141</v>
      </c>
      <c r="AF252" s="83">
        <v>1</v>
      </c>
      <c r="AH252" s="83" t="s">
        <v>141</v>
      </c>
      <c r="AI252" s="83">
        <v>1</v>
      </c>
      <c r="AK252" s="83" t="s">
        <v>141</v>
      </c>
      <c r="AL252" s="83">
        <v>1</v>
      </c>
      <c r="AN252" s="83" t="s">
        <v>141</v>
      </c>
      <c r="AO252" s="83">
        <v>1</v>
      </c>
      <c r="AQ252" s="83" t="s">
        <v>141</v>
      </c>
      <c r="AR252" s="83">
        <v>1</v>
      </c>
      <c r="AT252" s="83" t="s">
        <v>141</v>
      </c>
      <c r="AU252" s="83">
        <v>1</v>
      </c>
      <c r="AW252" s="83" t="s">
        <v>141</v>
      </c>
      <c r="AX252" s="83">
        <v>1</v>
      </c>
      <c r="AZ252" s="83" t="s">
        <v>141</v>
      </c>
      <c r="BA252" s="83">
        <v>1</v>
      </c>
      <c r="BC252" s="83" t="s">
        <v>141</v>
      </c>
      <c r="BD252" s="83">
        <v>1</v>
      </c>
      <c r="BF252" s="83" t="s">
        <v>141</v>
      </c>
      <c r="BG252" s="83">
        <v>1</v>
      </c>
      <c r="BI252" s="83" t="s">
        <v>141</v>
      </c>
      <c r="BJ252" s="83">
        <v>1</v>
      </c>
      <c r="BL252" s="83" t="s">
        <v>141</v>
      </c>
      <c r="BM252" s="83">
        <v>1</v>
      </c>
      <c r="BO252" s="83" t="s">
        <v>141</v>
      </c>
      <c r="BP252" s="83">
        <v>1</v>
      </c>
      <c r="BR252" s="83" t="s">
        <v>141</v>
      </c>
      <c r="BS252" s="83">
        <v>1</v>
      </c>
      <c r="BU252" s="83" t="s">
        <v>141</v>
      </c>
      <c r="BV252" s="83">
        <v>1</v>
      </c>
      <c r="BX252" s="83" t="s">
        <v>141</v>
      </c>
      <c r="BY252" s="83">
        <v>1</v>
      </c>
      <c r="CA252" s="83" t="s">
        <v>141</v>
      </c>
      <c r="CB252" s="83">
        <v>1</v>
      </c>
      <c r="CD252" s="83" t="s">
        <v>141</v>
      </c>
      <c r="CE252" s="83">
        <v>1</v>
      </c>
      <c r="CG252" s="83" t="s">
        <v>141</v>
      </c>
      <c r="CH252" s="83">
        <v>1</v>
      </c>
      <c r="CJ252" s="83" t="s">
        <v>141</v>
      </c>
      <c r="CK252" s="83">
        <v>1</v>
      </c>
      <c r="CM252" s="83" t="s">
        <v>141</v>
      </c>
      <c r="CN252" s="83">
        <v>1</v>
      </c>
      <c r="CP252" s="83" t="s">
        <v>141</v>
      </c>
      <c r="CQ252" s="83">
        <v>1</v>
      </c>
      <c r="CS252" s="83" t="s">
        <v>141</v>
      </c>
      <c r="CT252" s="83">
        <v>1</v>
      </c>
      <c r="CV252" s="83" t="s">
        <v>141</v>
      </c>
      <c r="CW252" s="83">
        <v>1</v>
      </c>
    </row>
    <row r="254" spans="1:101" x14ac:dyDescent="0.2">
      <c r="A254" s="83" t="s">
        <v>142</v>
      </c>
      <c r="B254" s="83">
        <v>1</v>
      </c>
      <c r="D254" s="83" t="s">
        <v>142</v>
      </c>
      <c r="E254" s="83">
        <v>1</v>
      </c>
      <c r="G254" s="83" t="s">
        <v>142</v>
      </c>
      <c r="H254" s="83">
        <v>1</v>
      </c>
      <c r="J254" s="83" t="s">
        <v>142</v>
      </c>
      <c r="K254" s="83">
        <v>1</v>
      </c>
      <c r="M254" s="83" t="s">
        <v>142</v>
      </c>
      <c r="N254" s="83">
        <v>1</v>
      </c>
      <c r="P254" s="83" t="s">
        <v>142</v>
      </c>
      <c r="Q254" s="83">
        <v>1</v>
      </c>
      <c r="S254" s="83" t="s">
        <v>142</v>
      </c>
      <c r="T254" s="83">
        <v>1</v>
      </c>
      <c r="V254" s="83" t="s">
        <v>142</v>
      </c>
      <c r="W254" s="83">
        <v>1</v>
      </c>
      <c r="Y254" s="83" t="s">
        <v>142</v>
      </c>
      <c r="Z254" s="83">
        <v>1</v>
      </c>
      <c r="AB254" s="83" t="s">
        <v>142</v>
      </c>
      <c r="AC254" s="83">
        <v>1</v>
      </c>
      <c r="AE254" s="83" t="s">
        <v>142</v>
      </c>
      <c r="AF254" s="83">
        <v>1</v>
      </c>
      <c r="AH254" s="83" t="s">
        <v>142</v>
      </c>
      <c r="AI254" s="83">
        <v>1</v>
      </c>
      <c r="AK254" s="83" t="s">
        <v>142</v>
      </c>
      <c r="AL254" s="83">
        <v>1</v>
      </c>
      <c r="AN254" s="83" t="s">
        <v>142</v>
      </c>
      <c r="AO254" s="83">
        <v>1</v>
      </c>
      <c r="AQ254" s="83" t="s">
        <v>142</v>
      </c>
      <c r="AR254" s="83">
        <v>1</v>
      </c>
      <c r="AT254" s="83" t="s">
        <v>142</v>
      </c>
      <c r="AU254" s="83">
        <v>1</v>
      </c>
      <c r="AW254" s="83" t="s">
        <v>142</v>
      </c>
      <c r="AX254" s="83">
        <v>1</v>
      </c>
      <c r="AZ254" s="83" t="s">
        <v>142</v>
      </c>
      <c r="BA254" s="83">
        <v>1</v>
      </c>
      <c r="BC254" s="83" t="s">
        <v>142</v>
      </c>
      <c r="BD254" s="83">
        <v>1</v>
      </c>
      <c r="BF254" s="83" t="s">
        <v>142</v>
      </c>
      <c r="BG254" s="83">
        <v>1</v>
      </c>
      <c r="BI254" s="83" t="s">
        <v>142</v>
      </c>
      <c r="BJ254" s="83">
        <v>1</v>
      </c>
      <c r="BL254" s="83" t="s">
        <v>142</v>
      </c>
      <c r="BM254" s="83">
        <v>1</v>
      </c>
      <c r="BO254" s="83" t="s">
        <v>142</v>
      </c>
      <c r="BP254" s="83">
        <v>1</v>
      </c>
      <c r="BR254" s="83" t="s">
        <v>142</v>
      </c>
      <c r="BS254" s="83">
        <v>1</v>
      </c>
      <c r="BU254" s="83" t="s">
        <v>142</v>
      </c>
      <c r="BV254" s="83">
        <v>1</v>
      </c>
      <c r="BX254" s="83" t="s">
        <v>142</v>
      </c>
      <c r="BY254" s="83">
        <v>1</v>
      </c>
      <c r="CA254" s="83" t="s">
        <v>142</v>
      </c>
      <c r="CB254" s="83">
        <v>1</v>
      </c>
      <c r="CD254" s="83" t="s">
        <v>142</v>
      </c>
      <c r="CE254" s="83">
        <v>1</v>
      </c>
      <c r="CG254" s="83" t="s">
        <v>142</v>
      </c>
      <c r="CH254" s="83">
        <v>1</v>
      </c>
      <c r="CJ254" s="83" t="s">
        <v>142</v>
      </c>
      <c r="CK254" s="83">
        <v>1</v>
      </c>
      <c r="CM254" s="83" t="s">
        <v>142</v>
      </c>
      <c r="CN254" s="83">
        <v>1</v>
      </c>
      <c r="CP254" s="83" t="s">
        <v>142</v>
      </c>
      <c r="CQ254" s="83">
        <v>1</v>
      </c>
      <c r="CS254" s="83" t="s">
        <v>142</v>
      </c>
      <c r="CT254" s="83">
        <v>1</v>
      </c>
      <c r="CV254" s="83" t="s">
        <v>142</v>
      </c>
      <c r="CW254" s="83">
        <v>1</v>
      </c>
    </row>
    <row r="256" spans="1:101" x14ac:dyDescent="0.2">
      <c r="A256" s="83" t="s">
        <v>143</v>
      </c>
      <c r="B256" s="83">
        <v>1</v>
      </c>
      <c r="D256" s="83" t="s">
        <v>143</v>
      </c>
      <c r="E256" s="83">
        <v>1</v>
      </c>
      <c r="G256" s="83" t="s">
        <v>143</v>
      </c>
      <c r="H256" s="83">
        <v>1</v>
      </c>
      <c r="J256" s="83" t="s">
        <v>143</v>
      </c>
      <c r="K256" s="83">
        <v>1</v>
      </c>
      <c r="M256" s="83" t="s">
        <v>143</v>
      </c>
      <c r="N256" s="83">
        <v>1</v>
      </c>
      <c r="P256" s="83" t="s">
        <v>143</v>
      </c>
      <c r="Q256" s="83">
        <v>1</v>
      </c>
      <c r="S256" s="83" t="s">
        <v>143</v>
      </c>
      <c r="T256" s="83">
        <v>1</v>
      </c>
      <c r="V256" s="83" t="s">
        <v>143</v>
      </c>
      <c r="W256" s="83">
        <v>1</v>
      </c>
      <c r="Y256" s="83" t="s">
        <v>143</v>
      </c>
      <c r="Z256" s="83">
        <v>1</v>
      </c>
      <c r="AB256" s="83" t="s">
        <v>143</v>
      </c>
      <c r="AC256" s="83">
        <v>1</v>
      </c>
      <c r="AE256" s="83" t="s">
        <v>143</v>
      </c>
      <c r="AF256" s="83">
        <v>1</v>
      </c>
      <c r="AH256" s="83" t="s">
        <v>143</v>
      </c>
      <c r="AI256" s="83">
        <v>1</v>
      </c>
      <c r="AK256" s="83" t="s">
        <v>143</v>
      </c>
      <c r="AL256" s="83">
        <v>1</v>
      </c>
      <c r="AN256" s="83" t="s">
        <v>143</v>
      </c>
      <c r="AO256" s="83">
        <v>1</v>
      </c>
      <c r="AQ256" s="83" t="s">
        <v>143</v>
      </c>
      <c r="AR256" s="83">
        <v>1</v>
      </c>
      <c r="AT256" s="83" t="s">
        <v>143</v>
      </c>
      <c r="AU256" s="83">
        <v>1</v>
      </c>
      <c r="AW256" s="83" t="s">
        <v>143</v>
      </c>
      <c r="AX256" s="83">
        <v>1</v>
      </c>
      <c r="AZ256" s="83" t="s">
        <v>143</v>
      </c>
      <c r="BA256" s="83">
        <v>1</v>
      </c>
      <c r="BC256" s="83" t="s">
        <v>143</v>
      </c>
      <c r="BD256" s="83">
        <v>1</v>
      </c>
      <c r="BF256" s="83" t="s">
        <v>143</v>
      </c>
      <c r="BG256" s="83">
        <v>1</v>
      </c>
      <c r="BI256" s="83" t="s">
        <v>143</v>
      </c>
      <c r="BJ256" s="83">
        <v>1</v>
      </c>
      <c r="BL256" s="83" t="s">
        <v>143</v>
      </c>
      <c r="BM256" s="83">
        <v>1</v>
      </c>
      <c r="BO256" s="83" t="s">
        <v>143</v>
      </c>
      <c r="BP256" s="83">
        <v>1</v>
      </c>
      <c r="BR256" s="83" t="s">
        <v>143</v>
      </c>
      <c r="BS256" s="83">
        <v>1</v>
      </c>
      <c r="BU256" s="83" t="s">
        <v>143</v>
      </c>
      <c r="BV256" s="83">
        <v>1</v>
      </c>
      <c r="BX256" s="83" t="s">
        <v>143</v>
      </c>
      <c r="BY256" s="83">
        <v>1</v>
      </c>
      <c r="CA256" s="83" t="s">
        <v>143</v>
      </c>
      <c r="CB256" s="83">
        <v>1</v>
      </c>
      <c r="CD256" s="83" t="s">
        <v>143</v>
      </c>
      <c r="CE256" s="83">
        <v>1</v>
      </c>
      <c r="CG256" s="83" t="s">
        <v>143</v>
      </c>
      <c r="CH256" s="83">
        <v>1</v>
      </c>
      <c r="CJ256" s="83" t="s">
        <v>143</v>
      </c>
      <c r="CK256" s="83">
        <v>1</v>
      </c>
      <c r="CM256" s="83" t="s">
        <v>143</v>
      </c>
      <c r="CN256" s="83">
        <v>1</v>
      </c>
      <c r="CP256" s="83" t="s">
        <v>143</v>
      </c>
      <c r="CQ256" s="83">
        <v>1</v>
      </c>
      <c r="CS256" s="83" t="s">
        <v>143</v>
      </c>
      <c r="CT256" s="83">
        <v>1</v>
      </c>
      <c r="CV256" s="83" t="s">
        <v>143</v>
      </c>
      <c r="CW256" s="83">
        <v>1</v>
      </c>
    </row>
    <row r="258" spans="1:101" x14ac:dyDescent="0.2">
      <c r="A258" s="83" t="s">
        <v>144</v>
      </c>
      <c r="B258" s="83">
        <v>1</v>
      </c>
      <c r="D258" s="83" t="s">
        <v>144</v>
      </c>
      <c r="E258" s="83">
        <v>1</v>
      </c>
      <c r="G258" s="83" t="s">
        <v>144</v>
      </c>
      <c r="H258" s="83">
        <v>1</v>
      </c>
      <c r="J258" s="83" t="s">
        <v>144</v>
      </c>
      <c r="K258" s="83">
        <v>1</v>
      </c>
      <c r="M258" s="83" t="s">
        <v>144</v>
      </c>
      <c r="N258" s="83">
        <v>1</v>
      </c>
      <c r="P258" s="83" t="s">
        <v>144</v>
      </c>
      <c r="Q258" s="83">
        <v>1</v>
      </c>
      <c r="S258" s="83" t="s">
        <v>144</v>
      </c>
      <c r="T258" s="83">
        <v>1</v>
      </c>
      <c r="V258" s="83" t="s">
        <v>144</v>
      </c>
      <c r="W258" s="83">
        <v>1</v>
      </c>
      <c r="Y258" s="83" t="s">
        <v>144</v>
      </c>
      <c r="Z258" s="83">
        <v>1</v>
      </c>
      <c r="AB258" s="83" t="s">
        <v>144</v>
      </c>
      <c r="AC258" s="83">
        <v>1</v>
      </c>
      <c r="AE258" s="83" t="s">
        <v>144</v>
      </c>
      <c r="AF258" s="83">
        <v>1</v>
      </c>
      <c r="AH258" s="83" t="s">
        <v>144</v>
      </c>
      <c r="AI258" s="83">
        <v>1</v>
      </c>
      <c r="AK258" s="83" t="s">
        <v>144</v>
      </c>
      <c r="AL258" s="83">
        <v>1</v>
      </c>
      <c r="AN258" s="83" t="s">
        <v>144</v>
      </c>
      <c r="AO258" s="83">
        <v>1</v>
      </c>
      <c r="AQ258" s="83" t="s">
        <v>144</v>
      </c>
      <c r="AR258" s="83">
        <v>1</v>
      </c>
      <c r="AT258" s="83" t="s">
        <v>144</v>
      </c>
      <c r="AU258" s="83">
        <v>1</v>
      </c>
      <c r="AW258" s="83" t="s">
        <v>144</v>
      </c>
      <c r="AX258" s="83">
        <v>1</v>
      </c>
      <c r="AZ258" s="83" t="s">
        <v>144</v>
      </c>
      <c r="BA258" s="83">
        <v>1</v>
      </c>
      <c r="BC258" s="83" t="s">
        <v>144</v>
      </c>
      <c r="BD258" s="83">
        <v>1</v>
      </c>
      <c r="BF258" s="83" t="s">
        <v>144</v>
      </c>
      <c r="BG258" s="83">
        <v>1</v>
      </c>
      <c r="BI258" s="83" t="s">
        <v>144</v>
      </c>
      <c r="BJ258" s="83">
        <v>1</v>
      </c>
      <c r="BL258" s="83" t="s">
        <v>144</v>
      </c>
      <c r="BM258" s="83">
        <v>1</v>
      </c>
      <c r="BO258" s="83" t="s">
        <v>144</v>
      </c>
      <c r="BP258" s="83">
        <v>1</v>
      </c>
      <c r="BR258" s="83" t="s">
        <v>144</v>
      </c>
      <c r="BS258" s="83">
        <v>1</v>
      </c>
      <c r="BU258" s="83" t="s">
        <v>144</v>
      </c>
      <c r="BV258" s="83">
        <v>1</v>
      </c>
      <c r="BX258" s="83" t="s">
        <v>144</v>
      </c>
      <c r="BY258" s="83">
        <v>1</v>
      </c>
      <c r="CA258" s="83" t="s">
        <v>144</v>
      </c>
      <c r="CB258" s="83">
        <v>1</v>
      </c>
      <c r="CD258" s="83" t="s">
        <v>144</v>
      </c>
      <c r="CE258" s="83">
        <v>1</v>
      </c>
      <c r="CG258" s="83" t="s">
        <v>144</v>
      </c>
      <c r="CH258" s="83">
        <v>1</v>
      </c>
      <c r="CJ258" s="83" t="s">
        <v>144</v>
      </c>
      <c r="CK258" s="83">
        <v>1</v>
      </c>
      <c r="CM258" s="83" t="s">
        <v>144</v>
      </c>
      <c r="CN258" s="83">
        <v>1</v>
      </c>
      <c r="CP258" s="83" t="s">
        <v>144</v>
      </c>
      <c r="CQ258" s="83">
        <v>1</v>
      </c>
      <c r="CS258" s="83" t="s">
        <v>144</v>
      </c>
      <c r="CT258" s="83">
        <v>1</v>
      </c>
      <c r="CV258" s="83" t="s">
        <v>144</v>
      </c>
      <c r="CW258" s="83">
        <v>1</v>
      </c>
    </row>
    <row r="260" spans="1:101" x14ac:dyDescent="0.2">
      <c r="A260" s="83" t="s">
        <v>145</v>
      </c>
      <c r="B260" s="83">
        <v>1</v>
      </c>
      <c r="D260" s="83" t="s">
        <v>145</v>
      </c>
      <c r="E260" s="83">
        <v>1</v>
      </c>
      <c r="G260" s="83" t="s">
        <v>145</v>
      </c>
      <c r="H260" s="83">
        <v>1</v>
      </c>
      <c r="J260" s="83" t="s">
        <v>145</v>
      </c>
      <c r="K260" s="83">
        <v>1</v>
      </c>
      <c r="M260" s="83" t="s">
        <v>145</v>
      </c>
      <c r="N260" s="83">
        <v>1</v>
      </c>
      <c r="P260" s="83" t="s">
        <v>145</v>
      </c>
      <c r="Q260" s="83">
        <v>1</v>
      </c>
      <c r="S260" s="83" t="s">
        <v>145</v>
      </c>
      <c r="T260" s="83">
        <v>1</v>
      </c>
      <c r="V260" s="83" t="s">
        <v>145</v>
      </c>
      <c r="W260" s="83">
        <v>1</v>
      </c>
      <c r="Y260" s="83" t="s">
        <v>145</v>
      </c>
      <c r="Z260" s="83">
        <v>1</v>
      </c>
      <c r="AB260" s="83" t="s">
        <v>145</v>
      </c>
      <c r="AC260" s="83">
        <v>1</v>
      </c>
      <c r="AE260" s="83" t="s">
        <v>145</v>
      </c>
      <c r="AF260" s="83">
        <v>1</v>
      </c>
      <c r="AH260" s="83" t="s">
        <v>145</v>
      </c>
      <c r="AI260" s="83">
        <v>1</v>
      </c>
      <c r="AK260" s="83" t="s">
        <v>145</v>
      </c>
      <c r="AL260" s="83">
        <v>1</v>
      </c>
      <c r="AN260" s="83" t="s">
        <v>145</v>
      </c>
      <c r="AO260" s="83">
        <v>1</v>
      </c>
      <c r="AQ260" s="83" t="s">
        <v>145</v>
      </c>
      <c r="AR260" s="83">
        <v>1</v>
      </c>
      <c r="AT260" s="83" t="s">
        <v>145</v>
      </c>
      <c r="AU260" s="83">
        <v>1</v>
      </c>
      <c r="AW260" s="83" t="s">
        <v>145</v>
      </c>
      <c r="AX260" s="83">
        <v>1</v>
      </c>
      <c r="AZ260" s="83" t="s">
        <v>145</v>
      </c>
      <c r="BA260" s="83">
        <v>1</v>
      </c>
      <c r="BC260" s="83" t="s">
        <v>145</v>
      </c>
      <c r="BD260" s="83">
        <v>1</v>
      </c>
      <c r="BF260" s="83" t="s">
        <v>145</v>
      </c>
      <c r="BG260" s="83">
        <v>1</v>
      </c>
      <c r="BI260" s="83" t="s">
        <v>145</v>
      </c>
      <c r="BJ260" s="83">
        <v>1</v>
      </c>
      <c r="BL260" s="83" t="s">
        <v>145</v>
      </c>
      <c r="BM260" s="83">
        <v>1</v>
      </c>
      <c r="BO260" s="83" t="s">
        <v>145</v>
      </c>
      <c r="BP260" s="83">
        <v>1</v>
      </c>
      <c r="BR260" s="83" t="s">
        <v>145</v>
      </c>
      <c r="BS260" s="83">
        <v>1</v>
      </c>
      <c r="BU260" s="83" t="s">
        <v>145</v>
      </c>
      <c r="BV260" s="83">
        <v>1</v>
      </c>
      <c r="BX260" s="83" t="s">
        <v>145</v>
      </c>
      <c r="BY260" s="83">
        <v>1</v>
      </c>
      <c r="CA260" s="83" t="s">
        <v>145</v>
      </c>
      <c r="CB260" s="83">
        <v>1</v>
      </c>
      <c r="CD260" s="83" t="s">
        <v>145</v>
      </c>
      <c r="CE260" s="83">
        <v>1</v>
      </c>
      <c r="CG260" s="83" t="s">
        <v>145</v>
      </c>
      <c r="CH260" s="83">
        <v>1</v>
      </c>
      <c r="CJ260" s="83" t="s">
        <v>145</v>
      </c>
      <c r="CK260" s="83">
        <v>1</v>
      </c>
      <c r="CM260" s="83" t="s">
        <v>145</v>
      </c>
      <c r="CN260" s="83">
        <v>1</v>
      </c>
      <c r="CP260" s="83" t="s">
        <v>145</v>
      </c>
      <c r="CQ260" s="83">
        <v>1</v>
      </c>
      <c r="CS260" s="83" t="s">
        <v>145</v>
      </c>
      <c r="CT260" s="83">
        <v>1</v>
      </c>
      <c r="CV260" s="83" t="s">
        <v>145</v>
      </c>
      <c r="CW260" s="83">
        <v>1</v>
      </c>
    </row>
    <row r="262" spans="1:101" x14ac:dyDescent="0.2">
      <c r="A262" s="83" t="s">
        <v>146</v>
      </c>
      <c r="B262" s="83">
        <v>1</v>
      </c>
      <c r="D262" s="83" t="s">
        <v>146</v>
      </c>
      <c r="E262" s="83">
        <v>1</v>
      </c>
      <c r="G262" s="83" t="s">
        <v>146</v>
      </c>
      <c r="H262" s="83">
        <v>1</v>
      </c>
      <c r="J262" s="83" t="s">
        <v>146</v>
      </c>
      <c r="K262" s="83">
        <v>1</v>
      </c>
      <c r="M262" s="83" t="s">
        <v>146</v>
      </c>
      <c r="N262" s="83">
        <v>1</v>
      </c>
      <c r="P262" s="83" t="s">
        <v>146</v>
      </c>
      <c r="Q262" s="83">
        <v>1</v>
      </c>
      <c r="S262" s="83" t="s">
        <v>146</v>
      </c>
      <c r="T262" s="83">
        <v>1</v>
      </c>
      <c r="V262" s="83" t="s">
        <v>146</v>
      </c>
      <c r="W262" s="83">
        <v>1</v>
      </c>
      <c r="Y262" s="83" t="s">
        <v>146</v>
      </c>
      <c r="Z262" s="83">
        <v>1</v>
      </c>
      <c r="AB262" s="83" t="s">
        <v>146</v>
      </c>
      <c r="AC262" s="83">
        <v>1</v>
      </c>
      <c r="AE262" s="83" t="s">
        <v>146</v>
      </c>
      <c r="AF262" s="83">
        <v>1</v>
      </c>
      <c r="AH262" s="83" t="s">
        <v>146</v>
      </c>
      <c r="AI262" s="83">
        <v>1</v>
      </c>
      <c r="AK262" s="83" t="s">
        <v>146</v>
      </c>
      <c r="AL262" s="83">
        <v>1</v>
      </c>
      <c r="AN262" s="83" t="s">
        <v>146</v>
      </c>
      <c r="AO262" s="83">
        <v>1</v>
      </c>
      <c r="AQ262" s="83" t="s">
        <v>146</v>
      </c>
      <c r="AR262" s="83">
        <v>1</v>
      </c>
      <c r="AT262" s="83" t="s">
        <v>146</v>
      </c>
      <c r="AU262" s="83">
        <v>1</v>
      </c>
      <c r="AW262" s="83" t="s">
        <v>146</v>
      </c>
      <c r="AX262" s="83">
        <v>1</v>
      </c>
      <c r="AZ262" s="83" t="s">
        <v>146</v>
      </c>
      <c r="BA262" s="83">
        <v>1</v>
      </c>
      <c r="BC262" s="83" t="s">
        <v>146</v>
      </c>
      <c r="BD262" s="83">
        <v>1</v>
      </c>
      <c r="BF262" s="83" t="s">
        <v>146</v>
      </c>
      <c r="BG262" s="83">
        <v>1</v>
      </c>
      <c r="BI262" s="83" t="s">
        <v>146</v>
      </c>
      <c r="BJ262" s="83">
        <v>1</v>
      </c>
      <c r="BL262" s="83" t="s">
        <v>146</v>
      </c>
      <c r="BM262" s="83">
        <v>1</v>
      </c>
      <c r="BO262" s="83" t="s">
        <v>146</v>
      </c>
      <c r="BP262" s="83">
        <v>1</v>
      </c>
      <c r="BR262" s="83" t="s">
        <v>146</v>
      </c>
      <c r="BS262" s="83">
        <v>1</v>
      </c>
      <c r="BU262" s="83" t="s">
        <v>146</v>
      </c>
      <c r="BV262" s="83">
        <v>1</v>
      </c>
      <c r="BX262" s="83" t="s">
        <v>146</v>
      </c>
      <c r="BY262" s="83">
        <v>1</v>
      </c>
      <c r="CA262" s="83" t="s">
        <v>146</v>
      </c>
      <c r="CB262" s="83">
        <v>1</v>
      </c>
      <c r="CD262" s="83" t="s">
        <v>146</v>
      </c>
      <c r="CE262" s="83">
        <v>1</v>
      </c>
      <c r="CG262" s="83" t="s">
        <v>146</v>
      </c>
      <c r="CH262" s="83">
        <v>1</v>
      </c>
      <c r="CJ262" s="83" t="s">
        <v>146</v>
      </c>
      <c r="CK262" s="83">
        <v>1</v>
      </c>
      <c r="CM262" s="83" t="s">
        <v>146</v>
      </c>
      <c r="CN262" s="83">
        <v>1</v>
      </c>
      <c r="CP262" s="83" t="s">
        <v>146</v>
      </c>
      <c r="CQ262" s="83">
        <v>1</v>
      </c>
      <c r="CS262" s="83" t="s">
        <v>146</v>
      </c>
      <c r="CT262" s="83">
        <v>1</v>
      </c>
      <c r="CV262" s="83" t="s">
        <v>146</v>
      </c>
      <c r="CW262" s="83">
        <v>1</v>
      </c>
    </row>
    <row r="264" spans="1:101" x14ac:dyDescent="0.2">
      <c r="A264" s="83" t="s">
        <v>147</v>
      </c>
      <c r="B264" s="83">
        <v>1</v>
      </c>
      <c r="D264" s="83" t="s">
        <v>147</v>
      </c>
      <c r="E264" s="83">
        <v>1</v>
      </c>
      <c r="G264" s="83" t="s">
        <v>147</v>
      </c>
      <c r="H264" s="83">
        <v>1</v>
      </c>
      <c r="J264" s="83" t="s">
        <v>147</v>
      </c>
      <c r="K264" s="83">
        <v>1</v>
      </c>
      <c r="M264" s="83" t="s">
        <v>147</v>
      </c>
      <c r="N264" s="83">
        <v>1</v>
      </c>
      <c r="P264" s="83" t="s">
        <v>147</v>
      </c>
      <c r="Q264" s="83">
        <v>1</v>
      </c>
      <c r="S264" s="83" t="s">
        <v>147</v>
      </c>
      <c r="T264" s="83">
        <v>1</v>
      </c>
      <c r="V264" s="83" t="s">
        <v>147</v>
      </c>
      <c r="W264" s="83">
        <v>1</v>
      </c>
      <c r="Y264" s="83" t="s">
        <v>147</v>
      </c>
      <c r="Z264" s="83">
        <v>1</v>
      </c>
      <c r="AB264" s="83" t="s">
        <v>147</v>
      </c>
      <c r="AC264" s="83">
        <v>1</v>
      </c>
      <c r="AE264" s="83" t="s">
        <v>147</v>
      </c>
      <c r="AF264" s="83">
        <v>1</v>
      </c>
      <c r="AH264" s="83" t="s">
        <v>147</v>
      </c>
      <c r="AI264" s="83">
        <v>1</v>
      </c>
      <c r="AK264" s="83" t="s">
        <v>147</v>
      </c>
      <c r="AL264" s="83">
        <v>1</v>
      </c>
      <c r="AN264" s="83" t="s">
        <v>147</v>
      </c>
      <c r="AO264" s="83">
        <v>1</v>
      </c>
      <c r="AQ264" s="83" t="s">
        <v>147</v>
      </c>
      <c r="AR264" s="83">
        <v>1</v>
      </c>
      <c r="AT264" s="83" t="s">
        <v>147</v>
      </c>
      <c r="AU264" s="83">
        <v>1</v>
      </c>
      <c r="AW264" s="83" t="s">
        <v>147</v>
      </c>
      <c r="AX264" s="83">
        <v>1</v>
      </c>
      <c r="AZ264" s="83" t="s">
        <v>147</v>
      </c>
      <c r="BA264" s="83">
        <v>1</v>
      </c>
      <c r="BC264" s="83" t="s">
        <v>147</v>
      </c>
      <c r="BD264" s="83">
        <v>1</v>
      </c>
      <c r="BF264" s="83" t="s">
        <v>147</v>
      </c>
      <c r="BG264" s="83">
        <v>1</v>
      </c>
      <c r="BI264" s="83" t="s">
        <v>147</v>
      </c>
      <c r="BJ264" s="83">
        <v>1</v>
      </c>
      <c r="BL264" s="83" t="s">
        <v>147</v>
      </c>
      <c r="BM264" s="83">
        <v>1</v>
      </c>
      <c r="BO264" s="83" t="s">
        <v>147</v>
      </c>
      <c r="BP264" s="83">
        <v>1</v>
      </c>
      <c r="BR264" s="83" t="s">
        <v>147</v>
      </c>
      <c r="BS264" s="83">
        <v>1</v>
      </c>
      <c r="BU264" s="83" t="s">
        <v>147</v>
      </c>
      <c r="BV264" s="83">
        <v>1</v>
      </c>
      <c r="BX264" s="83" t="s">
        <v>147</v>
      </c>
      <c r="BY264" s="83">
        <v>1</v>
      </c>
      <c r="CA264" s="83" t="s">
        <v>147</v>
      </c>
      <c r="CB264" s="83">
        <v>1</v>
      </c>
      <c r="CD264" s="83" t="s">
        <v>147</v>
      </c>
      <c r="CE264" s="83">
        <v>1</v>
      </c>
      <c r="CG264" s="83" t="s">
        <v>147</v>
      </c>
      <c r="CH264" s="83">
        <v>1</v>
      </c>
      <c r="CJ264" s="83" t="s">
        <v>147</v>
      </c>
      <c r="CK264" s="83">
        <v>1</v>
      </c>
      <c r="CM264" s="83" t="s">
        <v>147</v>
      </c>
      <c r="CN264" s="83">
        <v>1</v>
      </c>
      <c r="CP264" s="83" t="s">
        <v>147</v>
      </c>
      <c r="CQ264" s="83">
        <v>1</v>
      </c>
      <c r="CS264" s="83" t="s">
        <v>147</v>
      </c>
      <c r="CT264" s="83">
        <v>1</v>
      </c>
      <c r="CV264" s="83" t="s">
        <v>147</v>
      </c>
      <c r="CW264" s="83">
        <v>1</v>
      </c>
    </row>
    <row r="266" spans="1:101" x14ac:dyDescent="0.2">
      <c r="A266" s="83" t="s">
        <v>148</v>
      </c>
      <c r="B266" s="83">
        <v>1</v>
      </c>
      <c r="D266" s="83" t="s">
        <v>148</v>
      </c>
      <c r="E266" s="83">
        <v>1</v>
      </c>
      <c r="G266" s="83" t="s">
        <v>148</v>
      </c>
      <c r="H266" s="83">
        <v>1</v>
      </c>
      <c r="J266" s="83" t="s">
        <v>148</v>
      </c>
      <c r="K266" s="83">
        <v>1</v>
      </c>
      <c r="M266" s="83" t="s">
        <v>148</v>
      </c>
      <c r="N266" s="83">
        <v>1</v>
      </c>
      <c r="P266" s="83" t="s">
        <v>148</v>
      </c>
      <c r="Q266" s="83">
        <v>1</v>
      </c>
      <c r="S266" s="83" t="s">
        <v>148</v>
      </c>
      <c r="T266" s="83">
        <v>1</v>
      </c>
      <c r="V266" s="83" t="s">
        <v>148</v>
      </c>
      <c r="W266" s="83">
        <v>1</v>
      </c>
      <c r="Y266" s="83" t="s">
        <v>148</v>
      </c>
      <c r="Z266" s="83">
        <v>1</v>
      </c>
      <c r="AB266" s="83" t="s">
        <v>148</v>
      </c>
      <c r="AC266" s="83">
        <v>1</v>
      </c>
      <c r="AE266" s="83" t="s">
        <v>148</v>
      </c>
      <c r="AF266" s="83">
        <v>1</v>
      </c>
      <c r="AH266" s="83" t="s">
        <v>148</v>
      </c>
      <c r="AI266" s="83">
        <v>1</v>
      </c>
      <c r="AK266" s="83" t="s">
        <v>148</v>
      </c>
      <c r="AL266" s="83">
        <v>1</v>
      </c>
      <c r="AN266" s="83" t="s">
        <v>148</v>
      </c>
      <c r="AO266" s="83">
        <v>1</v>
      </c>
      <c r="AQ266" s="83" t="s">
        <v>148</v>
      </c>
      <c r="AR266" s="83">
        <v>1</v>
      </c>
      <c r="AT266" s="83" t="s">
        <v>148</v>
      </c>
      <c r="AU266" s="83">
        <v>1</v>
      </c>
      <c r="AW266" s="83" t="s">
        <v>148</v>
      </c>
      <c r="AX266" s="83">
        <v>1</v>
      </c>
      <c r="AZ266" s="83" t="s">
        <v>148</v>
      </c>
      <c r="BA266" s="83">
        <v>1</v>
      </c>
      <c r="BC266" s="83" t="s">
        <v>148</v>
      </c>
      <c r="BD266" s="83">
        <v>1</v>
      </c>
      <c r="BF266" s="83" t="s">
        <v>148</v>
      </c>
      <c r="BG266" s="83">
        <v>1</v>
      </c>
      <c r="BI266" s="83" t="s">
        <v>148</v>
      </c>
      <c r="BJ266" s="83">
        <v>1</v>
      </c>
      <c r="BL266" s="83" t="s">
        <v>148</v>
      </c>
      <c r="BM266" s="83">
        <v>1</v>
      </c>
      <c r="BO266" s="83" t="s">
        <v>148</v>
      </c>
      <c r="BP266" s="83">
        <v>1</v>
      </c>
      <c r="BR266" s="83" t="s">
        <v>148</v>
      </c>
      <c r="BS266" s="83">
        <v>1</v>
      </c>
      <c r="BU266" s="83" t="s">
        <v>148</v>
      </c>
      <c r="BV266" s="83">
        <v>1</v>
      </c>
      <c r="BX266" s="83" t="s">
        <v>148</v>
      </c>
      <c r="BY266" s="83">
        <v>1</v>
      </c>
      <c r="CA266" s="83" t="s">
        <v>148</v>
      </c>
      <c r="CB266" s="83">
        <v>1</v>
      </c>
      <c r="CD266" s="83" t="s">
        <v>148</v>
      </c>
      <c r="CE266" s="83">
        <v>1</v>
      </c>
      <c r="CG266" s="83" t="s">
        <v>148</v>
      </c>
      <c r="CH266" s="83">
        <v>1</v>
      </c>
      <c r="CJ266" s="83" t="s">
        <v>148</v>
      </c>
      <c r="CK266" s="83">
        <v>1</v>
      </c>
      <c r="CM266" s="83" t="s">
        <v>148</v>
      </c>
      <c r="CN266" s="83">
        <v>1</v>
      </c>
      <c r="CP266" s="83" t="s">
        <v>148</v>
      </c>
      <c r="CQ266" s="83">
        <v>1</v>
      </c>
      <c r="CS266" s="83" t="s">
        <v>148</v>
      </c>
      <c r="CT266" s="83">
        <v>1</v>
      </c>
      <c r="CV266" s="83" t="s">
        <v>148</v>
      </c>
      <c r="CW266" s="83">
        <v>1</v>
      </c>
    </row>
    <row r="268" spans="1:101" x14ac:dyDescent="0.2">
      <c r="A268" s="83" t="s">
        <v>113</v>
      </c>
      <c r="D268" s="83" t="s">
        <v>113</v>
      </c>
      <c r="G268" s="83" t="s">
        <v>113</v>
      </c>
      <c r="J268" s="83" t="s">
        <v>113</v>
      </c>
      <c r="M268" s="83" t="s">
        <v>113</v>
      </c>
      <c r="P268" s="83" t="s">
        <v>113</v>
      </c>
      <c r="S268" s="83" t="s">
        <v>113</v>
      </c>
      <c r="V268" s="83" t="s">
        <v>113</v>
      </c>
      <c r="Y268" s="83" t="s">
        <v>113</v>
      </c>
      <c r="AB268" s="83" t="s">
        <v>113</v>
      </c>
      <c r="AE268" s="83" t="s">
        <v>113</v>
      </c>
      <c r="AH268" s="83" t="s">
        <v>113</v>
      </c>
      <c r="AK268" s="83" t="s">
        <v>113</v>
      </c>
      <c r="AN268" s="83" t="s">
        <v>113</v>
      </c>
      <c r="AQ268" s="83" t="s">
        <v>113</v>
      </c>
      <c r="AT268" s="83" t="s">
        <v>113</v>
      </c>
      <c r="AW268" s="83" t="s">
        <v>113</v>
      </c>
      <c r="AZ268" s="83" t="s">
        <v>113</v>
      </c>
      <c r="BC268" s="83" t="s">
        <v>113</v>
      </c>
      <c r="BF268" s="83" t="s">
        <v>113</v>
      </c>
      <c r="BI268" s="83" t="s">
        <v>113</v>
      </c>
      <c r="BL268" s="83" t="s">
        <v>113</v>
      </c>
      <c r="BO268" s="83" t="s">
        <v>113</v>
      </c>
      <c r="BR268" s="83" t="s">
        <v>113</v>
      </c>
      <c r="BU268" s="83" t="s">
        <v>113</v>
      </c>
      <c r="BX268" s="83" t="s">
        <v>113</v>
      </c>
      <c r="CA268" s="83" t="s">
        <v>113</v>
      </c>
      <c r="CD268" s="83" t="s">
        <v>113</v>
      </c>
      <c r="CG268" s="83" t="s">
        <v>113</v>
      </c>
      <c r="CJ268" s="83" t="s">
        <v>113</v>
      </c>
      <c r="CM268" s="83" t="s">
        <v>113</v>
      </c>
      <c r="CP268" s="83" t="s">
        <v>113</v>
      </c>
      <c r="CS268" s="83" t="s">
        <v>113</v>
      </c>
      <c r="CV268" s="83" t="s">
        <v>113</v>
      </c>
    </row>
    <row r="269" spans="1:101" x14ac:dyDescent="0.2">
      <c r="A269" s="83" t="s">
        <v>114</v>
      </c>
      <c r="B269" s="83" t="s">
        <v>132</v>
      </c>
      <c r="D269" s="83" t="s">
        <v>114</v>
      </c>
      <c r="E269" s="83" t="s">
        <v>132</v>
      </c>
      <c r="G269" s="83" t="s">
        <v>114</v>
      </c>
      <c r="H269" s="83" t="s">
        <v>132</v>
      </c>
      <c r="J269" s="83" t="s">
        <v>114</v>
      </c>
      <c r="K269" s="83" t="s">
        <v>132</v>
      </c>
      <c r="M269" s="83" t="s">
        <v>114</v>
      </c>
      <c r="N269" s="83" t="s">
        <v>132</v>
      </c>
      <c r="P269" s="83" t="s">
        <v>114</v>
      </c>
      <c r="Q269" s="83" t="s">
        <v>132</v>
      </c>
      <c r="S269" s="83" t="s">
        <v>114</v>
      </c>
      <c r="T269" s="83" t="s">
        <v>132</v>
      </c>
      <c r="V269" s="83" t="s">
        <v>114</v>
      </c>
      <c r="W269" s="83" t="s">
        <v>132</v>
      </c>
      <c r="Y269" s="83" t="s">
        <v>114</v>
      </c>
      <c r="Z269" s="83" t="s">
        <v>132</v>
      </c>
      <c r="AB269" s="83" t="s">
        <v>114</v>
      </c>
      <c r="AC269" s="83" t="s">
        <v>132</v>
      </c>
      <c r="AE269" s="83" t="s">
        <v>114</v>
      </c>
      <c r="AF269" s="83" t="s">
        <v>132</v>
      </c>
      <c r="AH269" s="83" t="s">
        <v>114</v>
      </c>
      <c r="AI269" s="83" t="s">
        <v>132</v>
      </c>
      <c r="AK269" s="83" t="s">
        <v>114</v>
      </c>
      <c r="AL269" s="83" t="s">
        <v>132</v>
      </c>
      <c r="AN269" s="83" t="s">
        <v>114</v>
      </c>
      <c r="AO269" s="83" t="s">
        <v>132</v>
      </c>
      <c r="AQ269" s="83" t="s">
        <v>114</v>
      </c>
      <c r="AR269" s="83" t="s">
        <v>132</v>
      </c>
      <c r="AT269" s="83" t="s">
        <v>114</v>
      </c>
      <c r="AU269" s="83" t="s">
        <v>132</v>
      </c>
      <c r="AW269" s="83" t="s">
        <v>114</v>
      </c>
      <c r="AX269" s="83" t="s">
        <v>132</v>
      </c>
      <c r="AZ269" s="83" t="s">
        <v>114</v>
      </c>
      <c r="BA269" s="83" t="s">
        <v>132</v>
      </c>
      <c r="BC269" s="83" t="s">
        <v>114</v>
      </c>
      <c r="BD269" s="83" t="s">
        <v>132</v>
      </c>
      <c r="BF269" s="83" t="s">
        <v>114</v>
      </c>
      <c r="BG269" s="83" t="s">
        <v>132</v>
      </c>
      <c r="BI269" s="83" t="s">
        <v>114</v>
      </c>
      <c r="BJ269" s="83" t="s">
        <v>132</v>
      </c>
      <c r="BL269" s="83" t="s">
        <v>114</v>
      </c>
      <c r="BM269" s="83" t="s">
        <v>132</v>
      </c>
      <c r="BO269" s="83" t="s">
        <v>114</v>
      </c>
      <c r="BP269" s="83" t="s">
        <v>132</v>
      </c>
      <c r="BR269" s="83" t="s">
        <v>114</v>
      </c>
      <c r="BS269" s="83" t="s">
        <v>132</v>
      </c>
      <c r="BU269" s="83" t="s">
        <v>114</v>
      </c>
      <c r="BV269" s="83" t="s">
        <v>132</v>
      </c>
      <c r="BX269" s="83" t="s">
        <v>114</v>
      </c>
      <c r="BY269" s="83" t="s">
        <v>132</v>
      </c>
      <c r="CA269" s="83" t="s">
        <v>114</v>
      </c>
      <c r="CB269" s="83" t="s">
        <v>132</v>
      </c>
      <c r="CD269" s="83" t="s">
        <v>114</v>
      </c>
      <c r="CE269" s="83" t="s">
        <v>132</v>
      </c>
      <c r="CG269" s="83" t="s">
        <v>114</v>
      </c>
      <c r="CH269" s="83" t="s">
        <v>132</v>
      </c>
      <c r="CJ269" s="83" t="s">
        <v>114</v>
      </c>
      <c r="CK269" s="83" t="s">
        <v>132</v>
      </c>
      <c r="CM269" s="83" t="s">
        <v>114</v>
      </c>
      <c r="CN269" s="83" t="s">
        <v>132</v>
      </c>
      <c r="CP269" s="83" t="s">
        <v>114</v>
      </c>
      <c r="CQ269" s="83" t="s">
        <v>132</v>
      </c>
      <c r="CS269" s="83" t="s">
        <v>114</v>
      </c>
      <c r="CT269" s="83" t="s">
        <v>132</v>
      </c>
      <c r="CV269" s="83" t="s">
        <v>114</v>
      </c>
      <c r="CW269" s="83" t="s">
        <v>132</v>
      </c>
    </row>
    <row r="271" spans="1:101" x14ac:dyDescent="0.2">
      <c r="A271" s="83" t="s">
        <v>115</v>
      </c>
      <c r="B271" s="83" t="s">
        <v>151</v>
      </c>
      <c r="D271" s="83" t="s">
        <v>115</v>
      </c>
      <c r="E271" s="83" t="s">
        <v>151</v>
      </c>
      <c r="G271" s="83" t="s">
        <v>115</v>
      </c>
      <c r="H271" s="83" t="s">
        <v>151</v>
      </c>
      <c r="J271" s="83" t="s">
        <v>115</v>
      </c>
      <c r="K271" s="83" t="s">
        <v>151</v>
      </c>
      <c r="M271" s="83" t="s">
        <v>115</v>
      </c>
      <c r="N271" s="83" t="s">
        <v>151</v>
      </c>
      <c r="P271" s="83" t="s">
        <v>115</v>
      </c>
      <c r="Q271" s="83" t="s">
        <v>151</v>
      </c>
      <c r="S271" s="83" t="s">
        <v>115</v>
      </c>
      <c r="T271" s="83" t="s">
        <v>151</v>
      </c>
      <c r="V271" s="83" t="s">
        <v>115</v>
      </c>
      <c r="W271" s="83" t="s">
        <v>151</v>
      </c>
      <c r="Y271" s="83" t="s">
        <v>115</v>
      </c>
      <c r="Z271" s="83" t="s">
        <v>151</v>
      </c>
      <c r="AB271" s="83" t="s">
        <v>115</v>
      </c>
      <c r="AC271" s="83" t="s">
        <v>151</v>
      </c>
      <c r="AE271" s="83" t="s">
        <v>115</v>
      </c>
      <c r="AF271" s="83" t="s">
        <v>151</v>
      </c>
      <c r="AH271" s="83" t="s">
        <v>115</v>
      </c>
      <c r="AI271" s="83" t="s">
        <v>151</v>
      </c>
      <c r="AK271" s="83" t="s">
        <v>115</v>
      </c>
      <c r="AL271" s="83" t="s">
        <v>151</v>
      </c>
      <c r="AN271" s="83" t="s">
        <v>115</v>
      </c>
      <c r="AO271" s="83" t="s">
        <v>151</v>
      </c>
      <c r="AQ271" s="83" t="s">
        <v>115</v>
      </c>
      <c r="AR271" s="83" t="s">
        <v>151</v>
      </c>
      <c r="AT271" s="83" t="s">
        <v>115</v>
      </c>
      <c r="AU271" s="83" t="s">
        <v>151</v>
      </c>
      <c r="AW271" s="83" t="s">
        <v>115</v>
      </c>
      <c r="AX271" s="83" t="s">
        <v>151</v>
      </c>
      <c r="AZ271" s="83" t="s">
        <v>115</v>
      </c>
      <c r="BA271" s="83" t="s">
        <v>151</v>
      </c>
      <c r="BC271" s="83" t="s">
        <v>115</v>
      </c>
      <c r="BD271" s="83" t="s">
        <v>151</v>
      </c>
      <c r="BF271" s="83" t="s">
        <v>115</v>
      </c>
      <c r="BG271" s="83" t="s">
        <v>151</v>
      </c>
      <c r="BI271" s="83" t="s">
        <v>115</v>
      </c>
      <c r="BJ271" s="83" t="s">
        <v>151</v>
      </c>
      <c r="BL271" s="83" t="s">
        <v>115</v>
      </c>
      <c r="BM271" s="83" t="s">
        <v>151</v>
      </c>
      <c r="BO271" s="83" t="s">
        <v>115</v>
      </c>
      <c r="BP271" s="83" t="s">
        <v>151</v>
      </c>
      <c r="BR271" s="83" t="s">
        <v>115</v>
      </c>
      <c r="BS271" s="83" t="s">
        <v>151</v>
      </c>
      <c r="BU271" s="83" t="s">
        <v>115</v>
      </c>
      <c r="BV271" s="83" t="s">
        <v>151</v>
      </c>
      <c r="BX271" s="83" t="s">
        <v>115</v>
      </c>
      <c r="BY271" s="83" t="s">
        <v>151</v>
      </c>
      <c r="CA271" s="83" t="s">
        <v>115</v>
      </c>
      <c r="CB271" s="83" t="s">
        <v>151</v>
      </c>
      <c r="CD271" s="83" t="s">
        <v>115</v>
      </c>
      <c r="CE271" s="83" t="s">
        <v>151</v>
      </c>
      <c r="CG271" s="83" t="s">
        <v>115</v>
      </c>
      <c r="CH271" s="83" t="s">
        <v>151</v>
      </c>
      <c r="CJ271" s="83" t="s">
        <v>115</v>
      </c>
      <c r="CK271" s="83" t="s">
        <v>151</v>
      </c>
      <c r="CM271" s="83" t="s">
        <v>115</v>
      </c>
      <c r="CN271" s="83" t="s">
        <v>151</v>
      </c>
      <c r="CP271" s="83" t="s">
        <v>115</v>
      </c>
      <c r="CQ271" s="83" t="s">
        <v>151</v>
      </c>
      <c r="CS271" s="83" t="s">
        <v>115</v>
      </c>
      <c r="CT271" s="83" t="s">
        <v>151</v>
      </c>
      <c r="CV271" s="83" t="s">
        <v>115</v>
      </c>
      <c r="CW271" s="83" t="s">
        <v>151</v>
      </c>
    </row>
    <row r="273" spans="1:101" x14ac:dyDescent="0.2">
      <c r="A273" s="83" t="s">
        <v>116</v>
      </c>
      <c r="B273" s="83" t="s">
        <v>151</v>
      </c>
      <c r="D273" s="83" t="s">
        <v>116</v>
      </c>
      <c r="E273" s="83" t="s">
        <v>151</v>
      </c>
      <c r="G273" s="83" t="s">
        <v>116</v>
      </c>
      <c r="H273" s="83" t="s">
        <v>151</v>
      </c>
      <c r="J273" s="83" t="s">
        <v>116</v>
      </c>
      <c r="K273" s="83" t="s">
        <v>151</v>
      </c>
      <c r="M273" s="83" t="s">
        <v>116</v>
      </c>
      <c r="N273" s="83" t="s">
        <v>151</v>
      </c>
      <c r="P273" s="83" t="s">
        <v>116</v>
      </c>
      <c r="Q273" s="83" t="s">
        <v>151</v>
      </c>
      <c r="S273" s="83" t="s">
        <v>116</v>
      </c>
      <c r="T273" s="83" t="s">
        <v>151</v>
      </c>
      <c r="V273" s="83" t="s">
        <v>116</v>
      </c>
      <c r="W273" s="83" t="s">
        <v>151</v>
      </c>
      <c r="Y273" s="83" t="s">
        <v>116</v>
      </c>
      <c r="Z273" s="83" t="s">
        <v>151</v>
      </c>
      <c r="AB273" s="83" t="s">
        <v>116</v>
      </c>
      <c r="AC273" s="83" t="s">
        <v>151</v>
      </c>
      <c r="AE273" s="83" t="s">
        <v>116</v>
      </c>
      <c r="AF273" s="83" t="s">
        <v>151</v>
      </c>
      <c r="AH273" s="83" t="s">
        <v>116</v>
      </c>
      <c r="AI273" s="83" t="s">
        <v>151</v>
      </c>
      <c r="AK273" s="83" t="s">
        <v>116</v>
      </c>
      <c r="AL273" s="83" t="s">
        <v>151</v>
      </c>
      <c r="AN273" s="83" t="s">
        <v>116</v>
      </c>
      <c r="AO273" s="83" t="s">
        <v>151</v>
      </c>
      <c r="AQ273" s="83" t="s">
        <v>116</v>
      </c>
      <c r="AR273" s="83" t="s">
        <v>151</v>
      </c>
      <c r="AT273" s="83" t="s">
        <v>116</v>
      </c>
      <c r="AU273" s="83" t="s">
        <v>151</v>
      </c>
      <c r="AW273" s="83" t="s">
        <v>116</v>
      </c>
      <c r="AX273" s="83" t="s">
        <v>151</v>
      </c>
      <c r="AZ273" s="83" t="s">
        <v>116</v>
      </c>
      <c r="BA273" s="83" t="s">
        <v>151</v>
      </c>
      <c r="BC273" s="83" t="s">
        <v>116</v>
      </c>
      <c r="BD273" s="83" t="s">
        <v>151</v>
      </c>
      <c r="BF273" s="83" t="s">
        <v>116</v>
      </c>
      <c r="BG273" s="83" t="s">
        <v>151</v>
      </c>
      <c r="BI273" s="83" t="s">
        <v>116</v>
      </c>
      <c r="BJ273" s="83" t="s">
        <v>151</v>
      </c>
      <c r="BL273" s="83" t="s">
        <v>116</v>
      </c>
      <c r="BM273" s="83" t="s">
        <v>151</v>
      </c>
      <c r="BO273" s="83" t="s">
        <v>116</v>
      </c>
      <c r="BP273" s="83" t="s">
        <v>151</v>
      </c>
      <c r="BR273" s="83" t="s">
        <v>116</v>
      </c>
      <c r="BS273" s="83" t="s">
        <v>151</v>
      </c>
      <c r="BU273" s="83" t="s">
        <v>116</v>
      </c>
      <c r="BV273" s="83" t="s">
        <v>151</v>
      </c>
      <c r="BX273" s="83" t="s">
        <v>116</v>
      </c>
      <c r="BY273" s="83" t="s">
        <v>151</v>
      </c>
      <c r="CA273" s="83" t="s">
        <v>116</v>
      </c>
      <c r="CB273" s="83" t="s">
        <v>151</v>
      </c>
      <c r="CD273" s="83" t="s">
        <v>116</v>
      </c>
      <c r="CE273" s="83" t="s">
        <v>151</v>
      </c>
      <c r="CG273" s="83" t="s">
        <v>116</v>
      </c>
      <c r="CH273" s="83" t="s">
        <v>151</v>
      </c>
      <c r="CJ273" s="83" t="s">
        <v>116</v>
      </c>
      <c r="CK273" s="83" t="s">
        <v>151</v>
      </c>
      <c r="CM273" s="83" t="s">
        <v>116</v>
      </c>
      <c r="CN273" s="83" t="s">
        <v>151</v>
      </c>
      <c r="CP273" s="83" t="s">
        <v>116</v>
      </c>
      <c r="CQ273" s="83" t="s">
        <v>151</v>
      </c>
      <c r="CS273" s="83" t="s">
        <v>116</v>
      </c>
      <c r="CT273" s="83" t="s">
        <v>151</v>
      </c>
      <c r="CV273" s="83" t="s">
        <v>116</v>
      </c>
      <c r="CW273" s="83" t="s">
        <v>151</v>
      </c>
    </row>
    <row r="275" spans="1:101" x14ac:dyDescent="0.2">
      <c r="A275" s="83" t="s">
        <v>117</v>
      </c>
      <c r="B275" s="83" t="s">
        <v>132</v>
      </c>
      <c r="D275" s="83" t="s">
        <v>117</v>
      </c>
      <c r="E275" s="83" t="s">
        <v>132</v>
      </c>
      <c r="G275" s="83" t="s">
        <v>117</v>
      </c>
      <c r="H275" s="83" t="s">
        <v>132</v>
      </c>
      <c r="J275" s="83" t="s">
        <v>117</v>
      </c>
      <c r="K275" s="83" t="s">
        <v>132</v>
      </c>
      <c r="M275" s="83" t="s">
        <v>117</v>
      </c>
      <c r="N275" s="83" t="s">
        <v>132</v>
      </c>
      <c r="P275" s="83" t="s">
        <v>117</v>
      </c>
      <c r="Q275" s="83" t="s">
        <v>132</v>
      </c>
      <c r="S275" s="83" t="s">
        <v>117</v>
      </c>
      <c r="T275" s="83" t="s">
        <v>132</v>
      </c>
      <c r="V275" s="83" t="s">
        <v>117</v>
      </c>
      <c r="W275" s="83" t="s">
        <v>132</v>
      </c>
      <c r="Y275" s="83" t="s">
        <v>117</v>
      </c>
      <c r="Z275" s="83" t="s">
        <v>132</v>
      </c>
      <c r="AB275" s="83" t="s">
        <v>117</v>
      </c>
      <c r="AC275" s="83" t="s">
        <v>132</v>
      </c>
      <c r="AE275" s="83" t="s">
        <v>117</v>
      </c>
      <c r="AF275" s="83" t="s">
        <v>132</v>
      </c>
      <c r="AH275" s="83" t="s">
        <v>117</v>
      </c>
      <c r="AI275" s="83" t="s">
        <v>132</v>
      </c>
      <c r="AK275" s="83" t="s">
        <v>117</v>
      </c>
      <c r="AL275" s="83" t="s">
        <v>132</v>
      </c>
      <c r="AN275" s="83" t="s">
        <v>117</v>
      </c>
      <c r="AO275" s="83" t="s">
        <v>132</v>
      </c>
      <c r="AQ275" s="83" t="s">
        <v>117</v>
      </c>
      <c r="AR275" s="83" t="s">
        <v>132</v>
      </c>
      <c r="AT275" s="83" t="s">
        <v>117</v>
      </c>
      <c r="AU275" s="83" t="s">
        <v>132</v>
      </c>
      <c r="AW275" s="83" t="s">
        <v>117</v>
      </c>
      <c r="AX275" s="83" t="s">
        <v>132</v>
      </c>
      <c r="AZ275" s="83" t="s">
        <v>117</v>
      </c>
      <c r="BA275" s="83" t="s">
        <v>132</v>
      </c>
      <c r="BC275" s="83" t="s">
        <v>117</v>
      </c>
      <c r="BD275" s="83" t="s">
        <v>132</v>
      </c>
      <c r="BF275" s="83" t="s">
        <v>117</v>
      </c>
      <c r="BG275" s="83" t="s">
        <v>132</v>
      </c>
      <c r="BI275" s="83" t="s">
        <v>117</v>
      </c>
      <c r="BJ275" s="83" t="s">
        <v>132</v>
      </c>
      <c r="BL275" s="83" t="s">
        <v>117</v>
      </c>
      <c r="BM275" s="83" t="s">
        <v>132</v>
      </c>
      <c r="BO275" s="83" t="s">
        <v>117</v>
      </c>
      <c r="BP275" s="83" t="s">
        <v>132</v>
      </c>
      <c r="BR275" s="83" t="s">
        <v>117</v>
      </c>
      <c r="BS275" s="83" t="s">
        <v>132</v>
      </c>
      <c r="BU275" s="83" t="s">
        <v>117</v>
      </c>
      <c r="BV275" s="83" t="s">
        <v>132</v>
      </c>
      <c r="BX275" s="83" t="s">
        <v>117</v>
      </c>
      <c r="BY275" s="83" t="s">
        <v>132</v>
      </c>
      <c r="CA275" s="83" t="s">
        <v>117</v>
      </c>
      <c r="CB275" s="83" t="s">
        <v>132</v>
      </c>
      <c r="CD275" s="83" t="s">
        <v>117</v>
      </c>
      <c r="CE275" s="83" t="s">
        <v>132</v>
      </c>
      <c r="CG275" s="83" t="s">
        <v>117</v>
      </c>
      <c r="CH275" s="83" t="s">
        <v>132</v>
      </c>
      <c r="CJ275" s="83" t="s">
        <v>117</v>
      </c>
      <c r="CK275" s="83" t="s">
        <v>132</v>
      </c>
      <c r="CM275" s="83" t="s">
        <v>117</v>
      </c>
      <c r="CN275" s="83" t="s">
        <v>132</v>
      </c>
      <c r="CP275" s="83" t="s">
        <v>117</v>
      </c>
      <c r="CQ275" s="83" t="s">
        <v>132</v>
      </c>
      <c r="CS275" s="83" t="s">
        <v>117</v>
      </c>
      <c r="CT275" s="83" t="s">
        <v>132</v>
      </c>
      <c r="CV275" s="83" t="s">
        <v>117</v>
      </c>
      <c r="CW275" s="83" t="s">
        <v>132</v>
      </c>
    </row>
    <row r="277" spans="1:101" x14ac:dyDescent="0.2">
      <c r="A277" s="83" t="s">
        <v>118</v>
      </c>
      <c r="B277" s="83" t="s">
        <v>151</v>
      </c>
      <c r="D277" s="83" t="s">
        <v>118</v>
      </c>
      <c r="E277" s="83" t="s">
        <v>151</v>
      </c>
      <c r="G277" s="83" t="s">
        <v>118</v>
      </c>
      <c r="H277" s="83" t="s">
        <v>151</v>
      </c>
      <c r="J277" s="83" t="s">
        <v>118</v>
      </c>
      <c r="K277" s="83" t="s">
        <v>151</v>
      </c>
      <c r="M277" s="83" t="s">
        <v>118</v>
      </c>
      <c r="N277" s="83" t="s">
        <v>151</v>
      </c>
      <c r="P277" s="83" t="s">
        <v>118</v>
      </c>
      <c r="Q277" s="83" t="s">
        <v>151</v>
      </c>
      <c r="S277" s="83" t="s">
        <v>118</v>
      </c>
      <c r="T277" s="83" t="s">
        <v>151</v>
      </c>
      <c r="V277" s="83" t="s">
        <v>118</v>
      </c>
      <c r="W277" s="83" t="s">
        <v>151</v>
      </c>
      <c r="Y277" s="83" t="s">
        <v>118</v>
      </c>
      <c r="Z277" s="83" t="s">
        <v>151</v>
      </c>
      <c r="AB277" s="83" t="s">
        <v>118</v>
      </c>
      <c r="AC277" s="83" t="s">
        <v>151</v>
      </c>
      <c r="AE277" s="83" t="s">
        <v>118</v>
      </c>
      <c r="AF277" s="83" t="s">
        <v>151</v>
      </c>
      <c r="AH277" s="83" t="s">
        <v>118</v>
      </c>
      <c r="AI277" s="83" t="s">
        <v>151</v>
      </c>
      <c r="AK277" s="83" t="s">
        <v>118</v>
      </c>
      <c r="AL277" s="83" t="s">
        <v>151</v>
      </c>
      <c r="AN277" s="83" t="s">
        <v>118</v>
      </c>
      <c r="AO277" s="83" t="s">
        <v>151</v>
      </c>
      <c r="AQ277" s="83" t="s">
        <v>118</v>
      </c>
      <c r="AR277" s="83" t="s">
        <v>151</v>
      </c>
      <c r="AT277" s="83" t="s">
        <v>118</v>
      </c>
      <c r="AU277" s="83" t="s">
        <v>151</v>
      </c>
      <c r="AW277" s="83" t="s">
        <v>118</v>
      </c>
      <c r="AX277" s="83" t="s">
        <v>151</v>
      </c>
      <c r="AZ277" s="83" t="s">
        <v>118</v>
      </c>
      <c r="BA277" s="83" t="s">
        <v>151</v>
      </c>
      <c r="BC277" s="83" t="s">
        <v>118</v>
      </c>
      <c r="BD277" s="83" t="s">
        <v>151</v>
      </c>
      <c r="BF277" s="83" t="s">
        <v>118</v>
      </c>
      <c r="BG277" s="83" t="s">
        <v>151</v>
      </c>
      <c r="BI277" s="83" t="s">
        <v>118</v>
      </c>
      <c r="BJ277" s="83" t="s">
        <v>151</v>
      </c>
      <c r="BL277" s="83" t="s">
        <v>118</v>
      </c>
      <c r="BM277" s="83" t="s">
        <v>151</v>
      </c>
      <c r="BO277" s="83" t="s">
        <v>118</v>
      </c>
      <c r="BP277" s="83" t="s">
        <v>151</v>
      </c>
      <c r="BR277" s="83" t="s">
        <v>118</v>
      </c>
      <c r="BS277" s="83" t="s">
        <v>151</v>
      </c>
      <c r="BU277" s="83" t="s">
        <v>118</v>
      </c>
      <c r="BV277" s="83" t="s">
        <v>151</v>
      </c>
      <c r="BX277" s="83" t="s">
        <v>118</v>
      </c>
      <c r="BY277" s="83" t="s">
        <v>151</v>
      </c>
      <c r="CA277" s="83" t="s">
        <v>118</v>
      </c>
      <c r="CB277" s="83" t="s">
        <v>151</v>
      </c>
      <c r="CD277" s="83" t="s">
        <v>118</v>
      </c>
      <c r="CE277" s="83" t="s">
        <v>151</v>
      </c>
      <c r="CG277" s="83" t="s">
        <v>118</v>
      </c>
      <c r="CH277" s="83" t="s">
        <v>151</v>
      </c>
      <c r="CJ277" s="83" t="s">
        <v>118</v>
      </c>
      <c r="CK277" s="83" t="s">
        <v>151</v>
      </c>
      <c r="CM277" s="83" t="s">
        <v>118</v>
      </c>
      <c r="CN277" s="83" t="s">
        <v>151</v>
      </c>
      <c r="CP277" s="83" t="s">
        <v>118</v>
      </c>
      <c r="CQ277" s="83" t="s">
        <v>151</v>
      </c>
      <c r="CS277" s="83" t="s">
        <v>118</v>
      </c>
      <c r="CT277" s="83" t="s">
        <v>151</v>
      </c>
      <c r="CV277" s="83" t="s">
        <v>118</v>
      </c>
      <c r="CW277" s="83" t="s">
        <v>151</v>
      </c>
    </row>
    <row r="279" spans="1:101" x14ac:dyDescent="0.2">
      <c r="A279" s="83" t="s">
        <v>119</v>
      </c>
      <c r="B279" s="83" t="s">
        <v>132</v>
      </c>
      <c r="D279" s="83" t="s">
        <v>119</v>
      </c>
      <c r="E279" s="83" t="s">
        <v>132</v>
      </c>
      <c r="G279" s="83" t="s">
        <v>119</v>
      </c>
      <c r="H279" s="83" t="s">
        <v>132</v>
      </c>
      <c r="J279" s="83" t="s">
        <v>119</v>
      </c>
      <c r="K279" s="83" t="s">
        <v>132</v>
      </c>
      <c r="M279" s="83" t="s">
        <v>119</v>
      </c>
      <c r="N279" s="83" t="s">
        <v>132</v>
      </c>
      <c r="P279" s="83" t="s">
        <v>119</v>
      </c>
      <c r="Q279" s="83" t="s">
        <v>132</v>
      </c>
      <c r="S279" s="83" t="s">
        <v>119</v>
      </c>
      <c r="T279" s="83" t="s">
        <v>132</v>
      </c>
      <c r="V279" s="83" t="s">
        <v>119</v>
      </c>
      <c r="W279" s="83" t="s">
        <v>132</v>
      </c>
      <c r="Y279" s="83" t="s">
        <v>119</v>
      </c>
      <c r="Z279" s="83" t="s">
        <v>132</v>
      </c>
      <c r="AB279" s="83" t="s">
        <v>119</v>
      </c>
      <c r="AC279" s="83" t="s">
        <v>132</v>
      </c>
      <c r="AE279" s="83" t="s">
        <v>119</v>
      </c>
      <c r="AF279" s="83" t="s">
        <v>132</v>
      </c>
      <c r="AH279" s="83" t="s">
        <v>119</v>
      </c>
      <c r="AI279" s="83" t="s">
        <v>132</v>
      </c>
      <c r="AK279" s="83" t="s">
        <v>119</v>
      </c>
      <c r="AL279" s="83" t="s">
        <v>132</v>
      </c>
      <c r="AN279" s="83" t="s">
        <v>119</v>
      </c>
      <c r="AO279" s="83" t="s">
        <v>132</v>
      </c>
      <c r="AQ279" s="83" t="s">
        <v>119</v>
      </c>
      <c r="AR279" s="83" t="s">
        <v>132</v>
      </c>
      <c r="AT279" s="83" t="s">
        <v>119</v>
      </c>
      <c r="AU279" s="83" t="s">
        <v>132</v>
      </c>
      <c r="AW279" s="83" t="s">
        <v>119</v>
      </c>
      <c r="AX279" s="83" t="s">
        <v>132</v>
      </c>
      <c r="AZ279" s="83" t="s">
        <v>119</v>
      </c>
      <c r="BA279" s="83" t="s">
        <v>132</v>
      </c>
      <c r="BC279" s="83" t="s">
        <v>119</v>
      </c>
      <c r="BD279" s="83" t="s">
        <v>132</v>
      </c>
      <c r="BF279" s="83" t="s">
        <v>119</v>
      </c>
      <c r="BG279" s="83" t="s">
        <v>132</v>
      </c>
      <c r="BI279" s="83" t="s">
        <v>119</v>
      </c>
      <c r="BJ279" s="83" t="s">
        <v>132</v>
      </c>
      <c r="BL279" s="83" t="s">
        <v>119</v>
      </c>
      <c r="BM279" s="83" t="s">
        <v>132</v>
      </c>
      <c r="BO279" s="83" t="s">
        <v>119</v>
      </c>
      <c r="BP279" s="83" t="s">
        <v>132</v>
      </c>
      <c r="BR279" s="83" t="s">
        <v>119</v>
      </c>
      <c r="BS279" s="83" t="s">
        <v>132</v>
      </c>
      <c r="BU279" s="83" t="s">
        <v>119</v>
      </c>
      <c r="BV279" s="83" t="s">
        <v>132</v>
      </c>
      <c r="BX279" s="83" t="s">
        <v>119</v>
      </c>
      <c r="BY279" s="83" t="s">
        <v>132</v>
      </c>
      <c r="CA279" s="83" t="s">
        <v>119</v>
      </c>
      <c r="CB279" s="83" t="s">
        <v>132</v>
      </c>
      <c r="CD279" s="83" t="s">
        <v>119</v>
      </c>
      <c r="CE279" s="83" t="s">
        <v>132</v>
      </c>
      <c r="CG279" s="83" t="s">
        <v>119</v>
      </c>
      <c r="CH279" s="83" t="s">
        <v>132</v>
      </c>
      <c r="CJ279" s="83" t="s">
        <v>119</v>
      </c>
      <c r="CK279" s="83" t="s">
        <v>132</v>
      </c>
      <c r="CM279" s="83" t="s">
        <v>119</v>
      </c>
      <c r="CN279" s="83" t="s">
        <v>132</v>
      </c>
      <c r="CP279" s="83" t="s">
        <v>119</v>
      </c>
      <c r="CQ279" s="83" t="s">
        <v>132</v>
      </c>
      <c r="CS279" s="83" t="s">
        <v>119</v>
      </c>
      <c r="CT279" s="83" t="s">
        <v>132</v>
      </c>
      <c r="CV279" s="83" t="s">
        <v>119</v>
      </c>
      <c r="CW279" s="83" t="s">
        <v>132</v>
      </c>
    </row>
    <row r="281" spans="1:101" x14ac:dyDescent="0.2">
      <c r="A281" s="83" t="s">
        <v>120</v>
      </c>
      <c r="B281" s="83" t="s">
        <v>151</v>
      </c>
      <c r="D281" s="83" t="s">
        <v>120</v>
      </c>
      <c r="E281" s="83" t="s">
        <v>151</v>
      </c>
      <c r="G281" s="83" t="s">
        <v>120</v>
      </c>
      <c r="H281" s="83" t="s">
        <v>151</v>
      </c>
      <c r="J281" s="83" t="s">
        <v>120</v>
      </c>
      <c r="K281" s="83" t="s">
        <v>151</v>
      </c>
      <c r="M281" s="83" t="s">
        <v>120</v>
      </c>
      <c r="N281" s="83" t="s">
        <v>151</v>
      </c>
      <c r="P281" s="83" t="s">
        <v>120</v>
      </c>
      <c r="Q281" s="83" t="s">
        <v>151</v>
      </c>
      <c r="S281" s="83" t="s">
        <v>120</v>
      </c>
      <c r="T281" s="83" t="s">
        <v>151</v>
      </c>
      <c r="V281" s="83" t="s">
        <v>120</v>
      </c>
      <c r="W281" s="83" t="s">
        <v>151</v>
      </c>
      <c r="Y281" s="83" t="s">
        <v>120</v>
      </c>
      <c r="Z281" s="83" t="s">
        <v>151</v>
      </c>
      <c r="AB281" s="83" t="s">
        <v>120</v>
      </c>
      <c r="AC281" s="83" t="s">
        <v>151</v>
      </c>
      <c r="AE281" s="83" t="s">
        <v>120</v>
      </c>
      <c r="AF281" s="83" t="s">
        <v>151</v>
      </c>
      <c r="AH281" s="83" t="s">
        <v>120</v>
      </c>
      <c r="AI281" s="83" t="s">
        <v>151</v>
      </c>
      <c r="AK281" s="83" t="s">
        <v>120</v>
      </c>
      <c r="AL281" s="83" t="s">
        <v>151</v>
      </c>
      <c r="AN281" s="83" t="s">
        <v>120</v>
      </c>
      <c r="AO281" s="83" t="s">
        <v>151</v>
      </c>
      <c r="AQ281" s="83" t="s">
        <v>120</v>
      </c>
      <c r="AR281" s="83" t="s">
        <v>151</v>
      </c>
      <c r="AT281" s="83" t="s">
        <v>120</v>
      </c>
      <c r="AU281" s="83" t="s">
        <v>151</v>
      </c>
      <c r="AW281" s="83" t="s">
        <v>120</v>
      </c>
      <c r="AX281" s="83" t="s">
        <v>151</v>
      </c>
      <c r="AZ281" s="83" t="s">
        <v>120</v>
      </c>
      <c r="BA281" s="83" t="s">
        <v>151</v>
      </c>
      <c r="BC281" s="83" t="s">
        <v>120</v>
      </c>
      <c r="BD281" s="83" t="s">
        <v>151</v>
      </c>
      <c r="BF281" s="83" t="s">
        <v>120</v>
      </c>
      <c r="BG281" s="83" t="s">
        <v>151</v>
      </c>
      <c r="BI281" s="83" t="s">
        <v>120</v>
      </c>
      <c r="BJ281" s="83" t="s">
        <v>151</v>
      </c>
      <c r="BL281" s="83" t="s">
        <v>120</v>
      </c>
      <c r="BM281" s="83" t="s">
        <v>151</v>
      </c>
      <c r="BO281" s="83" t="s">
        <v>120</v>
      </c>
      <c r="BP281" s="83" t="s">
        <v>151</v>
      </c>
      <c r="BR281" s="83" t="s">
        <v>120</v>
      </c>
      <c r="BS281" s="83" t="s">
        <v>151</v>
      </c>
      <c r="BU281" s="83" t="s">
        <v>120</v>
      </c>
      <c r="BV281" s="83" t="s">
        <v>151</v>
      </c>
      <c r="BX281" s="83" t="s">
        <v>120</v>
      </c>
      <c r="BY281" s="83" t="s">
        <v>151</v>
      </c>
      <c r="CA281" s="83" t="s">
        <v>120</v>
      </c>
      <c r="CB281" s="83" t="s">
        <v>151</v>
      </c>
      <c r="CD281" s="83" t="s">
        <v>120</v>
      </c>
      <c r="CE281" s="83" t="s">
        <v>151</v>
      </c>
      <c r="CG281" s="83" t="s">
        <v>120</v>
      </c>
      <c r="CH281" s="83" t="s">
        <v>151</v>
      </c>
      <c r="CJ281" s="83" t="s">
        <v>120</v>
      </c>
      <c r="CK281" s="83" t="s">
        <v>151</v>
      </c>
      <c r="CM281" s="83" t="s">
        <v>120</v>
      </c>
      <c r="CN281" s="83" t="s">
        <v>151</v>
      </c>
      <c r="CP281" s="83" t="s">
        <v>120</v>
      </c>
      <c r="CQ281" s="83" t="s">
        <v>151</v>
      </c>
      <c r="CS281" s="83" t="s">
        <v>120</v>
      </c>
      <c r="CT281" s="83" t="s">
        <v>151</v>
      </c>
      <c r="CV281" s="83" t="s">
        <v>120</v>
      </c>
      <c r="CW281" s="83" t="s">
        <v>151</v>
      </c>
    </row>
    <row r="283" spans="1:101" x14ac:dyDescent="0.2">
      <c r="A283" s="83" t="s">
        <v>121</v>
      </c>
      <c r="B283" s="83">
        <v>1</v>
      </c>
      <c r="D283" s="83" t="s">
        <v>121</v>
      </c>
      <c r="E283" s="83">
        <v>1</v>
      </c>
      <c r="G283" s="83" t="s">
        <v>121</v>
      </c>
      <c r="H283" s="83">
        <v>1</v>
      </c>
      <c r="J283" s="83" t="s">
        <v>121</v>
      </c>
      <c r="K283" s="83">
        <v>1</v>
      </c>
      <c r="M283" s="83" t="s">
        <v>121</v>
      </c>
      <c r="N283" s="83">
        <v>1</v>
      </c>
      <c r="P283" s="83" t="s">
        <v>121</v>
      </c>
      <c r="Q283" s="83">
        <v>1</v>
      </c>
      <c r="S283" s="83" t="s">
        <v>121</v>
      </c>
      <c r="T283" s="83">
        <v>1</v>
      </c>
      <c r="V283" s="83" t="s">
        <v>121</v>
      </c>
      <c r="W283" s="83">
        <v>1</v>
      </c>
      <c r="Y283" s="83" t="s">
        <v>121</v>
      </c>
      <c r="Z283" s="83">
        <v>1</v>
      </c>
      <c r="AB283" s="83" t="s">
        <v>121</v>
      </c>
      <c r="AC283" s="83">
        <v>1</v>
      </c>
      <c r="AE283" s="83" t="s">
        <v>121</v>
      </c>
      <c r="AF283" s="83">
        <v>1</v>
      </c>
      <c r="AH283" s="83" t="s">
        <v>121</v>
      </c>
      <c r="AI283" s="83">
        <v>1</v>
      </c>
      <c r="AK283" s="83" t="s">
        <v>121</v>
      </c>
      <c r="AL283" s="83">
        <v>1</v>
      </c>
      <c r="AN283" s="83" t="s">
        <v>121</v>
      </c>
      <c r="AO283" s="83">
        <v>1</v>
      </c>
      <c r="AQ283" s="83" t="s">
        <v>121</v>
      </c>
      <c r="AR283" s="83">
        <v>1</v>
      </c>
      <c r="AT283" s="83" t="s">
        <v>121</v>
      </c>
      <c r="AU283" s="83">
        <v>1</v>
      </c>
      <c r="AW283" s="83" t="s">
        <v>121</v>
      </c>
      <c r="AX283" s="83">
        <v>1</v>
      </c>
      <c r="AZ283" s="83" t="s">
        <v>121</v>
      </c>
      <c r="BA283" s="83">
        <v>1</v>
      </c>
      <c r="BC283" s="83" t="s">
        <v>121</v>
      </c>
      <c r="BD283" s="83">
        <v>1</v>
      </c>
      <c r="BF283" s="83" t="s">
        <v>121</v>
      </c>
      <c r="BG283" s="83">
        <v>1</v>
      </c>
      <c r="BI283" s="83" t="s">
        <v>121</v>
      </c>
      <c r="BJ283" s="83">
        <v>1</v>
      </c>
      <c r="BL283" s="83" t="s">
        <v>121</v>
      </c>
      <c r="BM283" s="83">
        <v>1</v>
      </c>
      <c r="BO283" s="83" t="s">
        <v>121</v>
      </c>
      <c r="BP283" s="83">
        <v>1</v>
      </c>
      <c r="BR283" s="83" t="s">
        <v>121</v>
      </c>
      <c r="BS283" s="83">
        <v>1</v>
      </c>
      <c r="BU283" s="83" t="s">
        <v>121</v>
      </c>
      <c r="BV283" s="83">
        <v>1</v>
      </c>
      <c r="BX283" s="83" t="s">
        <v>121</v>
      </c>
      <c r="BY283" s="83">
        <v>1</v>
      </c>
      <c r="CA283" s="83" t="s">
        <v>121</v>
      </c>
      <c r="CB283" s="83">
        <v>1</v>
      </c>
      <c r="CD283" s="83" t="s">
        <v>121</v>
      </c>
      <c r="CE283" s="83">
        <v>1</v>
      </c>
      <c r="CG283" s="83" t="s">
        <v>121</v>
      </c>
      <c r="CH283" s="83">
        <v>1</v>
      </c>
      <c r="CJ283" s="83" t="s">
        <v>121</v>
      </c>
      <c r="CK283" s="83">
        <v>1</v>
      </c>
      <c r="CM283" s="83" t="s">
        <v>121</v>
      </c>
      <c r="CN283" s="83">
        <v>1</v>
      </c>
      <c r="CP283" s="83" t="s">
        <v>121</v>
      </c>
      <c r="CQ283" s="83">
        <v>1</v>
      </c>
      <c r="CS283" s="83" t="s">
        <v>121</v>
      </c>
      <c r="CT283" s="83">
        <v>1</v>
      </c>
      <c r="CV283" s="83" t="s">
        <v>121</v>
      </c>
      <c r="CW283" s="83">
        <v>1</v>
      </c>
    </row>
    <row r="285" spans="1:101" x14ac:dyDescent="0.2">
      <c r="A285" s="83" t="s">
        <v>122</v>
      </c>
      <c r="B285" s="83">
        <v>1</v>
      </c>
      <c r="D285" s="83" t="s">
        <v>122</v>
      </c>
      <c r="E285" s="83">
        <v>1</v>
      </c>
      <c r="G285" s="83" t="s">
        <v>122</v>
      </c>
      <c r="H285" s="83">
        <v>1</v>
      </c>
      <c r="J285" s="83" t="s">
        <v>122</v>
      </c>
      <c r="K285" s="83">
        <v>1</v>
      </c>
      <c r="M285" s="83" t="s">
        <v>122</v>
      </c>
      <c r="N285" s="83">
        <v>1</v>
      </c>
      <c r="P285" s="83" t="s">
        <v>122</v>
      </c>
      <c r="Q285" s="83">
        <v>1</v>
      </c>
      <c r="S285" s="83" t="s">
        <v>122</v>
      </c>
      <c r="T285" s="83">
        <v>1</v>
      </c>
      <c r="V285" s="83" t="s">
        <v>122</v>
      </c>
      <c r="W285" s="83">
        <v>1</v>
      </c>
      <c r="Y285" s="83" t="s">
        <v>122</v>
      </c>
      <c r="Z285" s="83">
        <v>1</v>
      </c>
      <c r="AB285" s="83" t="s">
        <v>122</v>
      </c>
      <c r="AC285" s="83">
        <v>1</v>
      </c>
      <c r="AE285" s="83" t="s">
        <v>122</v>
      </c>
      <c r="AF285" s="83">
        <v>1</v>
      </c>
      <c r="AH285" s="83" t="s">
        <v>122</v>
      </c>
      <c r="AI285" s="83">
        <v>1</v>
      </c>
      <c r="AK285" s="83" t="s">
        <v>122</v>
      </c>
      <c r="AL285" s="83">
        <v>1</v>
      </c>
      <c r="AN285" s="83" t="s">
        <v>122</v>
      </c>
      <c r="AO285" s="83">
        <v>1</v>
      </c>
      <c r="AQ285" s="83" t="s">
        <v>122</v>
      </c>
      <c r="AR285" s="83">
        <v>1</v>
      </c>
      <c r="AT285" s="83" t="s">
        <v>122</v>
      </c>
      <c r="AU285" s="83">
        <v>1</v>
      </c>
      <c r="AW285" s="83" t="s">
        <v>122</v>
      </c>
      <c r="AX285" s="83">
        <v>1</v>
      </c>
      <c r="AZ285" s="83" t="s">
        <v>122</v>
      </c>
      <c r="BA285" s="83">
        <v>1</v>
      </c>
      <c r="BC285" s="83" t="s">
        <v>122</v>
      </c>
      <c r="BD285" s="83">
        <v>1</v>
      </c>
      <c r="BF285" s="83" t="s">
        <v>122</v>
      </c>
      <c r="BG285" s="83">
        <v>1</v>
      </c>
      <c r="BI285" s="83" t="s">
        <v>122</v>
      </c>
      <c r="BJ285" s="83">
        <v>1</v>
      </c>
      <c r="BL285" s="83" t="s">
        <v>122</v>
      </c>
      <c r="BM285" s="83">
        <v>1</v>
      </c>
      <c r="BO285" s="83" t="s">
        <v>122</v>
      </c>
      <c r="BP285" s="83">
        <v>1</v>
      </c>
      <c r="BR285" s="83" t="s">
        <v>122</v>
      </c>
      <c r="BS285" s="83">
        <v>1</v>
      </c>
      <c r="BU285" s="83" t="s">
        <v>122</v>
      </c>
      <c r="BV285" s="83">
        <v>1</v>
      </c>
      <c r="BX285" s="83" t="s">
        <v>122</v>
      </c>
      <c r="BY285" s="83">
        <v>1</v>
      </c>
      <c r="CA285" s="83" t="s">
        <v>122</v>
      </c>
      <c r="CB285" s="83">
        <v>1</v>
      </c>
      <c r="CD285" s="83" t="s">
        <v>122</v>
      </c>
      <c r="CE285" s="83">
        <v>1</v>
      </c>
      <c r="CG285" s="83" t="s">
        <v>122</v>
      </c>
      <c r="CH285" s="83">
        <v>1</v>
      </c>
      <c r="CJ285" s="83" t="s">
        <v>122</v>
      </c>
      <c r="CK285" s="83">
        <v>1</v>
      </c>
      <c r="CM285" s="83" t="s">
        <v>122</v>
      </c>
      <c r="CN285" s="83">
        <v>1</v>
      </c>
      <c r="CP285" s="83" t="s">
        <v>122</v>
      </c>
      <c r="CQ285" s="83">
        <v>1</v>
      </c>
      <c r="CS285" s="83" t="s">
        <v>122</v>
      </c>
      <c r="CT285" s="83">
        <v>1</v>
      </c>
      <c r="CV285" s="83" t="s">
        <v>122</v>
      </c>
      <c r="CW285" s="83">
        <v>1</v>
      </c>
    </row>
    <row r="287" spans="1:101" x14ac:dyDescent="0.2">
      <c r="A287" s="83" t="s">
        <v>123</v>
      </c>
      <c r="B287" s="83">
        <v>1</v>
      </c>
      <c r="D287" s="83" t="s">
        <v>123</v>
      </c>
      <c r="E287" s="83">
        <v>1</v>
      </c>
      <c r="G287" s="83" t="s">
        <v>123</v>
      </c>
      <c r="H287" s="83">
        <v>1</v>
      </c>
      <c r="J287" s="83" t="s">
        <v>123</v>
      </c>
      <c r="K287" s="83">
        <v>1</v>
      </c>
      <c r="M287" s="83" t="s">
        <v>123</v>
      </c>
      <c r="N287" s="83">
        <v>1</v>
      </c>
      <c r="P287" s="83" t="s">
        <v>123</v>
      </c>
      <c r="Q287" s="83">
        <v>1</v>
      </c>
      <c r="S287" s="83" t="s">
        <v>123</v>
      </c>
      <c r="T287" s="83">
        <v>1</v>
      </c>
      <c r="V287" s="83" t="s">
        <v>123</v>
      </c>
      <c r="W287" s="83">
        <v>1</v>
      </c>
      <c r="Y287" s="83" t="s">
        <v>123</v>
      </c>
      <c r="Z287" s="83">
        <v>1</v>
      </c>
      <c r="AB287" s="83" t="s">
        <v>123</v>
      </c>
      <c r="AC287" s="83">
        <v>1</v>
      </c>
      <c r="AE287" s="83" t="s">
        <v>123</v>
      </c>
      <c r="AF287" s="83">
        <v>1</v>
      </c>
      <c r="AH287" s="83" t="s">
        <v>123</v>
      </c>
      <c r="AI287" s="83">
        <v>1</v>
      </c>
      <c r="AK287" s="83" t="s">
        <v>123</v>
      </c>
      <c r="AL287" s="83">
        <v>1</v>
      </c>
      <c r="AN287" s="83" t="s">
        <v>123</v>
      </c>
      <c r="AO287" s="83">
        <v>1</v>
      </c>
      <c r="AQ287" s="83" t="s">
        <v>123</v>
      </c>
      <c r="AR287" s="83">
        <v>1</v>
      </c>
      <c r="AT287" s="83" t="s">
        <v>123</v>
      </c>
      <c r="AU287" s="83">
        <v>1</v>
      </c>
      <c r="AW287" s="83" t="s">
        <v>123</v>
      </c>
      <c r="AX287" s="83">
        <v>1</v>
      </c>
      <c r="AZ287" s="83" t="s">
        <v>123</v>
      </c>
      <c r="BA287" s="83">
        <v>1</v>
      </c>
      <c r="BC287" s="83" t="s">
        <v>123</v>
      </c>
      <c r="BD287" s="83">
        <v>1</v>
      </c>
      <c r="BF287" s="83" t="s">
        <v>123</v>
      </c>
      <c r="BG287" s="83">
        <v>1</v>
      </c>
      <c r="BI287" s="83" t="s">
        <v>123</v>
      </c>
      <c r="BJ287" s="83">
        <v>1</v>
      </c>
      <c r="BL287" s="83" t="s">
        <v>123</v>
      </c>
      <c r="BM287" s="83">
        <v>1</v>
      </c>
      <c r="BO287" s="83" t="s">
        <v>123</v>
      </c>
      <c r="BP287" s="83">
        <v>1</v>
      </c>
      <c r="BR287" s="83" t="s">
        <v>123</v>
      </c>
      <c r="BS287" s="83">
        <v>1</v>
      </c>
      <c r="BU287" s="83" t="s">
        <v>123</v>
      </c>
      <c r="BV287" s="83">
        <v>1</v>
      </c>
      <c r="BX287" s="83" t="s">
        <v>123</v>
      </c>
      <c r="BY287" s="83">
        <v>1</v>
      </c>
      <c r="CA287" s="83" t="s">
        <v>123</v>
      </c>
      <c r="CB287" s="83">
        <v>1</v>
      </c>
      <c r="CD287" s="83" t="s">
        <v>123</v>
      </c>
      <c r="CE287" s="83">
        <v>1</v>
      </c>
      <c r="CG287" s="83" t="s">
        <v>123</v>
      </c>
      <c r="CH287" s="83">
        <v>1</v>
      </c>
      <c r="CJ287" s="83" t="s">
        <v>123</v>
      </c>
      <c r="CK287" s="83">
        <v>1</v>
      </c>
      <c r="CM287" s="83" t="s">
        <v>123</v>
      </c>
      <c r="CN287" s="83">
        <v>1</v>
      </c>
      <c r="CP287" s="83" t="s">
        <v>123</v>
      </c>
      <c r="CQ287" s="83">
        <v>1</v>
      </c>
      <c r="CS287" s="83" t="s">
        <v>123</v>
      </c>
      <c r="CT287" s="83">
        <v>1</v>
      </c>
      <c r="CV287" s="83" t="s">
        <v>123</v>
      </c>
      <c r="CW287" s="83">
        <v>1</v>
      </c>
    </row>
    <row r="289" spans="1:101" x14ac:dyDescent="0.2">
      <c r="A289" s="83" t="s">
        <v>124</v>
      </c>
      <c r="B289" s="83" t="s">
        <v>151</v>
      </c>
      <c r="D289" s="83" t="s">
        <v>124</v>
      </c>
      <c r="E289" s="83" t="s">
        <v>151</v>
      </c>
      <c r="G289" s="83" t="s">
        <v>124</v>
      </c>
      <c r="H289" s="83" t="s">
        <v>151</v>
      </c>
      <c r="J289" s="83" t="s">
        <v>124</v>
      </c>
      <c r="K289" s="83" t="s">
        <v>151</v>
      </c>
      <c r="M289" s="83" t="s">
        <v>124</v>
      </c>
      <c r="N289" s="83" t="s">
        <v>151</v>
      </c>
      <c r="P289" s="83" t="s">
        <v>124</v>
      </c>
      <c r="Q289" s="83" t="s">
        <v>151</v>
      </c>
      <c r="S289" s="83" t="s">
        <v>124</v>
      </c>
      <c r="T289" s="83" t="s">
        <v>151</v>
      </c>
      <c r="V289" s="83" t="s">
        <v>124</v>
      </c>
      <c r="W289" s="83" t="s">
        <v>151</v>
      </c>
      <c r="Y289" s="83" t="s">
        <v>124</v>
      </c>
      <c r="Z289" s="83" t="s">
        <v>151</v>
      </c>
      <c r="AB289" s="83" t="s">
        <v>124</v>
      </c>
      <c r="AC289" s="83" t="s">
        <v>151</v>
      </c>
      <c r="AE289" s="83" t="s">
        <v>124</v>
      </c>
      <c r="AF289" s="83" t="s">
        <v>151</v>
      </c>
      <c r="AH289" s="83" t="s">
        <v>124</v>
      </c>
      <c r="AI289" s="83" t="s">
        <v>151</v>
      </c>
      <c r="AK289" s="83" t="s">
        <v>124</v>
      </c>
      <c r="AL289" s="83" t="s">
        <v>151</v>
      </c>
      <c r="AN289" s="83" t="s">
        <v>124</v>
      </c>
      <c r="AO289" s="83" t="s">
        <v>151</v>
      </c>
      <c r="AQ289" s="83" t="s">
        <v>124</v>
      </c>
      <c r="AR289" s="83" t="s">
        <v>151</v>
      </c>
      <c r="AT289" s="83" t="s">
        <v>124</v>
      </c>
      <c r="AU289" s="83" t="s">
        <v>151</v>
      </c>
      <c r="AW289" s="83" t="s">
        <v>124</v>
      </c>
      <c r="AX289" s="83" t="s">
        <v>151</v>
      </c>
      <c r="AZ289" s="83" t="s">
        <v>124</v>
      </c>
      <c r="BA289" s="83" t="s">
        <v>151</v>
      </c>
      <c r="BC289" s="83" t="s">
        <v>124</v>
      </c>
      <c r="BD289" s="83" t="s">
        <v>151</v>
      </c>
      <c r="BF289" s="83" t="s">
        <v>124</v>
      </c>
      <c r="BG289" s="83" t="s">
        <v>151</v>
      </c>
      <c r="BI289" s="83" t="s">
        <v>124</v>
      </c>
      <c r="BJ289" s="83" t="s">
        <v>151</v>
      </c>
      <c r="BL289" s="83" t="s">
        <v>124</v>
      </c>
      <c r="BM289" s="83" t="s">
        <v>151</v>
      </c>
      <c r="BO289" s="83" t="s">
        <v>124</v>
      </c>
      <c r="BP289" s="83" t="s">
        <v>151</v>
      </c>
      <c r="BR289" s="83" t="s">
        <v>124</v>
      </c>
      <c r="BS289" s="83" t="s">
        <v>151</v>
      </c>
      <c r="BU289" s="83" t="s">
        <v>124</v>
      </c>
      <c r="BV289" s="83" t="s">
        <v>151</v>
      </c>
      <c r="BX289" s="83" t="s">
        <v>124</v>
      </c>
      <c r="BY289" s="83" t="s">
        <v>151</v>
      </c>
      <c r="CA289" s="83" t="s">
        <v>124</v>
      </c>
      <c r="CB289" s="83" t="s">
        <v>151</v>
      </c>
      <c r="CD289" s="83" t="s">
        <v>124</v>
      </c>
      <c r="CE289" s="83" t="s">
        <v>151</v>
      </c>
      <c r="CG289" s="83" t="s">
        <v>124</v>
      </c>
      <c r="CH289" s="83" t="s">
        <v>151</v>
      </c>
      <c r="CJ289" s="83" t="s">
        <v>124</v>
      </c>
      <c r="CK289" s="83" t="s">
        <v>151</v>
      </c>
      <c r="CM289" s="83" t="s">
        <v>124</v>
      </c>
      <c r="CN289" s="83" t="s">
        <v>151</v>
      </c>
      <c r="CP289" s="83" t="s">
        <v>124</v>
      </c>
      <c r="CQ289" s="83" t="s">
        <v>151</v>
      </c>
      <c r="CS289" s="83" t="s">
        <v>124</v>
      </c>
      <c r="CT289" s="83" t="s">
        <v>151</v>
      </c>
      <c r="CV289" s="83" t="s">
        <v>124</v>
      </c>
      <c r="CW289" s="83" t="s">
        <v>151</v>
      </c>
    </row>
    <row r="291" spans="1:101" x14ac:dyDescent="0.2">
      <c r="A291" s="83" t="s">
        <v>125</v>
      </c>
      <c r="B291" s="83" t="s">
        <v>151</v>
      </c>
      <c r="D291" s="83" t="s">
        <v>125</v>
      </c>
      <c r="E291" s="83" t="s">
        <v>151</v>
      </c>
      <c r="G291" s="83" t="s">
        <v>125</v>
      </c>
      <c r="H291" s="83" t="s">
        <v>151</v>
      </c>
      <c r="J291" s="83" t="s">
        <v>125</v>
      </c>
      <c r="K291" s="83" t="s">
        <v>151</v>
      </c>
      <c r="M291" s="83" t="s">
        <v>125</v>
      </c>
      <c r="N291" s="83" t="s">
        <v>151</v>
      </c>
      <c r="P291" s="83" t="s">
        <v>125</v>
      </c>
      <c r="Q291" s="83" t="s">
        <v>151</v>
      </c>
      <c r="S291" s="83" t="s">
        <v>125</v>
      </c>
      <c r="T291" s="83" t="s">
        <v>151</v>
      </c>
      <c r="V291" s="83" t="s">
        <v>125</v>
      </c>
      <c r="W291" s="83" t="s">
        <v>151</v>
      </c>
      <c r="Y291" s="83" t="s">
        <v>125</v>
      </c>
      <c r="Z291" s="83" t="s">
        <v>151</v>
      </c>
      <c r="AB291" s="83" t="s">
        <v>125</v>
      </c>
      <c r="AC291" s="83" t="s">
        <v>151</v>
      </c>
      <c r="AE291" s="83" t="s">
        <v>125</v>
      </c>
      <c r="AF291" s="83" t="s">
        <v>151</v>
      </c>
      <c r="AH291" s="83" t="s">
        <v>125</v>
      </c>
      <c r="AI291" s="83" t="s">
        <v>151</v>
      </c>
      <c r="AK291" s="83" t="s">
        <v>125</v>
      </c>
      <c r="AL291" s="83" t="s">
        <v>151</v>
      </c>
      <c r="AN291" s="83" t="s">
        <v>125</v>
      </c>
      <c r="AO291" s="83" t="s">
        <v>151</v>
      </c>
      <c r="AQ291" s="83" t="s">
        <v>125</v>
      </c>
      <c r="AR291" s="83" t="s">
        <v>151</v>
      </c>
      <c r="AT291" s="83" t="s">
        <v>125</v>
      </c>
      <c r="AU291" s="83" t="s">
        <v>151</v>
      </c>
      <c r="AW291" s="83" t="s">
        <v>125</v>
      </c>
      <c r="AX291" s="83" t="s">
        <v>151</v>
      </c>
      <c r="AZ291" s="83" t="s">
        <v>125</v>
      </c>
      <c r="BA291" s="83" t="s">
        <v>151</v>
      </c>
      <c r="BC291" s="83" t="s">
        <v>125</v>
      </c>
      <c r="BD291" s="83" t="s">
        <v>151</v>
      </c>
      <c r="BF291" s="83" t="s">
        <v>125</v>
      </c>
      <c r="BG291" s="83" t="s">
        <v>151</v>
      </c>
      <c r="BI291" s="83" t="s">
        <v>125</v>
      </c>
      <c r="BJ291" s="83" t="s">
        <v>151</v>
      </c>
      <c r="BL291" s="83" t="s">
        <v>125</v>
      </c>
      <c r="BM291" s="83" t="s">
        <v>151</v>
      </c>
      <c r="BO291" s="83" t="s">
        <v>125</v>
      </c>
      <c r="BP291" s="83" t="s">
        <v>151</v>
      </c>
      <c r="BR291" s="83" t="s">
        <v>125</v>
      </c>
      <c r="BS291" s="83" t="s">
        <v>151</v>
      </c>
      <c r="BU291" s="83" t="s">
        <v>125</v>
      </c>
      <c r="BV291" s="83" t="s">
        <v>151</v>
      </c>
      <c r="BX291" s="83" t="s">
        <v>125</v>
      </c>
      <c r="BY291" s="83" t="s">
        <v>151</v>
      </c>
      <c r="CA291" s="83" t="s">
        <v>125</v>
      </c>
      <c r="CB291" s="83" t="s">
        <v>151</v>
      </c>
      <c r="CD291" s="83" t="s">
        <v>125</v>
      </c>
      <c r="CE291" s="83" t="s">
        <v>151</v>
      </c>
      <c r="CG291" s="83" t="s">
        <v>125</v>
      </c>
      <c r="CH291" s="83" t="s">
        <v>151</v>
      </c>
      <c r="CJ291" s="83" t="s">
        <v>125</v>
      </c>
      <c r="CK291" s="83" t="s">
        <v>151</v>
      </c>
      <c r="CM291" s="83" t="s">
        <v>125</v>
      </c>
      <c r="CN291" s="83" t="s">
        <v>151</v>
      </c>
      <c r="CP291" s="83" t="s">
        <v>125</v>
      </c>
      <c r="CQ291" s="83" t="s">
        <v>151</v>
      </c>
      <c r="CS291" s="83" t="s">
        <v>125</v>
      </c>
      <c r="CT291" s="83" t="s">
        <v>151</v>
      </c>
      <c r="CV291" s="83" t="s">
        <v>125</v>
      </c>
      <c r="CW291" s="83" t="s">
        <v>151</v>
      </c>
    </row>
    <row r="293" spans="1:101" x14ac:dyDescent="0.2">
      <c r="A293" s="83" t="s">
        <v>126</v>
      </c>
      <c r="B293" s="83">
        <v>1</v>
      </c>
      <c r="D293" s="83" t="s">
        <v>126</v>
      </c>
      <c r="E293" s="83">
        <v>1</v>
      </c>
      <c r="G293" s="83" t="s">
        <v>126</v>
      </c>
      <c r="H293" s="83">
        <v>1</v>
      </c>
      <c r="J293" s="83" t="s">
        <v>126</v>
      </c>
      <c r="K293" s="83">
        <v>1</v>
      </c>
      <c r="M293" s="83" t="s">
        <v>126</v>
      </c>
      <c r="N293" s="83">
        <v>1</v>
      </c>
      <c r="P293" s="83" t="s">
        <v>126</v>
      </c>
      <c r="Q293" s="83">
        <v>1</v>
      </c>
      <c r="S293" s="83" t="s">
        <v>126</v>
      </c>
      <c r="T293" s="83">
        <v>1</v>
      </c>
      <c r="V293" s="83" t="s">
        <v>126</v>
      </c>
      <c r="W293" s="83">
        <v>1</v>
      </c>
      <c r="Y293" s="83" t="s">
        <v>126</v>
      </c>
      <c r="Z293" s="83">
        <v>1</v>
      </c>
      <c r="AB293" s="83" t="s">
        <v>126</v>
      </c>
      <c r="AC293" s="83">
        <v>1</v>
      </c>
      <c r="AE293" s="83" t="s">
        <v>126</v>
      </c>
      <c r="AF293" s="83">
        <v>1</v>
      </c>
      <c r="AH293" s="83" t="s">
        <v>126</v>
      </c>
      <c r="AI293" s="83">
        <v>1</v>
      </c>
      <c r="AK293" s="83" t="s">
        <v>126</v>
      </c>
      <c r="AL293" s="83">
        <v>1</v>
      </c>
      <c r="AN293" s="83" t="s">
        <v>126</v>
      </c>
      <c r="AO293" s="83">
        <v>1</v>
      </c>
      <c r="AQ293" s="83" t="s">
        <v>126</v>
      </c>
      <c r="AR293" s="83">
        <v>1</v>
      </c>
      <c r="AT293" s="83" t="s">
        <v>126</v>
      </c>
      <c r="AU293" s="83">
        <v>1</v>
      </c>
      <c r="AW293" s="83" t="s">
        <v>126</v>
      </c>
      <c r="AX293" s="83">
        <v>1</v>
      </c>
      <c r="AZ293" s="83" t="s">
        <v>126</v>
      </c>
      <c r="BA293" s="83">
        <v>1</v>
      </c>
      <c r="BC293" s="83" t="s">
        <v>126</v>
      </c>
      <c r="BD293" s="83">
        <v>1</v>
      </c>
      <c r="BF293" s="83" t="s">
        <v>126</v>
      </c>
      <c r="BG293" s="83">
        <v>1</v>
      </c>
      <c r="BI293" s="83" t="s">
        <v>126</v>
      </c>
      <c r="BJ293" s="83">
        <v>1</v>
      </c>
      <c r="BL293" s="83" t="s">
        <v>126</v>
      </c>
      <c r="BM293" s="83">
        <v>1</v>
      </c>
      <c r="BO293" s="83" t="s">
        <v>126</v>
      </c>
      <c r="BP293" s="83">
        <v>1</v>
      </c>
      <c r="BR293" s="83" t="s">
        <v>126</v>
      </c>
      <c r="BS293" s="83">
        <v>1</v>
      </c>
      <c r="BU293" s="83" t="s">
        <v>126</v>
      </c>
      <c r="BV293" s="83">
        <v>1</v>
      </c>
      <c r="BX293" s="83" t="s">
        <v>126</v>
      </c>
      <c r="BY293" s="83">
        <v>1</v>
      </c>
      <c r="CA293" s="83" t="s">
        <v>126</v>
      </c>
      <c r="CB293" s="83">
        <v>1</v>
      </c>
      <c r="CD293" s="83" t="s">
        <v>126</v>
      </c>
      <c r="CE293" s="83">
        <v>1</v>
      </c>
      <c r="CG293" s="83" t="s">
        <v>126</v>
      </c>
      <c r="CH293" s="83">
        <v>1</v>
      </c>
      <c r="CJ293" s="83" t="s">
        <v>126</v>
      </c>
      <c r="CK293" s="83">
        <v>1</v>
      </c>
      <c r="CM293" s="83" t="s">
        <v>126</v>
      </c>
      <c r="CN293" s="83">
        <v>1</v>
      </c>
      <c r="CP293" s="83" t="s">
        <v>126</v>
      </c>
      <c r="CQ293" s="83">
        <v>1</v>
      </c>
      <c r="CS293" s="83" t="s">
        <v>126</v>
      </c>
      <c r="CT293" s="83">
        <v>1</v>
      </c>
      <c r="CV293" s="83" t="s">
        <v>126</v>
      </c>
      <c r="CW293" s="83">
        <v>1</v>
      </c>
    </row>
    <row r="295" spans="1:101" x14ac:dyDescent="0.2">
      <c r="A295" s="83" t="s">
        <v>127</v>
      </c>
      <c r="B295" s="83">
        <v>1</v>
      </c>
      <c r="D295" s="83" t="s">
        <v>127</v>
      </c>
      <c r="E295" s="83">
        <v>1</v>
      </c>
      <c r="G295" s="83" t="s">
        <v>127</v>
      </c>
      <c r="H295" s="83">
        <v>1</v>
      </c>
      <c r="J295" s="83" t="s">
        <v>127</v>
      </c>
      <c r="K295" s="83">
        <v>1</v>
      </c>
      <c r="M295" s="83" t="s">
        <v>127</v>
      </c>
      <c r="N295" s="83">
        <v>1</v>
      </c>
      <c r="P295" s="83" t="s">
        <v>127</v>
      </c>
      <c r="Q295" s="83">
        <v>1</v>
      </c>
      <c r="S295" s="83" t="s">
        <v>127</v>
      </c>
      <c r="T295" s="83">
        <v>1</v>
      </c>
      <c r="V295" s="83" t="s">
        <v>127</v>
      </c>
      <c r="W295" s="83">
        <v>1</v>
      </c>
      <c r="Y295" s="83" t="s">
        <v>127</v>
      </c>
      <c r="Z295" s="83">
        <v>1</v>
      </c>
      <c r="AB295" s="83" t="s">
        <v>127</v>
      </c>
      <c r="AC295" s="83">
        <v>1</v>
      </c>
      <c r="AE295" s="83" t="s">
        <v>127</v>
      </c>
      <c r="AF295" s="83">
        <v>1</v>
      </c>
      <c r="AH295" s="83" t="s">
        <v>127</v>
      </c>
      <c r="AI295" s="83">
        <v>1</v>
      </c>
      <c r="AK295" s="83" t="s">
        <v>127</v>
      </c>
      <c r="AL295" s="83">
        <v>1</v>
      </c>
      <c r="AN295" s="83" t="s">
        <v>127</v>
      </c>
      <c r="AO295" s="83">
        <v>1</v>
      </c>
      <c r="AQ295" s="83" t="s">
        <v>127</v>
      </c>
      <c r="AR295" s="83">
        <v>1</v>
      </c>
      <c r="AT295" s="83" t="s">
        <v>127</v>
      </c>
      <c r="AU295" s="83">
        <v>1</v>
      </c>
      <c r="AW295" s="83" t="s">
        <v>127</v>
      </c>
      <c r="AX295" s="83">
        <v>1</v>
      </c>
      <c r="AZ295" s="83" t="s">
        <v>127</v>
      </c>
      <c r="BA295" s="83">
        <v>1</v>
      </c>
      <c r="BC295" s="83" t="s">
        <v>127</v>
      </c>
      <c r="BD295" s="83">
        <v>1</v>
      </c>
      <c r="BF295" s="83" t="s">
        <v>127</v>
      </c>
      <c r="BG295" s="83">
        <v>1</v>
      </c>
      <c r="BI295" s="83" t="s">
        <v>127</v>
      </c>
      <c r="BJ295" s="83">
        <v>1</v>
      </c>
      <c r="BL295" s="83" t="s">
        <v>127</v>
      </c>
      <c r="BM295" s="83">
        <v>1</v>
      </c>
      <c r="BO295" s="83" t="s">
        <v>127</v>
      </c>
      <c r="BP295" s="83">
        <v>1</v>
      </c>
      <c r="BR295" s="83" t="s">
        <v>127</v>
      </c>
      <c r="BS295" s="83">
        <v>1</v>
      </c>
      <c r="BU295" s="83" t="s">
        <v>127</v>
      </c>
      <c r="BV295" s="83">
        <v>1</v>
      </c>
      <c r="BX295" s="83" t="s">
        <v>127</v>
      </c>
      <c r="BY295" s="83">
        <v>1</v>
      </c>
      <c r="CA295" s="83" t="s">
        <v>127</v>
      </c>
      <c r="CB295" s="83">
        <v>1</v>
      </c>
      <c r="CD295" s="83" t="s">
        <v>127</v>
      </c>
      <c r="CE295" s="83">
        <v>1</v>
      </c>
      <c r="CG295" s="83" t="s">
        <v>127</v>
      </c>
      <c r="CH295" s="83">
        <v>1</v>
      </c>
      <c r="CJ295" s="83" t="s">
        <v>127</v>
      </c>
      <c r="CK295" s="83">
        <v>1</v>
      </c>
      <c r="CM295" s="83" t="s">
        <v>127</v>
      </c>
      <c r="CN295" s="83">
        <v>1</v>
      </c>
      <c r="CP295" s="83" t="s">
        <v>127</v>
      </c>
      <c r="CQ295" s="83">
        <v>1</v>
      </c>
      <c r="CS295" s="83" t="s">
        <v>127</v>
      </c>
      <c r="CT295" s="83">
        <v>1</v>
      </c>
      <c r="CV295" s="83" t="s">
        <v>127</v>
      </c>
      <c r="CW295" s="83">
        <v>1</v>
      </c>
    </row>
    <row r="297" spans="1:101" x14ac:dyDescent="0.2">
      <c r="A297" s="83" t="s">
        <v>128</v>
      </c>
      <c r="B297" s="83" t="s">
        <v>151</v>
      </c>
      <c r="D297" s="83" t="s">
        <v>128</v>
      </c>
      <c r="E297" s="83" t="s">
        <v>151</v>
      </c>
      <c r="G297" s="83" t="s">
        <v>128</v>
      </c>
      <c r="H297" s="83" t="s">
        <v>151</v>
      </c>
      <c r="J297" s="83" t="s">
        <v>128</v>
      </c>
      <c r="K297" s="83" t="s">
        <v>151</v>
      </c>
      <c r="M297" s="83" t="s">
        <v>128</v>
      </c>
      <c r="N297" s="83" t="s">
        <v>151</v>
      </c>
      <c r="P297" s="83" t="s">
        <v>128</v>
      </c>
      <c r="Q297" s="83" t="s">
        <v>151</v>
      </c>
      <c r="S297" s="83" t="s">
        <v>128</v>
      </c>
      <c r="T297" s="83" t="s">
        <v>151</v>
      </c>
      <c r="V297" s="83" t="s">
        <v>128</v>
      </c>
      <c r="W297" s="83" t="s">
        <v>151</v>
      </c>
      <c r="Y297" s="83" t="s">
        <v>128</v>
      </c>
      <c r="Z297" s="83" t="s">
        <v>151</v>
      </c>
      <c r="AB297" s="83" t="s">
        <v>128</v>
      </c>
      <c r="AC297" s="83" t="s">
        <v>151</v>
      </c>
      <c r="AE297" s="83" t="s">
        <v>128</v>
      </c>
      <c r="AF297" s="83" t="s">
        <v>151</v>
      </c>
      <c r="AH297" s="83" t="s">
        <v>128</v>
      </c>
      <c r="AI297" s="83" t="s">
        <v>151</v>
      </c>
      <c r="AK297" s="83" t="s">
        <v>128</v>
      </c>
      <c r="AL297" s="83" t="s">
        <v>151</v>
      </c>
      <c r="AN297" s="83" t="s">
        <v>128</v>
      </c>
      <c r="AO297" s="83" t="s">
        <v>151</v>
      </c>
      <c r="AQ297" s="83" t="s">
        <v>128</v>
      </c>
      <c r="AR297" s="83" t="s">
        <v>151</v>
      </c>
      <c r="AT297" s="83" t="s">
        <v>128</v>
      </c>
      <c r="AU297" s="83" t="s">
        <v>151</v>
      </c>
      <c r="AW297" s="83" t="s">
        <v>128</v>
      </c>
      <c r="AX297" s="83" t="s">
        <v>151</v>
      </c>
      <c r="AZ297" s="83" t="s">
        <v>128</v>
      </c>
      <c r="BA297" s="83" t="s">
        <v>151</v>
      </c>
      <c r="BC297" s="83" t="s">
        <v>128</v>
      </c>
      <c r="BD297" s="83" t="s">
        <v>151</v>
      </c>
      <c r="BF297" s="83" t="s">
        <v>128</v>
      </c>
      <c r="BG297" s="83" t="s">
        <v>151</v>
      </c>
      <c r="BI297" s="83" t="s">
        <v>128</v>
      </c>
      <c r="BJ297" s="83" t="s">
        <v>151</v>
      </c>
      <c r="BL297" s="83" t="s">
        <v>128</v>
      </c>
      <c r="BM297" s="83" t="s">
        <v>151</v>
      </c>
      <c r="BO297" s="83" t="s">
        <v>128</v>
      </c>
      <c r="BP297" s="83" t="s">
        <v>151</v>
      </c>
      <c r="BR297" s="83" t="s">
        <v>128</v>
      </c>
      <c r="BS297" s="83" t="s">
        <v>151</v>
      </c>
      <c r="BU297" s="83" t="s">
        <v>128</v>
      </c>
      <c r="BV297" s="83" t="s">
        <v>151</v>
      </c>
      <c r="BX297" s="83" t="s">
        <v>128</v>
      </c>
      <c r="BY297" s="83" t="s">
        <v>151</v>
      </c>
      <c r="CA297" s="83" t="s">
        <v>128</v>
      </c>
      <c r="CB297" s="83" t="s">
        <v>151</v>
      </c>
      <c r="CD297" s="83" t="s">
        <v>128</v>
      </c>
      <c r="CE297" s="83" t="s">
        <v>151</v>
      </c>
      <c r="CG297" s="83" t="s">
        <v>128</v>
      </c>
      <c r="CH297" s="83" t="s">
        <v>151</v>
      </c>
      <c r="CJ297" s="83" t="s">
        <v>128</v>
      </c>
      <c r="CK297" s="83" t="s">
        <v>151</v>
      </c>
      <c r="CM297" s="83" t="s">
        <v>128</v>
      </c>
      <c r="CN297" s="83" t="s">
        <v>151</v>
      </c>
      <c r="CP297" s="83" t="s">
        <v>128</v>
      </c>
      <c r="CQ297" s="83" t="s">
        <v>151</v>
      </c>
      <c r="CS297" s="83" t="s">
        <v>128</v>
      </c>
      <c r="CT297" s="83" t="s">
        <v>151</v>
      </c>
      <c r="CV297" s="83" t="s">
        <v>128</v>
      </c>
      <c r="CW297" s="83" t="s">
        <v>151</v>
      </c>
    </row>
    <row r="299" spans="1:101" x14ac:dyDescent="0.2">
      <c r="A299" s="83" t="s">
        <v>152</v>
      </c>
      <c r="B299" s="83" t="s">
        <v>151</v>
      </c>
      <c r="D299" s="83" t="s">
        <v>152</v>
      </c>
      <c r="E299" s="83" t="s">
        <v>151</v>
      </c>
      <c r="G299" s="83" t="s">
        <v>152</v>
      </c>
      <c r="H299" s="83" t="s">
        <v>151</v>
      </c>
      <c r="J299" s="83" t="s">
        <v>152</v>
      </c>
      <c r="K299" s="83" t="s">
        <v>151</v>
      </c>
      <c r="M299" s="83" t="s">
        <v>152</v>
      </c>
      <c r="N299" s="83" t="s">
        <v>151</v>
      </c>
      <c r="P299" s="83" t="s">
        <v>152</v>
      </c>
      <c r="Q299" s="83" t="s">
        <v>151</v>
      </c>
      <c r="S299" s="83" t="s">
        <v>152</v>
      </c>
      <c r="T299" s="83" t="s">
        <v>151</v>
      </c>
      <c r="V299" s="83" t="s">
        <v>152</v>
      </c>
      <c r="W299" s="83" t="s">
        <v>151</v>
      </c>
      <c r="Y299" s="83" t="s">
        <v>152</v>
      </c>
      <c r="Z299" s="83" t="s">
        <v>151</v>
      </c>
      <c r="AB299" s="83" t="s">
        <v>152</v>
      </c>
      <c r="AC299" s="83" t="s">
        <v>151</v>
      </c>
      <c r="AE299" s="83" t="s">
        <v>152</v>
      </c>
      <c r="AF299" s="83" t="s">
        <v>151</v>
      </c>
      <c r="AH299" s="83" t="s">
        <v>152</v>
      </c>
      <c r="AI299" s="83" t="s">
        <v>151</v>
      </c>
      <c r="AK299" s="83" t="s">
        <v>152</v>
      </c>
      <c r="AL299" s="83" t="s">
        <v>151</v>
      </c>
      <c r="AN299" s="83" t="s">
        <v>152</v>
      </c>
      <c r="AO299" s="83" t="s">
        <v>151</v>
      </c>
      <c r="AQ299" s="83" t="s">
        <v>152</v>
      </c>
      <c r="AR299" s="83" t="s">
        <v>151</v>
      </c>
      <c r="AT299" s="83" t="s">
        <v>152</v>
      </c>
      <c r="AU299" s="83" t="s">
        <v>151</v>
      </c>
      <c r="AW299" s="83" t="s">
        <v>152</v>
      </c>
      <c r="AX299" s="83" t="s">
        <v>151</v>
      </c>
      <c r="AZ299" s="83" t="s">
        <v>152</v>
      </c>
      <c r="BA299" s="83" t="s">
        <v>151</v>
      </c>
      <c r="BC299" s="83" t="s">
        <v>152</v>
      </c>
      <c r="BD299" s="83" t="s">
        <v>151</v>
      </c>
      <c r="BF299" s="83" t="s">
        <v>152</v>
      </c>
      <c r="BG299" s="83" t="s">
        <v>151</v>
      </c>
      <c r="BI299" s="83" t="s">
        <v>152</v>
      </c>
      <c r="BJ299" s="83" t="s">
        <v>151</v>
      </c>
      <c r="BL299" s="83" t="s">
        <v>152</v>
      </c>
      <c r="BM299" s="83" t="s">
        <v>151</v>
      </c>
      <c r="BO299" s="83" t="s">
        <v>152</v>
      </c>
      <c r="BP299" s="83" t="s">
        <v>151</v>
      </c>
      <c r="BR299" s="83" t="s">
        <v>152</v>
      </c>
      <c r="BS299" s="83" t="s">
        <v>151</v>
      </c>
      <c r="BU299" s="83" t="s">
        <v>152</v>
      </c>
      <c r="BV299" s="83" t="s">
        <v>151</v>
      </c>
      <c r="BX299" s="83" t="s">
        <v>152</v>
      </c>
      <c r="BY299" s="83" t="s">
        <v>151</v>
      </c>
      <c r="CA299" s="83" t="s">
        <v>152</v>
      </c>
      <c r="CB299" s="83" t="s">
        <v>151</v>
      </c>
      <c r="CD299" s="83" t="s">
        <v>152</v>
      </c>
      <c r="CE299" s="83" t="s">
        <v>151</v>
      </c>
      <c r="CG299" s="83" t="s">
        <v>152</v>
      </c>
      <c r="CH299" s="83" t="s">
        <v>151</v>
      </c>
      <c r="CJ299" s="83" t="s">
        <v>152</v>
      </c>
      <c r="CK299" s="83" t="s">
        <v>151</v>
      </c>
      <c r="CM299" s="83" t="s">
        <v>152</v>
      </c>
      <c r="CN299" s="83" t="s">
        <v>151</v>
      </c>
      <c r="CP299" s="83" t="s">
        <v>152</v>
      </c>
      <c r="CQ299" s="83" t="s">
        <v>151</v>
      </c>
      <c r="CS299" s="83" t="s">
        <v>152</v>
      </c>
      <c r="CT299" s="83" t="s">
        <v>151</v>
      </c>
      <c r="CV299" s="83" t="s">
        <v>152</v>
      </c>
      <c r="CW299" s="83" t="s">
        <v>151</v>
      </c>
    </row>
    <row r="301" spans="1:101" x14ac:dyDescent="0.2">
      <c r="A301" s="83" t="s">
        <v>129</v>
      </c>
      <c r="D301" s="83" t="s">
        <v>129</v>
      </c>
      <c r="G301" s="83" t="s">
        <v>129</v>
      </c>
      <c r="J301" s="83" t="s">
        <v>129</v>
      </c>
      <c r="M301" s="83" t="s">
        <v>129</v>
      </c>
      <c r="P301" s="83" t="s">
        <v>129</v>
      </c>
      <c r="S301" s="83" t="s">
        <v>129</v>
      </c>
      <c r="V301" s="83" t="s">
        <v>129</v>
      </c>
      <c r="Y301" s="83" t="s">
        <v>129</v>
      </c>
      <c r="AB301" s="83" t="s">
        <v>129</v>
      </c>
      <c r="AE301" s="83" t="s">
        <v>129</v>
      </c>
      <c r="AH301" s="83" t="s">
        <v>129</v>
      </c>
      <c r="AK301" s="83" t="s">
        <v>129</v>
      </c>
      <c r="AN301" s="83" t="s">
        <v>129</v>
      </c>
      <c r="AQ301" s="83" t="s">
        <v>129</v>
      </c>
      <c r="AT301" s="83" t="s">
        <v>129</v>
      </c>
      <c r="AW301" s="83" t="s">
        <v>129</v>
      </c>
      <c r="AZ301" s="83" t="s">
        <v>129</v>
      </c>
      <c r="BC301" s="83" t="s">
        <v>129</v>
      </c>
      <c r="BF301" s="83" t="s">
        <v>129</v>
      </c>
      <c r="BI301" s="83" t="s">
        <v>129</v>
      </c>
      <c r="BL301" s="83" t="s">
        <v>129</v>
      </c>
      <c r="BO301" s="83" t="s">
        <v>129</v>
      </c>
      <c r="BR301" s="83" t="s">
        <v>129</v>
      </c>
      <c r="BU301" s="83" t="s">
        <v>129</v>
      </c>
      <c r="BX301" s="83" t="s">
        <v>129</v>
      </c>
      <c r="CA301" s="83" t="s">
        <v>129</v>
      </c>
      <c r="CD301" s="83" t="s">
        <v>129</v>
      </c>
      <c r="CG301" s="83" t="s">
        <v>129</v>
      </c>
      <c r="CJ301" s="83" t="s">
        <v>129</v>
      </c>
      <c r="CM301" s="83" t="s">
        <v>129</v>
      </c>
      <c r="CP301" s="83" t="s">
        <v>129</v>
      </c>
      <c r="CS301" s="83" t="s">
        <v>129</v>
      </c>
      <c r="CV301" s="83" t="s">
        <v>129</v>
      </c>
    </row>
    <row r="302" spans="1:101" x14ac:dyDescent="0.2">
      <c r="A302" s="83" t="s">
        <v>86</v>
      </c>
      <c r="B302" s="83">
        <v>1</v>
      </c>
      <c r="D302" s="83" t="s">
        <v>86</v>
      </c>
      <c r="E302" s="83">
        <v>1</v>
      </c>
      <c r="G302" s="83" t="s">
        <v>86</v>
      </c>
      <c r="H302" s="83">
        <v>1</v>
      </c>
      <c r="J302" s="83" t="s">
        <v>86</v>
      </c>
      <c r="K302" s="83">
        <v>1</v>
      </c>
      <c r="M302" s="83" t="s">
        <v>86</v>
      </c>
      <c r="N302" s="83">
        <v>1</v>
      </c>
      <c r="P302" s="83" t="s">
        <v>86</v>
      </c>
      <c r="Q302" s="83">
        <v>1</v>
      </c>
      <c r="S302" s="83" t="s">
        <v>86</v>
      </c>
      <c r="T302" s="83">
        <v>1</v>
      </c>
      <c r="V302" s="83" t="s">
        <v>86</v>
      </c>
      <c r="W302" s="83">
        <v>1</v>
      </c>
      <c r="Y302" s="83" t="s">
        <v>86</v>
      </c>
      <c r="Z302" s="83">
        <v>1</v>
      </c>
      <c r="AB302" s="83" t="s">
        <v>86</v>
      </c>
      <c r="AC302" s="83">
        <v>1</v>
      </c>
      <c r="AE302" s="83" t="s">
        <v>86</v>
      </c>
      <c r="AF302" s="83">
        <v>1</v>
      </c>
      <c r="AH302" s="83" t="s">
        <v>86</v>
      </c>
      <c r="AI302" s="83">
        <v>1</v>
      </c>
      <c r="AK302" s="83" t="s">
        <v>86</v>
      </c>
      <c r="AL302" s="83">
        <v>1</v>
      </c>
      <c r="AN302" s="83" t="s">
        <v>86</v>
      </c>
      <c r="AO302" s="83">
        <v>1</v>
      </c>
      <c r="AQ302" s="83" t="s">
        <v>86</v>
      </c>
      <c r="AR302" s="83">
        <v>1</v>
      </c>
      <c r="AT302" s="83" t="s">
        <v>86</v>
      </c>
      <c r="AU302" s="83">
        <v>1</v>
      </c>
      <c r="AW302" s="83" t="s">
        <v>86</v>
      </c>
      <c r="AX302" s="83">
        <v>1</v>
      </c>
      <c r="AZ302" s="83" t="s">
        <v>86</v>
      </c>
      <c r="BA302" s="83">
        <v>1</v>
      </c>
      <c r="BC302" s="83" t="s">
        <v>86</v>
      </c>
      <c r="BD302" s="83">
        <v>1</v>
      </c>
      <c r="BF302" s="83" t="s">
        <v>86</v>
      </c>
      <c r="BG302" s="83">
        <v>1</v>
      </c>
      <c r="BI302" s="83" t="s">
        <v>86</v>
      </c>
      <c r="BJ302" s="83">
        <v>1</v>
      </c>
      <c r="BL302" s="83" t="s">
        <v>86</v>
      </c>
      <c r="BM302" s="83">
        <v>1</v>
      </c>
      <c r="BO302" s="83" t="s">
        <v>86</v>
      </c>
      <c r="BP302" s="83">
        <v>1</v>
      </c>
      <c r="BR302" s="83" t="s">
        <v>86</v>
      </c>
      <c r="BS302" s="83">
        <v>1</v>
      </c>
      <c r="BU302" s="83" t="s">
        <v>86</v>
      </c>
      <c r="BV302" s="83">
        <v>1</v>
      </c>
      <c r="BX302" s="83" t="s">
        <v>86</v>
      </c>
      <c r="BY302" s="83">
        <v>1</v>
      </c>
      <c r="CA302" s="83" t="s">
        <v>86</v>
      </c>
      <c r="CB302" s="83">
        <v>1</v>
      </c>
      <c r="CD302" s="83" t="s">
        <v>86</v>
      </c>
      <c r="CE302" s="83">
        <v>1</v>
      </c>
      <c r="CG302" s="83" t="s">
        <v>86</v>
      </c>
      <c r="CH302" s="83">
        <v>1</v>
      </c>
      <c r="CJ302" s="83" t="s">
        <v>86</v>
      </c>
      <c r="CK302" s="83">
        <v>1</v>
      </c>
      <c r="CM302" s="83" t="s">
        <v>86</v>
      </c>
      <c r="CN302" s="83">
        <v>1</v>
      </c>
      <c r="CP302" s="83" t="s">
        <v>86</v>
      </c>
      <c r="CQ302" s="83">
        <v>1</v>
      </c>
      <c r="CS302" s="83" t="s">
        <v>86</v>
      </c>
      <c r="CT302" s="83">
        <v>1</v>
      </c>
      <c r="CV302" s="83" t="s">
        <v>86</v>
      </c>
      <c r="CW302" s="83">
        <v>1</v>
      </c>
    </row>
    <row r="304" spans="1:101" x14ac:dyDescent="0.2">
      <c r="A304" s="83" t="s">
        <v>87</v>
      </c>
      <c r="B304" s="83">
        <v>1</v>
      </c>
      <c r="D304" s="83" t="s">
        <v>87</v>
      </c>
      <c r="E304" s="83">
        <v>1</v>
      </c>
      <c r="G304" s="83" t="s">
        <v>87</v>
      </c>
      <c r="H304" s="83">
        <v>1</v>
      </c>
      <c r="J304" s="83" t="s">
        <v>87</v>
      </c>
      <c r="K304" s="83">
        <v>1</v>
      </c>
      <c r="M304" s="83" t="s">
        <v>87</v>
      </c>
      <c r="N304" s="83">
        <v>1</v>
      </c>
      <c r="P304" s="83" t="s">
        <v>87</v>
      </c>
      <c r="Q304" s="83">
        <v>1</v>
      </c>
      <c r="S304" s="83" t="s">
        <v>87</v>
      </c>
      <c r="T304" s="83">
        <v>1</v>
      </c>
      <c r="V304" s="83" t="s">
        <v>87</v>
      </c>
      <c r="W304" s="83">
        <v>1</v>
      </c>
      <c r="Y304" s="83" t="s">
        <v>87</v>
      </c>
      <c r="Z304" s="83">
        <v>1</v>
      </c>
      <c r="AB304" s="83" t="s">
        <v>87</v>
      </c>
      <c r="AC304" s="83">
        <v>1</v>
      </c>
      <c r="AE304" s="83" t="s">
        <v>87</v>
      </c>
      <c r="AF304" s="83">
        <v>1</v>
      </c>
      <c r="AH304" s="83" t="s">
        <v>87</v>
      </c>
      <c r="AI304" s="83">
        <v>1</v>
      </c>
      <c r="AK304" s="83" t="s">
        <v>87</v>
      </c>
      <c r="AL304" s="83">
        <v>1</v>
      </c>
      <c r="AN304" s="83" t="s">
        <v>87</v>
      </c>
      <c r="AO304" s="83">
        <v>1</v>
      </c>
      <c r="AQ304" s="83" t="s">
        <v>87</v>
      </c>
      <c r="AR304" s="83">
        <v>1</v>
      </c>
      <c r="AT304" s="83" t="s">
        <v>87</v>
      </c>
      <c r="AU304" s="83">
        <v>1</v>
      </c>
      <c r="AW304" s="83" t="s">
        <v>87</v>
      </c>
      <c r="AX304" s="83">
        <v>1</v>
      </c>
      <c r="AZ304" s="83" t="s">
        <v>87</v>
      </c>
      <c r="BA304" s="83">
        <v>1</v>
      </c>
      <c r="BC304" s="83" t="s">
        <v>87</v>
      </c>
      <c r="BD304" s="83">
        <v>1</v>
      </c>
      <c r="BF304" s="83" t="s">
        <v>87</v>
      </c>
      <c r="BG304" s="83">
        <v>1</v>
      </c>
      <c r="BI304" s="83" t="s">
        <v>87</v>
      </c>
      <c r="BJ304" s="83">
        <v>1</v>
      </c>
      <c r="BL304" s="83" t="s">
        <v>87</v>
      </c>
      <c r="BM304" s="83">
        <v>1</v>
      </c>
      <c r="BO304" s="83" t="s">
        <v>87</v>
      </c>
      <c r="BP304" s="83">
        <v>1</v>
      </c>
      <c r="BR304" s="83" t="s">
        <v>87</v>
      </c>
      <c r="BS304" s="83">
        <v>1</v>
      </c>
      <c r="BU304" s="83" t="s">
        <v>87</v>
      </c>
      <c r="BV304" s="83">
        <v>1</v>
      </c>
      <c r="BX304" s="83" t="s">
        <v>87</v>
      </c>
      <c r="BY304" s="83">
        <v>1</v>
      </c>
      <c r="CA304" s="83" t="s">
        <v>87</v>
      </c>
      <c r="CB304" s="83">
        <v>1</v>
      </c>
      <c r="CD304" s="83" t="s">
        <v>87</v>
      </c>
      <c r="CE304" s="83">
        <v>1</v>
      </c>
      <c r="CG304" s="83" t="s">
        <v>87</v>
      </c>
      <c r="CH304" s="83">
        <v>1</v>
      </c>
      <c r="CJ304" s="83" t="s">
        <v>87</v>
      </c>
      <c r="CK304" s="83">
        <v>1</v>
      </c>
      <c r="CM304" s="83" t="s">
        <v>87</v>
      </c>
      <c r="CN304" s="83">
        <v>1</v>
      </c>
      <c r="CP304" s="83" t="s">
        <v>87</v>
      </c>
      <c r="CQ304" s="83">
        <v>1</v>
      </c>
      <c r="CS304" s="83" t="s">
        <v>87</v>
      </c>
      <c r="CT304" s="83">
        <v>1</v>
      </c>
      <c r="CV304" s="83" t="s">
        <v>87</v>
      </c>
      <c r="CW304" s="83">
        <v>1</v>
      </c>
    </row>
    <row r="306" spans="1:101" x14ac:dyDescent="0.2">
      <c r="A306" s="83" t="s">
        <v>88</v>
      </c>
      <c r="B306" s="83">
        <v>1</v>
      </c>
      <c r="D306" s="83" t="s">
        <v>88</v>
      </c>
      <c r="E306" s="83">
        <v>1</v>
      </c>
      <c r="G306" s="83" t="s">
        <v>88</v>
      </c>
      <c r="H306" s="83">
        <v>1</v>
      </c>
      <c r="J306" s="83" t="s">
        <v>88</v>
      </c>
      <c r="K306" s="83">
        <v>1</v>
      </c>
      <c r="M306" s="83" t="s">
        <v>88</v>
      </c>
      <c r="N306" s="83">
        <v>1</v>
      </c>
      <c r="P306" s="83" t="s">
        <v>88</v>
      </c>
      <c r="Q306" s="83">
        <v>1</v>
      </c>
      <c r="S306" s="83" t="s">
        <v>88</v>
      </c>
      <c r="T306" s="83">
        <v>1</v>
      </c>
      <c r="V306" s="83" t="s">
        <v>88</v>
      </c>
      <c r="W306" s="83">
        <v>1</v>
      </c>
      <c r="Y306" s="83" t="s">
        <v>88</v>
      </c>
      <c r="Z306" s="83">
        <v>1</v>
      </c>
      <c r="AB306" s="83" t="s">
        <v>88</v>
      </c>
      <c r="AC306" s="83">
        <v>1</v>
      </c>
      <c r="AE306" s="83" t="s">
        <v>88</v>
      </c>
      <c r="AF306" s="83">
        <v>1</v>
      </c>
      <c r="AH306" s="83" t="s">
        <v>88</v>
      </c>
      <c r="AI306" s="83">
        <v>1</v>
      </c>
      <c r="AK306" s="83" t="s">
        <v>88</v>
      </c>
      <c r="AL306" s="83">
        <v>1</v>
      </c>
      <c r="AN306" s="83" t="s">
        <v>88</v>
      </c>
      <c r="AO306" s="83">
        <v>1</v>
      </c>
      <c r="AQ306" s="83" t="s">
        <v>88</v>
      </c>
      <c r="AR306" s="83">
        <v>1</v>
      </c>
      <c r="AT306" s="83" t="s">
        <v>88</v>
      </c>
      <c r="AU306" s="83">
        <v>1</v>
      </c>
      <c r="AW306" s="83" t="s">
        <v>88</v>
      </c>
      <c r="AX306" s="83">
        <v>1</v>
      </c>
      <c r="AZ306" s="83" t="s">
        <v>88</v>
      </c>
      <c r="BA306" s="83">
        <v>1</v>
      </c>
      <c r="BC306" s="83" t="s">
        <v>88</v>
      </c>
      <c r="BD306" s="83">
        <v>1</v>
      </c>
      <c r="BF306" s="83" t="s">
        <v>88</v>
      </c>
      <c r="BG306" s="83">
        <v>1</v>
      </c>
      <c r="BI306" s="83" t="s">
        <v>88</v>
      </c>
      <c r="BJ306" s="83">
        <v>1</v>
      </c>
      <c r="BL306" s="83" t="s">
        <v>88</v>
      </c>
      <c r="BM306" s="83">
        <v>1</v>
      </c>
      <c r="BO306" s="83" t="s">
        <v>88</v>
      </c>
      <c r="BP306" s="83">
        <v>1</v>
      </c>
      <c r="BR306" s="83" t="s">
        <v>88</v>
      </c>
      <c r="BS306" s="83">
        <v>1</v>
      </c>
      <c r="BU306" s="83" t="s">
        <v>88</v>
      </c>
      <c r="BV306" s="83">
        <v>1</v>
      </c>
      <c r="BX306" s="83" t="s">
        <v>88</v>
      </c>
      <c r="BY306" s="83">
        <v>1</v>
      </c>
      <c r="CA306" s="83" t="s">
        <v>88</v>
      </c>
      <c r="CB306" s="83">
        <v>1</v>
      </c>
      <c r="CD306" s="83" t="s">
        <v>88</v>
      </c>
      <c r="CE306" s="83">
        <v>1</v>
      </c>
      <c r="CG306" s="83" t="s">
        <v>88</v>
      </c>
      <c r="CH306" s="83">
        <v>1</v>
      </c>
      <c r="CJ306" s="83" t="s">
        <v>88</v>
      </c>
      <c r="CK306" s="83">
        <v>1</v>
      </c>
      <c r="CM306" s="83" t="s">
        <v>88</v>
      </c>
      <c r="CN306" s="83">
        <v>1</v>
      </c>
      <c r="CP306" s="83" t="s">
        <v>88</v>
      </c>
      <c r="CQ306" s="83">
        <v>1</v>
      </c>
      <c r="CS306" s="83" t="s">
        <v>88</v>
      </c>
      <c r="CT306" s="83">
        <v>1</v>
      </c>
      <c r="CV306" s="83" t="s">
        <v>88</v>
      </c>
      <c r="CW306" s="83">
        <v>1</v>
      </c>
    </row>
    <row r="308" spans="1:101" x14ac:dyDescent="0.2">
      <c r="A308" s="83" t="s">
        <v>89</v>
      </c>
      <c r="B308" s="83">
        <v>1</v>
      </c>
      <c r="D308" s="83" t="s">
        <v>89</v>
      </c>
      <c r="E308" s="83">
        <v>1</v>
      </c>
      <c r="G308" s="83" t="s">
        <v>89</v>
      </c>
      <c r="H308" s="83">
        <v>1</v>
      </c>
      <c r="J308" s="83" t="s">
        <v>89</v>
      </c>
      <c r="K308" s="83">
        <v>1</v>
      </c>
      <c r="M308" s="83" t="s">
        <v>89</v>
      </c>
      <c r="N308" s="83">
        <v>1</v>
      </c>
      <c r="P308" s="83" t="s">
        <v>89</v>
      </c>
      <c r="Q308" s="83">
        <v>1</v>
      </c>
      <c r="S308" s="83" t="s">
        <v>89</v>
      </c>
      <c r="T308" s="83">
        <v>1</v>
      </c>
      <c r="V308" s="83" t="s">
        <v>89</v>
      </c>
      <c r="W308" s="83">
        <v>1</v>
      </c>
      <c r="Y308" s="83" t="s">
        <v>89</v>
      </c>
      <c r="Z308" s="83">
        <v>1</v>
      </c>
      <c r="AB308" s="83" t="s">
        <v>89</v>
      </c>
      <c r="AC308" s="83">
        <v>1</v>
      </c>
      <c r="AE308" s="83" t="s">
        <v>89</v>
      </c>
      <c r="AF308" s="83">
        <v>1</v>
      </c>
      <c r="AH308" s="83" t="s">
        <v>89</v>
      </c>
      <c r="AI308" s="83">
        <v>1</v>
      </c>
      <c r="AK308" s="83" t="s">
        <v>89</v>
      </c>
      <c r="AL308" s="83">
        <v>1</v>
      </c>
      <c r="AN308" s="83" t="s">
        <v>89</v>
      </c>
      <c r="AO308" s="83">
        <v>1</v>
      </c>
      <c r="AQ308" s="83" t="s">
        <v>89</v>
      </c>
      <c r="AR308" s="83">
        <v>1</v>
      </c>
      <c r="AT308" s="83" t="s">
        <v>89</v>
      </c>
      <c r="AU308" s="83">
        <v>1</v>
      </c>
      <c r="AW308" s="83" t="s">
        <v>89</v>
      </c>
      <c r="AX308" s="83">
        <v>1</v>
      </c>
      <c r="AZ308" s="83" t="s">
        <v>89</v>
      </c>
      <c r="BA308" s="83">
        <v>1</v>
      </c>
      <c r="BC308" s="83" t="s">
        <v>89</v>
      </c>
      <c r="BD308" s="83">
        <v>1</v>
      </c>
      <c r="BF308" s="83" t="s">
        <v>89</v>
      </c>
      <c r="BG308" s="83">
        <v>1</v>
      </c>
      <c r="BI308" s="83" t="s">
        <v>89</v>
      </c>
      <c r="BJ308" s="83">
        <v>1</v>
      </c>
      <c r="BL308" s="83" t="s">
        <v>89</v>
      </c>
      <c r="BM308" s="83">
        <v>1</v>
      </c>
      <c r="BO308" s="83" t="s">
        <v>89</v>
      </c>
      <c r="BP308" s="83">
        <v>1</v>
      </c>
      <c r="BR308" s="83" t="s">
        <v>89</v>
      </c>
      <c r="BS308" s="83">
        <v>1</v>
      </c>
      <c r="BU308" s="83" t="s">
        <v>89</v>
      </c>
      <c r="BV308" s="83">
        <v>1</v>
      </c>
      <c r="BX308" s="83" t="s">
        <v>89</v>
      </c>
      <c r="BY308" s="83">
        <v>1</v>
      </c>
      <c r="CA308" s="83" t="s">
        <v>89</v>
      </c>
      <c r="CB308" s="83">
        <v>1</v>
      </c>
      <c r="CD308" s="83" t="s">
        <v>89</v>
      </c>
      <c r="CE308" s="83">
        <v>1</v>
      </c>
      <c r="CG308" s="83" t="s">
        <v>89</v>
      </c>
      <c r="CH308" s="83">
        <v>1</v>
      </c>
      <c r="CJ308" s="83" t="s">
        <v>89</v>
      </c>
      <c r="CK308" s="83">
        <v>1</v>
      </c>
      <c r="CM308" s="83" t="s">
        <v>89</v>
      </c>
      <c r="CN308" s="83">
        <v>1</v>
      </c>
      <c r="CP308" s="83" t="s">
        <v>89</v>
      </c>
      <c r="CQ308" s="83">
        <v>1</v>
      </c>
      <c r="CS308" s="83" t="s">
        <v>89</v>
      </c>
      <c r="CT308" s="83">
        <v>1</v>
      </c>
      <c r="CV308" s="83" t="s">
        <v>89</v>
      </c>
      <c r="CW308" s="83">
        <v>1</v>
      </c>
    </row>
    <row r="310" spans="1:101" x14ac:dyDescent="0.2">
      <c r="A310" s="83" t="s">
        <v>90</v>
      </c>
      <c r="B310" s="83">
        <v>1</v>
      </c>
      <c r="D310" s="83" t="s">
        <v>90</v>
      </c>
      <c r="E310" s="83">
        <v>1</v>
      </c>
      <c r="G310" s="83" t="s">
        <v>90</v>
      </c>
      <c r="H310" s="83">
        <v>1</v>
      </c>
      <c r="J310" s="83" t="s">
        <v>90</v>
      </c>
      <c r="K310" s="83">
        <v>1</v>
      </c>
      <c r="M310" s="83" t="s">
        <v>90</v>
      </c>
      <c r="N310" s="83">
        <v>1</v>
      </c>
      <c r="P310" s="83" t="s">
        <v>90</v>
      </c>
      <c r="Q310" s="83">
        <v>1</v>
      </c>
      <c r="S310" s="83" t="s">
        <v>90</v>
      </c>
      <c r="T310" s="83">
        <v>1</v>
      </c>
      <c r="V310" s="83" t="s">
        <v>90</v>
      </c>
      <c r="W310" s="83">
        <v>1</v>
      </c>
      <c r="Y310" s="83" t="s">
        <v>90</v>
      </c>
      <c r="Z310" s="83">
        <v>1</v>
      </c>
      <c r="AB310" s="83" t="s">
        <v>90</v>
      </c>
      <c r="AC310" s="83">
        <v>1</v>
      </c>
      <c r="AE310" s="83" t="s">
        <v>90</v>
      </c>
      <c r="AF310" s="83">
        <v>1</v>
      </c>
      <c r="AH310" s="83" t="s">
        <v>90</v>
      </c>
      <c r="AI310" s="83">
        <v>1</v>
      </c>
      <c r="AK310" s="83" t="s">
        <v>90</v>
      </c>
      <c r="AL310" s="83">
        <v>1</v>
      </c>
      <c r="AN310" s="83" t="s">
        <v>90</v>
      </c>
      <c r="AO310" s="83">
        <v>1</v>
      </c>
      <c r="AQ310" s="83" t="s">
        <v>90</v>
      </c>
      <c r="AR310" s="83">
        <v>1</v>
      </c>
      <c r="AT310" s="83" t="s">
        <v>90</v>
      </c>
      <c r="AU310" s="83">
        <v>1</v>
      </c>
      <c r="AW310" s="83" t="s">
        <v>90</v>
      </c>
      <c r="AX310" s="83">
        <v>1</v>
      </c>
      <c r="AZ310" s="83" t="s">
        <v>90</v>
      </c>
      <c r="BA310" s="83">
        <v>1</v>
      </c>
      <c r="BC310" s="83" t="s">
        <v>90</v>
      </c>
      <c r="BD310" s="83">
        <v>1</v>
      </c>
      <c r="BF310" s="83" t="s">
        <v>90</v>
      </c>
      <c r="BG310" s="83">
        <v>1</v>
      </c>
      <c r="BI310" s="83" t="s">
        <v>90</v>
      </c>
      <c r="BJ310" s="83">
        <v>1</v>
      </c>
      <c r="BL310" s="83" t="s">
        <v>90</v>
      </c>
      <c r="BM310" s="83">
        <v>1</v>
      </c>
      <c r="BO310" s="83" t="s">
        <v>90</v>
      </c>
      <c r="BP310" s="83">
        <v>1</v>
      </c>
      <c r="BR310" s="83" t="s">
        <v>90</v>
      </c>
      <c r="BS310" s="83">
        <v>1</v>
      </c>
      <c r="BU310" s="83" t="s">
        <v>90</v>
      </c>
      <c r="BV310" s="83">
        <v>1</v>
      </c>
      <c r="BX310" s="83" t="s">
        <v>90</v>
      </c>
      <c r="BY310" s="83">
        <v>1</v>
      </c>
      <c r="CA310" s="83" t="s">
        <v>90</v>
      </c>
      <c r="CB310" s="83">
        <v>1</v>
      </c>
      <c r="CD310" s="83" t="s">
        <v>90</v>
      </c>
      <c r="CE310" s="83">
        <v>1</v>
      </c>
      <c r="CG310" s="83" t="s">
        <v>90</v>
      </c>
      <c r="CH310" s="83">
        <v>1</v>
      </c>
      <c r="CJ310" s="83" t="s">
        <v>90</v>
      </c>
      <c r="CK310" s="83">
        <v>1</v>
      </c>
      <c r="CM310" s="83" t="s">
        <v>90</v>
      </c>
      <c r="CN310" s="83">
        <v>1</v>
      </c>
      <c r="CP310" s="83" t="s">
        <v>90</v>
      </c>
      <c r="CQ310" s="83">
        <v>1</v>
      </c>
      <c r="CS310" s="83" t="s">
        <v>90</v>
      </c>
      <c r="CT310" s="83">
        <v>1</v>
      </c>
      <c r="CV310" s="83" t="s">
        <v>90</v>
      </c>
      <c r="CW310" s="83">
        <v>1</v>
      </c>
    </row>
    <row r="312" spans="1:101" x14ac:dyDescent="0.2">
      <c r="A312" s="83" t="s">
        <v>153</v>
      </c>
      <c r="B312" s="83">
        <v>1</v>
      </c>
      <c r="D312" s="83" t="s">
        <v>153</v>
      </c>
      <c r="E312" s="83">
        <v>1</v>
      </c>
      <c r="G312" s="83" t="s">
        <v>153</v>
      </c>
      <c r="H312" s="83">
        <v>1</v>
      </c>
      <c r="J312" s="83" t="s">
        <v>153</v>
      </c>
      <c r="K312" s="83">
        <v>1</v>
      </c>
      <c r="M312" s="83" t="s">
        <v>153</v>
      </c>
      <c r="N312" s="83">
        <v>1</v>
      </c>
      <c r="P312" s="83" t="s">
        <v>153</v>
      </c>
      <c r="Q312" s="83">
        <v>1</v>
      </c>
      <c r="S312" s="83" t="s">
        <v>153</v>
      </c>
      <c r="T312" s="83">
        <v>1</v>
      </c>
      <c r="V312" s="83" t="s">
        <v>153</v>
      </c>
      <c r="W312" s="83">
        <v>1</v>
      </c>
      <c r="Y312" s="83" t="s">
        <v>153</v>
      </c>
      <c r="Z312" s="83">
        <v>1</v>
      </c>
      <c r="AB312" s="83" t="s">
        <v>153</v>
      </c>
      <c r="AC312" s="83">
        <v>1</v>
      </c>
      <c r="AE312" s="83" t="s">
        <v>153</v>
      </c>
      <c r="AF312" s="83">
        <v>1</v>
      </c>
      <c r="AH312" s="83" t="s">
        <v>153</v>
      </c>
      <c r="AI312" s="83">
        <v>1</v>
      </c>
      <c r="AK312" s="83" t="s">
        <v>153</v>
      </c>
      <c r="AL312" s="83">
        <v>1</v>
      </c>
      <c r="AN312" s="83" t="s">
        <v>153</v>
      </c>
      <c r="AO312" s="83">
        <v>1</v>
      </c>
      <c r="AQ312" s="83" t="s">
        <v>153</v>
      </c>
      <c r="AR312" s="83">
        <v>1</v>
      </c>
      <c r="AT312" s="83" t="s">
        <v>153</v>
      </c>
      <c r="AU312" s="83">
        <v>1</v>
      </c>
      <c r="AW312" s="83" t="s">
        <v>153</v>
      </c>
      <c r="AX312" s="83">
        <v>1</v>
      </c>
      <c r="AZ312" s="83" t="s">
        <v>153</v>
      </c>
      <c r="BA312" s="83">
        <v>1</v>
      </c>
      <c r="BC312" s="83" t="s">
        <v>153</v>
      </c>
      <c r="BD312" s="83">
        <v>1</v>
      </c>
      <c r="BF312" s="83" t="s">
        <v>153</v>
      </c>
      <c r="BG312" s="83">
        <v>1</v>
      </c>
      <c r="BI312" s="83" t="s">
        <v>153</v>
      </c>
      <c r="BJ312" s="83">
        <v>1</v>
      </c>
      <c r="BL312" s="83" t="s">
        <v>153</v>
      </c>
      <c r="BM312" s="83">
        <v>1</v>
      </c>
      <c r="BO312" s="83" t="s">
        <v>153</v>
      </c>
      <c r="BP312" s="83">
        <v>1</v>
      </c>
      <c r="BR312" s="83" t="s">
        <v>153</v>
      </c>
      <c r="BS312" s="83">
        <v>1</v>
      </c>
      <c r="BU312" s="83" t="s">
        <v>153</v>
      </c>
      <c r="BV312" s="83">
        <v>1</v>
      </c>
      <c r="BX312" s="83" t="s">
        <v>153</v>
      </c>
      <c r="BY312" s="83">
        <v>1</v>
      </c>
      <c r="CA312" s="83" t="s">
        <v>153</v>
      </c>
      <c r="CB312" s="83">
        <v>1</v>
      </c>
      <c r="CD312" s="83" t="s">
        <v>153</v>
      </c>
      <c r="CE312" s="83">
        <v>1</v>
      </c>
      <c r="CG312" s="83" t="s">
        <v>153</v>
      </c>
      <c r="CH312" s="83">
        <v>1</v>
      </c>
      <c r="CJ312" s="83" t="s">
        <v>153</v>
      </c>
      <c r="CK312" s="83">
        <v>1</v>
      </c>
      <c r="CM312" s="83" t="s">
        <v>153</v>
      </c>
      <c r="CN312" s="83">
        <v>1</v>
      </c>
      <c r="CP312" s="83" t="s">
        <v>153</v>
      </c>
      <c r="CQ312" s="83">
        <v>1</v>
      </c>
      <c r="CS312" s="83" t="s">
        <v>153</v>
      </c>
      <c r="CT312" s="83">
        <v>1</v>
      </c>
      <c r="CV312" s="83" t="s">
        <v>153</v>
      </c>
      <c r="CW312" s="83">
        <v>1</v>
      </c>
    </row>
    <row r="314" spans="1:101" x14ac:dyDescent="0.2">
      <c r="A314" s="83" t="s">
        <v>154</v>
      </c>
      <c r="B314" s="83">
        <v>1</v>
      </c>
      <c r="D314" s="83" t="s">
        <v>154</v>
      </c>
      <c r="E314" s="83">
        <v>1</v>
      </c>
      <c r="G314" s="83" t="s">
        <v>154</v>
      </c>
      <c r="H314" s="83">
        <v>1</v>
      </c>
      <c r="J314" s="83" t="s">
        <v>154</v>
      </c>
      <c r="K314" s="83">
        <v>1</v>
      </c>
      <c r="M314" s="83" t="s">
        <v>154</v>
      </c>
      <c r="N314" s="83">
        <v>1</v>
      </c>
      <c r="P314" s="83" t="s">
        <v>154</v>
      </c>
      <c r="Q314" s="83">
        <v>1</v>
      </c>
      <c r="S314" s="83" t="s">
        <v>154</v>
      </c>
      <c r="T314" s="83">
        <v>1</v>
      </c>
      <c r="V314" s="83" t="s">
        <v>154</v>
      </c>
      <c r="W314" s="83">
        <v>1</v>
      </c>
      <c r="Y314" s="83" t="s">
        <v>154</v>
      </c>
      <c r="Z314" s="83">
        <v>1</v>
      </c>
      <c r="AB314" s="83" t="s">
        <v>154</v>
      </c>
      <c r="AC314" s="83">
        <v>1</v>
      </c>
      <c r="AE314" s="83" t="s">
        <v>154</v>
      </c>
      <c r="AF314" s="83">
        <v>1</v>
      </c>
      <c r="AH314" s="83" t="s">
        <v>154</v>
      </c>
      <c r="AI314" s="83">
        <v>1</v>
      </c>
      <c r="AK314" s="83" t="s">
        <v>154</v>
      </c>
      <c r="AL314" s="83">
        <v>1</v>
      </c>
      <c r="AN314" s="83" t="s">
        <v>154</v>
      </c>
      <c r="AO314" s="83">
        <v>1</v>
      </c>
      <c r="AQ314" s="83" t="s">
        <v>154</v>
      </c>
      <c r="AR314" s="83">
        <v>1</v>
      </c>
      <c r="AT314" s="83" t="s">
        <v>154</v>
      </c>
      <c r="AU314" s="83">
        <v>1</v>
      </c>
      <c r="AW314" s="83" t="s">
        <v>154</v>
      </c>
      <c r="AX314" s="83">
        <v>1</v>
      </c>
      <c r="AZ314" s="83" t="s">
        <v>154</v>
      </c>
      <c r="BA314" s="83">
        <v>1</v>
      </c>
      <c r="BC314" s="83" t="s">
        <v>154</v>
      </c>
      <c r="BD314" s="83">
        <v>1</v>
      </c>
      <c r="BF314" s="83" t="s">
        <v>154</v>
      </c>
      <c r="BG314" s="83">
        <v>1</v>
      </c>
      <c r="BI314" s="83" t="s">
        <v>154</v>
      </c>
      <c r="BJ314" s="83">
        <v>1</v>
      </c>
      <c r="BL314" s="83" t="s">
        <v>154</v>
      </c>
      <c r="BM314" s="83">
        <v>1</v>
      </c>
      <c r="BO314" s="83" t="s">
        <v>154</v>
      </c>
      <c r="BP314" s="83">
        <v>1</v>
      </c>
      <c r="BR314" s="83" t="s">
        <v>154</v>
      </c>
      <c r="BS314" s="83">
        <v>1</v>
      </c>
      <c r="BU314" s="83" t="s">
        <v>154</v>
      </c>
      <c r="BV314" s="83">
        <v>1</v>
      </c>
      <c r="BX314" s="83" t="s">
        <v>154</v>
      </c>
      <c r="BY314" s="83">
        <v>1</v>
      </c>
      <c r="CA314" s="83" t="s">
        <v>154</v>
      </c>
      <c r="CB314" s="83">
        <v>1</v>
      </c>
      <c r="CD314" s="83" t="s">
        <v>154</v>
      </c>
      <c r="CE314" s="83">
        <v>1</v>
      </c>
      <c r="CG314" s="83" t="s">
        <v>154</v>
      </c>
      <c r="CH314" s="83">
        <v>1</v>
      </c>
      <c r="CJ314" s="83" t="s">
        <v>154</v>
      </c>
      <c r="CK314" s="83">
        <v>1</v>
      </c>
      <c r="CM314" s="83" t="s">
        <v>154</v>
      </c>
      <c r="CN314" s="83">
        <v>1</v>
      </c>
      <c r="CP314" s="83" t="s">
        <v>154</v>
      </c>
      <c r="CQ314" s="83">
        <v>1</v>
      </c>
      <c r="CS314" s="83" t="s">
        <v>154</v>
      </c>
      <c r="CT314" s="83">
        <v>1</v>
      </c>
      <c r="CV314" s="83" t="s">
        <v>154</v>
      </c>
      <c r="CW314" s="83">
        <v>1</v>
      </c>
    </row>
    <row r="316" spans="1:101" x14ac:dyDescent="0.2">
      <c r="A316" s="83" t="s">
        <v>251</v>
      </c>
      <c r="B316" s="83">
        <v>1</v>
      </c>
      <c r="D316" s="83" t="s">
        <v>251</v>
      </c>
      <c r="E316" s="83">
        <v>1</v>
      </c>
      <c r="G316" s="83" t="s">
        <v>251</v>
      </c>
      <c r="H316" s="83">
        <v>1</v>
      </c>
      <c r="J316" s="83" t="s">
        <v>251</v>
      </c>
      <c r="K316" s="83">
        <v>1</v>
      </c>
      <c r="M316" s="83" t="s">
        <v>251</v>
      </c>
      <c r="N316" s="83">
        <v>1</v>
      </c>
      <c r="P316" s="83" t="s">
        <v>251</v>
      </c>
      <c r="Q316" s="83">
        <v>1</v>
      </c>
      <c r="S316" s="83" t="s">
        <v>251</v>
      </c>
      <c r="T316" s="83">
        <v>1</v>
      </c>
      <c r="V316" s="83" t="s">
        <v>251</v>
      </c>
      <c r="W316" s="83">
        <v>1</v>
      </c>
      <c r="Y316" s="83" t="s">
        <v>251</v>
      </c>
      <c r="Z316" s="83">
        <v>1</v>
      </c>
      <c r="AB316" s="83" t="s">
        <v>251</v>
      </c>
      <c r="AC316" s="83">
        <v>1</v>
      </c>
      <c r="AE316" s="83" t="s">
        <v>251</v>
      </c>
      <c r="AF316" s="83">
        <v>1</v>
      </c>
      <c r="AH316" s="83" t="s">
        <v>251</v>
      </c>
      <c r="AI316" s="83">
        <v>1</v>
      </c>
      <c r="AK316" s="83" t="s">
        <v>251</v>
      </c>
      <c r="AL316" s="83">
        <v>1</v>
      </c>
      <c r="AN316" s="83" t="s">
        <v>251</v>
      </c>
      <c r="AO316" s="83">
        <v>1</v>
      </c>
      <c r="AQ316" s="83" t="s">
        <v>251</v>
      </c>
      <c r="AR316" s="83">
        <v>1</v>
      </c>
      <c r="AT316" s="83" t="s">
        <v>251</v>
      </c>
      <c r="AU316" s="83">
        <v>1</v>
      </c>
      <c r="AW316" s="83" t="s">
        <v>251</v>
      </c>
      <c r="AX316" s="83">
        <v>1</v>
      </c>
      <c r="AZ316" s="83" t="s">
        <v>251</v>
      </c>
      <c r="BA316" s="83">
        <v>1</v>
      </c>
      <c r="BC316" s="83" t="s">
        <v>251</v>
      </c>
      <c r="BD316" s="83">
        <v>1</v>
      </c>
      <c r="BF316" s="83" t="s">
        <v>251</v>
      </c>
      <c r="BG316" s="83">
        <v>1</v>
      </c>
      <c r="BI316" s="83" t="s">
        <v>251</v>
      </c>
      <c r="BJ316" s="83">
        <v>1</v>
      </c>
      <c r="BL316" s="83" t="s">
        <v>251</v>
      </c>
      <c r="BM316" s="83">
        <v>1</v>
      </c>
      <c r="BO316" s="83" t="s">
        <v>251</v>
      </c>
      <c r="BP316" s="83">
        <v>1</v>
      </c>
      <c r="BR316" s="83" t="s">
        <v>251</v>
      </c>
      <c r="BS316" s="83">
        <v>1</v>
      </c>
      <c r="BU316" s="83" t="s">
        <v>251</v>
      </c>
      <c r="BV316" s="83">
        <v>1</v>
      </c>
      <c r="BX316" s="83" t="s">
        <v>251</v>
      </c>
      <c r="BY316" s="83">
        <v>1</v>
      </c>
      <c r="CA316" s="83" t="s">
        <v>251</v>
      </c>
      <c r="CB316" s="83">
        <v>1</v>
      </c>
      <c r="CD316" s="83" t="s">
        <v>251</v>
      </c>
      <c r="CE316" s="83">
        <v>1</v>
      </c>
      <c r="CG316" s="83" t="s">
        <v>251</v>
      </c>
      <c r="CH316" s="83">
        <v>1</v>
      </c>
      <c r="CJ316" s="83" t="s">
        <v>251</v>
      </c>
      <c r="CK316" s="83">
        <v>1</v>
      </c>
      <c r="CM316" s="83" t="s">
        <v>251</v>
      </c>
      <c r="CN316" s="83">
        <v>1</v>
      </c>
      <c r="CP316" s="83" t="s">
        <v>251</v>
      </c>
      <c r="CQ316" s="83">
        <v>1</v>
      </c>
      <c r="CS316" s="83" t="s">
        <v>251</v>
      </c>
      <c r="CT316" s="83">
        <v>1</v>
      </c>
      <c r="CV316" s="83" t="s">
        <v>251</v>
      </c>
      <c r="CW316" s="83">
        <v>1</v>
      </c>
    </row>
    <row r="320" spans="1:101" x14ac:dyDescent="0.2">
      <c r="A320" s="83" t="s">
        <v>88</v>
      </c>
      <c r="B320" s="83">
        <v>1</v>
      </c>
      <c r="D320" s="83" t="s">
        <v>88</v>
      </c>
      <c r="E320" s="83">
        <v>1</v>
      </c>
      <c r="G320" s="83" t="s">
        <v>88</v>
      </c>
      <c r="H320" s="83">
        <v>1</v>
      </c>
      <c r="J320" s="83" t="s">
        <v>88</v>
      </c>
      <c r="K320" s="83">
        <v>1</v>
      </c>
      <c r="M320" s="83" t="s">
        <v>88</v>
      </c>
      <c r="N320" s="83">
        <v>1</v>
      </c>
      <c r="P320" s="83" t="s">
        <v>88</v>
      </c>
      <c r="Q320" s="83">
        <v>1</v>
      </c>
      <c r="S320" s="83" t="s">
        <v>88</v>
      </c>
      <c r="T320" s="83">
        <v>1</v>
      </c>
      <c r="V320" s="83" t="s">
        <v>88</v>
      </c>
      <c r="W320" s="83">
        <v>1</v>
      </c>
      <c r="Y320" s="83" t="s">
        <v>88</v>
      </c>
      <c r="Z320" s="83">
        <v>1</v>
      </c>
      <c r="AB320" s="83" t="s">
        <v>88</v>
      </c>
      <c r="AC320" s="83">
        <v>1</v>
      </c>
      <c r="AE320" s="83" t="s">
        <v>88</v>
      </c>
      <c r="AF320" s="83">
        <v>1</v>
      </c>
      <c r="AH320" s="83" t="s">
        <v>88</v>
      </c>
      <c r="AI320" s="83">
        <v>1</v>
      </c>
      <c r="AK320" s="83" t="s">
        <v>88</v>
      </c>
      <c r="AL320" s="83">
        <v>1</v>
      </c>
      <c r="AN320" s="83" t="s">
        <v>88</v>
      </c>
      <c r="AO320" s="83">
        <v>1</v>
      </c>
      <c r="AQ320" s="83" t="s">
        <v>88</v>
      </c>
      <c r="AR320" s="83">
        <v>1</v>
      </c>
      <c r="AT320" s="83" t="s">
        <v>88</v>
      </c>
      <c r="AU320" s="83">
        <v>1</v>
      </c>
      <c r="AW320" s="83" t="s">
        <v>88</v>
      </c>
      <c r="AX320" s="83">
        <v>1</v>
      </c>
      <c r="AZ320" s="83" t="s">
        <v>88</v>
      </c>
      <c r="BA320" s="83">
        <v>1</v>
      </c>
      <c r="BC320" s="83" t="s">
        <v>88</v>
      </c>
      <c r="BD320" s="83">
        <v>1</v>
      </c>
      <c r="BF320" s="83" t="s">
        <v>88</v>
      </c>
      <c r="BG320" s="83">
        <v>1</v>
      </c>
      <c r="BI320" s="83" t="s">
        <v>88</v>
      </c>
      <c r="BJ320" s="83">
        <v>1</v>
      </c>
      <c r="BL320" s="83" t="s">
        <v>88</v>
      </c>
      <c r="BM320" s="83">
        <v>1</v>
      </c>
      <c r="BO320" s="83" t="s">
        <v>88</v>
      </c>
      <c r="BP320" s="83">
        <v>1</v>
      </c>
      <c r="BR320" s="83" t="s">
        <v>88</v>
      </c>
      <c r="BS320" s="83">
        <v>1</v>
      </c>
      <c r="BU320" s="83" t="s">
        <v>88</v>
      </c>
      <c r="BV320" s="83">
        <v>1</v>
      </c>
      <c r="BX320" s="83" t="s">
        <v>88</v>
      </c>
      <c r="BY320" s="83">
        <v>1</v>
      </c>
      <c r="CA320" s="83" t="s">
        <v>88</v>
      </c>
      <c r="CB320" s="83">
        <v>1</v>
      </c>
      <c r="CD320" s="83" t="s">
        <v>88</v>
      </c>
      <c r="CE320" s="83">
        <v>1</v>
      </c>
      <c r="CG320" s="83" t="s">
        <v>88</v>
      </c>
      <c r="CH320" s="83">
        <v>1</v>
      </c>
      <c r="CJ320" s="83" t="s">
        <v>88</v>
      </c>
      <c r="CK320" s="83">
        <v>1</v>
      </c>
      <c r="CM320" s="83" t="s">
        <v>88</v>
      </c>
      <c r="CN320" s="83">
        <v>1</v>
      </c>
      <c r="CP320" s="83" t="s">
        <v>88</v>
      </c>
      <c r="CQ320" s="83">
        <v>1</v>
      </c>
      <c r="CS320" s="83" t="s">
        <v>88</v>
      </c>
      <c r="CT320" s="83">
        <v>1</v>
      </c>
      <c r="CV320" s="83" t="s">
        <v>88</v>
      </c>
      <c r="CW320" s="83">
        <v>1</v>
      </c>
    </row>
    <row r="322" spans="1:101" x14ac:dyDescent="0.2">
      <c r="A322" s="83" t="s">
        <v>89</v>
      </c>
      <c r="B322" s="83">
        <v>1</v>
      </c>
      <c r="D322" s="83" t="s">
        <v>89</v>
      </c>
      <c r="E322" s="83">
        <v>1</v>
      </c>
      <c r="G322" s="83" t="s">
        <v>89</v>
      </c>
      <c r="H322" s="83">
        <v>1</v>
      </c>
      <c r="J322" s="83" t="s">
        <v>89</v>
      </c>
      <c r="K322" s="83">
        <v>1</v>
      </c>
      <c r="M322" s="83" t="s">
        <v>89</v>
      </c>
      <c r="N322" s="83">
        <v>1</v>
      </c>
      <c r="P322" s="83" t="s">
        <v>89</v>
      </c>
      <c r="Q322" s="83">
        <v>1</v>
      </c>
      <c r="S322" s="83" t="s">
        <v>89</v>
      </c>
      <c r="T322" s="83">
        <v>1</v>
      </c>
      <c r="V322" s="83" t="s">
        <v>89</v>
      </c>
      <c r="W322" s="83">
        <v>1</v>
      </c>
      <c r="Y322" s="83" t="s">
        <v>89</v>
      </c>
      <c r="Z322" s="83">
        <v>1</v>
      </c>
      <c r="AB322" s="83" t="s">
        <v>89</v>
      </c>
      <c r="AC322" s="83">
        <v>1</v>
      </c>
      <c r="AE322" s="83" t="s">
        <v>89</v>
      </c>
      <c r="AF322" s="83">
        <v>1</v>
      </c>
      <c r="AH322" s="83" t="s">
        <v>89</v>
      </c>
      <c r="AI322" s="83">
        <v>1</v>
      </c>
      <c r="AK322" s="83" t="s">
        <v>89</v>
      </c>
      <c r="AL322" s="83">
        <v>1</v>
      </c>
      <c r="AN322" s="83" t="s">
        <v>89</v>
      </c>
      <c r="AO322" s="83">
        <v>1</v>
      </c>
      <c r="AQ322" s="83" t="s">
        <v>89</v>
      </c>
      <c r="AR322" s="83">
        <v>1</v>
      </c>
      <c r="AT322" s="83" t="s">
        <v>89</v>
      </c>
      <c r="AU322" s="83">
        <v>1</v>
      </c>
      <c r="AW322" s="83" t="s">
        <v>89</v>
      </c>
      <c r="AX322" s="83">
        <v>1</v>
      </c>
      <c r="AZ322" s="83" t="s">
        <v>89</v>
      </c>
      <c r="BA322" s="83">
        <v>1</v>
      </c>
      <c r="BC322" s="83" t="s">
        <v>89</v>
      </c>
      <c r="BD322" s="83">
        <v>1</v>
      </c>
      <c r="BF322" s="83" t="s">
        <v>89</v>
      </c>
      <c r="BG322" s="83">
        <v>1</v>
      </c>
      <c r="BI322" s="83" t="s">
        <v>89</v>
      </c>
      <c r="BJ322" s="83">
        <v>1</v>
      </c>
      <c r="BL322" s="83" t="s">
        <v>89</v>
      </c>
      <c r="BM322" s="83">
        <v>1</v>
      </c>
      <c r="BO322" s="83" t="s">
        <v>89</v>
      </c>
      <c r="BP322" s="83">
        <v>1</v>
      </c>
      <c r="BR322" s="83" t="s">
        <v>89</v>
      </c>
      <c r="BS322" s="83">
        <v>1</v>
      </c>
      <c r="BU322" s="83" t="s">
        <v>89</v>
      </c>
      <c r="BV322" s="83">
        <v>1</v>
      </c>
      <c r="BX322" s="83" t="s">
        <v>89</v>
      </c>
      <c r="BY322" s="83">
        <v>1</v>
      </c>
      <c r="CA322" s="83" t="s">
        <v>89</v>
      </c>
      <c r="CB322" s="83">
        <v>1</v>
      </c>
      <c r="CD322" s="83" t="s">
        <v>89</v>
      </c>
      <c r="CE322" s="83">
        <v>1</v>
      </c>
      <c r="CG322" s="83" t="s">
        <v>89</v>
      </c>
      <c r="CH322" s="83">
        <v>1</v>
      </c>
      <c r="CJ322" s="83" t="s">
        <v>89</v>
      </c>
      <c r="CK322" s="83">
        <v>1</v>
      </c>
      <c r="CM322" s="83" t="s">
        <v>89</v>
      </c>
      <c r="CN322" s="83">
        <v>1</v>
      </c>
      <c r="CP322" s="83" t="s">
        <v>89</v>
      </c>
      <c r="CQ322" s="83">
        <v>1</v>
      </c>
      <c r="CS322" s="83" t="s">
        <v>89</v>
      </c>
      <c r="CT322" s="83">
        <v>1</v>
      </c>
      <c r="CV322" s="83" t="s">
        <v>89</v>
      </c>
      <c r="CW322" s="83">
        <v>1</v>
      </c>
    </row>
    <row r="324" spans="1:101" x14ac:dyDescent="0.2">
      <c r="A324" s="83" t="s">
        <v>90</v>
      </c>
      <c r="B324" s="83">
        <v>1</v>
      </c>
      <c r="D324" s="83" t="s">
        <v>90</v>
      </c>
      <c r="E324" s="83">
        <v>1</v>
      </c>
      <c r="G324" s="83" t="s">
        <v>90</v>
      </c>
      <c r="H324" s="83">
        <v>1</v>
      </c>
      <c r="J324" s="83" t="s">
        <v>90</v>
      </c>
      <c r="K324" s="83">
        <v>1</v>
      </c>
      <c r="M324" s="83" t="s">
        <v>90</v>
      </c>
      <c r="N324" s="83">
        <v>1</v>
      </c>
      <c r="P324" s="83" t="s">
        <v>90</v>
      </c>
      <c r="Q324" s="83">
        <v>1</v>
      </c>
      <c r="S324" s="83" t="s">
        <v>90</v>
      </c>
      <c r="T324" s="83">
        <v>1</v>
      </c>
      <c r="V324" s="83" t="s">
        <v>90</v>
      </c>
      <c r="W324" s="83">
        <v>1</v>
      </c>
      <c r="Y324" s="83" t="s">
        <v>90</v>
      </c>
      <c r="Z324" s="83">
        <v>1</v>
      </c>
      <c r="AB324" s="83" t="s">
        <v>90</v>
      </c>
      <c r="AC324" s="83">
        <v>1</v>
      </c>
      <c r="AE324" s="83" t="s">
        <v>90</v>
      </c>
      <c r="AF324" s="83">
        <v>1</v>
      </c>
      <c r="AH324" s="83" t="s">
        <v>90</v>
      </c>
      <c r="AI324" s="83">
        <v>1</v>
      </c>
      <c r="AK324" s="83" t="s">
        <v>90</v>
      </c>
      <c r="AL324" s="83">
        <v>1</v>
      </c>
      <c r="AN324" s="83" t="s">
        <v>90</v>
      </c>
      <c r="AO324" s="83">
        <v>1</v>
      </c>
      <c r="AQ324" s="83" t="s">
        <v>90</v>
      </c>
      <c r="AR324" s="83">
        <v>1</v>
      </c>
      <c r="AT324" s="83" t="s">
        <v>90</v>
      </c>
      <c r="AU324" s="83">
        <v>1</v>
      </c>
      <c r="AW324" s="83" t="s">
        <v>90</v>
      </c>
      <c r="AX324" s="83">
        <v>1</v>
      </c>
      <c r="AZ324" s="83" t="s">
        <v>90</v>
      </c>
      <c r="BA324" s="83">
        <v>1</v>
      </c>
      <c r="BC324" s="83" t="s">
        <v>90</v>
      </c>
      <c r="BD324" s="83">
        <v>1</v>
      </c>
      <c r="BF324" s="83" t="s">
        <v>90</v>
      </c>
      <c r="BG324" s="83">
        <v>1</v>
      </c>
      <c r="BI324" s="83" t="s">
        <v>90</v>
      </c>
      <c r="BJ324" s="83">
        <v>1</v>
      </c>
      <c r="BL324" s="83" t="s">
        <v>90</v>
      </c>
      <c r="BM324" s="83">
        <v>1</v>
      </c>
      <c r="BO324" s="83" t="s">
        <v>90</v>
      </c>
      <c r="BP324" s="83">
        <v>1</v>
      </c>
      <c r="BR324" s="83" t="s">
        <v>90</v>
      </c>
      <c r="BS324" s="83">
        <v>1</v>
      </c>
      <c r="BU324" s="83" t="s">
        <v>90</v>
      </c>
      <c r="BV324" s="83">
        <v>1</v>
      </c>
      <c r="BX324" s="83" t="s">
        <v>90</v>
      </c>
      <c r="BY324" s="83">
        <v>1</v>
      </c>
      <c r="CA324" s="83" t="s">
        <v>90</v>
      </c>
      <c r="CB324" s="83">
        <v>1</v>
      </c>
      <c r="CD324" s="83" t="s">
        <v>90</v>
      </c>
      <c r="CE324" s="83">
        <v>1</v>
      </c>
      <c r="CG324" s="83" t="s">
        <v>90</v>
      </c>
      <c r="CH324" s="83">
        <v>1</v>
      </c>
      <c r="CJ324" s="83" t="s">
        <v>90</v>
      </c>
      <c r="CK324" s="83">
        <v>1</v>
      </c>
      <c r="CM324" s="83" t="s">
        <v>90</v>
      </c>
      <c r="CN324" s="83">
        <v>1</v>
      </c>
      <c r="CP324" s="83" t="s">
        <v>90</v>
      </c>
      <c r="CQ324" s="83">
        <v>1</v>
      </c>
      <c r="CS324" s="83" t="s">
        <v>90</v>
      </c>
      <c r="CT324" s="83">
        <v>1</v>
      </c>
      <c r="CV324" s="83" t="s">
        <v>90</v>
      </c>
      <c r="CW324" s="83">
        <v>1</v>
      </c>
    </row>
    <row r="326" spans="1:101" x14ac:dyDescent="0.2">
      <c r="A326" s="83" t="s">
        <v>153</v>
      </c>
      <c r="B326" s="83">
        <v>1</v>
      </c>
      <c r="D326" s="83" t="s">
        <v>153</v>
      </c>
      <c r="E326" s="83">
        <v>1</v>
      </c>
      <c r="G326" s="83" t="s">
        <v>153</v>
      </c>
      <c r="H326" s="83">
        <v>1</v>
      </c>
      <c r="J326" s="83" t="s">
        <v>153</v>
      </c>
      <c r="K326" s="83">
        <v>1</v>
      </c>
      <c r="M326" s="83" t="s">
        <v>153</v>
      </c>
      <c r="N326" s="83">
        <v>1</v>
      </c>
      <c r="P326" s="83" t="s">
        <v>153</v>
      </c>
      <c r="Q326" s="83">
        <v>1</v>
      </c>
      <c r="S326" s="83" t="s">
        <v>153</v>
      </c>
      <c r="T326" s="83">
        <v>1</v>
      </c>
      <c r="V326" s="83" t="s">
        <v>153</v>
      </c>
      <c r="W326" s="83">
        <v>1</v>
      </c>
      <c r="Y326" s="83" t="s">
        <v>153</v>
      </c>
      <c r="Z326" s="83">
        <v>1</v>
      </c>
      <c r="AB326" s="83" t="s">
        <v>153</v>
      </c>
      <c r="AC326" s="83">
        <v>1</v>
      </c>
      <c r="AE326" s="83" t="s">
        <v>153</v>
      </c>
      <c r="AF326" s="83">
        <v>1</v>
      </c>
      <c r="AH326" s="83" t="s">
        <v>153</v>
      </c>
      <c r="AI326" s="83">
        <v>1</v>
      </c>
      <c r="AK326" s="83" t="s">
        <v>153</v>
      </c>
      <c r="AL326" s="83">
        <v>1</v>
      </c>
      <c r="AN326" s="83" t="s">
        <v>153</v>
      </c>
      <c r="AO326" s="83">
        <v>1</v>
      </c>
      <c r="AQ326" s="83" t="s">
        <v>153</v>
      </c>
      <c r="AR326" s="83">
        <v>1</v>
      </c>
      <c r="AT326" s="83" t="s">
        <v>153</v>
      </c>
      <c r="AU326" s="83">
        <v>1</v>
      </c>
      <c r="AW326" s="83" t="s">
        <v>153</v>
      </c>
      <c r="AX326" s="83">
        <v>1</v>
      </c>
      <c r="AZ326" s="83" t="s">
        <v>153</v>
      </c>
      <c r="BA326" s="83">
        <v>1</v>
      </c>
      <c r="BC326" s="83" t="s">
        <v>153</v>
      </c>
      <c r="BD326" s="83">
        <v>1</v>
      </c>
      <c r="BF326" s="83" t="s">
        <v>153</v>
      </c>
      <c r="BG326" s="83">
        <v>1</v>
      </c>
      <c r="BI326" s="83" t="s">
        <v>153</v>
      </c>
      <c r="BJ326" s="83">
        <v>1</v>
      </c>
      <c r="BL326" s="83" t="s">
        <v>153</v>
      </c>
      <c r="BM326" s="83">
        <v>1</v>
      </c>
      <c r="BO326" s="83" t="s">
        <v>153</v>
      </c>
      <c r="BP326" s="83">
        <v>1</v>
      </c>
      <c r="BR326" s="83" t="s">
        <v>153</v>
      </c>
      <c r="BS326" s="83">
        <v>1</v>
      </c>
      <c r="BU326" s="83" t="s">
        <v>153</v>
      </c>
      <c r="BV326" s="83">
        <v>1</v>
      </c>
      <c r="BX326" s="83" t="s">
        <v>153</v>
      </c>
      <c r="BY326" s="83">
        <v>1</v>
      </c>
      <c r="CA326" s="83" t="s">
        <v>153</v>
      </c>
      <c r="CB326" s="83">
        <v>1</v>
      </c>
      <c r="CD326" s="83" t="s">
        <v>153</v>
      </c>
      <c r="CE326" s="83">
        <v>1</v>
      </c>
      <c r="CG326" s="83" t="s">
        <v>153</v>
      </c>
      <c r="CH326" s="83">
        <v>1</v>
      </c>
      <c r="CJ326" s="83" t="s">
        <v>153</v>
      </c>
      <c r="CK326" s="83">
        <v>1</v>
      </c>
      <c r="CM326" s="83" t="s">
        <v>153</v>
      </c>
      <c r="CN326" s="83">
        <v>1</v>
      </c>
      <c r="CP326" s="83" t="s">
        <v>153</v>
      </c>
      <c r="CQ326" s="83">
        <v>1</v>
      </c>
      <c r="CS326" s="83" t="s">
        <v>153</v>
      </c>
      <c r="CT326" s="83">
        <v>1</v>
      </c>
      <c r="CV326" s="83" t="s">
        <v>153</v>
      </c>
      <c r="CW326" s="83">
        <v>1</v>
      </c>
    </row>
    <row r="328" spans="1:101" x14ac:dyDescent="0.2">
      <c r="A328" s="83" t="s">
        <v>154</v>
      </c>
      <c r="B328" s="83">
        <v>1</v>
      </c>
      <c r="D328" s="83" t="s">
        <v>154</v>
      </c>
      <c r="E328" s="83">
        <v>1</v>
      </c>
      <c r="G328" s="83" t="s">
        <v>154</v>
      </c>
      <c r="H328" s="83">
        <v>1</v>
      </c>
      <c r="J328" s="83" t="s">
        <v>154</v>
      </c>
      <c r="K328" s="83">
        <v>1</v>
      </c>
      <c r="M328" s="83" t="s">
        <v>154</v>
      </c>
      <c r="N328" s="83">
        <v>1</v>
      </c>
      <c r="P328" s="83" t="s">
        <v>154</v>
      </c>
      <c r="Q328" s="83">
        <v>1</v>
      </c>
      <c r="S328" s="83" t="s">
        <v>154</v>
      </c>
      <c r="T328" s="83">
        <v>1</v>
      </c>
      <c r="V328" s="83" t="s">
        <v>154</v>
      </c>
      <c r="W328" s="83">
        <v>1</v>
      </c>
      <c r="Y328" s="83" t="s">
        <v>154</v>
      </c>
      <c r="Z328" s="83">
        <v>1</v>
      </c>
      <c r="AB328" s="83" t="s">
        <v>154</v>
      </c>
      <c r="AC328" s="83">
        <v>1</v>
      </c>
      <c r="AE328" s="83" t="s">
        <v>154</v>
      </c>
      <c r="AF328" s="83">
        <v>1</v>
      </c>
      <c r="AH328" s="83" t="s">
        <v>154</v>
      </c>
      <c r="AI328" s="83">
        <v>1</v>
      </c>
      <c r="AK328" s="83" t="s">
        <v>154</v>
      </c>
      <c r="AL328" s="83">
        <v>1</v>
      </c>
      <c r="AN328" s="83" t="s">
        <v>154</v>
      </c>
      <c r="AO328" s="83">
        <v>1</v>
      </c>
      <c r="AQ328" s="83" t="s">
        <v>154</v>
      </c>
      <c r="AR328" s="83">
        <v>1</v>
      </c>
      <c r="AT328" s="83" t="s">
        <v>154</v>
      </c>
      <c r="AU328" s="83">
        <v>1</v>
      </c>
      <c r="AW328" s="83" t="s">
        <v>154</v>
      </c>
      <c r="AX328" s="83">
        <v>1</v>
      </c>
      <c r="AZ328" s="83" t="s">
        <v>154</v>
      </c>
      <c r="BA328" s="83">
        <v>1</v>
      </c>
      <c r="BC328" s="83" t="s">
        <v>154</v>
      </c>
      <c r="BD328" s="83">
        <v>1</v>
      </c>
      <c r="BF328" s="83" t="s">
        <v>154</v>
      </c>
      <c r="BG328" s="83">
        <v>1</v>
      </c>
      <c r="BI328" s="83" t="s">
        <v>154</v>
      </c>
      <c r="BJ328" s="83">
        <v>1</v>
      </c>
      <c r="BL328" s="83" t="s">
        <v>154</v>
      </c>
      <c r="BM328" s="83">
        <v>1</v>
      </c>
      <c r="BO328" s="83" t="s">
        <v>154</v>
      </c>
      <c r="BP328" s="83">
        <v>1</v>
      </c>
      <c r="BR328" s="83" t="s">
        <v>154</v>
      </c>
      <c r="BS328" s="83">
        <v>1</v>
      </c>
      <c r="BU328" s="83" t="s">
        <v>154</v>
      </c>
      <c r="BV328" s="83">
        <v>1</v>
      </c>
      <c r="BX328" s="83" t="s">
        <v>154</v>
      </c>
      <c r="BY328" s="83">
        <v>1</v>
      </c>
      <c r="CA328" s="83" t="s">
        <v>154</v>
      </c>
      <c r="CB328" s="83">
        <v>1</v>
      </c>
      <c r="CD328" s="83" t="s">
        <v>154</v>
      </c>
      <c r="CE328" s="83">
        <v>1</v>
      </c>
      <c r="CG328" s="83" t="s">
        <v>154</v>
      </c>
      <c r="CH328" s="83">
        <v>1</v>
      </c>
      <c r="CJ328" s="83" t="s">
        <v>154</v>
      </c>
      <c r="CK328" s="83">
        <v>1</v>
      </c>
      <c r="CM328" s="83" t="s">
        <v>154</v>
      </c>
      <c r="CN328" s="83">
        <v>1</v>
      </c>
      <c r="CP328" s="83" t="s">
        <v>154</v>
      </c>
      <c r="CQ328" s="83">
        <v>1</v>
      </c>
      <c r="CS328" s="83" t="s">
        <v>154</v>
      </c>
      <c r="CT328" s="83">
        <v>1</v>
      </c>
      <c r="CV328" s="83" t="s">
        <v>154</v>
      </c>
      <c r="CW328" s="83">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Z226"/>
  <sheetViews>
    <sheetView workbookViewId="0"/>
  </sheetViews>
  <sheetFormatPr defaultRowHeight="12.75" x14ac:dyDescent="0.2"/>
  <cols>
    <col min="1" max="1" width="9.28515625" style="83" bestFit="1" customWidth="1"/>
    <col min="2" max="2" width="13.7109375" style="83" customWidth="1"/>
    <col min="3" max="3" width="11.5703125" style="83" customWidth="1"/>
    <col min="4" max="5" width="12.42578125" style="83" bestFit="1" customWidth="1"/>
    <col min="6" max="6" width="9.28515625" style="83" bestFit="1" customWidth="1"/>
    <col min="7" max="7" width="12.42578125" style="83" bestFit="1" customWidth="1"/>
    <col min="8" max="8" width="12.42578125" style="83" customWidth="1"/>
    <col min="9" max="9" width="9.28515625" style="83" bestFit="1" customWidth="1"/>
    <col min="10" max="16384" width="9.140625" style="83"/>
  </cols>
  <sheetData>
    <row r="1" spans="1:26" ht="38.25" x14ac:dyDescent="0.2">
      <c r="A1" s="171" t="s">
        <v>275</v>
      </c>
      <c r="B1" s="171" t="s">
        <v>55</v>
      </c>
      <c r="C1" s="171" t="s">
        <v>56</v>
      </c>
      <c r="D1" s="171" t="s">
        <v>180</v>
      </c>
      <c r="E1" s="171" t="s">
        <v>181</v>
      </c>
      <c r="F1" s="171" t="s">
        <v>301</v>
      </c>
      <c r="G1" s="171" t="s">
        <v>11</v>
      </c>
      <c r="H1" s="171" t="s">
        <v>278</v>
      </c>
      <c r="I1" s="171" t="s">
        <v>277</v>
      </c>
      <c r="J1" s="171" t="s">
        <v>308</v>
      </c>
      <c r="K1" s="172"/>
      <c r="L1" s="172"/>
      <c r="M1" s="172"/>
      <c r="N1" s="172"/>
      <c r="O1" s="172"/>
      <c r="P1" s="172"/>
      <c r="Q1" s="172"/>
      <c r="R1" s="172"/>
      <c r="S1" s="172"/>
      <c r="T1" s="172"/>
      <c r="U1" s="172"/>
      <c r="V1" s="172"/>
      <c r="W1" s="172"/>
      <c r="X1" s="172"/>
      <c r="Y1" s="172"/>
      <c r="Z1" s="172"/>
    </row>
    <row r="2" spans="1:26" x14ac:dyDescent="0.2">
      <c r="A2" s="173">
        <f>Calc!A9</f>
        <v>4.99E-5</v>
      </c>
      <c r="B2" s="173">
        <f>Calc!B9</f>
        <v>1.02528</v>
      </c>
      <c r="C2" s="173">
        <f>Calc!C9</f>
        <v>0.36129</v>
      </c>
      <c r="D2" s="173">
        <f>Calc!I9</f>
        <v>7132943842282825</v>
      </c>
      <c r="E2" s="173">
        <f>Calc!P9</f>
        <v>0</v>
      </c>
      <c r="F2" s="174">
        <f>Calc!S9</f>
        <v>0</v>
      </c>
      <c r="G2" s="173">
        <f>Calc!O9</f>
        <v>7132943842282825</v>
      </c>
      <c r="H2" s="175" t="str">
        <f>Calc!X9</f>
        <v/>
      </c>
      <c r="I2" s="175" t="str">
        <f>Calc!Y9</f>
        <v/>
      </c>
      <c r="J2" s="176">
        <f>Calc!AE9</f>
        <v>1385.2745508581866</v>
      </c>
      <c r="K2" s="172"/>
      <c r="L2" s="172"/>
      <c r="M2" s="172"/>
      <c r="N2" s="172"/>
      <c r="O2" s="172"/>
      <c r="P2" s="172"/>
      <c r="Q2" s="172"/>
      <c r="R2" s="172"/>
      <c r="S2" s="172"/>
      <c r="T2" s="172"/>
      <c r="U2" s="172"/>
      <c r="V2" s="172"/>
      <c r="W2" s="172"/>
      <c r="X2" s="172"/>
      <c r="Y2" s="172"/>
      <c r="Z2" s="172"/>
    </row>
    <row r="3" spans="1:26" x14ac:dyDescent="0.2">
      <c r="A3" s="173">
        <f>Calc!A10</f>
        <v>1.4990000000000001E-4</v>
      </c>
      <c r="B3" s="173">
        <f>Calc!B10</f>
        <v>2.8582900000000002</v>
      </c>
      <c r="C3" s="173">
        <f>Calc!C10</f>
        <v>0.54188499999999995</v>
      </c>
      <c r="D3" s="173">
        <f>Calc!I10</f>
        <v>2.4227357978840676E+16</v>
      </c>
      <c r="E3" s="173">
        <f>Calc!P10</f>
        <v>0</v>
      </c>
      <c r="F3" s="174">
        <f>Calc!S10</f>
        <v>0</v>
      </c>
      <c r="G3" s="173">
        <f>Calc!O10</f>
        <v>2.4227357978840676E+16</v>
      </c>
      <c r="H3" s="175" t="str">
        <f>Calc!X10</f>
        <v/>
      </c>
      <c r="I3" s="175" t="str">
        <f>Calc!Y10</f>
        <v/>
      </c>
      <c r="J3" s="176">
        <f>Calc!AE10</f>
        <v>1167.5536603038588</v>
      </c>
    </row>
    <row r="4" spans="1:26" x14ac:dyDescent="0.2">
      <c r="A4" s="173">
        <f>Calc!A11</f>
        <v>2.499E-4</v>
      </c>
      <c r="B4" s="173">
        <f>Calc!B11</f>
        <v>3.6298499999999998</v>
      </c>
      <c r="C4" s="173">
        <f>Calc!C11</f>
        <v>0.60949200000000003</v>
      </c>
      <c r="D4" s="173">
        <f>Calc!I11</f>
        <v>3.3156920272910068E+16</v>
      </c>
      <c r="E4" s="173">
        <f>Calc!P11</f>
        <v>7.8800350524997812E-5</v>
      </c>
      <c r="F4" s="174">
        <f>Calc!S11</f>
        <v>10865.32581896694</v>
      </c>
      <c r="G4" s="173">
        <f>Calc!O11</f>
        <v>3.3156920272910068E+16</v>
      </c>
      <c r="H4" s="175" t="str">
        <f>Calc!X11</f>
        <v/>
      </c>
      <c r="I4" s="175" t="str">
        <f>Calc!Y11</f>
        <v/>
      </c>
      <c r="J4" s="176">
        <f>Calc!AE11</f>
        <v>1095.3375961223232</v>
      </c>
    </row>
    <row r="5" spans="1:26" x14ac:dyDescent="0.2">
      <c r="A5" s="173">
        <f>Calc!A12</f>
        <v>3.4989999999999999E-4</v>
      </c>
      <c r="B5" s="173">
        <f>Calc!B12</f>
        <v>3.8909099999999999</v>
      </c>
      <c r="C5" s="173">
        <f>Calc!C12</f>
        <v>0.62489499999999998</v>
      </c>
      <c r="D5" s="173">
        <f>Calc!I12</f>
        <v>3.64271604372292E+16</v>
      </c>
      <c r="E5" s="173">
        <f>Calc!P12</f>
        <v>7.5985619882014166E-5</v>
      </c>
      <c r="F5" s="174">
        <f>Calc!S12</f>
        <v>10957.667731532496</v>
      </c>
      <c r="G5" s="173">
        <f>Calc!O12</f>
        <v>3.64271604372292E+16</v>
      </c>
      <c r="H5" s="175" t="str">
        <f>Calc!X12</f>
        <v/>
      </c>
      <c r="I5" s="175" t="str">
        <f>Calc!Y12</f>
        <v/>
      </c>
      <c r="J5" s="176">
        <f>Calc!AE12</f>
        <v>1072.6478113217404</v>
      </c>
    </row>
    <row r="6" spans="1:26" x14ac:dyDescent="0.2">
      <c r="A6" s="173">
        <f>Calc!A13</f>
        <v>4.4989999999999999E-4</v>
      </c>
      <c r="B6" s="173">
        <f>Calc!B13</f>
        <v>3.8542900000000002</v>
      </c>
      <c r="C6" s="173">
        <f>Calc!C13</f>
        <v>0.60998399999999997</v>
      </c>
      <c r="D6" s="173">
        <f>Calc!I13</f>
        <v>3.596063917555602E+16</v>
      </c>
      <c r="E6" s="173">
        <f>Calc!P13</f>
        <v>7.2952152926643261E-5</v>
      </c>
      <c r="F6" s="174">
        <f>Calc!S13</f>
        <v>11560.956481114054</v>
      </c>
      <c r="G6" s="173">
        <f>Calc!O13</f>
        <v>3.596063917555602E+16</v>
      </c>
      <c r="H6" s="177">
        <f>Calc!X13</f>
        <v>0.78566597805386718</v>
      </c>
      <c r="I6" s="178">
        <f>Calc!Y13</f>
        <v>58.187036085964927</v>
      </c>
      <c r="J6" s="176">
        <f>Calc!AE13</f>
        <v>1075.7825520086215</v>
      </c>
    </row>
    <row r="7" spans="1:26" x14ac:dyDescent="0.2">
      <c r="A7" s="173">
        <f>Calc!A14</f>
        <v>5.4989999999999998E-4</v>
      </c>
      <c r="B7" s="173">
        <f>Calc!B14</f>
        <v>3.7495599999999998</v>
      </c>
      <c r="C7" s="173">
        <f>Calc!C14</f>
        <v>0.58228100000000005</v>
      </c>
      <c r="D7" s="173">
        <f>Calc!I14</f>
        <v>3.4640506713742128E+16</v>
      </c>
      <c r="E7" s="173">
        <f>Calc!P14</f>
        <v>7.1954296767007408E-5</v>
      </c>
      <c r="F7" s="174">
        <f>Calc!S14</f>
        <v>11905.769287812996</v>
      </c>
      <c r="G7" s="173">
        <f>Calc!O14</f>
        <v>3.4640506713742128E+16</v>
      </c>
      <c r="H7" s="177">
        <f>Calc!X14</f>
        <v>0.78382909959921321</v>
      </c>
      <c r="I7" s="178">
        <f>Calc!Y14</f>
        <v>56.828271883654729</v>
      </c>
      <c r="J7" s="176">
        <f>Calc!AE14</f>
        <v>1084.8332088933928</v>
      </c>
    </row>
    <row r="8" spans="1:26" x14ac:dyDescent="0.2">
      <c r="A8" s="173">
        <f>Calc!A15</f>
        <v>6.4990000000000002E-4</v>
      </c>
      <c r="B8" s="173">
        <f>Calc!B15</f>
        <v>3.6247400000000001</v>
      </c>
      <c r="C8" s="173">
        <f>Calc!C15</f>
        <v>0.54947500000000005</v>
      </c>
      <c r="D8" s="173">
        <f>Calc!I15</f>
        <v>3.3094189745940248E+16</v>
      </c>
      <c r="E8" s="173">
        <f>Calc!P15</f>
        <v>7.2323926949031521E-5</v>
      </c>
      <c r="F8" s="174">
        <f>Calc!S15</f>
        <v>12008.608688995268</v>
      </c>
      <c r="G8" s="173">
        <f>Calc!O15</f>
        <v>3.3094189745940248E+16</v>
      </c>
      <c r="H8" s="177">
        <f>Calc!X15</f>
        <v>0.7815903094127099</v>
      </c>
      <c r="I8" s="178">
        <f>Calc!Y15</f>
        <v>54.014044789661568</v>
      </c>
      <c r="J8" s="176">
        <f>Calc!AE15</f>
        <v>1095.7898539320238</v>
      </c>
    </row>
    <row r="9" spans="1:26" x14ac:dyDescent="0.2">
      <c r="A9" s="173">
        <f>Calc!A16</f>
        <v>7.4989999999999996E-4</v>
      </c>
      <c r="B9" s="173">
        <f>Calc!B16</f>
        <v>3.4943200000000001</v>
      </c>
      <c r="C9" s="173">
        <f>Calc!C16</f>
        <v>0.51740699999999995</v>
      </c>
      <c r="D9" s="173">
        <f>Calc!I16</f>
        <v>3.1509624705700252E+16</v>
      </c>
      <c r="E9" s="173">
        <f>Calc!P16</f>
        <v>7.2873509075320939E-5</v>
      </c>
      <c r="F9" s="174">
        <f>Calc!S16</f>
        <v>12074.265966219155</v>
      </c>
      <c r="G9" s="173">
        <f>Calc!O16</f>
        <v>3.1509624705700252E+16</v>
      </c>
      <c r="H9" s="177">
        <f>Calc!X16</f>
        <v>0.77918996536553509</v>
      </c>
      <c r="I9" s="178">
        <f>Calc!Y16</f>
        <v>51.039979870716671</v>
      </c>
      <c r="J9" s="176">
        <f>Calc!AE16</f>
        <v>1107.4423489649723</v>
      </c>
    </row>
    <row r="10" spans="1:26" x14ac:dyDescent="0.2">
      <c r="A10" s="173">
        <f>Calc!A17</f>
        <v>8.499E-4</v>
      </c>
      <c r="B10" s="173">
        <f>Calc!B17</f>
        <v>3.3584000000000001</v>
      </c>
      <c r="C10" s="173">
        <f>Calc!C17</f>
        <v>0.486844</v>
      </c>
      <c r="D10" s="173">
        <f>Calc!I17</f>
        <v>2.9891736272606904E+16</v>
      </c>
      <c r="E10" s="173">
        <f>Calc!P17</f>
        <v>7.3301428388467977E-5</v>
      </c>
      <c r="F10" s="174">
        <f>Calc!S17</f>
        <v>12159.062566640407</v>
      </c>
      <c r="G10" s="173">
        <f>Calc!O17</f>
        <v>2.9891736272606904E+16</v>
      </c>
      <c r="H10" s="177">
        <f>Calc!X17</f>
        <v>0.77661732469406453</v>
      </c>
      <c r="I10" s="178">
        <f>Calc!Y17</f>
        <v>48.136626490961149</v>
      </c>
      <c r="J10" s="176">
        <f>Calc!AE17</f>
        <v>1119.8172389437461</v>
      </c>
    </row>
    <row r="11" spans="1:26" x14ac:dyDescent="0.2">
      <c r="A11" s="173">
        <f>Calc!A18</f>
        <v>9.4990000000000005E-4</v>
      </c>
      <c r="B11" s="173">
        <f>Calc!B18</f>
        <v>3.2216300000000002</v>
      </c>
      <c r="C11" s="173">
        <f>Calc!C18</f>
        <v>0.45813399999999999</v>
      </c>
      <c r="D11" s="173">
        <f>Calc!I18</f>
        <v>2.82978795561635E+16</v>
      </c>
      <c r="E11" s="173">
        <f>Calc!P18</f>
        <v>7.3612239120730906E-5</v>
      </c>
      <c r="F11" s="174">
        <f>Calc!S18</f>
        <v>12255.419310730776</v>
      </c>
      <c r="G11" s="173">
        <f>Calc!O18</f>
        <v>2.82978795561635E+16</v>
      </c>
      <c r="H11" s="177">
        <f>Calc!X18</f>
        <v>0.7739499306040879</v>
      </c>
      <c r="I11" s="178">
        <f>Calc!Y18</f>
        <v>45.377525764626533</v>
      </c>
      <c r="J11" s="176">
        <f>Calc!AE18</f>
        <v>1132.517623229108</v>
      </c>
    </row>
    <row r="12" spans="1:26" x14ac:dyDescent="0.2">
      <c r="A12" s="173">
        <f>Calc!A19</f>
        <v>1.0499000000000001E-3</v>
      </c>
      <c r="B12" s="173">
        <f>Calc!B19</f>
        <v>3.0861900000000002</v>
      </c>
      <c r="C12" s="173">
        <f>Calc!C19</f>
        <v>0.43135299999999999</v>
      </c>
      <c r="D12" s="173">
        <f>Calc!I19</f>
        <v>2.6752924575107012E+16</v>
      </c>
      <c r="E12" s="173">
        <f>Calc!P19</f>
        <v>7.3823267401736781E-5</v>
      </c>
      <c r="F12" s="174">
        <f>Calc!S19</f>
        <v>12357.771313522462</v>
      </c>
      <c r="G12" s="173">
        <f>Calc!O19</f>
        <v>2.6752924575107012E+16</v>
      </c>
      <c r="H12" s="177">
        <f>Calc!X19</f>
        <v>0.77122461546225862</v>
      </c>
      <c r="I12" s="178">
        <f>Calc!Y19</f>
        <v>42.777455535892614</v>
      </c>
      <c r="J12" s="176">
        <f>Calc!AE19</f>
        <v>1145.3507607337142</v>
      </c>
    </row>
    <row r="13" spans="1:26" x14ac:dyDescent="0.2">
      <c r="A13" s="173">
        <f>Calc!A20</f>
        <v>1.1498999999999999E-3</v>
      </c>
      <c r="B13" s="173">
        <f>Calc!B20</f>
        <v>2.9527899999999998</v>
      </c>
      <c r="C13" s="173">
        <f>Calc!C20</f>
        <v>0.40625899999999998</v>
      </c>
      <c r="D13" s="173">
        <f>Calc!I20</f>
        <v>2.5263397175589036E+16</v>
      </c>
      <c r="E13" s="173">
        <f>Calc!P20</f>
        <v>7.3948025886738544E-5</v>
      </c>
      <c r="F13" s="174">
        <f>Calc!S20</f>
        <v>12463.534306396628</v>
      </c>
      <c r="G13" s="173">
        <f>Calc!O20</f>
        <v>2.5263397175589036E+16</v>
      </c>
      <c r="H13" s="177">
        <f>Calc!X20</f>
        <v>0.76845214665541339</v>
      </c>
      <c r="I13" s="178">
        <f>Calc!Y20</f>
        <v>40.327575387521591</v>
      </c>
      <c r="J13" s="176">
        <f>Calc!AE20</f>
        <v>1158.2514553667711</v>
      </c>
    </row>
    <row r="14" spans="1:26" x14ac:dyDescent="0.2">
      <c r="A14" s="173">
        <f>Calc!A21</f>
        <v>1.2499E-3</v>
      </c>
      <c r="B14" s="173">
        <f>Calc!B21</f>
        <v>2.8214399999999999</v>
      </c>
      <c r="C14" s="173">
        <f>Calc!C21</f>
        <v>0.38257200000000002</v>
      </c>
      <c r="D14" s="173">
        <f>Calc!I21</f>
        <v>2.3827630108026112E+16</v>
      </c>
      <c r="E14" s="173">
        <f>Calc!P21</f>
        <v>7.4007521307416327E-5</v>
      </c>
      <c r="F14" s="174">
        <f>Calc!S21</f>
        <v>12569.665261292588</v>
      </c>
      <c r="G14" s="173">
        <f>Calc!O21</f>
        <v>2.3827630108026112E+16</v>
      </c>
      <c r="H14" s="177">
        <f>Calc!X21</f>
        <v>0.76562959832827859</v>
      </c>
      <c r="I14" s="178">
        <f>Calc!Y21</f>
        <v>38.005105044659153</v>
      </c>
      <c r="J14" s="176">
        <f>Calc!AE21</f>
        <v>1171.218938253686</v>
      </c>
    </row>
    <row r="15" spans="1:26" x14ac:dyDescent="0.2">
      <c r="A15" s="173">
        <f>Calc!A22</f>
        <v>1.3499E-3</v>
      </c>
      <c r="B15" s="173">
        <f>Calc!B22</f>
        <v>2.6933099999999999</v>
      </c>
      <c r="C15" s="173">
        <f>Calc!C22</f>
        <v>0.360458</v>
      </c>
      <c r="D15" s="173">
        <f>Calc!I22</f>
        <v>2.2456291055661492E+16</v>
      </c>
      <c r="E15" s="173">
        <f>Calc!P22</f>
        <v>7.3981089190724652E-5</v>
      </c>
      <c r="F15" s="174">
        <f>Calc!S22</f>
        <v>12679.854681352719</v>
      </c>
      <c r="G15" s="173">
        <f>Calc!O22</f>
        <v>2.2456291055661492E+16</v>
      </c>
      <c r="H15" s="177">
        <f>Calc!X22</f>
        <v>0.76278001972916709</v>
      </c>
      <c r="I15" s="178">
        <f>Calc!Y22</f>
        <v>35.830614304403163</v>
      </c>
      <c r="J15" s="176">
        <f>Calc!AE22</f>
        <v>1184.1343678055089</v>
      </c>
    </row>
    <row r="16" spans="1:26" x14ac:dyDescent="0.2">
      <c r="A16" s="173">
        <f>Calc!A23</f>
        <v>1.4499000000000001E-3</v>
      </c>
      <c r="B16" s="173">
        <f>Calc!B23</f>
        <v>2.5692699999999999</v>
      </c>
      <c r="C16" s="173">
        <f>Calc!C23</f>
        <v>0.33967799999999998</v>
      </c>
      <c r="D16" s="173">
        <f>Calc!I23</f>
        <v>2.1155974638805236E+16</v>
      </c>
      <c r="E16" s="173">
        <f>Calc!P23</f>
        <v>7.3925689777481601E-5</v>
      </c>
      <c r="F16" s="174">
        <f>Calc!S23</f>
        <v>12784.122382634998</v>
      </c>
      <c r="G16" s="173">
        <f>Calc!O23</f>
        <v>2.1155974638805236E+16</v>
      </c>
      <c r="H16" s="177">
        <f>Calc!X23</f>
        <v>0.75992293448829007</v>
      </c>
      <c r="I16" s="178">
        <f>Calc!Y23</f>
        <v>33.781163121716915</v>
      </c>
      <c r="J16" s="176">
        <f>Calc!AE23</f>
        <v>1196.9001855841689</v>
      </c>
    </row>
    <row r="17" spans="1:10" x14ac:dyDescent="0.2">
      <c r="A17" s="173">
        <f>Calc!A24</f>
        <v>1.5499000000000001E-3</v>
      </c>
      <c r="B17" s="173">
        <f>Calc!B24</f>
        <v>2.4478399999999998</v>
      </c>
      <c r="C17" s="173">
        <f>Calc!C24</f>
        <v>0.32023499999999999</v>
      </c>
      <c r="D17" s="173">
        <f>Calc!I24</f>
        <v>1.9908759707753328E+16</v>
      </c>
      <c r="E17" s="173">
        <f>Calc!P24</f>
        <v>7.3760626649134071E-5</v>
      </c>
      <c r="F17" s="174">
        <f>Calc!S24</f>
        <v>12899.41308677742</v>
      </c>
      <c r="G17" s="173">
        <f>Calc!O24</f>
        <v>1.9908759707753328E+16</v>
      </c>
      <c r="H17" s="177">
        <f>Calc!X24</f>
        <v>0.7570237392799144</v>
      </c>
      <c r="I17" s="178">
        <f>Calc!Y24</f>
        <v>31.860790991654678</v>
      </c>
      <c r="J17" s="176">
        <f>Calc!AE24</f>
        <v>1209.660519259595</v>
      </c>
    </row>
    <row r="18" spans="1:10" x14ac:dyDescent="0.2">
      <c r="A18" s="173">
        <f>Calc!A25</f>
        <v>1.6498999999999999E-3</v>
      </c>
      <c r="B18" s="173">
        <f>Calc!B25</f>
        <v>2.3305699999999998</v>
      </c>
      <c r="C18" s="173">
        <f>Calc!C25</f>
        <v>0.301985</v>
      </c>
      <c r="D18" s="173">
        <f>Calc!I25</f>
        <v>1.8728247707966444E+16</v>
      </c>
      <c r="E18" s="173">
        <f>Calc!P25</f>
        <v>7.3552058572983137E-5</v>
      </c>
      <c r="F18" s="174">
        <f>Calc!S25</f>
        <v>13013.572080795486</v>
      </c>
      <c r="G18" s="173">
        <f>Calc!O25</f>
        <v>1.8728247707966444E+16</v>
      </c>
      <c r="H18" s="177">
        <f>Calc!X25</f>
        <v>0.75411912669221359</v>
      </c>
      <c r="I18" s="178">
        <f>Calc!Y25</f>
        <v>30.056558990047144</v>
      </c>
      <c r="J18" s="176">
        <f>Calc!AE25</f>
        <v>1222.2437172789821</v>
      </c>
    </row>
    <row r="19" spans="1:10" x14ac:dyDescent="0.2">
      <c r="A19" s="173">
        <f>Calc!A26</f>
        <v>1.7499E-3</v>
      </c>
      <c r="B19" s="173">
        <f>Calc!B26</f>
        <v>2.2168399999999999</v>
      </c>
      <c r="C19" s="173">
        <f>Calc!C26</f>
        <v>0.284804</v>
      </c>
      <c r="D19" s="173">
        <f>Calc!I26</f>
        <v>1.7605699975024138E+16</v>
      </c>
      <c r="E19" s="173">
        <f>Calc!P26</f>
        <v>7.3297230498405803E-5</v>
      </c>
      <c r="F19" s="174">
        <f>Calc!S26</f>
        <v>13128.54556524359</v>
      </c>
      <c r="G19" s="173">
        <f>Calc!O26</f>
        <v>1.7605699975024138E+16</v>
      </c>
      <c r="H19" s="177">
        <f>Calc!X26</f>
        <v>0.75119477911868449</v>
      </c>
      <c r="I19" s="178">
        <f>Calc!Y26</f>
        <v>28.353238936204775</v>
      </c>
      <c r="J19" s="176">
        <f>Calc!AE26</f>
        <v>1234.7041129765639</v>
      </c>
    </row>
    <row r="20" spans="1:10" x14ac:dyDescent="0.2">
      <c r="A20" s="173">
        <f>Calc!A27</f>
        <v>1.8499E-3</v>
      </c>
      <c r="B20" s="173">
        <f>Calc!B27</f>
        <v>2.10676</v>
      </c>
      <c r="C20" s="173">
        <f>Calc!C27</f>
        <v>0.26864100000000002</v>
      </c>
      <c r="D20" s="173">
        <f>Calc!I27</f>
        <v>1.6539968009497458E+16</v>
      </c>
      <c r="E20" s="173">
        <f>Calc!P27</f>
        <v>7.2988642676767354E-5</v>
      </c>
      <c r="F20" s="174">
        <f>Calc!S27</f>
        <v>13246.634599030773</v>
      </c>
      <c r="G20" s="173">
        <f>Calc!O27</f>
        <v>1.6539968009497458E+16</v>
      </c>
      <c r="H20" s="177">
        <f>Calc!X27</f>
        <v>0.74825406348306323</v>
      </c>
      <c r="I20" s="178">
        <f>Calc!Y27</f>
        <v>26.749540383600337</v>
      </c>
      <c r="J20" s="176">
        <f>Calc!AE27</f>
        <v>1247.0187511792926</v>
      </c>
    </row>
    <row r="21" spans="1:10" x14ac:dyDescent="0.2">
      <c r="A21" s="173">
        <f>Calc!A28</f>
        <v>1.9499000000000001E-3</v>
      </c>
      <c r="B21" s="173">
        <f>Calc!B28</f>
        <v>2.0009899999999998</v>
      </c>
      <c r="C21" s="173">
        <f>Calc!C28</f>
        <v>0.25351600000000002</v>
      </c>
      <c r="D21" s="173">
        <f>Calc!I28</f>
        <v>1.5535100296297956E+16</v>
      </c>
      <c r="E21" s="173">
        <f>Calc!P28</f>
        <v>7.2640346347184882E-5</v>
      </c>
      <c r="F21" s="174">
        <f>Calc!S28</f>
        <v>13365.830878979879</v>
      </c>
      <c r="G21" s="173">
        <f>Calc!O28</f>
        <v>1.5535100296297956E+16</v>
      </c>
      <c r="H21" s="177">
        <f>Calc!X28</f>
        <v>0.74531658391829847</v>
      </c>
      <c r="I21" s="178">
        <f>Calc!Y28</f>
        <v>25.244867854631117</v>
      </c>
      <c r="J21" s="176">
        <f>Calc!AE28</f>
        <v>1259.0997547891059</v>
      </c>
    </row>
    <row r="22" spans="1:10" x14ac:dyDescent="0.2">
      <c r="A22" s="173">
        <f>Calc!A29</f>
        <v>2.0498999999999999E-3</v>
      </c>
      <c r="B22" s="173">
        <f>Calc!B29</f>
        <v>1.8989400000000001</v>
      </c>
      <c r="C22" s="173">
        <f>Calc!C29</f>
        <v>0.23935899999999999</v>
      </c>
      <c r="D22" s="173">
        <f>Calc!I29</f>
        <v>1.4583243862017522E+16</v>
      </c>
      <c r="E22" s="173">
        <f>Calc!P29</f>
        <v>7.2225827840122523E-5</v>
      </c>
      <c r="F22" s="174">
        <f>Calc!S29</f>
        <v>13492.428763551381</v>
      </c>
      <c r="G22" s="173">
        <f>Calc!O29</f>
        <v>1.4583243862017522E+16</v>
      </c>
      <c r="H22" s="177">
        <f>Calc!X29</f>
        <v>0.74236839142105959</v>
      </c>
      <c r="I22" s="178">
        <f>Calc!Y29</f>
        <v>23.834088975056229</v>
      </c>
      <c r="J22" s="176">
        <f>Calc!AE29</f>
        <v>1270.9997106005928</v>
      </c>
    </row>
    <row r="23" spans="1:10" x14ac:dyDescent="0.2">
      <c r="A23" s="173">
        <f>Calc!A30</f>
        <v>2.1499000000000002E-3</v>
      </c>
      <c r="B23" s="173">
        <f>Calc!B30</f>
        <v>1.8013999999999999</v>
      </c>
      <c r="C23" s="173">
        <f>Calc!C30</f>
        <v>0.22608300000000001</v>
      </c>
      <c r="D23" s="173">
        <f>Calc!I30</f>
        <v>1.368958434920649E+16</v>
      </c>
      <c r="E23" s="173">
        <f>Calc!P30</f>
        <v>7.1787479429067039E-5</v>
      </c>
      <c r="F23" s="174">
        <f>Calc!S30</f>
        <v>13618.913898311283</v>
      </c>
      <c r="G23" s="173">
        <f>Calc!O30</f>
        <v>1.368958434920649E+16</v>
      </c>
      <c r="H23" s="177">
        <f>Calc!X30</f>
        <v>0.73943557188529951</v>
      </c>
      <c r="I23" s="178">
        <f>Calc!Y30</f>
        <v>22.510155943762079</v>
      </c>
      <c r="J23" s="176">
        <f>Calc!AE30</f>
        <v>1282.610373589778</v>
      </c>
    </row>
    <row r="24" spans="1:10" x14ac:dyDescent="0.2">
      <c r="A24" s="173">
        <f>Calc!A31</f>
        <v>2.2499E-3</v>
      </c>
      <c r="B24" s="173">
        <f>Calc!B31</f>
        <v>1.7077100000000001</v>
      </c>
      <c r="C24" s="173">
        <f>Calc!C31</f>
        <v>0.21359300000000001</v>
      </c>
      <c r="D24" s="173">
        <f>Calc!I31</f>
        <v>1.2845970111505322E+16</v>
      </c>
      <c r="E24" s="173">
        <f>Calc!P31</f>
        <v>7.1314089797917801E-5</v>
      </c>
      <c r="F24" s="174">
        <f>Calc!S31</f>
        <v>13748.542966468682</v>
      </c>
      <c r="G24" s="173">
        <f>Calc!O31</f>
        <v>1.2845970111505322E+16</v>
      </c>
      <c r="H24" s="177">
        <f>Calc!X31</f>
        <v>0.73650228658171146</v>
      </c>
      <c r="I24" s="178">
        <f>Calc!Y31</f>
        <v>21.26319441791383</v>
      </c>
      <c r="J24" s="176">
        <f>Calc!AE31</f>
        <v>1293.9931249234942</v>
      </c>
    </row>
    <row r="25" spans="1:10" x14ac:dyDescent="0.2">
      <c r="A25" s="173">
        <f>Calc!A32</f>
        <v>2.3498999999999998E-3</v>
      </c>
      <c r="B25" s="173">
        <f>Calc!B32</f>
        <v>1.6179699999999999</v>
      </c>
      <c r="C25" s="173">
        <f>Calc!C32</f>
        <v>0.201816</v>
      </c>
      <c r="D25" s="173">
        <f>Calc!I32</f>
        <v>1.2051435426874354E+16</v>
      </c>
      <c r="E25" s="173">
        <f>Calc!P32</f>
        <v>7.0819079407196287E-5</v>
      </c>
      <c r="F25" s="174">
        <f>Calc!S32</f>
        <v>13879.394972433285</v>
      </c>
      <c r="G25" s="173">
        <f>Calc!O32</f>
        <v>1.2051435426874354E+16</v>
      </c>
      <c r="H25" s="177">
        <f>Calc!X32</f>
        <v>0.73357522123657415</v>
      </c>
      <c r="I25" s="178">
        <f>Calc!Y32</f>
        <v>20.087479548437866</v>
      </c>
      <c r="J25" s="176">
        <f>Calc!AE32</f>
        <v>1305.1200749523234</v>
      </c>
    </row>
    <row r="26" spans="1:10" x14ac:dyDescent="0.2">
      <c r="A26" s="173">
        <f>Calc!A33</f>
        <v>2.4499000000000001E-3</v>
      </c>
      <c r="B26" s="173">
        <f>Calc!B33</f>
        <v>1.5322499999999999</v>
      </c>
      <c r="C26" s="173">
        <f>Calc!C33</f>
        <v>0.19082399999999999</v>
      </c>
      <c r="D26" s="173">
        <f>Calc!I33</f>
        <v>1.1304792156430936E+16</v>
      </c>
      <c r="E26" s="173">
        <f>Calc!P33</f>
        <v>7.0281687841031854E-5</v>
      </c>
      <c r="F26" s="174">
        <f>Calc!S33</f>
        <v>14016.312158760355</v>
      </c>
      <c r="G26" s="173">
        <f>Calc!O33</f>
        <v>1.1304792156430936E+16</v>
      </c>
      <c r="H26" s="177">
        <f>Calc!X33</f>
        <v>0.73066114971444696</v>
      </c>
      <c r="I26" s="178">
        <f>Calc!Y33</f>
        <v>18.98704352015389</v>
      </c>
      <c r="J26" s="176">
        <f>Calc!AE33</f>
        <v>1315.9655600263025</v>
      </c>
    </row>
    <row r="27" spans="1:10" x14ac:dyDescent="0.2">
      <c r="A27" s="173">
        <f>Calc!A34</f>
        <v>2.5498999999999999E-3</v>
      </c>
      <c r="B27" s="173">
        <f>Calc!B34</f>
        <v>1.45035</v>
      </c>
      <c r="C27" s="173">
        <f>Calc!C34</f>
        <v>0.180481</v>
      </c>
      <c r="D27" s="173">
        <f>Calc!I34</f>
        <v>1.060261174799888E+16</v>
      </c>
      <c r="E27" s="173">
        <f>Calc!P34</f>
        <v>6.9719485059645459E-5</v>
      </c>
      <c r="F27" s="174">
        <f>Calc!S34</f>
        <v>14156.583044725445</v>
      </c>
      <c r="G27" s="173">
        <f>Calc!O34</f>
        <v>1.060261174799888E+16</v>
      </c>
      <c r="H27" s="177">
        <f>Calc!X34</f>
        <v>0.72775816616436406</v>
      </c>
      <c r="I27" s="178">
        <f>Calc!Y34</f>
        <v>17.95128881045185</v>
      </c>
      <c r="J27" s="176">
        <f>Calc!AE34</f>
        <v>1326.5377712778793</v>
      </c>
    </row>
    <row r="28" spans="1:10" x14ac:dyDescent="0.2">
      <c r="A28" s="173">
        <f>Calc!A35</f>
        <v>2.6499000000000002E-3</v>
      </c>
      <c r="B28" s="173">
        <f>Calc!B35</f>
        <v>1.3730500000000001</v>
      </c>
      <c r="C28" s="173">
        <f>Calc!C35</f>
        <v>0.17077500000000001</v>
      </c>
      <c r="D28" s="173">
        <f>Calc!I35</f>
        <v>9949873671104586</v>
      </c>
      <c r="E28" s="173">
        <f>Calc!P35</f>
        <v>6.9173012027657729E-5</v>
      </c>
      <c r="F28" s="174">
        <f>Calc!S35</f>
        <v>14292.165106349868</v>
      </c>
      <c r="G28" s="173">
        <f>Calc!O35</f>
        <v>9949873671104586</v>
      </c>
      <c r="H28" s="177">
        <f>Calc!X35</f>
        <v>0.72490090573289834</v>
      </c>
      <c r="I28" s="178">
        <f>Calc!Y35</f>
        <v>16.979223555713375</v>
      </c>
      <c r="J28" s="176">
        <f>Calc!AE35</f>
        <v>1336.7159987166747</v>
      </c>
    </row>
    <row r="29" spans="1:10" x14ac:dyDescent="0.2">
      <c r="A29" s="173">
        <f>Calc!A36</f>
        <v>2.7499E-3</v>
      </c>
      <c r="B29" s="173">
        <f>Calc!B36</f>
        <v>1.29888</v>
      </c>
      <c r="C29" s="173">
        <f>Calc!C36</f>
        <v>0.16162000000000001</v>
      </c>
      <c r="D29" s="173">
        <f>Calc!I36</f>
        <v>9332678772147270</v>
      </c>
      <c r="E29" s="173">
        <f>Calc!P36</f>
        <v>6.8582954581034554E-5</v>
      </c>
      <c r="F29" s="174">
        <f>Calc!S36</f>
        <v>14436.298304722644</v>
      </c>
      <c r="G29" s="173">
        <f>Calc!O36</f>
        <v>9332678772147270</v>
      </c>
      <c r="H29" s="177">
        <f>Calc!X36</f>
        <v>0.72204125200905045</v>
      </c>
      <c r="I29" s="178">
        <f>Calc!Y36</f>
        <v>16.063015318294401</v>
      </c>
      <c r="J29" s="176">
        <f>Calc!AE36</f>
        <v>1346.6758330022469</v>
      </c>
    </row>
    <row r="30" spans="1:10" x14ac:dyDescent="0.2">
      <c r="A30" s="173">
        <f>Calc!A37</f>
        <v>2.8498999999999998E-3</v>
      </c>
      <c r="B30" s="173">
        <f>Calc!B37</f>
        <v>1.2283999999999999</v>
      </c>
      <c r="C30" s="173">
        <f>Calc!C37</f>
        <v>0.15274199999999999</v>
      </c>
      <c r="D30" s="173">
        <f>Calc!I37</f>
        <v>8754445669875415</v>
      </c>
      <c r="E30" s="173">
        <f>Calc!P37</f>
        <v>6.8091286704411726E-5</v>
      </c>
      <c r="F30" s="174">
        <f>Calc!S37</f>
        <v>14558.943956137322</v>
      </c>
      <c r="G30" s="173">
        <f>Calc!O37</f>
        <v>8754445669875415</v>
      </c>
      <c r="H30" s="177">
        <f>Calc!X37</f>
        <v>0.71920567799794333</v>
      </c>
      <c r="I30" s="178">
        <f>Calc!Y37</f>
        <v>15.176584953814297</v>
      </c>
      <c r="J30" s="176">
        <f>Calc!AE37</f>
        <v>1356.3270280855022</v>
      </c>
    </row>
    <row r="31" spans="1:10" x14ac:dyDescent="0.2">
      <c r="A31" s="173">
        <f>Calc!A38</f>
        <v>2.9499000000000001E-3</v>
      </c>
      <c r="B31" s="173">
        <f>Calc!B38</f>
        <v>1.16126</v>
      </c>
      <c r="C31" s="173">
        <f>Calc!C38</f>
        <v>0.14462</v>
      </c>
      <c r="D31" s="173">
        <f>Calc!I38</f>
        <v>8211088727205681</v>
      </c>
      <c r="E31" s="173">
        <f>Calc!P38</f>
        <v>6.7481587150321581E-5</v>
      </c>
      <c r="F31" s="174">
        <f>Calc!S38</f>
        <v>14706.936662881531</v>
      </c>
      <c r="G31" s="173">
        <f>Calc!O38</f>
        <v>8211088727205681</v>
      </c>
      <c r="H31" s="177">
        <f>Calc!X38</f>
        <v>0.7163862512844571</v>
      </c>
      <c r="I31" s="178">
        <f>Calc!Y38</f>
        <v>14.363239526403511</v>
      </c>
      <c r="J31" s="176">
        <f>Calc!AE38</f>
        <v>1365.7010606878519</v>
      </c>
    </row>
    <row r="32" spans="1:10" x14ac:dyDescent="0.2">
      <c r="A32" s="173">
        <f>Calc!A39</f>
        <v>3.0498999999999999E-3</v>
      </c>
      <c r="B32" s="173">
        <f>Calc!B39</f>
        <v>1.0976300000000001</v>
      </c>
      <c r="C32" s="173">
        <f>Calc!C39</f>
        <v>0.13699500000000001</v>
      </c>
      <c r="D32" s="173">
        <f>Calc!I39</f>
        <v>7702864378172585</v>
      </c>
      <c r="E32" s="173">
        <f>Calc!P39</f>
        <v>6.6856119768421578E-5</v>
      </c>
      <c r="F32" s="174">
        <f>Calc!S39</f>
        <v>14858.99920736274</v>
      </c>
      <c r="G32" s="173">
        <f>Calc!O39</f>
        <v>7702864378172585</v>
      </c>
      <c r="H32" s="177">
        <f>Calc!X39</f>
        <v>0.71359665950511197</v>
      </c>
      <c r="I32" s="178">
        <f>Calc!Y39</f>
        <v>13.600285671762141</v>
      </c>
      <c r="J32" s="176">
        <f>Calc!AE39</f>
        <v>1374.7578499650358</v>
      </c>
    </row>
    <row r="33" spans="1:10" x14ac:dyDescent="0.2">
      <c r="A33" s="173">
        <f>Calc!A40</f>
        <v>3.1499000000000002E-3</v>
      </c>
      <c r="B33" s="173">
        <f>Calc!B40</f>
        <v>1.0372699999999999</v>
      </c>
      <c r="C33" s="173">
        <f>Calc!C40</f>
        <v>0.12989500000000001</v>
      </c>
      <c r="D33" s="173">
        <f>Calc!I40</f>
        <v>7226807255739606</v>
      </c>
      <c r="E33" s="173">
        <f>Calc!P40</f>
        <v>6.618020029284483E-5</v>
      </c>
      <c r="F33" s="174">
        <f>Calc!S40</f>
        <v>15023.563103611203</v>
      </c>
      <c r="G33" s="173">
        <f>Calc!O40</f>
        <v>7226807255739606</v>
      </c>
      <c r="H33" s="177">
        <f>Calc!X40</f>
        <v>0.71083363010950273</v>
      </c>
      <c r="I33" s="178">
        <f>Calc!Y40</f>
        <v>12.890071940305059</v>
      </c>
      <c r="J33" s="176">
        <f>Calc!AE40</f>
        <v>1383.5148935994134</v>
      </c>
    </row>
    <row r="34" spans="1:10" x14ac:dyDescent="0.2">
      <c r="A34" s="173">
        <f>Calc!A41</f>
        <v>3.2499E-3</v>
      </c>
      <c r="B34" s="173">
        <f>Calc!B41</f>
        <v>0.97962400000000005</v>
      </c>
      <c r="C34" s="173">
        <f>Calc!C41</f>
        <v>0.12316100000000001</v>
      </c>
      <c r="D34" s="173">
        <f>Calc!I41</f>
        <v>6777655477861600</v>
      </c>
      <c r="E34" s="173">
        <f>Calc!P41</f>
        <v>6.5482999822837499E-5</v>
      </c>
      <c r="F34" s="174">
        <f>Calc!S41</f>
        <v>15194.884336710071</v>
      </c>
      <c r="G34" s="173">
        <f>Calc!O41</f>
        <v>6777655477861600</v>
      </c>
      <c r="H34" s="177">
        <f>Calc!X41</f>
        <v>0.70807750985131535</v>
      </c>
      <c r="I34" s="178">
        <f>Calc!Y41</f>
        <v>12.21765532305588</v>
      </c>
      <c r="J34" s="176">
        <f>Calc!AE41</f>
        <v>1392.0388993964477</v>
      </c>
    </row>
    <row r="35" spans="1:10" x14ac:dyDescent="0.2">
      <c r="A35" s="173">
        <f>Calc!A42</f>
        <v>3.3498999999999998E-3</v>
      </c>
      <c r="B35" s="173">
        <f>Calc!B42</f>
        <v>0.92479</v>
      </c>
      <c r="C35" s="173">
        <f>Calc!C42</f>
        <v>0.116784</v>
      </c>
      <c r="D35" s="173">
        <f>Calc!I42</f>
        <v>6355404294101230</v>
      </c>
      <c r="E35" s="173">
        <f>Calc!P42</f>
        <v>6.4782833334324104E-5</v>
      </c>
      <c r="F35" s="174">
        <f>Calc!S42</f>
        <v>15369.138752759483</v>
      </c>
      <c r="G35" s="173">
        <f>Calc!O42</f>
        <v>6355404294101230</v>
      </c>
      <c r="H35" s="177">
        <f>Calc!X42</f>
        <v>0.70533818711802598</v>
      </c>
      <c r="I35" s="178">
        <f>Calc!Y42</f>
        <v>11.580310154121328</v>
      </c>
      <c r="J35" s="176">
        <f>Calc!AE42</f>
        <v>1400.3027874894119</v>
      </c>
    </row>
    <row r="36" spans="1:10" x14ac:dyDescent="0.2">
      <c r="A36" s="173">
        <f>Calc!A43</f>
        <v>3.4499000000000001E-3</v>
      </c>
      <c r="B36" s="173">
        <f>Calc!B43</f>
        <v>0.87261200000000005</v>
      </c>
      <c r="C36" s="173">
        <f>Calc!C43</f>
        <v>0.110778</v>
      </c>
      <c r="D36" s="173">
        <f>Calc!I43</f>
        <v>5958129488975963</v>
      </c>
      <c r="E36" s="173">
        <f>Calc!P43</f>
        <v>6.4055583920332614E-5</v>
      </c>
      <c r="F36" s="174">
        <f>Calc!S43</f>
        <v>15552.51263287332</v>
      </c>
      <c r="G36" s="173">
        <f>Calc!O43</f>
        <v>5958129488975963</v>
      </c>
      <c r="H36" s="177">
        <f>Calc!X43</f>
        <v>0.70261365308956614</v>
      </c>
      <c r="I36" s="178">
        <f>Calc!Y43</f>
        <v>10.979685224381821</v>
      </c>
      <c r="J36" s="176">
        <f>Calc!AE43</f>
        <v>1408.3172103269449</v>
      </c>
    </row>
    <row r="37" spans="1:10" x14ac:dyDescent="0.2">
      <c r="A37" s="173">
        <f>Calc!A44</f>
        <v>3.5498999999999999E-3</v>
      </c>
      <c r="B37" s="173">
        <f>Calc!B44</f>
        <v>0.82361799999999996</v>
      </c>
      <c r="C37" s="173">
        <f>Calc!C44</f>
        <v>0.10512000000000001</v>
      </c>
      <c r="D37" s="173">
        <f>Calc!I44</f>
        <v>5589119782351897</v>
      </c>
      <c r="E37" s="173">
        <f>Calc!P44</f>
        <v>6.3351763578345949E-5</v>
      </c>
      <c r="F37" s="174">
        <f>Calc!S44</f>
        <v>15733.024711497073</v>
      </c>
      <c r="G37" s="173">
        <f>Calc!O44</f>
        <v>5589119782351897</v>
      </c>
      <c r="H37" s="177">
        <f>Calc!X44</f>
        <v>0.69993947689992908</v>
      </c>
      <c r="I37" s="178">
        <f>Calc!Y44</f>
        <v>10.414097862656631</v>
      </c>
      <c r="J37" s="176">
        <f>Calc!AE44</f>
        <v>1415.9860048785233</v>
      </c>
    </row>
    <row r="38" spans="1:10" x14ac:dyDescent="0.2">
      <c r="A38" s="173">
        <f>Calc!A45</f>
        <v>3.6499000000000002E-3</v>
      </c>
      <c r="B38" s="173">
        <f>Calc!B45</f>
        <v>0.77679600000000004</v>
      </c>
      <c r="C38" s="173">
        <f>Calc!C45</f>
        <v>9.9754499999999996E-2</v>
      </c>
      <c r="D38" s="173">
        <f>Calc!I45</f>
        <v>5240117478900220</v>
      </c>
      <c r="E38" s="173">
        <f>Calc!P45</f>
        <v>6.2623878895806949E-5</v>
      </c>
      <c r="F38" s="174">
        <f>Calc!S45</f>
        <v>15922.76807569073</v>
      </c>
      <c r="G38" s="173">
        <f>Calc!O45</f>
        <v>5240117478900220</v>
      </c>
      <c r="H38" s="177">
        <f>Calc!X45</f>
        <v>0.69726762195906988</v>
      </c>
      <c r="I38" s="178">
        <f>Calc!Y45</f>
        <v>9.8772945710501077</v>
      </c>
      <c r="J38" s="176">
        <f>Calc!AE45</f>
        <v>1423.4540849759292</v>
      </c>
    </row>
    <row r="39" spans="1:10" x14ac:dyDescent="0.2">
      <c r="A39" s="173">
        <f>Calc!A46</f>
        <v>3.7499E-3</v>
      </c>
      <c r="B39" s="173">
        <f>Calc!B46</f>
        <v>0.73235300000000003</v>
      </c>
      <c r="C39" s="173">
        <f>Calc!C46</f>
        <v>9.4760399999999995E-2</v>
      </c>
      <c r="D39" s="173">
        <f>Calc!I46</f>
        <v>4912154763705846</v>
      </c>
      <c r="E39" s="173">
        <f>Calc!P46</f>
        <v>6.1827765900437042E-5</v>
      </c>
      <c r="F39" s="174">
        <f>Calc!S46</f>
        <v>16133.908452657068</v>
      </c>
      <c r="G39" s="173">
        <f>Calc!O46</f>
        <v>4912154763705846</v>
      </c>
      <c r="H39" s="177">
        <f>Calc!X46</f>
        <v>0.69461501653899715</v>
      </c>
      <c r="I39" s="178">
        <f>Calc!Y46</f>
        <v>9.3783283487878588</v>
      </c>
      <c r="J39" s="176">
        <f>Calc!AE46</f>
        <v>1430.6779728067422</v>
      </c>
    </row>
    <row r="40" spans="1:10" x14ac:dyDescent="0.2">
      <c r="A40" s="173">
        <f>Calc!A47</f>
        <v>3.8498999999999999E-3</v>
      </c>
      <c r="B40" s="173">
        <f>Calc!B47</f>
        <v>0.69081999999999999</v>
      </c>
      <c r="C40" s="173">
        <f>Calc!C47</f>
        <v>8.9907799999999996E-2</v>
      </c>
      <c r="D40" s="173">
        <f>Calc!I47</f>
        <v>4608586025899594</v>
      </c>
      <c r="E40" s="173">
        <f>Calc!P47</f>
        <v>6.1161213609152264E-5</v>
      </c>
      <c r="F40" s="174">
        <f>Calc!S47</f>
        <v>16314.97463008207</v>
      </c>
      <c r="G40" s="173">
        <f>Calc!O47</f>
        <v>4608586025899594</v>
      </c>
      <c r="H40" s="177">
        <f>Calc!X47</f>
        <v>0.69202232426943167</v>
      </c>
      <c r="I40" s="178">
        <f>Calc!Y47</f>
        <v>8.8946435932421117</v>
      </c>
      <c r="J40" s="176">
        <f>Calc!AE47</f>
        <v>1437.556960558205</v>
      </c>
    </row>
    <row r="41" spans="1:10" x14ac:dyDescent="0.2">
      <c r="A41" s="173">
        <f>Calc!A48</f>
        <v>3.9499000000000001E-3</v>
      </c>
      <c r="B41" s="173">
        <f>Calc!B48</f>
        <v>0.65101500000000001</v>
      </c>
      <c r="C41" s="173">
        <f>Calc!C48</f>
        <v>8.5423399999999997E-2</v>
      </c>
      <c r="D41" s="173">
        <f>Calc!I48</f>
        <v>4320303762359763.5</v>
      </c>
      <c r="E41" s="173">
        <f>Calc!P48</f>
        <v>6.0368627545122782E-5</v>
      </c>
      <c r="F41" s="174">
        <f>Calc!S48</f>
        <v>16533.911447130875</v>
      </c>
      <c r="G41" s="173">
        <f>Calc!O48</f>
        <v>4320303762359763.5</v>
      </c>
      <c r="H41" s="177">
        <f>Calc!X48</f>
        <v>0.68942300478409613</v>
      </c>
      <c r="I41" s="178">
        <f>Calc!Y48</f>
        <v>8.4477281035435716</v>
      </c>
      <c r="J41" s="176">
        <f>Calc!AE48</f>
        <v>1444.2748851260628</v>
      </c>
    </row>
    <row r="42" spans="1:10" x14ac:dyDescent="0.2">
      <c r="A42" s="173">
        <f>Calc!A49</f>
        <v>4.0499000000000004E-3</v>
      </c>
      <c r="B42" s="173">
        <f>Calc!B49</f>
        <v>0.61295900000000003</v>
      </c>
      <c r="C42" s="173">
        <f>Calc!C49</f>
        <v>8.1124600000000005E-2</v>
      </c>
      <c r="D42" s="173">
        <f>Calc!I49</f>
        <v>4047128628949139</v>
      </c>
      <c r="E42" s="173">
        <f>Calc!P49</f>
        <v>5.9577180743649128E-5</v>
      </c>
      <c r="F42" s="174">
        <f>Calc!S49</f>
        <v>16757.760446059365</v>
      </c>
      <c r="G42" s="173">
        <f>Calc!O49</f>
        <v>4047128628949139</v>
      </c>
      <c r="H42" s="177">
        <f>Calc!X49</f>
        <v>0.68682147806330651</v>
      </c>
      <c r="I42" s="178">
        <f>Calc!Y49</f>
        <v>8.0187007452997001</v>
      </c>
      <c r="J42" s="176">
        <f>Calc!AE49</f>
        <v>1450.821246720812</v>
      </c>
    </row>
    <row r="43" spans="1:10" x14ac:dyDescent="0.2">
      <c r="A43" s="173">
        <f>Calc!A50</f>
        <v>4.1498999999999998E-3</v>
      </c>
      <c r="B43" s="173">
        <f>Calc!B50</f>
        <v>0.57712399999999997</v>
      </c>
      <c r="C43" s="173">
        <f>Calc!C50</f>
        <v>7.7086500000000002E-2</v>
      </c>
      <c r="D43" s="173">
        <f>Calc!I50</f>
        <v>3792086185908158</v>
      </c>
      <c r="E43" s="173">
        <f>Calc!P50</f>
        <v>5.8780299087138712E-5</v>
      </c>
      <c r="F43" s="174">
        <f>Calc!S50</f>
        <v>16988.63208899894</v>
      </c>
      <c r="G43" s="173">
        <f>Calc!O50</f>
        <v>3792086185908158</v>
      </c>
      <c r="H43" s="177">
        <f>Calc!X50</f>
        <v>0.68425604079343261</v>
      </c>
      <c r="I43" s="178">
        <f>Calc!Y50</f>
        <v>7.615235779259236</v>
      </c>
      <c r="J43" s="176">
        <f>Calc!AE50</f>
        <v>1457.105041372743</v>
      </c>
    </row>
    <row r="44" spans="1:10" x14ac:dyDescent="0.2">
      <c r="A44" s="173">
        <f>Calc!A51</f>
        <v>4.2499E-3</v>
      </c>
      <c r="B44" s="173">
        <f>Calc!B51</f>
        <v>0.54410099999999995</v>
      </c>
      <c r="C44" s="173">
        <f>Calc!C51</f>
        <v>7.3266200000000004E-2</v>
      </c>
      <c r="D44" s="173">
        <f>Calc!I51</f>
        <v>3558946252789221</v>
      </c>
      <c r="E44" s="173">
        <f>Calc!P51</f>
        <v>5.8080321885644522E-5</v>
      </c>
      <c r="F44" s="174">
        <f>Calc!S51</f>
        <v>17196.509709155904</v>
      </c>
      <c r="G44" s="173">
        <f>Calc!O51</f>
        <v>3558946252789221</v>
      </c>
      <c r="H44" s="177">
        <f>Calc!X51</f>
        <v>0.68178133758429993</v>
      </c>
      <c r="I44" s="178">
        <f>Calc!Y51</f>
        <v>7.2331814728027943</v>
      </c>
      <c r="J44" s="176">
        <f>Calc!AE51</f>
        <v>1463.0068612068083</v>
      </c>
    </row>
    <row r="45" spans="1:10" x14ac:dyDescent="0.2">
      <c r="A45" s="173">
        <f>Calc!A52</f>
        <v>4.3499000000000003E-3</v>
      </c>
      <c r="B45" s="173">
        <f>Calc!B52</f>
        <v>0.51204099999999997</v>
      </c>
      <c r="C45" s="173">
        <f>Calc!C52</f>
        <v>6.9652900000000004E-2</v>
      </c>
      <c r="D45" s="173">
        <f>Calc!I52</f>
        <v>3334347137827984.5</v>
      </c>
      <c r="E45" s="173">
        <f>Calc!P52</f>
        <v>5.7268245663096088E-5</v>
      </c>
      <c r="F45" s="174">
        <f>Calc!S52</f>
        <v>17443.228177199271</v>
      </c>
      <c r="G45" s="173">
        <f>Calc!O52</f>
        <v>3334347137827984.5</v>
      </c>
      <c r="H45" s="177">
        <f>Calc!X52</f>
        <v>0.67926584899481823</v>
      </c>
      <c r="I45" s="178">
        <f>Calc!Y52</f>
        <v>6.8728027420793412</v>
      </c>
      <c r="J45" s="176">
        <f>Calc!AE52</f>
        <v>1468.8471658502967</v>
      </c>
    </row>
    <row r="46" spans="1:10" x14ac:dyDescent="0.2">
      <c r="A46" s="173">
        <f>Calc!A53</f>
        <v>4.4498999999999997E-3</v>
      </c>
      <c r="B46" s="173">
        <f>Calc!B53</f>
        <v>0.48216799999999999</v>
      </c>
      <c r="C46" s="173">
        <f>Calc!C53</f>
        <v>6.6231999999999999E-2</v>
      </c>
      <c r="D46" s="173">
        <f>Calc!I53</f>
        <v>3126622200397877.5</v>
      </c>
      <c r="E46" s="173">
        <f>Calc!P53</f>
        <v>5.6500052121065477E-5</v>
      </c>
      <c r="F46" s="174">
        <f>Calc!S53</f>
        <v>17682.870944689548</v>
      </c>
      <c r="G46" s="173">
        <f>Calc!O53</f>
        <v>3126622200397877.5</v>
      </c>
      <c r="H46" s="177">
        <f>Calc!X53</f>
        <v>0.67681044245865807</v>
      </c>
      <c r="I46" s="178">
        <f>Calc!Y53</f>
        <v>6.532260644762971</v>
      </c>
      <c r="J46" s="176">
        <f>Calc!AE53</f>
        <v>1474.3955607048244</v>
      </c>
    </row>
    <row r="47" spans="1:10" x14ac:dyDescent="0.2">
      <c r="A47" s="173">
        <f>Calc!A54</f>
        <v>4.5499E-3</v>
      </c>
      <c r="B47" s="173">
        <f>Calc!B54</f>
        <v>0.45384200000000002</v>
      </c>
      <c r="C47" s="173">
        <f>Calc!C54</f>
        <v>6.3016199999999994E-2</v>
      </c>
      <c r="D47" s="173">
        <f>Calc!I54</f>
        <v>2931046234871819.5</v>
      </c>
      <c r="E47" s="173">
        <f>Calc!P54</f>
        <v>5.5698455928878223E-5</v>
      </c>
      <c r="F47" s="174">
        <f>Calc!S54</f>
        <v>17939.557952780953</v>
      </c>
      <c r="G47" s="173">
        <f>Calc!O54</f>
        <v>2931046234871819.5</v>
      </c>
      <c r="H47" s="177">
        <f>Calc!X54</f>
        <v>0.67437140666241324</v>
      </c>
      <c r="I47" s="178">
        <f>Calc!Y54</f>
        <v>6.2117856306414527</v>
      </c>
      <c r="J47" s="176">
        <f>Calc!AE54</f>
        <v>1479.7598935756801</v>
      </c>
    </row>
    <row r="48" spans="1:10" x14ac:dyDescent="0.2">
      <c r="A48" s="173">
        <f>Calc!A55</f>
        <v>4.6499000000000002E-3</v>
      </c>
      <c r="B48" s="173">
        <f>Calc!B55</f>
        <v>0.42729400000000001</v>
      </c>
      <c r="C48" s="173">
        <f>Calc!C55</f>
        <v>5.9953699999999999E-2</v>
      </c>
      <c r="D48" s="173">
        <f>Calc!I55</f>
        <v>2748983842134609.5</v>
      </c>
      <c r="E48" s="173">
        <f>Calc!P55</f>
        <v>5.4934489272811095E-5</v>
      </c>
      <c r="F48" s="174">
        <f>Calc!S55</f>
        <v>18190.955972200445</v>
      </c>
      <c r="G48" s="173">
        <f>Calc!O55</f>
        <v>2748983842134609.5</v>
      </c>
      <c r="H48" s="177">
        <f>Calc!X55</f>
        <v>0.67197630477870152</v>
      </c>
      <c r="I48" s="178">
        <f>Calc!Y55</f>
        <v>5.9069601693844733</v>
      </c>
      <c r="J48" s="176">
        <f>Calc!AE55</f>
        <v>1484.8869354795393</v>
      </c>
    </row>
    <row r="49" spans="1:10" x14ac:dyDescent="0.2">
      <c r="A49" s="173">
        <f>Calc!A56</f>
        <v>4.7498999999999996E-3</v>
      </c>
      <c r="B49" s="173">
        <f>Calc!B56</f>
        <v>0.40171299999999999</v>
      </c>
      <c r="C49" s="173">
        <f>Calc!C56</f>
        <v>5.7022999999999997E-2</v>
      </c>
      <c r="D49" s="173">
        <f>Calc!I56</f>
        <v>2574693173309647</v>
      </c>
      <c r="E49" s="173">
        <f>Calc!P56</f>
        <v>5.4128655764039676E-5</v>
      </c>
      <c r="F49" s="174">
        <f>Calc!S56</f>
        <v>18463.49853971789</v>
      </c>
      <c r="G49" s="173">
        <f>Calc!O56</f>
        <v>2574693173309647</v>
      </c>
      <c r="H49" s="177">
        <f>Calc!X56</f>
        <v>0.66955686938658643</v>
      </c>
      <c r="I49" s="178">
        <f>Calc!Y56</f>
        <v>5.6148115687377151</v>
      </c>
      <c r="J49" s="176">
        <f>Calc!AE56</f>
        <v>1489.9265904089327</v>
      </c>
    </row>
    <row r="50" spans="1:10" x14ac:dyDescent="0.2">
      <c r="A50" s="173">
        <f>Calc!A57</f>
        <v>4.8498999999999999E-3</v>
      </c>
      <c r="B50" s="173">
        <f>Calc!B57</f>
        <v>0.37811</v>
      </c>
      <c r="C50" s="173">
        <f>Calc!C57</f>
        <v>5.4279899999999999E-2</v>
      </c>
      <c r="D50" s="173">
        <f>Calc!I57</f>
        <v>2414878703535606</v>
      </c>
      <c r="E50" s="173">
        <f>Calc!P57</f>
        <v>5.3369076990854234E-5</v>
      </c>
      <c r="F50" s="174">
        <f>Calc!S57</f>
        <v>18727.761765508123</v>
      </c>
      <c r="G50" s="173">
        <f>Calc!O57</f>
        <v>2414878703535606</v>
      </c>
      <c r="H50" s="177">
        <f>Calc!X57</f>
        <v>0.66721600897151734</v>
      </c>
      <c r="I50" s="178">
        <f>Calc!Y57</f>
        <v>5.3412459460252251</v>
      </c>
      <c r="J50" s="176">
        <f>Calc!AE57</f>
        <v>1494.6711275486809</v>
      </c>
    </row>
    <row r="51" spans="1:10" x14ac:dyDescent="0.2">
      <c r="A51" s="173">
        <f>Calc!A58</f>
        <v>4.9499000000000001E-3</v>
      </c>
      <c r="B51" s="173">
        <f>Calc!B58</f>
        <v>0.35600500000000002</v>
      </c>
      <c r="C51" s="173">
        <f>Calc!C58</f>
        <v>5.1691000000000001E-2</v>
      </c>
      <c r="D51" s="173">
        <f>Calc!I58</f>
        <v>2266083458860126</v>
      </c>
      <c r="E51" s="173">
        <f>Calc!P58</f>
        <v>5.2615945732990514E-5</v>
      </c>
      <c r="F51" s="174">
        <f>Calc!S58</f>
        <v>18997.12094436762</v>
      </c>
      <c r="G51" s="173">
        <f>Calc!O58</f>
        <v>2266083458860126</v>
      </c>
      <c r="H51" s="177">
        <f>Calc!X58</f>
        <v>0.66491817676915543</v>
      </c>
      <c r="I51" s="178">
        <f>Calc!Y58</f>
        <v>5.0838820524734585</v>
      </c>
      <c r="J51" s="176">
        <f>Calc!AE58</f>
        <v>1499.2046311766564</v>
      </c>
    </row>
    <row r="52" spans="1:10" x14ac:dyDescent="0.2">
      <c r="A52" s="173">
        <f>Calc!A59</f>
        <v>5.0499000000000004E-3</v>
      </c>
      <c r="B52" s="173">
        <f>Calc!B59</f>
        <v>0.33507300000000001</v>
      </c>
      <c r="C52" s="173">
        <f>Calc!C59</f>
        <v>4.9188099999999998E-2</v>
      </c>
      <c r="D52" s="173">
        <f>Calc!I59</f>
        <v>2125971438414307.2</v>
      </c>
      <c r="E52" s="173">
        <f>Calc!P59</f>
        <v>5.188900403556043E-5</v>
      </c>
      <c r="F52" s="174">
        <f>Calc!S59</f>
        <v>19264.403049272059</v>
      </c>
      <c r="G52" s="173">
        <f>Calc!O59</f>
        <v>2125971438414307.2</v>
      </c>
      <c r="H52" s="177">
        <f>Calc!X59</f>
        <v>0.66263714500022575</v>
      </c>
      <c r="I52" s="178">
        <f>Calc!Y59</f>
        <v>4.8363646399492586</v>
      </c>
      <c r="J52" s="176">
        <f>Calc!AE59</f>
        <v>1503.5855325021441</v>
      </c>
    </row>
    <row r="53" spans="1:10" x14ac:dyDescent="0.2">
      <c r="A53" s="173">
        <f>Calc!A60</f>
        <v>5.1498999999999998E-3</v>
      </c>
      <c r="B53" s="173">
        <f>Calc!B60</f>
        <v>0.31464300000000001</v>
      </c>
      <c r="C53" s="173">
        <f>Calc!C60</f>
        <v>4.6855099999999997E-2</v>
      </c>
      <c r="D53" s="173">
        <f>Calc!I60</f>
        <v>1989964370513321.7</v>
      </c>
      <c r="E53" s="173">
        <f>Calc!P60</f>
        <v>5.1002732032281774E-5</v>
      </c>
      <c r="F53" s="174">
        <f>Calc!S60</f>
        <v>19600.219285259198</v>
      </c>
      <c r="G53" s="173">
        <f>Calc!O60</f>
        <v>1989964370513321.7</v>
      </c>
      <c r="H53" s="177">
        <f>Calc!X60</f>
        <v>0.66030042510584885</v>
      </c>
      <c r="I53" s="178">
        <f>Calc!Y60</f>
        <v>4.6056274700223785</v>
      </c>
      <c r="J53" s="176">
        <f>Calc!AE60</f>
        <v>1507.9519482493831</v>
      </c>
    </row>
    <row r="54" spans="1:10" x14ac:dyDescent="0.2">
      <c r="A54" s="173">
        <f>Calc!A61</f>
        <v>5.2499000000000001E-3</v>
      </c>
      <c r="B54" s="173">
        <f>Calc!B61</f>
        <v>0.295742</v>
      </c>
      <c r="C54" s="173">
        <f>Calc!C61</f>
        <v>4.4619699999999998E-2</v>
      </c>
      <c r="D54" s="173">
        <f>Calc!I61</f>
        <v>1864797110184122.7</v>
      </c>
      <c r="E54" s="173">
        <f>Calc!P61</f>
        <v>5.0215374517870092E-5</v>
      </c>
      <c r="F54" s="174">
        <f>Calc!S61</f>
        <v>19908.447093391926</v>
      </c>
      <c r="G54" s="173">
        <f>Calc!O61</f>
        <v>1864797110184122.7</v>
      </c>
      <c r="H54" s="177">
        <f>Calc!X61</f>
        <v>0.65802970866623067</v>
      </c>
      <c r="I54" s="178">
        <f>Calc!Y61</f>
        <v>4.383609181217027</v>
      </c>
      <c r="J54" s="176">
        <f>Calc!AE61</f>
        <v>1512.079219838261</v>
      </c>
    </row>
    <row r="55" spans="1:10" x14ac:dyDescent="0.2">
      <c r="A55" s="173">
        <f>Calc!A62</f>
        <v>5.3499000000000003E-3</v>
      </c>
      <c r="B55" s="173">
        <f>Calc!B62</f>
        <v>0.27784599999999998</v>
      </c>
      <c r="C55" s="173">
        <f>Calc!C62</f>
        <v>4.2470300000000002E-2</v>
      </c>
      <c r="D55" s="173">
        <f>Calc!I62</f>
        <v>1746876132224575.2</v>
      </c>
      <c r="E55" s="173">
        <f>Calc!P62</f>
        <v>4.9454500476555006E-5</v>
      </c>
      <c r="F55" s="174">
        <f>Calc!S62</f>
        <v>20215.541009032819</v>
      </c>
      <c r="G55" s="173">
        <f>Calc!O62</f>
        <v>1746876132224575.2</v>
      </c>
      <c r="H55" s="177">
        <f>Calc!X62</f>
        <v>0.65577142333295158</v>
      </c>
      <c r="I55" s="178">
        <f>Calc!Y62</f>
        <v>4.1695889008020091</v>
      </c>
      <c r="J55" s="176">
        <f>Calc!AE62</f>
        <v>1516.0725941746109</v>
      </c>
    </row>
    <row r="56" spans="1:10" x14ac:dyDescent="0.2">
      <c r="A56" s="173">
        <f>Calc!A63</f>
        <v>5.4498999999999997E-3</v>
      </c>
      <c r="B56" s="173">
        <f>Calc!B63</f>
        <v>0.26130799999999998</v>
      </c>
      <c r="C56" s="173">
        <f>Calc!C63</f>
        <v>4.0481099999999999E-2</v>
      </c>
      <c r="D56" s="173">
        <f>Calc!I63</f>
        <v>1638419307940451.7</v>
      </c>
      <c r="E56" s="173">
        <f>Calc!P63</f>
        <v>4.8693441625452404E-5</v>
      </c>
      <c r="F56" s="174">
        <f>Calc!S63</f>
        <v>20532.190417123798</v>
      </c>
      <c r="G56" s="173">
        <f>Calc!O63</f>
        <v>1638419307940451.7</v>
      </c>
      <c r="H56" s="177">
        <f>Calc!X63</f>
        <v>0.65357937454395443</v>
      </c>
      <c r="I56" s="178">
        <f>Calc!Y63</f>
        <v>3.9718380536898481</v>
      </c>
      <c r="J56" s="176">
        <f>Calc!AE63</f>
        <v>1519.8444868115237</v>
      </c>
    </row>
    <row r="57" spans="1:10" x14ac:dyDescent="0.2">
      <c r="A57" s="173">
        <f>Calc!A64</f>
        <v>5.5499E-3</v>
      </c>
      <c r="B57" s="173">
        <f>Calc!B64</f>
        <v>0.24554200000000001</v>
      </c>
      <c r="C57" s="173">
        <f>Calc!C64</f>
        <v>3.8571899999999999E-2</v>
      </c>
      <c r="D57" s="173">
        <f>Calc!I64</f>
        <v>1535491452734925.7</v>
      </c>
      <c r="E57" s="173">
        <f>Calc!P64</f>
        <v>4.7923563242418697E-5</v>
      </c>
      <c r="F57" s="174">
        <f>Calc!S64</f>
        <v>20862.648085210003</v>
      </c>
      <c r="G57" s="173">
        <f>Calc!O64</f>
        <v>1535491452734925.7</v>
      </c>
      <c r="H57" s="177">
        <f>Calc!X64</f>
        <v>0.65138404859408527</v>
      </c>
      <c r="I57" s="178">
        <f>Calc!Y64</f>
        <v>3.7821195134752159</v>
      </c>
      <c r="J57" s="176">
        <f>Calc!AE64</f>
        <v>1523.5207686979029</v>
      </c>
    </row>
    <row r="58" spans="1:10" x14ac:dyDescent="0.2">
      <c r="A58" s="173">
        <f>Calc!A65</f>
        <v>5.6499000000000002E-3</v>
      </c>
      <c r="B58" s="173">
        <f>Calc!B65</f>
        <v>0.230825</v>
      </c>
      <c r="C58" s="173">
        <f>Calc!C65</f>
        <v>3.67467E-2</v>
      </c>
      <c r="D58" s="173">
        <f>Calc!I65</f>
        <v>1439826951286905</v>
      </c>
      <c r="E58" s="173">
        <f>Calc!P65</f>
        <v>4.7186044370645936E-5</v>
      </c>
      <c r="F58" s="174">
        <f>Calc!S65</f>
        <v>21189.265379229902</v>
      </c>
      <c r="G58" s="173">
        <f>Calc!O65</f>
        <v>1439826951286905</v>
      </c>
      <c r="H58" s="177">
        <f>Calc!X65</f>
        <v>0.64923030366475387</v>
      </c>
      <c r="I58" s="178">
        <f>Calc!Y65</f>
        <v>3.6019167703379567</v>
      </c>
      <c r="J58" s="176">
        <f>Calc!AE65</f>
        <v>1527.0306742375917</v>
      </c>
    </row>
    <row r="59" spans="1:10" x14ac:dyDescent="0.2">
      <c r="A59" s="173">
        <f>Calc!A66</f>
        <v>5.7498999999999996E-3</v>
      </c>
      <c r="B59" s="173">
        <f>Calc!B66</f>
        <v>0.217055</v>
      </c>
      <c r="C59" s="173">
        <f>Calc!C66</f>
        <v>3.50064E-2</v>
      </c>
      <c r="D59" s="173">
        <f>Calc!I66</f>
        <v>1350685112988696.7</v>
      </c>
      <c r="E59" s="173">
        <f>Calc!P66</f>
        <v>4.6482725709094387E-5</v>
      </c>
      <c r="F59" s="174">
        <f>Calc!S66</f>
        <v>21510.339926570294</v>
      </c>
      <c r="G59" s="173">
        <f>Calc!O66</f>
        <v>1350685112988696.7</v>
      </c>
      <c r="H59" s="177">
        <f>Calc!X66</f>
        <v>0.64711246480899087</v>
      </c>
      <c r="I59" s="178">
        <f>Calc!Y66</f>
        <v>3.4300422759760392</v>
      </c>
      <c r="J59" s="176">
        <f>Calc!AE66</f>
        <v>1530.3902807742493</v>
      </c>
    </row>
    <row r="60" spans="1:10" x14ac:dyDescent="0.2">
      <c r="A60" s="173">
        <f>Calc!A67</f>
        <v>5.8498999999999999E-3</v>
      </c>
      <c r="B60" s="173">
        <f>Calc!B67</f>
        <v>0.20361299999999999</v>
      </c>
      <c r="C60" s="173">
        <f>Calc!C67</f>
        <v>3.3303300000000001E-2</v>
      </c>
      <c r="D60" s="173">
        <f>Calc!I67</f>
        <v>1264012780965972.5</v>
      </c>
      <c r="E60" s="173">
        <f>Calc!P67</f>
        <v>4.5741284560727027E-5</v>
      </c>
      <c r="F60" s="174">
        <f>Calc!S67</f>
        <v>21859.436026798623</v>
      </c>
      <c r="G60" s="173">
        <f>Calc!O67</f>
        <v>1264012780965972.5</v>
      </c>
      <c r="H60" s="177">
        <f>Calc!X67</f>
        <v>0.64493729772294106</v>
      </c>
      <c r="I60" s="178">
        <f>Calc!Y67</f>
        <v>3.2619706940383906</v>
      </c>
      <c r="J60" s="176">
        <f>Calc!AE67</f>
        <v>1533.7477987670034</v>
      </c>
    </row>
    <row r="61" spans="1:10" x14ac:dyDescent="0.2">
      <c r="A61" s="173">
        <f>Calc!A68</f>
        <v>5.9499000000000002E-3</v>
      </c>
      <c r="B61" s="173">
        <f>Calc!B68</f>
        <v>0.19118099999999999</v>
      </c>
      <c r="C61" s="173">
        <f>Calc!C68</f>
        <v>3.17389E-2</v>
      </c>
      <c r="D61" s="173">
        <f>Calc!I68</f>
        <v>1184160970027498.7</v>
      </c>
      <c r="E61" s="173">
        <f>Calc!P68</f>
        <v>4.4974062928430147E-5</v>
      </c>
      <c r="F61" s="174">
        <f>Calc!S68</f>
        <v>22232.710325642824</v>
      </c>
      <c r="G61" s="173">
        <f>Calc!O68</f>
        <v>1184160970027498.7</v>
      </c>
      <c r="H61" s="177">
        <f>Calc!X68</f>
        <v>0.64281875932117727</v>
      </c>
      <c r="I61" s="178">
        <f>Calc!Y68</f>
        <v>3.1080326030350118</v>
      </c>
      <c r="J61" s="176">
        <f>Calc!AE68</f>
        <v>1536.9289473457991</v>
      </c>
    </row>
    <row r="62" spans="1:10" x14ac:dyDescent="0.2">
      <c r="A62" s="173">
        <f>Calc!A69</f>
        <v>6.0499000000000004E-3</v>
      </c>
      <c r="B62" s="173">
        <f>Calc!B69</f>
        <v>0.17963799999999999</v>
      </c>
      <c r="C62" s="173">
        <f>Calc!C69</f>
        <v>3.0234E-2</v>
      </c>
      <c r="D62" s="173">
        <f>Calc!I69</f>
        <v>1110287849279556</v>
      </c>
      <c r="E62" s="173">
        <f>Calc!P69</f>
        <v>4.4310231866003307E-5</v>
      </c>
      <c r="F62" s="174">
        <f>Calc!S69</f>
        <v>22566.10457190323</v>
      </c>
      <c r="G62" s="173">
        <f>Calc!O69</f>
        <v>1110287849279556</v>
      </c>
      <c r="H62" s="177">
        <f>Calc!X69</f>
        <v>0.64074805824421699</v>
      </c>
      <c r="I62" s="178">
        <f>Calc!Y69</f>
        <v>2.9577979996448152</v>
      </c>
      <c r="J62" s="176">
        <f>Calc!AE69</f>
        <v>1539.9550093402017</v>
      </c>
    </row>
    <row r="63" spans="1:10" x14ac:dyDescent="0.2">
      <c r="A63" s="173">
        <f>Calc!A70</f>
        <v>6.1498999999999998E-3</v>
      </c>
      <c r="B63" s="173">
        <f>Calc!B70</f>
        <v>0.16816800000000001</v>
      </c>
      <c r="C63" s="173">
        <f>Calc!C70</f>
        <v>2.8789599999999999E-2</v>
      </c>
      <c r="D63" s="173">
        <f>Calc!I70</f>
        <v>1037141572389604.9</v>
      </c>
      <c r="E63" s="173">
        <f>Calc!P70</f>
        <v>4.3500670361067797E-5</v>
      </c>
      <c r="F63" s="174">
        <f>Calc!S70</f>
        <v>22986.365885951811</v>
      </c>
      <c r="G63" s="173">
        <f>Calc!O70</f>
        <v>1037141572389604.9</v>
      </c>
      <c r="H63" s="177">
        <f>Calc!X70</f>
        <v>0.63857873735953929</v>
      </c>
      <c r="I63" s="178">
        <f>Calc!Y70</f>
        <v>2.8143560465766959</v>
      </c>
      <c r="J63" s="176">
        <f>Calc!AE70</f>
        <v>1543.0385904091536</v>
      </c>
    </row>
    <row r="64" spans="1:10" x14ac:dyDescent="0.2">
      <c r="A64" s="173">
        <f>Calc!A71</f>
        <v>6.2499000000000001E-3</v>
      </c>
      <c r="B64" s="173">
        <f>Calc!B71</f>
        <v>0.158828</v>
      </c>
      <c r="C64" s="173">
        <f>Calc!C71</f>
        <v>2.7389299999999998E-2</v>
      </c>
      <c r="D64" s="173">
        <f>Calc!I71</f>
        <v>977772529288657.12</v>
      </c>
      <c r="E64" s="173">
        <f>Calc!P71</f>
        <v>4.3127770621977596E-5</v>
      </c>
      <c r="F64" s="174">
        <f>Calc!S71</f>
        <v>23185.329098438546</v>
      </c>
      <c r="G64" s="173">
        <f>Calc!O71</f>
        <v>977772529288657.12</v>
      </c>
      <c r="H64" s="177">
        <f>Calc!X71</f>
        <v>0.63671961690071222</v>
      </c>
      <c r="I64" s="178">
        <f>Calc!Y71</f>
        <v>2.6761950863952024</v>
      </c>
      <c r="J64" s="176">
        <f>Calc!AE71</f>
        <v>1545.6120333813865</v>
      </c>
    </row>
    <row r="65" spans="1:10" x14ac:dyDescent="0.2">
      <c r="A65" s="173">
        <f>Calc!A72</f>
        <v>6.3499000000000003E-3</v>
      </c>
      <c r="B65" s="173">
        <f>Calc!B72</f>
        <v>0.14922299999999999</v>
      </c>
      <c r="C65" s="173">
        <f>Calc!C72</f>
        <v>2.6089500000000002E-2</v>
      </c>
      <c r="D65" s="173">
        <f>Calc!I72</f>
        <v>916903108915604.37</v>
      </c>
      <c r="E65" s="173">
        <f>Calc!P72</f>
        <v>4.2482586811034942E-5</v>
      </c>
      <c r="F65" s="174">
        <f>Calc!S72</f>
        <v>23537.660655324646</v>
      </c>
      <c r="G65" s="173">
        <f>Calc!O72</f>
        <v>916903108915604.37</v>
      </c>
      <c r="H65" s="177">
        <f>Calc!X72</f>
        <v>0.63471002111138586</v>
      </c>
      <c r="I65" s="178">
        <f>Calc!Y72</f>
        <v>2.5477067528905444</v>
      </c>
      <c r="J65" s="176">
        <f>Calc!AE72</f>
        <v>1548.3232754646544</v>
      </c>
    </row>
    <row r="66" spans="1:10" x14ac:dyDescent="0.2">
      <c r="A66" s="173">
        <f>Calc!A73</f>
        <v>6.4498999999999997E-3</v>
      </c>
      <c r="B66" s="173">
        <f>Calc!B73</f>
        <v>0.13997999999999999</v>
      </c>
      <c r="C66" s="173">
        <f>Calc!C73</f>
        <v>2.4888299999999999E-2</v>
      </c>
      <c r="D66" s="173">
        <f>Calc!I73</f>
        <v>858506603042324.75</v>
      </c>
      <c r="E66" s="173">
        <f>Calc!P73</f>
        <v>4.1696927550949224E-5</v>
      </c>
      <c r="F66" s="174">
        <f>Calc!S73</f>
        <v>23981.358904639765</v>
      </c>
      <c r="G66" s="173">
        <f>Calc!O73</f>
        <v>858506603042324.75</v>
      </c>
      <c r="H66" s="177">
        <f>Calc!X73</f>
        <v>0.63267085938428669</v>
      </c>
      <c r="I66" s="178">
        <f>Calc!Y73</f>
        <v>2.4303931430346171</v>
      </c>
      <c r="J66" s="176">
        <f>Calc!AE73</f>
        <v>1551.0009448540795</v>
      </c>
    </row>
    <row r="67" spans="1:10" x14ac:dyDescent="0.2">
      <c r="A67" s="173">
        <f>Calc!A74</f>
        <v>6.5499E-3</v>
      </c>
      <c r="B67" s="173">
        <f>Calc!B74</f>
        <v>0.13164000000000001</v>
      </c>
      <c r="C67" s="173">
        <f>Calc!C74</f>
        <v>2.3731100000000001E-2</v>
      </c>
      <c r="D67" s="173">
        <f>Calc!I74</f>
        <v>805968056995728.62</v>
      </c>
      <c r="E67" s="173">
        <f>Calc!P74</f>
        <v>4.1071649007390893E-5</v>
      </c>
      <c r="F67" s="174">
        <f>Calc!S74</f>
        <v>24346.617099267663</v>
      </c>
      <c r="G67" s="173">
        <f>Calc!O74</f>
        <v>805968056995728.62</v>
      </c>
      <c r="H67" s="177">
        <f>Calc!X74</f>
        <v>0.63073083308049893</v>
      </c>
      <c r="I67" s="178">
        <f>Calc!Y74</f>
        <v>2.3163950930120292</v>
      </c>
      <c r="J67" s="176">
        <f>Calc!AE74</f>
        <v>1553.481069777954</v>
      </c>
    </row>
    <row r="68" spans="1:10" x14ac:dyDescent="0.2">
      <c r="A68" s="173">
        <f>Calc!A75</f>
        <v>6.6499000000000003E-3</v>
      </c>
      <c r="B68" s="173">
        <f>Calc!B75</f>
        <v>0.123667</v>
      </c>
      <c r="C68" s="173">
        <f>Calc!C75</f>
        <v>2.2613899999999999E-2</v>
      </c>
      <c r="D68" s="173">
        <f>Calc!I75</f>
        <v>755879257963518.75</v>
      </c>
      <c r="E68" s="173">
        <f>Calc!P75</f>
        <v>4.0430733383183884E-5</v>
      </c>
      <c r="F68" s="174">
        <f>Calc!S75</f>
        <v>24732.711230486479</v>
      </c>
      <c r="G68" s="173">
        <f>Calc!O75</f>
        <v>755879257963518.75</v>
      </c>
      <c r="H68" s="177">
        <f>Calc!X75</f>
        <v>0.62877591415436285</v>
      </c>
      <c r="I68" s="178">
        <f>Calc!Y75</f>
        <v>2.2068751038752716</v>
      </c>
      <c r="J68" s="176">
        <f>Calc!AE75</f>
        <v>1555.9150740781856</v>
      </c>
    </row>
    <row r="69" spans="1:10" x14ac:dyDescent="0.2">
      <c r="A69" s="173">
        <f>Calc!A76</f>
        <v>6.7498999999999997E-3</v>
      </c>
      <c r="B69" s="173">
        <f>Calc!B76</f>
        <v>0.11602</v>
      </c>
      <c r="C69" s="173">
        <f>Calc!C76</f>
        <v>2.15494E-2</v>
      </c>
      <c r="D69" s="173">
        <f>Calc!I76</f>
        <v>707967165894605.37</v>
      </c>
      <c r="E69" s="173">
        <f>Calc!P76</f>
        <v>3.9747846744576457E-5</v>
      </c>
      <c r="F69" s="174">
        <f>Calc!S76</f>
        <v>25157.763523145659</v>
      </c>
      <c r="G69" s="173">
        <f>Calc!O76</f>
        <v>707967165894605.37</v>
      </c>
      <c r="H69" s="177">
        <f>Calc!X76</f>
        <v>0.62679690583099479</v>
      </c>
      <c r="I69" s="178">
        <f>Calc!Y76</f>
        <v>2.1025021872610901</v>
      </c>
      <c r="J69" s="176">
        <f>Calc!AE76</f>
        <v>1558.3137479512966</v>
      </c>
    </row>
    <row r="70" spans="1:10" x14ac:dyDescent="0.2">
      <c r="A70" s="173">
        <f>Calc!A77</f>
        <v>6.8498999999999999E-3</v>
      </c>
      <c r="B70" s="173">
        <f>Calc!B77</f>
        <v>0.108584</v>
      </c>
      <c r="C70" s="173">
        <f>Calc!C77</f>
        <v>2.0483999999999999E-2</v>
      </c>
      <c r="D70" s="173">
        <f>Calc!I77</f>
        <v>661500068404725.5</v>
      </c>
      <c r="E70" s="173">
        <f>Calc!P77</f>
        <v>3.9087777527470231E-5</v>
      </c>
      <c r="F70" s="174">
        <f>Calc!S77</f>
        <v>25582.718445838615</v>
      </c>
      <c r="G70" s="173">
        <f>Calc!O77</f>
        <v>661500068404725.5</v>
      </c>
      <c r="H70" s="177">
        <f>Calc!X77</f>
        <v>0.62476178434695762</v>
      </c>
      <c r="I70" s="178">
        <f>Calc!Y77</f>
        <v>1.9976797261328052</v>
      </c>
      <c r="J70" s="176">
        <f>Calc!AE77</f>
        <v>1560.7132684376847</v>
      </c>
    </row>
    <row r="71" spans="1:10" x14ac:dyDescent="0.2">
      <c r="A71" s="173">
        <f>Calc!A78</f>
        <v>6.9499000000000002E-3</v>
      </c>
      <c r="B71" s="173">
        <f>Calc!B78</f>
        <v>0.10205500000000001</v>
      </c>
      <c r="C71" s="173">
        <f>Calc!C78</f>
        <v>1.95338E-2</v>
      </c>
      <c r="D71" s="173">
        <f>Calc!I78</f>
        <v>620802574185446.37</v>
      </c>
      <c r="E71" s="173">
        <f>Calc!P78</f>
        <v>3.8488971057092363E-5</v>
      </c>
      <c r="F71" s="174">
        <f>Calc!S78</f>
        <v>25980.829025661697</v>
      </c>
      <c r="G71" s="173">
        <f>Calc!O78</f>
        <v>620802574185446.37</v>
      </c>
      <c r="H71" s="177">
        <f>Calc!X78</f>
        <v>0.62287286408021192</v>
      </c>
      <c r="I71" s="178">
        <f>Calc!Y78</f>
        <v>1.9039439298321899</v>
      </c>
      <c r="J71" s="176">
        <f>Calc!AE78</f>
        <v>1562.8806994110682</v>
      </c>
    </row>
    <row r="72" spans="1:10" x14ac:dyDescent="0.2">
      <c r="A72" s="173">
        <f>Calc!A79</f>
        <v>7.0498999999999996E-3</v>
      </c>
      <c r="B72" s="173">
        <f>Calc!B79</f>
        <v>9.5863799999999999E-2</v>
      </c>
      <c r="C72" s="173">
        <f>Calc!C79</f>
        <v>1.8624600000000002E-2</v>
      </c>
      <c r="D72" s="173">
        <f>Calc!I79</f>
        <v>582300309816828.12</v>
      </c>
      <c r="E72" s="173">
        <f>Calc!P79</f>
        <v>3.7883415511231782E-5</v>
      </c>
      <c r="F72" s="174">
        <f>Calc!S79</f>
        <v>26396.212257013602</v>
      </c>
      <c r="G72" s="173">
        <f>Calc!O79</f>
        <v>582300309816828.12</v>
      </c>
      <c r="H72" s="177">
        <f>Calc!X79</f>
        <v>0.62098182930496848</v>
      </c>
      <c r="I72" s="178">
        <f>Calc!Y79</f>
        <v>1.8144075326520768</v>
      </c>
      <c r="J72" s="176">
        <f>Calc!AE79</f>
        <v>1564.9941377354737</v>
      </c>
    </row>
    <row r="73" spans="1:10" x14ac:dyDescent="0.2">
      <c r="A73" s="173">
        <f>Calc!A80</f>
        <v>7.1498999999999998E-3</v>
      </c>
      <c r="B73" s="173">
        <f>Calc!B80</f>
        <v>8.9853100000000005E-2</v>
      </c>
      <c r="C73" s="173">
        <f>Calc!C80</f>
        <v>1.7732999999999999E-2</v>
      </c>
      <c r="D73" s="173">
        <f>Calc!I80</f>
        <v>545005614705632.69</v>
      </c>
      <c r="E73" s="173">
        <f>Calc!P80</f>
        <v>3.7251856390144657E-5</v>
      </c>
      <c r="F73" s="174">
        <f>Calc!S80</f>
        <v>26843.806700326284</v>
      </c>
      <c r="G73" s="173">
        <f>Calc!O80</f>
        <v>545005614705632.69</v>
      </c>
      <c r="H73" s="177">
        <f>Calc!X80</f>
        <v>0.61904066713632067</v>
      </c>
      <c r="I73" s="178">
        <f>Calc!Y80</f>
        <v>1.7269907160147449</v>
      </c>
      <c r="J73" s="176">
        <f>Calc!AE80</f>
        <v>1567.1060674521282</v>
      </c>
    </row>
    <row r="74" spans="1:10" x14ac:dyDescent="0.2">
      <c r="A74" s="173">
        <f>Calc!A81</f>
        <v>7.2499000000000001E-3</v>
      </c>
      <c r="B74" s="173">
        <f>Calc!B81</f>
        <v>8.4223199999999998E-2</v>
      </c>
      <c r="C74" s="173">
        <f>Calc!C81</f>
        <v>1.69049E-2</v>
      </c>
      <c r="D74" s="173">
        <f>Calc!I81</f>
        <v>510151221833608</v>
      </c>
      <c r="E74" s="173">
        <f>Calc!P81</f>
        <v>3.658677467503713E-5</v>
      </c>
      <c r="F74" s="174">
        <f>Calc!S81</f>
        <v>27331.848805670703</v>
      </c>
      <c r="G74" s="173">
        <f>Calc!O81</f>
        <v>510151221833608</v>
      </c>
      <c r="H74" s="177">
        <f>Calc!X81</f>
        <v>0.61711580197152549</v>
      </c>
      <c r="I74" s="178">
        <f>Calc!Y81</f>
        <v>1.64593148105232</v>
      </c>
      <c r="J74" s="176">
        <f>Calc!AE81</f>
        <v>1569.1438975650592</v>
      </c>
    </row>
    <row r="75" spans="1:10" x14ac:dyDescent="0.2">
      <c r="A75" s="173">
        <f>Calc!A82</f>
        <v>7.3499000000000004E-3</v>
      </c>
      <c r="B75" s="173">
        <f>Calc!B82</f>
        <v>7.9188999999999996E-2</v>
      </c>
      <c r="C75" s="173">
        <f>Calc!C82</f>
        <v>1.61012E-2</v>
      </c>
      <c r="D75" s="173">
        <f>Calc!I82</f>
        <v>479049614787834.69</v>
      </c>
      <c r="E75" s="173">
        <f>Calc!P82</f>
        <v>3.6100671115626264E-5</v>
      </c>
      <c r="F75" s="174">
        <f>Calc!S82</f>
        <v>27699.935112331947</v>
      </c>
      <c r="G75" s="173">
        <f>Calc!O82</f>
        <v>479049614787834.69</v>
      </c>
      <c r="H75" s="177">
        <f>Calc!X82</f>
        <v>0.61529551953055839</v>
      </c>
      <c r="I75" s="178">
        <f>Calc!Y82</f>
        <v>1.5663981667804474</v>
      </c>
      <c r="J75" s="176">
        <f>Calc!AE82</f>
        <v>1571.0204304146444</v>
      </c>
    </row>
    <row r="76" spans="1:10" x14ac:dyDescent="0.2">
      <c r="A76" s="173">
        <f>Calc!A83</f>
        <v>7.4498999999999998E-3</v>
      </c>
      <c r="B76" s="173">
        <f>Calc!B83</f>
        <v>7.4071799999999993E-2</v>
      </c>
      <c r="C76" s="173">
        <f>Calc!C83</f>
        <v>1.53551E-2</v>
      </c>
      <c r="D76" s="173">
        <f>Calc!I83</f>
        <v>447499320366370.12</v>
      </c>
      <c r="E76" s="173">
        <f>Calc!P83</f>
        <v>3.5384516403462389E-5</v>
      </c>
      <c r="F76" s="174">
        <f>Calc!S83</f>
        <v>28260.616195018705</v>
      </c>
      <c r="G76" s="173">
        <f>Calc!O83</f>
        <v>447499320366370.12</v>
      </c>
      <c r="H76" s="177">
        <f>Calc!X83</f>
        <v>0.61333635689338273</v>
      </c>
      <c r="I76" s="178">
        <f>Calc!Y83</f>
        <v>1.4928496203698254</v>
      </c>
      <c r="J76" s="176">
        <f>Calc!AE83</f>
        <v>1572.9863494756605</v>
      </c>
    </row>
    <row r="77" spans="1:10" x14ac:dyDescent="0.2">
      <c r="A77" s="173">
        <f>Calc!A84</f>
        <v>7.5499E-3</v>
      </c>
      <c r="B77" s="173">
        <f>Calc!B84</f>
        <v>6.9921399999999995E-2</v>
      </c>
      <c r="C77" s="173">
        <f>Calc!C84</f>
        <v>1.4622700000000001E-2</v>
      </c>
      <c r="D77" s="173">
        <f>Calc!I84</f>
        <v>421958337673397.69</v>
      </c>
      <c r="E77" s="173">
        <f>Calc!P84</f>
        <v>3.5041456703028055E-5</v>
      </c>
      <c r="F77" s="174">
        <f>Calc!S84</f>
        <v>28537.330841701834</v>
      </c>
      <c r="G77" s="173">
        <f>Calc!O84</f>
        <v>421958337673397.69</v>
      </c>
      <c r="H77" s="177">
        <f>Calc!X84</f>
        <v>0.61165621111019541</v>
      </c>
      <c r="I77" s="178">
        <f>Calc!Y84</f>
        <v>1.4214263674719374</v>
      </c>
      <c r="J77" s="176">
        <f>Calc!AE84</f>
        <v>1574.6287742248678</v>
      </c>
    </row>
    <row r="78" spans="1:10" x14ac:dyDescent="0.2">
      <c r="A78" s="173">
        <f>Calc!A85</f>
        <v>7.6499000000000003E-3</v>
      </c>
      <c r="B78" s="173">
        <f>Calc!B85</f>
        <v>6.5624500000000002E-2</v>
      </c>
      <c r="C78" s="173">
        <f>Calc!C85</f>
        <v>1.39381E-2</v>
      </c>
      <c r="D78" s="173">
        <f>Calc!I85</f>
        <v>395562562247333.37</v>
      </c>
      <c r="E78" s="173">
        <f>Calc!P85</f>
        <v>3.4475837941602333E-5</v>
      </c>
      <c r="F78" s="174">
        <f>Calc!S85</f>
        <v>29005.56171970809</v>
      </c>
      <c r="G78" s="173">
        <f>Calc!O85</f>
        <v>395562562247333.37</v>
      </c>
      <c r="H78" s="177">
        <f>Calc!X85</f>
        <v>0.60981941562625908</v>
      </c>
      <c r="I78" s="178">
        <f>Calc!Y85</f>
        <v>1.354369912344298</v>
      </c>
      <c r="J78" s="176">
        <f>Calc!AE85</f>
        <v>1576.3793044381928</v>
      </c>
    </row>
    <row r="79" spans="1:10" x14ac:dyDescent="0.2">
      <c r="A79" s="173">
        <f>Calc!A86</f>
        <v>7.7498999999999997E-3</v>
      </c>
      <c r="B79" s="173">
        <f>Calc!B86</f>
        <v>6.1395999999999999E-2</v>
      </c>
      <c r="C79" s="173">
        <f>Calc!C86</f>
        <v>1.32633E-2</v>
      </c>
      <c r="D79" s="173">
        <f>Calc!I86</f>
        <v>369634442045838.12</v>
      </c>
      <c r="E79" s="173">
        <f>Calc!P86</f>
        <v>3.3845347979318705E-5</v>
      </c>
      <c r="F79" s="174">
        <f>Calc!S86</f>
        <v>29545.931225500506</v>
      </c>
      <c r="G79" s="173">
        <f>Calc!O86</f>
        <v>369634442045838.12</v>
      </c>
      <c r="H79" s="177">
        <f>Calc!X86</f>
        <v>0.6079024356599344</v>
      </c>
      <c r="I79" s="178">
        <f>Calc!Y86</f>
        <v>1.2891706045842748</v>
      </c>
      <c r="J79" s="176">
        <f>Calc!AE86</f>
        <v>1578.1571311463447</v>
      </c>
    </row>
    <row r="80" spans="1:10" x14ac:dyDescent="0.2">
      <c r="A80" s="173">
        <f>Calc!A87</f>
        <v>7.8498999999999999E-3</v>
      </c>
      <c r="B80" s="173">
        <f>Calc!B87</f>
        <v>5.7660700000000002E-2</v>
      </c>
      <c r="C80" s="173">
        <f>Calc!C87</f>
        <v>1.26383E-2</v>
      </c>
      <c r="D80" s="173">
        <f>Calc!I87</f>
        <v>346770608412038.75</v>
      </c>
      <c r="E80" s="173">
        <f>Calc!P87</f>
        <v>3.33219067889578E-5</v>
      </c>
      <c r="F80" s="174">
        <f>Calc!S87</f>
        <v>30010.087801667523</v>
      </c>
      <c r="G80" s="173">
        <f>Calc!O87</f>
        <v>346770608412038.75</v>
      </c>
      <c r="H80" s="177">
        <f>Calc!X87</f>
        <v>0.60610648499772024</v>
      </c>
      <c r="I80" s="178">
        <f>Calc!Y87</f>
        <v>1.228427080106584</v>
      </c>
      <c r="J80" s="176">
        <f>Calc!AE87</f>
        <v>1579.7781644335832</v>
      </c>
    </row>
    <row r="81" spans="1:10" x14ac:dyDescent="0.2">
      <c r="A81" s="173">
        <f>Calc!A88</f>
        <v>7.9498999999999993E-3</v>
      </c>
      <c r="B81" s="173">
        <f>Calc!B88</f>
        <v>5.3940000000000002E-2</v>
      </c>
      <c r="C81" s="173">
        <f>Calc!C88</f>
        <v>1.20211E-2</v>
      </c>
      <c r="D81" s="173">
        <f>Calc!I88</f>
        <v>324034467606479.87</v>
      </c>
      <c r="E81" s="173">
        <f>Calc!P88</f>
        <v>3.2756033618681789E-5</v>
      </c>
      <c r="F81" s="174">
        <f>Calc!S88</f>
        <v>30528.552460133076</v>
      </c>
      <c r="G81" s="173">
        <f>Calc!O88</f>
        <v>324034467606479.87</v>
      </c>
      <c r="H81" s="177">
        <f>Calc!X88</f>
        <v>0.60420866466095469</v>
      </c>
      <c r="I81" s="178">
        <f>Calc!Y88</f>
        <v>1.1677149675496858</v>
      </c>
      <c r="J81" s="176">
        <f>Calc!AE88</f>
        <v>1581.4453327094911</v>
      </c>
    </row>
    <row r="82" spans="1:10" x14ac:dyDescent="0.2">
      <c r="A82" s="173">
        <f>Calc!A89</f>
        <v>8.0499000000000005E-3</v>
      </c>
      <c r="B82" s="173">
        <f>Calc!B89</f>
        <v>5.0292499999999997E-2</v>
      </c>
      <c r="C82" s="173">
        <f>Calc!C89</f>
        <v>1.1439100000000001E-2</v>
      </c>
      <c r="D82" s="173">
        <f>Calc!I89</f>
        <v>301783714180183.19</v>
      </c>
      <c r="E82" s="173">
        <f>Calc!P89</f>
        <v>3.2063022739196025E-5</v>
      </c>
      <c r="F82" s="174">
        <f>Calc!S89</f>
        <v>31188.424147861013</v>
      </c>
      <c r="G82" s="173">
        <f>Calc!O89</f>
        <v>301783714180183.19</v>
      </c>
      <c r="H82" s="177">
        <f>Calc!X89</f>
        <v>0.60222781157405736</v>
      </c>
      <c r="I82" s="178">
        <f>Calc!Y89</f>
        <v>1.1110363874836955</v>
      </c>
      <c r="J82" s="176">
        <f>Calc!AE89</f>
        <v>1583.1363498853925</v>
      </c>
    </row>
    <row r="83" spans="1:10" x14ac:dyDescent="0.2">
      <c r="A83" s="173">
        <f>Calc!A90</f>
        <v>8.1498999999999999E-3</v>
      </c>
      <c r="B83" s="173">
        <f>Calc!B90</f>
        <v>4.7421400000000002E-2</v>
      </c>
      <c r="C83" s="173">
        <f>Calc!C90</f>
        <v>1.09049E-2</v>
      </c>
      <c r="D83" s="173">
        <f>Calc!I90</f>
        <v>284296418020692.37</v>
      </c>
      <c r="E83" s="173">
        <f>Calc!P90</f>
        <v>3.1708811747640936E-5</v>
      </c>
      <c r="F83" s="174">
        <f>Calc!S90</f>
        <v>31536.840725283757</v>
      </c>
      <c r="G83" s="173">
        <f>Calc!O90</f>
        <v>284296418020692.37</v>
      </c>
      <c r="H83" s="177">
        <f>Calc!X90</f>
        <v>0.6005731800092533</v>
      </c>
      <c r="I83" s="178">
        <f>Calc!Y90</f>
        <v>1.0583476911409024</v>
      </c>
      <c r="J83" s="176">
        <f>Calc!AE90</f>
        <v>1584.5112858355367</v>
      </c>
    </row>
    <row r="84" spans="1:10" x14ac:dyDescent="0.2">
      <c r="A84" s="173">
        <f>Calc!A91</f>
        <v>8.2498999999999992E-3</v>
      </c>
      <c r="B84" s="173">
        <f>Calc!B91</f>
        <v>4.4188999999999999E-2</v>
      </c>
      <c r="C84" s="173">
        <f>Calc!C91</f>
        <v>1.0357999999999999E-2</v>
      </c>
      <c r="D84" s="173">
        <f>Calc!I91</f>
        <v>264637960521095.53</v>
      </c>
      <c r="E84" s="173">
        <f>Calc!P91</f>
        <v>3.1102976420042877E-5</v>
      </c>
      <c r="F84" s="174">
        <f>Calc!S91</f>
        <v>32151.147549756748</v>
      </c>
      <c r="G84" s="173">
        <f>Calc!O91</f>
        <v>264637960521095.53</v>
      </c>
      <c r="H84" s="177">
        <f>Calc!X91</f>
        <v>0.59859553386589992</v>
      </c>
      <c r="I84" s="178">
        <f>Calc!Y91</f>
        <v>1.0043547463299503</v>
      </c>
      <c r="J84" s="176">
        <f>Calc!AE91</f>
        <v>1586.1107541519141</v>
      </c>
    </row>
    <row r="85" spans="1:10" x14ac:dyDescent="0.2">
      <c r="A85" s="173">
        <f>Calc!A92</f>
        <v>8.3499000000000004E-3</v>
      </c>
      <c r="B85" s="173">
        <f>Calc!B92</f>
        <v>4.1576700000000001E-2</v>
      </c>
      <c r="C85" s="173">
        <f>Calc!C92</f>
        <v>9.8804700000000006E-3</v>
      </c>
      <c r="D85" s="173">
        <f>Calc!I92</f>
        <v>248774139642154.78</v>
      </c>
      <c r="E85" s="173">
        <f>Calc!P92</f>
        <v>3.0655840378894922E-5</v>
      </c>
      <c r="F85" s="174">
        <f>Calc!S92</f>
        <v>32620.108867077593</v>
      </c>
      <c r="G85" s="173">
        <f>Calc!O92</f>
        <v>248774139642154.78</v>
      </c>
      <c r="H85" s="177">
        <f>Calc!X92</f>
        <v>0.59689649057965677</v>
      </c>
      <c r="I85" s="178">
        <f>Calc!Y92</f>
        <v>0.95791936594919558</v>
      </c>
      <c r="J85" s="176">
        <f>Calc!AE92</f>
        <v>1587.4475606149358</v>
      </c>
    </row>
    <row r="86" spans="1:10" x14ac:dyDescent="0.2">
      <c r="A86" s="173">
        <f>Calc!A93</f>
        <v>8.4498999999999998E-3</v>
      </c>
      <c r="B86" s="173">
        <f>Calc!B93</f>
        <v>3.9189000000000002E-2</v>
      </c>
      <c r="C86" s="173">
        <f>Calc!C93</f>
        <v>9.4097699999999996E-3</v>
      </c>
      <c r="D86" s="173">
        <f>Calc!I93</f>
        <v>234293024261246.03</v>
      </c>
      <c r="E86" s="173">
        <f>Calc!P93</f>
        <v>3.0330197002660512E-5</v>
      </c>
      <c r="F86" s="174">
        <f>Calc!S93</f>
        <v>32970.350840167877</v>
      </c>
      <c r="G86" s="173">
        <f>Calc!O93</f>
        <v>234293024261246.03</v>
      </c>
      <c r="H86" s="177">
        <f>Calc!X93</f>
        <v>0.59525408216413556</v>
      </c>
      <c r="I86" s="178">
        <f>Calc!Y93</f>
        <v>0.91184511033158255</v>
      </c>
      <c r="J86" s="176">
        <f>Calc!AE93</f>
        <v>1588.7077208672042</v>
      </c>
    </row>
    <row r="87" spans="1:10" x14ac:dyDescent="0.2">
      <c r="A87" s="173">
        <f>Calc!A94</f>
        <v>8.5498999999999992E-3</v>
      </c>
      <c r="B87" s="173">
        <f>Calc!B94</f>
        <v>3.6615700000000001E-2</v>
      </c>
      <c r="C87" s="173">
        <f>Calc!C94</f>
        <v>8.9244200000000006E-3</v>
      </c>
      <c r="D87" s="173">
        <f>Calc!I94</f>
        <v>218706869289315.84</v>
      </c>
      <c r="E87" s="173">
        <f>Calc!P94</f>
        <v>2.985520021461563E-5</v>
      </c>
      <c r="F87" s="174">
        <f>Calc!S94</f>
        <v>33494.922902566504</v>
      </c>
      <c r="G87" s="173">
        <f>Calc!O94</f>
        <v>218706869289315.84</v>
      </c>
      <c r="H87" s="177">
        <f>Calc!X94</f>
        <v>0.59337565754245714</v>
      </c>
      <c r="I87" s="178">
        <f>Calc!Y94</f>
        <v>0.86472772250197794</v>
      </c>
      <c r="J87" s="176">
        <f>Calc!AE94</f>
        <v>1590.1111346353462</v>
      </c>
    </row>
    <row r="88" spans="1:10" x14ac:dyDescent="0.2">
      <c r="A88" s="173">
        <f>Calc!A95</f>
        <v>8.6499000000000003E-3</v>
      </c>
      <c r="B88" s="173">
        <f>Calc!B95</f>
        <v>3.42866E-2</v>
      </c>
      <c r="C88" s="173">
        <f>Calc!C95</f>
        <v>8.5152400000000003E-3</v>
      </c>
      <c r="D88" s="173">
        <f>Calc!I95</f>
        <v>204618740201941.09</v>
      </c>
      <c r="E88" s="173">
        <f>Calc!P95</f>
        <v>2.9284398756713158E-5</v>
      </c>
      <c r="F88" s="174">
        <f>Calc!S95</f>
        <v>34147.805900880405</v>
      </c>
      <c r="G88" s="173">
        <f>Calc!O95</f>
        <v>204618740201941.09</v>
      </c>
      <c r="H88" s="177">
        <f>Calc!X95</f>
        <v>0.59156535665178611</v>
      </c>
      <c r="I88" s="178">
        <f>Calc!Y95</f>
        <v>0.82479504088146283</v>
      </c>
      <c r="J88" s="176">
        <f>Calc!AE95</f>
        <v>1591.4263003707717</v>
      </c>
    </row>
    <row r="89" spans="1:10" x14ac:dyDescent="0.2">
      <c r="A89" s="173">
        <f>Calc!A96</f>
        <v>8.7498999999999997E-3</v>
      </c>
      <c r="B89" s="173">
        <f>Calc!B96</f>
        <v>3.2328599999999999E-2</v>
      </c>
      <c r="C89" s="173">
        <f>Calc!C96</f>
        <v>8.0923799999999997E-3</v>
      </c>
      <c r="D89" s="173">
        <f>Calc!I96</f>
        <v>192789613599166.78</v>
      </c>
      <c r="E89" s="173">
        <f>Calc!P96</f>
        <v>2.9046273031622281E-5</v>
      </c>
      <c r="F89" s="174">
        <f>Calc!S96</f>
        <v>34427.763134938228</v>
      </c>
      <c r="G89" s="173">
        <f>Calc!O96</f>
        <v>192789613599166.78</v>
      </c>
      <c r="H89" s="177">
        <f>Calc!X96</f>
        <v>0.58995148003278575</v>
      </c>
      <c r="I89" s="178">
        <f>Calc!Y96</f>
        <v>0.78348405791479103</v>
      </c>
      <c r="J89" s="176">
        <f>Calc!AE96</f>
        <v>1592.5685446364141</v>
      </c>
    </row>
    <row r="90" spans="1:10" x14ac:dyDescent="0.2">
      <c r="A90" s="173">
        <f>Calc!A97</f>
        <v>8.8499000000000008E-3</v>
      </c>
      <c r="B90" s="173">
        <f>Calc!B97</f>
        <v>3.0356000000000001E-2</v>
      </c>
      <c r="C90" s="173">
        <f>Calc!C97</f>
        <v>7.7037099999999999E-3</v>
      </c>
      <c r="D90" s="173">
        <f>Calc!I97</f>
        <v>180885870525468.53</v>
      </c>
      <c r="E90" s="173">
        <f>Calc!P97</f>
        <v>2.8641798254748159E-5</v>
      </c>
      <c r="F90" s="174">
        <f>Calc!S97</f>
        <v>34913.954613990543</v>
      </c>
      <c r="G90" s="173">
        <f>Calc!O97</f>
        <v>180885870525468.53</v>
      </c>
      <c r="H90" s="177">
        <f>Calc!X97</f>
        <v>0.58822930007381868</v>
      </c>
      <c r="I90" s="178">
        <f>Calc!Y97</f>
        <v>0.74548911975684373</v>
      </c>
      <c r="J90" s="176">
        <f>Calc!AE97</f>
        <v>1593.7567087400441</v>
      </c>
    </row>
    <row r="91" spans="1:10" x14ac:dyDescent="0.2">
      <c r="A91" s="173">
        <f>Calc!A98</f>
        <v>8.9499000000000002E-3</v>
      </c>
      <c r="B91" s="173">
        <f>Calc!B98</f>
        <v>2.83833E-2</v>
      </c>
      <c r="C91" s="173">
        <f>Calc!C98</f>
        <v>7.30234E-3</v>
      </c>
      <c r="D91" s="173">
        <f>Calc!I98</f>
        <v>168995550058679.34</v>
      </c>
      <c r="E91" s="173">
        <f>Calc!P98</f>
        <v>2.8249957372712869E-5</v>
      </c>
      <c r="F91" s="174">
        <f>Calc!S98</f>
        <v>35398.236093282576</v>
      </c>
      <c r="G91" s="173">
        <f>Calc!O98</f>
        <v>168995550058679.34</v>
      </c>
      <c r="H91" s="177">
        <f>Calc!X98</f>
        <v>0.58639747828240607</v>
      </c>
      <c r="I91" s="178">
        <f>Calc!Y98</f>
        <v>0.70614586230493193</v>
      </c>
      <c r="J91" s="176">
        <f>Calc!AE98</f>
        <v>1594.9864607046006</v>
      </c>
    </row>
    <row r="92" spans="1:10" x14ac:dyDescent="0.2">
      <c r="A92" s="173">
        <f>Calc!A99</f>
        <v>9.0498999999999996E-3</v>
      </c>
      <c r="B92" s="173">
        <f>Calc!B99</f>
        <v>2.6796400000000001E-2</v>
      </c>
      <c r="C92" s="173">
        <f>Calc!C99</f>
        <v>6.9498099999999998E-3</v>
      </c>
      <c r="D92" s="173">
        <f>Calc!I99</f>
        <v>159441084468022.37</v>
      </c>
      <c r="E92" s="173">
        <f>Calc!P99</f>
        <v>2.8007412969014763E-5</v>
      </c>
      <c r="F92" s="174">
        <f>Calc!S99</f>
        <v>35704.790699664525</v>
      </c>
      <c r="G92" s="173">
        <f>Calc!O99</f>
        <v>159441084468022.37</v>
      </c>
      <c r="H92" s="177">
        <f>Calc!X99</f>
        <v>0.58483382065443446</v>
      </c>
      <c r="I92" s="178">
        <f>Calc!Y99</f>
        <v>0.67199213639860922</v>
      </c>
      <c r="J92" s="176">
        <f>Calc!AE99</f>
        <v>1596.009025792785</v>
      </c>
    </row>
    <row r="93" spans="1:10" x14ac:dyDescent="0.2">
      <c r="A93" s="173">
        <f>Calc!A100</f>
        <v>9.1499000000000007E-3</v>
      </c>
      <c r="B93" s="173">
        <f>Calc!B100</f>
        <v>2.5482899999999999E-2</v>
      </c>
      <c r="C93" s="173">
        <f>Calc!C100</f>
        <v>6.6089900000000004E-3</v>
      </c>
      <c r="D93" s="173">
        <f>Calc!I100</f>
        <v>151539967661566.34</v>
      </c>
      <c r="E93" s="173">
        <f>Calc!P100</f>
        <v>2.8007607202986731E-5</v>
      </c>
      <c r="F93" s="174">
        <f>Calc!S100</f>
        <v>35704.547163880197</v>
      </c>
      <c r="G93" s="173">
        <f>Calc!O100</f>
        <v>151539967661566.34</v>
      </c>
      <c r="H93" s="177">
        <f>Calc!X100</f>
        <v>0.58347129535055353</v>
      </c>
      <c r="I93" s="178">
        <f>Calc!Y100</f>
        <v>0.63868707828687954</v>
      </c>
      <c r="J93" s="176">
        <f>Calc!AE100</f>
        <v>1596.880084897984</v>
      </c>
    </row>
    <row r="94" spans="1:10" x14ac:dyDescent="0.2">
      <c r="A94" s="173">
        <f>Calc!A101</f>
        <v>9.2499000000000001E-3</v>
      </c>
      <c r="B94" s="173">
        <f>Calc!B101</f>
        <v>2.3632400000000001E-2</v>
      </c>
      <c r="C94" s="173">
        <f>Calc!C101</f>
        <v>6.2915999999999996E-3</v>
      </c>
      <c r="D94" s="173">
        <f>Calc!I101</f>
        <v>140420087935484.69</v>
      </c>
      <c r="E94" s="173">
        <f>Calc!P101</f>
        <v>2.722567603838444E-5</v>
      </c>
      <c r="F94" s="174">
        <f>Calc!S101</f>
        <v>36730.001027396633</v>
      </c>
      <c r="G94" s="173">
        <f>Calc!O101</f>
        <v>140420087935484.69</v>
      </c>
      <c r="H94" s="177">
        <f>Calc!X101</f>
        <v>0.58143324493360726</v>
      </c>
      <c r="I94" s="178">
        <f>Calc!Y101</f>
        <v>0.60881804285679575</v>
      </c>
      <c r="J94" s="176">
        <f>Calc!AE101</f>
        <v>1598.1490392534115</v>
      </c>
    </row>
    <row r="95" spans="1:10" x14ac:dyDescent="0.2">
      <c r="A95" s="173">
        <f>Calc!A102</f>
        <v>9.3498999999999995E-3</v>
      </c>
      <c r="B95" s="173">
        <f>Calc!B102</f>
        <v>2.2431199999999998E-2</v>
      </c>
      <c r="C95" s="173">
        <f>Calc!C102</f>
        <v>5.9293000000000002E-3</v>
      </c>
      <c r="D95" s="173">
        <f>Calc!I102</f>
        <v>133209306812886.22</v>
      </c>
      <c r="E95" s="173">
        <f>Calc!P102</f>
        <v>2.7371309926174147E-5</v>
      </c>
      <c r="F95" s="174">
        <f>Calc!S102</f>
        <v>36534.575672172054</v>
      </c>
      <c r="G95" s="173">
        <f>Calc!O102</f>
        <v>133209306812886.22</v>
      </c>
      <c r="H95" s="177">
        <f>Calc!X102</f>
        <v>0.58002681049678906</v>
      </c>
      <c r="I95" s="178">
        <f>Calc!Y102</f>
        <v>0.5744813477780415</v>
      </c>
      <c r="J95" s="176">
        <f>Calc!AE102</f>
        <v>1599.0014906307133</v>
      </c>
    </row>
    <row r="96" spans="1:10" x14ac:dyDescent="0.2">
      <c r="A96" s="173">
        <f>Calc!A103</f>
        <v>9.4499000000000007E-3</v>
      </c>
      <c r="B96" s="173">
        <f>Calc!B103</f>
        <v>2.0575699999999999E-2</v>
      </c>
      <c r="C96" s="173">
        <f>Calc!C103</f>
        <v>5.6597699999999997E-3</v>
      </c>
      <c r="D96" s="173">
        <f>Calc!I103</f>
        <v>122082574445884.41</v>
      </c>
      <c r="E96" s="173">
        <f>Calc!P103</f>
        <v>2.627712274195254E-5</v>
      </c>
      <c r="F96" s="174">
        <f>Calc!S103</f>
        <v>38055.892180457959</v>
      </c>
      <c r="G96" s="173">
        <f>Calc!O103</f>
        <v>122082574445884.41</v>
      </c>
      <c r="H96" s="177">
        <f>Calc!X103</f>
        <v>0.5777053683257608</v>
      </c>
      <c r="I96" s="178">
        <f>Calc!Y103</f>
        <v>0.54841940820753599</v>
      </c>
      <c r="J96" s="176">
        <f>Calc!AE103</f>
        <v>1600.3680832726027</v>
      </c>
    </row>
    <row r="97" spans="1:10" x14ac:dyDescent="0.2">
      <c r="A97" s="173">
        <f>Calc!A104</f>
        <v>9.5499000000000001E-3</v>
      </c>
      <c r="B97" s="173">
        <f>Calc!B104</f>
        <v>1.91939E-2</v>
      </c>
      <c r="C97" s="173">
        <f>Calc!C104</f>
        <v>5.3814500000000003E-3</v>
      </c>
      <c r="D97" s="173">
        <f>Calc!I104</f>
        <v>113806058023587.89</v>
      </c>
      <c r="E97" s="173">
        <f>Calc!P104</f>
        <v>2.5778973923627116E-5</v>
      </c>
      <c r="F97" s="174">
        <f>Calc!S104</f>
        <v>38791.281946060604</v>
      </c>
      <c r="G97" s="173">
        <f>Calc!O104</f>
        <v>113806058023587.89</v>
      </c>
      <c r="H97" s="177">
        <f>Calc!X104</f>
        <v>0.57584171984280863</v>
      </c>
      <c r="I97" s="178">
        <f>Calc!Y104</f>
        <v>0.52111875052144274</v>
      </c>
      <c r="J97" s="176">
        <f>Calc!AE104</f>
        <v>1601.4296341286488</v>
      </c>
    </row>
    <row r="98" spans="1:10" x14ac:dyDescent="0.2">
      <c r="A98" s="173">
        <f>Calc!A105</f>
        <v>9.6498999999999995E-3</v>
      </c>
      <c r="B98" s="173">
        <f>Calc!B105</f>
        <v>1.7743700000000001E-2</v>
      </c>
      <c r="C98" s="173">
        <f>Calc!C105</f>
        <v>5.0855500000000003E-3</v>
      </c>
      <c r="D98" s="173">
        <f>Calc!I105</f>
        <v>105129014300299.64</v>
      </c>
      <c r="E98" s="173">
        <f>Calc!P105</f>
        <v>2.5237450444371655E-5</v>
      </c>
      <c r="F98" s="174">
        <f>Calc!S105</f>
        <v>39623.635485100283</v>
      </c>
      <c r="G98" s="173">
        <f>Calc!O105</f>
        <v>105129014300299.64</v>
      </c>
      <c r="H98" s="177">
        <f>Calc!X105</f>
        <v>0.57374108673268931</v>
      </c>
      <c r="I98" s="178">
        <f>Calc!Y105</f>
        <v>0.49171568259643861</v>
      </c>
      <c r="J98" s="176">
        <f>Calc!AE105</f>
        <v>1602.5892949750121</v>
      </c>
    </row>
    <row r="99" spans="1:10" x14ac:dyDescent="0.2">
      <c r="A99" s="173">
        <f>Calc!A106</f>
        <v>9.7499000000000006E-3</v>
      </c>
      <c r="B99" s="173">
        <f>Calc!B106</f>
        <v>1.6938000000000002E-2</v>
      </c>
      <c r="C99" s="173">
        <f>Calc!C106</f>
        <v>4.8140600000000002E-3</v>
      </c>
      <c r="D99" s="173">
        <f>Calc!I106</f>
        <v>100312421108554.37</v>
      </c>
      <c r="E99" s="173">
        <f>Calc!P106</f>
        <v>2.5423838109209516E-5</v>
      </c>
      <c r="F99" s="174">
        <f>Calc!S106</f>
        <v>39333.147537659606</v>
      </c>
      <c r="G99" s="173">
        <f>Calc!O106</f>
        <v>100312421108554.37</v>
      </c>
      <c r="H99" s="177">
        <f>Calc!X106</f>
        <v>0.57250109409860439</v>
      </c>
      <c r="I99" s="178">
        <f>Calc!Y106</f>
        <v>0.46574751305582335</v>
      </c>
      <c r="J99" s="176">
        <f>Calc!AE106</f>
        <v>1603.2559265706923</v>
      </c>
    </row>
    <row r="100" spans="1:10" x14ac:dyDescent="0.2">
      <c r="A100" s="173">
        <f>Calc!A107</f>
        <v>9.8499E-3</v>
      </c>
      <c r="B100" s="173">
        <f>Calc!B107</f>
        <v>1.5697800000000001E-2</v>
      </c>
      <c r="C100" s="173">
        <f>Calc!C107</f>
        <v>4.5660199999999996E-3</v>
      </c>
      <c r="D100" s="173">
        <f>Calc!I107</f>
        <v>92904360815706.812</v>
      </c>
      <c r="E100" s="173">
        <f>Calc!P107</f>
        <v>2.4846219943700885E-5</v>
      </c>
      <c r="F100" s="174">
        <f>Calc!S107</f>
        <v>40247.556621232317</v>
      </c>
      <c r="G100" s="173">
        <f>Calc!O107</f>
        <v>92904360815706.812</v>
      </c>
      <c r="H100" s="177">
        <f>Calc!X107</f>
        <v>0.57047600857641778</v>
      </c>
      <c r="I100" s="178">
        <f>Calc!Y107</f>
        <v>0.44138007164322673</v>
      </c>
      <c r="J100" s="176">
        <f>Calc!AE107</f>
        <v>1604.3167454973434</v>
      </c>
    </row>
    <row r="101" spans="1:10" x14ac:dyDescent="0.2">
      <c r="A101" s="173">
        <f>Calc!A108</f>
        <v>9.9498999999999994E-3</v>
      </c>
      <c r="B101" s="173">
        <f>Calc!B108</f>
        <v>1.43257E-2</v>
      </c>
      <c r="C101" s="173">
        <f>Calc!C108</f>
        <v>4.33067E-3</v>
      </c>
      <c r="D101" s="173">
        <f>Calc!I108</f>
        <v>84717255660120.922</v>
      </c>
      <c r="E101" s="173">
        <f>Calc!P108</f>
        <v>2.3856447268106053E-5</v>
      </c>
      <c r="F101" s="174">
        <f>Calc!S108</f>
        <v>41917.377912132004</v>
      </c>
      <c r="G101" s="173">
        <f>Calc!O108</f>
        <v>84717255660120.922</v>
      </c>
      <c r="H101" s="177">
        <f>Calc!X108</f>
        <v>0.56804606688302317</v>
      </c>
      <c r="I101" s="178">
        <f>Calc!Y108</f>
        <v>0.41918241630249936</v>
      </c>
      <c r="J101" s="176">
        <f>Calc!AE108</f>
        <v>1605.5451850028501</v>
      </c>
    </row>
    <row r="102" spans="1:10" x14ac:dyDescent="0.2">
      <c r="A102" s="173">
        <f>Calc!A109</f>
        <v>1.00499E-2</v>
      </c>
      <c r="B102" s="173">
        <f>Calc!B109</f>
        <v>1.37202E-2</v>
      </c>
      <c r="C102" s="173">
        <f>Calc!C109</f>
        <v>4.0972700000000001E-3</v>
      </c>
      <c r="D102" s="173">
        <f>Calc!I109</f>
        <v>81107387371609.891</v>
      </c>
      <c r="E102" s="173">
        <f>Calc!P109</f>
        <v>2.4185685716869791E-5</v>
      </c>
      <c r="F102" s="174">
        <f>Calc!S109</f>
        <v>41346.759715437191</v>
      </c>
      <c r="G102" s="173">
        <f>Calc!O109</f>
        <v>81107387371609.891</v>
      </c>
      <c r="H102" s="177">
        <f>Calc!X109</f>
        <v>0.56690088645820635</v>
      </c>
      <c r="I102" s="178">
        <f>Calc!Y109</f>
        <v>0.39585756921753368</v>
      </c>
      <c r="J102" s="176">
        <f>Calc!AE109</f>
        <v>1606.1077457899275</v>
      </c>
    </row>
    <row r="103" spans="1:10" x14ac:dyDescent="0.2">
      <c r="A103" s="173">
        <f>Calc!A110</f>
        <v>1.01499E-2</v>
      </c>
      <c r="B103" s="173">
        <f>Calc!B110</f>
        <v>1.2475099999999999E-2</v>
      </c>
      <c r="C103" s="173">
        <f>Calc!C110</f>
        <v>3.88047E-3</v>
      </c>
      <c r="D103" s="173">
        <f>Calc!I110</f>
        <v>73690460933525.922</v>
      </c>
      <c r="E103" s="173">
        <f>Calc!P110</f>
        <v>2.3289896170337693E-5</v>
      </c>
      <c r="F103" s="174">
        <f>Calc!S110</f>
        <v>42937.065186755332</v>
      </c>
      <c r="G103" s="173">
        <f>Calc!O110</f>
        <v>73690460933525.922</v>
      </c>
      <c r="H103" s="177">
        <f>Calc!X110</f>
        <v>0.56438265881479321</v>
      </c>
      <c r="I103" s="178">
        <f>Calc!Y110</f>
        <v>0.37349145237858589</v>
      </c>
      <c r="J103" s="176">
        <f>Calc!AE110</f>
        <v>1607.3089529897263</v>
      </c>
    </row>
    <row r="104" spans="1:10" x14ac:dyDescent="0.2">
      <c r="A104" s="173">
        <f>Calc!A111</f>
        <v>1.0249899999999999E-2</v>
      </c>
      <c r="B104" s="173">
        <f>Calc!B111</f>
        <v>1.1982E-2</v>
      </c>
      <c r="C104" s="173">
        <f>Calc!C111</f>
        <v>3.6822299999999999E-3</v>
      </c>
      <c r="D104" s="173">
        <f>Calc!I111</f>
        <v>70755458155712.453</v>
      </c>
      <c r="E104" s="173">
        <f>Calc!P111</f>
        <v>2.3569626126153333E-5</v>
      </c>
      <c r="F104" s="174">
        <f>Calc!S111</f>
        <v>42427.478432278913</v>
      </c>
      <c r="G104" s="173">
        <f>Calc!O111</f>
        <v>70755458155712.453</v>
      </c>
      <c r="H104" s="177">
        <f>Calc!X111</f>
        <v>0.56331690868120998</v>
      </c>
      <c r="I104" s="178">
        <f>Calc!Y111</f>
        <v>0.35435959802060202</v>
      </c>
      <c r="J104" s="176">
        <f>Calc!AE111</f>
        <v>1607.8028079400933</v>
      </c>
    </row>
    <row r="105" spans="1:10" x14ac:dyDescent="0.2">
      <c r="A105" s="173">
        <f>Calc!A112</f>
        <v>1.03499E-2</v>
      </c>
      <c r="B105" s="173">
        <f>Calc!B112</f>
        <v>1.1806199999999999E-2</v>
      </c>
      <c r="C105" s="173">
        <f>Calc!C112</f>
        <v>3.4830099999999999E-3</v>
      </c>
      <c r="D105" s="173">
        <f>Calc!I112</f>
        <v>69709400525523.984</v>
      </c>
      <c r="E105" s="173">
        <f>Calc!P112</f>
        <v>2.4557555541944087E-5</v>
      </c>
      <c r="F105" s="174">
        <f>Calc!S112</f>
        <v>40720.657241145687</v>
      </c>
      <c r="G105" s="173">
        <f>Calc!O112</f>
        <v>69709400525523.984</v>
      </c>
      <c r="H105" s="177">
        <f>Calc!X112</f>
        <v>0.56292656115833384</v>
      </c>
      <c r="I105" s="178">
        <f>Calc!Y112</f>
        <v>0.33507587433167296</v>
      </c>
      <c r="J105" s="176">
        <f>Calc!AE112</f>
        <v>1607.9815711422414</v>
      </c>
    </row>
    <row r="106" spans="1:10" x14ac:dyDescent="0.2">
      <c r="A106" s="173">
        <f>Calc!A113</f>
        <v>1.04499E-2</v>
      </c>
      <c r="B106" s="173">
        <f>Calc!B113</f>
        <v>1.0873600000000001E-2</v>
      </c>
      <c r="C106" s="173">
        <f>Calc!C113</f>
        <v>3.2798800000000002E-3</v>
      </c>
      <c r="D106" s="173">
        <f>Calc!I113</f>
        <v>64163141544923.742</v>
      </c>
      <c r="E106" s="173">
        <f>Calc!P113</f>
        <v>2.3949365470356897E-5</v>
      </c>
      <c r="F106" s="174">
        <f>Calc!S113</f>
        <v>41754.75285832255</v>
      </c>
      <c r="G106" s="173">
        <f>Calc!O113</f>
        <v>64163141544923.742</v>
      </c>
      <c r="H106" s="177">
        <f>Calc!X113</f>
        <v>0.56075579362327721</v>
      </c>
      <c r="I106" s="178">
        <f>Calc!Y113</f>
        <v>0.31624855855305967</v>
      </c>
      <c r="J106" s="176">
        <f>Calc!AE113</f>
        <v>1608.9553270391002</v>
      </c>
    </row>
    <row r="107" spans="1:10" x14ac:dyDescent="0.2">
      <c r="A107" s="173">
        <f>Calc!A114</f>
        <v>1.0549899999999999E-2</v>
      </c>
      <c r="B107" s="173">
        <f>Calc!B114</f>
        <v>1.0097200000000001E-2</v>
      </c>
      <c r="C107" s="173">
        <f>Calc!C114</f>
        <v>3.0914100000000002E-3</v>
      </c>
      <c r="D107" s="173">
        <f>Calc!I114</f>
        <v>59549733263458.203</v>
      </c>
      <c r="E107" s="173">
        <f>Calc!P114</f>
        <v>2.3560691568028194E-5</v>
      </c>
      <c r="F107" s="174">
        <f>Calc!S114</f>
        <v>42443.569978379062</v>
      </c>
      <c r="G107" s="173">
        <f>Calc!O114</f>
        <v>59549733263458.203</v>
      </c>
      <c r="H107" s="177">
        <f>Calc!X114</f>
        <v>0.55880480463598203</v>
      </c>
      <c r="I107" s="178">
        <f>Calc!Y114</f>
        <v>0.29835184854323016</v>
      </c>
      <c r="J107" s="176">
        <f>Calc!AE114</f>
        <v>1609.8016712056349</v>
      </c>
    </row>
    <row r="108" spans="1:10" x14ac:dyDescent="0.2">
      <c r="A108" s="173">
        <f>Calc!A115</f>
        <v>1.06499E-2</v>
      </c>
      <c r="B108" s="173">
        <f>Calc!B115</f>
        <v>9.5649700000000008E-3</v>
      </c>
      <c r="C108" s="173">
        <f>Calc!C115</f>
        <v>2.9478500000000001E-3</v>
      </c>
      <c r="D108" s="173">
        <f>Calc!I115</f>
        <v>56389325825649.625</v>
      </c>
      <c r="E108" s="173">
        <f>Calc!P115</f>
        <v>2.3342642894798732E-5</v>
      </c>
      <c r="F108" s="174">
        <f>Calc!S115</f>
        <v>42840.045203755879</v>
      </c>
      <c r="G108" s="173">
        <f>Calc!O115</f>
        <v>56389325825649.625</v>
      </c>
      <c r="H108" s="177">
        <f>Calc!X115</f>
        <v>0.55738050981095255</v>
      </c>
      <c r="I108" s="178">
        <f>Calc!Y115</f>
        <v>0.28515685926519563</v>
      </c>
      <c r="J108" s="176">
        <f>Calc!AE115</f>
        <v>1610.4027611138722</v>
      </c>
    </row>
    <row r="109" spans="1:10" x14ac:dyDescent="0.2">
      <c r="A109" s="173">
        <f>Calc!A116</f>
        <v>1.07499E-2</v>
      </c>
      <c r="B109" s="173">
        <f>Calc!B116</f>
        <v>9.17923E-3</v>
      </c>
      <c r="C109" s="173">
        <f>Calc!C116</f>
        <v>2.75742E-3</v>
      </c>
      <c r="D109" s="173">
        <f>Calc!I116</f>
        <v>54099898148273.883</v>
      </c>
      <c r="E109" s="173">
        <f>Calc!P116</f>
        <v>2.3919330709544442E-5</v>
      </c>
      <c r="F109" s="174">
        <f>Calc!S116</f>
        <v>41807.184989052941</v>
      </c>
      <c r="G109" s="173">
        <f>Calc!O116</f>
        <v>54099898148273.883</v>
      </c>
      <c r="H109" s="177">
        <f>Calc!X116</f>
        <v>0.55629877919293458</v>
      </c>
      <c r="I109" s="178">
        <f>Calc!Y116</f>
        <v>0.26698346828728192</v>
      </c>
      <c r="J109" s="176">
        <f>Calc!AE116</f>
        <v>1610.8500258685333</v>
      </c>
    </row>
    <row r="110" spans="1:10" x14ac:dyDescent="0.2">
      <c r="A110" s="173">
        <f>Calc!A117</f>
        <v>1.0849900000000001E-2</v>
      </c>
      <c r="B110" s="173">
        <f>Calc!B117</f>
        <v>7.7290299999999996E-3</v>
      </c>
      <c r="C110" s="173">
        <f>Calc!C117</f>
        <v>2.61875E-3</v>
      </c>
      <c r="D110" s="173">
        <f>Calc!I117</f>
        <v>45501501107646.414</v>
      </c>
      <c r="E110" s="173">
        <f>Calc!P117</f>
        <v>2.1189418079018345E-5</v>
      </c>
      <c r="F110" s="174">
        <f>Calc!S117</f>
        <v>47193.364322048932</v>
      </c>
      <c r="G110" s="173">
        <f>Calc!O117</f>
        <v>45501501107646.414</v>
      </c>
      <c r="H110" s="177">
        <f>Calc!X117</f>
        <v>0.55178844434221741</v>
      </c>
      <c r="I110" s="178">
        <f>Calc!Y117</f>
        <v>0.25347996643187304</v>
      </c>
      <c r="J110" s="176">
        <f>Calc!AE117</f>
        <v>1612.6317323653977</v>
      </c>
    </row>
    <row r="111" spans="1:10" x14ac:dyDescent="0.2">
      <c r="A111" s="173">
        <f>Calc!A118</f>
        <v>1.09499E-2</v>
      </c>
      <c r="B111" s="173">
        <f>Calc!B118</f>
        <v>7.4653599999999999E-3</v>
      </c>
      <c r="C111" s="173">
        <f>Calc!C118</f>
        <v>2.4751999999999999E-3</v>
      </c>
      <c r="D111" s="173">
        <f>Calc!I118</f>
        <v>43939725689345.164</v>
      </c>
      <c r="E111" s="173">
        <f>Calc!P118</f>
        <v>2.1727194945369543E-5</v>
      </c>
      <c r="F111" s="174">
        <f>Calc!S118</f>
        <v>46025.266164342218</v>
      </c>
      <c r="G111" s="173">
        <f>Calc!O118</f>
        <v>43939725689345.164</v>
      </c>
      <c r="H111" s="177">
        <f>Calc!X118</f>
        <v>0.55087959008887177</v>
      </c>
      <c r="I111" s="178">
        <f>Calc!Y118</f>
        <v>0.23872100094362858</v>
      </c>
      <c r="J111" s="176">
        <f>Calc!AE118</f>
        <v>1612.9750251031653</v>
      </c>
    </row>
    <row r="112" spans="1:10" x14ac:dyDescent="0.2">
      <c r="A112" s="173">
        <f>Calc!A119</f>
        <v>1.10499E-2</v>
      </c>
      <c r="B112" s="173">
        <f>Calc!B119</f>
        <v>7.1040299999999999E-3</v>
      </c>
      <c r="C112" s="173">
        <f>Calc!C119</f>
        <v>2.3091800000000001E-3</v>
      </c>
      <c r="D112" s="173">
        <f>Calc!I119</f>
        <v>41800301029689.781</v>
      </c>
      <c r="E112" s="173">
        <f>Calc!P119</f>
        <v>2.2274355540546826E-5</v>
      </c>
      <c r="F112" s="174">
        <f>Calc!S119</f>
        <v>44894.674217343003</v>
      </c>
      <c r="G112" s="173">
        <f>Calc!O119</f>
        <v>41800301029689.781</v>
      </c>
      <c r="H112" s="177">
        <f>Calc!X119</f>
        <v>0.54958137757742831</v>
      </c>
      <c r="I112" s="178">
        <f>Calc!Y119</f>
        <v>0.22151911534304239</v>
      </c>
      <c r="J112" s="176">
        <f>Calc!AE119</f>
        <v>1613.4565381164009</v>
      </c>
    </row>
    <row r="113" spans="1:10" x14ac:dyDescent="0.2">
      <c r="A113" s="173">
        <f>Calc!A120</f>
        <v>1.1149900000000001E-2</v>
      </c>
      <c r="B113" s="173">
        <f>Calc!B120</f>
        <v>6.9721899999999996E-3</v>
      </c>
      <c r="C113" s="173">
        <f>Calc!C120</f>
        <v>2.18125E-3</v>
      </c>
      <c r="D113" s="173">
        <f>Calc!I120</f>
        <v>41019918286339.937</v>
      </c>
      <c r="E113" s="173">
        <f>Calc!P120</f>
        <v>2.3034027284591141E-5</v>
      </c>
      <c r="F113" s="174">
        <f>Calc!S120</f>
        <v>43414.029310061727</v>
      </c>
      <c r="G113" s="173">
        <f>Calc!O120</f>
        <v>41019918286339.937</v>
      </c>
      <c r="H113" s="177">
        <f>Calc!X120</f>
        <v>0.54909143134879779</v>
      </c>
      <c r="I113" s="178">
        <f>Calc!Y120</f>
        <v>0.21021410856283188</v>
      </c>
      <c r="J113" s="176">
        <f>Calc!AE120</f>
        <v>1613.6355922431387</v>
      </c>
    </row>
    <row r="114" spans="1:10" x14ac:dyDescent="0.2">
      <c r="A114" s="173">
        <f>Calc!A121</f>
        <v>1.12499E-2</v>
      </c>
      <c r="B114" s="173">
        <f>Calc!B121</f>
        <v>6.4741499999999997E-3</v>
      </c>
      <c r="C114" s="173">
        <f>Calc!C121</f>
        <v>2.0669899999999999E-3</v>
      </c>
      <c r="D114" s="173">
        <f>Calc!I121</f>
        <v>38073114983681.875</v>
      </c>
      <c r="E114" s="173">
        <f>Calc!P121</f>
        <v>2.2529882382603827E-5</v>
      </c>
      <c r="F114" s="174">
        <f>Calc!S121</f>
        <v>44385.493399605526</v>
      </c>
      <c r="G114" s="173">
        <f>Calc!O121</f>
        <v>38073114983681.875</v>
      </c>
      <c r="H114" s="177">
        <f>Calc!X121</f>
        <v>0.54715435189664197</v>
      </c>
      <c r="I114" s="178">
        <f>Calc!Y121</f>
        <v>0.19947865551531929</v>
      </c>
      <c r="J114" s="176">
        <f>Calc!AE121</f>
        <v>1614.3294529767236</v>
      </c>
    </row>
    <row r="115" spans="1:10" x14ac:dyDescent="0.2">
      <c r="A115" s="173">
        <f>Calc!A122</f>
        <v>1.13499E-2</v>
      </c>
      <c r="B115" s="173">
        <f>Calc!B122</f>
        <v>5.66848E-3</v>
      </c>
      <c r="C115" s="173">
        <f>Calc!C122</f>
        <v>1.9331999999999999E-3</v>
      </c>
      <c r="D115" s="173">
        <f>Calc!I122</f>
        <v>33310224587328.258</v>
      </c>
      <c r="E115" s="173">
        <f>Calc!P122</f>
        <v>2.1012305832193346E-5</v>
      </c>
      <c r="F115" s="174">
        <f>Calc!S122</f>
        <v>47591.157737936985</v>
      </c>
      <c r="G115" s="173">
        <f>Calc!O122</f>
        <v>33310224587328.258</v>
      </c>
      <c r="H115" s="177">
        <f>Calc!X122</f>
        <v>0.5436855914811014</v>
      </c>
      <c r="I115" s="178">
        <f>Calc!Y122</f>
        <v>0.18712886955283736</v>
      </c>
      <c r="J115" s="176">
        <f>Calc!AE122</f>
        <v>1615.5175297043279</v>
      </c>
    </row>
    <row r="116" spans="1:10" x14ac:dyDescent="0.2">
      <c r="A116" s="173">
        <f>Calc!A123</f>
        <v>1.1449900000000001E-2</v>
      </c>
      <c r="B116" s="173">
        <f>Calc!B123</f>
        <v>5.55618E-3</v>
      </c>
      <c r="C116" s="173">
        <f>Calc!C123</f>
        <v>1.8062499999999999E-3</v>
      </c>
      <c r="D116" s="173">
        <f>Calc!I123</f>
        <v>32646757858004.84</v>
      </c>
      <c r="E116" s="173">
        <f>Calc!P123</f>
        <v>2.2064998747490964E-5</v>
      </c>
      <c r="F116" s="174">
        <f>Calc!S123</f>
        <v>45320.644356497054</v>
      </c>
      <c r="G116" s="173">
        <f>Calc!O123</f>
        <v>32646757858004.84</v>
      </c>
      <c r="H116" s="177">
        <f>Calc!X123</f>
        <v>0.54316379688066685</v>
      </c>
      <c r="I116" s="178">
        <f>Calc!Y123</f>
        <v>0.17465181265934321</v>
      </c>
      <c r="J116" s="176">
        <f>Calc!AE123</f>
        <v>1615.6903834758655</v>
      </c>
    </row>
    <row r="117" spans="1:10" x14ac:dyDescent="0.2">
      <c r="A117" s="173">
        <f>Calc!A124</f>
        <v>1.15499E-2</v>
      </c>
      <c r="B117" s="173">
        <f>Calc!B124</f>
        <v>4.9702399999999999E-3</v>
      </c>
      <c r="C117" s="173">
        <f>Calc!C124</f>
        <v>1.71445E-3</v>
      </c>
      <c r="D117" s="173">
        <f>Calc!I124</f>
        <v>29186774225621.66</v>
      </c>
      <c r="E117" s="173">
        <f>Calc!P124</f>
        <v>2.08608674088052E-5</v>
      </c>
      <c r="F117" s="174">
        <f>Calc!S124</f>
        <v>47936.643807943699</v>
      </c>
      <c r="G117" s="173">
        <f>Calc!O124</f>
        <v>29186774225621.66</v>
      </c>
      <c r="H117" s="177">
        <f>Calc!X124</f>
        <v>0.54025996380959218</v>
      </c>
      <c r="I117" s="178">
        <f>Calc!Y124</f>
        <v>0.16515460301418899</v>
      </c>
      <c r="J117" s="176">
        <f>Calc!AE124</f>
        <v>1616.6252818759913</v>
      </c>
    </row>
    <row r="118" spans="1:10" x14ac:dyDescent="0.2">
      <c r="A118" s="173">
        <f>Calc!A125</f>
        <v>1.1649899999999999E-2</v>
      </c>
      <c r="B118" s="173">
        <f>Calc!B125</f>
        <v>4.6577399999999996E-3</v>
      </c>
      <c r="C118" s="173">
        <f>Calc!C125</f>
        <v>1.59727E-3</v>
      </c>
      <c r="D118" s="173">
        <f>Calc!I125</f>
        <v>27342694042775.578</v>
      </c>
      <c r="E118" s="173">
        <f>Calc!P125</f>
        <v>2.1032342951573018E-5</v>
      </c>
      <c r="F118" s="174">
        <f>Calc!S125</f>
        <v>47545.819132001903</v>
      </c>
      <c r="G118" s="173">
        <f>Calc!O125</f>
        <v>27342694042775.578</v>
      </c>
      <c r="H118" s="177">
        <f>Calc!X125</f>
        <v>0.53856951892860672</v>
      </c>
      <c r="I118" s="178">
        <f>Calc!Y125</f>
        <v>0.15345837483760894</v>
      </c>
      <c r="J118" s="176">
        <f>Calc!AE125</f>
        <v>1617.1489551542625</v>
      </c>
    </row>
    <row r="119" spans="1:10" x14ac:dyDescent="0.2">
      <c r="A119" s="173">
        <f>Calc!A126</f>
        <v>1.1749900000000001E-2</v>
      </c>
      <c r="B119" s="173">
        <f>Calc!B126</f>
        <v>4.50637E-3</v>
      </c>
      <c r="C119" s="173">
        <f>Calc!C126</f>
        <v>1.5406300000000001E-3</v>
      </c>
      <c r="D119" s="173">
        <f>Calc!I126</f>
        <v>26449772194609.785</v>
      </c>
      <c r="E119" s="173">
        <f>Calc!P126</f>
        <v>2.1215171298544051E-5</v>
      </c>
      <c r="F119" s="174">
        <f>Calc!S126</f>
        <v>47136.078294641062</v>
      </c>
      <c r="G119" s="173">
        <f>Calc!O126</f>
        <v>26449772194609.785</v>
      </c>
      <c r="H119" s="177">
        <f>Calc!X126</f>
        <v>0.53770990194971369</v>
      </c>
      <c r="I119" s="178">
        <f>Calc!Y126</f>
        <v>0.14716764477866573</v>
      </c>
      <c r="J119" s="176">
        <f>Calc!AE126</f>
        <v>1617.4096061657312</v>
      </c>
    </row>
    <row r="120" spans="1:10" x14ac:dyDescent="0.2">
      <c r="A120" s="173">
        <f>Calc!A127</f>
        <v>1.18499E-2</v>
      </c>
      <c r="B120" s="173">
        <f>Calc!B127</f>
        <v>4.5796200000000004E-3</v>
      </c>
      <c r="C120" s="173">
        <f>Calc!C127</f>
        <v>1.4214900000000001E-3</v>
      </c>
      <c r="D120" s="173">
        <f>Calc!I127</f>
        <v>26881842656070.645</v>
      </c>
      <c r="E120" s="173">
        <f>Calc!P127</f>
        <v>2.342956686139181E-5</v>
      </c>
      <c r="F120" s="174">
        <f>Calc!S127</f>
        <v>42681.112195138296</v>
      </c>
      <c r="G120" s="173">
        <f>Calc!O127</f>
        <v>26881842656070.645</v>
      </c>
      <c r="H120" s="177">
        <f>Calc!X127</f>
        <v>0.53812939431639473</v>
      </c>
      <c r="I120" s="178">
        <f>Calc!Y127</f>
        <v>0.13543525235647652</v>
      </c>
      <c r="J120" s="176">
        <f>Calc!AE127</f>
        <v>1617.2828789065018</v>
      </c>
    </row>
    <row r="121" spans="1:10" x14ac:dyDescent="0.2">
      <c r="A121" s="173">
        <f>Calc!A128</f>
        <v>1.1949899999999999E-2</v>
      </c>
      <c r="B121" s="173">
        <f>Calc!B128</f>
        <v>4.4526599999999998E-3</v>
      </c>
      <c r="C121" s="173">
        <f>Calc!C128</f>
        <v>1.33457E-3</v>
      </c>
      <c r="D121" s="173">
        <f>Calc!I128</f>
        <v>26132991744537.996</v>
      </c>
      <c r="E121" s="173">
        <f>Calc!P128</f>
        <v>2.4237320617022005E-5</v>
      </c>
      <c r="F121" s="174">
        <f>Calc!S128</f>
        <v>41258.684832538398</v>
      </c>
      <c r="G121" s="173">
        <f>Calc!O128</f>
        <v>26132991744537.996</v>
      </c>
      <c r="H121" s="177">
        <f>Calc!X128</f>
        <v>0.53739799973803093</v>
      </c>
      <c r="I121" s="178">
        <f>Calc!Y128</f>
        <v>0.12727452060783992</v>
      </c>
      <c r="J121" s="176">
        <f>Calc!AE128</f>
        <v>1617.5032533201988</v>
      </c>
    </row>
    <row r="122" spans="1:10" x14ac:dyDescent="0.2">
      <c r="A122" s="173">
        <f>Calc!A129</f>
        <v>1.2049900000000001E-2</v>
      </c>
      <c r="B122" s="173">
        <f>Calc!B129</f>
        <v>4.4233700000000003E-3</v>
      </c>
      <c r="C122" s="173">
        <f>Calc!C129</f>
        <v>1.23594E-3</v>
      </c>
      <c r="D122" s="173">
        <f>Calc!I129</f>
        <v>25960251382945.242</v>
      </c>
      <c r="E122" s="173">
        <f>Calc!P129</f>
        <v>2.5710289750521434E-5</v>
      </c>
      <c r="F122" s="174">
        <f>Calc!S129</f>
        <v>38894.931987952688</v>
      </c>
      <c r="G122" s="173">
        <f>Calc!O129</f>
        <v>25960251382945.242</v>
      </c>
      <c r="H122" s="177">
        <f>Calc!X129</f>
        <v>0.53722633469189962</v>
      </c>
      <c r="I122" s="178">
        <f>Calc!Y129</f>
        <v>0.11918973905541119</v>
      </c>
      <c r="J122" s="176">
        <f>Calc!AE129</f>
        <v>1617.5545857786333</v>
      </c>
    </row>
    <row r="123" spans="1:10" x14ac:dyDescent="0.2">
      <c r="A123" s="173">
        <f>Calc!A130</f>
        <v>1.21499E-2</v>
      </c>
      <c r="B123" s="173">
        <f>Calc!B130</f>
        <v>4.2524700000000004E-3</v>
      </c>
      <c r="C123" s="173">
        <f>Calc!C130</f>
        <v>1.1636699999999999E-3</v>
      </c>
      <c r="D123" s="173">
        <f>Calc!I130</f>
        <v>24952516219816.461</v>
      </c>
      <c r="E123" s="173">
        <f>Calc!P130</f>
        <v>2.6122090082508596E-5</v>
      </c>
      <c r="F123" s="174">
        <f>Calc!S130</f>
        <v>38281.774920866184</v>
      </c>
      <c r="G123" s="173">
        <f>Calc!O130</f>
        <v>24952516219816.461</v>
      </c>
      <c r="H123" s="177">
        <f>Calc!X130</f>
        <v>0.53620169655779659</v>
      </c>
      <c r="I123" s="178">
        <f>Calc!Y130</f>
        <v>0.11275696304915921</v>
      </c>
      <c r="J123" s="176">
        <f>Calc!AE130</f>
        <v>1617.8579157042659</v>
      </c>
    </row>
    <row r="124" spans="1:10" x14ac:dyDescent="0.2">
      <c r="A124" s="173">
        <f>Calc!A131</f>
        <v>1.2249899999999999E-2</v>
      </c>
      <c r="B124" s="173">
        <f>Calc!B131</f>
        <v>3.42239E-3</v>
      </c>
      <c r="C124" s="173">
        <f>Calc!C131</f>
        <v>1.09238E-3</v>
      </c>
      <c r="D124" s="173">
        <f>Calc!I131</f>
        <v>20061967632947.187</v>
      </c>
      <c r="E124" s="173">
        <f>Calc!P131</f>
        <v>2.2192111241382683E-5</v>
      </c>
      <c r="F124" s="174">
        <f>Calc!S131</f>
        <v>45061.056800591221</v>
      </c>
      <c r="G124" s="173">
        <f>Calc!O131</f>
        <v>20061967632947.187</v>
      </c>
      <c r="H124" s="177">
        <f>Calc!X131</f>
        <v>0.53056091804122085</v>
      </c>
      <c r="I124" s="178">
        <f>Calc!Y131</f>
        <v>0.10671165394567797</v>
      </c>
      <c r="J124" s="176">
        <f>Calc!AE131</f>
        <v>1619.4370638428397</v>
      </c>
    </row>
    <row r="125" spans="1:10" x14ac:dyDescent="0.2">
      <c r="A125" s="173">
        <f>Calc!A132</f>
        <v>1.23499E-2</v>
      </c>
      <c r="B125" s="173">
        <f>Calc!B132</f>
        <v>3.3833299999999999E-3</v>
      </c>
      <c r="C125" s="173">
        <f>Calc!C132</f>
        <v>1.01231E-3</v>
      </c>
      <c r="D125" s="173">
        <f>Calc!I132</f>
        <v>19832016491441.141</v>
      </c>
      <c r="E125" s="173">
        <f>Calc!P132</f>
        <v>0</v>
      </c>
      <c r="F125" s="174">
        <f>Calc!S132</f>
        <v>0</v>
      </c>
      <c r="G125" s="173">
        <f>Calc!O132</f>
        <v>19832016491441.141</v>
      </c>
      <c r="H125" s="177">
        <f>Calc!X132</f>
        <v>0.53026303841221201</v>
      </c>
      <c r="I125" s="178" t="str">
        <f>Calc!Y132</f>
        <v/>
      </c>
      <c r="J125" s="176">
        <f>Calc!AE132</f>
        <v>1619.5163400909303</v>
      </c>
    </row>
    <row r="126" spans="1:10" x14ac:dyDescent="0.2">
      <c r="A126" s="173">
        <f>Calc!A133</f>
        <v>1.24499E-2</v>
      </c>
      <c r="B126" s="173">
        <f>Calc!B133</f>
        <v>2.7632099999999999E-3</v>
      </c>
      <c r="C126" s="173">
        <f>Calc!C133</f>
        <v>9.3711E-4</v>
      </c>
      <c r="D126" s="173">
        <f>Calc!I133</f>
        <v>16183594725932.227</v>
      </c>
      <c r="E126" s="173">
        <f>Calc!P133</f>
        <v>0</v>
      </c>
      <c r="F126" s="174">
        <f>Calc!S133</f>
        <v>0</v>
      </c>
      <c r="G126" s="173">
        <f>Calc!O133</f>
        <v>16183594725932.227</v>
      </c>
      <c r="H126" s="177">
        <f>Calc!X133</f>
        <v>0.52501298055844436</v>
      </c>
      <c r="I126" s="178" t="str">
        <f>Calc!Y133</f>
        <v/>
      </c>
      <c r="J126" s="176">
        <f>Calc!AE133</f>
        <v>1620.8496800554456</v>
      </c>
    </row>
    <row r="127" spans="1:10" x14ac:dyDescent="0.2">
      <c r="A127" s="175"/>
      <c r="B127" s="175"/>
      <c r="C127" s="175"/>
      <c r="D127" s="175"/>
      <c r="E127" s="175"/>
      <c r="F127" s="175"/>
      <c r="G127" s="175"/>
      <c r="H127" s="175"/>
      <c r="I127" s="175"/>
      <c r="J127" s="175"/>
    </row>
    <row r="128" spans="1:10" x14ac:dyDescent="0.2">
      <c r="A128" s="175"/>
      <c r="B128" s="175"/>
      <c r="C128" s="175"/>
      <c r="D128" s="175"/>
      <c r="E128" s="175"/>
      <c r="F128" s="175"/>
      <c r="G128" s="175"/>
      <c r="H128" s="175"/>
      <c r="I128" s="175"/>
      <c r="J128" s="175"/>
    </row>
    <row r="129" spans="1:10" x14ac:dyDescent="0.2">
      <c r="A129" s="175"/>
      <c r="B129" s="175"/>
      <c r="C129" s="175"/>
      <c r="D129" s="175"/>
      <c r="E129" s="175"/>
      <c r="F129" s="175"/>
      <c r="G129" s="175"/>
      <c r="H129" s="175"/>
      <c r="I129" s="175"/>
      <c r="J129" s="175"/>
    </row>
    <row r="130" spans="1:10" x14ac:dyDescent="0.2">
      <c r="A130" s="175"/>
      <c r="B130" s="175"/>
      <c r="C130" s="175"/>
      <c r="D130" s="175"/>
      <c r="E130" s="175"/>
      <c r="F130" s="175"/>
      <c r="G130" s="175"/>
      <c r="H130" s="175"/>
      <c r="I130" s="175"/>
      <c r="J130" s="175"/>
    </row>
    <row r="131" spans="1:10" x14ac:dyDescent="0.2">
      <c r="A131" s="175"/>
      <c r="B131" s="175"/>
      <c r="C131" s="175"/>
      <c r="D131" s="175"/>
      <c r="E131" s="175"/>
      <c r="F131" s="175"/>
      <c r="G131" s="175"/>
      <c r="H131" s="175"/>
      <c r="I131" s="175"/>
      <c r="J131" s="175"/>
    </row>
    <row r="132" spans="1:10" x14ac:dyDescent="0.2">
      <c r="A132" s="175"/>
      <c r="B132" s="175"/>
      <c r="C132" s="175"/>
      <c r="D132" s="175"/>
      <c r="E132" s="175"/>
      <c r="F132" s="175"/>
      <c r="G132" s="175"/>
      <c r="H132" s="175"/>
      <c r="I132" s="175"/>
      <c r="J132" s="175"/>
    </row>
    <row r="133" spans="1:10" x14ac:dyDescent="0.2">
      <c r="A133" s="175"/>
      <c r="B133" s="175"/>
      <c r="C133" s="175"/>
      <c r="D133" s="175"/>
      <c r="E133" s="175"/>
      <c r="F133" s="175"/>
      <c r="G133" s="175"/>
      <c r="H133" s="175"/>
      <c r="I133" s="175"/>
      <c r="J133" s="175"/>
    </row>
    <row r="134" spans="1:10" x14ac:dyDescent="0.2">
      <c r="A134" s="175"/>
      <c r="B134" s="175"/>
      <c r="C134" s="175"/>
      <c r="D134" s="175"/>
      <c r="E134" s="175"/>
      <c r="F134" s="175"/>
      <c r="G134" s="175"/>
      <c r="H134" s="175"/>
      <c r="I134" s="175"/>
      <c r="J134" s="175"/>
    </row>
    <row r="135" spans="1:10" x14ac:dyDescent="0.2">
      <c r="A135" s="175"/>
      <c r="B135" s="175"/>
      <c r="C135" s="175"/>
      <c r="D135" s="175"/>
      <c r="E135" s="175"/>
      <c r="F135" s="175"/>
      <c r="G135" s="175"/>
      <c r="H135" s="175"/>
      <c r="I135" s="175"/>
      <c r="J135" s="175"/>
    </row>
    <row r="136" spans="1:10" x14ac:dyDescent="0.2">
      <c r="A136" s="175"/>
      <c r="B136" s="175"/>
      <c r="C136" s="175"/>
      <c r="D136" s="175"/>
      <c r="E136" s="175"/>
      <c r="F136" s="175"/>
      <c r="G136" s="175"/>
      <c r="H136" s="175"/>
      <c r="I136" s="175"/>
      <c r="J136" s="175"/>
    </row>
    <row r="137" spans="1:10" x14ac:dyDescent="0.2">
      <c r="A137" s="175"/>
      <c r="B137" s="175"/>
      <c r="C137" s="175"/>
      <c r="D137" s="175"/>
      <c r="E137" s="175"/>
      <c r="F137" s="175"/>
      <c r="G137" s="175"/>
      <c r="H137" s="175"/>
      <c r="I137" s="175"/>
      <c r="J137" s="175"/>
    </row>
    <row r="138" spans="1:10" x14ac:dyDescent="0.2">
      <c r="A138" s="175"/>
      <c r="B138" s="175"/>
      <c r="C138" s="175"/>
      <c r="D138" s="175"/>
      <c r="E138" s="175"/>
      <c r="F138" s="175"/>
      <c r="G138" s="175"/>
      <c r="H138" s="175"/>
      <c r="I138" s="175"/>
      <c r="J138" s="175"/>
    </row>
    <row r="139" spans="1:10" x14ac:dyDescent="0.2">
      <c r="A139" s="175"/>
      <c r="B139" s="175"/>
      <c r="C139" s="175"/>
      <c r="D139" s="175"/>
      <c r="E139" s="175"/>
      <c r="F139" s="175"/>
      <c r="G139" s="175"/>
      <c r="H139" s="175"/>
      <c r="I139" s="175"/>
      <c r="J139" s="175"/>
    </row>
    <row r="140" spans="1:10" x14ac:dyDescent="0.2">
      <c r="A140" s="175"/>
      <c r="B140" s="175"/>
      <c r="C140" s="175"/>
      <c r="D140" s="175"/>
      <c r="E140" s="175"/>
      <c r="F140" s="175"/>
      <c r="G140" s="175"/>
      <c r="H140" s="175"/>
      <c r="I140" s="175"/>
      <c r="J140" s="175"/>
    </row>
    <row r="141" spans="1:10" x14ac:dyDescent="0.2">
      <c r="A141" s="175"/>
      <c r="B141" s="175"/>
      <c r="C141" s="175"/>
      <c r="D141" s="175"/>
      <c r="E141" s="175"/>
      <c r="F141" s="175"/>
      <c r="G141" s="175"/>
      <c r="H141" s="175"/>
      <c r="I141" s="175"/>
      <c r="J141" s="175"/>
    </row>
    <row r="142" spans="1:10" x14ac:dyDescent="0.2">
      <c r="A142" s="175"/>
      <c r="B142" s="175"/>
      <c r="C142" s="175"/>
      <c r="D142" s="175"/>
      <c r="E142" s="175"/>
      <c r="F142" s="175"/>
      <c r="G142" s="175"/>
      <c r="H142" s="175"/>
      <c r="I142" s="175"/>
      <c r="J142" s="175"/>
    </row>
    <row r="143" spans="1:10" x14ac:dyDescent="0.2">
      <c r="A143" s="175"/>
      <c r="B143" s="175"/>
      <c r="C143" s="175"/>
      <c r="D143" s="175"/>
      <c r="E143" s="175"/>
      <c r="F143" s="175"/>
      <c r="G143" s="175"/>
      <c r="H143" s="175"/>
      <c r="I143" s="175"/>
      <c r="J143" s="175"/>
    </row>
    <row r="144" spans="1:10" x14ac:dyDescent="0.2">
      <c r="A144" s="175"/>
      <c r="B144" s="175"/>
      <c r="C144" s="175"/>
      <c r="D144" s="175"/>
      <c r="E144" s="175"/>
      <c r="F144" s="175"/>
      <c r="G144" s="175"/>
      <c r="H144" s="175"/>
      <c r="I144" s="175"/>
      <c r="J144" s="175"/>
    </row>
    <row r="145" spans="1:10" x14ac:dyDescent="0.2">
      <c r="A145" s="175"/>
      <c r="B145" s="175"/>
      <c r="C145" s="175"/>
      <c r="D145" s="175"/>
      <c r="E145" s="175"/>
      <c r="F145" s="175"/>
      <c r="G145" s="175"/>
      <c r="H145" s="175"/>
      <c r="I145" s="175"/>
      <c r="J145" s="175"/>
    </row>
    <row r="146" spans="1:10" x14ac:dyDescent="0.2">
      <c r="A146" s="175"/>
      <c r="B146" s="175"/>
      <c r="C146" s="175"/>
      <c r="D146" s="175"/>
      <c r="E146" s="175"/>
      <c r="F146" s="175"/>
      <c r="G146" s="175"/>
      <c r="H146" s="175"/>
      <c r="I146" s="175"/>
      <c r="J146" s="175"/>
    </row>
    <row r="147" spans="1:10" x14ac:dyDescent="0.2">
      <c r="A147" s="175"/>
      <c r="B147" s="175"/>
      <c r="C147" s="175"/>
      <c r="D147" s="175"/>
      <c r="E147" s="175"/>
      <c r="F147" s="175"/>
      <c r="G147" s="175"/>
      <c r="H147" s="175"/>
      <c r="I147" s="175"/>
      <c r="J147" s="175"/>
    </row>
    <row r="148" spans="1:10" x14ac:dyDescent="0.2">
      <c r="A148" s="175"/>
      <c r="B148" s="175"/>
      <c r="C148" s="175"/>
      <c r="D148" s="175"/>
      <c r="E148" s="175"/>
      <c r="F148" s="175"/>
      <c r="G148" s="175"/>
      <c r="H148" s="175"/>
      <c r="I148" s="175"/>
      <c r="J148" s="175"/>
    </row>
    <row r="149" spans="1:10" x14ac:dyDescent="0.2">
      <c r="A149" s="175"/>
      <c r="B149" s="175"/>
      <c r="C149" s="175"/>
      <c r="D149" s="175"/>
      <c r="E149" s="175"/>
      <c r="F149" s="175"/>
      <c r="G149" s="175"/>
      <c r="H149" s="175"/>
      <c r="I149" s="175"/>
      <c r="J149" s="175"/>
    </row>
    <row r="150" spans="1:10" x14ac:dyDescent="0.2">
      <c r="A150" s="175"/>
      <c r="B150" s="175"/>
      <c r="C150" s="175"/>
      <c r="D150" s="175"/>
      <c r="E150" s="175"/>
      <c r="F150" s="175"/>
      <c r="G150" s="175"/>
      <c r="H150" s="175"/>
      <c r="I150" s="175"/>
      <c r="J150" s="175"/>
    </row>
    <row r="151" spans="1:10" x14ac:dyDescent="0.2">
      <c r="A151" s="175"/>
      <c r="B151" s="175"/>
      <c r="C151" s="175"/>
      <c r="D151" s="175"/>
      <c r="E151" s="175"/>
      <c r="F151" s="175"/>
      <c r="G151" s="175"/>
      <c r="H151" s="175"/>
      <c r="I151" s="175"/>
      <c r="J151" s="175"/>
    </row>
    <row r="152" spans="1:10" x14ac:dyDescent="0.2">
      <c r="A152" s="175"/>
      <c r="B152" s="175"/>
      <c r="C152" s="175"/>
      <c r="D152" s="175"/>
      <c r="E152" s="175"/>
      <c r="F152" s="175"/>
      <c r="G152" s="175"/>
      <c r="H152" s="175"/>
      <c r="I152" s="175"/>
      <c r="J152" s="175"/>
    </row>
    <row r="153" spans="1:10" x14ac:dyDescent="0.2">
      <c r="A153" s="175"/>
      <c r="B153" s="175"/>
      <c r="C153" s="175"/>
      <c r="D153" s="175"/>
      <c r="E153" s="175"/>
      <c r="F153" s="175"/>
      <c r="G153" s="175"/>
      <c r="H153" s="175"/>
      <c r="I153" s="175"/>
      <c r="J153" s="175"/>
    </row>
    <row r="154" spans="1:10" x14ac:dyDescent="0.2">
      <c r="A154" s="175"/>
      <c r="B154" s="175"/>
      <c r="C154" s="175"/>
      <c r="D154" s="175"/>
      <c r="E154" s="175"/>
      <c r="F154" s="175"/>
      <c r="G154" s="175"/>
      <c r="H154" s="175"/>
      <c r="I154" s="175"/>
      <c r="J154" s="175"/>
    </row>
    <row r="155" spans="1:10" x14ac:dyDescent="0.2">
      <c r="A155" s="175"/>
      <c r="B155" s="175"/>
      <c r="C155" s="175"/>
      <c r="D155" s="175"/>
      <c r="E155" s="175"/>
      <c r="F155" s="175"/>
      <c r="G155" s="175"/>
      <c r="H155" s="175"/>
      <c r="I155" s="175"/>
      <c r="J155" s="175"/>
    </row>
    <row r="156" spans="1:10" x14ac:dyDescent="0.2">
      <c r="A156" s="175"/>
      <c r="B156" s="175"/>
      <c r="C156" s="175"/>
      <c r="D156" s="175"/>
      <c r="E156" s="175"/>
      <c r="F156" s="175"/>
      <c r="G156" s="175"/>
      <c r="H156" s="175"/>
      <c r="I156" s="175"/>
      <c r="J156" s="175"/>
    </row>
    <row r="157" spans="1:10" x14ac:dyDescent="0.2">
      <c r="A157" s="175"/>
      <c r="B157" s="175"/>
      <c r="C157" s="175"/>
      <c r="D157" s="175"/>
      <c r="E157" s="175"/>
      <c r="F157" s="175"/>
      <c r="G157" s="175"/>
      <c r="H157" s="175"/>
      <c r="I157" s="175"/>
      <c r="J157" s="175"/>
    </row>
    <row r="158" spans="1:10" x14ac:dyDescent="0.2">
      <c r="A158" s="175"/>
      <c r="B158" s="175"/>
      <c r="C158" s="175"/>
      <c r="D158" s="175"/>
      <c r="E158" s="175"/>
      <c r="F158" s="175"/>
      <c r="G158" s="175"/>
      <c r="H158" s="175"/>
      <c r="I158" s="175"/>
      <c r="J158" s="175"/>
    </row>
    <row r="159" spans="1:10" x14ac:dyDescent="0.2">
      <c r="A159" s="175"/>
      <c r="B159" s="175"/>
      <c r="C159" s="175"/>
      <c r="D159" s="175"/>
      <c r="E159" s="175"/>
      <c r="F159" s="175"/>
      <c r="G159" s="175"/>
      <c r="H159" s="175"/>
      <c r="I159" s="175"/>
      <c r="J159" s="175"/>
    </row>
    <row r="160" spans="1:10" x14ac:dyDescent="0.2">
      <c r="A160" s="175"/>
      <c r="B160" s="175"/>
      <c r="C160" s="175"/>
      <c r="D160" s="175"/>
      <c r="E160" s="175"/>
      <c r="F160" s="175"/>
      <c r="G160" s="175"/>
      <c r="H160" s="175"/>
      <c r="I160" s="175"/>
      <c r="J160" s="175"/>
    </row>
    <row r="161" spans="1:10" x14ac:dyDescent="0.2">
      <c r="A161" s="175"/>
      <c r="B161" s="175"/>
      <c r="C161" s="175"/>
      <c r="D161" s="175"/>
      <c r="E161" s="175"/>
      <c r="F161" s="175"/>
      <c r="G161" s="175"/>
      <c r="H161" s="175"/>
      <c r="I161" s="175"/>
      <c r="J161" s="175"/>
    </row>
    <row r="162" spans="1:10" x14ac:dyDescent="0.2">
      <c r="A162" s="175"/>
      <c r="B162" s="175"/>
      <c r="C162" s="175"/>
      <c r="D162" s="175"/>
      <c r="E162" s="175"/>
      <c r="F162" s="175"/>
      <c r="G162" s="175"/>
      <c r="H162" s="175"/>
      <c r="I162" s="175"/>
      <c r="J162" s="175"/>
    </row>
    <row r="163" spans="1:10" x14ac:dyDescent="0.2">
      <c r="A163" s="175"/>
      <c r="B163" s="175"/>
      <c r="C163" s="175"/>
      <c r="D163" s="175"/>
      <c r="E163" s="175"/>
      <c r="F163" s="175"/>
      <c r="G163" s="175"/>
      <c r="H163" s="175"/>
      <c r="I163" s="175"/>
      <c r="J163" s="175"/>
    </row>
    <row r="164" spans="1:10" x14ac:dyDescent="0.2">
      <c r="A164" s="175"/>
      <c r="B164" s="175"/>
      <c r="C164" s="175"/>
      <c r="D164" s="175"/>
      <c r="E164" s="175"/>
      <c r="F164" s="175"/>
      <c r="G164" s="175"/>
      <c r="H164" s="175"/>
      <c r="I164" s="175"/>
      <c r="J164" s="175"/>
    </row>
    <row r="165" spans="1:10" x14ac:dyDescent="0.2">
      <c r="A165" s="175"/>
      <c r="B165" s="175"/>
      <c r="C165" s="175"/>
      <c r="D165" s="175"/>
      <c r="E165" s="175"/>
      <c r="F165" s="175"/>
      <c r="G165" s="175"/>
      <c r="H165" s="175"/>
      <c r="I165" s="175"/>
      <c r="J165" s="175"/>
    </row>
    <row r="166" spans="1:10" x14ac:dyDescent="0.2">
      <c r="A166" s="175"/>
      <c r="B166" s="175"/>
      <c r="C166" s="175"/>
      <c r="D166" s="175"/>
      <c r="E166" s="175"/>
      <c r="F166" s="175"/>
      <c r="G166" s="175"/>
      <c r="H166" s="175"/>
      <c r="I166" s="175"/>
      <c r="J166" s="175"/>
    </row>
    <row r="167" spans="1:10" x14ac:dyDescent="0.2">
      <c r="A167" s="175"/>
      <c r="B167" s="175"/>
      <c r="C167" s="175"/>
      <c r="D167" s="175"/>
      <c r="E167" s="175"/>
      <c r="F167" s="175"/>
      <c r="G167" s="175"/>
      <c r="H167" s="175"/>
      <c r="I167" s="175"/>
      <c r="J167" s="175"/>
    </row>
    <row r="168" spans="1:10" x14ac:dyDescent="0.2">
      <c r="A168" s="175"/>
      <c r="B168" s="175"/>
      <c r="C168" s="175"/>
      <c r="D168" s="175"/>
      <c r="E168" s="175"/>
      <c r="F168" s="175"/>
      <c r="G168" s="175"/>
      <c r="H168" s="175"/>
      <c r="I168" s="175"/>
      <c r="J168" s="175"/>
    </row>
    <row r="169" spans="1:10" x14ac:dyDescent="0.2">
      <c r="A169" s="175"/>
      <c r="B169" s="175"/>
      <c r="C169" s="175"/>
      <c r="D169" s="175"/>
      <c r="E169" s="175"/>
      <c r="F169" s="175"/>
      <c r="G169" s="175"/>
      <c r="H169" s="175"/>
      <c r="I169" s="175"/>
      <c r="J169" s="175"/>
    </row>
    <row r="170" spans="1:10" x14ac:dyDescent="0.2">
      <c r="A170" s="175"/>
      <c r="B170" s="175"/>
      <c r="C170" s="175"/>
      <c r="D170" s="175"/>
      <c r="E170" s="175"/>
      <c r="F170" s="175"/>
      <c r="G170" s="175"/>
      <c r="H170" s="175"/>
      <c r="I170" s="175"/>
      <c r="J170" s="175"/>
    </row>
    <row r="171" spans="1:10" x14ac:dyDescent="0.2">
      <c r="A171" s="175"/>
      <c r="B171" s="175"/>
      <c r="C171" s="175"/>
      <c r="D171" s="175"/>
      <c r="E171" s="175"/>
      <c r="F171" s="175"/>
      <c r="G171" s="175"/>
      <c r="H171" s="175"/>
      <c r="I171" s="175"/>
      <c r="J171" s="175"/>
    </row>
    <row r="172" spans="1:10" x14ac:dyDescent="0.2">
      <c r="A172" s="175"/>
      <c r="B172" s="175"/>
      <c r="C172" s="175"/>
      <c r="D172" s="175"/>
      <c r="E172" s="175"/>
      <c r="F172" s="175"/>
      <c r="G172" s="175"/>
      <c r="H172" s="175"/>
      <c r="I172" s="175"/>
      <c r="J172" s="175"/>
    </row>
    <row r="173" spans="1:10" x14ac:dyDescent="0.2">
      <c r="A173" s="175"/>
      <c r="B173" s="175"/>
      <c r="C173" s="175"/>
      <c r="D173" s="175"/>
      <c r="E173" s="175"/>
      <c r="F173" s="175"/>
      <c r="G173" s="175"/>
      <c r="H173" s="175"/>
      <c r="I173" s="175"/>
      <c r="J173" s="175"/>
    </row>
    <row r="174" spans="1:10" x14ac:dyDescent="0.2">
      <c r="A174" s="175"/>
      <c r="B174" s="175"/>
      <c r="C174" s="175"/>
      <c r="D174" s="175"/>
      <c r="E174" s="175"/>
      <c r="F174" s="175"/>
      <c r="G174" s="175"/>
      <c r="H174" s="175"/>
      <c r="I174" s="175"/>
      <c r="J174" s="175"/>
    </row>
    <row r="175" spans="1:10" x14ac:dyDescent="0.2">
      <c r="A175" s="175"/>
      <c r="B175" s="175"/>
      <c r="C175" s="175"/>
      <c r="D175" s="175"/>
      <c r="E175" s="175"/>
      <c r="F175" s="175"/>
      <c r="G175" s="175"/>
      <c r="H175" s="175"/>
      <c r="I175" s="175"/>
      <c r="J175" s="175"/>
    </row>
    <row r="176" spans="1:10" x14ac:dyDescent="0.2">
      <c r="A176" s="175"/>
      <c r="B176" s="175"/>
      <c r="C176" s="175"/>
      <c r="D176" s="175"/>
      <c r="E176" s="175"/>
      <c r="F176" s="175"/>
      <c r="G176" s="175"/>
      <c r="H176" s="175"/>
      <c r="I176" s="175"/>
      <c r="J176" s="175"/>
    </row>
    <row r="177" spans="1:10" x14ac:dyDescent="0.2">
      <c r="A177" s="175"/>
      <c r="B177" s="175"/>
      <c r="C177" s="175"/>
      <c r="D177" s="175"/>
      <c r="E177" s="175"/>
      <c r="F177" s="175"/>
      <c r="G177" s="175"/>
      <c r="H177" s="175"/>
      <c r="I177" s="175"/>
      <c r="J177" s="175"/>
    </row>
    <row r="178" spans="1:10" x14ac:dyDescent="0.2">
      <c r="A178" s="175"/>
      <c r="B178" s="175"/>
      <c r="C178" s="175"/>
      <c r="D178" s="175"/>
      <c r="E178" s="175"/>
      <c r="F178" s="175"/>
      <c r="G178" s="175"/>
      <c r="H178" s="175"/>
      <c r="I178" s="175"/>
      <c r="J178" s="175"/>
    </row>
    <row r="179" spans="1:10" x14ac:dyDescent="0.2">
      <c r="A179" s="175"/>
      <c r="B179" s="175"/>
      <c r="C179" s="175"/>
      <c r="D179" s="175"/>
      <c r="E179" s="175"/>
      <c r="F179" s="175"/>
      <c r="G179" s="175"/>
      <c r="H179" s="175"/>
      <c r="I179" s="175"/>
      <c r="J179" s="175"/>
    </row>
    <row r="180" spans="1:10" x14ac:dyDescent="0.2">
      <c r="A180" s="175"/>
      <c r="B180" s="175"/>
      <c r="C180" s="175"/>
      <c r="D180" s="175"/>
      <c r="E180" s="175"/>
      <c r="F180" s="175"/>
      <c r="G180" s="175"/>
      <c r="H180" s="175"/>
      <c r="I180" s="175"/>
      <c r="J180" s="175"/>
    </row>
    <row r="181" spans="1:10" x14ac:dyDescent="0.2">
      <c r="A181" s="175"/>
      <c r="B181" s="175"/>
      <c r="C181" s="175"/>
      <c r="D181" s="175"/>
      <c r="E181" s="175"/>
      <c r="F181" s="175"/>
      <c r="G181" s="175"/>
      <c r="H181" s="175"/>
      <c r="I181" s="175"/>
      <c r="J181" s="175"/>
    </row>
    <row r="182" spans="1:10" x14ac:dyDescent="0.2">
      <c r="A182" s="175"/>
      <c r="B182" s="175"/>
      <c r="C182" s="175"/>
      <c r="D182" s="175"/>
      <c r="E182" s="175"/>
      <c r="F182" s="175"/>
      <c r="G182" s="175"/>
      <c r="H182" s="175"/>
      <c r="I182" s="175"/>
      <c r="J182" s="175"/>
    </row>
    <row r="183" spans="1:10" x14ac:dyDescent="0.2">
      <c r="A183" s="175"/>
      <c r="B183" s="175"/>
      <c r="C183" s="175"/>
      <c r="D183" s="175"/>
      <c r="E183" s="175"/>
      <c r="F183" s="175"/>
      <c r="G183" s="175"/>
      <c r="H183" s="175"/>
      <c r="I183" s="175"/>
      <c r="J183" s="175"/>
    </row>
    <row r="184" spans="1:10" x14ac:dyDescent="0.2">
      <c r="A184" s="175"/>
      <c r="B184" s="175"/>
      <c r="C184" s="175"/>
      <c r="D184" s="175"/>
      <c r="E184" s="175"/>
      <c r="F184" s="175"/>
      <c r="G184" s="175"/>
      <c r="H184" s="175"/>
      <c r="I184" s="175"/>
      <c r="J184" s="175"/>
    </row>
    <row r="185" spans="1:10" x14ac:dyDescent="0.2">
      <c r="A185" s="175"/>
      <c r="B185" s="175"/>
      <c r="C185" s="175"/>
      <c r="D185" s="175"/>
      <c r="E185" s="175"/>
      <c r="F185" s="175"/>
      <c r="G185" s="175"/>
      <c r="H185" s="175"/>
      <c r="I185" s="175"/>
      <c r="J185" s="175"/>
    </row>
    <row r="186" spans="1:10" x14ac:dyDescent="0.2">
      <c r="A186" s="175"/>
      <c r="B186" s="175"/>
      <c r="C186" s="175"/>
      <c r="D186" s="175"/>
      <c r="E186" s="175"/>
      <c r="F186" s="175"/>
      <c r="G186" s="175"/>
      <c r="H186" s="175"/>
      <c r="I186" s="175"/>
      <c r="J186" s="175"/>
    </row>
    <row r="187" spans="1:10" x14ac:dyDescent="0.2">
      <c r="A187" s="175"/>
      <c r="B187" s="175"/>
      <c r="C187" s="175"/>
      <c r="D187" s="175"/>
      <c r="E187" s="175"/>
      <c r="F187" s="175"/>
      <c r="G187" s="175"/>
      <c r="H187" s="175"/>
      <c r="I187" s="175"/>
      <c r="J187" s="175"/>
    </row>
    <row r="188" spans="1:10" x14ac:dyDescent="0.2">
      <c r="A188" s="175"/>
      <c r="B188" s="175"/>
      <c r="C188" s="175"/>
      <c r="D188" s="175"/>
      <c r="E188" s="175"/>
      <c r="F188" s="175"/>
      <c r="G188" s="175"/>
      <c r="H188" s="175"/>
      <c r="I188" s="175"/>
      <c r="J188" s="175"/>
    </row>
    <row r="189" spans="1:10" x14ac:dyDescent="0.2">
      <c r="A189" s="175"/>
      <c r="B189" s="175"/>
      <c r="C189" s="175"/>
      <c r="D189" s="175"/>
      <c r="E189" s="175"/>
      <c r="F189" s="175"/>
      <c r="G189" s="175"/>
      <c r="H189" s="175"/>
      <c r="I189" s="175"/>
      <c r="J189" s="175"/>
    </row>
    <row r="190" spans="1:10" x14ac:dyDescent="0.2">
      <c r="A190" s="175"/>
      <c r="B190" s="175"/>
      <c r="C190" s="175"/>
      <c r="D190" s="175"/>
      <c r="E190" s="175"/>
      <c r="F190" s="175"/>
      <c r="G190" s="175"/>
      <c r="H190" s="175"/>
      <c r="I190" s="175"/>
      <c r="J190" s="175"/>
    </row>
    <row r="191" spans="1:10" x14ac:dyDescent="0.2">
      <c r="A191" s="175"/>
      <c r="B191" s="175"/>
      <c r="C191" s="175"/>
      <c r="D191" s="175"/>
      <c r="E191" s="175"/>
      <c r="F191" s="175"/>
      <c r="G191" s="175"/>
      <c r="H191" s="175"/>
      <c r="I191" s="175"/>
      <c r="J191" s="175"/>
    </row>
    <row r="192" spans="1:10" x14ac:dyDescent="0.2">
      <c r="A192" s="175"/>
      <c r="B192" s="175"/>
      <c r="C192" s="175"/>
      <c r="D192" s="175"/>
      <c r="E192" s="175"/>
      <c r="F192" s="175"/>
      <c r="G192" s="175"/>
      <c r="H192" s="175"/>
      <c r="I192" s="175"/>
      <c r="J192" s="175"/>
    </row>
    <row r="193" spans="1:10" x14ac:dyDescent="0.2">
      <c r="A193" s="175"/>
      <c r="B193" s="175"/>
      <c r="C193" s="175"/>
      <c r="D193" s="175"/>
      <c r="E193" s="175"/>
      <c r="F193" s="175"/>
      <c r="G193" s="175"/>
      <c r="H193" s="175"/>
      <c r="I193" s="175"/>
      <c r="J193" s="175"/>
    </row>
    <row r="194" spans="1:10" x14ac:dyDescent="0.2">
      <c r="A194" s="175"/>
      <c r="B194" s="175"/>
      <c r="C194" s="175"/>
      <c r="D194" s="175"/>
      <c r="E194" s="175"/>
      <c r="F194" s="175"/>
      <c r="G194" s="175"/>
      <c r="H194" s="175"/>
      <c r="I194" s="175"/>
      <c r="J194" s="175"/>
    </row>
    <row r="195" spans="1:10" x14ac:dyDescent="0.2">
      <c r="A195" s="175"/>
      <c r="B195" s="175"/>
      <c r="C195" s="175"/>
      <c r="D195" s="175"/>
      <c r="E195" s="175"/>
      <c r="F195" s="175"/>
      <c r="G195" s="175"/>
      <c r="H195" s="175"/>
      <c r="I195" s="175"/>
      <c r="J195" s="175"/>
    </row>
    <row r="196" spans="1:10" x14ac:dyDescent="0.2">
      <c r="A196" s="175"/>
      <c r="B196" s="175"/>
      <c r="C196" s="175"/>
      <c r="D196" s="175"/>
      <c r="E196" s="175"/>
      <c r="F196" s="175"/>
      <c r="G196" s="175"/>
      <c r="H196" s="175"/>
      <c r="I196" s="175"/>
      <c r="J196" s="175"/>
    </row>
    <row r="197" spans="1:10" x14ac:dyDescent="0.2">
      <c r="A197" s="175"/>
      <c r="B197" s="175"/>
      <c r="C197" s="175"/>
      <c r="D197" s="175"/>
      <c r="E197" s="175"/>
      <c r="F197" s="175"/>
      <c r="G197" s="175"/>
      <c r="H197" s="175"/>
      <c r="I197" s="175"/>
      <c r="J197" s="175"/>
    </row>
    <row r="198" spans="1:10" x14ac:dyDescent="0.2">
      <c r="A198" s="175"/>
      <c r="B198" s="175"/>
      <c r="C198" s="175"/>
      <c r="D198" s="175"/>
      <c r="E198" s="175"/>
      <c r="F198" s="175"/>
      <c r="G198" s="175"/>
      <c r="H198" s="175"/>
      <c r="I198" s="175"/>
      <c r="J198" s="175"/>
    </row>
    <row r="199" spans="1:10" x14ac:dyDescent="0.2">
      <c r="A199" s="175"/>
      <c r="B199" s="175"/>
      <c r="C199" s="175"/>
      <c r="D199" s="175"/>
      <c r="E199" s="175"/>
      <c r="F199" s="175"/>
      <c r="G199" s="175"/>
      <c r="H199" s="175"/>
      <c r="I199" s="175"/>
      <c r="J199" s="175"/>
    </row>
    <row r="200" spans="1:10" x14ac:dyDescent="0.2">
      <c r="A200" s="175"/>
      <c r="B200" s="175"/>
      <c r="C200" s="175"/>
      <c r="D200" s="175"/>
      <c r="E200" s="175"/>
      <c r="F200" s="175"/>
      <c r="G200" s="175"/>
      <c r="H200" s="175"/>
      <c r="I200" s="175"/>
      <c r="J200" s="175"/>
    </row>
    <row r="201" spans="1:10" x14ac:dyDescent="0.2">
      <c r="A201" s="175"/>
      <c r="B201" s="175"/>
      <c r="C201" s="175"/>
      <c r="D201" s="175"/>
      <c r="E201" s="175"/>
      <c r="F201" s="175"/>
      <c r="G201" s="175"/>
      <c r="H201" s="175"/>
      <c r="I201" s="175"/>
      <c r="J201" s="175"/>
    </row>
    <row r="202" spans="1:10" x14ac:dyDescent="0.2">
      <c r="A202" s="175"/>
      <c r="B202" s="175"/>
      <c r="C202" s="175"/>
      <c r="D202" s="175"/>
      <c r="E202" s="175"/>
      <c r="F202" s="175"/>
      <c r="G202" s="175"/>
      <c r="H202" s="175"/>
      <c r="I202" s="175"/>
      <c r="J202" s="175"/>
    </row>
    <row r="203" spans="1:10" x14ac:dyDescent="0.2">
      <c r="A203" s="175"/>
      <c r="B203" s="175"/>
      <c r="C203" s="175"/>
      <c r="D203" s="175"/>
      <c r="E203" s="175"/>
      <c r="F203" s="175"/>
      <c r="G203" s="175"/>
      <c r="H203" s="175"/>
      <c r="I203" s="175"/>
      <c r="J203" s="175"/>
    </row>
    <row r="204" spans="1:10" x14ac:dyDescent="0.2">
      <c r="A204" s="175"/>
      <c r="B204" s="175"/>
      <c r="C204" s="175"/>
      <c r="D204" s="175"/>
      <c r="E204" s="175"/>
      <c r="F204" s="175"/>
      <c r="G204" s="175"/>
      <c r="H204" s="175"/>
      <c r="I204" s="175"/>
      <c r="J204" s="175"/>
    </row>
    <row r="205" spans="1:10" x14ac:dyDescent="0.2">
      <c r="A205" s="175"/>
      <c r="B205" s="175"/>
      <c r="C205" s="175"/>
      <c r="D205" s="175"/>
      <c r="E205" s="175"/>
      <c r="F205" s="175"/>
      <c r="G205" s="175"/>
      <c r="H205" s="175"/>
      <c r="I205" s="175"/>
      <c r="J205" s="175"/>
    </row>
    <row r="206" spans="1:10" x14ac:dyDescent="0.2">
      <c r="A206" s="175"/>
      <c r="B206" s="175"/>
      <c r="C206" s="175"/>
      <c r="D206" s="175"/>
      <c r="E206" s="175"/>
      <c r="F206" s="175"/>
      <c r="G206" s="175"/>
      <c r="H206" s="175"/>
      <c r="I206" s="175"/>
      <c r="J206" s="175"/>
    </row>
    <row r="207" spans="1:10" x14ac:dyDescent="0.2">
      <c r="A207" s="175"/>
      <c r="B207" s="175"/>
      <c r="C207" s="175"/>
      <c r="D207" s="175"/>
      <c r="E207" s="175"/>
      <c r="F207" s="175"/>
      <c r="G207" s="175"/>
      <c r="H207" s="175"/>
      <c r="I207" s="175"/>
      <c r="J207" s="175"/>
    </row>
    <row r="208" spans="1:10" x14ac:dyDescent="0.2">
      <c r="A208" s="175"/>
      <c r="B208" s="175"/>
      <c r="C208" s="175"/>
      <c r="D208" s="175"/>
      <c r="E208" s="175"/>
      <c r="F208" s="175"/>
      <c r="G208" s="175"/>
      <c r="H208" s="175"/>
      <c r="I208" s="175"/>
      <c r="J208" s="175"/>
    </row>
    <row r="209" spans="1:10" x14ac:dyDescent="0.2">
      <c r="A209" s="175"/>
      <c r="B209" s="175"/>
      <c r="C209" s="175"/>
      <c r="D209" s="175"/>
      <c r="E209" s="175"/>
      <c r="F209" s="175"/>
      <c r="G209" s="175"/>
      <c r="H209" s="175"/>
      <c r="I209" s="175"/>
      <c r="J209" s="175"/>
    </row>
    <row r="210" spans="1:10" x14ac:dyDescent="0.2">
      <c r="A210" s="175"/>
      <c r="B210" s="175"/>
      <c r="C210" s="175"/>
      <c r="D210" s="175"/>
      <c r="E210" s="175"/>
      <c r="F210" s="175"/>
      <c r="G210" s="175"/>
      <c r="H210" s="175"/>
      <c r="I210" s="175"/>
      <c r="J210" s="175"/>
    </row>
    <row r="211" spans="1:10" x14ac:dyDescent="0.2">
      <c r="A211" s="175"/>
      <c r="B211" s="175"/>
      <c r="C211" s="175"/>
      <c r="D211" s="175"/>
      <c r="E211" s="175"/>
      <c r="F211" s="175"/>
      <c r="G211" s="175"/>
      <c r="H211" s="175"/>
      <c r="I211" s="175"/>
      <c r="J211" s="175"/>
    </row>
    <row r="212" spans="1:10" x14ac:dyDescent="0.2">
      <c r="A212" s="175"/>
      <c r="B212" s="175"/>
      <c r="C212" s="175"/>
      <c r="D212" s="175"/>
      <c r="E212" s="175"/>
      <c r="F212" s="175"/>
      <c r="G212" s="175"/>
      <c r="H212" s="175"/>
      <c r="I212" s="175"/>
      <c r="J212" s="175"/>
    </row>
    <row r="213" spans="1:10" x14ac:dyDescent="0.2">
      <c r="A213" s="175"/>
      <c r="B213" s="175"/>
      <c r="C213" s="175"/>
      <c r="D213" s="175"/>
      <c r="E213" s="175"/>
      <c r="F213" s="175"/>
      <c r="G213" s="175"/>
      <c r="H213" s="175"/>
      <c r="I213" s="175"/>
      <c r="J213" s="175"/>
    </row>
    <row r="214" spans="1:10" x14ac:dyDescent="0.2">
      <c r="A214" s="175"/>
      <c r="B214" s="175"/>
      <c r="C214" s="175"/>
      <c r="D214" s="175"/>
      <c r="E214" s="175"/>
      <c r="F214" s="175"/>
      <c r="G214" s="175"/>
      <c r="H214" s="175"/>
      <c r="I214" s="175"/>
      <c r="J214" s="175"/>
    </row>
    <row r="215" spans="1:10" x14ac:dyDescent="0.2">
      <c r="A215" s="175"/>
      <c r="B215" s="175"/>
      <c r="C215" s="175"/>
      <c r="D215" s="175"/>
      <c r="E215" s="175"/>
      <c r="F215" s="175"/>
      <c r="G215" s="175"/>
      <c r="H215" s="175"/>
      <c r="I215" s="175"/>
      <c r="J215" s="175"/>
    </row>
    <row r="216" spans="1:10" x14ac:dyDescent="0.2">
      <c r="A216" s="175"/>
      <c r="B216" s="175"/>
      <c r="C216" s="175"/>
      <c r="D216" s="175"/>
      <c r="E216" s="175"/>
      <c r="F216" s="175"/>
      <c r="G216" s="175"/>
      <c r="H216" s="175"/>
      <c r="I216" s="175"/>
      <c r="J216" s="175"/>
    </row>
    <row r="217" spans="1:10" x14ac:dyDescent="0.2">
      <c r="A217" s="175"/>
      <c r="B217" s="175"/>
      <c r="C217" s="175"/>
      <c r="D217" s="175"/>
      <c r="E217" s="175"/>
      <c r="F217" s="175"/>
      <c r="G217" s="175"/>
      <c r="H217" s="175"/>
      <c r="I217" s="175"/>
      <c r="J217" s="175"/>
    </row>
    <row r="218" spans="1:10" x14ac:dyDescent="0.2">
      <c r="A218" s="175"/>
      <c r="B218" s="175"/>
      <c r="C218" s="175"/>
      <c r="D218" s="175"/>
      <c r="E218" s="175"/>
      <c r="F218" s="175"/>
      <c r="G218" s="175"/>
      <c r="H218" s="175"/>
      <c r="I218" s="175"/>
      <c r="J218" s="175"/>
    </row>
    <row r="219" spans="1:10" x14ac:dyDescent="0.2">
      <c r="A219" s="175"/>
      <c r="B219" s="175"/>
      <c r="C219" s="175"/>
      <c r="D219" s="175"/>
      <c r="E219" s="175"/>
      <c r="F219" s="175"/>
      <c r="G219" s="175"/>
      <c r="H219" s="175"/>
      <c r="I219" s="175"/>
      <c r="J219" s="175"/>
    </row>
    <row r="220" spans="1:10" x14ac:dyDescent="0.2">
      <c r="A220" s="175"/>
      <c r="B220" s="175"/>
      <c r="C220" s="175"/>
      <c r="D220" s="175"/>
      <c r="E220" s="175"/>
      <c r="F220" s="175"/>
      <c r="G220" s="175"/>
      <c r="H220" s="175"/>
      <c r="I220" s="175"/>
      <c r="J220" s="175"/>
    </row>
    <row r="221" spans="1:10" x14ac:dyDescent="0.2">
      <c r="A221" s="175"/>
      <c r="B221" s="175"/>
      <c r="C221" s="175"/>
      <c r="D221" s="175"/>
      <c r="E221" s="175"/>
      <c r="F221" s="175"/>
      <c r="G221" s="175"/>
      <c r="H221" s="175"/>
      <c r="I221" s="175"/>
      <c r="J221" s="175"/>
    </row>
    <row r="222" spans="1:10" x14ac:dyDescent="0.2">
      <c r="A222" s="175"/>
      <c r="B222" s="175"/>
      <c r="C222" s="175"/>
      <c r="D222" s="175"/>
      <c r="E222" s="175"/>
      <c r="F222" s="175"/>
      <c r="G222" s="175"/>
      <c r="H222" s="175"/>
      <c r="I222" s="175"/>
      <c r="J222" s="175"/>
    </row>
    <row r="223" spans="1:10" x14ac:dyDescent="0.2">
      <c r="A223" s="175"/>
      <c r="B223" s="175"/>
      <c r="C223" s="175"/>
      <c r="D223" s="175"/>
      <c r="E223" s="175"/>
      <c r="F223" s="175"/>
      <c r="G223" s="175"/>
      <c r="H223" s="175"/>
      <c r="I223" s="175"/>
      <c r="J223" s="175"/>
    </row>
    <row r="224" spans="1:10" x14ac:dyDescent="0.2">
      <c r="A224" s="175"/>
      <c r="B224" s="175"/>
      <c r="C224" s="175"/>
      <c r="D224" s="175"/>
      <c r="E224" s="175"/>
      <c r="F224" s="175"/>
      <c r="G224" s="175"/>
      <c r="H224" s="175"/>
      <c r="I224" s="175"/>
      <c r="J224" s="175"/>
    </row>
    <row r="225" spans="1:10" x14ac:dyDescent="0.2">
      <c r="A225" s="175"/>
      <c r="B225" s="175"/>
      <c r="C225" s="175"/>
      <c r="D225" s="175"/>
      <c r="E225" s="175"/>
      <c r="F225" s="175"/>
      <c r="G225" s="175"/>
      <c r="H225" s="175"/>
      <c r="I225" s="175"/>
      <c r="J225" s="175"/>
    </row>
    <row r="226" spans="1:10" x14ac:dyDescent="0.2">
      <c r="A226" s="175"/>
      <c r="B226" s="175"/>
      <c r="C226" s="175"/>
      <c r="D226" s="175"/>
      <c r="E226" s="175"/>
      <c r="F226" s="175"/>
      <c r="G226" s="175"/>
      <c r="H226" s="175"/>
      <c r="I226" s="175"/>
      <c r="J226" s="17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47"/>
  <sheetViews>
    <sheetView workbookViewId="0">
      <selection activeCell="H5" sqref="H5"/>
    </sheetView>
  </sheetViews>
  <sheetFormatPr defaultRowHeight="12.75" x14ac:dyDescent="0.2"/>
  <cols>
    <col min="1" max="1" width="9.140625" style="4"/>
    <col min="2" max="2" width="22.42578125" style="4" customWidth="1"/>
    <col min="3" max="3" width="12.28515625" style="4" customWidth="1"/>
    <col min="4" max="4" width="17.7109375" style="4" customWidth="1"/>
    <col min="5" max="5" width="13.140625" style="4" customWidth="1"/>
    <col min="6" max="6" width="11.85546875" style="4" customWidth="1"/>
    <col min="7" max="7" width="19.7109375" style="4" customWidth="1"/>
    <col min="8" max="8" width="13.28515625" style="4" customWidth="1"/>
    <col min="9" max="9" width="12.7109375" style="4" customWidth="1"/>
    <col min="10" max="11" width="9.140625" style="4"/>
    <col min="12" max="12" width="12.42578125" style="4" bestFit="1" customWidth="1"/>
    <col min="13" max="16384" width="9.140625" style="4"/>
  </cols>
  <sheetData>
    <row r="1" spans="1:13" ht="14.25" customHeight="1" x14ac:dyDescent="0.2"/>
    <row r="2" spans="1:13" x14ac:dyDescent="0.2">
      <c r="B2" s="12" t="s">
        <v>225</v>
      </c>
      <c r="C2" s="13" t="s">
        <v>226</v>
      </c>
      <c r="D2" s="13" t="s">
        <v>202</v>
      </c>
      <c r="E2" s="12" t="s">
        <v>227</v>
      </c>
    </row>
    <row r="3" spans="1:13" ht="15.75" customHeight="1" x14ac:dyDescent="0.2">
      <c r="B3" s="4" t="s">
        <v>51</v>
      </c>
      <c r="C3" s="15">
        <v>5</v>
      </c>
      <c r="D3" s="7">
        <f>VLOOKUP(C3,$D$30:$E$37,2,FALSE)</f>
        <v>2</v>
      </c>
      <c r="E3" s="4" t="str">
        <f>" /pcgain="&amp;D3</f>
        <v xml:space="preserve"> /pcgain=2</v>
      </c>
      <c r="F3" s="5"/>
      <c r="G3" s="4" t="s">
        <v>50</v>
      </c>
      <c r="H3" s="8" t="s">
        <v>285</v>
      </c>
    </row>
    <row r="4" spans="1:13" x14ac:dyDescent="0.2">
      <c r="B4" s="4" t="s">
        <v>52</v>
      </c>
      <c r="C4" s="15">
        <v>1</v>
      </c>
      <c r="D4" s="7">
        <f>VLOOKUP(C4,$D$30:$E$37,2,FALSE)</f>
        <v>10</v>
      </c>
      <c r="E4" s="4" t="str">
        <f>" /refgain="&amp;D4</f>
        <v xml:space="preserve"> /refgain=10</v>
      </c>
      <c r="F4" s="5"/>
      <c r="G4" s="9" t="s">
        <v>231</v>
      </c>
      <c r="H4" s="9" t="str">
        <f>PathName&amp;PCGainFlag&amp;RefGainFlag&amp;BaseGainFlag&amp;xferFlag&amp;flashWaitFlag&amp;numFlashesFlag&amp;TimeScaleFlags&amp;cutoffflag</f>
        <v>C:\lifetime\lifetime.exe /subbase=2 /basetime_us=20000 /pcgain=2 /refgain=10 /basegain=1 /xfer=125 /flashwait_s=6 /numflashes=1 /pulselength=12500 /cutoff=12500</v>
      </c>
      <c r="L4" s="8"/>
    </row>
    <row r="5" spans="1:13" x14ac:dyDescent="0.2">
      <c r="B5" s="4" t="s">
        <v>53</v>
      </c>
      <c r="C5" s="15">
        <v>10</v>
      </c>
      <c r="D5" s="7">
        <f>VLOOKUP(C5,$D$30:$E$37,2,FALSE)</f>
        <v>1</v>
      </c>
      <c r="E5" s="4" t="str">
        <f>" /basegain="&amp;D5</f>
        <v xml:space="preserve"> /basegain=1</v>
      </c>
      <c r="G5" s="18" t="s">
        <v>230</v>
      </c>
      <c r="H5" s="18" t="str">
        <f>"C:\lifetime\lifetime.exe /baseonly=true /autoexit=true"&amp;E12</f>
        <v>C:\lifetime\lifetime.exe /baseonly=true /autoexit=true /basegain=10</v>
      </c>
    </row>
    <row r="6" spans="1:13" x14ac:dyDescent="0.2">
      <c r="B6" s="8" t="s">
        <v>259</v>
      </c>
      <c r="C6" s="16">
        <f>PulseLength</f>
        <v>12500</v>
      </c>
      <c r="D6" s="7"/>
      <c r="E6" s="4" t="str">
        <f>" /pulselength="&amp;PulseLength</f>
        <v xml:space="preserve"> /pulselength=12500</v>
      </c>
      <c r="G6" s="37" t="s">
        <v>309</v>
      </c>
      <c r="H6" s="38" t="s">
        <v>310</v>
      </c>
    </row>
    <row r="7" spans="1:13" x14ac:dyDescent="0.2">
      <c r="B7" s="8" t="s">
        <v>245</v>
      </c>
      <c r="C7" s="16">
        <f>TSampleTime</f>
        <v>100000</v>
      </c>
      <c r="D7" s="7"/>
      <c r="E7" s="4" t="str">
        <f>" /ltransient="&amp;C7</f>
        <v xml:space="preserve"> /ltransient=100000</v>
      </c>
      <c r="G7" s="8" t="s">
        <v>260</v>
      </c>
      <c r="H7" s="4" t="str">
        <f>IF(OR(AnalysisMode = "Transient",AnalysisMode = "Generalized (1/64)"),ltransientFlag&amp;ntransientFlag,PulseLengthFlag)</f>
        <v xml:space="preserve"> /pulselength=12500</v>
      </c>
    </row>
    <row r="8" spans="1:13" x14ac:dyDescent="0.2">
      <c r="B8" s="8" t="s">
        <v>250</v>
      </c>
      <c r="C8" s="16">
        <f>TNumTaus</f>
        <v>3</v>
      </c>
      <c r="D8" s="7"/>
      <c r="E8" s="4" t="str">
        <f>" /ntransient="&amp;C8</f>
        <v xml:space="preserve"> /ntransient=3</v>
      </c>
    </row>
    <row r="9" spans="1:13" x14ac:dyDescent="0.2">
      <c r="A9" s="7"/>
      <c r="B9" s="5" t="s">
        <v>54</v>
      </c>
      <c r="C9" s="15">
        <v>125</v>
      </c>
      <c r="D9" s="7"/>
      <c r="E9" s="8" t="str">
        <f>" /xfer="&amp;C9</f>
        <v xml:space="preserve"> /xfer=125</v>
      </c>
      <c r="J9" s="5"/>
      <c r="L9" s="5"/>
      <c r="M9" s="5"/>
    </row>
    <row r="10" spans="1:13" x14ac:dyDescent="0.2">
      <c r="A10" s="7"/>
      <c r="B10" s="6" t="s">
        <v>82</v>
      </c>
      <c r="C10" s="15">
        <f>IF(OR(AnalysisMode="Transient",AnalysisMode="Generalized (1/64)"),TransFlashDelay,QSSFlashDelay)</f>
        <v>6</v>
      </c>
      <c r="D10" s="7"/>
      <c r="E10" s="4" t="str">
        <f>" /flashwait_s="&amp;C10</f>
        <v xml:space="preserve"> /flashwait_s=6</v>
      </c>
      <c r="J10" s="5"/>
    </row>
    <row r="11" spans="1:13" x14ac:dyDescent="0.2">
      <c r="A11" s="7"/>
      <c r="B11" s="36" t="s">
        <v>240</v>
      </c>
      <c r="C11" s="15">
        <v>1</v>
      </c>
      <c r="D11" s="7"/>
      <c r="E11" s="4" t="str">
        <f>" /numflashes="&amp;C11</f>
        <v xml:space="preserve"> /numflashes=1</v>
      </c>
      <c r="J11" s="5"/>
    </row>
    <row r="12" spans="1:13" x14ac:dyDescent="0.2">
      <c r="A12" s="7"/>
      <c r="B12" s="8" t="s">
        <v>228</v>
      </c>
      <c r="C12" s="14">
        <f>AirVoltageRange</f>
        <v>1</v>
      </c>
      <c r="D12" s="7">
        <f>VLOOKUP(C12,$D$30:$E$37,2,FALSE)</f>
        <v>10</v>
      </c>
      <c r="E12" s="4" t="str">
        <f>" /basegain="&amp;D12</f>
        <v xml:space="preserve"> /basegain=10</v>
      </c>
      <c r="J12" s="5"/>
      <c r="L12" s="5"/>
    </row>
    <row r="13" spans="1:13" x14ac:dyDescent="0.2">
      <c r="A13" s="7"/>
      <c r="B13" s="8" t="s">
        <v>334</v>
      </c>
      <c r="C13" s="7">
        <f>IF(OR(AnalysisMode = "Transient",AnalysisMode = "Generalized (1/64)"),200,PulseLength)</f>
        <v>12500</v>
      </c>
      <c r="E13" s="4" t="str">
        <f>" /cutoff="&amp;C13</f>
        <v xml:space="preserve"> /cutoff=12500</v>
      </c>
    </row>
    <row r="14" spans="1:13" x14ac:dyDescent="0.2">
      <c r="A14" s="7"/>
      <c r="D14" s="9"/>
      <c r="E14" s="9"/>
      <c r="F14" s="9"/>
      <c r="G14" s="9"/>
      <c r="H14" s="9"/>
      <c r="I14" s="9"/>
      <c r="J14" s="9"/>
      <c r="K14" s="9"/>
    </row>
    <row r="15" spans="1:13" x14ac:dyDescent="0.2">
      <c r="A15" s="7"/>
      <c r="B15" s="12" t="s">
        <v>232</v>
      </c>
      <c r="C15" s="31" t="s">
        <v>233</v>
      </c>
      <c r="D15" s="32"/>
      <c r="E15" s="33" t="s">
        <v>234</v>
      </c>
      <c r="F15" s="20"/>
    </row>
    <row r="16" spans="1:13" x14ac:dyDescent="0.2">
      <c r="A16" s="7"/>
      <c r="B16" s="16" t="s">
        <v>19</v>
      </c>
      <c r="C16" s="34" t="s">
        <v>235</v>
      </c>
      <c r="D16" s="35" t="s">
        <v>236</v>
      </c>
      <c r="E16" s="34" t="s">
        <v>235</v>
      </c>
      <c r="F16" s="35" t="s">
        <v>236</v>
      </c>
      <c r="G16" s="17" t="s">
        <v>239</v>
      </c>
    </row>
    <row r="17" spans="1:7" x14ac:dyDescent="0.2">
      <c r="A17" s="7"/>
      <c r="B17" s="7">
        <v>0</v>
      </c>
      <c r="C17" s="21">
        <f>C3</f>
        <v>5</v>
      </c>
      <c r="D17" s="22">
        <f>C17*G17</f>
        <v>2</v>
      </c>
      <c r="E17" s="21">
        <f>C4</f>
        <v>1</v>
      </c>
      <c r="F17" s="22">
        <f>E17*G17</f>
        <v>0.4</v>
      </c>
      <c r="G17" s="29">
        <v>0.4</v>
      </c>
    </row>
    <row r="18" spans="1:7" x14ac:dyDescent="0.2">
      <c r="A18" s="7"/>
      <c r="B18" s="19">
        <f>Calc!A133</f>
        <v>1.24499E-2</v>
      </c>
      <c r="C18" s="21">
        <f>C3</f>
        <v>5</v>
      </c>
      <c r="D18" s="22">
        <f>C18*G17</f>
        <v>2</v>
      </c>
      <c r="E18" s="21">
        <f>C4</f>
        <v>1</v>
      </c>
      <c r="F18" s="22">
        <f>E18*G17</f>
        <v>0.4</v>
      </c>
    </row>
    <row r="19" spans="1:7" x14ac:dyDescent="0.2">
      <c r="A19" s="7"/>
      <c r="C19" s="23"/>
      <c r="D19" s="24"/>
      <c r="E19" s="23"/>
      <c r="F19" s="24"/>
    </row>
    <row r="20" spans="1:7" x14ac:dyDescent="0.2">
      <c r="A20" s="7"/>
      <c r="B20" s="17" t="s">
        <v>237</v>
      </c>
      <c r="C20" s="23"/>
      <c r="D20" s="24"/>
      <c r="E20" s="23"/>
      <c r="F20" s="24"/>
    </row>
    <row r="21" spans="1:7" x14ac:dyDescent="0.2">
      <c r="A21" s="7"/>
      <c r="B21" s="8" t="s">
        <v>238</v>
      </c>
      <c r="C21" s="25">
        <f>Calc!B150</f>
        <v>3.9059900000000001</v>
      </c>
      <c r="D21" s="24"/>
      <c r="E21" s="28">
        <f>Calc!B152</f>
        <v>0.62831099999999995</v>
      </c>
      <c r="F21" s="24"/>
    </row>
    <row r="22" spans="1:7" x14ac:dyDescent="0.2">
      <c r="A22" s="7"/>
      <c r="B22" s="8" t="s">
        <v>252</v>
      </c>
      <c r="C22" s="23" t="b">
        <f>AND(C21&gt;0.95*Command!C17,D3&lt;&gt;-1)</f>
        <v>0</v>
      </c>
      <c r="D22" s="24"/>
      <c r="E22" s="23" t="b">
        <f>IF(AnalysisMode = "Transient", FALSE, AND(E21&gt;0.95*E17,D4&lt;&gt;10))</f>
        <v>0</v>
      </c>
      <c r="F22" s="24"/>
    </row>
    <row r="23" spans="1:7" x14ac:dyDescent="0.2">
      <c r="A23" s="7"/>
      <c r="B23" s="8" t="s">
        <v>253</v>
      </c>
      <c r="C23" s="23" t="b">
        <f>AND(C21&lt;Command!D17,D3&lt;&gt;50)</f>
        <v>0</v>
      </c>
      <c r="D23" s="24"/>
      <c r="E23" s="23" t="b">
        <f>IF(AnalysisMode = "Transient", IF(D4&lt;&gt;50,TRUE,FALSE),AND(E21&lt;F17,D4&lt;&gt;50))</f>
        <v>0</v>
      </c>
      <c r="F23" s="24"/>
    </row>
    <row r="24" spans="1:7" x14ac:dyDescent="0.2">
      <c r="A24" s="7"/>
      <c r="B24" s="30"/>
      <c r="C24" s="23"/>
      <c r="D24" s="24"/>
      <c r="E24" s="23"/>
      <c r="F24" s="24"/>
      <c r="G24" s="5"/>
    </row>
    <row r="25" spans="1:7" x14ac:dyDescent="0.2">
      <c r="A25" s="7"/>
      <c r="B25" s="8"/>
      <c r="C25" s="26"/>
      <c r="D25" s="27"/>
      <c r="E25" s="26"/>
      <c r="F25" s="27"/>
      <c r="G25" s="5"/>
    </row>
    <row r="26" spans="1:7" x14ac:dyDescent="0.2">
      <c r="A26" s="7"/>
    </row>
    <row r="28" spans="1:7" x14ac:dyDescent="0.2">
      <c r="B28" s="1" t="s">
        <v>222</v>
      </c>
    </row>
    <row r="29" spans="1:7" x14ac:dyDescent="0.2">
      <c r="B29" s="3" t="b">
        <v>1</v>
      </c>
      <c r="D29" s="11" t="s">
        <v>203</v>
      </c>
      <c r="E29" s="11" t="s">
        <v>202</v>
      </c>
    </row>
    <row r="30" spans="1:7" x14ac:dyDescent="0.2">
      <c r="B30" s="3" t="b">
        <v>0</v>
      </c>
      <c r="D30" s="10">
        <v>0.2</v>
      </c>
      <c r="E30" s="10">
        <v>50</v>
      </c>
    </row>
    <row r="31" spans="1:7" x14ac:dyDescent="0.2">
      <c r="B31" s="1"/>
      <c r="D31" s="10">
        <v>0.5</v>
      </c>
      <c r="E31" s="10">
        <v>20</v>
      </c>
    </row>
    <row r="32" spans="1:7" x14ac:dyDescent="0.2">
      <c r="B32" s="2" t="s">
        <v>287</v>
      </c>
      <c r="D32" s="10">
        <v>1</v>
      </c>
      <c r="E32" s="10">
        <v>10</v>
      </c>
    </row>
    <row r="33" spans="2:5" x14ac:dyDescent="0.2">
      <c r="B33" s="2" t="s">
        <v>286</v>
      </c>
      <c r="D33" s="10">
        <v>2</v>
      </c>
      <c r="E33" s="10">
        <v>5</v>
      </c>
    </row>
    <row r="34" spans="2:5" x14ac:dyDescent="0.2">
      <c r="B34" s="2" t="s">
        <v>223</v>
      </c>
      <c r="D34" s="10">
        <v>5</v>
      </c>
      <c r="E34" s="10">
        <v>2</v>
      </c>
    </row>
    <row r="35" spans="2:5" x14ac:dyDescent="0.2">
      <c r="B35" s="2" t="s">
        <v>65</v>
      </c>
      <c r="D35" s="10">
        <v>10</v>
      </c>
      <c r="E35" s="10">
        <v>1</v>
      </c>
    </row>
    <row r="36" spans="2:5" x14ac:dyDescent="0.2">
      <c r="B36" s="1"/>
      <c r="D36" s="10">
        <v>20</v>
      </c>
      <c r="E36" s="10">
        <v>-1</v>
      </c>
    </row>
    <row r="37" spans="2:5" x14ac:dyDescent="0.2">
      <c r="B37" s="2" t="s">
        <v>26</v>
      </c>
      <c r="D37" s="10">
        <v>40</v>
      </c>
      <c r="E37" s="10">
        <v>-2</v>
      </c>
    </row>
    <row r="38" spans="2:5" x14ac:dyDescent="0.2">
      <c r="B38" s="2" t="s">
        <v>224</v>
      </c>
    </row>
    <row r="40" spans="2:5" x14ac:dyDescent="0.2">
      <c r="B40" s="11" t="s">
        <v>289</v>
      </c>
    </row>
    <row r="41" spans="2:5" x14ac:dyDescent="0.2">
      <c r="B41" s="11" t="s">
        <v>290</v>
      </c>
    </row>
    <row r="43" spans="2:5" x14ac:dyDescent="0.2">
      <c r="B43" s="11" t="s">
        <v>291</v>
      </c>
    </row>
    <row r="44" spans="2:5" x14ac:dyDescent="0.2">
      <c r="B44" s="11" t="s">
        <v>292</v>
      </c>
    </row>
    <row r="46" spans="2:5" x14ac:dyDescent="0.2">
      <c r="B46" s="11" t="s">
        <v>318</v>
      </c>
    </row>
    <row r="47" spans="2:5" x14ac:dyDescent="0.2">
      <c r="B47" s="11" t="s">
        <v>319</v>
      </c>
    </row>
  </sheetData>
  <phoneticPr fontId="0" type="noConversion"/>
  <dataValidations count="1">
    <dataValidation type="list" allowBlank="1" showInputMessage="1" showErrorMessage="1" sqref="C3:C5">
      <formula1>$D$30:$D$37</formula1>
    </dataValidation>
  </dataValidations>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AG127"/>
  <sheetViews>
    <sheetView workbookViewId="0">
      <selection sqref="A1:XFD1048576"/>
    </sheetView>
  </sheetViews>
  <sheetFormatPr defaultRowHeight="12.75" x14ac:dyDescent="0.2"/>
  <cols>
    <col min="1" max="16384" width="9.140625" style="83"/>
  </cols>
  <sheetData>
    <row r="1" spans="2:33" x14ac:dyDescent="0.2">
      <c r="B1" s="83">
        <v>190</v>
      </c>
      <c r="C1" s="179"/>
      <c r="D1" s="83">
        <v>180</v>
      </c>
      <c r="E1" s="180"/>
      <c r="F1" s="83">
        <v>170</v>
      </c>
      <c r="G1" s="181"/>
      <c r="H1" s="83">
        <v>160</v>
      </c>
      <c r="I1" s="182"/>
      <c r="J1" s="83">
        <v>145</v>
      </c>
      <c r="K1" s="183"/>
      <c r="L1" s="83">
        <v>135</v>
      </c>
      <c r="M1" s="184"/>
      <c r="N1" s="83">
        <v>125</v>
      </c>
      <c r="O1" s="185"/>
      <c r="P1" s="83">
        <v>115</v>
      </c>
      <c r="Q1" s="186"/>
      <c r="R1" s="83">
        <v>105</v>
      </c>
      <c r="S1" s="187"/>
      <c r="T1" s="83">
        <v>95</v>
      </c>
      <c r="U1" s="188"/>
      <c r="V1" s="83">
        <v>80</v>
      </c>
      <c r="W1" s="189"/>
      <c r="X1" s="83">
        <v>70</v>
      </c>
      <c r="Y1" s="190"/>
      <c r="Z1" s="83">
        <v>60</v>
      </c>
      <c r="AA1" s="191"/>
      <c r="AB1" s="83">
        <v>50</v>
      </c>
      <c r="AC1" s="192"/>
      <c r="AD1" s="83">
        <v>36</v>
      </c>
      <c r="AE1" s="193"/>
      <c r="AG1" s="194"/>
    </row>
    <row r="2" spans="2:33" x14ac:dyDescent="0.2">
      <c r="B2" s="83" t="s">
        <v>11</v>
      </c>
      <c r="C2" s="83" t="s">
        <v>181</v>
      </c>
      <c r="D2" s="83" t="s">
        <v>11</v>
      </c>
      <c r="E2" s="83" t="s">
        <v>181</v>
      </c>
      <c r="F2" s="83" t="s">
        <v>11</v>
      </c>
      <c r="G2" s="83" t="s">
        <v>181</v>
      </c>
      <c r="H2" s="83" t="s">
        <v>11</v>
      </c>
      <c r="I2" s="83" t="s">
        <v>181</v>
      </c>
      <c r="J2" s="83" t="s">
        <v>11</v>
      </c>
      <c r="K2" s="83" t="s">
        <v>181</v>
      </c>
      <c r="L2" s="83" t="s">
        <v>11</v>
      </c>
      <c r="M2" s="83" t="s">
        <v>181</v>
      </c>
      <c r="N2" s="83" t="s">
        <v>11</v>
      </c>
      <c r="O2" s="83" t="s">
        <v>181</v>
      </c>
      <c r="P2" s="83" t="s">
        <v>11</v>
      </c>
      <c r="Q2" s="83" t="s">
        <v>181</v>
      </c>
      <c r="R2" s="83" t="s">
        <v>11</v>
      </c>
      <c r="S2" s="83" t="s">
        <v>181</v>
      </c>
      <c r="T2" s="83" t="s">
        <v>11</v>
      </c>
      <c r="U2" s="83" t="s">
        <v>181</v>
      </c>
      <c r="V2" s="83" t="s">
        <v>11</v>
      </c>
      <c r="W2" s="83" t="s">
        <v>181</v>
      </c>
      <c r="X2" s="83" t="s">
        <v>11</v>
      </c>
      <c r="Y2" s="83" t="s">
        <v>181</v>
      </c>
      <c r="Z2" s="83" t="s">
        <v>11</v>
      </c>
      <c r="AA2" s="83" t="s">
        <v>181</v>
      </c>
      <c r="AB2" s="83" t="s">
        <v>11</v>
      </c>
      <c r="AC2" s="83" t="s">
        <v>181</v>
      </c>
      <c r="AD2" s="83" t="s">
        <v>11</v>
      </c>
      <c r="AE2" s="83" t="s">
        <v>181</v>
      </c>
    </row>
    <row r="3" spans="2:33" x14ac:dyDescent="0.2">
      <c r="B3" s="83">
        <v>9521685338752014</v>
      </c>
      <c r="C3" s="83">
        <v>0</v>
      </c>
      <c r="D3" s="83">
        <v>9632274585915766</v>
      </c>
      <c r="E3" s="83">
        <v>0</v>
      </c>
      <c r="F3" s="83">
        <v>2083245056901970</v>
      </c>
      <c r="G3" s="83">
        <v>0</v>
      </c>
      <c r="H3" s="83">
        <v>2295468155143516.5</v>
      </c>
      <c r="I3" s="83">
        <v>0</v>
      </c>
      <c r="J3" s="83">
        <v>8817125582213998</v>
      </c>
      <c r="K3" s="83">
        <v>0</v>
      </c>
      <c r="L3" s="83">
        <v>2177068050223639.2</v>
      </c>
      <c r="M3" s="83">
        <v>0</v>
      </c>
      <c r="N3" s="83">
        <v>8241621971857983</v>
      </c>
      <c r="O3" s="83">
        <v>0</v>
      </c>
      <c r="P3" s="83">
        <v>2004676035789762.7</v>
      </c>
      <c r="Q3" s="83">
        <v>0</v>
      </c>
      <c r="R3" s="83">
        <v>8182873324811949</v>
      </c>
      <c r="S3" s="83">
        <v>0</v>
      </c>
      <c r="T3" s="83">
        <v>2156104833874546.2</v>
      </c>
      <c r="U3" s="83">
        <v>0</v>
      </c>
      <c r="V3" s="83">
        <v>2084456420118041</v>
      </c>
      <c r="W3" s="83">
        <v>0</v>
      </c>
      <c r="X3" s="83">
        <v>7642329850515713</v>
      </c>
      <c r="Y3" s="83">
        <v>0</v>
      </c>
      <c r="Z3" s="83">
        <v>7783256336065213</v>
      </c>
      <c r="AA3" s="83">
        <v>0</v>
      </c>
      <c r="AB3" s="83">
        <v>1848004577806583.2</v>
      </c>
      <c r="AC3" s="83">
        <v>0</v>
      </c>
      <c r="AD3" s="83">
        <v>7132943842282825</v>
      </c>
      <c r="AE3" s="83">
        <v>0</v>
      </c>
    </row>
    <row r="4" spans="2:33" x14ac:dyDescent="0.2">
      <c r="B4" s="83">
        <v>3.3420638998458492E+16</v>
      </c>
      <c r="C4" s="83">
        <v>0</v>
      </c>
      <c r="D4" s="83">
        <v>3.3356220593712684E+16</v>
      </c>
      <c r="E4" s="83">
        <v>0</v>
      </c>
      <c r="F4" s="83">
        <v>2.2520385236250128E+16</v>
      </c>
      <c r="G4" s="83">
        <v>0</v>
      </c>
      <c r="H4" s="83">
        <v>2.2956688616278628E+16</v>
      </c>
      <c r="I4" s="83">
        <v>0</v>
      </c>
      <c r="J4" s="83">
        <v>3.0528706741350848E+16</v>
      </c>
      <c r="K4" s="83">
        <v>0</v>
      </c>
      <c r="L4" s="83">
        <v>2.2269461553246196E+16</v>
      </c>
      <c r="M4" s="83">
        <v>0</v>
      </c>
      <c r="N4" s="83">
        <v>2.8312831967071852E+16</v>
      </c>
      <c r="O4" s="83">
        <v>0</v>
      </c>
      <c r="P4" s="83">
        <v>2.096029818207226E+16</v>
      </c>
      <c r="Q4" s="83">
        <v>0</v>
      </c>
      <c r="R4" s="83">
        <v>2.8136571936278488E+16</v>
      </c>
      <c r="S4" s="83">
        <v>0</v>
      </c>
      <c r="T4" s="83">
        <v>2.0758459686787416E+16</v>
      </c>
      <c r="U4" s="83">
        <v>0</v>
      </c>
      <c r="V4" s="83">
        <v>2.0809424491698296E+16</v>
      </c>
      <c r="W4" s="83">
        <v>0</v>
      </c>
      <c r="X4" s="83">
        <v>2.595726033404838E+16</v>
      </c>
      <c r="Y4" s="83">
        <v>0</v>
      </c>
      <c r="Z4" s="83">
        <v>2.6845035783280008E+16</v>
      </c>
      <c r="AA4" s="83">
        <v>0</v>
      </c>
      <c r="AB4" s="83">
        <v>1.8518142398048528E+16</v>
      </c>
      <c r="AC4" s="83">
        <v>0</v>
      </c>
      <c r="AD4" s="83">
        <v>2.4227357978840676E+16</v>
      </c>
      <c r="AE4" s="83">
        <v>0</v>
      </c>
    </row>
    <row r="5" spans="2:33" x14ac:dyDescent="0.2">
      <c r="B5" s="83">
        <v>4.5577226866408768E+16</v>
      </c>
      <c r="C5" s="83">
        <v>1.1535109728775258E-4</v>
      </c>
      <c r="D5" s="83">
        <v>4.5467210175672328E+16</v>
      </c>
      <c r="E5" s="83">
        <v>1.1491261860491992E-4</v>
      </c>
      <c r="F5" s="83">
        <v>3.9983333522947376E+16</v>
      </c>
      <c r="G5" s="83">
        <v>1.1662262376148811E-4</v>
      </c>
      <c r="H5" s="83">
        <v>3.9429211934474072E+16</v>
      </c>
      <c r="I5" s="83">
        <v>1.1346836603444646E-4</v>
      </c>
      <c r="J5" s="83">
        <v>4.1582408933647576E+16</v>
      </c>
      <c r="K5" s="83">
        <v>1.0686123274263326E-4</v>
      </c>
      <c r="L5" s="83">
        <v>3.8296148062976504E+16</v>
      </c>
      <c r="M5" s="83">
        <v>1.0573310755387657E-4</v>
      </c>
      <c r="N5" s="83">
        <v>3.9003181065489496E+16</v>
      </c>
      <c r="O5" s="83">
        <v>1.0059472124891302E-4</v>
      </c>
      <c r="P5" s="83">
        <v>3.6045687412734464E+16</v>
      </c>
      <c r="Q5" s="83">
        <v>9.9529832340614335E-5</v>
      </c>
      <c r="R5" s="83">
        <v>3.8543132062459784E+16</v>
      </c>
      <c r="S5" s="83">
        <v>9.5812933382035816E-5</v>
      </c>
      <c r="T5" s="83">
        <v>3.4930070688403332E+16</v>
      </c>
      <c r="U5" s="83">
        <v>9.4192227120944145E-5</v>
      </c>
      <c r="V5" s="83">
        <v>3.4624316065849332E+16</v>
      </c>
      <c r="W5" s="83">
        <v>9.1283990964583232E-5</v>
      </c>
      <c r="X5" s="83">
        <v>3.53824872606754E+16</v>
      </c>
      <c r="Y5" s="83">
        <v>8.7349504956801314E-5</v>
      </c>
      <c r="Z5" s="83">
        <v>3.6126305491217408E+16</v>
      </c>
      <c r="AA5" s="83">
        <v>8.6454549294838004E-5</v>
      </c>
      <c r="AB5" s="83">
        <v>3.1256443189243764E+16</v>
      </c>
      <c r="AC5" s="83">
        <v>8.2665284826142593E-5</v>
      </c>
      <c r="AD5" s="83">
        <v>3.3156920272910068E+16</v>
      </c>
      <c r="AE5" s="83">
        <v>7.8800350524997812E-5</v>
      </c>
    </row>
    <row r="6" spans="2:33" x14ac:dyDescent="0.2">
      <c r="B6" s="83">
        <v>4.9953274665437456E+16</v>
      </c>
      <c r="C6" s="83">
        <v>1.0530590844598441E-4</v>
      </c>
      <c r="D6" s="83">
        <v>4.956113623822692E+16</v>
      </c>
      <c r="E6" s="83">
        <v>1.0494313256710054E-4</v>
      </c>
      <c r="F6" s="83">
        <v>4.8303790768154328E+16</v>
      </c>
      <c r="G6" s="83">
        <v>1.1001177631509489E-4</v>
      </c>
      <c r="H6" s="83">
        <v>4.6931154857537408E+16</v>
      </c>
      <c r="I6" s="83">
        <v>1.0673119608437997E-4</v>
      </c>
      <c r="J6" s="83">
        <v>4.6134723534879704E+16</v>
      </c>
      <c r="K6" s="83">
        <v>9.9414669525385024E-5</v>
      </c>
      <c r="L6" s="83">
        <v>4.5412578357476328E+16</v>
      </c>
      <c r="M6" s="83">
        <v>1.0090320533273395E-4</v>
      </c>
      <c r="N6" s="83">
        <v>4.372132759573604E+16</v>
      </c>
      <c r="O6" s="83">
        <v>9.4756037244369696E-5</v>
      </c>
      <c r="P6" s="83">
        <v>4.3264879117805656E+16</v>
      </c>
      <c r="Q6" s="83">
        <v>9.5964781684877503E-5</v>
      </c>
      <c r="R6" s="83">
        <v>4.2478863067702448E+16</v>
      </c>
      <c r="S6" s="83">
        <v>9.04470362637936E-5</v>
      </c>
      <c r="T6" s="83">
        <v>4.1477166443989296E+16</v>
      </c>
      <c r="U6" s="83">
        <v>9.1118315267976795E-5</v>
      </c>
      <c r="V6" s="83">
        <v>4.0733454949186808E+16</v>
      </c>
      <c r="W6" s="83">
        <v>8.8338804659388118E-5</v>
      </c>
      <c r="X6" s="83">
        <v>3.9392054932886336E+16</v>
      </c>
      <c r="Y6" s="83">
        <v>8.3466849546105857E-5</v>
      </c>
      <c r="Z6" s="83">
        <v>3.9630879794741008E+16</v>
      </c>
      <c r="AA6" s="83">
        <v>8.2102479376989894E-5</v>
      </c>
      <c r="AB6" s="83">
        <v>3.7399982467007208E+16</v>
      </c>
      <c r="AC6" s="83">
        <v>8.1561727029525667E-5</v>
      </c>
      <c r="AD6" s="83">
        <v>3.64271604372292E+16</v>
      </c>
      <c r="AE6" s="83">
        <v>7.5985619882014166E-5</v>
      </c>
    </row>
    <row r="7" spans="2:33" x14ac:dyDescent="0.2">
      <c r="B7" s="83">
        <v>4.9816861305779512E+16</v>
      </c>
      <c r="C7" s="83">
        <v>9.9669175139677877E-5</v>
      </c>
      <c r="D7" s="83">
        <v>4.9331173599870216E+16</v>
      </c>
      <c r="E7" s="83">
        <v>9.9485961222223413E-5</v>
      </c>
      <c r="F7" s="83">
        <v>4.978428999880452E+16</v>
      </c>
      <c r="G7" s="83">
        <v>1.0246711349191779E-4</v>
      </c>
      <c r="H7" s="83">
        <v>4.8369762143978232E+16</v>
      </c>
      <c r="I7" s="83">
        <v>9.9983511424010571E-5</v>
      </c>
      <c r="J7" s="83">
        <v>4.6173316152389288E+16</v>
      </c>
      <c r="K7" s="83">
        <v>9.4995611002402096E-5</v>
      </c>
      <c r="L7" s="83">
        <v>4.6541758316970224E+16</v>
      </c>
      <c r="M7" s="83">
        <v>9.4476664506417239E-5</v>
      </c>
      <c r="N7" s="83">
        <v>4.3829594624184544E+16</v>
      </c>
      <c r="O7" s="83">
        <v>9.0870307197202032E-5</v>
      </c>
      <c r="P7" s="83">
        <v>4.432083662510236E+16</v>
      </c>
      <c r="Q7" s="83">
        <v>9.0352169691049588E-5</v>
      </c>
      <c r="R7" s="83">
        <v>4.2270689952140424E+16</v>
      </c>
      <c r="S7" s="83">
        <v>8.6504372217000424E-5</v>
      </c>
      <c r="T7" s="83">
        <v>4.2381342864076512E+16</v>
      </c>
      <c r="U7" s="83">
        <v>8.6102388893738986E-5</v>
      </c>
      <c r="V7" s="83">
        <v>4.1474616231598336E+16</v>
      </c>
      <c r="W7" s="83">
        <v>8.3471678899917458E-5</v>
      </c>
      <c r="X7" s="83">
        <v>3.9247807699374312E+16</v>
      </c>
      <c r="Y7" s="83">
        <v>8.0137422140010863E-5</v>
      </c>
      <c r="Z7" s="83">
        <v>3.9211290162413592E+16</v>
      </c>
      <c r="AA7" s="83">
        <v>7.8489786718661679E-5</v>
      </c>
      <c r="AB7" s="83">
        <v>3.80798281918064E+16</v>
      </c>
      <c r="AC7" s="83">
        <v>7.7622605038941891E-5</v>
      </c>
      <c r="AD7" s="83">
        <v>3.596063917555602E+16</v>
      </c>
      <c r="AE7" s="83">
        <v>7.2952152926643261E-5</v>
      </c>
    </row>
    <row r="8" spans="2:33" x14ac:dyDescent="0.2">
      <c r="B8" s="83">
        <v>4.8492711618544424E+16</v>
      </c>
      <c r="C8" s="83">
        <v>9.8131559156450348E-5</v>
      </c>
      <c r="D8" s="83">
        <v>4.8006709497859376E+16</v>
      </c>
      <c r="E8" s="83">
        <v>9.824868884944813E-5</v>
      </c>
      <c r="F8" s="83">
        <v>4.8848452901848784E+16</v>
      </c>
      <c r="G8" s="83">
        <v>9.8969021826241519E-5</v>
      </c>
      <c r="H8" s="83">
        <v>4.7444486584262528E+16</v>
      </c>
      <c r="I8" s="83">
        <v>9.7013809892705161E-5</v>
      </c>
      <c r="J8" s="83">
        <v>4.4975285204288992E+16</v>
      </c>
      <c r="K8" s="83">
        <v>9.3816839572451503E-5</v>
      </c>
      <c r="L8" s="83">
        <v>4.5536997355107616E+16</v>
      </c>
      <c r="M8" s="83">
        <v>9.144515908811733E-5</v>
      </c>
      <c r="N8" s="83">
        <v>4.2631253119512784E+16</v>
      </c>
      <c r="O8" s="83">
        <v>8.9691780347108131E-5</v>
      </c>
      <c r="P8" s="83">
        <v>4.3306468278191896E+16</v>
      </c>
      <c r="Q8" s="83">
        <v>8.7470000732657046E-5</v>
      </c>
      <c r="R8" s="83">
        <v>4.0997726910531688E+16</v>
      </c>
      <c r="S8" s="83">
        <v>8.5459503989937006E-5</v>
      </c>
      <c r="T8" s="83">
        <v>4.1376826445736872E+16</v>
      </c>
      <c r="U8" s="83">
        <v>8.3491652861535684E-5</v>
      </c>
      <c r="V8" s="83">
        <v>4.043870680006536E+16</v>
      </c>
      <c r="W8" s="83">
        <v>8.0945126512481879E-5</v>
      </c>
      <c r="X8" s="83">
        <v>3.7930589076913728E+16</v>
      </c>
      <c r="Y8" s="83">
        <v>7.8915145744145918E-5</v>
      </c>
      <c r="Z8" s="83">
        <v>3.7843901497485888E+16</v>
      </c>
      <c r="AA8" s="83">
        <v>7.7137091602721505E-5</v>
      </c>
      <c r="AB8" s="83">
        <v>3.6988080229799192E+16</v>
      </c>
      <c r="AC8" s="83">
        <v>7.5424240507400984E-5</v>
      </c>
      <c r="AD8" s="83">
        <v>3.4640506713742128E+16</v>
      </c>
      <c r="AE8" s="83">
        <v>7.1954296767007408E-5</v>
      </c>
    </row>
    <row r="9" spans="2:33" x14ac:dyDescent="0.2">
      <c r="B9" s="83">
        <v>4.6869540605476248E+16</v>
      </c>
      <c r="C9" s="83">
        <v>9.955829520066274E-5</v>
      </c>
      <c r="D9" s="83">
        <v>4.6412927577140064E+16</v>
      </c>
      <c r="E9" s="83">
        <v>9.9824093916879209E-5</v>
      </c>
      <c r="F9" s="83">
        <v>4.7265631728713304E+16</v>
      </c>
      <c r="G9" s="83">
        <v>9.9433411623540369E-5</v>
      </c>
      <c r="H9" s="83">
        <v>4.5922820282246632E+16</v>
      </c>
      <c r="I9" s="83">
        <v>9.7545440837563748E-5</v>
      </c>
      <c r="J9" s="83">
        <v>4.344083991859788E+16</v>
      </c>
      <c r="K9" s="83">
        <v>9.5078059652892448E-5</v>
      </c>
      <c r="L9" s="83">
        <v>4.4013546146029408E+16</v>
      </c>
      <c r="M9" s="83">
        <v>9.1658771149036319E-5</v>
      </c>
      <c r="N9" s="83">
        <v>4.109368737733476E+16</v>
      </c>
      <c r="O9" s="83">
        <v>9.0837139266261729E-5</v>
      </c>
      <c r="P9" s="83">
        <v>4.1801184363540328E+16</v>
      </c>
      <c r="Q9" s="83">
        <v>8.7677381936883495E-5</v>
      </c>
      <c r="R9" s="83">
        <v>3.9410700377268752E+16</v>
      </c>
      <c r="S9" s="83">
        <v>8.6473063078221517E-5</v>
      </c>
      <c r="T9" s="83">
        <v>3.9838664919933712E+16</v>
      </c>
      <c r="U9" s="83">
        <v>8.3617708116440697E-5</v>
      </c>
      <c r="V9" s="83">
        <v>3.891455065080532E+16</v>
      </c>
      <c r="W9" s="83">
        <v>8.0911508889922198E-5</v>
      </c>
      <c r="X9" s="83">
        <v>3.6331337698649808E+16</v>
      </c>
      <c r="Y9" s="83">
        <v>7.9598137815511084E-5</v>
      </c>
      <c r="Z9" s="83">
        <v>3.6244723427761864E+16</v>
      </c>
      <c r="AA9" s="83">
        <v>7.7685532564430096E-5</v>
      </c>
      <c r="AB9" s="83">
        <v>3.538946128656236E+16</v>
      </c>
      <c r="AC9" s="83">
        <v>7.5513367039670935E-5</v>
      </c>
      <c r="AD9" s="83">
        <v>3.3094189745940248E+16</v>
      </c>
      <c r="AE9" s="83">
        <v>7.2323926949031521E-5</v>
      </c>
    </row>
    <row r="10" spans="2:33" x14ac:dyDescent="0.2">
      <c r="B10" s="83">
        <v>4.5235894013625992E+16</v>
      </c>
      <c r="C10" s="83">
        <v>1.0192889887775042E-4</v>
      </c>
      <c r="D10" s="83">
        <v>4.4779288943168704E+16</v>
      </c>
      <c r="E10" s="83">
        <v>1.0207936088838645E-4</v>
      </c>
      <c r="F10" s="83">
        <v>4.5595129708619656E+16</v>
      </c>
      <c r="G10" s="83">
        <v>1.014658271968991E-4</v>
      </c>
      <c r="H10" s="83">
        <v>4.4282226773476344E+16</v>
      </c>
      <c r="I10" s="83">
        <v>9.9468362593821034E-5</v>
      </c>
      <c r="J10" s="83">
        <v>4.1831517265267904E+16</v>
      </c>
      <c r="K10" s="83">
        <v>9.6914859349491605E-5</v>
      </c>
      <c r="L10" s="83">
        <v>4.2384782096571888E+16</v>
      </c>
      <c r="M10" s="83">
        <v>9.3326811711366478E-5</v>
      </c>
      <c r="N10" s="83">
        <v>3.9510481312208512E+16</v>
      </c>
      <c r="O10" s="83">
        <v>9.2397891496801067E-5</v>
      </c>
      <c r="P10" s="83">
        <v>4.0211074994375912E+16</v>
      </c>
      <c r="Q10" s="83">
        <v>8.9142034091347673E-5</v>
      </c>
      <c r="R10" s="83">
        <v>3.7799434634481592E+16</v>
      </c>
      <c r="S10" s="83">
        <v>8.788090584592837E-5</v>
      </c>
      <c r="T10" s="83">
        <v>3.8191862281188232E+16</v>
      </c>
      <c r="U10" s="83">
        <v>8.4838259112352143E-5</v>
      </c>
      <c r="V10" s="83">
        <v>3.7313657177330064E+16</v>
      </c>
      <c r="W10" s="83">
        <v>8.1927537655192981E-5</v>
      </c>
      <c r="X10" s="83">
        <v>3.4719616037102292E+16</v>
      </c>
      <c r="Y10" s="83">
        <v>8.056298003950172E-5</v>
      </c>
      <c r="Z10" s="83">
        <v>3.4628337339729864E+16</v>
      </c>
      <c r="AA10" s="83">
        <v>7.858227679588374E-5</v>
      </c>
      <c r="AB10" s="83">
        <v>3.374535495664932E+16</v>
      </c>
      <c r="AC10" s="83">
        <v>7.6262462631355136E-5</v>
      </c>
      <c r="AD10" s="83">
        <v>3.1509624705700252E+16</v>
      </c>
      <c r="AE10" s="83">
        <v>7.2873509075320939E-5</v>
      </c>
    </row>
    <row r="11" spans="2:33" x14ac:dyDescent="0.2">
      <c r="B11" s="83">
        <v>4.3575456171339008E+16</v>
      </c>
      <c r="C11" s="83">
        <v>1.042187416471307E-4</v>
      </c>
      <c r="D11" s="83">
        <v>4.3134875114242744E+16</v>
      </c>
      <c r="E11" s="83">
        <v>1.0429716721662204E-4</v>
      </c>
      <c r="F11" s="83">
        <v>4.3904547715014616E+16</v>
      </c>
      <c r="G11" s="83">
        <v>1.0372406121951021E-4</v>
      </c>
      <c r="H11" s="83">
        <v>4.2605834644268584E+16</v>
      </c>
      <c r="I11" s="83">
        <v>1.015565132623272E-4</v>
      </c>
      <c r="J11" s="83">
        <v>4.0211300709259808E+16</v>
      </c>
      <c r="K11" s="83">
        <v>9.869924086703328E-5</v>
      </c>
      <c r="L11" s="83">
        <v>4.0742659251762856E+16</v>
      </c>
      <c r="M11" s="83">
        <v>9.5114592257157458E-5</v>
      </c>
      <c r="N11" s="83">
        <v>3.7908453712487408E+16</v>
      </c>
      <c r="O11" s="83">
        <v>9.3928314385137036E-5</v>
      </c>
      <c r="P11" s="83">
        <v>3.8590037841840568E+16</v>
      </c>
      <c r="Q11" s="83">
        <v>9.0688493495443074E-5</v>
      </c>
      <c r="R11" s="83">
        <v>3.6189315953190416E+16</v>
      </c>
      <c r="S11" s="83">
        <v>8.9124628705386332E-5</v>
      </c>
      <c r="T11" s="83">
        <v>3.655505605424E+16</v>
      </c>
      <c r="U11" s="83">
        <v>8.6132121389681437E-5</v>
      </c>
      <c r="V11" s="83">
        <v>3.5660057122936336E+16</v>
      </c>
      <c r="W11" s="83">
        <v>8.3045020590829946E-5</v>
      </c>
      <c r="X11" s="83">
        <v>3.311452917180172E+16</v>
      </c>
      <c r="Y11" s="83">
        <v>8.1470267789062386E-5</v>
      </c>
      <c r="Z11" s="83">
        <v>3.3003513642253456E+16</v>
      </c>
      <c r="AA11" s="83">
        <v>7.9364632042181024E-5</v>
      </c>
      <c r="AB11" s="83">
        <v>3.2104516843175508E+16</v>
      </c>
      <c r="AC11" s="83">
        <v>7.6951412241043225E-5</v>
      </c>
      <c r="AD11" s="83">
        <v>2.9891736272606904E+16</v>
      </c>
      <c r="AE11" s="83">
        <v>7.3301428388467977E-5</v>
      </c>
    </row>
    <row r="12" spans="2:33" x14ac:dyDescent="0.2">
      <c r="B12" s="83">
        <v>4.192459043101416E+16</v>
      </c>
      <c r="C12" s="83">
        <v>1.0639050841766911E-4</v>
      </c>
      <c r="D12" s="83">
        <v>4.151081450489008E+16</v>
      </c>
      <c r="E12" s="83">
        <v>1.0632994806073435E-4</v>
      </c>
      <c r="F12" s="83">
        <v>4.22412476009084E+16</v>
      </c>
      <c r="G12" s="83">
        <v>1.0579846124840313E-4</v>
      </c>
      <c r="H12" s="83">
        <v>4.09419767621046E+16</v>
      </c>
      <c r="I12" s="83">
        <v>1.0348901128716724E-4</v>
      </c>
      <c r="J12" s="83">
        <v>3.859690903054792E+16</v>
      </c>
      <c r="K12" s="83">
        <v>1.0044927139271908E-4</v>
      </c>
      <c r="L12" s="83">
        <v>3.9115118899841192E+16</v>
      </c>
      <c r="M12" s="83">
        <v>9.6805381921997424E-5</v>
      </c>
      <c r="N12" s="83">
        <v>3.6329736505483792E+16</v>
      </c>
      <c r="O12" s="83">
        <v>9.539354287162012E-5</v>
      </c>
      <c r="P12" s="83">
        <v>3.6969385467211112E+16</v>
      </c>
      <c r="Q12" s="83">
        <v>9.2083536817202729E-5</v>
      </c>
      <c r="R12" s="83">
        <v>3.4619472681072692E+16</v>
      </c>
      <c r="S12" s="83">
        <v>9.0337793928539569E-5</v>
      </c>
      <c r="T12" s="83">
        <v>3.4919628885756636E+16</v>
      </c>
      <c r="U12" s="83">
        <v>8.7284860638835426E-5</v>
      </c>
      <c r="V12" s="83">
        <v>3.401311809362368E+16</v>
      </c>
      <c r="W12" s="83">
        <v>8.3999652191829303E-5</v>
      </c>
      <c r="X12" s="83">
        <v>3.1520625817221948E+16</v>
      </c>
      <c r="Y12" s="83">
        <v>8.2256217470780634E-5</v>
      </c>
      <c r="Z12" s="83">
        <v>3.1400519642118308E+16</v>
      </c>
      <c r="AA12" s="83">
        <v>8.003495773474508E-5</v>
      </c>
      <c r="AB12" s="83">
        <v>3.0509528649830492E+16</v>
      </c>
      <c r="AC12" s="83">
        <v>7.7531139346093204E-5</v>
      </c>
      <c r="AD12" s="83">
        <v>2.82978795561635E+16</v>
      </c>
      <c r="AE12" s="83">
        <v>7.3612239120730906E-5</v>
      </c>
    </row>
    <row r="13" spans="2:33" x14ac:dyDescent="0.2">
      <c r="B13" s="83">
        <v>4.0292117904733472E+16</v>
      </c>
      <c r="C13" s="83">
        <v>1.0848703892031812E-4</v>
      </c>
      <c r="D13" s="83">
        <v>3.98938981497226E+16</v>
      </c>
      <c r="E13" s="83">
        <v>1.083253547405646E-4</v>
      </c>
      <c r="F13" s="83">
        <v>4.0578038034824072E+16</v>
      </c>
      <c r="G13" s="83">
        <v>1.0780074740044334E-4</v>
      </c>
      <c r="H13" s="83">
        <v>3.9304205269420384E+16</v>
      </c>
      <c r="I13" s="83">
        <v>1.0538794213601029E-4</v>
      </c>
      <c r="J13" s="83">
        <v>3.70089728240528E+16</v>
      </c>
      <c r="K13" s="83">
        <v>1.0205885618580012E-4</v>
      </c>
      <c r="L13" s="83">
        <v>3.7489984423762784E+16</v>
      </c>
      <c r="M13" s="83">
        <v>9.8387599888009091E-5</v>
      </c>
      <c r="N13" s="83">
        <v>3.4763092821658284E+16</v>
      </c>
      <c r="O13" s="83">
        <v>9.6747709983488979E-5</v>
      </c>
      <c r="P13" s="83">
        <v>3.5368347213979036E+16</v>
      </c>
      <c r="Q13" s="83">
        <v>9.3399789894542994E-5</v>
      </c>
      <c r="R13" s="83">
        <v>3.3062564306871396E+16</v>
      </c>
      <c r="S13" s="83">
        <v>9.1439387142073827E-5</v>
      </c>
      <c r="T13" s="83">
        <v>3.3295775591479484E+16</v>
      </c>
      <c r="U13" s="83">
        <v>8.8343717360146523E-5</v>
      </c>
      <c r="V13" s="83">
        <v>3.2391527892385116E+16</v>
      </c>
      <c r="W13" s="83">
        <v>8.4886924211295101E-5</v>
      </c>
      <c r="X13" s="83">
        <v>2.9963899990492484E+16</v>
      </c>
      <c r="Y13" s="83">
        <v>8.2888427899055811E-5</v>
      </c>
      <c r="Z13" s="83">
        <v>2.981649562310164E+16</v>
      </c>
      <c r="AA13" s="83">
        <v>8.062355075927772E-5</v>
      </c>
      <c r="AB13" s="83">
        <v>2.8939264816283852E+16</v>
      </c>
      <c r="AC13" s="83">
        <v>7.7995636619035281E-5</v>
      </c>
      <c r="AD13" s="83">
        <v>2.6752924575107012E+16</v>
      </c>
      <c r="AE13" s="83">
        <v>7.3823267401736781E-5</v>
      </c>
    </row>
    <row r="14" spans="2:33" x14ac:dyDescent="0.2">
      <c r="B14" s="83">
        <v>3.8691286824481592E+16</v>
      </c>
      <c r="C14" s="83">
        <v>1.1049370991158216E-4</v>
      </c>
      <c r="D14" s="83">
        <v>3.829577300880768E+16</v>
      </c>
      <c r="E14" s="83">
        <v>1.1019572277748933E-4</v>
      </c>
      <c r="F14" s="83">
        <v>3.8949920999238816E+16</v>
      </c>
      <c r="G14" s="83">
        <v>1.0966440079138605E-4</v>
      </c>
      <c r="H14" s="83">
        <v>3.7685689197192432E+16</v>
      </c>
      <c r="I14" s="83">
        <v>1.0712725703334602E-4</v>
      </c>
      <c r="J14" s="83">
        <v>3.5440683723895552E+16</v>
      </c>
      <c r="K14" s="83">
        <v>1.035994570657689E-4</v>
      </c>
      <c r="L14" s="83">
        <v>3.5898150286685492E+16</v>
      </c>
      <c r="M14" s="83">
        <v>9.9854767308073291E-5</v>
      </c>
      <c r="N14" s="83">
        <v>3.3242269098575236E+16</v>
      </c>
      <c r="O14" s="83">
        <v>9.804455141317994E-5</v>
      </c>
      <c r="P14" s="83">
        <v>3.3798491800433536E+16</v>
      </c>
      <c r="Q14" s="83">
        <v>9.4605866291171427E-5</v>
      </c>
      <c r="R14" s="83">
        <v>3.153765351517456E+16</v>
      </c>
      <c r="S14" s="83">
        <v>9.2443877641098531E-5</v>
      </c>
      <c r="T14" s="83">
        <v>3.1715337394387764E+16</v>
      </c>
      <c r="U14" s="83">
        <v>8.929672333123419E-5</v>
      </c>
      <c r="V14" s="83">
        <v>3.0809249316539764E+16</v>
      </c>
      <c r="W14" s="83">
        <v>8.5639549232987809E-5</v>
      </c>
      <c r="X14" s="83">
        <v>2.8452974790108376E+16</v>
      </c>
      <c r="Y14" s="83">
        <v>8.3458758903531176E-5</v>
      </c>
      <c r="Z14" s="83">
        <v>2.8273802391880868E+16</v>
      </c>
      <c r="AA14" s="83">
        <v>8.1086027465260347E-5</v>
      </c>
      <c r="AB14" s="83">
        <v>2.7407464430583272E+16</v>
      </c>
      <c r="AC14" s="83">
        <v>7.8343575244209002E-5</v>
      </c>
      <c r="AD14" s="83">
        <v>2.5263397175589036E+16</v>
      </c>
      <c r="AE14" s="83">
        <v>7.3948025886738544E-5</v>
      </c>
    </row>
    <row r="15" spans="2:33" x14ac:dyDescent="0.2">
      <c r="B15" s="83">
        <v>3.7113534963311832E+16</v>
      </c>
      <c r="C15" s="83">
        <v>1.1238857056807454E-4</v>
      </c>
      <c r="D15" s="83">
        <v>3.6733907844599776E+16</v>
      </c>
      <c r="E15" s="83">
        <v>1.1204623930835391E-4</v>
      </c>
      <c r="F15" s="83">
        <v>3.7346798737151248E+16</v>
      </c>
      <c r="G15" s="83">
        <v>1.1146816269600495E-4</v>
      </c>
      <c r="H15" s="83">
        <v>3.6099267904791928E+16</v>
      </c>
      <c r="I15" s="83">
        <v>1.0881997666018296E-4</v>
      </c>
      <c r="J15" s="83">
        <v>3.3898708952774396E+16</v>
      </c>
      <c r="K15" s="83">
        <v>1.050341463432991E-4</v>
      </c>
      <c r="L15" s="83">
        <v>3.4330180925710172E+16</v>
      </c>
      <c r="M15" s="83">
        <v>1.0125252130622407E-4</v>
      </c>
      <c r="N15" s="83">
        <v>3.1738590766353192E+16</v>
      </c>
      <c r="O15" s="83">
        <v>9.9236753065990097E-5</v>
      </c>
      <c r="P15" s="83">
        <v>3.2257668575173512E+16</v>
      </c>
      <c r="Q15" s="83">
        <v>9.5731389998148991E-5</v>
      </c>
      <c r="R15" s="83">
        <v>3.0055628636895832E+16</v>
      </c>
      <c r="S15" s="83">
        <v>9.3375156191529687E-5</v>
      </c>
      <c r="T15" s="83">
        <v>3.0180265548162356E+16</v>
      </c>
      <c r="U15" s="83">
        <v>9.0169941472747036E-5</v>
      </c>
      <c r="V15" s="83">
        <v>2.9266946553086916E+16</v>
      </c>
      <c r="W15" s="83">
        <v>8.6307465901153458E-5</v>
      </c>
      <c r="X15" s="83">
        <v>2.69863016182753E+16</v>
      </c>
      <c r="Y15" s="83">
        <v>8.3953871813318424E-5</v>
      </c>
      <c r="Z15" s="83">
        <v>2.6779548662975384E+16</v>
      </c>
      <c r="AA15" s="83">
        <v>8.147513581118874E-5</v>
      </c>
      <c r="AB15" s="83">
        <v>2.5920033648842796E+16</v>
      </c>
      <c r="AC15" s="83">
        <v>7.861569643815204E-5</v>
      </c>
      <c r="AD15" s="83">
        <v>2.3827630108026112E+16</v>
      </c>
      <c r="AE15" s="83">
        <v>7.4007521307416327E-5</v>
      </c>
    </row>
    <row r="16" spans="2:33" x14ac:dyDescent="0.2">
      <c r="B16" s="83">
        <v>3.5580664703825352E+16</v>
      </c>
      <c r="C16" s="83">
        <v>1.1421242692129886E-4</v>
      </c>
      <c r="D16" s="83">
        <v>3.5201237861220676E+16</v>
      </c>
      <c r="E16" s="83">
        <v>1.1376667358799592E-4</v>
      </c>
      <c r="F16" s="83">
        <v>3.5799523398595784E+16</v>
      </c>
      <c r="G16" s="83">
        <v>1.1321416504012611E-4</v>
      </c>
      <c r="H16" s="83">
        <v>3.4554176140008932E+16</v>
      </c>
      <c r="I16" s="83">
        <v>1.1041131148179963E-4</v>
      </c>
      <c r="J16" s="83">
        <v>3.2405216368133072E+16</v>
      </c>
      <c r="K16" s="83">
        <v>1.0640419617543666E-4</v>
      </c>
      <c r="L16" s="83">
        <v>3.279592330444194E+16</v>
      </c>
      <c r="M16" s="83">
        <v>1.0255810363882066E-4</v>
      </c>
      <c r="N16" s="83">
        <v>3.02764066268372E+16</v>
      </c>
      <c r="O16" s="83">
        <v>1.0031613743978126E-4</v>
      </c>
      <c r="P16" s="83">
        <v>3.0758223330697224E+16</v>
      </c>
      <c r="Q16" s="83">
        <v>9.6777508900142836E-5</v>
      </c>
      <c r="R16" s="83">
        <v>2.862331297389846E+16</v>
      </c>
      <c r="S16" s="83">
        <v>9.4209849278928032E-5</v>
      </c>
      <c r="T16" s="83">
        <v>2.8705891692185264E+16</v>
      </c>
      <c r="U16" s="83">
        <v>9.0956321411320439E-5</v>
      </c>
      <c r="V16" s="83">
        <v>2.779054330836924E+16</v>
      </c>
      <c r="W16" s="83">
        <v>8.6929341179509199E-5</v>
      </c>
      <c r="X16" s="83">
        <v>2.5582741795572048E+16</v>
      </c>
      <c r="Y16" s="83">
        <v>8.43731075821762E-5</v>
      </c>
      <c r="Z16" s="83">
        <v>2.53506457774191E+16</v>
      </c>
      <c r="AA16" s="83">
        <v>8.1775020162748894E-5</v>
      </c>
      <c r="AB16" s="83">
        <v>2.4497117549265288E+16</v>
      </c>
      <c r="AC16" s="83">
        <v>7.8802824077439475E-5</v>
      </c>
      <c r="AD16" s="83">
        <v>2.2456291055661492E+16</v>
      </c>
      <c r="AE16" s="83">
        <v>7.3981089190724652E-5</v>
      </c>
    </row>
    <row r="17" spans="2:31" x14ac:dyDescent="0.2">
      <c r="B17" s="83">
        <v>3.4083096082433492E+16</v>
      </c>
      <c r="C17" s="83">
        <v>1.1591440339241955E-4</v>
      </c>
      <c r="D17" s="83">
        <v>3.3701633965915632E+16</v>
      </c>
      <c r="E17" s="83">
        <v>1.1538703303520784E-4</v>
      </c>
      <c r="F17" s="83">
        <v>3.4270183729745144E+16</v>
      </c>
      <c r="G17" s="83">
        <v>1.1481722906932569E-4</v>
      </c>
      <c r="H17" s="83">
        <v>3.305202991111208E+16</v>
      </c>
      <c r="I17" s="83">
        <v>1.119079197888504E-4</v>
      </c>
      <c r="J17" s="83">
        <v>3.095627708029334E+16</v>
      </c>
      <c r="K17" s="83">
        <v>1.0765385883672333E-4</v>
      </c>
      <c r="L17" s="83">
        <v>3.1319771531881772E+16</v>
      </c>
      <c r="M17" s="83">
        <v>1.0377066643504738E-4</v>
      </c>
      <c r="N17" s="83">
        <v>2.8865421847880876E+16</v>
      </c>
      <c r="O17" s="83">
        <v>1.0130471081991098E-4</v>
      </c>
      <c r="P17" s="83">
        <v>2.9301747088337888E+16</v>
      </c>
      <c r="Q17" s="83">
        <v>9.7717467971559127E-5</v>
      </c>
      <c r="R17" s="83">
        <v>2.7239811216930796E+16</v>
      </c>
      <c r="S17" s="83">
        <v>9.4945497316884742E-5</v>
      </c>
      <c r="T17" s="83">
        <v>2.7273923610372116E+16</v>
      </c>
      <c r="U17" s="83">
        <v>9.1601416536248167E-5</v>
      </c>
      <c r="V17" s="83">
        <v>2.6360660394420948E+16</v>
      </c>
      <c r="W17" s="83">
        <v>8.7436828308107278E-5</v>
      </c>
      <c r="X17" s="83">
        <v>2.422999562441314E+16</v>
      </c>
      <c r="Y17" s="83">
        <v>8.4684400291413803E-5</v>
      </c>
      <c r="Z17" s="83">
        <v>2.3984223295483936E+16</v>
      </c>
      <c r="AA17" s="83">
        <v>8.2001365963071157E-5</v>
      </c>
      <c r="AB17" s="83">
        <v>2.3150311639353712E+16</v>
      </c>
      <c r="AC17" s="83">
        <v>7.8947165991929513E-5</v>
      </c>
      <c r="AD17" s="83">
        <v>2.1155974638805236E+16</v>
      </c>
      <c r="AE17" s="83">
        <v>7.3925689777481601E-5</v>
      </c>
    </row>
    <row r="18" spans="2:31" x14ac:dyDescent="0.2">
      <c r="B18" s="83">
        <v>3.2636082294597136E+16</v>
      </c>
      <c r="C18" s="83">
        <v>1.1757573581809138E-4</v>
      </c>
      <c r="D18" s="83">
        <v>3.2259518192911512E+16</v>
      </c>
      <c r="E18" s="83">
        <v>1.1697634534604297E-4</v>
      </c>
      <c r="F18" s="83">
        <v>3.2785024319908708E+16</v>
      </c>
      <c r="G18" s="83">
        <v>1.1633186354419367E-4</v>
      </c>
      <c r="H18" s="83">
        <v>3.1595393814813532E+16</v>
      </c>
      <c r="I18" s="83">
        <v>1.1330342284733284E-4</v>
      </c>
      <c r="J18" s="83">
        <v>2.9551541652251092E+16</v>
      </c>
      <c r="K18" s="83">
        <v>1.0883737492065259E-4</v>
      </c>
      <c r="L18" s="83">
        <v>2.989261053596336E+16</v>
      </c>
      <c r="M18" s="83">
        <v>1.0491305420225932E-4</v>
      </c>
      <c r="N18" s="83">
        <v>2.750597152787456E+16</v>
      </c>
      <c r="O18" s="83">
        <v>1.0222695167395651E-4</v>
      </c>
      <c r="P18" s="83">
        <v>2.7908382871968712E+16</v>
      </c>
      <c r="Q18" s="83">
        <v>9.8597331372210316E-5</v>
      </c>
      <c r="R18" s="83">
        <v>2.591019528897032E+16</v>
      </c>
      <c r="S18" s="83">
        <v>9.5617880711096692E-5</v>
      </c>
      <c r="T18" s="83">
        <v>2.5914292678127508E+16</v>
      </c>
      <c r="U18" s="83">
        <v>9.2219433444583562E-5</v>
      </c>
      <c r="V18" s="83">
        <v>2.4985914748963128E+16</v>
      </c>
      <c r="W18" s="83">
        <v>8.7833836810098344E-5</v>
      </c>
      <c r="X18" s="83">
        <v>2.293763192220832E+16</v>
      </c>
      <c r="Y18" s="83">
        <v>8.4949066226068347E-5</v>
      </c>
      <c r="Z18" s="83">
        <v>2.2680419705951652E+16</v>
      </c>
      <c r="AA18" s="83">
        <v>8.2180141304989061E-5</v>
      </c>
      <c r="AB18" s="83">
        <v>2.1850434812651596E+16</v>
      </c>
      <c r="AC18" s="83">
        <v>7.8983666782638908E-5</v>
      </c>
      <c r="AD18" s="83">
        <v>1.9908759707753328E+16</v>
      </c>
      <c r="AE18" s="83">
        <v>7.3760626649134071E-5</v>
      </c>
    </row>
    <row r="19" spans="2:31" x14ac:dyDescent="0.2">
      <c r="B19" s="83">
        <v>3.1221519816142424E+16</v>
      </c>
      <c r="C19" s="83">
        <v>1.1913814200112315E-4</v>
      </c>
      <c r="D19" s="83">
        <v>3.085068839096484E+16</v>
      </c>
      <c r="E19" s="83">
        <v>1.1845417103450651E-4</v>
      </c>
      <c r="F19" s="83">
        <v>3.1353819678248608E+16</v>
      </c>
      <c r="G19" s="83">
        <v>1.1782056368197208E-4</v>
      </c>
      <c r="H19" s="83">
        <v>3.018550073599542E+16</v>
      </c>
      <c r="I19" s="83">
        <v>1.1463939728649298E-4</v>
      </c>
      <c r="J19" s="83">
        <v>2.818888779563546E+16</v>
      </c>
      <c r="K19" s="83">
        <v>1.099140267226242E-4</v>
      </c>
      <c r="L19" s="83">
        <v>2.8503091554293372E+16</v>
      </c>
      <c r="M19" s="83">
        <v>1.0593086132576958E-4</v>
      </c>
      <c r="N19" s="83">
        <v>2.6184877278977404E+16</v>
      </c>
      <c r="O19" s="83">
        <v>1.0303066133541511E-4</v>
      </c>
      <c r="P19" s="83">
        <v>2.6557590376422464E+16</v>
      </c>
      <c r="Q19" s="83">
        <v>9.9365426468281542E-5</v>
      </c>
      <c r="R19" s="83">
        <v>2.4622026156101492E+16</v>
      </c>
      <c r="S19" s="83">
        <v>9.6211905373790266E-5</v>
      </c>
      <c r="T19" s="83">
        <v>2.4597159754849108E+16</v>
      </c>
      <c r="U19" s="83">
        <v>9.2735511992740331E-5</v>
      </c>
      <c r="V19" s="83">
        <v>2.3673452404677384E+16</v>
      </c>
      <c r="W19" s="83">
        <v>8.8204643607190178E-5</v>
      </c>
      <c r="X19" s="83">
        <v>2.1703396701172996E+16</v>
      </c>
      <c r="Y19" s="83">
        <v>8.5146451563413453E-5</v>
      </c>
      <c r="Z19" s="83">
        <v>2.1431727320027716E+16</v>
      </c>
      <c r="AA19" s="83">
        <v>8.2291209721621961E-5</v>
      </c>
      <c r="AB19" s="83">
        <v>2.062135413928166E+16</v>
      </c>
      <c r="AC19" s="83">
        <v>7.8985501301068368E-5</v>
      </c>
      <c r="AD19" s="83">
        <v>1.8728247707966444E+16</v>
      </c>
      <c r="AE19" s="83">
        <v>7.3552058572983137E-5</v>
      </c>
    </row>
    <row r="20" spans="2:31" x14ac:dyDescent="0.2">
      <c r="B20" s="83">
        <v>2.9845989120195604E+16</v>
      </c>
      <c r="C20" s="83">
        <v>1.2063163708266442E-4</v>
      </c>
      <c r="D20" s="83">
        <v>2.9487075224812808E+16</v>
      </c>
      <c r="E20" s="83">
        <v>1.1983612173254872E-4</v>
      </c>
      <c r="F20" s="83">
        <v>2.9951162123170452E+16</v>
      </c>
      <c r="G20" s="83">
        <v>1.1916074965324182E-4</v>
      </c>
      <c r="H20" s="83">
        <v>2.8812326578367664E+16</v>
      </c>
      <c r="I20" s="83">
        <v>1.158622409912937E-4</v>
      </c>
      <c r="J20" s="83">
        <v>2.6877713166307012E+16</v>
      </c>
      <c r="K20" s="83">
        <v>1.109314505121669E-4</v>
      </c>
      <c r="L20" s="83">
        <v>2.7159225551836892E+16</v>
      </c>
      <c r="M20" s="83">
        <v>1.0687826789275263E-4</v>
      </c>
      <c r="N20" s="83">
        <v>2.4919853443845084E+16</v>
      </c>
      <c r="O20" s="83">
        <v>1.0379574704871457E-4</v>
      </c>
      <c r="P20" s="83">
        <v>2.5253174002962048E+16</v>
      </c>
      <c r="Q20" s="83">
        <v>1.0004711649298396E-4</v>
      </c>
      <c r="R20" s="83">
        <v>2.3376976156696796E+16</v>
      </c>
      <c r="S20" s="83">
        <v>9.6704677105546397E-5</v>
      </c>
      <c r="T20" s="83">
        <v>2.33310758001842E+16</v>
      </c>
      <c r="U20" s="83">
        <v>9.3171281506540646E-5</v>
      </c>
      <c r="V20" s="83">
        <v>2.2410213123178152E+16</v>
      </c>
      <c r="W20" s="83">
        <v>8.8482376274432955E-5</v>
      </c>
      <c r="X20" s="83">
        <v>2.0513708194746088E+16</v>
      </c>
      <c r="Y20" s="83">
        <v>8.5251766527959447E-5</v>
      </c>
      <c r="Z20" s="83">
        <v>2.022865009749434E+16</v>
      </c>
      <c r="AA20" s="83">
        <v>8.2290938365271851E-5</v>
      </c>
      <c r="AB20" s="83">
        <v>1.9436251102525744E+16</v>
      </c>
      <c r="AC20" s="83">
        <v>7.8899242101342884E-5</v>
      </c>
      <c r="AD20" s="83">
        <v>1.7605699975024138E+16</v>
      </c>
      <c r="AE20" s="83">
        <v>7.3297230498405803E-5</v>
      </c>
    </row>
    <row r="21" spans="2:31" x14ac:dyDescent="0.2">
      <c r="B21" s="83">
        <v>2.8521562316292572E+16</v>
      </c>
      <c r="C21" s="83">
        <v>1.2208464385701933E-4</v>
      </c>
      <c r="D21" s="83">
        <v>2.8168813144288408E+16</v>
      </c>
      <c r="E21" s="83">
        <v>1.2119372520945991E-4</v>
      </c>
      <c r="F21" s="83">
        <v>2.859668229850362E+16</v>
      </c>
      <c r="G21" s="83">
        <v>1.2044170981580724E-4</v>
      </c>
      <c r="H21" s="83">
        <v>2.748504080295568E+16</v>
      </c>
      <c r="I21" s="83">
        <v>1.1701372581014175E-4</v>
      </c>
      <c r="J21" s="83">
        <v>2.5607801534291428E+16</v>
      </c>
      <c r="K21" s="83">
        <v>1.1187128379253263E-4</v>
      </c>
      <c r="L21" s="83">
        <v>2.5858399543005512E+16</v>
      </c>
      <c r="M21" s="83">
        <v>1.0774879992184643E-4</v>
      </c>
      <c r="N21" s="83">
        <v>2.3702452340463448E+16</v>
      </c>
      <c r="O21" s="83">
        <v>1.0449407291914687E-4</v>
      </c>
      <c r="P21" s="83">
        <v>2.399927170647332E+16</v>
      </c>
      <c r="Q21" s="83">
        <v>1.0067627304144687E-4</v>
      </c>
      <c r="R21" s="83">
        <v>2.21773959196633E+16</v>
      </c>
      <c r="S21" s="83">
        <v>9.7142161913141924E-5</v>
      </c>
      <c r="T21" s="83">
        <v>2.2117910129433592E+16</v>
      </c>
      <c r="U21" s="83">
        <v>9.355469063948483E-5</v>
      </c>
      <c r="V21" s="83">
        <v>2.1201617407001052E+16</v>
      </c>
      <c r="W21" s="83">
        <v>8.8673185561055545E-5</v>
      </c>
      <c r="X21" s="83">
        <v>1.9379650644705004E+16</v>
      </c>
      <c r="Y21" s="83">
        <v>8.5306266383559091E-5</v>
      </c>
      <c r="Z21" s="83">
        <v>1.9083574976637228E+16</v>
      </c>
      <c r="AA21" s="83">
        <v>8.2263567401108935E-5</v>
      </c>
      <c r="AB21" s="83">
        <v>1.8311301911227128E+16</v>
      </c>
      <c r="AC21" s="83">
        <v>7.8768722346041138E-5</v>
      </c>
      <c r="AD21" s="83">
        <v>1.6539968009497458E+16</v>
      </c>
      <c r="AE21" s="83">
        <v>7.2988642676767354E-5</v>
      </c>
    </row>
    <row r="22" spans="2:31" x14ac:dyDescent="0.2">
      <c r="B22" s="83">
        <v>2.7249178167212356E+16</v>
      </c>
      <c r="C22" s="83">
        <v>1.2345183757659451E-4</v>
      </c>
      <c r="D22" s="83">
        <v>2.6893886818528336E+16</v>
      </c>
      <c r="E22" s="83">
        <v>1.2244861445959959E-4</v>
      </c>
      <c r="F22" s="83">
        <v>2.7288106508742124E+16</v>
      </c>
      <c r="G22" s="83">
        <v>1.216829216743749E-4</v>
      </c>
      <c r="H22" s="83">
        <v>2.6205437798634908E+16</v>
      </c>
      <c r="I22" s="83">
        <v>1.1810355367871535E-4</v>
      </c>
      <c r="J22" s="83">
        <v>2.4385845270485072E+16</v>
      </c>
      <c r="K22" s="83">
        <v>1.127266128599684E-4</v>
      </c>
      <c r="L22" s="83">
        <v>2.4605485941122284E+16</v>
      </c>
      <c r="M22" s="83">
        <v>1.0856469412176012E-4</v>
      </c>
      <c r="N22" s="83">
        <v>2.2528039726606124E+16</v>
      </c>
      <c r="O22" s="83">
        <v>1.0506918961374505E-4</v>
      </c>
      <c r="P22" s="83">
        <v>2.2786919114671092E+16</v>
      </c>
      <c r="Q22" s="83">
        <v>1.0121722984064053E-4</v>
      </c>
      <c r="R22" s="83">
        <v>2.1030068898755016E+16</v>
      </c>
      <c r="S22" s="83">
        <v>9.7499713525587989E-5</v>
      </c>
      <c r="T22" s="83">
        <v>2.0949025692203156E+16</v>
      </c>
      <c r="U22" s="83">
        <v>9.3857428347449408E-5</v>
      </c>
      <c r="V22" s="83">
        <v>2.005271364239324E+16</v>
      </c>
      <c r="W22" s="83">
        <v>8.8851658453158785E-5</v>
      </c>
      <c r="X22" s="83">
        <v>1.8298047327131084E+16</v>
      </c>
      <c r="Y22" s="83">
        <v>8.5285721700301701E-5</v>
      </c>
      <c r="Z22" s="83">
        <v>1.7994699470131662E+16</v>
      </c>
      <c r="AA22" s="83">
        <v>8.2176316619708012E-5</v>
      </c>
      <c r="AB22" s="83">
        <v>1.7243890566863968E+16</v>
      </c>
      <c r="AC22" s="83">
        <v>7.8588187804006572E-5</v>
      </c>
      <c r="AD22" s="83">
        <v>1.5535100296297956E+16</v>
      </c>
      <c r="AE22" s="83">
        <v>7.2640346347184882E-5</v>
      </c>
    </row>
    <row r="23" spans="2:31" x14ac:dyDescent="0.2">
      <c r="B23" s="83">
        <v>2.6009141416167584E+16</v>
      </c>
      <c r="C23" s="83">
        <v>1.2466772924276591E-4</v>
      </c>
      <c r="D23" s="83">
        <v>2.5667214323716984E+16</v>
      </c>
      <c r="E23" s="83">
        <v>1.2360909521761979E-4</v>
      </c>
      <c r="F23" s="83">
        <v>2.602375424995852E+16</v>
      </c>
      <c r="G23" s="83">
        <v>1.22776916686102E-4</v>
      </c>
      <c r="H23" s="83">
        <v>2.497620634181826E+16</v>
      </c>
      <c r="I23" s="83">
        <v>1.1910543567136282E-4</v>
      </c>
      <c r="J23" s="83">
        <v>2.3208545817077004E+16</v>
      </c>
      <c r="K23" s="83">
        <v>1.134745647956129E-4</v>
      </c>
      <c r="L23" s="83">
        <v>2.3410021463175064E+16</v>
      </c>
      <c r="M23" s="83">
        <v>1.0932443390319678E-4</v>
      </c>
      <c r="N23" s="83">
        <v>2.1406840325732128E+16</v>
      </c>
      <c r="O23" s="83">
        <v>1.0560964531587277E-4</v>
      </c>
      <c r="P23" s="83">
        <v>2.1625881392207184E+16</v>
      </c>
      <c r="Q23" s="83">
        <v>1.0167230289407245E-4</v>
      </c>
      <c r="R23" s="83">
        <v>1.993247559100482E+16</v>
      </c>
      <c r="S23" s="83">
        <v>9.7786198290863847E-5</v>
      </c>
      <c r="T23" s="83">
        <v>1.983443949353214E+16</v>
      </c>
      <c r="U23" s="83">
        <v>9.4073338830969147E-5</v>
      </c>
      <c r="V23" s="83">
        <v>1.8949507831661412E+16</v>
      </c>
      <c r="W23" s="83">
        <v>8.889817816631463E-5</v>
      </c>
      <c r="X23" s="83">
        <v>1.7267641146252656E+16</v>
      </c>
      <c r="Y23" s="83">
        <v>8.5199551429278103E-5</v>
      </c>
      <c r="Z23" s="83">
        <v>1.6960717257106652E+16</v>
      </c>
      <c r="AA23" s="83">
        <v>8.2011613698480175E-5</v>
      </c>
      <c r="AB23" s="83">
        <v>1.6227907372666882E+16</v>
      </c>
      <c r="AC23" s="83">
        <v>7.8329762888211006E-5</v>
      </c>
      <c r="AD23" s="83">
        <v>1.4583243862017522E+16</v>
      </c>
      <c r="AE23" s="83">
        <v>7.2225827840122523E-5</v>
      </c>
    </row>
    <row r="24" spans="2:31" x14ac:dyDescent="0.2">
      <c r="B24" s="83">
        <v>2.48151528863403E+16</v>
      </c>
      <c r="C24" s="83">
        <v>1.2581557384134517E-4</v>
      </c>
      <c r="D24" s="83">
        <v>2.4479392815262076E+16</v>
      </c>
      <c r="E24" s="83">
        <v>1.2465549872260357E-4</v>
      </c>
      <c r="F24" s="83">
        <v>2.4810294534225824E+16</v>
      </c>
      <c r="G24" s="83">
        <v>1.2383678672315553E-4</v>
      </c>
      <c r="H24" s="83">
        <v>2.3787895632083952E+16</v>
      </c>
      <c r="I24" s="83">
        <v>1.199794300860759E-4</v>
      </c>
      <c r="J24" s="83">
        <v>2.208002868718178E+16</v>
      </c>
      <c r="K24" s="83">
        <v>1.1415147309174583E-4</v>
      </c>
      <c r="L24" s="83">
        <v>2.225385933969994E+16</v>
      </c>
      <c r="M24" s="83">
        <v>1.0993899016375964E-4</v>
      </c>
      <c r="N24" s="83">
        <v>2.0327132994090492E+16</v>
      </c>
      <c r="O24" s="83">
        <v>1.0602257969123483E-4</v>
      </c>
      <c r="P24" s="83">
        <v>2.0516647069219024E+16</v>
      </c>
      <c r="Q24" s="83">
        <v>1.0205621527838031E-4</v>
      </c>
      <c r="R24" s="83">
        <v>1.888335454391444E+16</v>
      </c>
      <c r="S24" s="83">
        <v>9.7997262136750949E-5</v>
      </c>
      <c r="T24" s="83">
        <v>1.8771172423130972E+16</v>
      </c>
      <c r="U24" s="83">
        <v>9.4237033167561904E-5</v>
      </c>
      <c r="V24" s="83">
        <v>1.790321609848074E+16</v>
      </c>
      <c r="W24" s="83">
        <v>8.8897737434658151E-5</v>
      </c>
      <c r="X24" s="83">
        <v>1.6294049616911106E+16</v>
      </c>
      <c r="Y24" s="83">
        <v>8.5080521788949876E-5</v>
      </c>
      <c r="Z24" s="83">
        <v>1.5978495563184404E+16</v>
      </c>
      <c r="AA24" s="83">
        <v>8.1802099862389815E-5</v>
      </c>
      <c r="AB24" s="83">
        <v>1.5263445159540254E+16</v>
      </c>
      <c r="AC24" s="83">
        <v>7.8023070043526136E-5</v>
      </c>
      <c r="AD24" s="83">
        <v>1.368958434920649E+16</v>
      </c>
      <c r="AE24" s="83">
        <v>7.1787479429067039E-5</v>
      </c>
    </row>
    <row r="25" spans="2:31" x14ac:dyDescent="0.2">
      <c r="B25" s="83">
        <v>2.3670031942469824E+16</v>
      </c>
      <c r="C25" s="83">
        <v>1.2687212283492779E-4</v>
      </c>
      <c r="D25" s="83">
        <v>2.3330347098383964E+16</v>
      </c>
      <c r="E25" s="83">
        <v>1.2560220542799037E-4</v>
      </c>
      <c r="F25" s="83">
        <v>2.3645407904859468E+16</v>
      </c>
      <c r="G25" s="83">
        <v>1.2477927750158667E-4</v>
      </c>
      <c r="H25" s="83">
        <v>2.26502357161661E+16</v>
      </c>
      <c r="I25" s="83">
        <v>1.2078761903800615E-4</v>
      </c>
      <c r="J25" s="83">
        <v>2.0996413619782492E+16</v>
      </c>
      <c r="K25" s="83">
        <v>1.1474760960785668E-4</v>
      </c>
      <c r="L25" s="83">
        <v>2.114570909871286E+16</v>
      </c>
      <c r="M25" s="83">
        <v>1.1046613695203617E-4</v>
      </c>
      <c r="N25" s="83">
        <v>1.9292042760993296E+16</v>
      </c>
      <c r="O25" s="83">
        <v>1.0634871668313908E-4</v>
      </c>
      <c r="P25" s="83">
        <v>1.9453403752268892E+16</v>
      </c>
      <c r="Q25" s="83">
        <v>1.0235595708299602E-4</v>
      </c>
      <c r="R25" s="83">
        <v>1.7884137423651344E+16</v>
      </c>
      <c r="S25" s="83">
        <v>9.8149890093783698E-5</v>
      </c>
      <c r="T25" s="83">
        <v>1.7758324998017128E+16</v>
      </c>
      <c r="U25" s="83">
        <v>9.430271267850385E-5</v>
      </c>
      <c r="V25" s="83">
        <v>1.691098277931598E+16</v>
      </c>
      <c r="W25" s="83">
        <v>8.8847882204869661E-5</v>
      </c>
      <c r="X25" s="83">
        <v>1.5368217290536608E+16</v>
      </c>
      <c r="Y25" s="83">
        <v>8.4894370286636115E-5</v>
      </c>
      <c r="Z25" s="83">
        <v>1.504813471036264E+16</v>
      </c>
      <c r="AA25" s="83">
        <v>8.1523419126894268E-5</v>
      </c>
      <c r="AB25" s="83">
        <v>1.4356977444679188E+16</v>
      </c>
      <c r="AC25" s="83">
        <v>7.767680502190197E-5</v>
      </c>
      <c r="AD25" s="83">
        <v>1.2845970111505322E+16</v>
      </c>
      <c r="AE25" s="83">
        <v>7.1314089797917801E-5</v>
      </c>
    </row>
    <row r="26" spans="2:31" x14ac:dyDescent="0.2">
      <c r="B26" s="83">
        <v>2.2563367856741776E+16</v>
      </c>
      <c r="C26" s="83">
        <v>1.2787300572300104E-4</v>
      </c>
      <c r="D26" s="83">
        <v>2.222581607600504E+16</v>
      </c>
      <c r="E26" s="83">
        <v>1.2651156629195438E-4</v>
      </c>
      <c r="F26" s="83">
        <v>2.2523538963829184E+16</v>
      </c>
      <c r="G26" s="83">
        <v>1.2567892965640004E-4</v>
      </c>
      <c r="H26" s="83">
        <v>2.1558076348020468E+16</v>
      </c>
      <c r="I26" s="83">
        <v>1.2154691224734954E-4</v>
      </c>
      <c r="J26" s="83">
        <v>1.9949362161640752E+16</v>
      </c>
      <c r="K26" s="83">
        <v>1.1526272642323531E-4</v>
      </c>
      <c r="L26" s="83">
        <v>2.0079055474928968E+16</v>
      </c>
      <c r="M26" s="83">
        <v>1.1091814857185192E-4</v>
      </c>
      <c r="N26" s="83">
        <v>1.8305493223806392E+16</v>
      </c>
      <c r="O26" s="83">
        <v>1.0667927397228496E-4</v>
      </c>
      <c r="P26" s="83">
        <v>1.843126198827912E+16</v>
      </c>
      <c r="Q26" s="83">
        <v>1.0257365427087868E-4</v>
      </c>
      <c r="R26" s="83">
        <v>1.6930193913255864E+16</v>
      </c>
      <c r="S26" s="83">
        <v>9.8257118831136681E-5</v>
      </c>
      <c r="T26" s="83">
        <v>1.6793109976250972E+16</v>
      </c>
      <c r="U26" s="83">
        <v>9.4339508296537082E-5</v>
      </c>
      <c r="V26" s="83">
        <v>1.5962477496204032E+16</v>
      </c>
      <c r="W26" s="83">
        <v>8.8729667709544634E-5</v>
      </c>
      <c r="X26" s="83">
        <v>1.4490435163664754E+16</v>
      </c>
      <c r="Y26" s="83">
        <v>8.4688600297246264E-5</v>
      </c>
      <c r="Z26" s="83">
        <v>1.4168390774585242E+16</v>
      </c>
      <c r="AA26" s="83">
        <v>8.1225793484157892E-5</v>
      </c>
      <c r="AB26" s="83">
        <v>1.350342225875928E+16</v>
      </c>
      <c r="AC26" s="83">
        <v>7.7343524566531442E-5</v>
      </c>
      <c r="AD26" s="83">
        <v>1.2051435426874354E+16</v>
      </c>
      <c r="AE26" s="83">
        <v>7.0819079407196287E-5</v>
      </c>
    </row>
    <row r="27" spans="2:31" x14ac:dyDescent="0.2">
      <c r="B27" s="83">
        <v>2.1501814295918388E+16</v>
      </c>
      <c r="C27" s="83">
        <v>1.2878670565286617E-4</v>
      </c>
      <c r="D27" s="83">
        <v>2.1177431924501104E+16</v>
      </c>
      <c r="E27" s="83">
        <v>1.2740184157937579E-4</v>
      </c>
      <c r="F27" s="83">
        <v>2.1440488506264488E+16</v>
      </c>
      <c r="G27" s="83">
        <v>1.2644804562520693E-4</v>
      </c>
      <c r="H27" s="83">
        <v>2.0502367425995092E+16</v>
      </c>
      <c r="I27" s="83">
        <v>1.2219275036926726E-4</v>
      </c>
      <c r="J27" s="83">
        <v>1.895177873573088E+16</v>
      </c>
      <c r="K27" s="83">
        <v>1.1570872800933094E-4</v>
      </c>
      <c r="L27" s="83">
        <v>1.9060182293481848E+16</v>
      </c>
      <c r="M27" s="83">
        <v>1.1134430322387733E-4</v>
      </c>
      <c r="N27" s="83">
        <v>1.7362877094902292E+16</v>
      </c>
      <c r="O27" s="83">
        <v>1.0688948893713428E-4</v>
      </c>
      <c r="P27" s="83">
        <v>1.746362363877953E+16</v>
      </c>
      <c r="Q27" s="83">
        <v>1.0277869907296122E-4</v>
      </c>
      <c r="R27" s="83">
        <v>1.601895057163778E+16</v>
      </c>
      <c r="S27" s="83">
        <v>9.8264910361999184E-5</v>
      </c>
      <c r="T27" s="83">
        <v>1.5875350953354008E+16</v>
      </c>
      <c r="U27" s="83">
        <v>9.4325432562128046E-5</v>
      </c>
      <c r="V27" s="83">
        <v>1.5063158422648574E+16</v>
      </c>
      <c r="W27" s="83">
        <v>8.8577554831224668E-5</v>
      </c>
      <c r="X27" s="83">
        <v>1.3656907523612092E+16</v>
      </c>
      <c r="Y27" s="83">
        <v>8.4391347381238764E-5</v>
      </c>
      <c r="Z27" s="83">
        <v>1.3338171764520906E+16</v>
      </c>
      <c r="AA27" s="83">
        <v>8.0895032080490219E-5</v>
      </c>
      <c r="AB27" s="83">
        <v>1.269185584178592E+16</v>
      </c>
      <c r="AC27" s="83">
        <v>7.6920522408902611E-5</v>
      </c>
      <c r="AD27" s="83">
        <v>1.1304792156430936E+16</v>
      </c>
      <c r="AE27" s="83">
        <v>7.0281687841031854E-5</v>
      </c>
    </row>
    <row r="28" spans="2:31" x14ac:dyDescent="0.2">
      <c r="B28" s="83">
        <v>2.0481855312559964E+16</v>
      </c>
      <c r="C28" s="83">
        <v>1.2960854485128531E-4</v>
      </c>
      <c r="D28" s="83">
        <v>2.0166483998822448E+16</v>
      </c>
      <c r="E28" s="83">
        <v>1.2815747915089119E-4</v>
      </c>
      <c r="F28" s="83">
        <v>2.0405563891702044E+16</v>
      </c>
      <c r="G28" s="83">
        <v>1.2714834460990051E-4</v>
      </c>
      <c r="H28" s="83">
        <v>1.9506393479740868E+16</v>
      </c>
      <c r="I28" s="83">
        <v>1.2281540984314165E-4</v>
      </c>
      <c r="J28" s="83">
        <v>1.800029587224117E+16</v>
      </c>
      <c r="K28" s="83">
        <v>1.16105961107901E-4</v>
      </c>
      <c r="L28" s="83">
        <v>1.8085377522757516E+16</v>
      </c>
      <c r="M28" s="83">
        <v>1.1164428265901497E-4</v>
      </c>
      <c r="N28" s="83">
        <v>1.6464976089125116E+16</v>
      </c>
      <c r="O28" s="83">
        <v>1.0707551806671203E-4</v>
      </c>
      <c r="P28" s="83">
        <v>1.6536522318942334E+16</v>
      </c>
      <c r="Q28" s="83">
        <v>1.0286272805025922E-4</v>
      </c>
      <c r="R28" s="83">
        <v>1.5153173726118888E+16</v>
      </c>
      <c r="S28" s="83">
        <v>9.8224544076346652E-5</v>
      </c>
      <c r="T28" s="83">
        <v>1.500615354662345E+16</v>
      </c>
      <c r="U28" s="83">
        <v>9.4254404369229571E-5</v>
      </c>
      <c r="V28" s="83">
        <v>1.4213379220447532E+16</v>
      </c>
      <c r="W28" s="83">
        <v>8.8375022434594377E-5</v>
      </c>
      <c r="X28" s="83">
        <v>1.287202635368219E+16</v>
      </c>
      <c r="Y28" s="83">
        <v>8.4082719864479535E-5</v>
      </c>
      <c r="Z28" s="83">
        <v>1.2554473923966942E+16</v>
      </c>
      <c r="AA28" s="83">
        <v>8.0520461558914727E-5</v>
      </c>
      <c r="AB28" s="83">
        <v>1.1929562771204978E+16</v>
      </c>
      <c r="AC28" s="83">
        <v>7.6474026335535423E-5</v>
      </c>
      <c r="AD28" s="83">
        <v>1.060261174799888E+16</v>
      </c>
      <c r="AE28" s="83">
        <v>6.9719485059645459E-5</v>
      </c>
    </row>
    <row r="29" spans="2:31" x14ac:dyDescent="0.2">
      <c r="B29" s="83">
        <v>1.9501820531672816E+16</v>
      </c>
      <c r="C29" s="83">
        <v>1.3035366413149192E-4</v>
      </c>
      <c r="D29" s="83">
        <v>1.9195916259941596E+16</v>
      </c>
      <c r="E29" s="83">
        <v>1.2879890498173927E-4</v>
      </c>
      <c r="F29" s="83">
        <v>1.9414330238962484E+16</v>
      </c>
      <c r="G29" s="83">
        <v>1.2777629170208617E-4</v>
      </c>
      <c r="H29" s="83">
        <v>1.8547413745069308E+16</v>
      </c>
      <c r="I29" s="83">
        <v>1.2332133436403206E-4</v>
      </c>
      <c r="J29" s="83">
        <v>1.7092688565952732E+16</v>
      </c>
      <c r="K29" s="83">
        <v>1.1642293927303126E-4</v>
      </c>
      <c r="L29" s="83">
        <v>1.7161252829357748E+16</v>
      </c>
      <c r="M29" s="83">
        <v>1.1194680266011717E-4</v>
      </c>
      <c r="N29" s="83">
        <v>1.5610689215923752E+16</v>
      </c>
      <c r="O29" s="83">
        <v>1.0719294304022775E-4</v>
      </c>
      <c r="P29" s="83">
        <v>1.5662040126667882E+16</v>
      </c>
      <c r="Q29" s="83">
        <v>1.0294158137238123E-4</v>
      </c>
      <c r="R29" s="83">
        <v>1.433405329390636E+16</v>
      </c>
      <c r="S29" s="83">
        <v>9.8173463700368911E-5</v>
      </c>
      <c r="T29" s="83">
        <v>1.4181138018581158E+16</v>
      </c>
      <c r="U29" s="83">
        <v>9.4131198399320421E-5</v>
      </c>
      <c r="V29" s="83">
        <v>1.340518049244273E+16</v>
      </c>
      <c r="W29" s="83">
        <v>8.81143307872056E-5</v>
      </c>
      <c r="X29" s="83">
        <v>1.2130432722618308E+16</v>
      </c>
      <c r="Y29" s="83">
        <v>8.3734323613099813E-5</v>
      </c>
      <c r="Z29" s="83">
        <v>1.1818122093944224E+16</v>
      </c>
      <c r="AA29" s="83">
        <v>8.011580775671899E-5</v>
      </c>
      <c r="AB29" s="83">
        <v>1.1214590222491748E+16</v>
      </c>
      <c r="AC29" s="83">
        <v>7.5991803401117807E-5</v>
      </c>
      <c r="AD29" s="83">
        <v>9949873671104586</v>
      </c>
      <c r="AE29" s="83">
        <v>6.9173012027657729E-5</v>
      </c>
    </row>
    <row r="30" spans="2:31" x14ac:dyDescent="0.2">
      <c r="B30" s="83">
        <v>1.8566612388081112E+16</v>
      </c>
      <c r="C30" s="83">
        <v>1.3102162604188868E-4</v>
      </c>
      <c r="D30" s="83">
        <v>1.8260964795163176E+16</v>
      </c>
      <c r="E30" s="83">
        <v>1.2936183917958336E-4</v>
      </c>
      <c r="F30" s="83">
        <v>1.8457711652346628E+16</v>
      </c>
      <c r="G30" s="83">
        <v>1.2826948611577711E-4</v>
      </c>
      <c r="H30" s="83">
        <v>1.7622217012279318E+16</v>
      </c>
      <c r="I30" s="83">
        <v>1.2368064881824363E-4</v>
      </c>
      <c r="J30" s="83">
        <v>1.6215377053348154E+16</v>
      </c>
      <c r="K30" s="83">
        <v>1.1662183224049257E-4</v>
      </c>
      <c r="L30" s="83">
        <v>1.6273867226027884E+16</v>
      </c>
      <c r="M30" s="83">
        <v>1.1211667496769007E-4</v>
      </c>
      <c r="N30" s="83">
        <v>1.478721220807794E+16</v>
      </c>
      <c r="O30" s="83">
        <v>1.0716716949714761E-4</v>
      </c>
      <c r="P30" s="83">
        <v>1.4823557315024986E+16</v>
      </c>
      <c r="Q30" s="83">
        <v>1.0291460774481422E-4</v>
      </c>
      <c r="R30" s="83">
        <v>1.3551188857962134E+16</v>
      </c>
      <c r="S30" s="83">
        <v>9.8005992866897484E-5</v>
      </c>
      <c r="T30" s="83">
        <v>1.3391106435407008E+16</v>
      </c>
      <c r="U30" s="83">
        <v>9.3896352675947037E-5</v>
      </c>
      <c r="V30" s="83">
        <v>1.2646192985099334E+16</v>
      </c>
      <c r="W30" s="83">
        <v>8.7822206683037967E-5</v>
      </c>
      <c r="X30" s="83">
        <v>1.142533830874366E+16</v>
      </c>
      <c r="Y30" s="83">
        <v>8.333789379623454E-5</v>
      </c>
      <c r="Z30" s="83">
        <v>1.1123312219854128E+16</v>
      </c>
      <c r="AA30" s="83">
        <v>7.9692535077275546E-5</v>
      </c>
      <c r="AB30" s="83">
        <v>1.0542650157378102E+16</v>
      </c>
      <c r="AC30" s="83">
        <v>7.5509698964455703E-5</v>
      </c>
      <c r="AD30" s="83">
        <v>9332678772147270</v>
      </c>
      <c r="AE30" s="83">
        <v>6.8582954581034554E-5</v>
      </c>
    </row>
    <row r="31" spans="2:31" x14ac:dyDescent="0.2">
      <c r="B31" s="83">
        <v>1.7673149551250922E+16</v>
      </c>
      <c r="C31" s="83">
        <v>1.3186793888847638E-4</v>
      </c>
      <c r="D31" s="83">
        <v>1.7370468141266164E+16</v>
      </c>
      <c r="E31" s="83">
        <v>1.3011752647334242E-4</v>
      </c>
      <c r="F31" s="83">
        <v>1.7543916381510536E+16</v>
      </c>
      <c r="G31" s="83">
        <v>1.288283473650546E-4</v>
      </c>
      <c r="H31" s="83">
        <v>1.673787591381324E+16</v>
      </c>
      <c r="I31" s="83">
        <v>1.2414888656763666E-4</v>
      </c>
      <c r="J31" s="83">
        <v>1.5383903405436114E+16</v>
      </c>
      <c r="K31" s="83">
        <v>1.1701004985501156E-4</v>
      </c>
      <c r="L31" s="83">
        <v>1.542895848497723E+16</v>
      </c>
      <c r="M31" s="83">
        <v>1.1229604007461108E-4</v>
      </c>
      <c r="N31" s="83">
        <v>1.4011325075880742E+16</v>
      </c>
      <c r="O31" s="83">
        <v>1.0736150253912455E-4</v>
      </c>
      <c r="P31" s="83">
        <v>1.4028554823397668E+16</v>
      </c>
      <c r="Q31" s="83">
        <v>1.0290385073537162E-4</v>
      </c>
      <c r="R31" s="83">
        <v>1.280992380803371E+16</v>
      </c>
      <c r="S31" s="83">
        <v>9.8013800802610081E-5</v>
      </c>
      <c r="T31" s="83">
        <v>1.2645097493802188E+16</v>
      </c>
      <c r="U31" s="83">
        <v>9.3731933457959069E-5</v>
      </c>
      <c r="V31" s="83">
        <v>1.192655790060874E+16</v>
      </c>
      <c r="W31" s="83">
        <v>8.753326527965083E-5</v>
      </c>
      <c r="X31" s="83">
        <v>1.075916876797711E+16</v>
      </c>
      <c r="Y31" s="83">
        <v>8.3054532418664205E-5</v>
      </c>
      <c r="Z31" s="83">
        <v>1.0462185714733276E+16</v>
      </c>
      <c r="AA31" s="83">
        <v>7.9291465847389849E-5</v>
      </c>
      <c r="AB31" s="83">
        <v>9901745107527586</v>
      </c>
      <c r="AC31" s="83">
        <v>7.502349164692741E-5</v>
      </c>
      <c r="AD31" s="83">
        <v>8754445669875415</v>
      </c>
      <c r="AE31" s="83">
        <v>6.8091286704411726E-5</v>
      </c>
    </row>
    <row r="32" spans="2:31" x14ac:dyDescent="0.2">
      <c r="B32" s="83">
        <v>1.6812200023978104E+16</v>
      </c>
      <c r="C32" s="83">
        <v>1.3242127120217524E-4</v>
      </c>
      <c r="D32" s="83">
        <v>1.6519966272660428E+16</v>
      </c>
      <c r="E32" s="83">
        <v>1.3061626548075561E-4</v>
      </c>
      <c r="F32" s="83">
        <v>1.667693808959881E+16</v>
      </c>
      <c r="G32" s="83">
        <v>1.2942309624421221E-4</v>
      </c>
      <c r="H32" s="83">
        <v>1.5901662722765548E+16</v>
      </c>
      <c r="I32" s="83">
        <v>1.2460440432246733E-4</v>
      </c>
      <c r="J32" s="83">
        <v>1.4593304077841376E+16</v>
      </c>
      <c r="K32" s="83">
        <v>1.1715083362583884E-4</v>
      </c>
      <c r="L32" s="83">
        <v>1.4627032783632862E+16</v>
      </c>
      <c r="M32" s="83">
        <v>1.1255334107381485E-4</v>
      </c>
      <c r="N32" s="83">
        <v>1.3265876381065974E+16</v>
      </c>
      <c r="O32" s="83">
        <v>1.072816544165579E-4</v>
      </c>
      <c r="P32" s="83">
        <v>1.3266464817337458E+16</v>
      </c>
      <c r="Q32" s="83">
        <v>1.029129213814524E-4</v>
      </c>
      <c r="R32" s="83">
        <v>1.2100121082920104E+16</v>
      </c>
      <c r="S32" s="83">
        <v>9.7771011966068811E-5</v>
      </c>
      <c r="T32" s="83">
        <v>1.193612485419789E+16</v>
      </c>
      <c r="U32" s="83">
        <v>9.3568631259437229E-5</v>
      </c>
      <c r="V32" s="83">
        <v>1.124238387430122E+16</v>
      </c>
      <c r="W32" s="83">
        <v>8.7288109022405207E-5</v>
      </c>
      <c r="X32" s="83">
        <v>1.0133546730513608E+16</v>
      </c>
      <c r="Y32" s="83">
        <v>8.2625697159862692E-5</v>
      </c>
      <c r="Z32" s="83">
        <v>9841964060004832</v>
      </c>
      <c r="AA32" s="83">
        <v>7.8844474677216444E-5</v>
      </c>
      <c r="AB32" s="83">
        <v>9302513182066820</v>
      </c>
      <c r="AC32" s="83">
        <v>7.4519081400378526E-5</v>
      </c>
      <c r="AD32" s="83">
        <v>8211088727205681</v>
      </c>
      <c r="AE32" s="83">
        <v>6.7481587150321581E-5</v>
      </c>
    </row>
    <row r="33" spans="2:31" x14ac:dyDescent="0.2">
      <c r="B33" s="83">
        <v>1.5995770500398034E+16</v>
      </c>
      <c r="C33" s="83">
        <v>1.3293261597737508E-4</v>
      </c>
      <c r="D33" s="83">
        <v>1.5710955601883902E+16</v>
      </c>
      <c r="E33" s="83">
        <v>1.3105037394913328E-4</v>
      </c>
      <c r="F33" s="83">
        <v>1.5847386336253686E+16</v>
      </c>
      <c r="G33" s="83">
        <v>1.2976000385646767E-4</v>
      </c>
      <c r="H33" s="83">
        <v>1.5099262651278192E+16</v>
      </c>
      <c r="I33" s="83">
        <v>1.2481588764226974E-4</v>
      </c>
      <c r="J33" s="83">
        <v>1.3841442025032104E+16</v>
      </c>
      <c r="K33" s="83">
        <v>1.1721946120609894E-4</v>
      </c>
      <c r="L33" s="83">
        <v>1.3860134727054214E+16</v>
      </c>
      <c r="M33" s="83">
        <v>1.1256881707705198E-4</v>
      </c>
      <c r="N33" s="83">
        <v>1.256416381512559E+16</v>
      </c>
      <c r="O33" s="83">
        <v>1.0719115208177562E-4</v>
      </c>
      <c r="P33" s="83">
        <v>1.254726334564135E+16</v>
      </c>
      <c r="Q33" s="83">
        <v>1.0274463205971895E-4</v>
      </c>
      <c r="R33" s="83">
        <v>1.1439606348797798E+16</v>
      </c>
      <c r="S33" s="83">
        <v>9.7559190507905165E-5</v>
      </c>
      <c r="T33" s="83">
        <v>1.1264348531857468E+16</v>
      </c>
      <c r="U33" s="83">
        <v>9.3225830997339709E-5</v>
      </c>
      <c r="V33" s="83">
        <v>1.0592622547689316E+16</v>
      </c>
      <c r="W33" s="83">
        <v>8.6857600300732922E-5</v>
      </c>
      <c r="X33" s="83">
        <v>9542211368883510</v>
      </c>
      <c r="Y33" s="83">
        <v>8.215096815307334E-5</v>
      </c>
      <c r="Z33" s="83">
        <v>9256653873902626</v>
      </c>
      <c r="AA33" s="83">
        <v>7.832489490749875E-5</v>
      </c>
      <c r="AB33" s="83">
        <v>8743310261735323</v>
      </c>
      <c r="AC33" s="83">
        <v>7.3969656647951274E-5</v>
      </c>
      <c r="AD33" s="83">
        <v>7702864378172585</v>
      </c>
      <c r="AE33" s="83">
        <v>6.6856119768421578E-5</v>
      </c>
    </row>
    <row r="34" spans="2:31" x14ac:dyDescent="0.2">
      <c r="B34" s="83">
        <v>1.5213812687594534E+16</v>
      </c>
      <c r="C34" s="83">
        <v>1.3333965819429432E-4</v>
      </c>
      <c r="D34" s="83">
        <v>1.4927749202857378E+16</v>
      </c>
      <c r="E34" s="83">
        <v>1.3133578559258494E-4</v>
      </c>
      <c r="F34" s="83">
        <v>1.5062425468484474E+16</v>
      </c>
      <c r="G34" s="83">
        <v>1.3008783760456262E-4</v>
      </c>
      <c r="H34" s="83">
        <v>1.434363696230339E+16</v>
      </c>
      <c r="I34" s="83">
        <v>1.2506154003594621E-4</v>
      </c>
      <c r="J34" s="83">
        <v>1.3123085201058062E+16</v>
      </c>
      <c r="K34" s="83">
        <v>1.1718223637564005E-4</v>
      </c>
      <c r="L34" s="83">
        <v>1.3136676745498676E+16</v>
      </c>
      <c r="M34" s="83">
        <v>1.1255522694460102E-4</v>
      </c>
      <c r="N34" s="83">
        <v>1.1894496572504916E+16</v>
      </c>
      <c r="O34" s="83">
        <v>1.0701969355614098E-4</v>
      </c>
      <c r="P34" s="83">
        <v>1.1869788910024716E+16</v>
      </c>
      <c r="Q34" s="83">
        <v>1.0255439252759304E-4</v>
      </c>
      <c r="R34" s="83">
        <v>1.0809777529374878E+16</v>
      </c>
      <c r="S34" s="83">
        <v>9.7251420929557006E-5</v>
      </c>
      <c r="T34" s="83">
        <v>1.0639753927528148E+16</v>
      </c>
      <c r="U34" s="83">
        <v>9.2945744836355759E-5</v>
      </c>
      <c r="V34" s="83">
        <v>9988547603940930</v>
      </c>
      <c r="W34" s="83">
        <v>8.6456661693769967E-5</v>
      </c>
      <c r="X34" s="83">
        <v>8990061271690213</v>
      </c>
      <c r="Y34" s="83">
        <v>8.167413088915412E-5</v>
      </c>
      <c r="Z34" s="83">
        <v>8710264173418587</v>
      </c>
      <c r="AA34" s="83">
        <v>7.7788635679659066E-5</v>
      </c>
      <c r="AB34" s="83">
        <v>8220779070231905</v>
      </c>
      <c r="AC34" s="83">
        <v>7.3404698736446826E-5</v>
      </c>
      <c r="AD34" s="83">
        <v>7226807255739606</v>
      </c>
      <c r="AE34" s="83">
        <v>6.618020029284483E-5</v>
      </c>
    </row>
    <row r="35" spans="2:31" x14ac:dyDescent="0.2">
      <c r="B35" s="83">
        <v>1.4464522227456286E+16</v>
      </c>
      <c r="C35" s="83">
        <v>1.3362480489025012E-4</v>
      </c>
      <c r="D35" s="83">
        <v>1.4180845116094632E+16</v>
      </c>
      <c r="E35" s="83">
        <v>1.315444182007587E-4</v>
      </c>
      <c r="F35" s="83">
        <v>1.4305818398829076E+16</v>
      </c>
      <c r="G35" s="83">
        <v>1.3028733607116109E-4</v>
      </c>
      <c r="H35" s="83">
        <v>1.3607680152058888E+16</v>
      </c>
      <c r="I35" s="83">
        <v>1.2509958210860434E-4</v>
      </c>
      <c r="J35" s="83">
        <v>1.243729931355642E+16</v>
      </c>
      <c r="K35" s="83">
        <v>1.1706522094626984E-4</v>
      </c>
      <c r="L35" s="83">
        <v>1.2441073267272192E+16</v>
      </c>
      <c r="M35" s="83">
        <v>1.1242243234406273E-4</v>
      </c>
      <c r="N35" s="83">
        <v>1.126331881249413E+16</v>
      </c>
      <c r="O35" s="83">
        <v>1.0679403969562258E-4</v>
      </c>
      <c r="P35" s="83">
        <v>1.1222645468675406E+16</v>
      </c>
      <c r="Q35" s="83">
        <v>1.0226074530878558E-4</v>
      </c>
      <c r="R35" s="83">
        <v>1.0205972939407134E+16</v>
      </c>
      <c r="S35" s="83">
        <v>9.6818033528948098E-5</v>
      </c>
      <c r="T35" s="83">
        <v>1.0042732249639162E+16</v>
      </c>
      <c r="U35" s="83">
        <v>9.2552045549238065E-5</v>
      </c>
      <c r="V35" s="83">
        <v>9411236125637696</v>
      </c>
      <c r="W35" s="83">
        <v>8.5964934261017472E-5</v>
      </c>
      <c r="X35" s="83">
        <v>8462093245241405</v>
      </c>
      <c r="Y35" s="83">
        <v>8.1085445631366783E-5</v>
      </c>
      <c r="Z35" s="83">
        <v>8191184385357167</v>
      </c>
      <c r="AA35" s="83">
        <v>7.7185244778404225E-5</v>
      </c>
      <c r="AB35" s="83">
        <v>7724085273555206</v>
      </c>
      <c r="AC35" s="83">
        <v>7.2776436955184054E-5</v>
      </c>
      <c r="AD35" s="83">
        <v>6777655477861600</v>
      </c>
      <c r="AE35" s="83">
        <v>6.5482999822837499E-5</v>
      </c>
    </row>
    <row r="36" spans="2:31" x14ac:dyDescent="0.2">
      <c r="B36" s="83">
        <v>1.3747707409869082E+16</v>
      </c>
      <c r="C36" s="83">
        <v>1.3385466438267364E-4</v>
      </c>
      <c r="D36" s="83">
        <v>1.347187829492011E+16</v>
      </c>
      <c r="E36" s="83">
        <v>1.3174166666819685E-4</v>
      </c>
      <c r="F36" s="83">
        <v>1.358079892457761E+16</v>
      </c>
      <c r="G36" s="83">
        <v>1.3036476901032328E-4</v>
      </c>
      <c r="H36" s="83">
        <v>1.2914149241889726E+16</v>
      </c>
      <c r="I36" s="83">
        <v>1.2511054070179801E-4</v>
      </c>
      <c r="J36" s="83">
        <v>1.1787879151096732E+16</v>
      </c>
      <c r="K36" s="83">
        <v>1.1695202571338097E-4</v>
      </c>
      <c r="L36" s="83">
        <v>1.1779928590220954E+16</v>
      </c>
      <c r="M36" s="83">
        <v>1.1224559380744018E-4</v>
      </c>
      <c r="N36" s="83">
        <v>1.0656936422443678E+16</v>
      </c>
      <c r="O36" s="83">
        <v>1.0647618789783636E-4</v>
      </c>
      <c r="P36" s="83">
        <v>1.0606064002708814E+16</v>
      </c>
      <c r="Q36" s="83">
        <v>1.0188862545641112E-4</v>
      </c>
      <c r="R36" s="83">
        <v>9639008575988310</v>
      </c>
      <c r="S36" s="83">
        <v>9.6427535372535885E-5</v>
      </c>
      <c r="T36" s="83">
        <v>9472970302585536</v>
      </c>
      <c r="U36" s="83">
        <v>9.2061847422315491E-5</v>
      </c>
      <c r="V36" s="83">
        <v>8869630486243882</v>
      </c>
      <c r="W36" s="83">
        <v>8.5450443867197964E-5</v>
      </c>
      <c r="X36" s="83">
        <v>7968933164219967</v>
      </c>
      <c r="Y36" s="83">
        <v>8.0518025272983349E-5</v>
      </c>
      <c r="Z36" s="83">
        <v>7706750884812707</v>
      </c>
      <c r="AA36" s="83">
        <v>7.6606813677288407E-5</v>
      </c>
      <c r="AB36" s="83">
        <v>7257000870150837</v>
      </c>
      <c r="AC36" s="83">
        <v>7.2140642337920481E-5</v>
      </c>
      <c r="AD36" s="83">
        <v>6355404294101230</v>
      </c>
      <c r="AE36" s="83">
        <v>6.4782833334324104E-5</v>
      </c>
    </row>
    <row r="37" spans="2:31" x14ac:dyDescent="0.2">
      <c r="B37" s="83">
        <v>1.3061880591293052E+16</v>
      </c>
      <c r="C37" s="83">
        <v>1.3399983033103683E-4</v>
      </c>
      <c r="D37" s="83">
        <v>1.279057534534059E+16</v>
      </c>
      <c r="E37" s="83">
        <v>1.3180707929383081E-4</v>
      </c>
      <c r="F37" s="83">
        <v>1.2897324722797848E+16</v>
      </c>
      <c r="G37" s="83">
        <v>1.3043896748950623E-4</v>
      </c>
      <c r="H37" s="83">
        <v>1.2250785067243874E+16</v>
      </c>
      <c r="I37" s="83">
        <v>1.2505265714294407E-4</v>
      </c>
      <c r="J37" s="83">
        <v>1.1172349991404484E+16</v>
      </c>
      <c r="K37" s="83">
        <v>1.168183471416352E-4</v>
      </c>
      <c r="L37" s="83">
        <v>1.1153811663637296E+16</v>
      </c>
      <c r="M37" s="83">
        <v>1.1204874660941497E-4</v>
      </c>
      <c r="N37" s="83">
        <v>1.0079499290984518E+16</v>
      </c>
      <c r="O37" s="83">
        <v>1.0609612587227657E-4</v>
      </c>
      <c r="P37" s="83">
        <v>1.0025332222573966E+16</v>
      </c>
      <c r="Q37" s="83">
        <v>1.0154515820997617E-4</v>
      </c>
      <c r="R37" s="83">
        <v>9098124819424566</v>
      </c>
      <c r="S37" s="83">
        <v>9.5959582488447728E-5</v>
      </c>
      <c r="T37" s="83">
        <v>8937413266103268</v>
      </c>
      <c r="U37" s="83">
        <v>9.1589609429602723E-5</v>
      </c>
      <c r="V37" s="83">
        <v>8354347988692718</v>
      </c>
      <c r="W37" s="83">
        <v>8.4900845131198236E-5</v>
      </c>
      <c r="X37" s="83">
        <v>7492200420056623</v>
      </c>
      <c r="Y37" s="83">
        <v>7.9852832837463172E-5</v>
      </c>
      <c r="Z37" s="83">
        <v>7248645667740305</v>
      </c>
      <c r="AA37" s="83">
        <v>7.5985182414734222E-5</v>
      </c>
      <c r="AB37" s="83">
        <v>6816735483126457</v>
      </c>
      <c r="AC37" s="83">
        <v>7.1441742142391848E-5</v>
      </c>
      <c r="AD37" s="83">
        <v>5958129488975963</v>
      </c>
      <c r="AE37" s="83">
        <v>6.4055583920332614E-5</v>
      </c>
    </row>
    <row r="38" spans="2:31" x14ac:dyDescent="0.2">
      <c r="B38" s="83">
        <v>1.2404560547015216E+16</v>
      </c>
      <c r="C38" s="83">
        <v>1.3404530757934601E-4</v>
      </c>
      <c r="D38" s="83">
        <v>1.2142725508111708E+16</v>
      </c>
      <c r="E38" s="83">
        <v>1.3184783188290586E-4</v>
      </c>
      <c r="F38" s="83">
        <v>1.223594015955801E+16</v>
      </c>
      <c r="G38" s="83">
        <v>1.3039936436833207E-4</v>
      </c>
      <c r="H38" s="83">
        <v>1.1616712631766156E+16</v>
      </c>
      <c r="I38" s="83">
        <v>1.2490503312429313E-4</v>
      </c>
      <c r="J38" s="83">
        <v>1.0582052169258424E+16</v>
      </c>
      <c r="K38" s="83">
        <v>1.1656104765603577E-4</v>
      </c>
      <c r="L38" s="83">
        <v>1.0558860965276116E+16</v>
      </c>
      <c r="M38" s="83">
        <v>1.1176508001421456E-4</v>
      </c>
      <c r="N38" s="83">
        <v>9533746752865864</v>
      </c>
      <c r="O38" s="83">
        <v>1.0570903008393171E-4</v>
      </c>
      <c r="P38" s="83">
        <v>9475133734526546</v>
      </c>
      <c r="Q38" s="83">
        <v>1.0113127383516469E-4</v>
      </c>
      <c r="R38" s="83">
        <v>8590131613968402</v>
      </c>
      <c r="S38" s="83">
        <v>9.5478700038324261E-5</v>
      </c>
      <c r="T38" s="83">
        <v>8429620822742672</v>
      </c>
      <c r="U38" s="83">
        <v>9.1051220117312865E-5</v>
      </c>
      <c r="V38" s="83">
        <v>7868169555266792</v>
      </c>
      <c r="W38" s="83">
        <v>8.4298882565523537E-5</v>
      </c>
      <c r="X38" s="83">
        <v>7054944722881337</v>
      </c>
      <c r="Y38" s="83">
        <v>7.9265522393957337E-5</v>
      </c>
      <c r="Z38" s="83">
        <v>6810725345664035</v>
      </c>
      <c r="AA38" s="83">
        <v>7.5255783312602197E-5</v>
      </c>
      <c r="AB38" s="83">
        <v>6400926301522713</v>
      </c>
      <c r="AC38" s="83">
        <v>7.0752524374963877E-5</v>
      </c>
      <c r="AD38" s="83">
        <v>5589119782351897</v>
      </c>
      <c r="AE38" s="83">
        <v>6.3351763578345949E-5</v>
      </c>
    </row>
    <row r="39" spans="2:31" x14ac:dyDescent="0.2">
      <c r="B39" s="83">
        <v>1.1778194526440436E+16</v>
      </c>
      <c r="C39" s="83">
        <v>1.3409848406237607E-4</v>
      </c>
      <c r="D39" s="83">
        <v>1.1526773247353236E+16</v>
      </c>
      <c r="E39" s="83">
        <v>1.3181827310371143E-4</v>
      </c>
      <c r="F39" s="83">
        <v>1.1610877088217688E+16</v>
      </c>
      <c r="G39" s="83">
        <v>1.3032090915979057E-4</v>
      </c>
      <c r="H39" s="83">
        <v>1.1019067533397112E+16</v>
      </c>
      <c r="I39" s="83">
        <v>1.2482166894314833E-4</v>
      </c>
      <c r="J39" s="83">
        <v>1.001658957269426E+16</v>
      </c>
      <c r="K39" s="83">
        <v>1.1618541358332071E-4</v>
      </c>
      <c r="L39" s="83">
        <v>9984576689035840</v>
      </c>
      <c r="M39" s="83">
        <v>1.1136017489218102E-4</v>
      </c>
      <c r="N39" s="83">
        <v>9010619187874492</v>
      </c>
      <c r="O39" s="83">
        <v>1.0521869380384827E-4</v>
      </c>
      <c r="P39" s="83">
        <v>8948189384651185</v>
      </c>
      <c r="Q39" s="83">
        <v>1.0067064969786438E-4</v>
      </c>
      <c r="R39" s="83">
        <v>8104394881496200</v>
      </c>
      <c r="S39" s="83">
        <v>9.4904571867634232E-5</v>
      </c>
      <c r="T39" s="83">
        <v>7947287900907357</v>
      </c>
      <c r="U39" s="83">
        <v>9.0469706011633058E-5</v>
      </c>
      <c r="V39" s="83">
        <v>7411225866474894</v>
      </c>
      <c r="W39" s="83">
        <v>8.3696202231640972E-5</v>
      </c>
      <c r="X39" s="83">
        <v>6642050723389790</v>
      </c>
      <c r="Y39" s="83">
        <v>7.8630980933875507E-5</v>
      </c>
      <c r="Z39" s="83">
        <v>6403665324180784</v>
      </c>
      <c r="AA39" s="83">
        <v>7.4596188708029172E-5</v>
      </c>
      <c r="AB39" s="83">
        <v>6006619173308158</v>
      </c>
      <c r="AC39" s="83">
        <v>7.0007167071749917E-5</v>
      </c>
      <c r="AD39" s="83">
        <v>5240117478900220</v>
      </c>
      <c r="AE39" s="83">
        <v>6.2623878895806949E-5</v>
      </c>
    </row>
    <row r="40" spans="2:31" x14ac:dyDescent="0.2">
      <c r="B40" s="83">
        <v>1.118010162288648E+16</v>
      </c>
      <c r="C40" s="83">
        <v>1.3398447809375715E-4</v>
      </c>
      <c r="D40" s="83">
        <v>1.093297123036069E+16</v>
      </c>
      <c r="E40" s="83">
        <v>1.3162735575344782E-4</v>
      </c>
      <c r="F40" s="83">
        <v>1.1009394140573052E+16</v>
      </c>
      <c r="G40" s="83">
        <v>1.3013339610109658E-4</v>
      </c>
      <c r="H40" s="83">
        <v>1.044058535420965E+16</v>
      </c>
      <c r="I40" s="83">
        <v>1.245074899467511E-4</v>
      </c>
      <c r="J40" s="83">
        <v>9486209435851140</v>
      </c>
      <c r="K40" s="83">
        <v>1.1581757170400703E-4</v>
      </c>
      <c r="L40" s="83">
        <v>9443232391518668</v>
      </c>
      <c r="M40" s="83">
        <v>1.1096342523090686E-4</v>
      </c>
      <c r="N40" s="83">
        <v>8524958231875618</v>
      </c>
      <c r="O40" s="83">
        <v>1.047540052942257E-4</v>
      </c>
      <c r="P40" s="83">
        <v>8453060155627948</v>
      </c>
      <c r="Q40" s="83">
        <v>1.0014146889887545E-4</v>
      </c>
      <c r="R40" s="83">
        <v>7644401439804290</v>
      </c>
      <c r="S40" s="83">
        <v>9.4265549947099829E-5</v>
      </c>
      <c r="T40" s="83">
        <v>7495552693784851</v>
      </c>
      <c r="U40" s="83">
        <v>8.9881053518298072E-5</v>
      </c>
      <c r="V40" s="83">
        <v>6979583640128380</v>
      </c>
      <c r="W40" s="83">
        <v>8.306334430449762E-5</v>
      </c>
      <c r="X40" s="83">
        <v>6248258415925561</v>
      </c>
      <c r="Y40" s="83">
        <v>7.7876710478270994E-5</v>
      </c>
      <c r="Z40" s="83">
        <v>6019807573538920</v>
      </c>
      <c r="AA40" s="83">
        <v>7.3876138586553795E-5</v>
      </c>
      <c r="AB40" s="83">
        <v>5645397745008993</v>
      </c>
      <c r="AC40" s="83">
        <v>6.9329766694717709E-5</v>
      </c>
      <c r="AD40" s="83">
        <v>4912154763705846</v>
      </c>
      <c r="AE40" s="83">
        <v>6.1827765900437042E-5</v>
      </c>
    </row>
    <row r="41" spans="2:31" x14ac:dyDescent="0.2">
      <c r="B41" s="83">
        <v>1.0618882826081334E+16</v>
      </c>
      <c r="C41" s="83">
        <v>1.3404604653230668E-4</v>
      </c>
      <c r="D41" s="83">
        <v>1.0365982772889612E+16</v>
      </c>
      <c r="E41" s="83">
        <v>1.3143797832424045E-4</v>
      </c>
      <c r="F41" s="83">
        <v>1.0441341915508908E+16</v>
      </c>
      <c r="G41" s="83">
        <v>1.2991104108767175E-4</v>
      </c>
      <c r="H41" s="83">
        <v>9903510503286738</v>
      </c>
      <c r="I41" s="83">
        <v>1.243157781132761E-4</v>
      </c>
      <c r="J41" s="83">
        <v>8978127391525004</v>
      </c>
      <c r="K41" s="83">
        <v>1.1546280848249031E-4</v>
      </c>
      <c r="L41" s="83">
        <v>8934271133662443</v>
      </c>
      <c r="M41" s="83">
        <v>1.1050544754453571E-4</v>
      </c>
      <c r="N41" s="83">
        <v>8055218366818202</v>
      </c>
      <c r="O41" s="83">
        <v>1.042741670666745E-4</v>
      </c>
      <c r="P41" s="83">
        <v>7984428313760077</v>
      </c>
      <c r="Q41" s="83">
        <v>9.9591445246293206E-5</v>
      </c>
      <c r="R41" s="83">
        <v>7210736447019500</v>
      </c>
      <c r="S41" s="83">
        <v>9.3729034007565085E-5</v>
      </c>
      <c r="T41" s="83">
        <v>7065928561391971</v>
      </c>
      <c r="U41" s="83">
        <v>8.9278044760183876E-5</v>
      </c>
      <c r="V41" s="83">
        <v>6571191550837821</v>
      </c>
      <c r="W41" s="83">
        <v>8.2350284163173348E-5</v>
      </c>
      <c r="X41" s="83">
        <v>5877807845587627</v>
      </c>
      <c r="Y41" s="83">
        <v>7.7200811567911933E-5</v>
      </c>
      <c r="Z41" s="83">
        <v>5656541441218455</v>
      </c>
      <c r="AA41" s="83">
        <v>7.3133995925973492E-5</v>
      </c>
      <c r="AB41" s="83">
        <v>5301958460732436</v>
      </c>
      <c r="AC41" s="83">
        <v>6.8595185418198146E-5</v>
      </c>
      <c r="AD41" s="83">
        <v>4608586025899594</v>
      </c>
      <c r="AE41" s="83">
        <v>6.1161213609152264E-5</v>
      </c>
    </row>
    <row r="42" spans="2:31" x14ac:dyDescent="0.2">
      <c r="B42" s="83">
        <v>1.0073094739099462E+16</v>
      </c>
      <c r="C42" s="83">
        <v>1.3391080562504622E-4</v>
      </c>
      <c r="D42" s="83">
        <v>9834290690439122</v>
      </c>
      <c r="E42" s="83">
        <v>1.3136030098290694E-4</v>
      </c>
      <c r="F42" s="83">
        <v>9904785992818954</v>
      </c>
      <c r="G42" s="83">
        <v>1.2981755419274823E-4</v>
      </c>
      <c r="H42" s="83">
        <v>9383153407774648</v>
      </c>
      <c r="I42" s="83">
        <v>1.2409767980036296E-4</v>
      </c>
      <c r="J42" s="83">
        <v>8494443426432143</v>
      </c>
      <c r="K42" s="83">
        <v>1.1500887468781372E-4</v>
      </c>
      <c r="L42" s="83">
        <v>8450220205484132</v>
      </c>
      <c r="M42" s="83">
        <v>1.1016550979394146E-4</v>
      </c>
      <c r="N42" s="83">
        <v>7613222282863199</v>
      </c>
      <c r="O42" s="83">
        <v>1.0375113400752328E-4</v>
      </c>
      <c r="P42" s="83">
        <v>7537157954184697</v>
      </c>
      <c r="Q42" s="83">
        <v>9.9029034344376942E-5</v>
      </c>
      <c r="R42" s="83">
        <v>6803836095979495</v>
      </c>
      <c r="S42" s="83">
        <v>9.3135232499870331E-5</v>
      </c>
      <c r="T42" s="83">
        <v>6658794219463292</v>
      </c>
      <c r="U42" s="83">
        <v>8.8635060573362048E-5</v>
      </c>
      <c r="V42" s="83">
        <v>6186040196449880</v>
      </c>
      <c r="W42" s="83">
        <v>8.1710060804462013E-5</v>
      </c>
      <c r="X42" s="83">
        <v>5526890852581299</v>
      </c>
      <c r="Y42" s="83">
        <v>7.646397449535571E-5</v>
      </c>
      <c r="Z42" s="83">
        <v>5318595300208506</v>
      </c>
      <c r="AA42" s="83">
        <v>7.2461662304511645E-5</v>
      </c>
      <c r="AB42" s="83">
        <v>4976531765420547</v>
      </c>
      <c r="AC42" s="83">
        <v>6.7845262372203308E-5</v>
      </c>
      <c r="AD42" s="83">
        <v>4320303762359763.5</v>
      </c>
      <c r="AE42" s="83">
        <v>6.0368627545122782E-5</v>
      </c>
    </row>
    <row r="43" spans="2:31" x14ac:dyDescent="0.2">
      <c r="B43" s="83">
        <v>9559600665184994</v>
      </c>
      <c r="C43" s="83">
        <v>1.3377738278664189E-4</v>
      </c>
      <c r="D43" s="83">
        <v>9324961659416052</v>
      </c>
      <c r="E43" s="83">
        <v>1.3119756577759838E-4</v>
      </c>
      <c r="F43" s="83">
        <v>9386443760853172</v>
      </c>
      <c r="G43" s="83">
        <v>1.2953099067103199E-4</v>
      </c>
      <c r="H43" s="83">
        <v>8888977301975567</v>
      </c>
      <c r="I43" s="83">
        <v>1.2374136158292557E-4</v>
      </c>
      <c r="J43" s="83">
        <v>8037915377499570</v>
      </c>
      <c r="K43" s="83">
        <v>1.1459942302711428E-4</v>
      </c>
      <c r="L43" s="83">
        <v>7985730026277957</v>
      </c>
      <c r="M43" s="83">
        <v>1.0961552471879725E-4</v>
      </c>
      <c r="N43" s="83">
        <v>7194136443903677</v>
      </c>
      <c r="O43" s="83">
        <v>1.0319681003001574E-4</v>
      </c>
      <c r="P43" s="83">
        <v>7110427222294895</v>
      </c>
      <c r="Q43" s="83">
        <v>9.8412734753826865E-5</v>
      </c>
      <c r="R43" s="83">
        <v>6418170509199850</v>
      </c>
      <c r="S43" s="83">
        <v>9.2514929019496127E-5</v>
      </c>
      <c r="T43" s="83">
        <v>6274440139334526</v>
      </c>
      <c r="U43" s="83">
        <v>8.7972664922836562E-5</v>
      </c>
      <c r="V43" s="83">
        <v>5820252344660825</v>
      </c>
      <c r="W43" s="83">
        <v>8.0977191666329137E-5</v>
      </c>
      <c r="X43" s="83">
        <v>5197753808317487</v>
      </c>
      <c r="Y43" s="83">
        <v>7.573327759766644E-5</v>
      </c>
      <c r="Z43" s="83">
        <v>4995807414916578</v>
      </c>
      <c r="AA43" s="83">
        <v>7.1686993913994148E-5</v>
      </c>
      <c r="AB43" s="83">
        <v>4671140933507161</v>
      </c>
      <c r="AC43" s="83">
        <v>6.7058855037339197E-5</v>
      </c>
      <c r="AD43" s="83">
        <v>4047128628949139</v>
      </c>
      <c r="AE43" s="83">
        <v>5.9577180743649128E-5</v>
      </c>
    </row>
    <row r="44" spans="2:31" x14ac:dyDescent="0.2">
      <c r="B44" s="83">
        <v>9068138789119258</v>
      </c>
      <c r="C44" s="83">
        <v>1.3354120301323026E-4</v>
      </c>
      <c r="D44" s="83">
        <v>8846007033809854</v>
      </c>
      <c r="E44" s="83">
        <v>1.309530262542902E-4</v>
      </c>
      <c r="F44" s="83">
        <v>8903634314580153</v>
      </c>
      <c r="G44" s="83">
        <v>1.2930825056013014E-4</v>
      </c>
      <c r="H44" s="83">
        <v>8420691044651713</v>
      </c>
      <c r="I44" s="83">
        <v>1.2331196884936868E-4</v>
      </c>
      <c r="J44" s="83">
        <v>7603821449672405</v>
      </c>
      <c r="K44" s="83">
        <v>1.140866474249003E-4</v>
      </c>
      <c r="L44" s="83">
        <v>7547946315069563</v>
      </c>
      <c r="M44" s="83">
        <v>1.0907822670747175E-4</v>
      </c>
      <c r="N44" s="83">
        <v>6794312130138635</v>
      </c>
      <c r="O44" s="83">
        <v>1.025782385208522E-4</v>
      </c>
      <c r="P44" s="83">
        <v>6715082299011593</v>
      </c>
      <c r="Q44" s="83">
        <v>9.7824674154509171E-5</v>
      </c>
      <c r="R44" s="83">
        <v>6051971576714228</v>
      </c>
      <c r="S44" s="83">
        <v>9.1846720399413125E-5</v>
      </c>
      <c r="T44" s="83">
        <v>5918316364349387</v>
      </c>
      <c r="U44" s="83">
        <v>8.7358993070191522E-5</v>
      </c>
      <c r="V44" s="83">
        <v>5478082098885287</v>
      </c>
      <c r="W44" s="83">
        <v>8.0322263431007701E-5</v>
      </c>
      <c r="X44" s="83">
        <v>4887727897801579</v>
      </c>
      <c r="Y44" s="83">
        <v>7.5016610193202689E-5</v>
      </c>
      <c r="Z44" s="83">
        <v>4697764338239955</v>
      </c>
      <c r="AA44" s="83">
        <v>7.1002993512459214E-5</v>
      </c>
      <c r="AB44" s="83">
        <v>4387147557871673.5</v>
      </c>
      <c r="AC44" s="83">
        <v>6.6338351861155894E-5</v>
      </c>
      <c r="AD44" s="83">
        <v>3792086185908158</v>
      </c>
      <c r="AE44" s="83">
        <v>5.8780299087138712E-5</v>
      </c>
    </row>
    <row r="45" spans="2:31" x14ac:dyDescent="0.2">
      <c r="B45" s="83">
        <v>8597432081755681</v>
      </c>
      <c r="C45" s="83">
        <v>1.3324167525740165E-4</v>
      </c>
      <c r="D45" s="83">
        <v>8386008289478696</v>
      </c>
      <c r="E45" s="83">
        <v>1.3065460679558718E-4</v>
      </c>
      <c r="F45" s="83">
        <v>8443017694494646</v>
      </c>
      <c r="G45" s="83">
        <v>1.2901833072825249E-4</v>
      </c>
      <c r="H45" s="83">
        <v>7977962537577482</v>
      </c>
      <c r="I45" s="83">
        <v>1.2294184808582685E-4</v>
      </c>
      <c r="J45" s="83">
        <v>7196682073529160</v>
      </c>
      <c r="K45" s="83">
        <v>1.1361063137101888E-4</v>
      </c>
      <c r="L45" s="83">
        <v>7139201609275114</v>
      </c>
      <c r="M45" s="83">
        <v>1.086062993094866E-4</v>
      </c>
      <c r="N45" s="83">
        <v>6418098597588376</v>
      </c>
      <c r="O45" s="83">
        <v>1.019829644378271E-4</v>
      </c>
      <c r="P45" s="83">
        <v>6336706629234851</v>
      </c>
      <c r="Q45" s="83">
        <v>9.7189037700116514E-5</v>
      </c>
      <c r="R45" s="83">
        <v>5704840925070162</v>
      </c>
      <c r="S45" s="83">
        <v>9.1126349147676924E-5</v>
      </c>
      <c r="T45" s="83">
        <v>5575682845151930</v>
      </c>
      <c r="U45" s="83">
        <v>8.6654285933536248E-5</v>
      </c>
      <c r="V45" s="83">
        <v>5158475976075800</v>
      </c>
      <c r="W45" s="83">
        <v>7.9624986899109589E-5</v>
      </c>
      <c r="X45" s="83">
        <v>4598772328853184</v>
      </c>
      <c r="Y45" s="83">
        <v>7.4300096243491506E-5</v>
      </c>
      <c r="Z45" s="83">
        <v>4411588024612304</v>
      </c>
      <c r="AA45" s="83">
        <v>7.0218382598778747E-5</v>
      </c>
      <c r="AB45" s="83">
        <v>4117656485628454.5</v>
      </c>
      <c r="AC45" s="83">
        <v>6.5555583290274376E-5</v>
      </c>
      <c r="AD45" s="83">
        <v>3558946252789221</v>
      </c>
      <c r="AE45" s="83">
        <v>5.8080321885644522E-5</v>
      </c>
    </row>
    <row r="46" spans="2:31" x14ac:dyDescent="0.2">
      <c r="B46" s="83">
        <v>8151216336127097</v>
      </c>
      <c r="C46" s="83">
        <v>1.3284953967060127E-4</v>
      </c>
      <c r="D46" s="83">
        <v>7945114717818406</v>
      </c>
      <c r="E46" s="83">
        <v>1.3018322513640585E-4</v>
      </c>
      <c r="F46" s="83">
        <v>8000606098463788</v>
      </c>
      <c r="G46" s="83">
        <v>1.2855349933566784E-4</v>
      </c>
      <c r="H46" s="83">
        <v>7555155177446669</v>
      </c>
      <c r="I46" s="83">
        <v>1.2245243436165019E-4</v>
      </c>
      <c r="J46" s="83">
        <v>6810241992467522</v>
      </c>
      <c r="K46" s="83">
        <v>1.130735459499133E-4</v>
      </c>
      <c r="L46" s="83">
        <v>6746392834808329</v>
      </c>
      <c r="M46" s="83">
        <v>1.080148400495972E-4</v>
      </c>
      <c r="N46" s="83">
        <v>6059408603344126</v>
      </c>
      <c r="O46" s="83">
        <v>1.0121349424310422E-4</v>
      </c>
      <c r="P46" s="83">
        <v>5974301189213853</v>
      </c>
      <c r="Q46" s="83">
        <v>9.6385060800303898E-5</v>
      </c>
      <c r="R46" s="83">
        <v>5384337682492519</v>
      </c>
      <c r="S46" s="83">
        <v>9.0501192999549833E-5</v>
      </c>
      <c r="T46" s="83">
        <v>5251204240640904</v>
      </c>
      <c r="U46" s="83">
        <v>8.5853124051239027E-5</v>
      </c>
      <c r="V46" s="83">
        <v>4852669106447705</v>
      </c>
      <c r="W46" s="83">
        <v>7.8823490189014814E-5</v>
      </c>
      <c r="X46" s="83">
        <v>4324117198287774.5</v>
      </c>
      <c r="Y46" s="83">
        <v>7.3506733983495223E-5</v>
      </c>
      <c r="Z46" s="83">
        <v>4147984429243829.5</v>
      </c>
      <c r="AA46" s="83">
        <v>6.9453297279742924E-5</v>
      </c>
      <c r="AB46" s="83">
        <v>3868787194593086.5</v>
      </c>
      <c r="AC46" s="83">
        <v>6.482092912188504E-5</v>
      </c>
      <c r="AD46" s="83">
        <v>3334347137827984.5</v>
      </c>
      <c r="AE46" s="83">
        <v>5.7268245663096088E-5</v>
      </c>
    </row>
    <row r="47" spans="2:31" x14ac:dyDescent="0.2">
      <c r="B47" s="83">
        <v>7722716288918304</v>
      </c>
      <c r="C47" s="83">
        <v>1.3240450150071981E-4</v>
      </c>
      <c r="D47" s="83">
        <v>7530108392890367</v>
      </c>
      <c r="E47" s="83">
        <v>1.2975197899160599E-4</v>
      </c>
      <c r="F47" s="83">
        <v>7579875194515166</v>
      </c>
      <c r="G47" s="83">
        <v>1.279892706817052E-4</v>
      </c>
      <c r="H47" s="83">
        <v>7154754432801304</v>
      </c>
      <c r="I47" s="83">
        <v>1.2194740375844473E-4</v>
      </c>
      <c r="J47" s="83">
        <v>6439342450273139</v>
      </c>
      <c r="K47" s="83">
        <v>1.1238919000651016E-4</v>
      </c>
      <c r="L47" s="83">
        <v>6369865398544560</v>
      </c>
      <c r="M47" s="83">
        <v>1.0724309536718881E-4</v>
      </c>
      <c r="N47" s="83">
        <v>5719952271758612</v>
      </c>
      <c r="O47" s="83">
        <v>1.0051541289447879E-4</v>
      </c>
      <c r="P47" s="83">
        <v>5638562908299376</v>
      </c>
      <c r="Q47" s="83">
        <v>9.5719620892599578E-5</v>
      </c>
      <c r="R47" s="83">
        <v>5074170343827394</v>
      </c>
      <c r="S47" s="83">
        <v>8.9709501883811519E-5</v>
      </c>
      <c r="T47" s="83">
        <v>4943421762305037</v>
      </c>
      <c r="U47" s="83">
        <v>8.5038353720042712E-5</v>
      </c>
      <c r="V47" s="83">
        <v>4563129798216842</v>
      </c>
      <c r="W47" s="83">
        <v>7.796499340010923E-5</v>
      </c>
      <c r="X47" s="83">
        <v>4066884397860256.5</v>
      </c>
      <c r="Y47" s="83">
        <v>7.2751796677714272E-5</v>
      </c>
      <c r="Z47" s="83">
        <v>3896000897858519.5</v>
      </c>
      <c r="AA47" s="83">
        <v>6.8649215905459634E-5</v>
      </c>
      <c r="AB47" s="83">
        <v>3629494866202210.5</v>
      </c>
      <c r="AC47" s="83">
        <v>6.396424985849083E-5</v>
      </c>
      <c r="AD47" s="83">
        <v>3126622200397877.5</v>
      </c>
      <c r="AE47" s="83">
        <v>5.6500052121065477E-5</v>
      </c>
    </row>
    <row r="48" spans="2:31" x14ac:dyDescent="0.2">
      <c r="B48" s="83">
        <v>7322304192406578</v>
      </c>
      <c r="C48" s="83">
        <v>1.3209206588110458E-4</v>
      </c>
      <c r="D48" s="83">
        <v>7135805279714387</v>
      </c>
      <c r="E48" s="83">
        <v>1.2933109618798986E-4</v>
      </c>
      <c r="F48" s="83">
        <v>7183975770453735</v>
      </c>
      <c r="G48" s="83">
        <v>1.2755738331934299E-4</v>
      </c>
      <c r="H48" s="83">
        <v>6771586296382937</v>
      </c>
      <c r="I48" s="83">
        <v>1.2130372920716254E-4</v>
      </c>
      <c r="J48" s="83">
        <v>6086830746368527</v>
      </c>
      <c r="K48" s="83">
        <v>1.1164424285164182E-4</v>
      </c>
      <c r="L48" s="83">
        <v>6019824421396730</v>
      </c>
      <c r="M48" s="83">
        <v>1.0660116539036943E-4</v>
      </c>
      <c r="N48" s="83">
        <v>5399041112579576</v>
      </c>
      <c r="O48" s="83">
        <v>9.9750158798892017E-5</v>
      </c>
      <c r="P48" s="83">
        <v>5320228799585627</v>
      </c>
      <c r="Q48" s="83">
        <v>9.4994254699652664E-5</v>
      </c>
      <c r="R48" s="83">
        <v>4781015270690878</v>
      </c>
      <c r="S48" s="83">
        <v>8.8865386710795422E-5</v>
      </c>
      <c r="T48" s="83">
        <v>4655525468224939</v>
      </c>
      <c r="U48" s="83">
        <v>8.4244185905642174E-5</v>
      </c>
      <c r="V48" s="83">
        <v>4294848354188092.5</v>
      </c>
      <c r="W48" s="83">
        <v>7.7215350100345414E-5</v>
      </c>
      <c r="X48" s="83">
        <v>3824041983063729</v>
      </c>
      <c r="Y48" s="83">
        <v>7.190195176306711E-5</v>
      </c>
      <c r="Z48" s="83">
        <v>3658570276550308</v>
      </c>
      <c r="AA48" s="83">
        <v>6.7789934979391758E-5</v>
      </c>
      <c r="AB48" s="83">
        <v>3408787070535180.5</v>
      </c>
      <c r="AC48" s="83">
        <v>6.3192199852103617E-5</v>
      </c>
      <c r="AD48" s="83">
        <v>2931046234871819.5</v>
      </c>
      <c r="AE48" s="83">
        <v>5.5698455928878223E-5</v>
      </c>
    </row>
    <row r="49" spans="2:31" x14ac:dyDescent="0.2">
      <c r="B49" s="83">
        <v>6946449734701164</v>
      </c>
      <c r="C49" s="83">
        <v>1.3170505610321347E-4</v>
      </c>
      <c r="D49" s="83">
        <v>6755739285449104</v>
      </c>
      <c r="E49" s="83">
        <v>1.286959759716596E-4</v>
      </c>
      <c r="F49" s="83">
        <v>6800167466337743</v>
      </c>
      <c r="G49" s="83">
        <v>1.2686895738572894E-4</v>
      </c>
      <c r="H49" s="83">
        <v>6408349172268609</v>
      </c>
      <c r="I49" s="83">
        <v>1.2064581421090667E-4</v>
      </c>
      <c r="J49" s="83">
        <v>5755733039410549</v>
      </c>
      <c r="K49" s="83">
        <v>1.1100459807539147E-4</v>
      </c>
      <c r="L49" s="83">
        <v>5682280652716815</v>
      </c>
      <c r="M49" s="83">
        <v>1.0577971715589721E-4</v>
      </c>
      <c r="N49" s="83">
        <v>5103850601195403</v>
      </c>
      <c r="O49" s="83">
        <v>9.9126441895727461E-5</v>
      </c>
      <c r="P49" s="83">
        <v>5016812554666229</v>
      </c>
      <c r="Q49" s="83">
        <v>9.4186659763576544E-5</v>
      </c>
      <c r="R49" s="83">
        <v>4511924087190440</v>
      </c>
      <c r="S49" s="83">
        <v>8.8181859845835403E-5</v>
      </c>
      <c r="T49" s="83">
        <v>4388014375818824.5</v>
      </c>
      <c r="U49" s="83">
        <v>8.3531796619931909E-5</v>
      </c>
      <c r="V49" s="83">
        <v>4043661263347345.5</v>
      </c>
      <c r="W49" s="83">
        <v>7.649240316234136E-5</v>
      </c>
      <c r="X49" s="83">
        <v>3595151405554067.5</v>
      </c>
      <c r="Y49" s="83">
        <v>7.1121821649470059E-5</v>
      </c>
      <c r="Z49" s="83">
        <v>3442409403709007</v>
      </c>
      <c r="AA49" s="83">
        <v>6.7120173332670815E-5</v>
      </c>
      <c r="AB49" s="83">
        <v>3201110278595012</v>
      </c>
      <c r="AC49" s="83">
        <v>6.2371415659517266E-5</v>
      </c>
      <c r="AD49" s="83">
        <v>2748983842134609.5</v>
      </c>
      <c r="AE49" s="83">
        <v>5.4934489272811095E-5</v>
      </c>
    </row>
    <row r="50" spans="2:31" x14ac:dyDescent="0.2">
      <c r="B50" s="83">
        <v>6582233816123901</v>
      </c>
      <c r="C50" s="83">
        <v>1.312017478236121E-4</v>
      </c>
      <c r="D50" s="83">
        <v>6402750453137204</v>
      </c>
      <c r="E50" s="83">
        <v>1.282812447645479E-4</v>
      </c>
      <c r="F50" s="83">
        <v>6437236281994747</v>
      </c>
      <c r="G50" s="83">
        <v>1.2627006063144661E-4</v>
      </c>
      <c r="H50" s="83">
        <v>6070028700195087</v>
      </c>
      <c r="I50" s="83">
        <v>1.2016210650488261E-4</v>
      </c>
      <c r="J50" s="83">
        <v>5441038047126032</v>
      </c>
      <c r="K50" s="83">
        <v>1.1030311822658894E-4</v>
      </c>
      <c r="L50" s="83">
        <v>5372599476634622</v>
      </c>
      <c r="M50" s="83">
        <v>1.0518922075678942E-4</v>
      </c>
      <c r="N50" s="83">
        <v>4815455643390528</v>
      </c>
      <c r="O50" s="83">
        <v>9.8362197349565676E-5</v>
      </c>
      <c r="P50" s="83">
        <v>4735962839968109</v>
      </c>
      <c r="Q50" s="83">
        <v>9.3462880360706773E-5</v>
      </c>
      <c r="R50" s="83">
        <v>4251039315689199</v>
      </c>
      <c r="S50" s="83">
        <v>8.7382710649995703E-5</v>
      </c>
      <c r="T50" s="83">
        <v>4135800986592487.5</v>
      </c>
      <c r="U50" s="83">
        <v>8.2792266282392257E-5</v>
      </c>
      <c r="V50" s="83">
        <v>3805553014311285.5</v>
      </c>
      <c r="W50" s="83">
        <v>7.5686870459860096E-5</v>
      </c>
      <c r="X50" s="83">
        <v>3378600855517458</v>
      </c>
      <c r="Y50" s="83">
        <v>7.0270133256186606E-5</v>
      </c>
      <c r="Z50" s="83">
        <v>3233760419649640</v>
      </c>
      <c r="AA50" s="83">
        <v>6.6296885614349884E-5</v>
      </c>
      <c r="AB50" s="83">
        <v>3007194118668382.5</v>
      </c>
      <c r="AC50" s="83">
        <v>6.1649886864449018E-5</v>
      </c>
      <c r="AD50" s="83">
        <v>2574693173309647</v>
      </c>
      <c r="AE50" s="83">
        <v>5.4128655764039676E-5</v>
      </c>
    </row>
    <row r="51" spans="2:31" x14ac:dyDescent="0.2">
      <c r="B51" s="83">
        <v>6229172144069351</v>
      </c>
      <c r="C51" s="83">
        <v>1.3044342069413686E-4</v>
      </c>
      <c r="D51" s="83">
        <v>6063133866354280</v>
      </c>
      <c r="E51" s="83">
        <v>1.2768506323509497E-4</v>
      </c>
      <c r="F51" s="83">
        <v>6102060637760983</v>
      </c>
      <c r="G51" s="83">
        <v>1.2587705468256004E-4</v>
      </c>
      <c r="H51" s="83">
        <v>5737896179176974</v>
      </c>
      <c r="I51" s="83">
        <v>1.1933406970250598E-4</v>
      </c>
      <c r="J51" s="83">
        <v>5141508915199399</v>
      </c>
      <c r="K51" s="83">
        <v>1.0952554996163295E-4</v>
      </c>
      <c r="L51" s="83">
        <v>5073144135090123</v>
      </c>
      <c r="M51" s="83">
        <v>1.0440559267086691E-4</v>
      </c>
      <c r="N51" s="83">
        <v>4543021153814588</v>
      </c>
      <c r="O51" s="83">
        <v>9.7472126531405773E-5</v>
      </c>
      <c r="P51" s="83">
        <v>4467591617310888</v>
      </c>
      <c r="Q51" s="83">
        <v>9.2671175894273912E-5</v>
      </c>
      <c r="R51" s="83">
        <v>4005836155224582.5</v>
      </c>
      <c r="S51" s="83">
        <v>8.652237842535672E-5</v>
      </c>
      <c r="T51" s="83">
        <v>3896031004162035</v>
      </c>
      <c r="U51" s="83">
        <v>8.1966095773742745E-5</v>
      </c>
      <c r="V51" s="83">
        <v>3582528994189904.5</v>
      </c>
      <c r="W51" s="83">
        <v>7.4904332531267387E-5</v>
      </c>
      <c r="X51" s="83">
        <v>3176558773402421.5</v>
      </c>
      <c r="Y51" s="83">
        <v>6.9465884669551631E-5</v>
      </c>
      <c r="Z51" s="83">
        <v>3038401190614003</v>
      </c>
      <c r="AA51" s="83">
        <v>6.5472388355268353E-5</v>
      </c>
      <c r="AB51" s="83">
        <v>2820399797749110.5</v>
      </c>
      <c r="AC51" s="83">
        <v>6.0749725307859397E-5</v>
      </c>
      <c r="AD51" s="83">
        <v>2414878703535606</v>
      </c>
      <c r="AE51" s="83">
        <v>5.3369076990854234E-5</v>
      </c>
    </row>
    <row r="52" spans="2:31" x14ac:dyDescent="0.2">
      <c r="B52" s="83">
        <v>5899874832156065</v>
      </c>
      <c r="C52" s="83">
        <v>1.2986948174809019E-4</v>
      </c>
      <c r="D52" s="83">
        <v>5743918784295814</v>
      </c>
      <c r="E52" s="83">
        <v>1.2706029491818993E-4</v>
      </c>
      <c r="F52" s="83">
        <v>5775336019201811</v>
      </c>
      <c r="G52" s="83">
        <v>1.252023201216602E-4</v>
      </c>
      <c r="H52" s="83">
        <v>5431360942819016</v>
      </c>
      <c r="I52" s="83">
        <v>1.1873687333695295E-4</v>
      </c>
      <c r="J52" s="83">
        <v>4860780476870346</v>
      </c>
      <c r="K52" s="83">
        <v>1.0880605287895285E-4</v>
      </c>
      <c r="L52" s="83">
        <v>4792279103846066</v>
      </c>
      <c r="M52" s="83">
        <v>1.0360600901588148E-4</v>
      </c>
      <c r="N52" s="83">
        <v>4289674915066014</v>
      </c>
      <c r="O52" s="83">
        <v>9.6648461188560906E-5</v>
      </c>
      <c r="P52" s="83">
        <v>4211480651931449</v>
      </c>
      <c r="Q52" s="83">
        <v>9.1783135987485472E-5</v>
      </c>
      <c r="R52" s="83">
        <v>3776830064397516</v>
      </c>
      <c r="S52" s="83">
        <v>8.5733143231499172E-5</v>
      </c>
      <c r="T52" s="83">
        <v>3665133764900417</v>
      </c>
      <c r="U52" s="83">
        <v>8.1032439123569097E-5</v>
      </c>
      <c r="V52" s="83">
        <v>3371009422307241.5</v>
      </c>
      <c r="W52" s="83">
        <v>7.4026030344015155E-5</v>
      </c>
      <c r="X52" s="83">
        <v>2985453864802418</v>
      </c>
      <c r="Y52" s="83">
        <v>6.8599180258434398E-5</v>
      </c>
      <c r="Z52" s="83">
        <v>2854755862121411</v>
      </c>
      <c r="AA52" s="83">
        <v>6.463516353264334E-5</v>
      </c>
      <c r="AB52" s="83">
        <v>2649061000179024.5</v>
      </c>
      <c r="AC52" s="83">
        <v>5.9989352148048458E-5</v>
      </c>
      <c r="AD52" s="83">
        <v>2266083458860126</v>
      </c>
      <c r="AE52" s="83">
        <v>5.2615945732990514E-5</v>
      </c>
    </row>
    <row r="53" spans="2:31" x14ac:dyDescent="0.2">
      <c r="B53" s="83">
        <v>5582854970382000</v>
      </c>
      <c r="C53" s="83">
        <v>1.2918818722921878E-4</v>
      </c>
      <c r="D53" s="83">
        <v>5433456424221178</v>
      </c>
      <c r="E53" s="83">
        <v>1.2624548807133512E-4</v>
      </c>
      <c r="F53" s="83">
        <v>5465674703035210</v>
      </c>
      <c r="G53" s="83">
        <v>1.2441181533022795E-4</v>
      </c>
      <c r="H53" s="83">
        <v>5143264924751731</v>
      </c>
      <c r="I53" s="83">
        <v>1.1813451576628171E-4</v>
      </c>
      <c r="J53" s="83">
        <v>4593441911791372</v>
      </c>
      <c r="K53" s="83">
        <v>1.0802153853196357E-4</v>
      </c>
      <c r="L53" s="83">
        <v>4522051900715331</v>
      </c>
      <c r="M53" s="83">
        <v>1.027104954817234E-4</v>
      </c>
      <c r="N53" s="83">
        <v>4042926767434835</v>
      </c>
      <c r="O53" s="83">
        <v>9.5678313776625316E-5</v>
      </c>
      <c r="P53" s="83">
        <v>3967693104401415.5</v>
      </c>
      <c r="Q53" s="83">
        <v>9.0864866774246754E-5</v>
      </c>
      <c r="R53" s="83">
        <v>3559318146531886.5</v>
      </c>
      <c r="S53" s="83">
        <v>8.4902606954199677E-5</v>
      </c>
      <c r="T53" s="83">
        <v>3451662998770521</v>
      </c>
      <c r="U53" s="83">
        <v>8.0212047035322113E-5</v>
      </c>
      <c r="V53" s="83">
        <v>3173485681096838</v>
      </c>
      <c r="W53" s="83">
        <v>7.3245028766799836E-5</v>
      </c>
      <c r="X53" s="83">
        <v>2805882270059691.5</v>
      </c>
      <c r="Y53" s="83">
        <v>6.77482621506566E-5</v>
      </c>
      <c r="Z53" s="83">
        <v>2678126295065896</v>
      </c>
      <c r="AA53" s="83">
        <v>6.3726357349124012E-5</v>
      </c>
      <c r="AB53" s="83">
        <v>2483535710409955.5</v>
      </c>
      <c r="AC53" s="83">
        <v>5.9123074944424252E-5</v>
      </c>
      <c r="AD53" s="83">
        <v>2125971438414307.2</v>
      </c>
      <c r="AE53" s="83">
        <v>5.188900403556043E-5</v>
      </c>
    </row>
    <row r="54" spans="2:31" x14ac:dyDescent="0.2">
      <c r="B54" s="83">
        <v>5285518792815247</v>
      </c>
      <c r="C54" s="83">
        <v>1.2846636196606843E-4</v>
      </c>
      <c r="D54" s="83">
        <v>5141687188975699</v>
      </c>
      <c r="E54" s="83">
        <v>1.2551491710265409E-4</v>
      </c>
      <c r="F54" s="83">
        <v>5171877778568025</v>
      </c>
      <c r="G54" s="83">
        <v>1.2359569413608135E-4</v>
      </c>
      <c r="H54" s="83">
        <v>4865665580848518</v>
      </c>
      <c r="I54" s="83">
        <v>1.1734848339933662E-4</v>
      </c>
      <c r="J54" s="83">
        <v>4333866896651602.5</v>
      </c>
      <c r="K54" s="83">
        <v>1.0702118661723542E-4</v>
      </c>
      <c r="L54" s="83">
        <v>4267112788087316.5</v>
      </c>
      <c r="M54" s="83">
        <v>1.0188182372761117E-4</v>
      </c>
      <c r="N54" s="83">
        <v>3813713092095785.5</v>
      </c>
      <c r="O54" s="83">
        <v>9.4874055218940097E-5</v>
      </c>
      <c r="P54" s="83">
        <v>3740310066381901</v>
      </c>
      <c r="Q54" s="83">
        <v>9.002107710757137E-5</v>
      </c>
      <c r="R54" s="83">
        <v>3350929887615551.5</v>
      </c>
      <c r="S54" s="83">
        <v>8.394126373917266E-5</v>
      </c>
      <c r="T54" s="83">
        <v>3246847642261549.5</v>
      </c>
      <c r="U54" s="83">
        <v>7.9269462808601192E-5</v>
      </c>
      <c r="V54" s="83">
        <v>2978403690955917</v>
      </c>
      <c r="W54" s="83">
        <v>7.2217588713208096E-5</v>
      </c>
      <c r="X54" s="83">
        <v>2635784705960776</v>
      </c>
      <c r="Y54" s="83">
        <v>6.6913827301217835E-5</v>
      </c>
      <c r="Z54" s="83">
        <v>2514998887243250.5</v>
      </c>
      <c r="AA54" s="83">
        <v>6.2902596927064312E-5</v>
      </c>
      <c r="AB54" s="83">
        <v>2328004532627930.5</v>
      </c>
      <c r="AC54" s="83">
        <v>5.8259741842176995E-5</v>
      </c>
      <c r="AD54" s="83">
        <v>1989964370513321.7</v>
      </c>
      <c r="AE54" s="83">
        <v>5.1002732032281774E-5</v>
      </c>
    </row>
    <row r="55" spans="2:31" x14ac:dyDescent="0.2">
      <c r="B55" s="83">
        <v>5008018355625921</v>
      </c>
      <c r="C55" s="83">
        <v>1.2791768785863985E-4</v>
      </c>
      <c r="D55" s="83">
        <v>4859965363135398</v>
      </c>
      <c r="E55" s="83">
        <v>1.24717962172846E-4</v>
      </c>
      <c r="F55" s="83">
        <v>4889553684762652</v>
      </c>
      <c r="G55" s="83">
        <v>1.2276245934856033E-4</v>
      </c>
      <c r="H55" s="83">
        <v>4600609046829616</v>
      </c>
      <c r="I55" s="83">
        <v>1.1646762069136309E-4</v>
      </c>
      <c r="J55" s="83">
        <v>4093151927622930</v>
      </c>
      <c r="K55" s="83">
        <v>1.0624497202433145E-4</v>
      </c>
      <c r="L55" s="83">
        <v>4027334669666754.5</v>
      </c>
      <c r="M55" s="83">
        <v>1.0097267280298475E-4</v>
      </c>
      <c r="N55" s="83">
        <v>3596856723408445.5</v>
      </c>
      <c r="O55" s="83">
        <v>9.4052578235274522E-5</v>
      </c>
      <c r="P55" s="83">
        <v>3524035876440603.5</v>
      </c>
      <c r="Q55" s="83">
        <v>8.9096948879563643E-5</v>
      </c>
      <c r="R55" s="83">
        <v>3157012108314344</v>
      </c>
      <c r="S55" s="83">
        <v>8.3074331067728067E-5</v>
      </c>
      <c r="T55" s="83">
        <v>3058480780351258</v>
      </c>
      <c r="U55" s="83">
        <v>7.8461457136789881E-5</v>
      </c>
      <c r="V55" s="83">
        <v>2805681248625018</v>
      </c>
      <c r="W55" s="83">
        <v>7.1500680188642718E-5</v>
      </c>
      <c r="X55" s="83">
        <v>2478455873284850</v>
      </c>
      <c r="Y55" s="83">
        <v>6.6129296846649749E-5</v>
      </c>
      <c r="Z55" s="83">
        <v>2363040449961226.5</v>
      </c>
      <c r="AA55" s="83">
        <v>6.2142595370357062E-5</v>
      </c>
      <c r="AB55" s="83">
        <v>2187716037755218.2</v>
      </c>
      <c r="AC55" s="83">
        <v>5.7549686418008026E-5</v>
      </c>
      <c r="AD55" s="83">
        <v>1864797110184122.7</v>
      </c>
      <c r="AE55" s="83">
        <v>5.0215374517870092E-5</v>
      </c>
    </row>
    <row r="56" spans="2:31" x14ac:dyDescent="0.2">
      <c r="B56" s="83">
        <v>4740869899752072</v>
      </c>
      <c r="C56" s="83">
        <v>1.2717696450524293E-4</v>
      </c>
      <c r="D56" s="83">
        <v>4600018169447512</v>
      </c>
      <c r="E56" s="83">
        <v>1.2408399351625626E-4</v>
      </c>
      <c r="F56" s="83">
        <v>4623383928154967</v>
      </c>
      <c r="G56" s="83">
        <v>1.2193406263662102E-4</v>
      </c>
      <c r="H56" s="83">
        <v>4347129512626454</v>
      </c>
      <c r="I56" s="83">
        <v>1.1561420069343947E-4</v>
      </c>
      <c r="J56" s="83">
        <v>3862706029003170.5</v>
      </c>
      <c r="K56" s="83">
        <v>1.0535635489947378E-4</v>
      </c>
      <c r="L56" s="83">
        <v>3795555603610829</v>
      </c>
      <c r="M56" s="83">
        <v>1.0006186032183171E-4</v>
      </c>
      <c r="N56" s="83">
        <v>3394459000843060.5</v>
      </c>
      <c r="O56" s="83">
        <v>9.3225821767325008E-5</v>
      </c>
      <c r="P56" s="83">
        <v>3322345661497707.5</v>
      </c>
      <c r="Q56" s="83">
        <v>8.8244881986680119E-5</v>
      </c>
      <c r="R56" s="83">
        <v>2977252084493025</v>
      </c>
      <c r="S56" s="83">
        <v>8.2341641056624549E-5</v>
      </c>
      <c r="T56" s="83">
        <v>2876336641854324.5</v>
      </c>
      <c r="U56" s="83">
        <v>7.7562123148412963E-5</v>
      </c>
      <c r="V56" s="83">
        <v>2636060460403697</v>
      </c>
      <c r="W56" s="83">
        <v>7.0580698699944613E-5</v>
      </c>
      <c r="X56" s="83">
        <v>2329964105196126</v>
      </c>
      <c r="Y56" s="83">
        <v>6.5321513029782848E-5</v>
      </c>
      <c r="Z56" s="83">
        <v>2221650993332700.7</v>
      </c>
      <c r="AA56" s="83">
        <v>6.1381199314170475E-5</v>
      </c>
      <c r="AB56" s="83">
        <v>2051335600834649.2</v>
      </c>
      <c r="AC56" s="83">
        <v>5.669029883344768E-5</v>
      </c>
      <c r="AD56" s="83">
        <v>1746876132224575.2</v>
      </c>
      <c r="AE56" s="83">
        <v>4.9454500476555006E-5</v>
      </c>
    </row>
    <row r="57" spans="2:31" x14ac:dyDescent="0.2">
      <c r="B57" s="83">
        <v>4486241928753265</v>
      </c>
      <c r="C57" s="83">
        <v>1.2637707176395071E-4</v>
      </c>
      <c r="D57" s="83">
        <v>4355208500034349</v>
      </c>
      <c r="E57" s="83">
        <v>1.233447091797252E-4</v>
      </c>
      <c r="F57" s="83">
        <v>4377830837194181.5</v>
      </c>
      <c r="G57" s="83">
        <v>1.2138781939526008E-4</v>
      </c>
      <c r="H57" s="83">
        <v>4109113941537083.5</v>
      </c>
      <c r="I57" s="83">
        <v>1.1475186983203062E-4</v>
      </c>
      <c r="J57" s="83">
        <v>3653788191290191.5</v>
      </c>
      <c r="K57" s="83">
        <v>1.046955094641708E-4</v>
      </c>
      <c r="L57" s="83">
        <v>3583753082659899.5</v>
      </c>
      <c r="M57" s="83">
        <v>9.9201812837030405E-5</v>
      </c>
      <c r="N57" s="83">
        <v>3201294529725674</v>
      </c>
      <c r="O57" s="83">
        <v>9.2288757144533195E-5</v>
      </c>
      <c r="P57" s="83">
        <v>3129277590063863.5</v>
      </c>
      <c r="Q57" s="83">
        <v>8.7330720687022517E-5</v>
      </c>
      <c r="R57" s="83">
        <v>2799834677756710</v>
      </c>
      <c r="S57" s="83">
        <v>8.1287794574529568E-5</v>
      </c>
      <c r="T57" s="83">
        <v>2709044006291939</v>
      </c>
      <c r="U57" s="83">
        <v>7.6671512422203517E-5</v>
      </c>
      <c r="V57" s="83">
        <v>2478824540363647.5</v>
      </c>
      <c r="W57" s="83">
        <v>6.9741078470644596E-5</v>
      </c>
      <c r="X57" s="83">
        <v>2187916517456756.2</v>
      </c>
      <c r="Y57" s="83">
        <v>6.4399241448957349E-5</v>
      </c>
      <c r="Z57" s="83">
        <v>2088650190782077.7</v>
      </c>
      <c r="AA57" s="83">
        <v>6.0585275936748294E-5</v>
      </c>
      <c r="AB57" s="83">
        <v>1923734761341163.7</v>
      </c>
      <c r="AC57" s="83">
        <v>5.5860414375977945E-5</v>
      </c>
      <c r="AD57" s="83">
        <v>1638419307940451.7</v>
      </c>
      <c r="AE57" s="83">
        <v>4.8693441625452404E-5</v>
      </c>
    </row>
    <row r="58" spans="2:31" x14ac:dyDescent="0.2">
      <c r="B58" s="83">
        <v>4243137192974517</v>
      </c>
      <c r="C58" s="83">
        <v>1.2555415810241812E-4</v>
      </c>
      <c r="D58" s="83">
        <v>4119945086502212.5</v>
      </c>
      <c r="E58" s="83">
        <v>1.2250500160647772E-4</v>
      </c>
      <c r="F58" s="83">
        <v>4137414476996776.5</v>
      </c>
      <c r="G58" s="83">
        <v>1.2034602349127203E-4</v>
      </c>
      <c r="H58" s="83">
        <v>3885253467726710.5</v>
      </c>
      <c r="I58" s="83">
        <v>1.1391054242479151E-4</v>
      </c>
      <c r="J58" s="83">
        <v>3446761242375342</v>
      </c>
      <c r="K58" s="83">
        <v>1.0370121913935288E-4</v>
      </c>
      <c r="L58" s="83">
        <v>3384671332692946</v>
      </c>
      <c r="M58" s="83">
        <v>9.8427282416940052E-5</v>
      </c>
      <c r="N58" s="83">
        <v>3013450057809428</v>
      </c>
      <c r="O58" s="83">
        <v>9.1195547081170049E-5</v>
      </c>
      <c r="P58" s="83">
        <v>2951819822269657.5</v>
      </c>
      <c r="Q58" s="83">
        <v>8.6502061736127582E-5</v>
      </c>
      <c r="R58" s="83">
        <v>2635049087391095.5</v>
      </c>
      <c r="S58" s="83">
        <v>8.0344758292625525E-5</v>
      </c>
      <c r="T58" s="83">
        <v>2547313216531134</v>
      </c>
      <c r="U58" s="83">
        <v>7.575522420232429E-5</v>
      </c>
      <c r="V58" s="83">
        <v>2328469909083446</v>
      </c>
      <c r="W58" s="83">
        <v>6.8785345619668857E-5</v>
      </c>
      <c r="X58" s="83">
        <v>2053497331801239.5</v>
      </c>
      <c r="Y58" s="83">
        <v>6.3488410626623279E-5</v>
      </c>
      <c r="Z58" s="83">
        <v>1959739898145813.7</v>
      </c>
      <c r="AA58" s="83">
        <v>5.9681687002503971E-5</v>
      </c>
      <c r="AB58" s="83">
        <v>1806359099753208.3</v>
      </c>
      <c r="AC58" s="83">
        <v>5.5079877955088498E-5</v>
      </c>
      <c r="AD58" s="83">
        <v>1535491452734925.7</v>
      </c>
      <c r="AE58" s="83">
        <v>4.7923563242418697E-5</v>
      </c>
    </row>
    <row r="59" spans="2:31" x14ac:dyDescent="0.2">
      <c r="B59" s="83">
        <v>4006242633425979</v>
      </c>
      <c r="C59" s="83">
        <v>1.2440102390855309E-4</v>
      </c>
      <c r="D59" s="83">
        <v>3891964669074052</v>
      </c>
      <c r="E59" s="83">
        <v>1.2145600870622823E-4</v>
      </c>
      <c r="F59" s="83">
        <v>3916998361465969</v>
      </c>
      <c r="G59" s="83">
        <v>1.1966454153146009E-4</v>
      </c>
      <c r="H59" s="83">
        <v>3670260599047443</v>
      </c>
      <c r="I59" s="83">
        <v>1.1300543542643927E-4</v>
      </c>
      <c r="J59" s="83">
        <v>3255291000946772</v>
      </c>
      <c r="K59" s="83">
        <v>1.0269343620779104E-4</v>
      </c>
      <c r="L59" s="83">
        <v>3188959516970202.5</v>
      </c>
      <c r="M59" s="83">
        <v>9.7285351644149618E-5</v>
      </c>
      <c r="N59" s="83">
        <v>2841664036078150.5</v>
      </c>
      <c r="O59" s="83">
        <v>9.029090937723697E-5</v>
      </c>
      <c r="P59" s="83">
        <v>2777682408296089.5</v>
      </c>
      <c r="Q59" s="83">
        <v>8.5483779325636991E-5</v>
      </c>
      <c r="R59" s="83">
        <v>2481677092406900.5</v>
      </c>
      <c r="S59" s="83">
        <v>7.9510675582735536E-5</v>
      </c>
      <c r="T59" s="83">
        <v>2397735826035987.5</v>
      </c>
      <c r="U59" s="83">
        <v>7.4830173556409397E-5</v>
      </c>
      <c r="V59" s="83">
        <v>2190916795716438.5</v>
      </c>
      <c r="W59" s="83">
        <v>6.7974070817868466E-5</v>
      </c>
      <c r="X59" s="83">
        <v>1930806314092958.7</v>
      </c>
      <c r="Y59" s="83">
        <v>6.2700306096864848E-5</v>
      </c>
      <c r="Z59" s="83">
        <v>1837575482821786.5</v>
      </c>
      <c r="AA59" s="83">
        <v>5.8811258765997775E-5</v>
      </c>
      <c r="AB59" s="83">
        <v>1691134376194305.7</v>
      </c>
      <c r="AC59" s="83">
        <v>5.4193383709062158E-5</v>
      </c>
      <c r="AD59" s="83">
        <v>1439826951286905</v>
      </c>
      <c r="AE59" s="83">
        <v>4.7186044370645936E-5</v>
      </c>
    </row>
    <row r="60" spans="2:31" x14ac:dyDescent="0.2">
      <c r="B60" s="83">
        <v>3794713446645306</v>
      </c>
      <c r="C60" s="83">
        <v>1.2381657022950124E-4</v>
      </c>
      <c r="D60" s="83">
        <v>3677474724942711</v>
      </c>
      <c r="E60" s="83">
        <v>1.204904743888075E-4</v>
      </c>
      <c r="F60" s="83">
        <v>3698054164376987</v>
      </c>
      <c r="G60" s="83">
        <v>1.1849089248310242E-4</v>
      </c>
      <c r="H60" s="83">
        <v>3466004787537579.5</v>
      </c>
      <c r="I60" s="83">
        <v>1.1199116132124192E-4</v>
      </c>
      <c r="J60" s="83">
        <v>3067183168343851.5</v>
      </c>
      <c r="K60" s="83">
        <v>1.016546150480071E-4</v>
      </c>
      <c r="L60" s="83">
        <v>3008222966952093</v>
      </c>
      <c r="M60" s="83">
        <v>9.6369182562970802E-5</v>
      </c>
      <c r="N60" s="83">
        <v>2675454386158363</v>
      </c>
      <c r="O60" s="83">
        <v>8.923435286867908E-5</v>
      </c>
      <c r="P60" s="83">
        <v>2619969228728817</v>
      </c>
      <c r="Q60" s="83">
        <v>8.4616814515971493E-5</v>
      </c>
      <c r="R60" s="83">
        <v>2337330650989459</v>
      </c>
      <c r="S60" s="83">
        <v>7.8585333426397814E-5</v>
      </c>
      <c r="T60" s="83">
        <v>2254323189801044</v>
      </c>
      <c r="U60" s="83">
        <v>7.3931455652517935E-5</v>
      </c>
      <c r="V60" s="83">
        <v>2058395017224834.2</v>
      </c>
      <c r="W60" s="83">
        <v>6.7059802580442815E-5</v>
      </c>
      <c r="X60" s="83">
        <v>1811265324570438.2</v>
      </c>
      <c r="Y60" s="83">
        <v>6.1764465817575282E-5</v>
      </c>
      <c r="Z60" s="83">
        <v>1727982417584766.7</v>
      </c>
      <c r="AA60" s="83">
        <v>5.8035412684929221E-5</v>
      </c>
      <c r="AB60" s="83">
        <v>1587097966301779.2</v>
      </c>
      <c r="AC60" s="83">
        <v>5.3371892264696659E-5</v>
      </c>
      <c r="AD60" s="83">
        <v>1350685112988696.7</v>
      </c>
      <c r="AE60" s="83">
        <v>4.6482725709094387E-5</v>
      </c>
    </row>
    <row r="61" spans="2:31" x14ac:dyDescent="0.2">
      <c r="B61" s="83">
        <v>3582045430077044.5</v>
      </c>
      <c r="C61" s="83">
        <v>1.2297490901439843E-4</v>
      </c>
      <c r="D61" s="83">
        <v>3474275158214889.5</v>
      </c>
      <c r="E61" s="83">
        <v>1.196762477510969E-4</v>
      </c>
      <c r="F61" s="83">
        <v>3496415952727541</v>
      </c>
      <c r="G61" s="83">
        <v>1.175991265880611E-4</v>
      </c>
      <c r="H61" s="83">
        <v>3278179783710854</v>
      </c>
      <c r="I61" s="83">
        <v>1.1124588272468688E-4</v>
      </c>
      <c r="J61" s="83">
        <v>2897466018658966</v>
      </c>
      <c r="K61" s="83">
        <v>1.009148738441788E-4</v>
      </c>
      <c r="L61" s="83">
        <v>2831516437445497</v>
      </c>
      <c r="M61" s="83">
        <v>9.532566890298751E-5</v>
      </c>
      <c r="N61" s="83">
        <v>2523412845104413.5</v>
      </c>
      <c r="O61" s="83">
        <v>8.845785947944406E-5</v>
      </c>
      <c r="P61" s="83">
        <v>2465867578626194.5</v>
      </c>
      <c r="Q61" s="83">
        <v>8.3633141359062629E-5</v>
      </c>
      <c r="R61" s="83">
        <v>2201245668395876</v>
      </c>
      <c r="S61" s="83">
        <v>7.7817071068254746E-5</v>
      </c>
      <c r="T61" s="83">
        <v>2121493787578083.7</v>
      </c>
      <c r="U61" s="83">
        <v>7.3065721579109905E-5</v>
      </c>
      <c r="V61" s="83">
        <v>1934777182922812</v>
      </c>
      <c r="W61" s="83">
        <v>6.625179122770083E-5</v>
      </c>
      <c r="X61" s="83">
        <v>1703844808336981.7</v>
      </c>
      <c r="Y61" s="83">
        <v>6.1049984595356653E-5</v>
      </c>
      <c r="Z61" s="83">
        <v>1621164204159435.7</v>
      </c>
      <c r="AA61" s="83">
        <v>5.7182011733957253E-5</v>
      </c>
      <c r="AB61" s="83">
        <v>1491046685870612.2</v>
      </c>
      <c r="AC61" s="83">
        <v>5.2733692060337529E-5</v>
      </c>
      <c r="AD61" s="83">
        <v>1264012780965972.5</v>
      </c>
      <c r="AE61" s="83">
        <v>4.5741284560727027E-5</v>
      </c>
    </row>
    <row r="62" spans="2:31" x14ac:dyDescent="0.2">
      <c r="B62" s="83">
        <v>3388877228822264</v>
      </c>
      <c r="C62" s="83">
        <v>1.2207828615508248E-4</v>
      </c>
      <c r="D62" s="83">
        <v>3284348861091232</v>
      </c>
      <c r="E62" s="83">
        <v>1.1889808882490404E-4</v>
      </c>
      <c r="F62" s="83">
        <v>3298518237212154.5</v>
      </c>
      <c r="G62" s="83">
        <v>1.1672542422939181E-4</v>
      </c>
      <c r="H62" s="83">
        <v>3092581065639720</v>
      </c>
      <c r="I62" s="83">
        <v>1.1023279164359024E-4</v>
      </c>
      <c r="J62" s="83">
        <v>2731024079044711.5</v>
      </c>
      <c r="K62" s="83">
        <v>9.9879984107488476E-5</v>
      </c>
      <c r="L62" s="83">
        <v>2675337665462949</v>
      </c>
      <c r="M62" s="83">
        <v>9.4668124986430286E-5</v>
      </c>
      <c r="N62" s="83">
        <v>2378527357933657</v>
      </c>
      <c r="O62" s="83">
        <v>8.7626427985542572E-5</v>
      </c>
      <c r="P62" s="83">
        <v>2321430549850917.5</v>
      </c>
      <c r="Q62" s="83">
        <v>8.2671257986809902E-5</v>
      </c>
      <c r="R62" s="83">
        <v>2072276024863253.7</v>
      </c>
      <c r="S62" s="83">
        <v>7.689179718613509E-5</v>
      </c>
      <c r="T62" s="83">
        <v>1995859953328363</v>
      </c>
      <c r="U62" s="83">
        <v>7.2208262742510376E-5</v>
      </c>
      <c r="V62" s="83">
        <v>1817884528387517.5</v>
      </c>
      <c r="W62" s="83">
        <v>6.544521404318508E-5</v>
      </c>
      <c r="X62" s="83">
        <v>1598138524465449.5</v>
      </c>
      <c r="Y62" s="83">
        <v>6.0160513083991289E-5</v>
      </c>
      <c r="Z62" s="83">
        <v>1516371803626894</v>
      </c>
      <c r="AA62" s="83">
        <v>5.62592140687462E-5</v>
      </c>
      <c r="AB62" s="83">
        <v>1396948568980258.7</v>
      </c>
      <c r="AC62" s="83">
        <v>5.1878878228016786E-5</v>
      </c>
      <c r="AD62" s="83">
        <v>1184160970027498.7</v>
      </c>
      <c r="AE62" s="83">
        <v>4.4974062928430147E-5</v>
      </c>
    </row>
    <row r="63" spans="2:31" x14ac:dyDescent="0.2">
      <c r="B63" s="83">
        <v>3209639521532491.5</v>
      </c>
      <c r="C63" s="83">
        <v>1.2141889113800987E-4</v>
      </c>
      <c r="D63" s="83">
        <v>3103336551310199.5</v>
      </c>
      <c r="E63" s="83">
        <v>1.1789451626767654E-4</v>
      </c>
      <c r="F63" s="83">
        <v>3114761431551285.5</v>
      </c>
      <c r="G63" s="83">
        <v>1.1574920206168015E-4</v>
      </c>
      <c r="H63" s="83">
        <v>2922536900492568.5</v>
      </c>
      <c r="I63" s="83">
        <v>1.0924272106248482E-4</v>
      </c>
      <c r="J63" s="83">
        <v>2576647585953756</v>
      </c>
      <c r="K63" s="83">
        <v>9.8972665383911991E-5</v>
      </c>
      <c r="L63" s="83">
        <v>2518189055055887</v>
      </c>
      <c r="M63" s="83">
        <v>9.3537899528567568E-5</v>
      </c>
      <c r="N63" s="83">
        <v>2241548116968229.2</v>
      </c>
      <c r="O63" s="83">
        <v>8.6662125187591133E-5</v>
      </c>
      <c r="P63" s="83">
        <v>2189675758212365.7</v>
      </c>
      <c r="Q63" s="83">
        <v>8.1909218277495814E-5</v>
      </c>
      <c r="R63" s="83">
        <v>1950532093504443.2</v>
      </c>
      <c r="S63" s="83">
        <v>7.5991320255915237E-5</v>
      </c>
      <c r="T63" s="83">
        <v>1871186212756153.7</v>
      </c>
      <c r="U63" s="83">
        <v>7.111575953117065E-5</v>
      </c>
      <c r="V63" s="83">
        <v>1708047464173778.7</v>
      </c>
      <c r="W63" s="83">
        <v>6.4553558727618754E-5</v>
      </c>
      <c r="X63" s="83">
        <v>1500645665821128</v>
      </c>
      <c r="Y63" s="83">
        <v>5.9310866719895418E-5</v>
      </c>
      <c r="Z63" s="83">
        <v>1426779827960811</v>
      </c>
      <c r="AA63" s="83">
        <v>5.5594698699352535E-5</v>
      </c>
      <c r="AB63" s="83">
        <v>1308694126633820.5</v>
      </c>
      <c r="AC63" s="83">
        <v>5.1072605276263038E-5</v>
      </c>
      <c r="AD63" s="83">
        <v>1110287849279556</v>
      </c>
      <c r="AE63" s="83">
        <v>4.4310231866003307E-5</v>
      </c>
    </row>
    <row r="64" spans="2:31" x14ac:dyDescent="0.2">
      <c r="B64" s="83">
        <v>3025716530011919</v>
      </c>
      <c r="C64" s="83">
        <v>1.2030791575222816E-4</v>
      </c>
      <c r="D64" s="83">
        <v>2932113611276205</v>
      </c>
      <c r="E64" s="83">
        <v>1.1717783603993539E-4</v>
      </c>
      <c r="F64" s="83">
        <v>2945319345722362.5</v>
      </c>
      <c r="G64" s="83">
        <v>1.1485079960851951E-4</v>
      </c>
      <c r="H64" s="83">
        <v>2754298549520938</v>
      </c>
      <c r="I64" s="83">
        <v>1.0812453970742888E-4</v>
      </c>
      <c r="J64" s="83">
        <v>2429400884677032</v>
      </c>
      <c r="K64" s="83">
        <v>9.8140232336922683E-5</v>
      </c>
      <c r="L64" s="83">
        <v>2374539744112241.5</v>
      </c>
      <c r="M64" s="83">
        <v>9.2546301040803347E-5</v>
      </c>
      <c r="N64" s="83">
        <v>2111027228255701</v>
      </c>
      <c r="O64" s="83">
        <v>8.5741384138038088E-5</v>
      </c>
      <c r="P64" s="83">
        <v>2055782638859294.2</v>
      </c>
      <c r="Q64" s="83">
        <v>8.0683656037035053E-5</v>
      </c>
      <c r="R64" s="83">
        <v>1833864441839866.7</v>
      </c>
      <c r="S64" s="83">
        <v>7.507946913134452E-5</v>
      </c>
      <c r="T64" s="83">
        <v>1761684595697817.7</v>
      </c>
      <c r="U64" s="83">
        <v>7.0332008024168383E-5</v>
      </c>
      <c r="V64" s="83">
        <v>1606480424116368.5</v>
      </c>
      <c r="W64" s="83">
        <v>6.3751864879223435E-5</v>
      </c>
      <c r="X64" s="83">
        <v>1410053578008005.2</v>
      </c>
      <c r="Y64" s="83">
        <v>5.8651277792928483E-5</v>
      </c>
      <c r="Z64" s="83">
        <v>1340793784517641.5</v>
      </c>
      <c r="AA64" s="83">
        <v>5.4912769395665918E-5</v>
      </c>
      <c r="AB64" s="83">
        <v>1227354270732420.7</v>
      </c>
      <c r="AC64" s="83">
        <v>5.0363413865013128E-5</v>
      </c>
      <c r="AD64" s="83">
        <v>1037141572389604.9</v>
      </c>
      <c r="AE64" s="83">
        <v>4.3500670361067797E-5</v>
      </c>
    </row>
    <row r="65" spans="2:31" x14ac:dyDescent="0.2">
      <c r="B65" s="83">
        <v>2857188803637495</v>
      </c>
      <c r="C65" s="83">
        <v>1.1928074132214466E-4</v>
      </c>
      <c r="D65" s="83">
        <v>2761238011447447</v>
      </c>
      <c r="E65" s="83">
        <v>1.1591269892675498E-4</v>
      </c>
      <c r="F65" s="83">
        <v>2777142920622373</v>
      </c>
      <c r="G65" s="83">
        <v>1.1396459604596287E-4</v>
      </c>
      <c r="H65" s="83">
        <v>2599339346290569.5</v>
      </c>
      <c r="I65" s="83">
        <v>1.0725342408589711E-4</v>
      </c>
      <c r="J65" s="83">
        <v>2292665802812861.5</v>
      </c>
      <c r="K65" s="83">
        <v>9.7338987405977357E-5</v>
      </c>
      <c r="L65" s="83">
        <v>2234709418332671</v>
      </c>
      <c r="M65" s="83">
        <v>9.1588770011894908E-5</v>
      </c>
      <c r="N65" s="83">
        <v>1986192999105395.7</v>
      </c>
      <c r="O65" s="83">
        <v>8.4787534143626383E-5</v>
      </c>
      <c r="P65" s="83">
        <v>1938838506222714.2</v>
      </c>
      <c r="Q65" s="83">
        <v>8.0063347039137467E-5</v>
      </c>
      <c r="R65" s="83">
        <v>1722977656446163.5</v>
      </c>
      <c r="S65" s="83">
        <v>7.4156479530671085E-5</v>
      </c>
      <c r="T65" s="83">
        <v>1660091120350788</v>
      </c>
      <c r="U65" s="83">
        <v>6.9762517418009955E-5</v>
      </c>
      <c r="V65" s="83">
        <v>1509524341297980.7</v>
      </c>
      <c r="W65" s="83">
        <v>6.3028756507985576E-5</v>
      </c>
      <c r="X65" s="83">
        <v>1327660474443308.5</v>
      </c>
      <c r="Y65" s="83">
        <v>5.8026864350835327E-5</v>
      </c>
      <c r="Z65" s="83">
        <v>1257264985840888.5</v>
      </c>
      <c r="AA65" s="83">
        <v>5.4107085070502518E-5</v>
      </c>
      <c r="AB65" s="83">
        <v>1151846359480757.2</v>
      </c>
      <c r="AC65" s="83">
        <v>4.9714917856706457E-5</v>
      </c>
      <c r="AD65" s="83">
        <v>977772529288657.12</v>
      </c>
      <c r="AE65" s="83">
        <v>4.3127770621977596E-5</v>
      </c>
    </row>
    <row r="66" spans="2:31" x14ac:dyDescent="0.2">
      <c r="B66" s="83">
        <v>2699639219864189</v>
      </c>
      <c r="C66" s="83">
        <v>1.1850562612720413E-4</v>
      </c>
      <c r="D66" s="83">
        <v>2607915699408529.5</v>
      </c>
      <c r="E66" s="83">
        <v>1.1502850242910041E-4</v>
      </c>
      <c r="F66" s="83">
        <v>2615431369826877.5</v>
      </c>
      <c r="G66" s="83">
        <v>1.1265566506894757E-4</v>
      </c>
      <c r="H66" s="83">
        <v>2447591225610275</v>
      </c>
      <c r="I66" s="83">
        <v>1.0626226910297929E-4</v>
      </c>
      <c r="J66" s="83">
        <v>2157752089941174</v>
      </c>
      <c r="K66" s="83">
        <v>9.6144324854654874E-5</v>
      </c>
      <c r="L66" s="83">
        <v>2101950872829588.2</v>
      </c>
      <c r="M66" s="83">
        <v>9.0482910840874287E-5</v>
      </c>
      <c r="N66" s="83">
        <v>1871062488846676.8</v>
      </c>
      <c r="O66" s="83">
        <v>8.3837400906498121E-5</v>
      </c>
      <c r="P66" s="83">
        <v>1824502157802475.3</v>
      </c>
      <c r="Q66" s="83">
        <v>7.918873045029983E-5</v>
      </c>
      <c r="R66" s="83">
        <v>1623205516072987.7</v>
      </c>
      <c r="S66" s="83">
        <v>7.3318600102728908E-5</v>
      </c>
      <c r="T66" s="83">
        <v>1561266304737276.5</v>
      </c>
      <c r="U66" s="83">
        <v>6.8867183854596589E-5</v>
      </c>
      <c r="V66" s="83">
        <v>1417382933160686.7</v>
      </c>
      <c r="W66" s="83">
        <v>6.2155226581754732E-5</v>
      </c>
      <c r="X66" s="83">
        <v>1248184007997225.7</v>
      </c>
      <c r="Y66" s="83">
        <v>5.7203643301710798E-5</v>
      </c>
      <c r="Z66" s="83">
        <v>1181082192574683.5</v>
      </c>
      <c r="AA66" s="83">
        <v>5.3384030763792185E-5</v>
      </c>
      <c r="AB66" s="83">
        <v>1083009947963932</v>
      </c>
      <c r="AC66" s="83">
        <v>4.9070490115529876E-5</v>
      </c>
      <c r="AD66" s="83">
        <v>916903108915604.37</v>
      </c>
      <c r="AE66" s="83">
        <v>4.2482586811034942E-5</v>
      </c>
    </row>
    <row r="67" spans="2:31" x14ac:dyDescent="0.2">
      <c r="B67" s="83">
        <v>2547190161227160.5</v>
      </c>
      <c r="C67" s="83">
        <v>1.1741438475831142E-4</v>
      </c>
      <c r="D67" s="83">
        <v>2463453271635232.5</v>
      </c>
      <c r="E67" s="83">
        <v>1.1404328302130082E-4</v>
      </c>
      <c r="F67" s="83">
        <v>2472437113723352</v>
      </c>
      <c r="G67" s="83">
        <v>1.1180426550688254E-4</v>
      </c>
      <c r="H67" s="83">
        <v>2313619475634201.5</v>
      </c>
      <c r="I67" s="83">
        <v>1.0545128753029438E-4</v>
      </c>
      <c r="J67" s="83">
        <v>2036422310062288.7</v>
      </c>
      <c r="K67" s="83">
        <v>9.5192072459332675E-5</v>
      </c>
      <c r="L67" s="83">
        <v>1980559175623228.7</v>
      </c>
      <c r="M67" s="83">
        <v>8.9535042735784396E-5</v>
      </c>
      <c r="N67" s="83">
        <v>1760774252193609.5</v>
      </c>
      <c r="O67" s="83">
        <v>8.275899471316032E-5</v>
      </c>
      <c r="P67" s="83">
        <v>1716369335180348.7</v>
      </c>
      <c r="Q67" s="83">
        <v>7.8233775396199947E-5</v>
      </c>
      <c r="R67" s="83">
        <v>1526626599421671</v>
      </c>
      <c r="S67" s="83">
        <v>7.2422456868655773E-5</v>
      </c>
      <c r="T67" s="83">
        <v>1466785400578162.2</v>
      </c>
      <c r="U67" s="83">
        <v>6.7884921917414631E-5</v>
      </c>
      <c r="V67" s="83">
        <v>1330374309707249.2</v>
      </c>
      <c r="W67" s="83">
        <v>6.1241341713432092E-5</v>
      </c>
      <c r="X67" s="83">
        <v>1172719933687467.7</v>
      </c>
      <c r="Y67" s="83">
        <v>5.6371909833970296E-5</v>
      </c>
      <c r="Z67" s="83">
        <v>1111469055930206.7</v>
      </c>
      <c r="AA67" s="83">
        <v>5.2730208730903769E-5</v>
      </c>
      <c r="AB67" s="83">
        <v>1015865676234585.2</v>
      </c>
      <c r="AC67" s="83">
        <v>4.8334416318470483E-5</v>
      </c>
      <c r="AD67" s="83">
        <v>858506603042324.75</v>
      </c>
      <c r="AE67" s="83">
        <v>4.1696927550949224E-5</v>
      </c>
    </row>
    <row r="68" spans="2:31" x14ac:dyDescent="0.2">
      <c r="B68" s="83">
        <v>2412595424020417</v>
      </c>
      <c r="C68" s="83">
        <v>1.1682409575770429E-4</v>
      </c>
      <c r="D68" s="83">
        <v>2322154319458839.5</v>
      </c>
      <c r="E68" s="83">
        <v>1.1297935434676413E-4</v>
      </c>
      <c r="F68" s="83">
        <v>2330447847275919</v>
      </c>
      <c r="G68" s="83">
        <v>1.1062546261402096E-4</v>
      </c>
      <c r="H68" s="83">
        <v>2184034918269370.7</v>
      </c>
      <c r="I68" s="83">
        <v>1.0453747118950419E-4</v>
      </c>
      <c r="J68" s="83">
        <v>1917509886792180</v>
      </c>
      <c r="K68" s="83">
        <v>9.4136897023000863E-5</v>
      </c>
      <c r="L68" s="83">
        <v>1866265465374527.5</v>
      </c>
      <c r="M68" s="83">
        <v>8.8508456177050643E-5</v>
      </c>
      <c r="N68" s="83">
        <v>1663173386425164</v>
      </c>
      <c r="O68" s="83">
        <v>8.2087080111251131E-5</v>
      </c>
      <c r="P68" s="83">
        <v>1616745770020369.2</v>
      </c>
      <c r="Q68" s="83">
        <v>7.729937217321276E-5</v>
      </c>
      <c r="R68" s="83">
        <v>1439849835821890.7</v>
      </c>
      <c r="S68" s="83">
        <v>7.1616295565970841E-5</v>
      </c>
      <c r="T68" s="83">
        <v>1379625001428590.7</v>
      </c>
      <c r="U68" s="83">
        <v>6.7042468438623353E-5</v>
      </c>
      <c r="V68" s="83">
        <v>1255532932567874</v>
      </c>
      <c r="W68" s="83">
        <v>6.067236985784203E-5</v>
      </c>
      <c r="X68" s="83">
        <v>1100849649034120.6</v>
      </c>
      <c r="Y68" s="83">
        <v>5.5518681723265173E-5</v>
      </c>
      <c r="Z68" s="83">
        <v>1046029760899890.6</v>
      </c>
      <c r="AA68" s="83">
        <v>5.2033222238731237E-5</v>
      </c>
      <c r="AB68" s="83">
        <v>954123136784631.25</v>
      </c>
      <c r="AC68" s="83">
        <v>4.7610833487026271E-5</v>
      </c>
      <c r="AD68" s="83">
        <v>805968056995728.62</v>
      </c>
      <c r="AE68" s="83">
        <v>4.1071649007390893E-5</v>
      </c>
    </row>
    <row r="69" spans="2:31" x14ac:dyDescent="0.2">
      <c r="B69" s="83">
        <v>2277520751369180</v>
      </c>
      <c r="C69" s="83">
        <v>1.1575168987822162E-4</v>
      </c>
      <c r="D69" s="83">
        <v>2193691977651612.7</v>
      </c>
      <c r="E69" s="83">
        <v>1.1201801690124372E-4</v>
      </c>
      <c r="F69" s="83">
        <v>2197651613653920.5</v>
      </c>
      <c r="G69" s="83">
        <v>1.0956836279447271E-4</v>
      </c>
      <c r="H69" s="83">
        <v>2062348967739375.5</v>
      </c>
      <c r="I69" s="83">
        <v>1.035724519661054E-4</v>
      </c>
      <c r="J69" s="83">
        <v>1806493058662098.5</v>
      </c>
      <c r="K69" s="83">
        <v>9.2972604730890096E-5</v>
      </c>
      <c r="L69" s="83">
        <v>1756430523964095.5</v>
      </c>
      <c r="M69" s="83">
        <v>8.7447962411207739E-5</v>
      </c>
      <c r="N69" s="83">
        <v>1566617239411987.5</v>
      </c>
      <c r="O69" s="83">
        <v>8.1191468981505109E-5</v>
      </c>
      <c r="P69" s="83">
        <v>1528415103410725</v>
      </c>
      <c r="Q69" s="83">
        <v>7.6741945843009061E-5</v>
      </c>
      <c r="R69" s="83">
        <v>1353101860053761.5</v>
      </c>
      <c r="S69" s="83">
        <v>7.0667208768765329E-5</v>
      </c>
      <c r="T69" s="83">
        <v>1297823202596460.2</v>
      </c>
      <c r="U69" s="83">
        <v>6.6154503935075002E-5</v>
      </c>
      <c r="V69" s="83">
        <v>1178792936803018.5</v>
      </c>
      <c r="W69" s="83">
        <v>5.9766784318265699E-5</v>
      </c>
      <c r="X69" s="83">
        <v>1029372527837523.1</v>
      </c>
      <c r="Y69" s="83">
        <v>5.4526741118023456E-5</v>
      </c>
      <c r="Z69" s="83">
        <v>976943456157116.25</v>
      </c>
      <c r="AA69" s="83">
        <v>5.1008641351972585E-5</v>
      </c>
      <c r="AB69" s="83">
        <v>894541012587193.87</v>
      </c>
      <c r="AC69" s="83">
        <v>4.689229743722866E-5</v>
      </c>
      <c r="AD69" s="83">
        <v>755879257963518.75</v>
      </c>
      <c r="AE69" s="83">
        <v>4.0430733383183884E-5</v>
      </c>
    </row>
    <row r="70" spans="2:31" x14ac:dyDescent="0.2">
      <c r="B70" s="83">
        <v>2154176463235472.5</v>
      </c>
      <c r="C70" s="83">
        <v>1.1484047924104045E-4</v>
      </c>
      <c r="D70" s="83">
        <v>2073328190380145.2</v>
      </c>
      <c r="E70" s="83">
        <v>1.1129672798593422E-4</v>
      </c>
      <c r="F70" s="83">
        <v>2076419712466809.5</v>
      </c>
      <c r="G70" s="83">
        <v>1.0867107064108298E-4</v>
      </c>
      <c r="H70" s="83">
        <v>1948797842120483.2</v>
      </c>
      <c r="I70" s="83">
        <v>1.0259228395735022E-4</v>
      </c>
      <c r="J70" s="83">
        <v>1702138421820522.5</v>
      </c>
      <c r="K70" s="83">
        <v>9.2071775072961548E-5</v>
      </c>
      <c r="L70" s="83">
        <v>1653013058038880.7</v>
      </c>
      <c r="M70" s="83">
        <v>8.635134892657718E-5</v>
      </c>
      <c r="N70" s="83">
        <v>1474086243652485.5</v>
      </c>
      <c r="O70" s="83">
        <v>8.0127551400444998E-5</v>
      </c>
      <c r="P70" s="83">
        <v>1436051468417069.7</v>
      </c>
      <c r="Q70" s="83">
        <v>7.557335567046708E-5</v>
      </c>
      <c r="R70" s="83">
        <v>1272192346210899</v>
      </c>
      <c r="S70" s="83">
        <v>6.9687486167531023E-5</v>
      </c>
      <c r="T70" s="83">
        <v>1220333511620023</v>
      </c>
      <c r="U70" s="83">
        <v>6.54049864596491E-5</v>
      </c>
      <c r="V70" s="83">
        <v>1108247185670458.7</v>
      </c>
      <c r="W70" s="83">
        <v>5.8942581033496177E-5</v>
      </c>
      <c r="X70" s="83">
        <v>969509905040581.5</v>
      </c>
      <c r="Y70" s="83">
        <v>5.3939035547562669E-5</v>
      </c>
      <c r="Z70" s="83">
        <v>916873337999137.25</v>
      </c>
      <c r="AA70" s="83">
        <v>5.0299110391665909E-5</v>
      </c>
      <c r="AB70" s="83">
        <v>838584060604274.12</v>
      </c>
      <c r="AC70" s="83">
        <v>4.6128491543766901E-5</v>
      </c>
      <c r="AD70" s="83">
        <v>707967165894605.37</v>
      </c>
      <c r="AE70" s="83">
        <v>3.9747846744576457E-5</v>
      </c>
    </row>
    <row r="71" spans="2:31" x14ac:dyDescent="0.2">
      <c r="B71" s="83">
        <v>2030743153989264</v>
      </c>
      <c r="C71" s="83">
        <v>1.1382877355447611E-4</v>
      </c>
      <c r="D71" s="83">
        <v>1953137757650244</v>
      </c>
      <c r="E71" s="83">
        <v>1.1020885196521704E-4</v>
      </c>
      <c r="F71" s="83">
        <v>1962830659580514.2</v>
      </c>
      <c r="G71" s="83">
        <v>1.0788552906221227E-4</v>
      </c>
      <c r="H71" s="83">
        <v>1834705201951156</v>
      </c>
      <c r="I71" s="83">
        <v>1.0149825773563249E-4</v>
      </c>
      <c r="J71" s="83">
        <v>1600452041191284</v>
      </c>
      <c r="K71" s="83">
        <v>9.1085410831114204E-5</v>
      </c>
      <c r="L71" s="83">
        <v>1558196361427358</v>
      </c>
      <c r="M71" s="83">
        <v>8.5626183769378034E-5</v>
      </c>
      <c r="N71" s="83">
        <v>1387028961118624.5</v>
      </c>
      <c r="O71" s="83">
        <v>7.9225315043606343E-5</v>
      </c>
      <c r="P71" s="83">
        <v>1351391792729366.2</v>
      </c>
      <c r="Q71" s="83">
        <v>7.4722375529888619E-5</v>
      </c>
      <c r="R71" s="83">
        <v>1193538161482858.2</v>
      </c>
      <c r="S71" s="83">
        <v>6.8729261950001755E-5</v>
      </c>
      <c r="T71" s="83">
        <v>1147609302203745</v>
      </c>
      <c r="U71" s="83">
        <v>6.452524047132037E-5</v>
      </c>
      <c r="V71" s="83">
        <v>1039316751333479.2</v>
      </c>
      <c r="W71" s="83">
        <v>5.8062481366218832E-5</v>
      </c>
      <c r="X71" s="83">
        <v>909149777381016.37</v>
      </c>
      <c r="Y71" s="83">
        <v>5.3192854452600167E-5</v>
      </c>
      <c r="Z71" s="83">
        <v>862369715475035.12</v>
      </c>
      <c r="AA71" s="83">
        <v>4.9666811991410737E-5</v>
      </c>
      <c r="AB71" s="83">
        <v>786892607908908.25</v>
      </c>
      <c r="AC71" s="83">
        <v>4.5520526561433268E-5</v>
      </c>
      <c r="AD71" s="83">
        <v>661500068404725.5</v>
      </c>
      <c r="AE71" s="83">
        <v>3.9087777527470231E-5</v>
      </c>
    </row>
    <row r="72" spans="2:31" x14ac:dyDescent="0.2">
      <c r="B72" s="83">
        <v>1914162364044033</v>
      </c>
      <c r="C72" s="83">
        <v>1.1260380409056858E-4</v>
      </c>
      <c r="D72" s="83">
        <v>1841638303097294.7</v>
      </c>
      <c r="E72" s="83">
        <v>1.0909619606990912E-4</v>
      </c>
      <c r="F72" s="83">
        <v>1846385474009900</v>
      </c>
      <c r="G72" s="83">
        <v>1.064737669286908E-4</v>
      </c>
      <c r="H72" s="83">
        <v>1731567276085193.7</v>
      </c>
      <c r="I72" s="83">
        <v>1.0048945548242289E-4</v>
      </c>
      <c r="J72" s="83">
        <v>1512629186583318</v>
      </c>
      <c r="K72" s="83">
        <v>9.0326652692795768E-5</v>
      </c>
      <c r="L72" s="83">
        <v>1463529059093394.2</v>
      </c>
      <c r="M72" s="83">
        <v>8.4402622631785915E-5</v>
      </c>
      <c r="N72" s="83">
        <v>1306735934972697.8</v>
      </c>
      <c r="O72" s="83">
        <v>7.8335133006028501E-5</v>
      </c>
      <c r="P72" s="83">
        <v>1268002063999422.5</v>
      </c>
      <c r="Q72" s="83">
        <v>7.3573725786302323E-5</v>
      </c>
      <c r="R72" s="83">
        <v>1120992211128670.4</v>
      </c>
      <c r="S72" s="83">
        <v>6.7803947063019914E-5</v>
      </c>
      <c r="T72" s="83">
        <v>1078739962363670.9</v>
      </c>
      <c r="U72" s="83">
        <v>6.3766076558093739E-5</v>
      </c>
      <c r="V72" s="83">
        <v>977761442270398.37</v>
      </c>
      <c r="W72" s="83">
        <v>5.7374658171132453E-5</v>
      </c>
      <c r="X72" s="83">
        <v>857710695161194.75</v>
      </c>
      <c r="Y72" s="83">
        <v>5.2723098646215901E-5</v>
      </c>
      <c r="Z72" s="83">
        <v>810274656777833.12</v>
      </c>
      <c r="AA72" s="83">
        <v>4.9038571633747614E-5</v>
      </c>
      <c r="AB72" s="83">
        <v>736241683635041.25</v>
      </c>
      <c r="AC72" s="83">
        <v>4.4634516478114305E-5</v>
      </c>
      <c r="AD72" s="83">
        <v>620802574185446.37</v>
      </c>
      <c r="AE72" s="83">
        <v>3.8488971057092363E-5</v>
      </c>
    </row>
    <row r="73" spans="2:31" x14ac:dyDescent="0.2">
      <c r="B73" s="83">
        <v>1808058053196014</v>
      </c>
      <c r="C73" s="83">
        <v>1.1173594916850647E-4</v>
      </c>
      <c r="D73" s="83">
        <v>1736011866810073</v>
      </c>
      <c r="E73" s="83">
        <v>1.0801863352307236E-4</v>
      </c>
      <c r="F73" s="83">
        <v>1741227767304131.7</v>
      </c>
      <c r="G73" s="83">
        <v>1.0531144436527217E-4</v>
      </c>
      <c r="H73" s="83">
        <v>1628448219617592.5</v>
      </c>
      <c r="I73" s="83">
        <v>9.926844042639792E-5</v>
      </c>
      <c r="J73" s="83">
        <v>1423394620520615.2</v>
      </c>
      <c r="K73" s="83">
        <v>8.9204135328528042E-5</v>
      </c>
      <c r="L73" s="83">
        <v>1381724237770762.2</v>
      </c>
      <c r="M73" s="83">
        <v>8.3638932310155456E-5</v>
      </c>
      <c r="N73" s="83">
        <v>1228538562234803.2</v>
      </c>
      <c r="O73" s="83">
        <v>7.7187726767742726E-5</v>
      </c>
      <c r="P73" s="83">
        <v>1196776594469376</v>
      </c>
      <c r="Q73" s="83">
        <v>7.2958910462468982E-5</v>
      </c>
      <c r="R73" s="83">
        <v>1056417531400092.9</v>
      </c>
      <c r="S73" s="83">
        <v>6.7105941642897488E-5</v>
      </c>
      <c r="T73" s="83">
        <v>1013116807180116.6</v>
      </c>
      <c r="U73" s="83">
        <v>6.2786892834538335E-5</v>
      </c>
      <c r="V73" s="83">
        <v>915222170182501.25</v>
      </c>
      <c r="W73" s="83">
        <v>5.6387851398029668E-5</v>
      </c>
      <c r="X73" s="83">
        <v>806305137303445.75</v>
      </c>
      <c r="Y73" s="83">
        <v>5.1937337492101263E-5</v>
      </c>
      <c r="Z73" s="83">
        <v>759928168608902.5</v>
      </c>
      <c r="AA73" s="83">
        <v>4.8225289991979912E-5</v>
      </c>
      <c r="AB73" s="83">
        <v>693549839739455.37</v>
      </c>
      <c r="AC73" s="83">
        <v>4.4189399786927189E-5</v>
      </c>
      <c r="AD73" s="83">
        <v>582300309816828.12</v>
      </c>
      <c r="AE73" s="83">
        <v>3.7883415511231782E-5</v>
      </c>
    </row>
    <row r="74" spans="2:31" x14ac:dyDescent="0.2">
      <c r="B74" s="83">
        <v>1701668010577894.2</v>
      </c>
      <c r="C74" s="83">
        <v>1.102853735539421E-4</v>
      </c>
      <c r="D74" s="83">
        <v>1636742900913177</v>
      </c>
      <c r="E74" s="83">
        <v>1.0680586021782067E-4</v>
      </c>
      <c r="F74" s="83">
        <v>1638695924009150.5</v>
      </c>
      <c r="G74" s="83">
        <v>1.0400774096018006E-4</v>
      </c>
      <c r="H74" s="83">
        <v>1535284156825297.5</v>
      </c>
      <c r="I74" s="83">
        <v>9.8136736703052793E-5</v>
      </c>
      <c r="J74" s="83">
        <v>1339571756248857.2</v>
      </c>
      <c r="K74" s="83">
        <v>8.8013452934293017E-5</v>
      </c>
      <c r="L74" s="83">
        <v>1299384681768443.5</v>
      </c>
      <c r="M74" s="83">
        <v>8.2515635825524262E-5</v>
      </c>
      <c r="N74" s="83">
        <v>1156641373921956.5</v>
      </c>
      <c r="O74" s="83">
        <v>7.632294722462776E-5</v>
      </c>
      <c r="P74" s="83">
        <v>1121946447707119.7</v>
      </c>
      <c r="Q74" s="83">
        <v>7.1794317309983963E-5</v>
      </c>
      <c r="R74" s="83">
        <v>993441909469592.5</v>
      </c>
      <c r="S74" s="83">
        <v>6.6260576740817111E-5</v>
      </c>
      <c r="T74" s="83">
        <v>952341892257997.37</v>
      </c>
      <c r="U74" s="83">
        <v>6.1898266437715419E-5</v>
      </c>
      <c r="V74" s="83">
        <v>863421750243230</v>
      </c>
      <c r="W74" s="83">
        <v>5.5740757919584838E-5</v>
      </c>
      <c r="X74" s="83">
        <v>755465036902864.37</v>
      </c>
      <c r="Y74" s="83">
        <v>5.1064995090427929E-5</v>
      </c>
      <c r="Z74" s="83">
        <v>712457836195338.25</v>
      </c>
      <c r="AA74" s="83">
        <v>4.7508582334922836E-5</v>
      </c>
      <c r="AB74" s="83">
        <v>650015402091358.25</v>
      </c>
      <c r="AC74" s="83">
        <v>4.3419379364273792E-5</v>
      </c>
      <c r="AD74" s="83">
        <v>545005614705632.69</v>
      </c>
      <c r="AE74" s="83">
        <v>3.7251856390144657E-5</v>
      </c>
    </row>
    <row r="75" spans="2:31" x14ac:dyDescent="0.2">
      <c r="B75" s="83">
        <v>1603422856404827.7</v>
      </c>
      <c r="C75" s="83">
        <v>1.0925522139378659E-4</v>
      </c>
      <c r="D75" s="83">
        <v>1542541452672491.5</v>
      </c>
      <c r="E75" s="83">
        <v>1.0561307229075219E-4</v>
      </c>
      <c r="F75" s="83">
        <v>1540848336177075.5</v>
      </c>
      <c r="G75" s="83">
        <v>1.0277284336590048E-4</v>
      </c>
      <c r="H75" s="83">
        <v>1445611911449312.7</v>
      </c>
      <c r="I75" s="83">
        <v>9.6971835301177717E-5</v>
      </c>
      <c r="J75" s="83">
        <v>1260845152573569.2</v>
      </c>
      <c r="K75" s="83">
        <v>8.6884688971504865E-5</v>
      </c>
      <c r="L75" s="83">
        <v>1220318120148402</v>
      </c>
      <c r="M75" s="83">
        <v>8.1252558830179398E-5</v>
      </c>
      <c r="N75" s="83">
        <v>1089082773745090.6</v>
      </c>
      <c r="O75" s="83">
        <v>7.5473188265681121E-5</v>
      </c>
      <c r="P75" s="83">
        <v>1056608647583442.6</v>
      </c>
      <c r="Q75" s="83">
        <v>7.0916102591157286E-5</v>
      </c>
      <c r="R75" s="83">
        <v>932132934026564.87</v>
      </c>
      <c r="S75" s="83">
        <v>6.5182350783004993E-5</v>
      </c>
      <c r="T75" s="83">
        <v>890882171240831.12</v>
      </c>
      <c r="U75" s="83">
        <v>6.0829112123501737E-5</v>
      </c>
      <c r="V75" s="83">
        <v>809458234998436.12</v>
      </c>
      <c r="W75" s="83">
        <v>5.4907890294189365E-5</v>
      </c>
      <c r="X75" s="83">
        <v>709336298650713.62</v>
      </c>
      <c r="Y75" s="83">
        <v>5.0325554155659108E-5</v>
      </c>
      <c r="Z75" s="83">
        <v>668060251893561.62</v>
      </c>
      <c r="AA75" s="83">
        <v>4.6717319722813214E-5</v>
      </c>
      <c r="AB75" s="83">
        <v>611495943398193.62</v>
      </c>
      <c r="AC75" s="83">
        <v>4.2859455166151844E-5</v>
      </c>
      <c r="AD75" s="83">
        <v>510151221833608</v>
      </c>
      <c r="AE75" s="83">
        <v>3.658677467503713E-5</v>
      </c>
    </row>
    <row r="76" spans="2:31" x14ac:dyDescent="0.2">
      <c r="B76" s="83">
        <v>1513339343674601.5</v>
      </c>
      <c r="C76" s="83">
        <v>1.0818317241874058E-4</v>
      </c>
      <c r="D76" s="83">
        <v>1451736067585646.7</v>
      </c>
      <c r="E76" s="83">
        <v>1.0426505418060403E-4</v>
      </c>
      <c r="F76" s="83">
        <v>1455114378077406.7</v>
      </c>
      <c r="G76" s="83">
        <v>1.0191477080208218E-4</v>
      </c>
      <c r="H76" s="83">
        <v>1359303750656123.2</v>
      </c>
      <c r="I76" s="83">
        <v>9.5623533598053224E-5</v>
      </c>
      <c r="J76" s="83">
        <v>1183046089328425.5</v>
      </c>
      <c r="K76" s="83">
        <v>8.5543069441770765E-5</v>
      </c>
      <c r="L76" s="83">
        <v>1149174295381870.7</v>
      </c>
      <c r="M76" s="83">
        <v>8.0353016772144974E-5</v>
      </c>
      <c r="N76" s="83">
        <v>1025851183435828.6</v>
      </c>
      <c r="O76" s="83">
        <v>7.4620467440046658E-5</v>
      </c>
      <c r="P76" s="83">
        <v>994043456038547.87</v>
      </c>
      <c r="Q76" s="83">
        <v>7.0000519256747294E-5</v>
      </c>
      <c r="R76" s="83">
        <v>875092046729687.62</v>
      </c>
      <c r="S76" s="83">
        <v>6.4285799511097584E-5</v>
      </c>
      <c r="T76" s="83">
        <v>839715820442129.75</v>
      </c>
      <c r="U76" s="83">
        <v>6.0195672524828228E-5</v>
      </c>
      <c r="V76" s="83">
        <v>758741669855640.75</v>
      </c>
      <c r="W76" s="83">
        <v>5.3954369742166407E-5</v>
      </c>
      <c r="X76" s="83">
        <v>667109528968412.5</v>
      </c>
      <c r="Y76" s="83">
        <v>4.9707741107382999E-5</v>
      </c>
      <c r="Z76" s="83">
        <v>627383080970369.12</v>
      </c>
      <c r="AA76" s="83">
        <v>4.6096188734410919E-5</v>
      </c>
      <c r="AB76" s="83">
        <v>570305674542891.37</v>
      </c>
      <c r="AC76" s="83">
        <v>4.1939661255054259E-5</v>
      </c>
      <c r="AD76" s="83">
        <v>479049614787834.69</v>
      </c>
      <c r="AE76" s="83">
        <v>3.6100671115626264E-5</v>
      </c>
    </row>
    <row r="77" spans="2:31" x14ac:dyDescent="0.2">
      <c r="B77" s="83">
        <v>1428082337782756.5</v>
      </c>
      <c r="C77" s="83">
        <v>1.0721420310996309E-4</v>
      </c>
      <c r="D77" s="83">
        <v>1367210113660323.2</v>
      </c>
      <c r="E77" s="83">
        <v>1.0320468934796278E-4</v>
      </c>
      <c r="F77" s="83">
        <v>1371928542823451.7</v>
      </c>
      <c r="G77" s="83">
        <v>1.0091135053455525E-4</v>
      </c>
      <c r="H77" s="83">
        <v>1280366486416677.2</v>
      </c>
      <c r="I77" s="83">
        <v>9.4437943853790092E-5</v>
      </c>
      <c r="J77" s="83">
        <v>1112088066926262.6</v>
      </c>
      <c r="K77" s="83">
        <v>8.4418231401538356E-5</v>
      </c>
      <c r="L77" s="83">
        <v>1078859178217797.9</v>
      </c>
      <c r="M77" s="83">
        <v>7.9084037388326691E-5</v>
      </c>
      <c r="N77" s="83">
        <v>966357739773200.62</v>
      </c>
      <c r="O77" s="83">
        <v>7.382184638150527E-5</v>
      </c>
      <c r="P77" s="83">
        <v>933124645506990.37</v>
      </c>
      <c r="Q77" s="83">
        <v>6.9020979000887533E-5</v>
      </c>
      <c r="R77" s="83">
        <v>822103173577821</v>
      </c>
      <c r="S77" s="83">
        <v>6.3319952678776533E-5</v>
      </c>
      <c r="T77" s="83">
        <v>789417863837255.62</v>
      </c>
      <c r="U77" s="83">
        <v>5.9445457144671616E-5</v>
      </c>
      <c r="V77" s="83">
        <v>713862656081837.37</v>
      </c>
      <c r="W77" s="83">
        <v>5.3317881979247873E-5</v>
      </c>
      <c r="X77" s="83">
        <v>627311243809504.5</v>
      </c>
      <c r="Y77" s="83">
        <v>4.9060793802086239E-5</v>
      </c>
      <c r="Z77" s="83">
        <v>589318461200266.12</v>
      </c>
      <c r="AA77" s="83">
        <v>4.5415222339286506E-5</v>
      </c>
      <c r="AB77" s="83">
        <v>537275261219521.69</v>
      </c>
      <c r="AC77" s="83">
        <v>4.1492167710767862E-5</v>
      </c>
      <c r="AD77" s="83">
        <v>447499320366370.12</v>
      </c>
      <c r="AE77" s="83">
        <v>3.5384516403462389E-5</v>
      </c>
    </row>
    <row r="78" spans="2:31" x14ac:dyDescent="0.2">
      <c r="B78" s="83">
        <v>1347907270957075</v>
      </c>
      <c r="C78" s="83">
        <v>1.062872123543379E-4</v>
      </c>
      <c r="D78" s="83">
        <v>1284606622560608</v>
      </c>
      <c r="E78" s="83">
        <v>1.0192309389027555E-4</v>
      </c>
      <c r="F78" s="83">
        <v>1290572251965890.2</v>
      </c>
      <c r="G78" s="83">
        <v>9.9424076311294064E-5</v>
      </c>
      <c r="H78" s="83">
        <v>1200241178502924.5</v>
      </c>
      <c r="I78" s="83">
        <v>9.3159066220026079E-5</v>
      </c>
      <c r="J78" s="83">
        <v>1047716267483032.6</v>
      </c>
      <c r="K78" s="83">
        <v>8.3644416447488447E-5</v>
      </c>
      <c r="L78" s="83">
        <v>1013930166109548.7</v>
      </c>
      <c r="M78" s="83">
        <v>7.8135636101579514E-5</v>
      </c>
      <c r="N78" s="83">
        <v>907019815772815.75</v>
      </c>
      <c r="O78" s="83">
        <v>7.2658831512386148E-5</v>
      </c>
      <c r="P78" s="83">
        <v>878876964122356.25</v>
      </c>
      <c r="Q78" s="83">
        <v>6.8241768350662459E-5</v>
      </c>
      <c r="R78" s="83">
        <v>771475276150096.12</v>
      </c>
      <c r="S78" s="83">
        <v>6.2442255368703447E-5</v>
      </c>
      <c r="T78" s="83">
        <v>740843232332281.37</v>
      </c>
      <c r="U78" s="83">
        <v>5.8465868279706838E-5</v>
      </c>
      <c r="V78" s="83">
        <v>669462124133101.12</v>
      </c>
      <c r="W78" s="83">
        <v>5.2619691935564406E-5</v>
      </c>
      <c r="X78" s="83">
        <v>588554010729674.5</v>
      </c>
      <c r="Y78" s="83">
        <v>4.8327356956904471E-5</v>
      </c>
      <c r="Z78" s="83">
        <v>553397019870856.69</v>
      </c>
      <c r="AA78" s="83">
        <v>4.4768906946448094E-5</v>
      </c>
      <c r="AB78" s="83">
        <v>504866931913714.81</v>
      </c>
      <c r="AC78" s="83">
        <v>4.0999569478188386E-5</v>
      </c>
      <c r="AD78" s="83">
        <v>421958337673397.69</v>
      </c>
      <c r="AE78" s="83">
        <v>3.5041456703028055E-5</v>
      </c>
    </row>
    <row r="79" spans="2:31" x14ac:dyDescent="0.2">
      <c r="B79" s="83">
        <v>1270186931091811.7</v>
      </c>
      <c r="C79" s="83">
        <v>1.0500468331037909E-4</v>
      </c>
      <c r="D79" s="83">
        <v>1211388639866148</v>
      </c>
      <c r="E79" s="83">
        <v>1.0083962340793651E-4</v>
      </c>
      <c r="F79" s="83">
        <v>1213757129986574.2</v>
      </c>
      <c r="G79" s="83">
        <v>9.8280574742701173E-5</v>
      </c>
      <c r="H79" s="83">
        <v>1131939020969148</v>
      </c>
      <c r="I79" s="83">
        <v>9.2120288316770258E-5</v>
      </c>
      <c r="J79" s="83">
        <v>985006408096687.37</v>
      </c>
      <c r="K79" s="83">
        <v>8.2571802192129692E-5</v>
      </c>
      <c r="L79" s="83">
        <v>954194382194541.12</v>
      </c>
      <c r="M79" s="83">
        <v>7.7198692517279783E-5</v>
      </c>
      <c r="N79" s="83">
        <v>854015818304650.87</v>
      </c>
      <c r="O79" s="83">
        <v>7.1862882615936579E-5</v>
      </c>
      <c r="P79" s="83">
        <v>826440995970142.37</v>
      </c>
      <c r="Q79" s="83">
        <v>6.7315299912790676E-5</v>
      </c>
      <c r="R79" s="83">
        <v>722835942017404.62</v>
      </c>
      <c r="S79" s="83">
        <v>6.1452501245834316E-5</v>
      </c>
      <c r="T79" s="83">
        <v>696726898331835.12</v>
      </c>
      <c r="U79" s="83">
        <v>5.7778701943879346E-5</v>
      </c>
      <c r="V79" s="83">
        <v>630857824444013.5</v>
      </c>
      <c r="W79" s="83">
        <v>5.1981256925271777E-5</v>
      </c>
      <c r="X79" s="83">
        <v>550425560222142.56</v>
      </c>
      <c r="Y79" s="83">
        <v>4.7499669739566717E-5</v>
      </c>
      <c r="Z79" s="83">
        <v>519818727491663.31</v>
      </c>
      <c r="AA79" s="83">
        <v>4.4154663369519964E-5</v>
      </c>
      <c r="AB79" s="83">
        <v>471431210436411</v>
      </c>
      <c r="AC79" s="83">
        <v>4.0195179998878877E-5</v>
      </c>
      <c r="AD79" s="83">
        <v>395562562247333.37</v>
      </c>
      <c r="AE79" s="83">
        <v>3.4475837941602333E-5</v>
      </c>
    </row>
    <row r="80" spans="2:31" x14ac:dyDescent="0.2">
      <c r="B80" s="83">
        <v>1195115955324905.5</v>
      </c>
      <c r="C80" s="83">
        <v>1.0368835208148621E-4</v>
      </c>
      <c r="D80" s="83">
        <v>1138541437834662.7</v>
      </c>
      <c r="E80" s="83">
        <v>9.973613288103599E-5</v>
      </c>
      <c r="F80" s="83">
        <v>1141451815465614.2</v>
      </c>
      <c r="G80" s="83">
        <v>9.7127996449301754E-5</v>
      </c>
      <c r="H80" s="83">
        <v>1062070692668496</v>
      </c>
      <c r="I80" s="83">
        <v>9.0976250236965905E-5</v>
      </c>
      <c r="J80" s="83">
        <v>924673260816508.62</v>
      </c>
      <c r="K80" s="83">
        <v>8.1571314550066666E-5</v>
      </c>
      <c r="L80" s="83">
        <v>897201496198293.87</v>
      </c>
      <c r="M80" s="83">
        <v>7.6342959419764252E-5</v>
      </c>
      <c r="N80" s="83">
        <v>802200234960677.5</v>
      </c>
      <c r="O80" s="83">
        <v>7.0927083531233017E-5</v>
      </c>
      <c r="P80" s="83">
        <v>775715765228819</v>
      </c>
      <c r="Q80" s="83">
        <v>6.6361089826306899E-5</v>
      </c>
      <c r="R80" s="83">
        <v>682585623114555.62</v>
      </c>
      <c r="S80" s="83">
        <v>6.1034373034010039E-5</v>
      </c>
      <c r="T80" s="83">
        <v>651445281527072.5</v>
      </c>
      <c r="U80" s="83">
        <v>5.6701303484647194E-5</v>
      </c>
      <c r="V80" s="83">
        <v>592515827106164.12</v>
      </c>
      <c r="W80" s="83">
        <v>5.1260956014063223E-5</v>
      </c>
      <c r="X80" s="83">
        <v>518111834469048.62</v>
      </c>
      <c r="Y80" s="83">
        <v>4.6963401182793452E-5</v>
      </c>
      <c r="Z80" s="83">
        <v>486859404381272.31</v>
      </c>
      <c r="AA80" s="83">
        <v>4.3432480465470801E-5</v>
      </c>
      <c r="AB80" s="83">
        <v>442072598942729.12</v>
      </c>
      <c r="AC80" s="83">
        <v>3.9595203236989727E-5</v>
      </c>
      <c r="AD80" s="83">
        <v>369634442045838.12</v>
      </c>
      <c r="AE80" s="83">
        <v>3.3845347979318705E-5</v>
      </c>
    </row>
    <row r="81" spans="2:31" x14ac:dyDescent="0.2">
      <c r="B81" s="83">
        <v>1127133368461480.5</v>
      </c>
      <c r="C81" s="83">
        <v>1.0289912783015897E-4</v>
      </c>
      <c r="D81" s="83">
        <v>1071300373625266</v>
      </c>
      <c r="E81" s="83">
        <v>9.8699015320450866E-5</v>
      </c>
      <c r="F81" s="83">
        <v>1075768369140691.5</v>
      </c>
      <c r="G81" s="83">
        <v>9.6076867110930658E-5</v>
      </c>
      <c r="H81" s="83">
        <v>997806573588992.62</v>
      </c>
      <c r="I81" s="83">
        <v>8.9963479723383406E-5</v>
      </c>
      <c r="J81" s="83">
        <v>868649770045303.5</v>
      </c>
      <c r="K81" s="83">
        <v>8.0288141378313802E-5</v>
      </c>
      <c r="L81" s="83">
        <v>843731778457613</v>
      </c>
      <c r="M81" s="83">
        <v>7.533699962055232E-5</v>
      </c>
      <c r="N81" s="83">
        <v>752873062043961.25</v>
      </c>
      <c r="O81" s="83">
        <v>6.9915171225228695E-5</v>
      </c>
      <c r="P81" s="83">
        <v>729692555776308.62</v>
      </c>
      <c r="Q81" s="83">
        <v>6.5684461128528621E-5</v>
      </c>
      <c r="R81" s="83">
        <v>640005490929977</v>
      </c>
      <c r="S81" s="83">
        <v>6.0076888323055494E-5</v>
      </c>
      <c r="T81" s="83">
        <v>608762969353430.12</v>
      </c>
      <c r="U81" s="83">
        <v>5.5741888284032207E-5</v>
      </c>
      <c r="V81" s="83">
        <v>552040139438012.25</v>
      </c>
      <c r="W81" s="83">
        <v>5.0094172213661258E-5</v>
      </c>
      <c r="X81" s="83">
        <v>486184419628941.31</v>
      </c>
      <c r="Y81" s="83">
        <v>4.6345876063367281E-5</v>
      </c>
      <c r="Z81" s="83">
        <v>455843056904075</v>
      </c>
      <c r="AA81" s="83">
        <v>4.2694927886184752E-5</v>
      </c>
      <c r="AB81" s="83">
        <v>417231076745967.62</v>
      </c>
      <c r="AC81" s="83">
        <v>3.9354818752163543E-5</v>
      </c>
      <c r="AD81" s="83">
        <v>346770608412038.75</v>
      </c>
      <c r="AE81" s="83">
        <v>3.33219067889578E-5</v>
      </c>
    </row>
    <row r="82" spans="2:31" x14ac:dyDescent="0.2">
      <c r="B82" s="83">
        <v>1056918085946967.6</v>
      </c>
      <c r="C82" s="83">
        <v>1.0139656594123381E-4</v>
      </c>
      <c r="D82" s="83">
        <v>1014019755541946.2</v>
      </c>
      <c r="E82" s="83">
        <v>9.8106576514067875E-5</v>
      </c>
      <c r="F82" s="83">
        <v>1006367561259574.7</v>
      </c>
      <c r="G82" s="83">
        <v>9.4467202609565412E-5</v>
      </c>
      <c r="H82" s="83">
        <v>943712493977464.5</v>
      </c>
      <c r="I82" s="83">
        <v>8.9324380427252201E-5</v>
      </c>
      <c r="J82" s="83">
        <v>817747021843727.25</v>
      </c>
      <c r="K82" s="83">
        <v>7.9377274668914833E-5</v>
      </c>
      <c r="L82" s="83">
        <v>790397029767569.25</v>
      </c>
      <c r="M82" s="83">
        <v>7.4137709547709621E-5</v>
      </c>
      <c r="N82" s="83">
        <v>706571523786331.75</v>
      </c>
      <c r="O82" s="83">
        <v>6.8782072679335958E-5</v>
      </c>
      <c r="P82" s="83">
        <v>683978185696930.87</v>
      </c>
      <c r="Q82" s="83">
        <v>6.4650772629935209E-5</v>
      </c>
      <c r="R82" s="83">
        <v>601858777021438.25</v>
      </c>
      <c r="S82" s="83">
        <v>5.9144118410659643E-5</v>
      </c>
      <c r="T82" s="83">
        <v>572205569049020.37</v>
      </c>
      <c r="U82" s="83">
        <v>5.5075543934296886E-5</v>
      </c>
      <c r="V82" s="83">
        <v>520183440104236.25</v>
      </c>
      <c r="W82" s="83">
        <v>4.9731417945662503E-5</v>
      </c>
      <c r="X82" s="83">
        <v>458446416571199.44</v>
      </c>
      <c r="Y82" s="83">
        <v>4.5895290101337924E-5</v>
      </c>
      <c r="Z82" s="83">
        <v>425055206078414.5</v>
      </c>
      <c r="AA82" s="83">
        <v>4.1841064068178722E-5</v>
      </c>
      <c r="AB82" s="83">
        <v>391968432935059.56</v>
      </c>
      <c r="AC82" s="83">
        <v>3.8771745475781852E-5</v>
      </c>
      <c r="AD82" s="83">
        <v>324034467606479.87</v>
      </c>
      <c r="AE82" s="83">
        <v>3.2756033618681789E-5</v>
      </c>
    </row>
    <row r="83" spans="2:31" x14ac:dyDescent="0.2">
      <c r="B83" s="83">
        <v>997584202233706</v>
      </c>
      <c r="C83" s="83">
        <v>1.0064040964593725E-4</v>
      </c>
      <c r="D83" s="83">
        <v>953872887127900.75</v>
      </c>
      <c r="E83" s="83">
        <v>9.6655569078034142E-5</v>
      </c>
      <c r="F83" s="83">
        <v>947807357109094.12</v>
      </c>
      <c r="G83" s="83">
        <v>9.3667092631819759E-5</v>
      </c>
      <c r="H83" s="83">
        <v>885046379709061.87</v>
      </c>
      <c r="I83" s="83">
        <v>8.8063926441916428E-5</v>
      </c>
      <c r="J83" s="83">
        <v>768462904203445.5</v>
      </c>
      <c r="K83" s="83">
        <v>7.8386486198386948E-5</v>
      </c>
      <c r="L83" s="83">
        <v>743461513589780.37</v>
      </c>
      <c r="M83" s="83">
        <v>7.3373787267801369E-5</v>
      </c>
      <c r="N83" s="83">
        <v>663087397559857.87</v>
      </c>
      <c r="O83" s="83">
        <v>6.7899169831765345E-5</v>
      </c>
      <c r="P83" s="83">
        <v>647164011417494.37</v>
      </c>
      <c r="Q83" s="83">
        <v>6.4283952720556412E-5</v>
      </c>
      <c r="R83" s="83">
        <v>563497884746136.75</v>
      </c>
      <c r="S83" s="83">
        <v>5.8183239204972035E-5</v>
      </c>
      <c r="T83" s="83">
        <v>543195250773942.69</v>
      </c>
      <c r="U83" s="83">
        <v>5.4970222153089473E-5</v>
      </c>
      <c r="V83" s="83">
        <v>484774232688579.37</v>
      </c>
      <c r="W83" s="83">
        <v>4.8712216709342485E-5</v>
      </c>
      <c r="X83" s="83">
        <v>429937701424652.06</v>
      </c>
      <c r="Y83" s="83">
        <v>4.5201269450248975E-5</v>
      </c>
      <c r="Z83" s="83">
        <v>398564755654290.75</v>
      </c>
      <c r="AA83" s="83">
        <v>4.1159817325370398E-5</v>
      </c>
      <c r="AB83" s="83">
        <v>367564659912309.31</v>
      </c>
      <c r="AC83" s="83">
        <v>3.811870546827248E-5</v>
      </c>
      <c r="AD83" s="83">
        <v>301783714180183.19</v>
      </c>
      <c r="AE83" s="83">
        <v>3.2063022739196025E-5</v>
      </c>
    </row>
    <row r="84" spans="2:31" x14ac:dyDescent="0.2">
      <c r="B84" s="83">
        <v>938798467623056.87</v>
      </c>
      <c r="C84" s="83">
        <v>9.9583924706639221E-5</v>
      </c>
      <c r="D84" s="83">
        <v>892567621438349</v>
      </c>
      <c r="E84" s="83">
        <v>9.5184169235799476E-5</v>
      </c>
      <c r="F84" s="83">
        <v>887206655378532.12</v>
      </c>
      <c r="G84" s="83">
        <v>9.2241904085220506E-5</v>
      </c>
      <c r="H84" s="83">
        <v>828248514150924.5</v>
      </c>
      <c r="I84" s="83">
        <v>8.6491673937588782E-5</v>
      </c>
      <c r="J84" s="83">
        <v>722393055999430.62</v>
      </c>
      <c r="K84" s="83">
        <v>7.7526618970730739E-5</v>
      </c>
      <c r="L84" s="83">
        <v>696013785207879.25</v>
      </c>
      <c r="M84" s="83">
        <v>7.2173907196137305E-5</v>
      </c>
      <c r="N84" s="83">
        <v>620013747650781.5</v>
      </c>
      <c r="O84" s="83">
        <v>6.6718348670256859E-5</v>
      </c>
      <c r="P84" s="83">
        <v>604615020767507.62</v>
      </c>
      <c r="Q84" s="83">
        <v>6.3059944979134989E-5</v>
      </c>
      <c r="R84" s="83">
        <v>525373637494344.31</v>
      </c>
      <c r="S84" s="83">
        <v>5.7018593296340058E-5</v>
      </c>
      <c r="T84" s="83">
        <v>508480433517967.94</v>
      </c>
      <c r="U84" s="83">
        <v>5.4038994221810118E-5</v>
      </c>
      <c r="V84" s="83">
        <v>459077275998428.81</v>
      </c>
      <c r="W84" s="83">
        <v>4.8368980238626687E-5</v>
      </c>
      <c r="X84" s="83">
        <v>402135800042601.69</v>
      </c>
      <c r="Y84" s="83">
        <v>4.4390433327565996E-5</v>
      </c>
      <c r="Z84" s="83">
        <v>371524605232267.75</v>
      </c>
      <c r="AA84" s="83">
        <v>4.0383229304041002E-5</v>
      </c>
      <c r="AB84" s="83">
        <v>340389695524286</v>
      </c>
      <c r="AC84" s="83">
        <v>3.7043285278567219E-5</v>
      </c>
      <c r="AD84" s="83">
        <v>284296418020692.37</v>
      </c>
      <c r="AE84" s="83">
        <v>3.1708811747640936E-5</v>
      </c>
    </row>
    <row r="85" spans="2:31" x14ac:dyDescent="0.2">
      <c r="B85" s="83">
        <v>884101415908130.62</v>
      </c>
      <c r="C85" s="83">
        <v>9.852397265973668E-5</v>
      </c>
      <c r="D85" s="83">
        <v>834859821701804</v>
      </c>
      <c r="E85" s="83">
        <v>9.3277630514340264E-5</v>
      </c>
      <c r="F85" s="83">
        <v>835402945142558.62</v>
      </c>
      <c r="G85" s="83">
        <v>9.103826809268403E-5</v>
      </c>
      <c r="H85" s="83">
        <v>777942665240699.25</v>
      </c>
      <c r="I85" s="83">
        <v>8.5369708927056777E-5</v>
      </c>
      <c r="J85" s="83">
        <v>676991347506067.62</v>
      </c>
      <c r="K85" s="83">
        <v>7.6161684858852793E-5</v>
      </c>
      <c r="L85" s="83">
        <v>655564763374203.25</v>
      </c>
      <c r="M85" s="83">
        <v>7.1430655658923095E-5</v>
      </c>
      <c r="N85" s="83">
        <v>585470345700891.62</v>
      </c>
      <c r="O85" s="83">
        <v>6.6226394214434126E-5</v>
      </c>
      <c r="P85" s="83">
        <v>565916222748910.62</v>
      </c>
      <c r="Q85" s="83">
        <v>6.1829153468032709E-5</v>
      </c>
      <c r="R85" s="83">
        <v>493759656674302.81</v>
      </c>
      <c r="S85" s="83">
        <v>5.6315250250287918E-5</v>
      </c>
      <c r="T85" s="83">
        <v>471186249021530.5</v>
      </c>
      <c r="U85" s="83">
        <v>5.2524424013856077E-5</v>
      </c>
      <c r="V85" s="83">
        <v>427050454976884.81</v>
      </c>
      <c r="W85" s="83">
        <v>4.7232831653076312E-5</v>
      </c>
      <c r="X85" s="83">
        <v>378201935268277.62</v>
      </c>
      <c r="Y85" s="83">
        <v>4.3784641184758485E-5</v>
      </c>
      <c r="Z85" s="83">
        <v>351534019756677.06</v>
      </c>
      <c r="AA85" s="83">
        <v>4.0150686781482358E-5</v>
      </c>
      <c r="AB85" s="83">
        <v>320832097749965.69</v>
      </c>
      <c r="AC85" s="83">
        <v>3.675699814871813E-5</v>
      </c>
      <c r="AD85" s="83">
        <v>264637960521095.53</v>
      </c>
      <c r="AE85" s="83">
        <v>3.1102976420042877E-5</v>
      </c>
    </row>
    <row r="86" spans="2:31" x14ac:dyDescent="0.2">
      <c r="B86" s="83">
        <v>830079319987153.87</v>
      </c>
      <c r="C86" s="83">
        <v>9.7024051389004324E-5</v>
      </c>
      <c r="D86" s="83">
        <v>789840783537429.75</v>
      </c>
      <c r="E86" s="83">
        <v>9.2910314035641082E-5</v>
      </c>
      <c r="F86" s="83">
        <v>785776325888304.5</v>
      </c>
      <c r="G86" s="83">
        <v>8.9933068958946905E-5</v>
      </c>
      <c r="H86" s="83">
        <v>728294480321691.62</v>
      </c>
      <c r="I86" s="83">
        <v>8.4027678499566251E-5</v>
      </c>
      <c r="J86" s="83">
        <v>635392464678725</v>
      </c>
      <c r="K86" s="83">
        <v>7.4968481269638729E-5</v>
      </c>
      <c r="L86" s="83">
        <v>613121251795700.62</v>
      </c>
      <c r="M86" s="83">
        <v>7.004023303753835E-5</v>
      </c>
      <c r="N86" s="83">
        <v>549027771777910.12</v>
      </c>
      <c r="O86" s="83">
        <v>6.5234801569488701E-5</v>
      </c>
      <c r="P86" s="83">
        <v>535215032885651.75</v>
      </c>
      <c r="Q86" s="83">
        <v>6.1388019305767518E-5</v>
      </c>
      <c r="R86" s="83">
        <v>463215986848637.75</v>
      </c>
      <c r="S86" s="83">
        <v>5.5647960675306359E-5</v>
      </c>
      <c r="T86" s="83">
        <v>444888281354204.06</v>
      </c>
      <c r="U86" s="83">
        <v>5.2161817969398971E-5</v>
      </c>
      <c r="V86" s="83">
        <v>399399899638741.5</v>
      </c>
      <c r="W86" s="83">
        <v>4.6417055998006911E-5</v>
      </c>
      <c r="X86" s="83">
        <v>354338016240197.87</v>
      </c>
      <c r="Y86" s="83">
        <v>4.3173310331186389E-5</v>
      </c>
      <c r="Z86" s="83">
        <v>332018726670924.87</v>
      </c>
      <c r="AA86" s="83">
        <v>3.9913256832591716E-5</v>
      </c>
      <c r="AB86" s="83">
        <v>300258524949193.56</v>
      </c>
      <c r="AC86" s="83">
        <v>3.6170744895971559E-5</v>
      </c>
      <c r="AD86" s="83">
        <v>248774139642154.78</v>
      </c>
      <c r="AE86" s="83">
        <v>3.0655840378894922E-5</v>
      </c>
    </row>
    <row r="87" spans="2:31" x14ac:dyDescent="0.2">
      <c r="B87" s="83">
        <v>778294593930976</v>
      </c>
      <c r="C87" s="83">
        <v>9.5684078031107469E-5</v>
      </c>
      <c r="D87" s="83">
        <v>738114091017054.62</v>
      </c>
      <c r="E87" s="83">
        <v>9.1052401236085571E-5</v>
      </c>
      <c r="F87" s="83">
        <v>733167687679555.37</v>
      </c>
      <c r="G87" s="83">
        <v>8.820373846323736E-5</v>
      </c>
      <c r="H87" s="83">
        <v>685933079264176.75</v>
      </c>
      <c r="I87" s="83">
        <v>8.3162259276051733E-5</v>
      </c>
      <c r="J87" s="83">
        <v>595221600550627.5</v>
      </c>
      <c r="K87" s="83">
        <v>7.3857199770614731E-5</v>
      </c>
      <c r="L87" s="83">
        <v>575761409854697.37</v>
      </c>
      <c r="M87" s="83">
        <v>6.913812361578658E-5</v>
      </c>
      <c r="N87" s="83">
        <v>512333704390281.25</v>
      </c>
      <c r="O87" s="83">
        <v>6.4029715093812377E-5</v>
      </c>
      <c r="P87" s="83">
        <v>501668259571062.31</v>
      </c>
      <c r="Q87" s="83">
        <v>6.0637741906853202E-5</v>
      </c>
      <c r="R87" s="83">
        <v>435885499284911.12</v>
      </c>
      <c r="S87" s="83">
        <v>5.49173747239735E-5</v>
      </c>
      <c r="T87" s="83">
        <v>417986041202790.94</v>
      </c>
      <c r="U87" s="83">
        <v>5.1603012266634825E-5</v>
      </c>
      <c r="V87" s="83">
        <v>373268971615273.31</v>
      </c>
      <c r="W87" s="83">
        <v>4.5769194088320097E-5</v>
      </c>
      <c r="X87" s="83">
        <v>333662925071139.12</v>
      </c>
      <c r="Y87" s="83">
        <v>4.2620731006083263E-5</v>
      </c>
      <c r="Z87" s="83">
        <v>307892103991467.25</v>
      </c>
      <c r="AA87" s="83">
        <v>3.8768126636121849E-5</v>
      </c>
      <c r="AB87" s="83">
        <v>280755727612294.87</v>
      </c>
      <c r="AC87" s="83">
        <v>3.5589648756617757E-5</v>
      </c>
      <c r="AD87" s="83">
        <v>234293024261246.03</v>
      </c>
      <c r="AE87" s="83">
        <v>3.0330197002660512E-5</v>
      </c>
    </row>
    <row r="88" spans="2:31" x14ac:dyDescent="0.2">
      <c r="B88" s="83">
        <v>727790504979584.12</v>
      </c>
      <c r="C88" s="83">
        <v>9.4165349022456489E-5</v>
      </c>
      <c r="D88" s="83">
        <v>682623708803244.12</v>
      </c>
      <c r="E88" s="83">
        <v>8.8542461502804607E-5</v>
      </c>
      <c r="F88" s="83">
        <v>688874460388623.87</v>
      </c>
      <c r="G88" s="83">
        <v>8.6976220845801135E-5</v>
      </c>
      <c r="H88" s="83">
        <v>643799154814646.62</v>
      </c>
      <c r="I88" s="83">
        <v>8.210652129360422E-5</v>
      </c>
      <c r="J88" s="83">
        <v>555538768077515.12</v>
      </c>
      <c r="K88" s="83">
        <v>7.2519997751351227E-5</v>
      </c>
      <c r="L88" s="83">
        <v>536617722040803.81</v>
      </c>
      <c r="M88" s="83">
        <v>6.7681325638632695E-5</v>
      </c>
      <c r="N88" s="83">
        <v>482388173821777.37</v>
      </c>
      <c r="O88" s="83">
        <v>6.3320943354010288E-5</v>
      </c>
      <c r="P88" s="83">
        <v>468164753243437.94</v>
      </c>
      <c r="Q88" s="83">
        <v>5.9538509475911964E-5</v>
      </c>
      <c r="R88" s="83">
        <v>408765453393795.75</v>
      </c>
      <c r="S88" s="83">
        <v>5.4251190059229632E-5</v>
      </c>
      <c r="T88" s="83">
        <v>392217258714919.62</v>
      </c>
      <c r="U88" s="83">
        <v>5.0831706518378207E-5</v>
      </c>
      <c r="V88" s="83">
        <v>349582956495803.62</v>
      </c>
      <c r="W88" s="83">
        <v>4.4893700767936171E-5</v>
      </c>
      <c r="X88" s="83">
        <v>315835367788391.5</v>
      </c>
      <c r="Y88" s="83">
        <v>4.2447366941848077E-5</v>
      </c>
      <c r="Z88" s="83">
        <v>289882797168302.94</v>
      </c>
      <c r="AA88" s="83">
        <v>3.8337120880815566E-5</v>
      </c>
      <c r="AB88" s="83">
        <v>264399668111817.16</v>
      </c>
      <c r="AC88" s="83">
        <v>3.521671884707246E-5</v>
      </c>
      <c r="AD88" s="83">
        <v>218706869289315.84</v>
      </c>
      <c r="AE88" s="83">
        <v>2.985520021461563E-5</v>
      </c>
    </row>
    <row r="89" spans="2:31" x14ac:dyDescent="0.2">
      <c r="B89" s="83">
        <v>686289596000127.12</v>
      </c>
      <c r="C89" s="83">
        <v>9.3499425038167253E-5</v>
      </c>
      <c r="D89" s="83">
        <v>644698775860179.87</v>
      </c>
      <c r="E89" s="83">
        <v>8.8066953052831837E-5</v>
      </c>
      <c r="F89" s="83">
        <v>641411034986734.62</v>
      </c>
      <c r="G89" s="83">
        <v>8.5354713709054987E-5</v>
      </c>
      <c r="H89" s="83">
        <v>603603795319945.75</v>
      </c>
      <c r="I89" s="83">
        <v>8.05166135389258E-5</v>
      </c>
      <c r="J89" s="83">
        <v>516508583371057.19</v>
      </c>
      <c r="K89" s="83">
        <v>7.0960398261273256E-5</v>
      </c>
      <c r="L89" s="83">
        <v>507136540866337.37</v>
      </c>
      <c r="M89" s="83">
        <v>6.732446386994874E-5</v>
      </c>
      <c r="N89" s="83">
        <v>451086705028138.75</v>
      </c>
      <c r="O89" s="83">
        <v>6.2406159364074534E-5</v>
      </c>
      <c r="P89" s="83">
        <v>441675878509456.94</v>
      </c>
      <c r="Q89" s="83">
        <v>5.8868437096664269E-5</v>
      </c>
      <c r="R89" s="83">
        <v>379448439312282.25</v>
      </c>
      <c r="S89" s="83">
        <v>5.2849060239453089E-5</v>
      </c>
      <c r="T89" s="83">
        <v>366732665121102.81</v>
      </c>
      <c r="U89" s="83">
        <v>5.0010652900942299E-5</v>
      </c>
      <c r="V89" s="83">
        <v>329460786047385.69</v>
      </c>
      <c r="W89" s="83">
        <v>4.4662473541406269E-5</v>
      </c>
      <c r="X89" s="83">
        <v>296635942988175.06</v>
      </c>
      <c r="Y89" s="83">
        <v>4.1912841496020991E-5</v>
      </c>
      <c r="Z89" s="83">
        <v>272308724822337.59</v>
      </c>
      <c r="AA89" s="83">
        <v>3.7947800839880448E-5</v>
      </c>
      <c r="AB89" s="83">
        <v>251245325972267.16</v>
      </c>
      <c r="AC89" s="83">
        <v>3.5180824256302818E-5</v>
      </c>
      <c r="AD89" s="83">
        <v>204618740201941.09</v>
      </c>
      <c r="AE89" s="83">
        <v>2.9284398756713158E-5</v>
      </c>
    </row>
    <row r="90" spans="2:31" x14ac:dyDescent="0.2">
      <c r="B90" s="83">
        <v>643000660071456.62</v>
      </c>
      <c r="C90" s="83">
        <v>9.247475967476428E-5</v>
      </c>
      <c r="D90" s="83">
        <v>605321917490903.75</v>
      </c>
      <c r="E90" s="83">
        <v>8.7327336755743245E-5</v>
      </c>
      <c r="F90" s="83">
        <v>603593529328123.37</v>
      </c>
      <c r="G90" s="83">
        <v>8.4684073646244936E-5</v>
      </c>
      <c r="H90" s="83">
        <v>565400785209994.62</v>
      </c>
      <c r="I90" s="83">
        <v>7.9470543520301665E-5</v>
      </c>
      <c r="J90" s="83">
        <v>483007139107727</v>
      </c>
      <c r="K90" s="83">
        <v>6.9830503519650847E-5</v>
      </c>
      <c r="L90" s="83">
        <v>470065920866176.25</v>
      </c>
      <c r="M90" s="83">
        <v>6.5682280875865561E-5</v>
      </c>
      <c r="N90" s="83">
        <v>425567831854000.94</v>
      </c>
      <c r="O90" s="83">
        <v>6.1701439145591389E-5</v>
      </c>
      <c r="P90" s="83">
        <v>415121840942696.94</v>
      </c>
      <c r="Q90" s="83">
        <v>5.7998903473794614E-5</v>
      </c>
      <c r="R90" s="83">
        <v>361663367712325.75</v>
      </c>
      <c r="S90" s="83">
        <v>5.3022936891777973E-5</v>
      </c>
      <c r="T90" s="83">
        <v>348579404516133.69</v>
      </c>
      <c r="U90" s="83">
        <v>4.9994540182595008E-5</v>
      </c>
      <c r="V90" s="83">
        <v>309749697995037.81</v>
      </c>
      <c r="W90" s="83">
        <v>4.4019312936793849E-5</v>
      </c>
      <c r="X90" s="83">
        <v>273839166316261.44</v>
      </c>
      <c r="Y90" s="83">
        <v>4.0668035677828277E-5</v>
      </c>
      <c r="Z90" s="83">
        <v>255411020847325.16</v>
      </c>
      <c r="AA90" s="83">
        <v>3.7424226681137293E-5</v>
      </c>
      <c r="AB90" s="83">
        <v>235963753421469.59</v>
      </c>
      <c r="AC90" s="83">
        <v>3.4708426829400946E-5</v>
      </c>
      <c r="AD90" s="83">
        <v>192789613599166.78</v>
      </c>
      <c r="AE90" s="83">
        <v>2.9046273031622281E-5</v>
      </c>
    </row>
    <row r="91" spans="2:31" x14ac:dyDescent="0.2">
      <c r="B91" s="83">
        <v>612609190778785.5</v>
      </c>
      <c r="C91" s="83">
        <v>9.2615983973671348E-5</v>
      </c>
      <c r="D91" s="83">
        <v>565919364155045.37</v>
      </c>
      <c r="E91" s="83">
        <v>8.5802544422285685E-5</v>
      </c>
      <c r="F91" s="83">
        <v>570140453216093</v>
      </c>
      <c r="G91" s="83">
        <v>8.4002772702813436E-5</v>
      </c>
      <c r="H91" s="83">
        <v>529362121891817.75</v>
      </c>
      <c r="I91" s="83">
        <v>7.8242657712348466E-5</v>
      </c>
      <c r="J91" s="83">
        <v>453703231793411</v>
      </c>
      <c r="K91" s="83">
        <v>6.9208837571357396E-5</v>
      </c>
      <c r="L91" s="83">
        <v>440548136454743.25</v>
      </c>
      <c r="M91" s="83">
        <v>6.4875746402747218E-5</v>
      </c>
      <c r="N91" s="83">
        <v>399628290938680.87</v>
      </c>
      <c r="O91" s="83">
        <v>6.1050508652244273E-5</v>
      </c>
      <c r="P91" s="83">
        <v>384602347959655.12</v>
      </c>
      <c r="Q91" s="83">
        <v>5.677011885809909E-5</v>
      </c>
      <c r="R91" s="83">
        <v>333744725805753.12</v>
      </c>
      <c r="S91" s="83">
        <v>5.1632477064459391E-5</v>
      </c>
      <c r="T91" s="83">
        <v>325763408990372.94</v>
      </c>
      <c r="U91" s="83">
        <v>4.9008440954663533E-5</v>
      </c>
      <c r="V91" s="83">
        <v>292965548127635.25</v>
      </c>
      <c r="W91" s="83">
        <v>4.3787707436012209E-5</v>
      </c>
      <c r="X91" s="83">
        <v>254472589091607.69</v>
      </c>
      <c r="Y91" s="83">
        <v>3.9841324729408707E-5</v>
      </c>
      <c r="Z91" s="83">
        <v>239153328275594.31</v>
      </c>
      <c r="AA91" s="83">
        <v>3.6815337025458545E-5</v>
      </c>
      <c r="AB91" s="83">
        <v>217850885398783.62</v>
      </c>
      <c r="AC91" s="83">
        <v>3.3729499686230112E-5</v>
      </c>
      <c r="AD91" s="83">
        <v>180885870525468.53</v>
      </c>
      <c r="AE91" s="83">
        <v>2.8641798254748159E-5</v>
      </c>
    </row>
    <row r="92" spans="2:31" x14ac:dyDescent="0.2">
      <c r="B92" s="83">
        <v>569531667122211.12</v>
      </c>
      <c r="C92" s="83">
        <v>9.0312644678409247E-5</v>
      </c>
      <c r="D92" s="83">
        <v>533856923791375.06</v>
      </c>
      <c r="E92" s="83">
        <v>8.5001902128441253E-5</v>
      </c>
      <c r="F92" s="83">
        <v>533136458744200.06</v>
      </c>
      <c r="G92" s="83">
        <v>8.2627738849708337E-5</v>
      </c>
      <c r="H92" s="83">
        <v>494185387584972.06</v>
      </c>
      <c r="I92" s="83">
        <v>7.6960025848653264E-5</v>
      </c>
      <c r="J92" s="83">
        <v>425850863062395.81</v>
      </c>
      <c r="K92" s="83">
        <v>6.8231619377102861E-5</v>
      </c>
      <c r="L92" s="83">
        <v>416113488917020.25</v>
      </c>
      <c r="M92" s="83">
        <v>6.4492351430055716E-5</v>
      </c>
      <c r="N92" s="83">
        <v>375296603610667.31</v>
      </c>
      <c r="O92" s="83">
        <v>6.0476703160486375E-5</v>
      </c>
      <c r="P92" s="83">
        <v>361491358511655.25</v>
      </c>
      <c r="Q92" s="83">
        <v>5.6199925237781473E-5</v>
      </c>
      <c r="R92" s="83">
        <v>311284598297501.5</v>
      </c>
      <c r="S92" s="83">
        <v>5.0486716658779017E-5</v>
      </c>
      <c r="T92" s="83">
        <v>304910739234007.87</v>
      </c>
      <c r="U92" s="83">
        <v>4.8215787233594636E-5</v>
      </c>
      <c r="V92" s="83">
        <v>269388135973939.12</v>
      </c>
      <c r="W92" s="83">
        <v>4.2442757023098767E-5</v>
      </c>
      <c r="X92" s="83">
        <v>240857326441556.37</v>
      </c>
      <c r="Y92" s="83">
        <v>3.9695223461713365E-5</v>
      </c>
      <c r="Z92" s="83">
        <v>226250976381345.84</v>
      </c>
      <c r="AA92" s="83">
        <v>3.6737616091547642E-5</v>
      </c>
      <c r="AB92" s="83">
        <v>205714753123805.78</v>
      </c>
      <c r="AC92" s="83">
        <v>3.3494997246176054E-5</v>
      </c>
      <c r="AD92" s="83">
        <v>168995550058679.34</v>
      </c>
      <c r="AE92" s="83">
        <v>2.8249957372712869E-5</v>
      </c>
    </row>
    <row r="93" spans="2:31" x14ac:dyDescent="0.2">
      <c r="B93" s="83">
        <v>527106781638252.31</v>
      </c>
      <c r="C93" s="83">
        <v>8.765771242431639E-5</v>
      </c>
      <c r="D93" s="83">
        <v>501111657170545.81</v>
      </c>
      <c r="E93" s="83">
        <v>8.4167279869707022E-5</v>
      </c>
      <c r="F93" s="83">
        <v>496293115606997.44</v>
      </c>
      <c r="G93" s="83">
        <v>8.0912465898767225E-5</v>
      </c>
      <c r="H93" s="83">
        <v>461871292714314.37</v>
      </c>
      <c r="I93" s="83">
        <v>7.5723562125986539E-5</v>
      </c>
      <c r="J93" s="83">
        <v>395620573487249.06</v>
      </c>
      <c r="K93" s="83">
        <v>6.6744961445471668E-5</v>
      </c>
      <c r="L93" s="83">
        <v>385665109851881.44</v>
      </c>
      <c r="M93" s="83">
        <v>6.3037116264175221E-5</v>
      </c>
      <c r="N93" s="83">
        <v>351632176452572.5</v>
      </c>
      <c r="O93" s="83">
        <v>5.9291085435187589E-5</v>
      </c>
      <c r="P93" s="83">
        <v>343423046073851.37</v>
      </c>
      <c r="Q93" s="83">
        <v>5.6206763490729864E-5</v>
      </c>
      <c r="R93" s="83">
        <v>295378333528043.75</v>
      </c>
      <c r="S93" s="83">
        <v>5.0460509255665152E-5</v>
      </c>
      <c r="T93" s="83">
        <v>287362088743873</v>
      </c>
      <c r="U93" s="83">
        <v>4.789300267547142E-5</v>
      </c>
      <c r="V93" s="83">
        <v>255620973461937.12</v>
      </c>
      <c r="W93" s="83">
        <v>4.2430408738464955E-5</v>
      </c>
      <c r="X93" s="83">
        <v>228311856087887.44</v>
      </c>
      <c r="Y93" s="83">
        <v>3.9655096170353838E-5</v>
      </c>
      <c r="Z93" s="83">
        <v>212639243413736.22</v>
      </c>
      <c r="AA93" s="83">
        <v>3.6364749597818488E-5</v>
      </c>
      <c r="AB93" s="83">
        <v>193785557611597.81</v>
      </c>
      <c r="AC93" s="83">
        <v>3.320156513497189E-5</v>
      </c>
      <c r="AD93" s="83">
        <v>159441084468022.37</v>
      </c>
      <c r="AE93" s="83">
        <v>2.8007412969014763E-5</v>
      </c>
    </row>
    <row r="94" spans="2:31" x14ac:dyDescent="0.2">
      <c r="B94" s="83">
        <v>498151813579937.94</v>
      </c>
      <c r="C94" s="83">
        <v>8.7802162446931514E-5</v>
      </c>
      <c r="D94" s="83">
        <v>467363735826664.31</v>
      </c>
      <c r="E94" s="83">
        <v>8.2600811190835317E-5</v>
      </c>
      <c r="F94" s="83">
        <v>467253742445672.44</v>
      </c>
      <c r="G94" s="83">
        <v>8.0234934290657824E-5</v>
      </c>
      <c r="H94" s="83">
        <v>435172574369301.44</v>
      </c>
      <c r="I94" s="83">
        <v>7.5335350241897262E-5</v>
      </c>
      <c r="J94" s="83">
        <v>374702738497308.37</v>
      </c>
      <c r="K94" s="83">
        <v>6.6448925236185232E-5</v>
      </c>
      <c r="L94" s="83">
        <v>365021991038470.44</v>
      </c>
      <c r="M94" s="83">
        <v>6.262081412126779E-5</v>
      </c>
      <c r="N94" s="83">
        <v>328433644023891.44</v>
      </c>
      <c r="O94" s="83">
        <v>5.838796663760289E-5</v>
      </c>
      <c r="P94" s="83">
        <v>319558456479828.06</v>
      </c>
      <c r="Q94" s="83">
        <v>5.5001562412165366E-5</v>
      </c>
      <c r="R94" s="83">
        <v>274070543857209.41</v>
      </c>
      <c r="S94" s="83">
        <v>4.9342214207018588E-5</v>
      </c>
      <c r="T94" s="83">
        <v>267812905799758.72</v>
      </c>
      <c r="U94" s="83">
        <v>4.7017390675001966E-5</v>
      </c>
      <c r="V94" s="83">
        <v>242638464174166.87</v>
      </c>
      <c r="W94" s="83">
        <v>4.2238898982411019E-5</v>
      </c>
      <c r="X94" s="83">
        <v>215631984732606.75</v>
      </c>
      <c r="Y94" s="83">
        <v>3.9380224193969297E-5</v>
      </c>
      <c r="Z94" s="83">
        <v>198458508249436.78</v>
      </c>
      <c r="AA94" s="83">
        <v>3.5581766108704169E-5</v>
      </c>
      <c r="AB94" s="83">
        <v>182642809274247.37</v>
      </c>
      <c r="AC94" s="83">
        <v>3.2961412496989818E-5</v>
      </c>
      <c r="AD94" s="83">
        <v>151539967661566.34</v>
      </c>
      <c r="AE94" s="83">
        <v>2.8007607202986731E-5</v>
      </c>
    </row>
    <row r="95" spans="2:31" x14ac:dyDescent="0.2">
      <c r="B95" s="83">
        <v>467261998618213.19</v>
      </c>
      <c r="C95" s="83">
        <v>8.675182643309089E-5</v>
      </c>
      <c r="D95" s="83">
        <v>436933532956152.31</v>
      </c>
      <c r="E95" s="83">
        <v>8.1403530736498891E-5</v>
      </c>
      <c r="F95" s="83">
        <v>439347517676295.25</v>
      </c>
      <c r="G95" s="83">
        <v>7.9337991916864553E-5</v>
      </c>
      <c r="H95" s="83">
        <v>407263513386167.87</v>
      </c>
      <c r="I95" s="83">
        <v>7.4188916849053183E-5</v>
      </c>
      <c r="J95" s="83">
        <v>346382134465616.5</v>
      </c>
      <c r="K95" s="83">
        <v>6.5101714774654191E-5</v>
      </c>
      <c r="L95" s="83">
        <v>341851385441603.81</v>
      </c>
      <c r="M95" s="83">
        <v>6.1732839071701332E-5</v>
      </c>
      <c r="N95" s="83">
        <v>307378874597983.94</v>
      </c>
      <c r="O95" s="83">
        <v>5.7504813277529669E-5</v>
      </c>
      <c r="P95" s="83">
        <v>299604815143409.75</v>
      </c>
      <c r="Q95" s="83">
        <v>5.42690237964176E-5</v>
      </c>
      <c r="R95" s="83">
        <v>258903644942013.59</v>
      </c>
      <c r="S95" s="83">
        <v>4.8894901641130833E-5</v>
      </c>
      <c r="T95" s="83">
        <v>254918062908351</v>
      </c>
      <c r="U95" s="83">
        <v>4.7064120370388673E-5</v>
      </c>
      <c r="V95" s="83">
        <v>225036101239396.62</v>
      </c>
      <c r="W95" s="83">
        <v>4.1333590935953341E-5</v>
      </c>
      <c r="X95" s="83">
        <v>203909386380241.28</v>
      </c>
      <c r="Y95" s="83">
        <v>3.9191552315764777E-5</v>
      </c>
      <c r="Z95" s="83">
        <v>183951274468051.37</v>
      </c>
      <c r="AA95" s="83">
        <v>3.4726054350832773E-5</v>
      </c>
      <c r="AB95" s="83">
        <v>169931392521201</v>
      </c>
      <c r="AC95" s="83">
        <v>3.2247329791763375E-5</v>
      </c>
      <c r="AD95" s="83">
        <v>140420087935484.69</v>
      </c>
      <c r="AE95" s="83">
        <v>2.722567603838444E-5</v>
      </c>
    </row>
    <row r="96" spans="2:31" x14ac:dyDescent="0.2">
      <c r="B96" s="83">
        <v>438891646401558.87</v>
      </c>
      <c r="C96" s="83">
        <v>8.5939346177198267E-5</v>
      </c>
      <c r="D96" s="83">
        <v>411617335265101.81</v>
      </c>
      <c r="E96" s="83">
        <v>8.0928972040039668E-5</v>
      </c>
      <c r="F96" s="83">
        <v>411833784702084.75</v>
      </c>
      <c r="G96" s="83">
        <v>7.8253970908548869E-5</v>
      </c>
      <c r="H96" s="83">
        <v>380434840798052.19</v>
      </c>
      <c r="I96" s="83">
        <v>7.3151414378635725E-5</v>
      </c>
      <c r="J96" s="83">
        <v>327736794984546.94</v>
      </c>
      <c r="K96" s="83">
        <v>6.4508038022041095E-5</v>
      </c>
      <c r="L96" s="83">
        <v>318338818756988.06</v>
      </c>
      <c r="M96" s="83">
        <v>6.0557836030733306E-5</v>
      </c>
      <c r="N96" s="83">
        <v>289494304924544.44</v>
      </c>
      <c r="O96" s="83">
        <v>5.7076627965637274E-5</v>
      </c>
      <c r="P96" s="83">
        <v>280044528836360.87</v>
      </c>
      <c r="Q96" s="83">
        <v>5.3684833200243029E-5</v>
      </c>
      <c r="R96" s="83">
        <v>244944681543806.91</v>
      </c>
      <c r="S96" s="83">
        <v>4.8937520681339471E-5</v>
      </c>
      <c r="T96" s="83">
        <v>234398056726096.44</v>
      </c>
      <c r="U96" s="83">
        <v>4.5588336647086629E-5</v>
      </c>
      <c r="V96" s="83">
        <v>208186629323720.56</v>
      </c>
      <c r="W96" s="83">
        <v>4.0237100551866605E-5</v>
      </c>
      <c r="X96" s="83">
        <v>188889128651656.66</v>
      </c>
      <c r="Y96" s="83">
        <v>3.82824819930029E-5</v>
      </c>
      <c r="Z96" s="83">
        <v>170042711412659.94</v>
      </c>
      <c r="AA96" s="83">
        <v>3.3931504781068769E-5</v>
      </c>
      <c r="AB96" s="83">
        <v>160520048195757.44</v>
      </c>
      <c r="AC96" s="83">
        <v>3.2145534591173376E-5</v>
      </c>
      <c r="AD96" s="83">
        <v>133209306812886.22</v>
      </c>
      <c r="AE96" s="83">
        <v>2.7371309926174147E-5</v>
      </c>
    </row>
    <row r="97" spans="2:31" x14ac:dyDescent="0.2">
      <c r="B97" s="83">
        <v>413301637360627.62</v>
      </c>
      <c r="C97" s="83">
        <v>8.5305506982309023E-5</v>
      </c>
      <c r="D97" s="83">
        <v>382780268447856.06</v>
      </c>
      <c r="E97" s="83">
        <v>7.9281134074253234E-5</v>
      </c>
      <c r="F97" s="83">
        <v>377643628820486.75</v>
      </c>
      <c r="G97" s="83">
        <v>7.5418611361755344E-5</v>
      </c>
      <c r="H97" s="83">
        <v>350934835359371.19</v>
      </c>
      <c r="I97" s="83">
        <v>7.1410419084662842E-5</v>
      </c>
      <c r="J97" s="83">
        <v>302242998960593</v>
      </c>
      <c r="K97" s="83">
        <v>6.28275356909999E-5</v>
      </c>
      <c r="L97" s="83">
        <v>296715071437905.87</v>
      </c>
      <c r="M97" s="83">
        <v>5.9842106791886329E-5</v>
      </c>
      <c r="N97" s="83">
        <v>271378323813090.12</v>
      </c>
      <c r="O97" s="83">
        <v>5.6454423676630432E-5</v>
      </c>
      <c r="P97" s="83">
        <v>262558575276384.72</v>
      </c>
      <c r="Q97" s="83">
        <v>5.2808703730425692E-5</v>
      </c>
      <c r="R97" s="83">
        <v>226526989835521.59</v>
      </c>
      <c r="S97" s="83">
        <v>4.7427076676824007E-5</v>
      </c>
      <c r="T97" s="83">
        <v>221947095567188.41</v>
      </c>
      <c r="U97" s="83">
        <v>4.563678721036024E-5</v>
      </c>
      <c r="V97" s="83">
        <v>198979662040849.69</v>
      </c>
      <c r="W97" s="83">
        <v>4.0422122332329373E-5</v>
      </c>
      <c r="X97" s="83">
        <v>176318493342888.16</v>
      </c>
      <c r="Y97" s="83">
        <v>3.758729285398989E-5</v>
      </c>
      <c r="Z97" s="83">
        <v>158100579194869.94</v>
      </c>
      <c r="AA97" s="83">
        <v>3.3312756668127111E-5</v>
      </c>
      <c r="AB97" s="83">
        <v>151792769022589.78</v>
      </c>
      <c r="AC97" s="83">
        <v>3.2120884758409444E-5</v>
      </c>
      <c r="AD97" s="83">
        <v>122082574445884.41</v>
      </c>
      <c r="AE97" s="83">
        <v>2.627712274195254E-5</v>
      </c>
    </row>
    <row r="98" spans="2:31" x14ac:dyDescent="0.2">
      <c r="B98" s="83">
        <v>390016746660394.5</v>
      </c>
      <c r="C98" s="83">
        <v>8.4670493523033761E-5</v>
      </c>
      <c r="D98" s="83">
        <v>354481573017899.37</v>
      </c>
      <c r="E98" s="83">
        <v>7.7285515852074208E-5</v>
      </c>
      <c r="F98" s="83">
        <v>355155817882732.44</v>
      </c>
      <c r="G98" s="83">
        <v>7.5199192707299536E-5</v>
      </c>
      <c r="H98" s="83">
        <v>337806350127828.37</v>
      </c>
      <c r="I98" s="83">
        <v>7.240235932398142E-5</v>
      </c>
      <c r="J98" s="83">
        <v>279278079182082.19</v>
      </c>
      <c r="K98" s="83">
        <v>6.1083431580531496E-5</v>
      </c>
      <c r="L98" s="83">
        <v>282465085765123.94</v>
      </c>
      <c r="M98" s="83">
        <v>5.9885286150204158E-5</v>
      </c>
      <c r="N98" s="83">
        <v>252442921775853.5</v>
      </c>
      <c r="O98" s="83">
        <v>5.5340015022232368E-5</v>
      </c>
      <c r="P98" s="83">
        <v>245741996373023</v>
      </c>
      <c r="Q98" s="83">
        <v>5.2223789133791012E-5</v>
      </c>
      <c r="R98" s="83">
        <v>211841595552781.44</v>
      </c>
      <c r="S98" s="83">
        <v>4.6900567234665178E-5</v>
      </c>
      <c r="T98" s="83">
        <v>207495495609922.78</v>
      </c>
      <c r="U98" s="83">
        <v>4.4623041553524608E-5</v>
      </c>
      <c r="V98" s="83">
        <v>184930633943074.37</v>
      </c>
      <c r="W98" s="83">
        <v>3.97499621080276E-5</v>
      </c>
      <c r="X98" s="83">
        <v>165611134925887.25</v>
      </c>
      <c r="Y98" s="83">
        <v>3.7082159801726398E-5</v>
      </c>
      <c r="Z98" s="83">
        <v>150749997132874.31</v>
      </c>
      <c r="AA98" s="83">
        <v>3.3601806440769786E-5</v>
      </c>
      <c r="AB98" s="83">
        <v>141883411822677.37</v>
      </c>
      <c r="AC98" s="83">
        <v>3.1581818317433497E-5</v>
      </c>
      <c r="AD98" s="83">
        <v>113806058023587.89</v>
      </c>
      <c r="AE98" s="83">
        <v>2.5778973923627116E-5</v>
      </c>
    </row>
    <row r="99" spans="2:31" x14ac:dyDescent="0.2">
      <c r="B99" s="83">
        <v>361035140496555.19</v>
      </c>
      <c r="C99" s="83">
        <v>8.255228933168359E-5</v>
      </c>
      <c r="D99" s="83">
        <v>332311657325041.31</v>
      </c>
      <c r="E99" s="83">
        <v>7.6740508344324982E-5</v>
      </c>
      <c r="F99" s="83">
        <v>336920444982045.25</v>
      </c>
      <c r="G99" s="83">
        <v>7.5540241254382139E-5</v>
      </c>
      <c r="H99" s="83">
        <v>318067397568655.62</v>
      </c>
      <c r="I99" s="83">
        <v>7.1814593864822607E-5</v>
      </c>
      <c r="J99" s="83">
        <v>270140454101322.41</v>
      </c>
      <c r="K99" s="83">
        <v>6.2277275501937602E-5</v>
      </c>
      <c r="L99" s="83">
        <v>264756132654326.41</v>
      </c>
      <c r="M99" s="83">
        <v>5.9591654960704398E-5</v>
      </c>
      <c r="N99" s="83">
        <v>241777029023259.75</v>
      </c>
      <c r="O99" s="83">
        <v>5.5771521375686038E-5</v>
      </c>
      <c r="P99" s="83">
        <v>229966144776084.22</v>
      </c>
      <c r="Q99" s="83">
        <v>5.1422513516342259E-5</v>
      </c>
      <c r="R99" s="83">
        <v>197124469069274.72</v>
      </c>
      <c r="S99" s="83">
        <v>4.6278662450962927E-5</v>
      </c>
      <c r="T99" s="83">
        <v>195107184827274.5</v>
      </c>
      <c r="U99" s="83">
        <v>4.4541638610639046E-5</v>
      </c>
      <c r="V99" s="83">
        <v>172163981785259.53</v>
      </c>
      <c r="W99" s="83">
        <v>3.8916891039255615E-5</v>
      </c>
      <c r="X99" s="83">
        <v>156979349314769.47</v>
      </c>
      <c r="Y99" s="83">
        <v>3.7236514685088989E-5</v>
      </c>
      <c r="Z99" s="83">
        <v>142243262764837.78</v>
      </c>
      <c r="AA99" s="83">
        <v>3.3451948171206272E-5</v>
      </c>
      <c r="AB99" s="83">
        <v>134040133929521.98</v>
      </c>
      <c r="AC99" s="83">
        <v>3.1442641060645812E-5</v>
      </c>
      <c r="AD99" s="83">
        <v>105129014300299.64</v>
      </c>
      <c r="AE99" s="83">
        <v>2.5237450444371655E-5</v>
      </c>
    </row>
    <row r="100" spans="2:31" x14ac:dyDescent="0.2">
      <c r="B100" s="83">
        <v>336172942243093.06</v>
      </c>
      <c r="C100" s="83">
        <v>8.1017894259829219E-5</v>
      </c>
      <c r="D100" s="83">
        <v>310027172151399.12</v>
      </c>
      <c r="E100" s="83">
        <v>7.5660585281963063E-5</v>
      </c>
      <c r="F100" s="83">
        <v>311581353720752.69</v>
      </c>
      <c r="G100" s="83">
        <v>7.3573328050899632E-5</v>
      </c>
      <c r="H100" s="83">
        <v>292374386614645.56</v>
      </c>
      <c r="I100" s="83">
        <v>6.94281147702608E-5</v>
      </c>
      <c r="J100" s="83">
        <v>241557435849060.53</v>
      </c>
      <c r="K100" s="83">
        <v>5.9057048339105444E-5</v>
      </c>
      <c r="L100" s="83">
        <v>248819493198910.56</v>
      </c>
      <c r="M100" s="83">
        <v>5.8675290286968159E-5</v>
      </c>
      <c r="N100" s="83">
        <v>219039673156882.91</v>
      </c>
      <c r="O100" s="83">
        <v>5.3107571028514734E-5</v>
      </c>
      <c r="P100" s="83">
        <v>214576777439056.59</v>
      </c>
      <c r="Q100" s="83">
        <v>5.0555096102430064E-5</v>
      </c>
      <c r="R100" s="83">
        <v>189219164150330.12</v>
      </c>
      <c r="S100" s="83">
        <v>4.6871605995816352E-5</v>
      </c>
      <c r="T100" s="83">
        <v>182979613341318.66</v>
      </c>
      <c r="U100" s="83">
        <v>4.4066863439228761E-5</v>
      </c>
      <c r="V100" s="83">
        <v>164056392256688.81</v>
      </c>
      <c r="W100" s="83">
        <v>3.9137007071808357E-5</v>
      </c>
      <c r="X100" s="83">
        <v>149042363215839.34</v>
      </c>
      <c r="Y100" s="83">
        <v>3.7210420309525639E-5</v>
      </c>
      <c r="Z100" s="83">
        <v>133777555782481.23</v>
      </c>
      <c r="AA100" s="83">
        <v>3.3198163915502322E-5</v>
      </c>
      <c r="AB100" s="83">
        <v>124790963277199.16</v>
      </c>
      <c r="AC100" s="83">
        <v>3.0955619191480279E-5</v>
      </c>
      <c r="AD100" s="83">
        <v>100312421108554.37</v>
      </c>
      <c r="AE100" s="83">
        <v>2.5423838109209516E-5</v>
      </c>
    </row>
    <row r="101" spans="2:31" x14ac:dyDescent="0.2">
      <c r="B101" s="83">
        <v>314216000719506.12</v>
      </c>
      <c r="C101" s="83">
        <v>7.9832178413504122E-5</v>
      </c>
      <c r="D101" s="83">
        <v>290390431481207.81</v>
      </c>
      <c r="E101" s="83">
        <v>7.4547843120660096E-5</v>
      </c>
      <c r="F101" s="83">
        <v>296193349544969.25</v>
      </c>
      <c r="G101" s="83">
        <v>7.3805585631400161E-5</v>
      </c>
      <c r="H101" s="83">
        <v>282548778531366</v>
      </c>
      <c r="I101" s="83">
        <v>7.0337125445664098E-5</v>
      </c>
      <c r="J101" s="83">
        <v>225216881849723.66</v>
      </c>
      <c r="K101" s="83">
        <v>5.7677403486192954E-5</v>
      </c>
      <c r="L101" s="83">
        <v>231756570071163.91</v>
      </c>
      <c r="M101" s="83">
        <v>5.7786174662815297E-5</v>
      </c>
      <c r="N101" s="83">
        <v>206821430630562.25</v>
      </c>
      <c r="O101" s="83">
        <v>5.3071628677304416E-5</v>
      </c>
      <c r="P101" s="83">
        <v>197942258383289.69</v>
      </c>
      <c r="Q101" s="83">
        <v>4.9031341109829211E-5</v>
      </c>
      <c r="R101" s="83">
        <v>175007489545925.94</v>
      </c>
      <c r="S101" s="83">
        <v>4.5667919333170587E-5</v>
      </c>
      <c r="T101" s="83">
        <v>174077710098709.69</v>
      </c>
      <c r="U101" s="83">
        <v>4.4061767201667725E-5</v>
      </c>
      <c r="V101" s="83">
        <v>150159492255185.62</v>
      </c>
      <c r="W101" s="83">
        <v>3.7828198694543895E-5</v>
      </c>
      <c r="X101" s="83">
        <v>138793099736426.02</v>
      </c>
      <c r="Y101" s="83">
        <v>3.6753207478709288E-5</v>
      </c>
      <c r="Z101" s="83">
        <v>125113486599790.12</v>
      </c>
      <c r="AA101" s="83">
        <v>3.2679015801920343E-5</v>
      </c>
      <c r="AB101" s="83">
        <v>117314513787467.56</v>
      </c>
      <c r="AC101" s="83">
        <v>3.0552454415087449E-5</v>
      </c>
      <c r="AD101" s="83">
        <v>92904360815706.812</v>
      </c>
      <c r="AE101" s="83">
        <v>2.4846219943700885E-5</v>
      </c>
    </row>
    <row r="102" spans="2:31" x14ac:dyDescent="0.2">
      <c r="B102" s="83">
        <v>294891015120497.44</v>
      </c>
      <c r="C102" s="83">
        <v>7.9669927974826307E-5</v>
      </c>
      <c r="D102" s="83">
        <v>269099189183115.31</v>
      </c>
      <c r="E102" s="83">
        <v>7.3219617143244675E-5</v>
      </c>
      <c r="F102" s="83">
        <v>274809630613249.25</v>
      </c>
      <c r="G102" s="83">
        <v>7.2099600058080849E-5</v>
      </c>
      <c r="H102" s="83">
        <v>260571512456065.34</v>
      </c>
      <c r="I102" s="83">
        <v>6.8468536312140201E-5</v>
      </c>
      <c r="J102" s="83">
        <v>217566062117402.53</v>
      </c>
      <c r="K102" s="83">
        <v>5.9499378651103013E-5</v>
      </c>
      <c r="L102" s="83">
        <v>216102392392999.62</v>
      </c>
      <c r="M102" s="83">
        <v>5.674748469867466E-5</v>
      </c>
      <c r="N102" s="83">
        <v>195739449812513.28</v>
      </c>
      <c r="O102" s="83">
        <v>5.3635645984216745E-5</v>
      </c>
      <c r="P102" s="83">
        <v>191237328346566.47</v>
      </c>
      <c r="Q102" s="83">
        <v>5.0027190083176725E-5</v>
      </c>
      <c r="R102" s="83">
        <v>165216931363086.69</v>
      </c>
      <c r="S102" s="83">
        <v>4.5393215571673384E-5</v>
      </c>
      <c r="T102" s="83">
        <v>161049153757449.16</v>
      </c>
      <c r="U102" s="83">
        <v>4.3052211036540376E-5</v>
      </c>
      <c r="V102" s="83">
        <v>144213091376755.28</v>
      </c>
      <c r="W102" s="83">
        <v>3.8247529337454242E-5</v>
      </c>
      <c r="X102" s="83">
        <v>131085774223679</v>
      </c>
      <c r="Y102" s="83">
        <v>3.6529749130241505E-5</v>
      </c>
      <c r="Z102" s="83">
        <v>117070851143208.98</v>
      </c>
      <c r="AA102" s="83">
        <v>3.2196043070948604E-5</v>
      </c>
      <c r="AB102" s="83">
        <v>114204036603635.47</v>
      </c>
      <c r="AC102" s="83">
        <v>3.1475171271093973E-5</v>
      </c>
      <c r="AD102" s="83">
        <v>84717255660120.922</v>
      </c>
      <c r="AE102" s="83">
        <v>2.3856447268106053E-5</v>
      </c>
    </row>
    <row r="103" spans="2:31" x14ac:dyDescent="0.2">
      <c r="B103" s="83">
        <v>275510583545574.47</v>
      </c>
      <c r="C103" s="83">
        <v>7.8998269080959234E-5</v>
      </c>
      <c r="D103" s="83">
        <v>252436738568503.62</v>
      </c>
      <c r="E103" s="83">
        <v>7.2490142782949532E-5</v>
      </c>
      <c r="F103" s="83">
        <v>254665774167296.72</v>
      </c>
      <c r="G103" s="83">
        <v>7.0692634287818158E-5</v>
      </c>
      <c r="H103" s="83">
        <v>238554515445011.09</v>
      </c>
      <c r="I103" s="83">
        <v>6.5764313196756103E-5</v>
      </c>
      <c r="J103" s="83">
        <v>197936354752817.69</v>
      </c>
      <c r="K103" s="83">
        <v>5.6836319465972071E-5</v>
      </c>
      <c r="L103" s="83">
        <v>202421752906558.78</v>
      </c>
      <c r="M103" s="83">
        <v>5.631936892154664E-5</v>
      </c>
      <c r="N103" s="83">
        <v>181724504870998.09</v>
      </c>
      <c r="O103" s="83">
        <v>5.2191990321943193E-5</v>
      </c>
      <c r="P103" s="83">
        <v>172997282629752.62</v>
      </c>
      <c r="Q103" s="83">
        <v>4.8009202410622274E-5</v>
      </c>
      <c r="R103" s="83">
        <v>151248330633722.09</v>
      </c>
      <c r="S103" s="83">
        <v>4.4401052223677318E-5</v>
      </c>
      <c r="T103" s="83">
        <v>157125981914647.34</v>
      </c>
      <c r="U103" s="83">
        <v>4.4320345958728762E-5</v>
      </c>
      <c r="V103" s="83">
        <v>133441717449558.44</v>
      </c>
      <c r="W103" s="83">
        <v>3.7705922552065705E-5</v>
      </c>
      <c r="X103" s="83">
        <v>122480007968317.67</v>
      </c>
      <c r="Y103" s="83">
        <v>3.6013257322987085E-5</v>
      </c>
      <c r="Z103" s="83">
        <v>108285554690459.61</v>
      </c>
      <c r="AA103" s="83">
        <v>3.1457835240802161E-5</v>
      </c>
      <c r="AB103" s="83">
        <v>103533235624894.95</v>
      </c>
      <c r="AC103" s="83">
        <v>3.0121591718310114E-5</v>
      </c>
      <c r="AD103" s="83">
        <v>81107387371609.891</v>
      </c>
      <c r="AE103" s="83">
        <v>2.4185685716869791E-5</v>
      </c>
    </row>
    <row r="104" spans="2:31" x14ac:dyDescent="0.2">
      <c r="B104" s="83">
        <v>258151244758103.06</v>
      </c>
      <c r="C104" s="83">
        <v>7.8233886029575509E-5</v>
      </c>
      <c r="D104" s="83">
        <v>237319804822497.81</v>
      </c>
      <c r="E104" s="83">
        <v>7.1711001502206052E-5</v>
      </c>
      <c r="F104" s="83">
        <v>244080158908837.81</v>
      </c>
      <c r="G104" s="83">
        <v>7.1938470878773176E-5</v>
      </c>
      <c r="H104" s="83">
        <v>226764662163230.78</v>
      </c>
      <c r="I104" s="83">
        <v>6.6870938695762845E-5</v>
      </c>
      <c r="J104" s="83">
        <v>188562182995658.87</v>
      </c>
      <c r="K104" s="83">
        <v>5.759203928179603E-5</v>
      </c>
      <c r="L104" s="83">
        <v>188543472467284.66</v>
      </c>
      <c r="M104" s="83">
        <v>5.5227189313697041E-5</v>
      </c>
      <c r="N104" s="83">
        <v>177953916862279.56</v>
      </c>
      <c r="O104" s="83">
        <v>5.4275165561114282E-5</v>
      </c>
      <c r="P104" s="83">
        <v>165373080710114.66</v>
      </c>
      <c r="Q104" s="83">
        <v>4.8382900930733911E-5</v>
      </c>
      <c r="R104" s="83">
        <v>146315825178104.28</v>
      </c>
      <c r="S104" s="83">
        <v>4.5062821910611554E-5</v>
      </c>
      <c r="T104" s="83">
        <v>145696983569731.19</v>
      </c>
      <c r="U104" s="83">
        <v>4.3730424811099339E-5</v>
      </c>
      <c r="V104" s="83">
        <v>126967912693068.8</v>
      </c>
      <c r="W104" s="83">
        <v>3.7716876441011044E-5</v>
      </c>
      <c r="X104" s="83">
        <v>112544825274337.91</v>
      </c>
      <c r="Y104" s="83">
        <v>3.5020401234327779E-5</v>
      </c>
      <c r="Z104" s="83">
        <v>102909520223568.73</v>
      </c>
      <c r="AA104" s="83">
        <v>3.185030900338862E-5</v>
      </c>
      <c r="AB104" s="83">
        <v>94666820262537.156</v>
      </c>
      <c r="AC104" s="83">
        <v>2.9237357246985912E-5</v>
      </c>
      <c r="AD104" s="83">
        <v>73690460933525.922</v>
      </c>
      <c r="AE104" s="83">
        <v>2.3289896170337693E-5</v>
      </c>
    </row>
    <row r="105" spans="2:31" x14ac:dyDescent="0.2">
      <c r="B105" s="83">
        <v>246629669700963.97</v>
      </c>
      <c r="C105" s="83">
        <v>7.8340679691484165E-5</v>
      </c>
      <c r="D105" s="83">
        <v>217092200445948.31</v>
      </c>
      <c r="E105" s="83">
        <v>6.9800032578027708E-5</v>
      </c>
      <c r="F105" s="83">
        <v>228790147089697.81</v>
      </c>
      <c r="G105" s="83">
        <v>7.1312337232492295E-5</v>
      </c>
      <c r="H105" s="83">
        <v>207052569728725.16</v>
      </c>
      <c r="I105" s="83">
        <v>6.4777508181259734E-5</v>
      </c>
      <c r="J105" s="83">
        <v>171665883109531.28</v>
      </c>
      <c r="K105" s="83">
        <v>5.4998996620556458E-5</v>
      </c>
      <c r="L105" s="83">
        <v>174984410240809.59</v>
      </c>
      <c r="M105" s="83">
        <v>5.4393665616410662E-5</v>
      </c>
      <c r="N105" s="83">
        <v>160185202623472.78</v>
      </c>
      <c r="O105" s="83">
        <v>5.1392312672812844E-5</v>
      </c>
      <c r="P105" s="83">
        <v>155057056293362.53</v>
      </c>
      <c r="Q105" s="83">
        <v>4.8325934167625608E-5</v>
      </c>
      <c r="R105" s="83">
        <v>138612464685275.66</v>
      </c>
      <c r="S105" s="83">
        <v>4.4864743525079087E-5</v>
      </c>
      <c r="T105" s="83">
        <v>135903023706866.25</v>
      </c>
      <c r="U105" s="83">
        <v>4.2742036229501683E-5</v>
      </c>
      <c r="V105" s="83">
        <v>117857289238881.02</v>
      </c>
      <c r="W105" s="83">
        <v>3.7063045053785105E-5</v>
      </c>
      <c r="X105" s="83">
        <v>105181088889312.44</v>
      </c>
      <c r="Y105" s="83">
        <v>3.4785045555816145E-5</v>
      </c>
      <c r="Z105" s="83">
        <v>97911237121938.375</v>
      </c>
      <c r="AA105" s="83">
        <v>3.2027635031528417E-5</v>
      </c>
      <c r="AB105" s="83">
        <v>90157981764877.828</v>
      </c>
      <c r="AC105" s="83">
        <v>2.956494618114273E-5</v>
      </c>
      <c r="AD105" s="83">
        <v>70755458155712.453</v>
      </c>
      <c r="AE105" s="83">
        <v>2.3569626126153333E-5</v>
      </c>
    </row>
    <row r="106" spans="2:31" x14ac:dyDescent="0.2">
      <c r="B106" s="83">
        <v>230023459875975.75</v>
      </c>
      <c r="C106" s="83">
        <v>7.7207210211760631E-5</v>
      </c>
      <c r="D106" s="83">
        <v>207816012093702.37</v>
      </c>
      <c r="E106" s="83">
        <v>7.0856977285018089E-5</v>
      </c>
      <c r="F106" s="83">
        <v>213447978055886.12</v>
      </c>
      <c r="G106" s="83">
        <v>6.9361704177797834E-5</v>
      </c>
      <c r="H106" s="83">
        <v>200289818347785.53</v>
      </c>
      <c r="I106" s="83">
        <v>6.6093634695137856E-5</v>
      </c>
      <c r="J106" s="83">
        <v>163116238350354.37</v>
      </c>
      <c r="K106" s="83">
        <v>5.5408728242841168E-5</v>
      </c>
      <c r="L106" s="83">
        <v>165659679210956.72</v>
      </c>
      <c r="M106" s="83">
        <v>5.4387375483602198E-5</v>
      </c>
      <c r="N106" s="83">
        <v>153092912434454.56</v>
      </c>
      <c r="O106" s="83">
        <v>5.1743871259307182E-5</v>
      </c>
      <c r="P106" s="83">
        <v>145908683557362.84</v>
      </c>
      <c r="Q106" s="83">
        <v>4.7656631854057485E-5</v>
      </c>
      <c r="R106" s="83">
        <v>126032118295258.56</v>
      </c>
      <c r="S106" s="83">
        <v>4.3101615570324131E-5</v>
      </c>
      <c r="T106" s="83">
        <v>126448936835128</v>
      </c>
      <c r="U106" s="83">
        <v>4.1951210471312239E-5</v>
      </c>
      <c r="V106" s="83">
        <v>110550523699399.41</v>
      </c>
      <c r="W106" s="83">
        <v>3.6715523097246017E-5</v>
      </c>
      <c r="X106" s="83">
        <v>99697910816997.562</v>
      </c>
      <c r="Y106" s="83">
        <v>3.4895482334894908E-5</v>
      </c>
      <c r="Z106" s="83">
        <v>86665974175966.234</v>
      </c>
      <c r="AA106" s="83">
        <v>2.9908192364270287E-5</v>
      </c>
      <c r="AB106" s="83">
        <v>86929225221450.672</v>
      </c>
      <c r="AC106" s="83">
        <v>2.9866064656941234E-5</v>
      </c>
      <c r="AD106" s="83">
        <v>69709400525523.984</v>
      </c>
      <c r="AE106" s="83">
        <v>2.4557555541944087E-5</v>
      </c>
    </row>
    <row r="107" spans="2:31" x14ac:dyDescent="0.2">
      <c r="B107" s="83">
        <v>215301290116236.69</v>
      </c>
      <c r="C107" s="83">
        <v>7.6805121695425974E-5</v>
      </c>
      <c r="D107" s="83">
        <v>193492988103705.19</v>
      </c>
      <c r="E107" s="83">
        <v>7.0122800834293062E-5</v>
      </c>
      <c r="F107" s="83">
        <v>199947577034517.16</v>
      </c>
      <c r="G107" s="83">
        <v>6.8973975985652883E-5</v>
      </c>
      <c r="H107" s="83">
        <v>189394863999174.66</v>
      </c>
      <c r="I107" s="83">
        <v>6.6401273917061725E-5</v>
      </c>
      <c r="J107" s="83">
        <v>152676559814563.87</v>
      </c>
      <c r="K107" s="83">
        <v>5.5104964589584306E-5</v>
      </c>
      <c r="L107" s="83">
        <v>157780066287003.16</v>
      </c>
      <c r="M107" s="83">
        <v>5.4676009463940858E-5</v>
      </c>
      <c r="N107" s="83">
        <v>139503917338214.42</v>
      </c>
      <c r="O107" s="83">
        <v>5.0062574633714462E-5</v>
      </c>
      <c r="P107" s="83">
        <v>134492121780778.75</v>
      </c>
      <c r="Q107" s="83">
        <v>4.6223768027722042E-5</v>
      </c>
      <c r="R107" s="83">
        <v>114781537693291.09</v>
      </c>
      <c r="S107" s="83">
        <v>4.1571782483217543E-5</v>
      </c>
      <c r="T107" s="83">
        <v>118582473599747.72</v>
      </c>
      <c r="U107" s="83">
        <v>4.1628043422858457E-5</v>
      </c>
      <c r="V107" s="83">
        <v>102218113576065.7</v>
      </c>
      <c r="W107" s="83">
        <v>3.5857498572912419E-5</v>
      </c>
      <c r="X107" s="83">
        <v>95011410713487.844</v>
      </c>
      <c r="Y107" s="83">
        <v>3.5128204869032546E-5</v>
      </c>
      <c r="Z107" s="83">
        <v>83678709229895.141</v>
      </c>
      <c r="AA107" s="83">
        <v>3.0526901411017083E-5</v>
      </c>
      <c r="AB107" s="83">
        <v>81945363452840.969</v>
      </c>
      <c r="AC107" s="83">
        <v>2.9859304246577774E-5</v>
      </c>
      <c r="AD107" s="83">
        <v>64163141544923.742</v>
      </c>
      <c r="AE107" s="83">
        <v>2.3949365470356897E-5</v>
      </c>
    </row>
    <row r="108" spans="2:31" x14ac:dyDescent="0.2">
      <c r="B108" s="83">
        <v>193968050925016.75</v>
      </c>
      <c r="C108" s="83">
        <v>7.250293715917736E-5</v>
      </c>
      <c r="D108" s="83">
        <v>179176883521384.78</v>
      </c>
      <c r="E108" s="83">
        <v>6.8759828072962559E-5</v>
      </c>
      <c r="F108" s="83">
        <v>184379829933714.47</v>
      </c>
      <c r="G108" s="83">
        <v>6.7053537514979856E-5</v>
      </c>
      <c r="H108" s="83">
        <v>177571601055447.25</v>
      </c>
      <c r="I108" s="83">
        <v>6.5145648494453667E-5</v>
      </c>
      <c r="J108" s="83">
        <v>143864355524080.56</v>
      </c>
      <c r="K108" s="83">
        <v>5.4790162483162296E-5</v>
      </c>
      <c r="L108" s="83">
        <v>145632664657446</v>
      </c>
      <c r="M108" s="83">
        <v>5.3518429455157638E-5</v>
      </c>
      <c r="N108" s="83">
        <v>130222357334819.98</v>
      </c>
      <c r="O108" s="83">
        <v>4.8831710014097423E-5</v>
      </c>
      <c r="P108" s="83">
        <v>125402858860296.94</v>
      </c>
      <c r="Q108" s="83">
        <v>4.5585859315944504E-5</v>
      </c>
      <c r="R108" s="83">
        <v>109863173377755.89</v>
      </c>
      <c r="S108" s="83">
        <v>4.2198975148393259E-5</v>
      </c>
      <c r="T108" s="83">
        <v>110680208555374.22</v>
      </c>
      <c r="U108" s="83">
        <v>4.133687616350704E-5</v>
      </c>
      <c r="V108" s="83">
        <v>95304595157069.344</v>
      </c>
      <c r="W108" s="83">
        <v>3.5266527457980305E-5</v>
      </c>
      <c r="X108" s="83">
        <v>86904436115765.984</v>
      </c>
      <c r="Y108" s="83">
        <v>3.3992799975959115E-5</v>
      </c>
      <c r="Z108" s="83">
        <v>81506901541466.406</v>
      </c>
      <c r="AA108" s="83">
        <v>3.1347781664015439E-5</v>
      </c>
      <c r="AB108" s="83">
        <v>77890427719598.422</v>
      </c>
      <c r="AC108" s="83">
        <v>2.9710605686580326E-5</v>
      </c>
      <c r="AD108" s="83">
        <v>59549733263458.203</v>
      </c>
      <c r="AE108" s="83">
        <v>2.3560691568028194E-5</v>
      </c>
    </row>
    <row r="109" spans="2:31" x14ac:dyDescent="0.2">
      <c r="B109" s="83">
        <v>187951657391013.78</v>
      </c>
      <c r="C109" s="83">
        <v>7.3871538210952474E-5</v>
      </c>
      <c r="D109" s="83">
        <v>173171821424599.94</v>
      </c>
      <c r="E109" s="83">
        <v>6.9966175977232719E-5</v>
      </c>
      <c r="F109" s="83">
        <v>169980456085728.78</v>
      </c>
      <c r="G109" s="83">
        <v>6.6048248751790422E-5</v>
      </c>
      <c r="H109" s="83">
        <v>164942089058725.37</v>
      </c>
      <c r="I109" s="83">
        <v>6.3995733275391036E-5</v>
      </c>
      <c r="J109" s="83">
        <v>138244244079161.73</v>
      </c>
      <c r="K109" s="83">
        <v>5.5508434358272384E-5</v>
      </c>
      <c r="L109" s="83">
        <v>135756866410263.86</v>
      </c>
      <c r="M109" s="83">
        <v>5.2381219117857815E-5</v>
      </c>
      <c r="N109" s="83">
        <v>124120076778929.97</v>
      </c>
      <c r="O109" s="83">
        <v>4.991448182807761E-5</v>
      </c>
      <c r="P109" s="83">
        <v>119562016396825.55</v>
      </c>
      <c r="Q109" s="83">
        <v>4.5958394700124455E-5</v>
      </c>
      <c r="R109" s="83">
        <v>103980415776882.67</v>
      </c>
      <c r="S109" s="83">
        <v>4.2921772470017325E-5</v>
      </c>
      <c r="T109" s="83">
        <v>101536668256186.2</v>
      </c>
      <c r="U109" s="83">
        <v>4.0130286539677731E-5</v>
      </c>
      <c r="V109" s="83">
        <v>90303534202923.516</v>
      </c>
      <c r="W109" s="83">
        <v>3.5555074871447449E-5</v>
      </c>
      <c r="X109" s="83">
        <v>83519782400382.578</v>
      </c>
      <c r="Y109" s="83">
        <v>3.4412340494359801E-5</v>
      </c>
      <c r="Z109" s="83">
        <v>75978231979228.234</v>
      </c>
      <c r="AA109" s="83">
        <v>3.0989403339426268E-5</v>
      </c>
      <c r="AB109" s="83">
        <v>73199413506250.344</v>
      </c>
      <c r="AC109" s="83">
        <v>2.9828997140508252E-5</v>
      </c>
      <c r="AD109" s="83">
        <v>56389325825649.625</v>
      </c>
      <c r="AE109" s="83">
        <v>2.3342642894798732E-5</v>
      </c>
    </row>
    <row r="110" spans="2:31" x14ac:dyDescent="0.2">
      <c r="B110" s="83">
        <v>171983225544578.94</v>
      </c>
      <c r="C110" s="83">
        <v>7.2481997481518376E-5</v>
      </c>
      <c r="D110" s="83">
        <v>159060078202796.09</v>
      </c>
      <c r="E110" s="83">
        <v>6.8719687733097756E-5</v>
      </c>
      <c r="F110" s="83">
        <v>162053756314864.69</v>
      </c>
      <c r="G110" s="83">
        <v>6.7162402430376571E-5</v>
      </c>
      <c r="H110" s="83">
        <v>148016670053408.16</v>
      </c>
      <c r="I110" s="83">
        <v>6.1065893183878407E-5</v>
      </c>
      <c r="J110" s="83">
        <v>125065437628645.59</v>
      </c>
      <c r="K110" s="83">
        <v>5.3200813360149962E-5</v>
      </c>
      <c r="L110" s="83">
        <v>131490229472517.16</v>
      </c>
      <c r="M110" s="83">
        <v>5.4051933268544688E-5</v>
      </c>
      <c r="N110" s="83">
        <v>110702527399405.86</v>
      </c>
      <c r="O110" s="83">
        <v>4.7205993282018457E-5</v>
      </c>
      <c r="P110" s="83">
        <v>105204528944818.69</v>
      </c>
      <c r="Q110" s="83">
        <v>4.2921435072206077E-5</v>
      </c>
      <c r="R110" s="83">
        <v>101478203463669.58</v>
      </c>
      <c r="S110" s="83">
        <v>4.4120326124301038E-5</v>
      </c>
      <c r="T110" s="83">
        <v>98088680114853.516</v>
      </c>
      <c r="U110" s="83">
        <v>4.1224269533322104E-5</v>
      </c>
      <c r="V110" s="83">
        <v>86679240012540.594</v>
      </c>
      <c r="W110" s="83">
        <v>3.6189523712831831E-5</v>
      </c>
      <c r="X110" s="83">
        <v>80317001747463.203</v>
      </c>
      <c r="Y110" s="83">
        <v>3.50425766556024E-5</v>
      </c>
      <c r="Z110" s="83">
        <v>66964302299966.352</v>
      </c>
      <c r="AA110" s="83">
        <v>2.8796090281212563E-5</v>
      </c>
      <c r="AB110" s="83">
        <v>68702787251078.937</v>
      </c>
      <c r="AC110" s="83">
        <v>2.9683706980934567E-5</v>
      </c>
      <c r="AD110" s="83">
        <v>54099898148273.883</v>
      </c>
      <c r="AE110" s="83">
        <v>2.3919330709544442E-5</v>
      </c>
    </row>
    <row r="111" spans="2:31" x14ac:dyDescent="0.2">
      <c r="B111" s="83">
        <v>159162524985044.37</v>
      </c>
      <c r="C111" s="83">
        <v>7.1124976144399611E-5</v>
      </c>
      <c r="D111" s="83">
        <v>144766334489052.31</v>
      </c>
      <c r="E111" s="83">
        <v>6.6093324803558675E-5</v>
      </c>
      <c r="F111" s="83">
        <v>152238996045119.91</v>
      </c>
      <c r="G111" s="83">
        <v>6.6349403011986194E-5</v>
      </c>
      <c r="H111" s="83">
        <v>142320114520043.62</v>
      </c>
      <c r="I111" s="83">
        <v>6.2436456069677097E-5</v>
      </c>
      <c r="J111" s="83">
        <v>115241688335734.44</v>
      </c>
      <c r="K111" s="83">
        <v>5.2131370138497109E-5</v>
      </c>
      <c r="L111" s="83">
        <v>116794179980902.14</v>
      </c>
      <c r="M111" s="83">
        <v>5.0878261746906982E-5</v>
      </c>
      <c r="N111" s="83">
        <v>107874336079899.14</v>
      </c>
      <c r="O111" s="83">
        <v>4.8486684456300546E-5</v>
      </c>
      <c r="P111" s="83">
        <v>99187703556521.016</v>
      </c>
      <c r="Q111" s="83">
        <v>4.3237819407642703E-5</v>
      </c>
      <c r="R111" s="83">
        <v>100074532247901.81</v>
      </c>
      <c r="S111" s="83">
        <v>4.5952832660178034E-5</v>
      </c>
      <c r="T111" s="83">
        <v>94060155728197.266</v>
      </c>
      <c r="U111" s="83">
        <v>4.2069147249162028E-5</v>
      </c>
      <c r="V111" s="83">
        <v>79776781494781.984</v>
      </c>
      <c r="W111" s="83">
        <v>3.4988274811006468E-5</v>
      </c>
      <c r="X111" s="83">
        <v>73482066326493.187</v>
      </c>
      <c r="Y111" s="83">
        <v>3.3895364420573477E-5</v>
      </c>
      <c r="Z111" s="83">
        <v>66490195195647.914</v>
      </c>
      <c r="AA111" s="83">
        <v>3.0550865846009125E-5</v>
      </c>
      <c r="AB111" s="83">
        <v>60514799283316.586</v>
      </c>
      <c r="AC111" s="83">
        <v>2.7705883652956762E-5</v>
      </c>
      <c r="AD111" s="83">
        <v>45501501107646.414</v>
      </c>
      <c r="AE111" s="83">
        <v>2.1189418079018345E-5</v>
      </c>
    </row>
    <row r="112" spans="2:31" x14ac:dyDescent="0.2">
      <c r="B112" s="83">
        <v>157427636193524.53</v>
      </c>
      <c r="C112" s="83">
        <v>7.5191981281712983E-5</v>
      </c>
      <c r="D112" s="83">
        <v>138962361587060.22</v>
      </c>
      <c r="E112" s="83">
        <v>6.7785904301388724E-5</v>
      </c>
      <c r="F112" s="83">
        <v>148704693806554.5</v>
      </c>
      <c r="G112" s="83">
        <v>6.8819510077505495E-5</v>
      </c>
      <c r="H112" s="83">
        <v>133429223175517.61</v>
      </c>
      <c r="I112" s="83">
        <v>6.2685136645651934E-5</v>
      </c>
      <c r="J112" s="83">
        <v>111950008564059.84</v>
      </c>
      <c r="K112" s="83">
        <v>5.4181548831791153E-5</v>
      </c>
      <c r="L112" s="83">
        <v>112686187577342.69</v>
      </c>
      <c r="M112" s="83">
        <v>5.1797024251070193E-5</v>
      </c>
      <c r="N112" s="83">
        <v>105631764715177.69</v>
      </c>
      <c r="O112" s="83">
        <v>5.0585115278565649E-5</v>
      </c>
      <c r="P112" s="83">
        <v>96226784814166.922</v>
      </c>
      <c r="Q112" s="83">
        <v>4.4437513304273227E-5</v>
      </c>
      <c r="R112" s="83">
        <v>87751749826056.937</v>
      </c>
      <c r="S112" s="83">
        <v>4.2697959041456338E-5</v>
      </c>
      <c r="T112" s="83">
        <v>85884425992388.266</v>
      </c>
      <c r="U112" s="83">
        <v>4.061657343166123E-5</v>
      </c>
      <c r="V112" s="83">
        <v>73831887527411.406</v>
      </c>
      <c r="W112" s="83">
        <v>3.4342638548922665E-5</v>
      </c>
      <c r="X112" s="83">
        <v>67408064957185.18</v>
      </c>
      <c r="Y112" s="83">
        <v>3.3261978463100845E-5</v>
      </c>
      <c r="Z112" s="83">
        <v>64797229486570.617</v>
      </c>
      <c r="AA112" s="83">
        <v>3.1657544546385101E-5</v>
      </c>
      <c r="AB112" s="83">
        <v>57586146124002.133</v>
      </c>
      <c r="AC112" s="83">
        <v>2.805806627589949E-5</v>
      </c>
      <c r="AD112" s="83">
        <v>43939725689345.164</v>
      </c>
      <c r="AE112" s="83">
        <v>2.1727194945369543E-5</v>
      </c>
    </row>
    <row r="113" spans="2:31" x14ac:dyDescent="0.2">
      <c r="B113" s="83">
        <v>142212854516688.22</v>
      </c>
      <c r="C113" s="83">
        <v>7.2077765987129229E-5</v>
      </c>
      <c r="D113" s="83">
        <v>130418001989170</v>
      </c>
      <c r="E113" s="83">
        <v>6.7992404093865651E-5</v>
      </c>
      <c r="F113" s="83">
        <v>128790693540738.08</v>
      </c>
      <c r="G113" s="83">
        <v>6.3228873293014521E-5</v>
      </c>
      <c r="H113" s="83">
        <v>124542532588010.72</v>
      </c>
      <c r="I113" s="83">
        <v>6.2018177604830746E-5</v>
      </c>
      <c r="J113" s="83">
        <v>108605878297460.97</v>
      </c>
      <c r="K113" s="83">
        <v>5.5659073355702911E-5</v>
      </c>
      <c r="L113" s="83">
        <v>108784315575378.41</v>
      </c>
      <c r="M113" s="83">
        <v>5.381973063337852E-5</v>
      </c>
      <c r="N113" s="83">
        <v>93547238034028.562</v>
      </c>
      <c r="O113" s="83">
        <v>4.7154358390959172E-5</v>
      </c>
      <c r="P113" s="83">
        <v>92480271240437.094</v>
      </c>
      <c r="Q113" s="83">
        <v>4.5292189542521333E-5</v>
      </c>
      <c r="R113" s="83">
        <v>81485959269836.953</v>
      </c>
      <c r="S113" s="83">
        <v>4.2203050653771747E-5</v>
      </c>
      <c r="T113" s="83">
        <v>83271391106090.437</v>
      </c>
      <c r="U113" s="83">
        <v>4.183444452367047E-5</v>
      </c>
      <c r="V113" s="83">
        <v>70518222040753.391</v>
      </c>
      <c r="W113" s="83">
        <v>3.486365601980572E-5</v>
      </c>
      <c r="X113" s="83">
        <v>65396306560187.367</v>
      </c>
      <c r="Y113" s="83">
        <v>3.4539973570289019E-5</v>
      </c>
      <c r="Z113" s="83">
        <v>60972587866905.492</v>
      </c>
      <c r="AA113" s="83">
        <v>3.1366297585227095E-5</v>
      </c>
      <c r="AB113" s="83">
        <v>56345063881124.375</v>
      </c>
      <c r="AC113" s="83">
        <v>2.9394353135618505E-5</v>
      </c>
      <c r="AD113" s="83">
        <v>41800301029689.781</v>
      </c>
      <c r="AE113" s="83">
        <v>2.2274355540546826E-5</v>
      </c>
    </row>
    <row r="114" spans="2:31" x14ac:dyDescent="0.2">
      <c r="B114" s="83">
        <v>129141976898901</v>
      </c>
      <c r="C114" s="83">
        <v>6.8346808357091008E-5</v>
      </c>
      <c r="D114" s="83">
        <v>117161748201264.7</v>
      </c>
      <c r="E114" s="83">
        <v>6.4839179327850089E-5</v>
      </c>
      <c r="F114" s="83">
        <v>124773142860493.75</v>
      </c>
      <c r="G114" s="83">
        <v>6.5554599689459511E-5</v>
      </c>
      <c r="H114" s="83">
        <v>120188190674729.14</v>
      </c>
      <c r="I114" s="83">
        <v>6.3361849015729688E-5</v>
      </c>
      <c r="J114" s="83">
        <v>97175722062536.344</v>
      </c>
      <c r="K114" s="83">
        <v>5.2128912447714736E-5</v>
      </c>
      <c r="L114" s="83">
        <v>99393056332573</v>
      </c>
      <c r="M114" s="83">
        <v>5.1298765344906925E-5</v>
      </c>
      <c r="N114" s="83">
        <v>85464637341940.375</v>
      </c>
      <c r="O114" s="83">
        <v>4.5754230478374744E-5</v>
      </c>
      <c r="P114" s="83">
        <v>79169262090557.484</v>
      </c>
      <c r="Q114" s="83">
        <v>4.110826143798503E-5</v>
      </c>
      <c r="R114" s="83">
        <v>79033181738688</v>
      </c>
      <c r="S114" s="83">
        <v>4.3581185031373844E-5</v>
      </c>
      <c r="T114" s="83">
        <v>78461474803072.719</v>
      </c>
      <c r="U114" s="83">
        <v>4.131311403758517E-5</v>
      </c>
      <c r="V114" s="83">
        <v>68119559962794.32</v>
      </c>
      <c r="W114" s="83">
        <v>3.5763586588914394E-5</v>
      </c>
      <c r="X114" s="83">
        <v>61266742615300.937</v>
      </c>
      <c r="Y114" s="83">
        <v>3.4365599410415909E-5</v>
      </c>
      <c r="Z114" s="83">
        <v>58672065446955.937</v>
      </c>
      <c r="AA114" s="83">
        <v>3.1832193220609396E-5</v>
      </c>
      <c r="AB114" s="83">
        <v>51383248226792.422</v>
      </c>
      <c r="AC114" s="83">
        <v>2.8757688885677942E-5</v>
      </c>
      <c r="AD114" s="83">
        <v>41019918286339.937</v>
      </c>
      <c r="AE114" s="83">
        <v>2.3034027284591141E-5</v>
      </c>
    </row>
    <row r="115" spans="2:31" x14ac:dyDescent="0.2">
      <c r="B115" s="83">
        <v>127275303594924.66</v>
      </c>
      <c r="C115" s="83">
        <v>7.3256688142397331E-5</v>
      </c>
      <c r="D115" s="83">
        <v>111619811475768.56</v>
      </c>
      <c r="E115" s="83">
        <v>6.5270048415048057E-5</v>
      </c>
      <c r="F115" s="83">
        <v>115828872205033.47</v>
      </c>
      <c r="G115" s="83">
        <v>6.5300733051533485E-5</v>
      </c>
      <c r="H115" s="83">
        <v>113861664775144.06</v>
      </c>
      <c r="I115" s="83">
        <v>6.418486890669568E-5</v>
      </c>
      <c r="J115" s="83">
        <v>87962472076874.031</v>
      </c>
      <c r="K115" s="83">
        <v>5.0660866372289691E-5</v>
      </c>
      <c r="L115" s="83">
        <v>96469287016450.859</v>
      </c>
      <c r="M115" s="83">
        <v>5.3464772640775309E-5</v>
      </c>
      <c r="N115" s="83">
        <v>81522610972817.625</v>
      </c>
      <c r="O115" s="83">
        <v>4.6773381152303269E-5</v>
      </c>
      <c r="P115" s="83">
        <v>77229342799735.734</v>
      </c>
      <c r="Q115" s="83">
        <v>4.2065476888239433E-5</v>
      </c>
      <c r="R115" s="83">
        <v>74742286051217.844</v>
      </c>
      <c r="S115" s="83">
        <v>4.3655753753582595E-5</v>
      </c>
      <c r="T115" s="83">
        <v>72659405848736.219</v>
      </c>
      <c r="U115" s="83">
        <v>4.1066603094545471E-5</v>
      </c>
      <c r="V115" s="83">
        <v>60927516702317.172</v>
      </c>
      <c r="W115" s="83">
        <v>3.3745008441625724E-5</v>
      </c>
      <c r="X115" s="83">
        <v>59543800234447.344</v>
      </c>
      <c r="Y115" s="83">
        <v>3.4935387032000236E-5</v>
      </c>
      <c r="Z115" s="83">
        <v>50221086299523.266</v>
      </c>
      <c r="AA115" s="83">
        <v>2.9166896579946155E-5</v>
      </c>
      <c r="AB115" s="83">
        <v>49475951375918.516</v>
      </c>
      <c r="AC115" s="83">
        <v>2.8797586583401642E-5</v>
      </c>
      <c r="AD115" s="83">
        <v>38073114983681.875</v>
      </c>
      <c r="AE115" s="83">
        <v>2.2529882382603827E-5</v>
      </c>
    </row>
    <row r="116" spans="2:31" x14ac:dyDescent="0.2">
      <c r="B116" s="83">
        <v>120543278651441.12</v>
      </c>
      <c r="C116" s="83">
        <v>7.2510192560417869E-5</v>
      </c>
      <c r="D116" s="83">
        <v>104869923895943.33</v>
      </c>
      <c r="E116" s="83">
        <v>6.4949611223614193E-5</v>
      </c>
      <c r="F116" s="83">
        <v>111875236364281.09</v>
      </c>
      <c r="G116" s="83">
        <v>6.6210209308925028E-5</v>
      </c>
      <c r="H116" s="83">
        <v>105101153838795.81</v>
      </c>
      <c r="I116" s="83">
        <v>6.2812694959263335E-5</v>
      </c>
      <c r="J116" s="83">
        <v>85969676335426.719</v>
      </c>
      <c r="K116" s="83">
        <v>5.3104348059970329E-5</v>
      </c>
      <c r="L116" s="83">
        <v>86574130118601.703</v>
      </c>
      <c r="M116" s="83">
        <v>5.041842376456269E-5</v>
      </c>
      <c r="N116" s="83">
        <v>74615051784090.203</v>
      </c>
      <c r="O116" s="83">
        <v>4.5349365323520867E-5</v>
      </c>
      <c r="P116" s="83">
        <v>74366246911340.766</v>
      </c>
      <c r="Q116" s="83">
        <v>4.3541454052730143E-5</v>
      </c>
      <c r="R116" s="83">
        <v>65072443623522.664</v>
      </c>
      <c r="S116" s="83">
        <v>4.06093360094877E-5</v>
      </c>
      <c r="T116" s="83">
        <v>64170078742218.172</v>
      </c>
      <c r="U116" s="83">
        <v>3.8225871117143752E-5</v>
      </c>
      <c r="V116" s="83">
        <v>56554653964575.047</v>
      </c>
      <c r="W116" s="83">
        <v>3.3529532086277908E-5</v>
      </c>
      <c r="X116" s="83">
        <v>50827537263551.711</v>
      </c>
      <c r="Y116" s="83">
        <v>3.2008285231736399E-5</v>
      </c>
      <c r="Z116" s="83">
        <v>48532231175033.344</v>
      </c>
      <c r="AA116" s="83">
        <v>3.0022417749764182E-5</v>
      </c>
      <c r="AB116" s="83">
        <v>45504477284762.367</v>
      </c>
      <c r="AC116" s="83">
        <v>2.8435808176372011E-5</v>
      </c>
      <c r="AD116" s="83">
        <v>33310224587328.258</v>
      </c>
      <c r="AE116" s="83">
        <v>2.1012305832193346E-5</v>
      </c>
    </row>
    <row r="117" spans="2:31" x14ac:dyDescent="0.2">
      <c r="B117" s="83">
        <v>114546376767431.81</v>
      </c>
      <c r="C117" s="83">
        <v>7.1974615238632418E-5</v>
      </c>
      <c r="D117" s="83">
        <v>102577912352698.64</v>
      </c>
      <c r="E117" s="83">
        <v>6.7277128761438604E-5</v>
      </c>
      <c r="F117" s="83">
        <v>101296154351764.78</v>
      </c>
      <c r="G117" s="83">
        <v>6.480851393140921E-5</v>
      </c>
      <c r="H117" s="83">
        <v>105623235802505.84</v>
      </c>
      <c r="I117" s="83">
        <v>6.614591455271291E-5</v>
      </c>
      <c r="J117" s="83">
        <v>79724130665080.062</v>
      </c>
      <c r="K117" s="83">
        <v>5.190943397385702E-5</v>
      </c>
      <c r="L117" s="83">
        <v>85446558939331.266</v>
      </c>
      <c r="M117" s="83">
        <v>5.2654950198246855E-5</v>
      </c>
      <c r="N117" s="83">
        <v>65476217566408.836</v>
      </c>
      <c r="O117" s="83">
        <v>4.2387316561214639E-5</v>
      </c>
      <c r="P117" s="83">
        <v>63198506452229.898</v>
      </c>
      <c r="Q117" s="83">
        <v>3.9257554989241704E-5</v>
      </c>
      <c r="R117" s="83">
        <v>63192101263440.258</v>
      </c>
      <c r="S117" s="83">
        <v>4.2398397662700826E-5</v>
      </c>
      <c r="T117" s="83">
        <v>63880334380333.984</v>
      </c>
      <c r="U117" s="83">
        <v>4.0538912972150656E-5</v>
      </c>
      <c r="V117" s="83">
        <v>54692165285733.781</v>
      </c>
      <c r="W117" s="83">
        <v>3.4561980154408534E-5</v>
      </c>
      <c r="X117" s="83">
        <v>49035452155007.742</v>
      </c>
      <c r="Y117" s="83">
        <v>3.2478608824669359E-5</v>
      </c>
      <c r="Z117" s="83">
        <v>44919651505753.609</v>
      </c>
      <c r="AA117" s="83">
        <v>3.0031687003125338E-5</v>
      </c>
      <c r="AB117" s="83">
        <v>41567572218515.969</v>
      </c>
      <c r="AC117" s="83">
        <v>2.747031720701286E-5</v>
      </c>
      <c r="AD117" s="83">
        <v>32646757858004.84</v>
      </c>
      <c r="AE117" s="83">
        <v>2.2064998747490964E-5</v>
      </c>
    </row>
    <row r="118" spans="2:31" x14ac:dyDescent="0.2">
      <c r="B118" s="83">
        <v>98962631903625.125</v>
      </c>
      <c r="C118" s="83">
        <v>6.6720724753369608E-5</v>
      </c>
      <c r="D118" s="83">
        <v>87878629172882.891</v>
      </c>
      <c r="E118" s="83">
        <v>6.1524924987772415E-5</v>
      </c>
      <c r="F118" s="83">
        <v>98075172930776.625</v>
      </c>
      <c r="G118" s="83">
        <v>6.6243124952294831E-5</v>
      </c>
      <c r="H118" s="83">
        <v>95533648112965.484</v>
      </c>
      <c r="I118" s="83">
        <v>6.3420035146334938E-5</v>
      </c>
      <c r="J118" s="83">
        <v>72459197517987.187</v>
      </c>
      <c r="K118" s="83">
        <v>5.085614017093904E-5</v>
      </c>
      <c r="L118" s="83">
        <v>77505753966433.016</v>
      </c>
      <c r="M118" s="83">
        <v>5.0538062178551536E-5</v>
      </c>
      <c r="N118" s="83">
        <v>63192721604603.094</v>
      </c>
      <c r="O118" s="83">
        <v>4.3880260495690069E-5</v>
      </c>
      <c r="P118" s="83">
        <v>58356864236587.086</v>
      </c>
      <c r="Q118" s="83">
        <v>3.8693817777987563E-5</v>
      </c>
      <c r="R118" s="83">
        <v>60131843365371.258</v>
      </c>
      <c r="S118" s="83">
        <v>4.3096544088477982E-5</v>
      </c>
      <c r="T118" s="83">
        <v>59163033319593.195</v>
      </c>
      <c r="U118" s="83">
        <v>4.0538859981688716E-5</v>
      </c>
      <c r="V118" s="83">
        <v>54008113275386.648</v>
      </c>
      <c r="W118" s="83">
        <v>3.6757769042343249E-5</v>
      </c>
      <c r="X118" s="83">
        <v>46957261799316.258</v>
      </c>
      <c r="Y118" s="83">
        <v>3.3599406944348785E-5</v>
      </c>
      <c r="Z118" s="83">
        <v>45695972399757.391</v>
      </c>
      <c r="AA118" s="83">
        <v>3.2134308264007793E-5</v>
      </c>
      <c r="AB118" s="83">
        <v>40710702920633.836</v>
      </c>
      <c r="AC118" s="83">
        <v>2.8632408057744207E-5</v>
      </c>
      <c r="AD118" s="83">
        <v>29186774225621.66</v>
      </c>
      <c r="AE118" s="83">
        <v>2.08608674088052E-5</v>
      </c>
    </row>
    <row r="119" spans="2:31" x14ac:dyDescent="0.2">
      <c r="B119" s="83">
        <v>92972278825322.969</v>
      </c>
      <c r="C119" s="83">
        <v>6.5651998925086405E-5</v>
      </c>
      <c r="D119" s="83">
        <v>86860881217006.547</v>
      </c>
      <c r="E119" s="83">
        <v>6.4497675322709296E-5</v>
      </c>
      <c r="F119" s="83">
        <v>93153519650614.625</v>
      </c>
      <c r="G119" s="83">
        <v>6.7140159883139359E-5</v>
      </c>
      <c r="H119" s="83">
        <v>84060146769427.219</v>
      </c>
      <c r="I119" s="83">
        <v>5.903973589806803E-5</v>
      </c>
      <c r="J119" s="83">
        <v>72028728321269.078</v>
      </c>
      <c r="K119" s="83">
        <v>5.4078902786213224E-5</v>
      </c>
      <c r="L119" s="83">
        <v>72436455787291.844</v>
      </c>
      <c r="M119" s="83">
        <v>5.0228967545781552E-5</v>
      </c>
      <c r="N119" s="83">
        <v>60084043526867.367</v>
      </c>
      <c r="O119" s="83">
        <v>4.4587976381155639E-5</v>
      </c>
      <c r="P119" s="83">
        <v>56144279922700.008</v>
      </c>
      <c r="Q119" s="83">
        <v>3.9869026855520656E-5</v>
      </c>
      <c r="R119" s="83">
        <v>58602095699748.648</v>
      </c>
      <c r="S119" s="83">
        <v>4.4138987707364563E-5</v>
      </c>
      <c r="T119" s="83">
        <v>56557187185201.82</v>
      </c>
      <c r="U119" s="83">
        <v>4.1065416100013244E-5</v>
      </c>
      <c r="V119" s="83">
        <v>51120603694055.07</v>
      </c>
      <c r="W119" s="83">
        <v>3.6649024717275977E-5</v>
      </c>
      <c r="X119" s="83">
        <v>43268301288016.492</v>
      </c>
      <c r="Y119" s="83">
        <v>3.2747466762410044E-5</v>
      </c>
      <c r="Z119" s="83">
        <v>43738430271932.93</v>
      </c>
      <c r="AA119" s="83">
        <v>3.2303470814351283E-5</v>
      </c>
      <c r="AB119" s="83">
        <v>38331333548012.531</v>
      </c>
      <c r="AC119" s="83">
        <v>2.8531700414323639E-5</v>
      </c>
      <c r="AD119" s="83">
        <v>27342694042775.578</v>
      </c>
      <c r="AE119" s="83">
        <v>2.1032342951573018E-5</v>
      </c>
    </row>
    <row r="120" spans="2:31" x14ac:dyDescent="0.2">
      <c r="B120" s="83">
        <v>90443537885120.922</v>
      </c>
      <c r="C120" s="83">
        <v>6.9824794902798343E-5</v>
      </c>
      <c r="D120" s="83">
        <v>80883298644847.375</v>
      </c>
      <c r="E120" s="83">
        <v>6.6666061321760619E-5</v>
      </c>
      <c r="F120" s="83">
        <v>83193263785928.828</v>
      </c>
      <c r="G120" s="83">
        <v>6.2481927535322284E-5</v>
      </c>
      <c r="H120" s="83">
        <v>80932545240135.719</v>
      </c>
      <c r="I120" s="83">
        <v>6.1183014048886417E-5</v>
      </c>
      <c r="J120" s="83">
        <v>69984667516115.781</v>
      </c>
      <c r="K120" s="83">
        <v>5.5139844265179843E-5</v>
      </c>
      <c r="L120" s="83">
        <v>66243572272423.031</v>
      </c>
      <c r="M120" s="83">
        <v>4.8870821348806145E-5</v>
      </c>
      <c r="N120" s="83">
        <v>58044462043401.953</v>
      </c>
      <c r="O120" s="83">
        <v>4.6033967661863234E-5</v>
      </c>
      <c r="P120" s="83">
        <v>53655816618654.273</v>
      </c>
      <c r="Q120" s="83">
        <v>4.1448477494225197E-5</v>
      </c>
      <c r="R120" s="83">
        <v>53883454206008.562</v>
      </c>
      <c r="S120" s="83">
        <v>4.3844573277961061E-5</v>
      </c>
      <c r="T120" s="83">
        <v>54737760859577.328</v>
      </c>
      <c r="U120" s="83">
        <v>4.2022863552849642E-5</v>
      </c>
      <c r="V120" s="83">
        <v>49981059057026.687</v>
      </c>
      <c r="W120" s="83">
        <v>3.776053204098499E-5</v>
      </c>
      <c r="X120" s="83">
        <v>40511946602714.289</v>
      </c>
      <c r="Y120" s="83">
        <v>3.2650071445411098E-5</v>
      </c>
      <c r="Z120" s="83">
        <v>39555520283487.195</v>
      </c>
      <c r="AA120" s="83">
        <v>3.099912751716403E-5</v>
      </c>
      <c r="AB120" s="83">
        <v>36016519135700.234</v>
      </c>
      <c r="AC120" s="83">
        <v>2.8449515263724352E-5</v>
      </c>
      <c r="AD120" s="83">
        <v>26449772194609.785</v>
      </c>
      <c r="AE120" s="83">
        <v>2.1215171298544051E-5</v>
      </c>
    </row>
    <row r="121" spans="2:31" x14ac:dyDescent="0.2">
      <c r="B121" s="83">
        <v>81595946117416.016</v>
      </c>
      <c r="C121" s="83">
        <v>6.583948578388239E-5</v>
      </c>
      <c r="D121" s="83">
        <v>80056729414222.812</v>
      </c>
      <c r="E121" s="83">
        <v>6.9032185841245346E-5</v>
      </c>
      <c r="F121" s="83">
        <v>82828942301137.984</v>
      </c>
      <c r="G121" s="83">
        <v>6.6679213742347175E-5</v>
      </c>
      <c r="H121" s="83">
        <v>76416039551673.516</v>
      </c>
      <c r="I121" s="83">
        <v>6.264161360621575E-5</v>
      </c>
      <c r="J121" s="83">
        <v>65897330770320.109</v>
      </c>
      <c r="K121" s="83">
        <v>5.6156414838700984E-5</v>
      </c>
      <c r="L121" s="83">
        <v>60463114710464.836</v>
      </c>
      <c r="M121" s="83">
        <v>4.8773010089798031E-5</v>
      </c>
      <c r="N121" s="83">
        <v>51443042772893.727</v>
      </c>
      <c r="O121" s="83">
        <v>4.3493768530397428E-5</v>
      </c>
      <c r="P121" s="83">
        <v>50016502184697.531</v>
      </c>
      <c r="Q121" s="83">
        <v>4.0727248138701147E-5</v>
      </c>
      <c r="R121" s="83">
        <v>52442080172573.852</v>
      </c>
      <c r="S121" s="83">
        <v>4.4788935064969849E-5</v>
      </c>
      <c r="T121" s="83">
        <v>51637268947523.422</v>
      </c>
      <c r="U121" s="83">
        <v>4.231671202571195E-5</v>
      </c>
      <c r="V121" s="83">
        <v>47436901931521.469</v>
      </c>
      <c r="W121" s="83">
        <v>3.8003234288942083E-5</v>
      </c>
      <c r="X121" s="83">
        <v>33180064603657.254</v>
      </c>
      <c r="Y121" s="83">
        <v>2.8152275107002453E-5</v>
      </c>
      <c r="Z121" s="83">
        <v>36285640089836.031</v>
      </c>
      <c r="AA121" s="83">
        <v>3.0214929834215171E-5</v>
      </c>
      <c r="AB121" s="83">
        <v>30725094151871.32</v>
      </c>
      <c r="AC121" s="83">
        <v>2.5554296244350915E-5</v>
      </c>
      <c r="AD121" s="83">
        <v>26881842656070.645</v>
      </c>
      <c r="AE121" s="83">
        <v>2.342956686139181E-5</v>
      </c>
    </row>
    <row r="122" spans="2:31" x14ac:dyDescent="0.2">
      <c r="B122" s="83">
        <v>82660021862882.359</v>
      </c>
      <c r="C122" s="83">
        <v>7.0643413477830717E-5</v>
      </c>
      <c r="D122" s="83">
        <v>76179007666695.453</v>
      </c>
      <c r="E122" s="83">
        <v>6.9470183988868287E-5</v>
      </c>
      <c r="F122" s="83">
        <v>71904443143391.687</v>
      </c>
      <c r="G122" s="83">
        <v>6.1743713475769399E-5</v>
      </c>
      <c r="H122" s="83">
        <v>74042498559501.781</v>
      </c>
      <c r="I122" s="83">
        <v>6.3257149079045638E-5</v>
      </c>
      <c r="J122" s="83">
        <v>61542654338053.102</v>
      </c>
      <c r="K122" s="83">
        <v>5.563717025774327E-5</v>
      </c>
      <c r="L122" s="83">
        <v>59644940984546.164</v>
      </c>
      <c r="M122" s="83">
        <v>5.1094506280132911E-5</v>
      </c>
      <c r="N122" s="83">
        <v>48629127542143.43</v>
      </c>
      <c r="O122" s="83">
        <v>4.3332682654533567E-5</v>
      </c>
      <c r="P122" s="83">
        <v>49279555081473.953</v>
      </c>
      <c r="Q122" s="83">
        <v>4.1696843989662448E-5</v>
      </c>
      <c r="R122" s="83">
        <v>48774454159830.227</v>
      </c>
      <c r="S122" s="83">
        <v>4.4209840011359905E-5</v>
      </c>
      <c r="T122" s="83">
        <v>42054499322299.711</v>
      </c>
      <c r="U122" s="83">
        <v>3.5805649502975254E-5</v>
      </c>
      <c r="V122" s="83">
        <v>39354895727998.961</v>
      </c>
      <c r="W122" s="83">
        <v>3.355318165853346E-5</v>
      </c>
      <c r="X122" s="83">
        <v>32286520753808.262</v>
      </c>
      <c r="Y122" s="83">
        <v>2.984182000923269E-5</v>
      </c>
      <c r="Z122" s="83">
        <v>33859826518472.742</v>
      </c>
      <c r="AA122" s="83">
        <v>3.0719214612638013E-5</v>
      </c>
      <c r="AB122" s="83">
        <v>31548491451777.145</v>
      </c>
      <c r="AC122" s="83">
        <v>2.8891807265831766E-5</v>
      </c>
      <c r="AD122" s="83">
        <v>26132991744537.996</v>
      </c>
      <c r="AE122" s="83">
        <v>2.4237320617022005E-5</v>
      </c>
    </row>
    <row r="123" spans="2:31" x14ac:dyDescent="0.2">
      <c r="B123" s="83">
        <v>71024607898140.031</v>
      </c>
      <c r="C123" s="83">
        <v>6.4650936781691457E-5</v>
      </c>
      <c r="D123" s="83">
        <v>71412607368000.062</v>
      </c>
      <c r="E123" s="83">
        <v>6.9360636585662872E-5</v>
      </c>
      <c r="F123" s="83">
        <v>67294365955901.836</v>
      </c>
      <c r="G123" s="83">
        <v>6.1753433036687078E-5</v>
      </c>
      <c r="H123" s="83">
        <v>68833864096753.32</v>
      </c>
      <c r="I123" s="83">
        <v>6.4144123248673936E-5</v>
      </c>
      <c r="J123" s="83">
        <v>59446539573983</v>
      </c>
      <c r="K123" s="83">
        <v>5.6619629783441646E-5</v>
      </c>
      <c r="L123" s="83">
        <v>59082455957753.812</v>
      </c>
      <c r="M123" s="83">
        <v>5.3333034403013911E-5</v>
      </c>
      <c r="N123" s="83">
        <v>42131232669611.398</v>
      </c>
      <c r="O123" s="83">
        <v>4.0395135250502023E-5</v>
      </c>
      <c r="P123" s="83">
        <v>43248639523626.969</v>
      </c>
      <c r="Q123" s="83">
        <v>3.8810438819384892E-5</v>
      </c>
      <c r="R123" s="83">
        <v>51001038984731.289</v>
      </c>
      <c r="S123" s="83">
        <v>4.9704979934203163E-5</v>
      </c>
      <c r="T123" s="83">
        <v>40857538692614.055</v>
      </c>
      <c r="U123" s="83">
        <v>3.7604916417100321E-5</v>
      </c>
      <c r="V123" s="83">
        <v>37155872060269.102</v>
      </c>
      <c r="W123" s="83">
        <v>3.444969369672524E-5</v>
      </c>
      <c r="X123" s="83">
        <v>30857298112463.957</v>
      </c>
      <c r="Y123" s="83">
        <v>3.0077808736262143E-5</v>
      </c>
      <c r="Z123" s="83">
        <v>32411624770957.855</v>
      </c>
      <c r="AA123" s="83">
        <v>3.1657550881856528E-5</v>
      </c>
      <c r="AB123" s="83">
        <v>27970890474342.332</v>
      </c>
      <c r="AC123" s="83">
        <v>2.7183858394171892E-5</v>
      </c>
      <c r="AD123" s="83">
        <v>25960251382945.242</v>
      </c>
      <c r="AE123" s="83">
        <v>2.5710289750521434E-5</v>
      </c>
    </row>
    <row r="124" spans="2:31" x14ac:dyDescent="0.2">
      <c r="B124" s="83">
        <v>61655933622390.812</v>
      </c>
      <c r="C124" s="83">
        <v>5.9187429193070523E-5</v>
      </c>
      <c r="D124" s="83">
        <v>67918107988153.383</v>
      </c>
      <c r="E124" s="83">
        <v>7.0265646081273976E-5</v>
      </c>
      <c r="F124" s="83">
        <v>64080289143476.102</v>
      </c>
      <c r="G124" s="83">
        <v>6.4296252509850834E-5</v>
      </c>
      <c r="H124" s="83">
        <v>61660765187091.664</v>
      </c>
      <c r="I124" s="83">
        <v>6.0309264002135902E-5</v>
      </c>
      <c r="J124" s="83">
        <v>57834453625204.156</v>
      </c>
      <c r="K124" s="83">
        <v>5.8809224296819594E-5</v>
      </c>
      <c r="L124" s="83">
        <v>56577130538419.969</v>
      </c>
      <c r="M124" s="83">
        <v>5.4141937786878143E-5</v>
      </c>
      <c r="N124" s="83">
        <v>40047132917576.414</v>
      </c>
      <c r="O124" s="83">
        <v>4.156053276976151E-5</v>
      </c>
      <c r="P124" s="83">
        <v>35198889371544.242</v>
      </c>
      <c r="Q124" s="83">
        <v>3.3636999487472971E-5</v>
      </c>
      <c r="R124" s="83">
        <v>41705712198602.82</v>
      </c>
      <c r="S124" s="83">
        <v>4.2751429389712166E-5</v>
      </c>
      <c r="T124" s="83">
        <v>37762877910808.758</v>
      </c>
      <c r="U124" s="83">
        <v>3.8258137864250383E-5</v>
      </c>
      <c r="V124" s="83">
        <v>38520648261681.18</v>
      </c>
      <c r="W124" s="83">
        <v>3.8311319709457746E-5</v>
      </c>
      <c r="X124" s="83">
        <v>31428983989500.652</v>
      </c>
      <c r="Y124" s="83">
        <v>3.2547640087317912E-5</v>
      </c>
      <c r="Z124" s="83">
        <v>31064783404136.852</v>
      </c>
      <c r="AA124" s="83">
        <v>3.1888804568881371E-5</v>
      </c>
      <c r="AB124" s="83">
        <v>25756225181762.121</v>
      </c>
      <c r="AC124" s="83">
        <v>2.668417692382474E-5</v>
      </c>
      <c r="AD124" s="83">
        <v>24952516219816.461</v>
      </c>
      <c r="AE124" s="83">
        <v>2.6122090082508596E-5</v>
      </c>
    </row>
    <row r="125" spans="2:31" x14ac:dyDescent="0.2">
      <c r="B125" s="83">
        <v>63515826406555.094</v>
      </c>
      <c r="C125" s="83">
        <v>6.5977497777420217E-5</v>
      </c>
      <c r="D125" s="83">
        <v>64233998733355.867</v>
      </c>
      <c r="E125" s="83">
        <v>7.0882591671853618E-5</v>
      </c>
      <c r="F125" s="83">
        <v>63473922201533.992</v>
      </c>
      <c r="G125" s="83">
        <v>6.8461068938364952E-5</v>
      </c>
      <c r="H125" s="83">
        <v>62643964443850.281</v>
      </c>
      <c r="I125" s="83">
        <v>6.6602264351448429E-5</v>
      </c>
      <c r="J125" s="83">
        <v>46287789932291.367</v>
      </c>
      <c r="K125" s="83">
        <v>5.0095999492193072E-5</v>
      </c>
      <c r="L125" s="83">
        <v>45642752117570.289</v>
      </c>
      <c r="M125" s="83">
        <v>4.8246479367549594E-5</v>
      </c>
      <c r="N125" s="83">
        <v>37721351233360.437</v>
      </c>
      <c r="O125" s="83">
        <v>4.2270132922084499E-5</v>
      </c>
      <c r="P125" s="83">
        <v>33590061060974.027</v>
      </c>
      <c r="Q125" s="83">
        <v>3.5114613606295782E-5</v>
      </c>
      <c r="R125" s="83">
        <v>42752546273283.484</v>
      </c>
      <c r="S125" s="83">
        <v>4.7455385011412751E-5</v>
      </c>
      <c r="T125" s="83">
        <v>38092888129970.844</v>
      </c>
      <c r="U125" s="83">
        <v>4.111079407897785E-5</v>
      </c>
      <c r="V125" s="83">
        <v>35980941112614.937</v>
      </c>
      <c r="W125" s="83">
        <v>3.7914553671716537E-5</v>
      </c>
      <c r="X125" s="83">
        <v>29749961425173.836</v>
      </c>
      <c r="Y125" s="83">
        <v>3.2944747220007374E-5</v>
      </c>
      <c r="Z125" s="83">
        <v>30694488180460.227</v>
      </c>
      <c r="AA125" s="83">
        <v>3.3742683481324288E-5</v>
      </c>
      <c r="AB125" s="83">
        <v>24396360068788.125</v>
      </c>
      <c r="AC125" s="83">
        <v>2.7533676140345927E-5</v>
      </c>
      <c r="AD125" s="83">
        <v>20061967632947.187</v>
      </c>
      <c r="AE125" s="83">
        <v>2.2192111241382683E-5</v>
      </c>
    </row>
    <row r="126" spans="2:31" x14ac:dyDescent="0.2">
      <c r="B126" s="83">
        <v>60726005458266.883</v>
      </c>
      <c r="C126" s="83">
        <v>0</v>
      </c>
      <c r="D126" s="83">
        <v>51220079530429.102</v>
      </c>
      <c r="E126" s="83">
        <v>0</v>
      </c>
      <c r="F126" s="83">
        <v>61715697534738.594</v>
      </c>
      <c r="G126" s="83">
        <v>0</v>
      </c>
      <c r="H126" s="83">
        <v>55011949792600.672</v>
      </c>
      <c r="I126" s="83">
        <v>0</v>
      </c>
      <c r="J126" s="83">
        <v>44140889734629.375</v>
      </c>
      <c r="K126" s="83">
        <v>0</v>
      </c>
      <c r="L126" s="83">
        <v>42119732665514.687</v>
      </c>
      <c r="M126" s="83">
        <v>0</v>
      </c>
      <c r="N126" s="83">
        <v>36752414090408.977</v>
      </c>
      <c r="O126" s="83">
        <v>0</v>
      </c>
      <c r="P126" s="83">
        <v>31981500276191.844</v>
      </c>
      <c r="Q126" s="83">
        <v>0</v>
      </c>
      <c r="R126" s="83">
        <v>39002163191644.68</v>
      </c>
      <c r="S126" s="83">
        <v>0</v>
      </c>
      <c r="T126" s="83">
        <v>36195424673612.891</v>
      </c>
      <c r="U126" s="83">
        <v>0</v>
      </c>
      <c r="V126" s="83">
        <v>34351511861396.184</v>
      </c>
      <c r="W126" s="83">
        <v>0</v>
      </c>
      <c r="X126" s="83">
        <v>26108012693420.336</v>
      </c>
      <c r="Y126" s="83">
        <v>0</v>
      </c>
      <c r="Z126" s="83">
        <v>28978034873310.527</v>
      </c>
      <c r="AA126" s="83">
        <v>0</v>
      </c>
      <c r="AB126" s="83">
        <v>23353007757137.75</v>
      </c>
      <c r="AC126" s="83">
        <v>0</v>
      </c>
      <c r="AD126" s="83">
        <v>19832016491441.141</v>
      </c>
      <c r="AE126" s="83">
        <v>0</v>
      </c>
    </row>
    <row r="127" spans="2:31" x14ac:dyDescent="0.2">
      <c r="B127" s="83">
        <v>57006878314246.203</v>
      </c>
      <c r="C127" s="83">
        <v>0</v>
      </c>
      <c r="D127" s="83">
        <v>49570483757731.008</v>
      </c>
      <c r="E127" s="83">
        <v>0</v>
      </c>
      <c r="F127" s="83">
        <v>57714982833505.539</v>
      </c>
      <c r="G127" s="83">
        <v>0</v>
      </c>
      <c r="H127" s="83">
        <v>53220236068412.102</v>
      </c>
      <c r="I127" s="83">
        <v>0</v>
      </c>
      <c r="J127" s="83">
        <v>46878234993103.281</v>
      </c>
      <c r="K127" s="83">
        <v>0</v>
      </c>
      <c r="L127" s="83">
        <v>43191804879838.656</v>
      </c>
      <c r="M127" s="83">
        <v>0</v>
      </c>
      <c r="N127" s="83">
        <v>33459058369133.066</v>
      </c>
      <c r="O127" s="83">
        <v>0</v>
      </c>
      <c r="P127" s="83">
        <v>32670811700600.844</v>
      </c>
      <c r="Q127" s="83">
        <v>0</v>
      </c>
      <c r="R127" s="83">
        <v>38827783331530.031</v>
      </c>
      <c r="S127" s="83">
        <v>0</v>
      </c>
      <c r="T127" s="83">
        <v>33185413988282.121</v>
      </c>
      <c r="U127" s="83">
        <v>0</v>
      </c>
      <c r="V127" s="83">
        <v>33972623524081.035</v>
      </c>
      <c r="W127" s="83">
        <v>0</v>
      </c>
      <c r="X127" s="83">
        <v>28999925399937.73</v>
      </c>
      <c r="Y127" s="83">
        <v>0</v>
      </c>
      <c r="Z127" s="83">
        <v>28910704673927.914</v>
      </c>
      <c r="AA127" s="83">
        <v>0</v>
      </c>
      <c r="AB127" s="83">
        <v>23005307515587.473</v>
      </c>
      <c r="AC127" s="83">
        <v>0</v>
      </c>
      <c r="AD127" s="83">
        <v>16183594725932.227</v>
      </c>
      <c r="AE127" s="83">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123</vt:i4>
      </vt:variant>
    </vt:vector>
  </HeadingPairs>
  <TitlesOfParts>
    <vt:vector size="129" baseType="lpstr">
      <vt:lpstr>User</vt:lpstr>
      <vt:lpstr>Settings</vt:lpstr>
      <vt:lpstr>Summary</vt:lpstr>
      <vt:lpstr>Multi</vt:lpstr>
      <vt:lpstr>RawData</vt:lpstr>
      <vt:lpstr>Plots</vt:lpstr>
      <vt:lpstr>A_cal</vt:lpstr>
      <vt:lpstr>AccessSummary</vt:lpstr>
      <vt:lpstr>AccessSummaryFN</vt:lpstr>
      <vt:lpstr>Air_Voltage</vt:lpstr>
      <vt:lpstr>AirVoltageError</vt:lpstr>
      <vt:lpstr>AirVoltageRange</vt:lpstr>
      <vt:lpstr>AirVStdev</vt:lpstr>
      <vt:lpstr>AnalysisMode</vt:lpstr>
      <vt:lpstr>AnalysisModeErrorMsg</vt:lpstr>
      <vt:lpstr>AreaFrac</vt:lpstr>
      <vt:lpstr>Auger_Coefficient</vt:lpstr>
      <vt:lpstr>AugerModel</vt:lpstr>
      <vt:lpstr>AugerModelList</vt:lpstr>
      <vt:lpstr>AutoRescale</vt:lpstr>
      <vt:lpstr>AutoSummary</vt:lpstr>
      <vt:lpstr>B_cal</vt:lpstr>
      <vt:lpstr>BaseGainFlag</vt:lpstr>
      <vt:lpstr>BiasLight</vt:lpstr>
      <vt:lpstr>BiasPtCD</vt:lpstr>
      <vt:lpstr>C_cal</vt:lpstr>
      <vt:lpstr>C_wafer</vt:lpstr>
      <vt:lpstr>CorrectedResistivity</vt:lpstr>
      <vt:lpstr>CorrectedSheetRho</vt:lpstr>
      <vt:lpstr>CouplingMode</vt:lpstr>
      <vt:lpstr>cutoffflag</vt:lpstr>
      <vt:lpstr>Dark_Voltage</vt:lpstr>
      <vt:lpstr>DK</vt:lpstr>
      <vt:lpstr>DL</vt:lpstr>
      <vt:lpstr>ExcelAutosave</vt:lpstr>
      <vt:lpstr>ExcelSummary</vt:lpstr>
      <vt:lpstr>ExcelSummaryFN</vt:lpstr>
      <vt:lpstr>FirstPoint</vt:lpstr>
      <vt:lpstr>Fit_Range</vt:lpstr>
      <vt:lpstr>FitIntercept</vt:lpstr>
      <vt:lpstr>FitInterceptAuger</vt:lpstr>
      <vt:lpstr>FitRangeMax</vt:lpstr>
      <vt:lpstr>FitRangeMin</vt:lpstr>
      <vt:lpstr>FitSlope</vt:lpstr>
      <vt:lpstr>FitSlopeAuger</vt:lpstr>
      <vt:lpstr>flashWaitFlag</vt:lpstr>
      <vt:lpstr>HighTemp</vt:lpstr>
      <vt:lpstr>ImpliedVoc1sun</vt:lpstr>
      <vt:lpstr>InputResistivity</vt:lpstr>
      <vt:lpstr>InstrumentSN</vt:lpstr>
      <vt:lpstr>InstrumentType</vt:lpstr>
      <vt:lpstr>IsLogged</vt:lpstr>
      <vt:lpstr>Jo</vt:lpstr>
      <vt:lpstr>LifetimeTextLabel</vt:lpstr>
      <vt:lpstr>LightBiasErrorMsg</vt:lpstr>
      <vt:lpstr>LowTemp</vt:lpstr>
      <vt:lpstr>ltransientFlag</vt:lpstr>
      <vt:lpstr>MaxApparentCD</vt:lpstr>
      <vt:lpstr>MaxSuns</vt:lpstr>
      <vt:lpstr>MaxTauLimit</vt:lpstr>
      <vt:lpstr>MCDErrorMsg</vt:lpstr>
      <vt:lpstr>MeasDate</vt:lpstr>
      <vt:lpstr>MeasTime</vt:lpstr>
      <vt:lpstr>MeasureCmd</vt:lpstr>
      <vt:lpstr>MeasuredLifetime</vt:lpstr>
      <vt:lpstr>MeasuredLifetimeAuger</vt:lpstr>
      <vt:lpstr>MeasuredResistivity</vt:lpstr>
      <vt:lpstr>MeasureTempCmd</vt:lpstr>
      <vt:lpstr>MinApparentCD</vt:lpstr>
      <vt:lpstr>MinTauLimit</vt:lpstr>
      <vt:lpstr>MobilityModel</vt:lpstr>
      <vt:lpstr>mobilitymodelerror</vt:lpstr>
      <vt:lpstr>MobilityModelList</vt:lpstr>
      <vt:lpstr>Mode_List</vt:lpstr>
      <vt:lpstr>ntransientFlag</vt:lpstr>
      <vt:lpstr>numflashes</vt:lpstr>
      <vt:lpstr>numFlashesFlag</vt:lpstr>
      <vt:lpstr>NumFlashesInitial</vt:lpstr>
      <vt:lpstr>ONOFFList</vt:lpstr>
      <vt:lpstr>OptConst</vt:lpstr>
      <vt:lpstr>PassFailMsg</vt:lpstr>
      <vt:lpstr>PathName</vt:lpstr>
      <vt:lpstr>PC_ZoomIn</vt:lpstr>
      <vt:lpstr>PC_ZoomOut</vt:lpstr>
      <vt:lpstr>PCGainFlag</vt:lpstr>
      <vt:lpstr>PCRange</vt:lpstr>
      <vt:lpstr>PCRefRatio</vt:lpstr>
      <vt:lpstr>PCVoltageUpperBound</vt:lpstr>
      <vt:lpstr>PCVoltUpperBound</vt:lpstr>
      <vt:lpstr>PulseLength</vt:lpstr>
      <vt:lpstr>PulseLengthFlag</vt:lpstr>
      <vt:lpstr>QSSFlashDelay</vt:lpstr>
      <vt:lpstr>Ref_ZoomIn</vt:lpstr>
      <vt:lpstr>Ref_ZoomOut</vt:lpstr>
      <vt:lpstr>RefCellCal</vt:lpstr>
      <vt:lpstr>RefCellErrorMsg</vt:lpstr>
      <vt:lpstr>RefGainFlag</vt:lpstr>
      <vt:lpstr>RefRange</vt:lpstr>
      <vt:lpstr>RefVoltageUpperBound</vt:lpstr>
      <vt:lpstr>SampleDoping</vt:lpstr>
      <vt:lpstr>SampleNameUserSheet</vt:lpstr>
      <vt:lpstr>SampleType</vt:lpstr>
      <vt:lpstr>SheetResistance</vt:lpstr>
      <vt:lpstr>ShowUserForm</vt:lpstr>
      <vt:lpstr>SpecMCD</vt:lpstr>
      <vt:lpstr>SpecMCDminusTraps</vt:lpstr>
      <vt:lpstr>StepSize</vt:lpstr>
      <vt:lpstr>TauFitIntercept</vt:lpstr>
      <vt:lpstr>TauInvspecMCD</vt:lpstr>
      <vt:lpstr>Temperature</vt:lpstr>
      <vt:lpstr>TempScanAverage</vt:lpstr>
      <vt:lpstr>TextSummary</vt:lpstr>
      <vt:lpstr>TextSummaryFN</vt:lpstr>
      <vt:lpstr>TF_List</vt:lpstr>
      <vt:lpstr>TF_PassFail</vt:lpstr>
      <vt:lpstr>Thickness</vt:lpstr>
      <vt:lpstr>TimeofMaxCD</vt:lpstr>
      <vt:lpstr>TimeScaleFlags</vt:lpstr>
      <vt:lpstr>TNumTaus</vt:lpstr>
      <vt:lpstr>Tolerance</vt:lpstr>
      <vt:lpstr>TransFlashDelay</vt:lpstr>
      <vt:lpstr>Traps</vt:lpstr>
      <vt:lpstr>TSampleTime</vt:lpstr>
      <vt:lpstr>type_list</vt:lpstr>
      <vt:lpstr>ViewPoint</vt:lpstr>
      <vt:lpstr>VRangeList</vt:lpstr>
      <vt:lpstr>xferFlag</vt:lpstr>
      <vt:lpstr>ZeroInstrCmd</vt:lpstr>
      <vt:lpstr>ZeroInstTime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 Sinton</dc:creator>
  <cp:lastModifiedBy>Operator</cp:lastModifiedBy>
  <cp:lastPrinted>2012-01-16T22:35:25Z</cp:lastPrinted>
  <dcterms:created xsi:type="dcterms:W3CDTF">1998-06-23T16:13:05Z</dcterms:created>
  <dcterms:modified xsi:type="dcterms:W3CDTF">2015-02-21T01:23:30Z</dcterms:modified>
</cp:coreProperties>
</file>