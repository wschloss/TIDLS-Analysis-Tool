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xl/_rels/workbook.xml.rels" ContentType="application/vnd.openxmlformats-package.relationships+xml"/>
  <Override PartName="/xl/media/image1.png" ContentType="image/png"/>
  <Override PartName="/xl/worksheets/sheet6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_rels/sheet9.xml.rels" ContentType="application/vnd.openxmlformats-package.relationships+xml"/>
  <Override PartName="/xl/worksheets/sheet7.xml" ContentType="application/vnd.openxmlformats-officedocument.spreadsheetml.worksheet+xml"/>
  <Override PartName="/xl/worksheets/sheet4.xml" ContentType="application/vnd.openxmlformats-officedocument.spreadsheetml.worksheet+xml"/>
  <Override PartName="/xl/worksheets/sheet8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2.xml" ContentType="application/vnd.openxmlformats-officedocument.spreadsheetml.worksheet+xml"/>
  <Override PartName="/xl/charts/chart7.xml" ContentType="application/vnd.openxmlformats-officedocument.drawingml.chart+xml"/>
  <Override PartName="/xl/charts/chart4.xml" ContentType="application/vnd.openxmlformats-officedocument.drawingml.chart+xml"/>
  <Override PartName="/xl/charts/chart1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6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vmlDrawing1.vml" ContentType="application/vnd.openxmlformats-officedocument.vmlDrawing"/>
  <Override PartName="/xl/sharedStrings.xml" ContentType="application/vnd.openxmlformats-officedocument.spreadsheetml.sharedStrings+xml"/>
  <Override PartName="/xl/workbook.xml" ContentType="application/vnd.openxmlformats-officedocument.spreadsheetml.sheet.main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activeTab="8" firstSheet="0" showHorizontalScroll="true" showSheetTabs="true" showVerticalScroll="true" tabRatio="600" windowHeight="8192" windowWidth="16384" xWindow="0" yWindow="0"/>
  </bookViews>
  <sheets>
    <sheet name="User" sheetId="1" state="visible" r:id="rId2"/>
    <sheet name="Calc" sheetId="2" state="hidden" r:id="rId3"/>
    <sheet name="Settings" sheetId="3" state="visible" r:id="rId4"/>
    <sheet name="Summary" sheetId="4" state="visible" r:id="rId5"/>
    <sheet name="Multi" sheetId="5" state="visible" r:id="rId6"/>
    <sheet name="RawData" sheetId="6" state="visible" r:id="rId7"/>
    <sheet name="Command" sheetId="7" state="hidden" r:id="rId8"/>
    <sheet name="Module1" sheetId="8" state="hidden" r:id="rId9"/>
    <sheet name="Plots" sheetId="9" state="visible" r:id="rId10"/>
  </sheets>
  <definedNames>
    <definedName function="false" hidden="false" name="AccessSummary" vbProcedure="false">Settings!$E$6</definedName>
    <definedName function="false" hidden="false" name="AccessSummaryFN" vbProcedure="false">Settings!$F$6</definedName>
    <definedName function="false" hidden="false" name="AirVoltageError" vbProcedure="false">Calc!$R$4</definedName>
    <definedName function="false" hidden="false" name="AirVoltageRange" vbProcedure="false">Settings!$E$26</definedName>
    <definedName function="false" hidden="false" name="AirVStdev" vbProcedure="false">Settings!$O$15</definedName>
    <definedName function="false" hidden="false" name="Air_Voltage" vbProcedure="false">Settings!$C$10</definedName>
    <definedName function="false" hidden="false" name="AnalysisMode" vbProcedure="false">User!$H$6</definedName>
    <definedName function="false" hidden="false" name="AnalysisModeErrorMsg" vbProcedure="false">Calc!$T$1</definedName>
    <definedName function="false" hidden="false" name="AreaFrac" vbProcedure="false">Settings!$C$15</definedName>
    <definedName function="false" hidden="false" name="AugerModel" vbProcedure="false">Settings!$C$17</definedName>
    <definedName function="false" hidden="false" name="AugerModelList" vbProcedure="false">Command!$B$40:$B$41</definedName>
    <definedName function="false" hidden="false" name="Auger_Coefficient" vbProcedure="false">Settings!$C$13</definedName>
    <definedName function="false" hidden="false" name="AutoRescale" vbProcedure="false">Settings!$E$14</definedName>
    <definedName function="false" hidden="false" name="AutoSummary" vbProcedure="false">Settings!$E$7</definedName>
    <definedName function="false" hidden="false" name="AveInvTau" vbProcedure="false">calc!#ref!</definedName>
    <definedName function="false" hidden="false" name="A_cal" vbProcedure="false">Settings!$C$6</definedName>
    <definedName function="false" hidden="false" name="BandGapOption" vbProcedure="false">settings!#ref!</definedName>
    <definedName function="false" hidden="false" name="BaseGainFlag" vbProcedure="false">Command!$E$5</definedName>
    <definedName function="false" hidden="false" name="BiasLight" vbProcedure="false">User!$G$6</definedName>
    <definedName function="false" hidden="false" name="BiasPtCD" vbProcedure="false">Calc!$M$6</definedName>
    <definedName function="false" hidden="false" name="B_cal" vbProcedure="false">Settings!$C$7</definedName>
    <definedName function="false" hidden="false" name="CorrectedResistivity" vbProcedure="false">Calc!$AE$6</definedName>
    <definedName function="false" hidden="false" name="CorrectedSheetRho" vbProcedure="false">Calc!$AD$6</definedName>
    <definedName function="false" hidden="false" name="CouplingMode" vbProcedure="false">Settings!$C$14</definedName>
    <definedName function="false" hidden="false" name="cutoffflag" vbProcedure="false">Command!$E$13</definedName>
    <definedName function="false" hidden="false" name="C_cal" vbProcedure="false">Settings!$C$9</definedName>
    <definedName function="false" hidden="false" name="C_wafer" vbProcedure="false">Settings!$H$6</definedName>
    <definedName function="false" hidden="false" name="Dark_Voltage" vbProcedure="false">Calc!$A$6</definedName>
    <definedName function="false" hidden="false" name="DK" vbProcedure="false">Command!$B$46</definedName>
    <definedName function="false" hidden="false" name="DL" vbProcedure="false">Command!$B$47</definedName>
    <definedName function="false" hidden="false" name="ExcelAutosave" vbProcedure="false">Settings!$E$11</definedName>
    <definedName function="false" hidden="false" name="ExcelSummary" vbProcedure="false">Settings!$E$4</definedName>
    <definedName function="false" hidden="false" name="ExcelSummaryFN" vbProcedure="false">Settings!$F$4</definedName>
    <definedName function="false" hidden="false" name="FirstPoint" vbProcedure="false">Calc!$L$6</definedName>
    <definedName function="false" hidden="false" name="FitIntercept" vbProcedure="false">Calc!$Q$6</definedName>
    <definedName function="false" hidden="false" name="FitInterceptAuger" vbProcedure="false">Calc!$U$6</definedName>
    <definedName function="false" hidden="false" name="FitRangeMax" vbProcedure="false">Calc!$H$6</definedName>
    <definedName function="false" hidden="false" name="FitRangeMin" vbProcedure="false">Calc!$G$6</definedName>
    <definedName function="false" hidden="false" name="FitSlope" vbProcedure="false">Calc!$P$6</definedName>
    <definedName function="false" hidden="false" name="FitSlopeAuger" vbProcedure="false">Calc!$T$6</definedName>
    <definedName function="false" hidden="false" name="Fit_Range" vbProcedure="false">Settings!$C$16</definedName>
    <definedName function="false" hidden="false" name="flashWaitFlag" vbProcedure="false">Command!$E$10</definedName>
    <definedName function="false" hidden="false" name="HighTemp" vbProcedure="false">User!$M$6</definedName>
    <definedName function="false" hidden="false" name="ImpliedVoc1sun" vbProcedure="false">Calc!$AB$6</definedName>
    <definedName function="false" hidden="false" name="InputRangeAvg" vbProcedure="false">#ref!</definedName>
    <definedName function="false" hidden="false" name="InputRangeFit" vbProcedure="false">#ref!</definedName>
    <definedName function="false" hidden="false" name="InputRangeMCD" vbProcedure="false">#ref!</definedName>
    <definedName function="false" hidden="false" name="InputRangeMode" vbProcedure="false">#ref!</definedName>
    <definedName function="false" hidden="false" name="InputRangeOptConst" vbProcedure="false">#ref!</definedName>
    <definedName function="false" hidden="false" name="InputRangePC" vbProcedure="false">#ref!</definedName>
    <definedName function="false" hidden="false" name="InputRangeRef" vbProcedure="false">#ref!</definedName>
    <definedName function="false" hidden="false" name="InputRangeType" vbProcedure="false">#ref!</definedName>
    <definedName function="false" hidden="false" name="InputResCoverSheet" vbProcedure="false">#ref!</definedName>
    <definedName function="false" hidden="false" name="InputResistivity" vbProcedure="false">User!$C$6</definedName>
    <definedName function="false" hidden="false" name="InstrumentSN" vbProcedure="false">Settings!$C$4</definedName>
    <definedName function="false" hidden="false" name="InstrumentType" vbProcedure="false">Settings!$C$3</definedName>
    <definedName function="false" hidden="false" name="IsLogged" vbProcedure="false">User!$K$6</definedName>
    <definedName function="false" hidden="false" name="Jo" vbProcedure="false">Calc!$AA$6</definedName>
    <definedName function="false" hidden="false" name="LifetimeTextLabel" vbProcedure="false">Calc!$M$1</definedName>
    <definedName function="false" hidden="false" name="LightBiasErrorMsg" vbProcedure="false">Calc!$R$3</definedName>
    <definedName function="false" hidden="false" name="LowTemp" vbProcedure="false">User!$L$6</definedName>
    <definedName function="false" hidden="false" name="ltransientFlag" vbProcedure="false">Command!$E$7</definedName>
    <definedName function="false" hidden="false" name="MaxApparentCD" vbProcedure="false">Calc!$J$6</definedName>
    <definedName function="false" hidden="false" name="MaxSuns" vbProcedure="false">Calc!$F$6</definedName>
    <definedName function="false" hidden="false" name="MaxTauLimit" vbProcedure="false">Settings!$C$25</definedName>
    <definedName function="false" hidden="false" name="MCDErrorMsg" vbProcedure="false">Calc!$R$2</definedName>
    <definedName function="false" hidden="false" name="MeasDate" vbProcedure="false">Calc!$F$1</definedName>
    <definedName function="false" hidden="false" name="MeasTime" vbProcedure="false">Calc!$F$2</definedName>
    <definedName function="false" hidden="false" name="MeasureCmd" vbProcedure="false">Command!$H$4</definedName>
    <definedName function="false" hidden="false" name="MeasuredLifetime" vbProcedure="false">Calc!$R$6</definedName>
    <definedName function="false" hidden="false" name="MeasuredLifetimeAuger" vbProcedure="false">Calc!$V$6</definedName>
    <definedName function="false" hidden="false" name="MeasuredResistivity" vbProcedure="false">Calc!$C$6</definedName>
    <definedName function="false" hidden="false" name="MeasureTempCmd" vbProcedure="false">Command!$H$6</definedName>
    <definedName function="false" hidden="false" name="MinApparentCD" vbProcedure="false">Calc!$I$6</definedName>
    <definedName function="false" hidden="false" name="MinTauLimit" vbProcedure="false">Settings!$C$24</definedName>
    <definedName function="false" hidden="false" name="MobilityModel" vbProcedure="false">Settings!$C$18</definedName>
    <definedName function="false" hidden="false" name="mobilitymodelerror" vbProcedure="false">Calc!$T$2</definedName>
    <definedName function="false" hidden="false" name="MobilityModelList" vbProcedure="false">Command!$B$46:$B$47</definedName>
    <definedName function="false" hidden="false" name="Mode_List" vbProcedure="false">Command!$B$32:$B$35</definedName>
    <definedName function="false" hidden="false" name="ntransientFlag" vbProcedure="false">Command!$E$8</definedName>
    <definedName function="false" hidden="false" name="numflashes" vbProcedure="false">Command!$C$11</definedName>
    <definedName function="false" hidden="false" name="numFlashesFlag" vbProcedure="false">Command!$E$11</definedName>
    <definedName function="false" hidden="false" name="NumFlashesInitial" vbProcedure="false">Settings!$E$20</definedName>
    <definedName function="false" hidden="false" name="ONOFFList" vbProcedure="false">Command!$B$43:$B$44</definedName>
    <definedName function="false" hidden="false" name="OptConst" vbProcedure="false">User!$E$6</definedName>
    <definedName function="false" hidden="false" name="PassFailMsg" vbProcedure="false">Settings!$C$26</definedName>
    <definedName function="false" hidden="false" name="PathName" vbProcedure="false">Command!$H$3</definedName>
    <definedName function="false" hidden="false" name="PCGainFlag" vbProcedure="false">Command!$E$3</definedName>
    <definedName function="false" hidden="false" name="PCRange" vbProcedure="false">Command!$C$3</definedName>
    <definedName function="false" hidden="false" name="PCRefRatio" vbProcedure="false">Calc!$E$6</definedName>
    <definedName function="false" hidden="false" name="PCVoltageUpperBound" vbProcedure="false">Command!$C$17</definedName>
    <definedName function="false" hidden="false" name="PCVoltUpperBound" vbProcedure="false">Command!$C$17</definedName>
    <definedName function="false" hidden="false" name="PC_ZoomIn" vbProcedure="false">Command!$C$23</definedName>
    <definedName function="false" hidden="false" name="PC_ZoomOut" vbProcedure="false">Command!$C$22</definedName>
    <definedName function="false" hidden="false" name="PlotList" vbProcedure="false">command!#ref!</definedName>
    <definedName function="false" hidden="false" name="PulseLength" vbProcedure="false">Settings!$E$29</definedName>
    <definedName function="false" hidden="false" name="PulseLengthFlag" vbProcedure="false">Command!$E$6</definedName>
    <definedName function="false" hidden="false" name="QSSFlashDelay" vbProcedure="false">Settings!$E$21</definedName>
    <definedName function="false" hidden="false" name="RefCellCal" vbProcedure="false">Settings!$C$5</definedName>
    <definedName function="false" hidden="false" name="RefCellErrorMsg" vbProcedure="false">Calc!$R$1</definedName>
    <definedName function="false" hidden="false" name="RefGainFlag" vbProcedure="false">Command!$E$4</definedName>
    <definedName function="false" hidden="false" name="RefRange" vbProcedure="false">Command!$C$4</definedName>
    <definedName function="false" hidden="false" name="RefVoltageUpperBound" vbProcedure="false">Command!$E$17</definedName>
    <definedName function="false" hidden="false" name="Ref_ZoomIn" vbProcedure="false">Command!$E$23</definedName>
    <definedName function="false" hidden="false" name="Ref_ZoomOut" vbProcedure="false">Command!$E$22</definedName>
    <definedName function="false" hidden="false" name="SampleDoping" vbProcedure="false">Calc!$D$6</definedName>
    <definedName function="false" hidden="false" name="SampleInputType" vbProcedure="false">#ref!</definedName>
    <definedName function="false" hidden="false" name="SampleNameCoverSheet" vbProcedure="false">#ref!</definedName>
    <definedName function="false" hidden="false" name="SampleNameUserSheet" vbProcedure="false">User!$A$6</definedName>
    <definedName function="false" hidden="false" name="SampleType" vbProcedure="false">User!$D$6</definedName>
    <definedName function="false" hidden="false" name="SheetResistance" vbProcedure="false">Calc!$B$6</definedName>
    <definedName function="false" hidden="false" name="ShowUserForm" vbProcedure="false">Settings!$E$17</definedName>
    <definedName function="false" hidden="false" name="SpecMCD" vbProcedure="false">User!$F$6</definedName>
    <definedName function="false" hidden="false" name="SpecMCDminusTraps" vbProcedure="false">Calc!$O$6</definedName>
    <definedName function="false" hidden="false" name="StepSize" vbProcedure="false">User!$N$6</definedName>
    <definedName function="false" hidden="false" name="TauFitIntercept" vbProcedure="false">Calc!$Y$6</definedName>
    <definedName function="false" hidden="false" name="TauInvspecMCD" vbProcedure="false">Calc!$X$6</definedName>
    <definedName function="false" hidden="false" name="Temperature" vbProcedure="false">Calc!$F$3</definedName>
    <definedName function="false" hidden="false" name="TempScanAverage" vbProcedure="false">Settings!$E$23</definedName>
    <definedName function="false" hidden="false" name="TextSummary" vbProcedure="false">Settings!$E$5</definedName>
    <definedName function="false" hidden="false" name="TextSummaryFN" vbProcedure="false">Settings!$F$5</definedName>
    <definedName function="false" hidden="false" name="TF_List" vbProcedure="false">Command!$B$29:$B$30</definedName>
    <definedName function="false" hidden="false" name="TF_PassFail" vbProcedure="false">Settings!$C$23</definedName>
    <definedName function="false" hidden="false" name="Thickness" vbProcedure="false">User!$B$6</definedName>
    <definedName function="false" hidden="false" name="ThicknessCoverSheet" vbProcedure="false">#ref!</definedName>
    <definedName function="false" hidden="false" name="TimeofMaxCD" vbProcedure="false">Calc!$K$6</definedName>
    <definedName function="false" hidden="false" name="TimeScaleFlags" vbProcedure="false">Command!$H$7</definedName>
    <definedName function="false" hidden="false" name="TNumTaus" vbProcedure="false">Settings!$E$31</definedName>
    <definedName function="false" hidden="false" name="Tolerance" vbProcedure="false">User!$O$6</definedName>
    <definedName function="false" hidden="false" name="TransFlashDelay" vbProcedure="false">Settings!$E$22</definedName>
    <definedName function="false" hidden="false" name="Traps" vbProcedure="false">Calc!$N$6</definedName>
    <definedName function="false" hidden="false" name="TSampleTime" vbProcedure="false">Settings!$E$30</definedName>
    <definedName function="false" hidden="false" name="type_list" vbProcedure="false">Command!$B$37:$B$38</definedName>
    <definedName function="false" hidden="false" name="ViewPoint" vbProcedure="false">User!$I$2</definedName>
    <definedName function="false" hidden="false" name="VRangeList" vbProcedure="false">Command!$D$30:$D$37</definedName>
    <definedName function="false" hidden="false" name="xferFlag" vbProcedure="false">Command!$E$9</definedName>
    <definedName function="false" hidden="false" name="ZeroInstrCmd" vbProcedure="false">Command!$H$5</definedName>
    <definedName function="false" hidden="false" name="ZeroInstTime" vbProcedure="false">Settings!$O$17</definedName>
    <definedName function="false" hidden="false" localSheetId="1" name="solver_adj" vbProcedure="false">calc!#ref!,calc!#ref!</definedName>
    <definedName function="false" hidden="false" localSheetId="1" name="solver_drv" vbProcedure="false">1</definedName>
    <definedName function="false" hidden="false" localSheetId="1" name="solver_est" vbProcedure="false">1</definedName>
    <definedName function="false" hidden="false" localSheetId="1" name="solver_itr" vbProcedure="false">10</definedName>
    <definedName function="false" hidden="false" localSheetId="1" name="solver_lin" vbProcedure="false">1</definedName>
    <definedName function="false" hidden="false" localSheetId="1" name="solver_num" vbProcedure="false">0</definedName>
    <definedName function="false" hidden="false" localSheetId="1" name="solver_nwt" vbProcedure="false">1</definedName>
    <definedName function="false" hidden="false" localSheetId="1" name="solver_opt" vbProcedure="false">calc!#ref!</definedName>
    <definedName function="false" hidden="false" localSheetId="1" name="solver_pre" vbProcedure="false">0.001</definedName>
    <definedName function="false" hidden="false" localSheetId="1" name="solver_scl" vbProcedure="false">2</definedName>
    <definedName function="false" hidden="false" localSheetId="1" name="solver_sho" vbProcedure="false">2</definedName>
    <definedName function="false" hidden="false" localSheetId="1" name="solver_tim" vbProcedure="false">30</definedName>
    <definedName function="false" hidden="false" localSheetId="1" name="solver_tol" vbProcedure="false">0.05</definedName>
    <definedName function="false" hidden="false" localSheetId="1" name="solver_typ" vbProcedure="false">2</definedName>
    <definedName function="false" hidden="false" localSheetId="1" name="solver_val" vbProcedure="false">0</definedName>
    <definedName function="true" hidden="false" name="Module5.ZeroInstrumentButton_Click" vbProcedure="true"/>
    <definedName function="true" hidden="false" name="Module5.MeasureButton_Click" vbProcedure="true"/>
    <definedName function="true" hidden="false" name="Module5.LogToSummaryButton_Click" vbProcedure="true"/>
    <definedName function="true" hidden="false" name="Module5.SaveGraphtoTextButton_Click" vbProcedure="true"/>
    <definedName function="true" hidden="false" name="Module5.TempScanButton_Click" vbProcedure="true"/>
    <definedName function="true" hidden="false" name="Module1.RescaleInverse" vbProcedure="true"/>
    <definedName function="true" hidden="false" name="Module1.RescaleLifetime" vbProcedure="true"/>
    <definedName function="true" hidden="false" name="Module1.Spinner122_Change" vbProcedure="true"/>
  </definedNames>
  <calcPr iterateCount="100" refMode="A1" iterate="false" iterateDelta="0.0001"/>
</workbook>
</file>

<file path=xl/comments3.xml><?xml version="1.0" encoding="utf-8"?>
<comments xmlns="http://schemas.openxmlformats.org/spreadsheetml/2006/main" xmlns:xdr="http://schemas.openxmlformats.org/drawingml/2006/spreadsheetDrawing">
  <authors>
    <author/>
  </authors>
  <commentList>
    <comment authorId="0" ref="F4">
      <text>
        <r>
          <rPr>
            <rFont val="Tahoma"/>
            <charset val="1"/>
            <family val="2"/>
            <b val="true"/>
            <color rgb="FF000000"/>
            <sz val="8"/>
          </rPr>
          <t xml:space="preserve">Save summary of measurement of to Excel summary File.  Location can be specified as file path, otherwise default is to save to same location as measurement file.</t>
        </r>
      </text>
    </comment>
    <comment authorId="0" ref="F5">
      <text>
        <r>
          <rPr>
            <rFont val="Tahoma"/>
            <charset val="1"/>
            <family val="2"/>
            <b val="true"/>
            <color rgb="FF000000"/>
            <sz val="8"/>
          </rPr>
          <t xml:space="preserve">Save summary of measurement of to Text File.  Location can be specified as file path, otherwise default is to save to same location as measurement file.</t>
        </r>
      </text>
    </comment>
    <comment authorId="0" ref="F6">
      <text>
        <r>
          <rPr>
            <rFont val="Tahoma"/>
            <charset val="1"/>
            <family val="2"/>
            <b val="true"/>
            <color rgb="FF000000"/>
            <sz val="8"/>
          </rPr>
          <t xml:space="preserve">Save summary of measurement of to Access Database.  Location can be specified as file path, otherwise default is to save to same location as measurement file.</t>
        </r>
      </text>
    </comment>
  </commentList>
</comments>
</file>

<file path=xl/sharedStrings.xml><?xml version="1.0" encoding="utf-8"?>
<sst xmlns="http://schemas.openxmlformats.org/spreadsheetml/2006/main" count="4517" uniqueCount="390">
  <si>
    <t>Wafer Lifetime Measurement Software</t>
  </si>
  <si>
    <t>Version</t>
  </si>
  <si>
    <t>4.6.0TS</t>
  </si>
  <si>
    <t>© Sinton Instruments 2014</t>
  </si>
  <si>
    <t>Sample Parameters</t>
  </si>
  <si>
    <t>Analysis Parameters</t>
  </si>
  <si>
    <t>Measurement Details</t>
  </si>
  <si>
    <t>Temperature Scan Parameters</t>
  </si>
  <si>
    <t>Sample Name</t>
  </si>
  <si>
    <t>Wafer Thickness (cm)</t>
  </si>
  <si>
    <t>Resistivity (Ω-cm)</t>
  </si>
  <si>
    <t>Sample Type</t>
  </si>
  <si>
    <t>Optical Constant</t>
  </si>
  <si>
    <r>
      <t xml:space="preserve">Specified MCD (cm</t>
    </r>
    <r>
      <rPr>
        <rFont val="Calibri"/>
        <charset val="1"/>
        <family val="2"/>
        <b val="true"/>
        <sz val="12"/>
        <vertAlign val="superscript"/>
      </rPr>
      <t xml:space="preserve">-3</t>
    </r>
    <r>
      <rPr>
        <rFont val="Calibri"/>
        <charset val="1"/>
        <family val="2"/>
        <b val="true"/>
        <sz val="12"/>
      </rPr>
      <t xml:space="preserve">)</t>
    </r>
  </si>
  <si>
    <t>Bias Light (suns)</t>
  </si>
  <si>
    <t>Analysis Mode</t>
  </si>
  <si>
    <t>Date</t>
  </si>
  <si>
    <t>Time</t>
  </si>
  <si>
    <t>Log to Summary</t>
  </si>
  <si>
    <t>Low Temp (⁰C)</t>
  </si>
  <si>
    <t>High Temp (⁰C)</t>
  </si>
  <si>
    <t>Step Size (⁰C)</t>
  </si>
  <si>
    <t>Tolerance (⁰C)</t>
  </si>
  <si>
    <t>Fe_1102_01-34</t>
  </si>
  <si>
    <t>p-type</t>
  </si>
  <si>
    <t>Generalized (1/1)</t>
  </si>
  <si>
    <t>Logged</t>
  </si>
  <si>
    <t>Results of Measurement</t>
  </si>
  <si>
    <t> </t>
  </si>
  <si>
    <t>Error Messages</t>
  </si>
  <si>
    <t>Lifetime at Spec. MCD (µs)</t>
  </si>
  <si>
    <r>
      <t xml:space="preserve">Corected Sheet Resistance (</t>
    </r>
    <r>
      <rPr>
        <rFont val="Calibri"/>
        <charset val="1"/>
        <family val="2"/>
        <sz val="10"/>
      </rPr>
      <t xml:space="preserve">Ω</t>
    </r>
    <r>
      <rPr>
        <rFont val="Calibri"/>
        <charset val="1"/>
        <family val="2"/>
        <b val="true"/>
        <sz val="10"/>
      </rPr>
      <t xml:space="preserve">/sq)</t>
    </r>
  </si>
  <si>
    <r>
      <t xml:space="preserve">Corrected Resistivity (</t>
    </r>
    <r>
      <rPr>
        <rFont val="Calibri"/>
        <charset val="1"/>
        <family val="2"/>
        <sz val="12"/>
      </rPr>
      <t xml:space="preserve">Ω</t>
    </r>
    <r>
      <rPr>
        <rFont val="Calibri"/>
        <charset val="1"/>
        <family val="2"/>
        <b val="true"/>
        <sz val="12"/>
      </rPr>
      <t xml:space="preserve">-cm)</t>
    </r>
  </si>
  <si>
    <r>
      <t xml:space="preserve">J0 (A/cm</t>
    </r>
    <r>
      <rPr>
        <rFont val="Calibri"/>
        <charset val="1"/>
        <family val="2"/>
        <b val="true"/>
        <sz val="12"/>
        <vertAlign val="superscript"/>
      </rPr>
      <t xml:space="preserve">2</t>
    </r>
    <r>
      <rPr>
        <rFont val="Calibri"/>
        <charset val="1"/>
        <family val="2"/>
        <b val="true"/>
        <sz val="12"/>
      </rPr>
      <t xml:space="preserve">)</t>
    </r>
  </si>
  <si>
    <t>Fit Intercept (µs)</t>
  </si>
  <si>
    <r>
      <t xml:space="preserve">Min MCD (cm</t>
    </r>
    <r>
      <rPr>
        <rFont val="Calibri"/>
        <charset val="1"/>
        <family val="2"/>
        <b val="true"/>
        <sz val="12"/>
        <vertAlign val="superscript"/>
      </rPr>
      <t xml:space="preserve">-3</t>
    </r>
    <r>
      <rPr>
        <rFont val="Calibri"/>
        <charset val="1"/>
        <family val="2"/>
        <b val="true"/>
        <sz val="12"/>
      </rPr>
      <t xml:space="preserve">)</t>
    </r>
  </si>
  <si>
    <r>
      <t xml:space="preserve">Max MCD (cm</t>
    </r>
    <r>
      <rPr>
        <rFont val="Calibri"/>
        <charset val="1"/>
        <family val="2"/>
        <b val="true"/>
        <sz val="12"/>
        <vertAlign val="superscript"/>
      </rPr>
      <t xml:space="preserve">-3</t>
    </r>
    <r>
      <rPr>
        <rFont val="Calibri"/>
        <charset val="1"/>
        <family val="2"/>
        <b val="true"/>
        <sz val="12"/>
      </rPr>
      <t xml:space="preserve">)</t>
    </r>
  </si>
  <si>
    <r>
      <t xml:space="preserve">Bias point CD (cm</t>
    </r>
    <r>
      <rPr>
        <rFont val="Calibri"/>
        <charset val="1"/>
        <family val="2"/>
        <b val="true"/>
        <sz val="12"/>
        <vertAlign val="superscript"/>
      </rPr>
      <t xml:space="preserve">-3</t>
    </r>
    <r>
      <rPr>
        <rFont val="Calibri"/>
        <charset val="1"/>
        <family val="2"/>
        <b val="true"/>
        <sz val="12"/>
      </rPr>
      <t xml:space="preserve">)</t>
    </r>
  </si>
  <si>
    <r>
      <t xml:space="preserve">Trap Density (cm</t>
    </r>
    <r>
      <rPr>
        <rFont val="Calibri"/>
        <charset val="1"/>
        <family val="2"/>
        <b val="true"/>
        <sz val="12"/>
        <vertAlign val="superscript"/>
      </rPr>
      <t xml:space="preserve">-3</t>
    </r>
    <r>
      <rPr>
        <rFont val="Calibri"/>
        <charset val="1"/>
        <family val="2"/>
        <b val="true"/>
        <sz val="12"/>
      </rPr>
      <t xml:space="preserve">)</t>
    </r>
  </si>
  <si>
    <r>
      <t xml:space="preserve">Doping
 (cm</t>
    </r>
    <r>
      <rPr>
        <rFont val="Calibri"/>
        <charset val="1"/>
        <family val="2"/>
        <b val="true"/>
        <sz val="12"/>
        <vertAlign val="superscript"/>
      </rPr>
      <t xml:space="preserve">-3</t>
    </r>
    <r>
      <rPr>
        <rFont val="Calibri"/>
        <charset val="1"/>
        <family val="2"/>
        <b val="true"/>
        <sz val="12"/>
      </rPr>
      <t xml:space="preserve">)</t>
    </r>
  </si>
  <si>
    <t>1 sun Implied Voc (V)</t>
  </si>
  <si>
    <r>
      <t xml:space="preserve">Temp (</t>
    </r>
    <r>
      <rPr>
        <rFont val="Calibri"/>
        <charset val="1"/>
        <family val="2"/>
        <b val="true"/>
        <sz val="12"/>
        <vertAlign val="superscript"/>
      </rPr>
      <t xml:space="preserve">o</t>
    </r>
    <r>
      <rPr>
        <rFont val="Calibri"/>
        <charset val="1"/>
        <family val="2"/>
        <b val="true"/>
        <sz val="12"/>
      </rPr>
      <t xml:space="preserve">C) </t>
    </r>
  </si>
  <si>
    <t>DC</t>
  </si>
  <si>
    <t>Lifetime Data Acquisition and Analysis</t>
  </si>
  <si>
    <t>Spec MCD</t>
  </si>
  <si>
    <t>Lifetime</t>
  </si>
  <si>
    <t>µs</t>
  </si>
  <si>
    <t>Sat. Ref Cell</t>
  </si>
  <si>
    <t>Text Labels</t>
  </si>
  <si>
    <r>
      <t xml:space="preserve">cm</t>
    </r>
    <r>
      <rPr>
        <rFont val="Calibri"/>
        <charset val="1"/>
        <family val="2"/>
        <sz val="10"/>
        <vertAlign val="superscript"/>
      </rPr>
      <t xml:space="preserve">-3</t>
    </r>
  </si>
  <si>
    <t>MCD out of Range</t>
  </si>
  <si>
    <t>Mobility Model</t>
  </si>
  <si>
    <t>Temperature</t>
  </si>
  <si>
    <t>Max Valid MCD</t>
  </si>
  <si>
    <t>Light Bias out of Range</t>
  </si>
  <si>
    <t>Instrument Calibration</t>
  </si>
  <si>
    <t>Dark Voltage</t>
  </si>
  <si>
    <t>Sheet rho Ohms/sq</t>
  </si>
  <si>
    <t>Resistivity Ohm-cm</t>
  </si>
  <si>
    <t>Doping (cm-3)</t>
  </si>
  <si>
    <t>PC/Ref</t>
  </si>
  <si>
    <t>Max suns</t>
  </si>
  <si>
    <t>Fit Range Min</t>
  </si>
  <si>
    <t>Fit Range Max</t>
  </si>
  <si>
    <t>Min Apparent CD</t>
  </si>
  <si>
    <t>Max Apparent CD</t>
  </si>
  <si>
    <t>Time of Max Apparent CD </t>
  </si>
  <si>
    <t>PC at Time of Max Apparent CD </t>
  </si>
  <si>
    <t>"Carrier density" at bias point</t>
  </si>
  <si>
    <t>Traps (equiv e-h pairs)</t>
  </si>
  <si>
    <t>SpecMCD - Traps</t>
  </si>
  <si>
    <t>1/Tau Fit Slope</t>
  </si>
  <si>
    <t>1/Tau Fit Intercept</t>
  </si>
  <si>
    <t>Tau @ specMCD (μs)</t>
  </si>
  <si>
    <t>Tau @ specMCD (s)</t>
  </si>
  <si>
    <t>1/Tau (auger corrected) Fit Slope</t>
  </si>
  <si>
    <t>1/Tau (auger corrected) Fit Intercept</t>
  </si>
  <si>
    <t>Tau (corrected) @ specMCD (µs)</t>
  </si>
  <si>
    <t>Tau (corrected) @ specMCD (s)</t>
  </si>
  <si>
    <t>1/Tau (corrected) @ specMCD</t>
  </si>
  <si>
    <r>
      <t xml:space="preserve">Tau fit (µs) (intercept @ -N</t>
    </r>
    <r>
      <rPr>
        <rFont val="Calibri"/>
        <charset val="1"/>
        <family val="2"/>
        <b val="true"/>
        <sz val="10"/>
        <vertAlign val="subscript"/>
      </rPr>
      <t xml:space="preserve">A</t>
    </r>
    <r>
      <rPr>
        <rFont val="Calibri"/>
        <charset val="1"/>
        <family val="2"/>
        <b val="true"/>
        <sz val="10"/>
      </rPr>
      <t xml:space="preserve">)</t>
    </r>
  </si>
  <si>
    <r>
      <t xml:space="preserve">ni</t>
    </r>
    <r>
      <rPr>
        <rFont val="Calibri"/>
        <charset val="1"/>
        <family val="2"/>
        <b val="true"/>
        <sz val="10"/>
        <vertAlign val="superscript"/>
      </rPr>
      <t xml:space="preserve">2</t>
    </r>
    <r>
      <rPr>
        <rFont val="Calibri"/>
        <charset val="1"/>
        <family val="2"/>
        <b val="true"/>
        <sz val="10"/>
      </rPr>
      <t xml:space="preserve">/tau fit slope</t>
    </r>
  </si>
  <si>
    <t>If h-l-i data, then Jo (A/cm2)</t>
  </si>
  <si>
    <t>Implied Voc @ 1 sun</t>
  </si>
  <si>
    <t>MCD at 0.6V Ref Cell</t>
  </si>
  <si>
    <t>Corrected ShtRho</t>
  </si>
  <si>
    <t>Corrected Res</t>
  </si>
  <si>
    <t>Time in s</t>
  </si>
  <si>
    <t>Photovoltage</t>
  </si>
  <si>
    <t>Reference Voltage</t>
  </si>
  <si>
    <t>PCD with baseline shift.</t>
  </si>
  <si>
    <t>Ref (suns)</t>
  </si>
  <si>
    <t>Delta Suns</t>
  </si>
  <si>
    <t>Generation (pairs/s)</t>
  </si>
  <si>
    <t>Conductivity increase</t>
  </si>
  <si>
    <t>Apparent CD</t>
  </si>
  <si>
    <t>Apparent CD In Range</t>
  </si>
  <si>
    <t>Delta N</t>
  </si>
  <si>
    <t>dn/dt</t>
  </si>
  <si>
    <t>Suns near bias point</t>
  </si>
  <si>
    <t>CD near bias point</t>
  </si>
  <si>
    <t>Minority Carrier Density</t>
  </si>
  <si>
    <t>Tau (sec)</t>
  </si>
  <si>
    <t>Tau In Range</t>
  </si>
  <si>
    <t>1/Tau in Range</t>
  </si>
  <si>
    <t>1/Tau Corrected</t>
  </si>
  <si>
    <t>1/Tau corrected in Range</t>
  </si>
  <si>
    <t>1/Tau Fit (auger corrected)</t>
  </si>
  <si>
    <t>ni</t>
  </si>
  <si>
    <t>ni2/tau</t>
  </si>
  <si>
    <t>Implied Voc</t>
  </si>
  <si>
    <t>Implied Suns</t>
  </si>
  <si>
    <t>MCD for Ref Cell&gt;0.6V</t>
  </si>
  <si>
    <t>Temp</t>
  </si>
  <si>
    <t>Undoped ohm/sq</t>
  </si>
  <si>
    <t>Undoped Cond</t>
  </si>
  <si>
    <t>Polynomial Fit</t>
  </si>
  <si>
    <t>Mobility</t>
  </si>
  <si>
    <t>Flag marking autoexit</t>
  </si>
  <si>
    <t> true</t>
  </si>
  <si>
    <t>Flag for automatic flash</t>
  </si>
  <si>
    <t> false</t>
  </si>
  <si>
    <t>Gain last used on channel 3</t>
  </si>
  <si>
    <t>Gain last used on channel 2</t>
  </si>
  <si>
    <t>Gain last used on channel 1</t>
  </si>
  <si>
    <t>Gain last used on channel 0</t>
  </si>
  <si>
    <t>Maximum value measured on channel 3</t>
  </si>
  <si>
    <t>Maximum value measured on channel 2</t>
  </si>
  <si>
    <t>Maximum value measured on channel 1</t>
  </si>
  <si>
    <t>Maximum value measured on channel 0</t>
  </si>
  <si>
    <t>Number of points to transfer to Excel</t>
  </si>
  <si>
    <t>Pulse length in us</t>
  </si>
  <si>
    <t>Data frequency in us</t>
  </si>
  <si>
    <t>Frequency of AD-conversions</t>
  </si>
  <si>
    <t>Timeout in ms</t>
  </si>
  <si>
    <t>Trigger level in volts</t>
  </si>
  <si>
    <t>Dark voltage average value</t>
  </si>
  <si>
    <t>Flag for dark voltage subtraction</t>
  </si>
  <si>
    <t>Flag for refcell normalization</t>
  </si>
  <si>
    <t>Flag for photoconductance normalization</t>
  </si>
  <si>
    <t>Time in us for measuring baseline mean</t>
  </si>
  <si>
    <t>Time in s between flashes</t>
  </si>
  <si>
    <t>Gain used for baseline measurement on ch 1</t>
  </si>
  <si>
    <t>Gain used for thermocouple measurement on ch 0</t>
  </si>
  <si>
    <t>Thickness</t>
  </si>
  <si>
    <t>Do autoscale gains</t>
  </si>
  <si>
    <t>[Analysis parameters]</t>
  </si>
  <si>
    <t>Use lifetime limits</t>
  </si>
  <si>
    <t>Low lifetime limit</t>
  </si>
  <si>
    <t>High lifetime limit</t>
  </si>
  <si>
    <t>Use resistivity limits</t>
  </si>
  <si>
    <t>Low resistivity limit</t>
  </si>
  <si>
    <t>High resistivity limit</t>
  </si>
  <si>
    <t>Use trapping limits</t>
  </si>
  <si>
    <t>Low trapping limit</t>
  </si>
  <si>
    <t>High trapping limit</t>
  </si>
  <si>
    <t>Pass wafer on timeout</t>
  </si>
  <si>
    <t>TTL LOW width</t>
  </si>
  <si>
    <t>TTL HIGH width</t>
  </si>
  <si>
    <t>Transmission fraction</t>
  </si>
  <si>
    <t>Light bias</t>
  </si>
  <si>
    <t>Wafer width</t>
  </si>
  <si>
    <t>MCD to evaluate tau</t>
  </si>
  <si>
    <t>Fit range</t>
  </si>
  <si>
    <t>User-input resistivity</t>
  </si>
  <si>
    <t>Analysis type (0:QSS, 1:Trans, 2:Gen)</t>
  </si>
  <si>
    <t>Dopant type (0:p, 1:n)</t>
  </si>
  <si>
    <t>Use fixed density (0:yes, 1:no)</t>
  </si>
  <si>
    <t>Percent of max N</t>
  </si>
  <si>
    <t>Coupling_channel_0</t>
  </si>
  <si>
    <t>Coupling_channel_1</t>
  </si>
  <si>
    <t>Use_linear_divisions</t>
  </si>
  <si>
    <t>Auger_coef_used</t>
  </si>
  <si>
    <t>Plot_type_left_graph</t>
  </si>
  <si>
    <t>Plot_type_right_graph</t>
  </si>
  <si>
    <t>Right_graph_x_min</t>
  </si>
  <si>
    <t>Right_graph_x_max</t>
  </si>
  <si>
    <t>Right_graph_left_y_min</t>
  </si>
  <si>
    <t>Right_graph_left_y_max</t>
  </si>
  <si>
    <t>Right_graph_right_y_min</t>
  </si>
  <si>
    <t>Right_graph_right_y_max</t>
  </si>
  <si>
    <t>Left_graph_x_min</t>
  </si>
  <si>
    <t>Left_graph_x_max</t>
  </si>
  <si>
    <t>Left_graph_left_y_min</t>
  </si>
  <si>
    <t>Left_graph_left_y_max</t>
  </si>
  <si>
    <t>Left_graph_right_y_min</t>
  </si>
  <si>
    <t>Left_graph_right_y_max</t>
  </si>
  <si>
    <t>[Communications]</t>
  </si>
  <si>
    <t>Use database</t>
  </si>
  <si>
    <t>Database location</t>
  </si>
  <si>
    <t> 1.0default</t>
  </si>
  <si>
    <t>Semaphore location</t>
  </si>
  <si>
    <t>Autosave full data</t>
  </si>
  <si>
    <t>Autosave (full data) location</t>
  </si>
  <si>
    <t>Autosave stats</t>
  </si>
  <si>
    <t>Autosave (stats) location</t>
  </si>
  <si>
    <t>Autosave id (0:date, 1:lot)</t>
  </si>
  <si>
    <t>File suffix</t>
  </si>
  <si>
    <t>File suffix for lotIDs</t>
  </si>
  <si>
    <t>Current date string</t>
  </si>
  <si>
    <t>Current lot ID</t>
  </si>
  <si>
    <t>Current lot start index</t>
  </si>
  <si>
    <t>Current lot end index</t>
  </si>
  <si>
    <t>Current recipe name</t>
  </si>
  <si>
    <t>Default_recipe_path</t>
  </si>
  <si>
    <t>[Instrument constants]</t>
  </si>
  <si>
    <t>Refcell constant</t>
  </si>
  <si>
    <t>Cal const A</t>
  </si>
  <si>
    <t>Cal const B</t>
  </si>
  <si>
    <t>Cal const C</t>
  </si>
  <si>
    <t>Area fraction</t>
  </si>
  <si>
    <t>Primary refcell constant</t>
  </si>
  <si>
    <t>Secondary refcell constant</t>
  </si>
  <si>
    <t>Index_of_flashmode</t>
  </si>
  <si>
    <t>Summary Log Settings</t>
  </si>
  <si>
    <t>Instument Type</t>
  </si>
  <si>
    <t>WCT-120TS</t>
  </si>
  <si>
    <t>When user clicks on Summary button, send the results to the following files</t>
  </si>
  <si>
    <t>Baseline Air Voltage Measurements</t>
  </si>
  <si>
    <t>Serial Number</t>
  </si>
  <si>
    <t>14-127027</t>
  </si>
  <si>
    <t>C:\SintonInstruments\LifetimeSummaryData\summary.xlsm</t>
  </si>
  <si>
    <t>Ref cell (V/sun)</t>
  </si>
  <si>
    <t>C:\SintonInstruments\LifetimeSummaryData\summary.txt</t>
  </si>
  <si>
    <t>A</t>
  </si>
  <si>
    <t>C:\SintonInstruments\LifetimeSummaryData\summary.accdb</t>
  </si>
  <si>
    <t>B</t>
  </si>
  <si>
    <t>automatically Log results to specified summary files after each measurement</t>
  </si>
  <si>
    <t>Offset = Air-C</t>
  </si>
  <si>
    <t>C</t>
  </si>
  <si>
    <t>Air Voltage</t>
  </si>
  <si>
    <t>Autosave Settings</t>
  </si>
  <si>
    <t>Automatically save file after each measurement</t>
  </si>
  <si>
    <t>Analysis Parameters\Settings</t>
  </si>
  <si>
    <t>Auger Coefficient</t>
  </si>
  <si>
    <t>Rescale Setting</t>
  </si>
  <si>
    <t>Coupling Mode</t>
  </si>
  <si>
    <t>dc</t>
  </si>
  <si>
    <t>Automatically Rescale Graphs after each measurement</t>
  </si>
  <si>
    <t>Air Voltage Stdev</t>
  </si>
  <si>
    <t>Illuminated Area Fraction</t>
  </si>
  <si>
    <t>Fit Range</t>
  </si>
  <si>
    <t>Show Taking Data Window Setting</t>
  </si>
  <si>
    <t>Date and Time of Last "Zero Instrument"</t>
  </si>
  <si>
    <t>Auger Model</t>
  </si>
  <si>
    <t>Sinton</t>
  </si>
  <si>
    <t>Show the Taking Data window during measurement</t>
  </si>
  <si>
    <t>Dorkel/ Leturcq</t>
  </si>
  <si>
    <t>Averaging Settings</t>
  </si>
  <si>
    <t>Number of Flashes to average (initial value)</t>
  </si>
  <si>
    <t>Delay between flashes QSS/Generalized (1/1) (sec) </t>
  </si>
  <si>
    <t>Acceptance Parameters</t>
  </si>
  <si>
    <t>Delay between flashes Transient/Generalized (1/64) (sec) </t>
  </si>
  <si>
    <t>Enable Pass/Fail Message</t>
  </si>
  <si>
    <t>Number of Flashes to average during temperature scan</t>
  </si>
  <si>
    <t>Minimum Lifetime (us)</t>
  </si>
  <si>
    <t>Maximum Lifetime (us)</t>
  </si>
  <si>
    <t>Baseline Voltage Range</t>
  </si>
  <si>
    <t>Pass or Fail</t>
  </si>
  <si>
    <t>Air Voltage Input Range (Volts +/-)</t>
  </si>
  <si>
    <t>Data Acquisition Time Scale Settings</t>
  </si>
  <si>
    <t>QSS/Generalized (1/1) Mode Acquisition Time (µs)</t>
  </si>
  <si>
    <t>Transient/Generalized (1/64) Mode Total Acquisition Time (µs)</t>
  </si>
  <si>
    <t>Transient/Generalized (1/64) Mode # of Taus Beyond 150mV </t>
  </si>
  <si>
    <t>Measurement Date</t>
  </si>
  <si>
    <t>Measurement Time</t>
  </si>
  <si>
    <t>Temp (C) </t>
  </si>
  <si>
    <t>Thickness (cm)</t>
  </si>
  <si>
    <r>
      <t xml:space="preserve">Wafer Doping (cm</t>
    </r>
    <r>
      <rPr>
        <rFont val="Calibri"/>
        <charset val="1"/>
        <family val="2"/>
        <b val="true"/>
        <sz val="8"/>
        <vertAlign val="superscript"/>
      </rPr>
      <t xml:space="preserve">-3</t>
    </r>
    <r>
      <rPr>
        <rFont val="Calibri"/>
        <charset val="1"/>
        <family val="2"/>
        <b val="true"/>
        <sz val="8"/>
      </rPr>
      <t xml:space="preserve">)</t>
    </r>
  </si>
  <si>
    <t>Specified MCD</t>
  </si>
  <si>
    <t>Light Bias (Suns)</t>
  </si>
  <si>
    <t>Lifetime at Spec. MCD</t>
  </si>
  <si>
    <t>Jo (A/cm2) 25 C</t>
  </si>
  <si>
    <t>Tau fit  @ -NA</t>
  </si>
  <si>
    <t>Ohms/sq</t>
  </si>
  <si>
    <t>Ohm-cm</t>
  </si>
  <si>
    <t>Corrected Ohms/sq</t>
  </si>
  <si>
    <t>Corrected Ohm-cm</t>
  </si>
  <si>
    <t>Max Suns</t>
  </si>
  <si>
    <t>Traps</t>
  </si>
  <si>
    <t>Max MCD</t>
  </si>
  <si>
    <t>1 Sun Implied Voc</t>
  </si>
  <si>
    <t>Ref Cell Cal Const</t>
  </si>
  <si>
    <t>Calibration A</t>
  </si>
  <si>
    <t>Calibration B</t>
  </si>
  <si>
    <t>Calibration C</t>
  </si>
  <si>
    <t>Instrument Serial Number</t>
  </si>
  <si>
    <t>The row above (row 2) is copied to summary.xlsm when the user presses the "log data to summary" button.</t>
  </si>
  <si>
    <t>Change row 2 to control what gets sent to the summary file</t>
  </si>
  <si>
    <t>The headings in row 1 are for reference and have no effect on program operation</t>
  </si>
  <si>
    <t>Row 10 is for updating an access database File Summary.mdb The names below must match the column headings in the db file.</t>
  </si>
  <si>
    <t>For both text files and database files only that data that has a heading below gets updates (see manual for more details)</t>
  </si>
  <si>
    <t>Name</t>
  </si>
  <si>
    <t>Width</t>
  </si>
  <si>
    <t>Doping</t>
  </si>
  <si>
    <t>OptConst</t>
  </si>
  <si>
    <t>SpecMCD</t>
  </si>
  <si>
    <t>BiasLight</t>
  </si>
  <si>
    <t>Analysis</t>
  </si>
  <si>
    <t>J0</t>
  </si>
  <si>
    <t>TauFit</t>
  </si>
  <si>
    <t>Ohmsqr</t>
  </si>
  <si>
    <t>Ohmcm</t>
  </si>
  <si>
    <t>CorrOhmSq</t>
  </si>
  <si>
    <t>CorrOhmcm</t>
  </si>
  <si>
    <t>MaxSuns</t>
  </si>
  <si>
    <t>MaxMCD</t>
  </si>
  <si>
    <t>1SunImpVoc</t>
  </si>
  <si>
    <t>RefCellCal</t>
  </si>
  <si>
    <t>Acal</t>
  </si>
  <si>
    <t>Bcal</t>
  </si>
  <si>
    <t>Ccal</t>
  </si>
  <si>
    <t>InstrumentSN</t>
  </si>
  <si>
    <t>Fe_1102_01-1</t>
  </si>
  <si>
    <t>Fe_1102_01-2</t>
  </si>
  <si>
    <t>Fe_1102_01-3</t>
  </si>
  <si>
    <t>Fe_1102_01-4</t>
  </si>
  <si>
    <t>Fe_1102_01-5</t>
  </si>
  <si>
    <t>Fe_1102_01-6</t>
  </si>
  <si>
    <t>Fe_1102_01-7</t>
  </si>
  <si>
    <t>Fe_1102_01-8</t>
  </si>
  <si>
    <t>Fe_1102_01-9</t>
  </si>
  <si>
    <t>Fe_1102_01-10</t>
  </si>
  <si>
    <t>Fe_1102_01-11</t>
  </si>
  <si>
    <t>Fe_1102_01-12</t>
  </si>
  <si>
    <t>Fe_1102_01-13</t>
  </si>
  <si>
    <t>Fe_1102_01-14</t>
  </si>
  <si>
    <t>Fe_1102_01-15</t>
  </si>
  <si>
    <t>Fe_1102_01-16</t>
  </si>
  <si>
    <t>Fe_1102_01-17</t>
  </si>
  <si>
    <t>Fe_1102_01-18</t>
  </si>
  <si>
    <t>Fe_1102_01-19</t>
  </si>
  <si>
    <t>Fe_1102_01-20</t>
  </si>
  <si>
    <t>Fe_1102_01-21</t>
  </si>
  <si>
    <t>Fe_1102_01-22</t>
  </si>
  <si>
    <t>Fe_1102_01-23</t>
  </si>
  <si>
    <t>Fe_1102_01-24</t>
  </si>
  <si>
    <t>Fe_1102_01-25</t>
  </si>
  <si>
    <t>Fe_1102_01-26</t>
  </si>
  <si>
    <t>Fe_1102_01-27</t>
  </si>
  <si>
    <t>Fe_1102_01-28</t>
  </si>
  <si>
    <t>Fe_1102_01-29</t>
  </si>
  <si>
    <t>Fe_1102_01-30</t>
  </si>
  <si>
    <t>Fe_1102_01-31</t>
  </si>
  <si>
    <t>Fe_1102_01-32</t>
  </si>
  <si>
    <t>Fe_1102_01-33</t>
  </si>
  <si>
    <t>Time (s)</t>
  </si>
  <si>
    <t>1/Tau corrected</t>
  </si>
  <si>
    <t>Parameter</t>
  </si>
  <si>
    <t>Value</t>
  </si>
  <si>
    <t>Gain Setting</t>
  </si>
  <si>
    <t>Flag String</t>
  </si>
  <si>
    <t>pcgain</t>
  </si>
  <si>
    <t>Path name</t>
  </si>
  <si>
    <t>C:\lifetime\lifetime.exe /subbase=2 /basetime_us=20000</t>
  </si>
  <si>
    <t>refgain</t>
  </si>
  <si>
    <t>Measure Command</t>
  </si>
  <si>
    <t>basegain</t>
  </si>
  <si>
    <t>Cal Command</t>
  </si>
  <si>
    <t>Pulse Length</t>
  </si>
  <si>
    <t>Temp Command</t>
  </si>
  <si>
    <t>C:\lifetime\lifetime.exe /temponly=true /switchedTCgain=2</t>
  </si>
  <si>
    <t>Sample Time</t>
  </si>
  <si>
    <t>Time Scale Flags</t>
  </si>
  <si>
    <t># of taus beyond 150mV</t>
  </si>
  <si>
    <t>xfer</t>
  </si>
  <si>
    <t>time between flashes</t>
  </si>
  <si>
    <t>num flashes for averaging</t>
  </si>
  <si>
    <t>Air Voltage (ZeroCoil)</t>
  </si>
  <si>
    <t>Cutoff</t>
  </si>
  <si>
    <t>Raw Data Graph Points</t>
  </si>
  <si>
    <t>PC Gain</t>
  </si>
  <si>
    <t>Ref Gain</t>
  </si>
  <si>
    <t>Upper Bound</t>
  </si>
  <si>
    <t>Lower Bound</t>
  </si>
  <si>
    <t>Lower Bound Percentage</t>
  </si>
  <si>
    <t>Zoom Indicators</t>
  </si>
  <si>
    <t>Max Voltage</t>
  </si>
  <si>
    <t>Signal Clipped (Zoom Out)</t>
  </si>
  <si>
    <t>Signal Low (Zoom In)</t>
  </si>
  <si>
    <t>Selection Options</t>
  </si>
  <si>
    <t>Voltage Range (V)</t>
  </si>
  <si>
    <t>Generalized (1/64)</t>
  </si>
  <si>
    <t>QSS</t>
  </si>
  <si>
    <t>Transient</t>
  </si>
  <si>
    <t>n-type</t>
  </si>
  <si>
    <t>Richter</t>
  </si>
  <si>
    <t>ON</t>
  </si>
  <si>
    <t>OFF</t>
  </si>
  <si>
    <t>Dannhauser/ Krausse</t>
  </si>
</sst>
</file>

<file path=xl/styles.xml><?xml version="1.0" encoding="utf-8"?>
<styleSheet xmlns="http://schemas.openxmlformats.org/spreadsheetml/2006/main">
  <numFmts count="23">
    <numFmt formatCode="GENERAL" numFmtId="164"/>
    <numFmt formatCode="@" numFmtId="165"/>
    <numFmt formatCode="M/D/YYYY" numFmtId="166"/>
    <numFmt formatCode="D\-MMM" numFmtId="167"/>
    <numFmt formatCode="0.0" numFmtId="168"/>
    <numFmt formatCode="0.00" numFmtId="169"/>
    <numFmt formatCode="0.0E+00" numFmtId="170"/>
    <numFmt formatCode="0" numFmtId="171"/>
    <numFmt formatCode="H:MM:SS" numFmtId="172"/>
    <numFmt formatCode="0.00E+00" numFmtId="173"/>
    <numFmt formatCode="0.000" numFmtId="174"/>
    <numFmt formatCode="0.00000" numFmtId="175"/>
    <numFmt formatCode="0" numFmtId="176"/>
    <numFmt formatCode="GENERAL" numFmtId="177"/>
    <numFmt formatCode="0.00" numFmtId="178"/>
    <numFmt formatCode="0.00E+00" numFmtId="179"/>
    <numFmt formatCode="H:MM:SS\ AM/PM" numFmtId="180"/>
    <numFmt formatCode="0.0000" numFmtId="181"/>
    <numFmt formatCode="0.000E+00" numFmtId="182"/>
    <numFmt formatCode="0.00E+000" numFmtId="183"/>
    <numFmt formatCode="0%" numFmtId="184"/>
    <numFmt formatCode="M/D/YYYY\ H:MM" numFmtId="185"/>
    <numFmt formatCode="DD\-MMM\-YY" numFmtId="186"/>
  </numFmts>
  <fonts count="49">
    <font>
      <name val="Arial"/>
      <charset val="1"/>
      <family val="2"/>
      <sz val="10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true"/>
      <sz val="10"/>
    </font>
    <font>
      <name val="Arial"/>
      <charset val="1"/>
      <family val="2"/>
      <b val="true"/>
      <sz val="10"/>
    </font>
    <font>
      <name val="Arial"/>
      <charset val="1"/>
      <family val="2"/>
      <b val="true"/>
      <sz val="12"/>
    </font>
    <font>
      <name val="Calibri"/>
      <charset val="1"/>
      <family val="2"/>
      <b val="true"/>
      <sz val="12"/>
      <vertAlign val="superscript"/>
    </font>
    <font>
      <name val="Calibri"/>
      <charset val="1"/>
      <family val="2"/>
      <b val="true"/>
      <sz val="12"/>
    </font>
    <font>
      <name val="Arial"/>
      <charset val="1"/>
      <family val="2"/>
      <b val="true"/>
      <sz val="9"/>
    </font>
    <font>
      <name val="Arial"/>
      <charset val="1"/>
      <family val="2"/>
      <b val="true"/>
      <color rgb="FF2004EC"/>
      <sz val="12"/>
    </font>
    <font>
      <name val="Arial"/>
      <charset val="1"/>
      <family val="2"/>
      <b val="true"/>
      <color rgb="FF2004EC"/>
      <sz val="11"/>
    </font>
    <font>
      <name val="Arial"/>
      <charset val="1"/>
      <family val="2"/>
      <b val="true"/>
      <color rgb="FFFF0000"/>
      <sz val="12"/>
    </font>
    <font>
      <name val="Calibri"/>
      <charset val="1"/>
      <family val="2"/>
      <sz val="10"/>
    </font>
    <font>
      <name val="Calibri"/>
      <charset val="1"/>
      <family val="2"/>
      <sz val="12"/>
    </font>
    <font>
      <name val="Arial"/>
      <charset val="1"/>
      <family val="2"/>
      <b val="true"/>
      <color rgb="FFFF0000"/>
      <sz val="11"/>
    </font>
    <font>
      <name val="Arial"/>
      <charset val="1"/>
      <family val="2"/>
      <b val="true"/>
      <sz val="20"/>
    </font>
    <font>
      <name val="Arial"/>
      <charset val="1"/>
      <family val="2"/>
      <color rgb="FF00B050"/>
      <sz val="20"/>
    </font>
    <font>
      <name val="Calibri"/>
      <family val="2"/>
      <b val="true"/>
      <color rgb="FF000000"/>
      <sz val="18"/>
    </font>
    <font>
      <name val="Calibri"/>
      <family val="2"/>
      <b val="true"/>
      <color rgb="FF000000"/>
      <sz val="10"/>
    </font>
    <font>
      <name val="Calibri"/>
      <family val="2"/>
      <b val="true"/>
      <color rgb="FF000000"/>
      <sz val="12"/>
    </font>
    <font>
      <name val="Calibri"/>
      <family val="2"/>
      <b val="true"/>
      <color rgb="FF2004EC"/>
      <sz val="10"/>
    </font>
    <font>
      <name val="Calibri"/>
      <family val="2"/>
      <b val="true"/>
      <color rgb="FF2004EC"/>
      <sz val="12"/>
    </font>
    <font>
      <name val="Calibri"/>
      <family val="2"/>
      <color rgb="FF000000"/>
      <sz val="10"/>
    </font>
    <font>
      <name val="Calibri"/>
      <family val="2"/>
      <b val="true"/>
      <color rgb="FFFF0000"/>
      <sz val="10"/>
    </font>
    <font>
      <name val="Calibri"/>
      <family val="2"/>
      <b val="true"/>
      <color rgb="FFFF0000"/>
      <sz val="12"/>
    </font>
    <font>
      <name val="Calibri"/>
      <family val="2"/>
      <b val="true"/>
      <color rgb="FF000000"/>
      <sz val="14"/>
    </font>
    <font>
      <name val="Arial"/>
      <family val="2"/>
      <b val="true"/>
      <color rgb="FF000000"/>
      <sz val="8.75"/>
    </font>
    <font>
      <name val="Arial"/>
      <family val="2"/>
      <b val="true"/>
      <color rgb="FF000000"/>
      <sz val="8"/>
    </font>
    <font>
      <name val="Arial"/>
      <family val="2"/>
      <b val="true"/>
      <color rgb="FF0000FF"/>
      <sz val="8"/>
    </font>
    <font>
      <name val="Arial"/>
      <family val="2"/>
      <b val="true"/>
      <color rgb="FF0000FF"/>
      <sz val="9.75"/>
    </font>
    <font>
      <name val="Arial"/>
      <family val="2"/>
      <color rgb="FF000000"/>
      <sz val="7"/>
    </font>
    <font>
      <name val="Arial"/>
      <family val="2"/>
      <b val="true"/>
      <color rgb="FFFF0000"/>
      <sz val="8"/>
    </font>
    <font>
      <name val="Arial"/>
      <family val="2"/>
      <b val="true"/>
      <color rgb="FFFF0000"/>
      <sz val="9.75"/>
    </font>
    <font>
      <name val="Arial"/>
      <charset val="1"/>
      <family val="0"/>
      <b val="true"/>
      <color rgb="FF000000"/>
      <sz val="10"/>
    </font>
    <font>
      <name val="Calibri"/>
      <charset val="1"/>
      <family val="2"/>
      <sz val="10"/>
      <vertAlign val="superscript"/>
    </font>
    <font>
      <name val="Calibri"/>
      <charset val="1"/>
      <family val="2"/>
      <b val="true"/>
      <sz val="10"/>
      <vertAlign val="subscript"/>
    </font>
    <font>
      <name val="Calibri"/>
      <charset val="1"/>
      <family val="2"/>
      <b val="true"/>
      <sz val="10"/>
      <vertAlign val="superscript"/>
    </font>
    <font>
      <name val="Arial"/>
      <charset val="1"/>
      <family val="2"/>
      <color rgb="FF558ED5"/>
      <sz val="10"/>
    </font>
    <font>
      <name val="Arial"/>
      <charset val="1"/>
      <family val="2"/>
      <b val="true"/>
      <sz val="11"/>
    </font>
    <font>
      <name val="Arial"/>
      <charset val="1"/>
      <family val="2"/>
      <b val="true"/>
      <color rgb="FF2004EC"/>
      <sz val="10"/>
    </font>
    <font>
      <name val="Arial"/>
      <charset val="1"/>
      <family val="2"/>
      <b val="true"/>
      <color rgb="FFFF0000"/>
      <sz val="10"/>
    </font>
    <font>
      <name val="Arial"/>
      <charset val="1"/>
      <family val="2"/>
      <b val="true"/>
      <color rgb="FF000000"/>
      <sz val="10"/>
    </font>
    <font>
      <name val="Arial"/>
      <charset val="1"/>
      <family val="2"/>
      <b val="true"/>
      <sz val="8"/>
    </font>
    <font>
      <name val="Tahoma"/>
      <charset val="1"/>
      <family val="2"/>
      <b val="true"/>
      <color rgb="FF000000"/>
      <sz val="8"/>
    </font>
    <font>
      <name val="Calibri"/>
      <charset val="1"/>
      <family val="2"/>
      <b val="true"/>
      <sz val="8"/>
      <vertAlign val="superscript"/>
    </font>
    <font>
      <name val="Calibri"/>
      <charset val="1"/>
      <family val="2"/>
      <b val="true"/>
      <sz val="8"/>
    </font>
    <font>
      <name val="Arial"/>
      <charset val="1"/>
      <family val="2"/>
      <b val="true"/>
      <color rgb="FF0000FF"/>
      <sz val="10"/>
    </font>
    <font>
      <name val="Arial"/>
      <charset val="1"/>
      <family val="2"/>
      <color rgb="FFC00000"/>
      <sz val="10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D9D9D9"/>
        <bgColor rgb="FFD7E4BD"/>
      </patternFill>
    </fill>
    <fill>
      <patternFill patternType="solid">
        <fgColor rgb="FF632523"/>
        <bgColor rgb="FF403152"/>
      </patternFill>
    </fill>
    <fill>
      <patternFill patternType="solid">
        <fgColor rgb="FFC00000"/>
        <bgColor rgb="FF9C0006"/>
      </patternFill>
    </fill>
    <fill>
      <patternFill patternType="solid">
        <fgColor rgb="FFFF0000"/>
        <bgColor rgb="FFC00000"/>
      </patternFill>
    </fill>
    <fill>
      <patternFill patternType="solid">
        <fgColor rgb="FFE46C0A"/>
        <bgColor rgb="FFF79646"/>
      </patternFill>
    </fill>
    <fill>
      <patternFill patternType="solid">
        <fgColor rgb="FFF79646"/>
        <bgColor rgb="FFFF8080"/>
      </patternFill>
    </fill>
    <fill>
      <patternFill patternType="solid">
        <fgColor rgb="FFFAC090"/>
        <bgColor rgb="FFFFC7CE"/>
      </patternFill>
    </fill>
    <fill>
      <patternFill patternType="solid">
        <fgColor rgb="FFFFFF00"/>
        <bgColor rgb="FFFFFF00"/>
      </patternFill>
    </fill>
    <fill>
      <patternFill patternType="solid">
        <fgColor rgb="FFD7E4BD"/>
        <bgColor rgb="FFD9D9D9"/>
      </patternFill>
    </fill>
    <fill>
      <patternFill patternType="solid">
        <fgColor rgb="FF92D050"/>
        <bgColor rgb="FFD7E4BD"/>
      </patternFill>
    </fill>
    <fill>
      <patternFill patternType="solid">
        <fgColor rgb="FF00B050"/>
        <bgColor rgb="FF008080"/>
      </patternFill>
    </fill>
    <fill>
      <patternFill patternType="solid">
        <fgColor rgb="FF00B0F0"/>
        <bgColor rgb="FF33CCCC"/>
      </patternFill>
    </fill>
    <fill>
      <patternFill patternType="solid">
        <fgColor rgb="FF558ED5"/>
        <bgColor rgb="FF878787"/>
      </patternFill>
    </fill>
    <fill>
      <patternFill patternType="solid">
        <fgColor rgb="FF0070C0"/>
        <bgColor rgb="FF008080"/>
      </patternFill>
    </fill>
    <fill>
      <patternFill patternType="solid">
        <fgColor rgb="FF7030A0"/>
        <bgColor rgb="FF993366"/>
      </patternFill>
    </fill>
    <fill>
      <patternFill patternType="solid">
        <fgColor rgb="FF403152"/>
        <bgColor rgb="FF333399"/>
      </patternFill>
    </fill>
  </fills>
  <borders count="15">
    <border diagonalDown="false" diagonalUp="false">
      <left/>
      <right/>
      <top/>
      <bottom/>
      <diagonal/>
    </border>
    <border diagonalDown="false" diagonalUp="false">
      <left style="thick"/>
      <right/>
      <top style="thick"/>
      <bottom style="thick"/>
      <diagonal/>
    </border>
    <border diagonalDown="false" diagonalUp="false">
      <left/>
      <right/>
      <top style="thick"/>
      <bottom style="thick"/>
      <diagonal/>
    </border>
    <border diagonalDown="false" diagonalUp="false">
      <left/>
      <right style="thick"/>
      <top style="thick"/>
      <bottom style="thick"/>
      <diagonal/>
    </border>
    <border diagonalDown="false" diagonalUp="false">
      <left/>
      <right style="thick"/>
      <top style="thick"/>
      <bottom/>
      <diagonal/>
    </border>
    <border diagonalDown="false" diagonalUp="false">
      <left style="thick"/>
      <right/>
      <top style="thick"/>
      <bottom/>
      <diagonal/>
    </border>
    <border diagonalDown="false" diagonalUp="false">
      <left/>
      <right/>
      <top style="thick"/>
      <bottom/>
      <diagonal/>
    </border>
    <border diagonalDown="false" diagonalUp="false">
      <left style="thick"/>
      <right/>
      <top/>
      <bottom style="thick"/>
      <diagonal/>
    </border>
    <border diagonalDown="false" diagonalUp="false">
      <left/>
      <right/>
      <top/>
      <bottom style="thick"/>
      <diagonal/>
    </border>
    <border diagonalDown="false" diagonalUp="false">
      <left/>
      <right style="thick"/>
      <top/>
      <bottom style="thick"/>
      <diagonal/>
    </border>
    <border diagonalDown="false" diagonalUp="false">
      <left style="thick"/>
      <right style="thick"/>
      <top style="thick"/>
      <bottom style="thick"/>
      <diagonal/>
    </border>
    <border diagonalDown="false" diagonalUp="false">
      <left style="thick"/>
      <right style="thick"/>
      <top style="thick"/>
      <bottom/>
      <diagonal/>
    </border>
    <border diagonalDown="false" diagonalUp="false">
      <left style="thick"/>
      <right style="thick"/>
      <top/>
      <bottom/>
      <diagonal/>
    </border>
    <border diagonalDown="false" diagonalUp="false">
      <left style="thick"/>
      <right/>
      <top/>
      <bottom/>
      <diagonal/>
    </border>
    <border diagonalDown="false" diagonalUp="false">
      <left/>
      <right style="thick"/>
      <top/>
      <bottom/>
      <diagonal/>
    </border>
  </borders>
  <cellStyleXfs count="21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</cellStyleXfs>
  <cellXfs count="279">
    <xf applyAlignment="false" applyBorder="false" applyFont="fals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4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4" xfId="0">
      <alignment horizontal="center" indent="0" shrinkToFit="false" textRotation="0" vertical="bottom" wrapText="true"/>
      <protection hidden="false" locked="true"/>
    </xf>
    <xf applyAlignment="false" applyBorder="false" applyFont="true" applyProtection="true" borderId="0" fillId="0" fontId="5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6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4" xfId="0">
      <alignment horizontal="center" indent="0" shrinkToFit="false" textRotation="0" vertical="top" wrapText="true"/>
      <protection hidden="false" locked="true"/>
    </xf>
    <xf applyAlignment="false" applyBorder="true" applyFont="true" applyProtection="true" borderId="0" fillId="0" fontId="6" numFmtId="164" xfId="0">
      <alignment horizontal="general" indent="0" shrinkToFit="false" textRotation="0" vertical="bottom" wrapText="false"/>
      <protection hidden="false" locked="false"/>
    </xf>
    <xf applyAlignment="false" applyBorder="true" applyFont="true" applyProtection="false" borderId="0" fillId="0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0" fillId="0" fontId="5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5" xfId="0">
      <alignment horizontal="left" indent="0" shrinkToFit="false" textRotation="0" vertical="bottom" wrapText="false"/>
      <protection hidden="false" locked="true"/>
    </xf>
    <xf applyAlignment="true" applyBorder="true" applyFont="true" applyProtection="true" borderId="0" fillId="2" fontId="5" numFmtId="164" xfId="0">
      <alignment horizontal="left" indent="0" shrinkToFit="false" textRotation="0" vertical="bottom" wrapText="false"/>
      <protection hidden="false" locked="true"/>
    </xf>
    <xf applyAlignment="false" applyBorder="true" applyFont="true" applyProtection="true" borderId="0" fillId="2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6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4" xfId="0">
      <alignment horizontal="center" indent="0" shrinkToFit="false" textRotation="0" vertical="bottom" wrapText="false"/>
      <protection hidden="false" locked="true"/>
    </xf>
    <xf applyAlignment="false" applyBorder="true" applyFont="true" applyProtection="true" borderId="0" fillId="0" fontId="5" numFmtId="167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2" fontId="6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0" fillId="2" fontId="6" numFmtId="164" xfId="0">
      <alignment horizontal="left" indent="0" shrinkToFit="false" textRotation="0" vertical="bottom" wrapText="false"/>
      <protection hidden="false" locked="true"/>
    </xf>
    <xf applyAlignment="false" applyBorder="true" applyFont="true" applyProtection="false" borderId="0" fillId="0" fontId="6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1" fillId="3" fontId="6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2" fillId="3" fontId="6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3" fillId="3" fontId="6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2" fillId="3" fontId="6" numFmtId="167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4" fillId="3" fontId="6" numFmtId="167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5" fillId="3" fontId="9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6" fillId="3" fontId="9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4" fillId="3" fontId="9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7" fillId="0" fontId="10" numFmtId="167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8" fillId="0" fontId="10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8" fillId="0" fontId="10" numFmtId="168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9" fillId="0" fontId="10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1" fillId="0" fontId="10" numFmtId="169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2" fillId="0" fontId="10" numFmtId="170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2" fillId="0" fontId="10" numFmtId="171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3" fillId="2" fontId="11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2" fillId="0" fontId="6" numFmtId="166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0" fontId="6" numFmtId="172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0" fontId="6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1" fillId="0" fontId="10" numFmtId="171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3" fillId="0" fontId="10" numFmtId="169" xfId="0">
      <alignment horizontal="center" indent="0" shrinkToFit="false" textRotation="0" vertical="bottom" wrapText="false"/>
      <protection hidden="false" locked="false"/>
    </xf>
    <xf applyAlignment="false" applyBorder="true" applyFont="tru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0" fillId="2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0" fillId="2" fontId="5" numFmtId="164" xfId="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0" fontId="12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2" fillId="3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2" fillId="3" fontId="6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10" fillId="0" fontId="15" numFmtId="164" xfId="0">
      <alignment horizontal="center" indent="0" shrinkToFit="false" textRotation="0" vertical="center" wrapText="true"/>
      <protection hidden="false" locked="true"/>
    </xf>
    <xf applyAlignment="true" applyBorder="true" applyFont="true" applyProtection="true" borderId="1" fillId="0" fontId="6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0" fontId="6" numFmtId="168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0" fontId="6" numFmtId="169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2" fillId="0" fontId="6" numFmtId="173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0" fontId="6" numFmtId="170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0" fontId="6" numFmtId="17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0" fontId="6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10" fillId="0" fontId="16" numFmtId="164" xfId="0">
      <alignment horizontal="center" indent="0" shrinkToFit="false" textRotation="0" vertical="center" wrapText="false"/>
      <protection hidden="false" locked="true"/>
    </xf>
    <xf applyAlignment="true" applyBorder="true" applyFont="true" applyProtection="false" borderId="10" fillId="2" fontId="17" numFmtId="164" xfId="0">
      <alignment horizontal="center" indent="0" shrinkToFit="false" textRotation="0" vertical="center" wrapText="false"/>
      <protection hidden="false" locked="true"/>
    </xf>
    <xf applyAlignment="true" applyBorder="true" applyFont="tru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true" borderId="0" fillId="0" fontId="0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0" fillId="0" fontId="5" numFmtId="164" xfId="0">
      <alignment horizontal="general" indent="0" shrinkToFit="false" textRotation="0" vertical="bottom" wrapText="true"/>
      <protection hidden="false" locked="true"/>
    </xf>
    <xf applyAlignment="false" applyBorder="true" applyFont="true" applyProtection="true" borderId="0" fillId="0" fontId="0" numFmtId="167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0" numFmtId="170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0" numFmtId="169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5" numFmtId="170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0" fillId="0" fontId="5" numFmtId="169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5" numFmtId="164" xfId="0">
      <alignment horizontal="right" indent="0" shrinkToFit="false" textRotation="0" vertical="bottom" wrapText="false"/>
      <protection hidden="false" locked="true"/>
    </xf>
    <xf applyAlignment="false" applyBorder="false" applyFont="true" applyProtection="false" borderId="0" fillId="0" fontId="5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5" numFmtId="173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3" fontId="13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6" numFmtId="164" xfId="0">
      <alignment horizontal="left" indent="0" shrinkToFit="false" textRotation="0" vertical="bottom" wrapText="false"/>
      <protection hidden="false" locked="false"/>
    </xf>
    <xf applyAlignment="true" applyBorder="true" applyFont="true" applyProtection="true" borderId="0" fillId="3" fontId="0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10" fillId="4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10" fillId="3" fontId="0" numFmtId="166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5" numFmtId="167" xfId="0">
      <alignment horizontal="center" indent="0" shrinkToFit="false" textRotation="0" vertical="bottom" wrapText="false"/>
      <protection hidden="false" locked="false"/>
    </xf>
    <xf applyAlignment="true" applyBorder="false" applyFont="true" applyProtection="false" borderId="0" fillId="3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false" borderId="10" fillId="3" fontId="0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true" borderId="10" fillId="3" fontId="0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0" fillId="3" fontId="5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10" fillId="4" fontId="0" numFmtId="167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10" fillId="3" fontId="0" numFmtId="180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66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10" fillId="3" fontId="0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80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true" borderId="0" fillId="3" fontId="5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10" fillId="3" fontId="0" numFmtId="164" xfId="0">
      <alignment horizontal="left" indent="0" shrinkToFit="false" textRotation="0" vertical="bottom" wrapText="false"/>
      <protection hidden="false" locked="false"/>
    </xf>
    <xf applyAlignment="true" applyBorder="true" applyFont="true" applyProtection="false" borderId="0" fillId="3" fontId="5" numFmtId="173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1" fillId="4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2" fillId="4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2" fillId="4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3" fillId="4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1" fillId="3" fontId="0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2" fillId="3" fontId="0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69" xfId="0">
      <alignment horizontal="center" indent="0" shrinkToFit="false" textRotation="0" vertical="bottom" wrapText="true"/>
      <protection hidden="false" locked="false"/>
    </xf>
    <xf applyAlignment="true" applyBorder="true" applyFont="true" applyProtection="true" borderId="2" fillId="3" fontId="0" numFmtId="173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2" fillId="3" fontId="0" numFmtId="181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70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73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73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82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68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2" fillId="3" fontId="0" numFmtId="17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8" fillId="3" fontId="0" numFmtId="170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8" fillId="3" fontId="0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9" fillId="3" fontId="0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73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70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69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71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64" xfId="0">
      <alignment horizontal="left" indent="0" shrinkToFit="false" textRotation="0" vertical="bottom" wrapText="false"/>
      <protection hidden="false" locked="false"/>
    </xf>
    <xf applyAlignment="true" applyBorder="true" applyFont="true" applyProtection="true" borderId="0" fillId="3" fontId="0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1" fillId="4" fontId="5" numFmtId="166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2" fillId="4" fontId="5" numFmtId="172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3" fillId="4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0" fillId="3" fontId="38" numFmtId="173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0" fillId="3" fontId="38" numFmtId="181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0" fillId="3" fontId="0" numFmtId="181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0" fillId="3" fontId="0" numFmtId="169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0" fillId="3" fontId="0" numFmtId="173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0" fillId="3" fontId="0" numFmtId="182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73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73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0" numFmtId="171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0" fillId="3" fontId="0" numFmtId="169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74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83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38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true" borderId="0" fillId="3" fontId="38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0" fillId="3" fontId="38" numFmtId="173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38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38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0" fillId="3" fontId="38" numFmtId="164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0" fillId="3" fontId="38" numFmtId="164" xfId="0">
      <alignment horizontal="left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38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0" fillId="3" fontId="38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0" fillId="3" fontId="0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0" fillId="3" fontId="0" numFmtId="173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0" fillId="3" fontId="38" numFmtId="167" xfId="0">
      <alignment horizontal="left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70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68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38" numFmtId="164" xfId="0">
      <alignment horizontal="left" indent="0" shrinkToFit="false" textRotation="0" vertical="bottom" wrapText="false"/>
      <protection hidden="false" locked="true"/>
    </xf>
    <xf applyAlignment="true" applyBorder="false" applyFont="true" applyProtection="false" borderId="0" fillId="3" fontId="38" numFmtId="164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38" numFmtId="164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38" numFmtId="173" xfId="0">
      <alignment horizontal="center" indent="0" shrinkToFit="false" textRotation="0" vertical="bottom" wrapText="false"/>
      <protection hidden="false" locked="true"/>
    </xf>
    <xf applyAlignment="false" applyBorder="true" applyFont="true" applyProtection="false" borderId="0" fillId="3" fontId="4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0" fillId="3" fontId="6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0" fillId="3" fontId="39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10" fillId="3" fontId="5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10" fillId="3" fontId="5" numFmtId="164" xfId="0">
      <alignment horizontal="center" indent="0" shrinkToFit="false" textRotation="0" vertical="bottom" wrapText="false"/>
      <protection hidden="false" locked="false"/>
    </xf>
    <xf applyAlignment="false" applyBorder="true" applyFont="true" applyProtection="false" borderId="0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10" fillId="3" fontId="40" numFmtId="164" xfId="0">
      <alignment horizontal="general" indent="0" shrinkToFit="false" textRotation="0" vertical="bottom" wrapText="false"/>
      <protection hidden="false" locked="false"/>
    </xf>
    <xf applyAlignment="false" applyBorder="true" applyFont="true" applyProtection="true" borderId="10" fillId="3" fontId="5" numFmtId="164" xfId="0">
      <alignment horizontal="general" indent="0" shrinkToFit="false" textRotation="0" vertical="bottom" wrapText="false"/>
      <protection hidden="false" locked="false"/>
    </xf>
    <xf applyAlignment="true" applyBorder="true" applyFont="true" applyProtection="false" borderId="10" fillId="3" fontId="0" numFmtId="181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0" numFmtId="181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10" fillId="3" fontId="5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true" borderId="10" fillId="3" fontId="5" numFmtId="173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10" fillId="3" fontId="5" numFmtId="175" xfId="0">
      <alignment horizontal="center" indent="0" shrinkToFit="false" textRotation="0" vertical="bottom" wrapText="false"/>
      <protection hidden="false" locked="false"/>
    </xf>
    <xf applyAlignment="true" applyBorder="true" applyFont="true" applyProtection="true" borderId="10" fillId="3" fontId="5" numFmtId="164" xfId="0">
      <alignment horizontal="center" indent="0" shrinkToFit="false" textRotation="0" vertical="bottom" wrapText="false"/>
      <protection hidden="false" locked="true"/>
    </xf>
    <xf applyAlignment="false" applyBorder="true" applyFont="true" applyProtection="true" borderId="11" fillId="3" fontId="40" numFmtId="164" xfId="0">
      <alignment horizontal="general" indent="0" shrinkToFit="false" textRotation="0" vertical="bottom" wrapText="false"/>
      <protection hidden="false" locked="false"/>
    </xf>
    <xf applyAlignment="false" applyBorder="true" applyFont="true" applyProtection="false" borderId="11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6" fillId="3" fontId="40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6" fillId="3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10" fillId="3" fontId="5" numFmtId="175" xfId="0">
      <alignment horizontal="center" indent="0" shrinkToFit="false" textRotation="0" vertical="bottom" wrapText="false"/>
      <protection hidden="false" locked="true"/>
    </xf>
    <xf applyAlignment="false" applyBorder="true" applyFont="true" applyProtection="false" borderId="0" fillId="3" fontId="41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10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8" fillId="3" fontId="6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8" fillId="3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true" borderId="10" fillId="3" fontId="42" numFmtId="164" xfId="0">
      <alignment horizontal="center" indent="0" shrinkToFit="false" textRotation="0" vertical="bottom" wrapText="false"/>
      <protection hidden="false" locked="true"/>
    </xf>
    <xf applyAlignment="false" applyBorder="true" applyFont="true" applyProtection="true" borderId="12" fillId="3" fontId="40" numFmtId="164" xfId="0">
      <alignment horizontal="general" indent="0" shrinkToFit="false" textRotation="0" vertical="bottom" wrapText="false"/>
      <protection hidden="false" locked="false"/>
    </xf>
    <xf applyAlignment="false" applyBorder="true" applyFont="true" applyProtection="false" borderId="12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6" fillId="3" fontId="41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0" fillId="3" fontId="5" numFmtId="174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10" fillId="3" fontId="5" numFmtId="184" xfId="0">
      <alignment horizontal="center" indent="0" shrinkToFit="false" textRotation="0" vertical="bottom" wrapText="false"/>
      <protection hidden="false" locked="false"/>
    </xf>
    <xf applyAlignment="true" applyBorder="true" applyFont="true" applyProtection="false" borderId="8" fillId="3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0" fillId="3" fontId="5" numFmtId="185" xfId="0">
      <alignment horizontal="center" indent="0" shrinkToFit="false" textRotation="0" vertical="bottom" wrapText="false"/>
      <protection hidden="false" locked="true"/>
    </xf>
    <xf applyAlignment="true" applyBorder="true" applyFont="true" applyProtection="true" borderId="10" fillId="3" fontId="5" numFmtId="164" xfId="0">
      <alignment horizontal="center" indent="0" shrinkToFit="false" textRotation="0" vertical="center" wrapText="true"/>
      <protection hidden="false" locked="false"/>
    </xf>
    <xf applyAlignment="false" applyBorder="true" applyFont="true" applyProtection="false" borderId="0" fillId="3" fontId="5" numFmtId="169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0" fillId="3" fontId="43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3" fillId="3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11" fillId="3" fontId="5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10" fillId="3" fontId="5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3" fontId="41" numFmtId="164" xfId="0">
      <alignment horizontal="center" indent="0" shrinkToFit="false" textRotation="0" vertical="bottom" wrapText="false"/>
      <protection hidden="false" locked="true"/>
    </xf>
    <xf applyAlignment="false" applyBorder="true" applyFont="true" applyProtection="true" borderId="10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1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2" fillId="3" fontId="5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true" borderId="3" fillId="3" fontId="5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13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13" numFmtId="173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5" fillId="3" fontId="43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6" fillId="3" fontId="43" numFmtId="166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6" fillId="3" fontId="43" numFmtId="186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6" fillId="3" fontId="43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6" fillId="3" fontId="43" numFmtId="173" xfId="0">
      <alignment horizontal="center" indent="0" shrinkToFit="false" textRotation="0" vertical="bottom" wrapText="true"/>
      <protection hidden="false" locked="true"/>
    </xf>
    <xf applyAlignment="true" applyBorder="false" applyFont="true" applyProtection="false" borderId="0" fillId="3" fontId="43" numFmtId="164" xfId="0">
      <alignment horizontal="center" indent="0" shrinkToFit="false" textRotation="0" vertical="bottom" wrapText="true"/>
      <protection hidden="false" locked="true"/>
    </xf>
    <xf applyAlignment="true" applyBorder="true" applyFont="true" applyProtection="false" borderId="4" fillId="3" fontId="43" numFmtId="164" xfId="0">
      <alignment horizontal="center" indent="0" shrinkToFit="false" textRotation="0" vertical="bottom" wrapText="true"/>
      <protection hidden="false" locked="true"/>
    </xf>
    <xf applyAlignment="true" applyBorder="false" applyFont="true" applyProtection="false" borderId="0" fillId="3" fontId="43" numFmtId="164" xfId="0">
      <alignment horizontal="general" indent="0" shrinkToFit="false" textRotation="0" vertical="bottom" wrapText="true"/>
      <protection hidden="false" locked="true"/>
    </xf>
    <xf applyAlignment="true" applyBorder="true" applyFont="true" applyProtection="false" borderId="1" fillId="3" fontId="0" numFmtId="167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86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80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68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7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" fillId="3" fontId="0" numFmtId="175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3" fillId="3" fontId="0" numFmtId="164" xfId="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3" fontId="47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0" numFmtId="169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5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5" numFmtId="173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3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0" numFmtId="167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8" fillId="0" fontId="5" numFmtId="164" xfId="0">
      <alignment horizontal="center" indent="0" shrinkToFit="false" textRotation="0" vertical="center" wrapText="true"/>
      <protection hidden="false" locked="true"/>
    </xf>
    <xf applyAlignment="false" applyBorder="false" applyFont="true" applyProtection="false" borderId="0" fillId="0" fontId="0" numFmtId="166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0" numFmtId="173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0" fontId="0" numFmtId="168" xfId="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0" numFmtId="173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0" numFmtId="181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0" fontId="0" numFmtId="169" xfId="0">
      <alignment horizontal="center" indent="0" shrinkToFit="false" textRotation="0" vertical="bottom" wrapText="false"/>
      <protection hidden="false" locked="true"/>
    </xf>
    <xf applyAlignment="false" applyBorder="false" applyFont="false" applyProtection="false" borderId="0" fillId="3" fontId="0" numFmtId="164" xfId="2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8" fillId="3" fontId="5" numFmtId="164" xfId="2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8" fillId="3" fontId="5" numFmtId="164" xfId="2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41" numFmtId="164" xfId="20">
      <alignment horizontal="center" indent="0" shrinkToFit="false" textRotation="0" vertical="bottom" wrapText="false"/>
      <protection hidden="false" locked="true"/>
    </xf>
    <xf applyAlignment="true" applyBorder="false" applyFont="false" applyProtection="false" borderId="0" fillId="3" fontId="0" numFmtId="164" xfId="2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3" fontId="0" numFmtId="164" xfId="2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3" fontId="41" numFmtId="164" xfId="2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3" fontId="5" numFmtId="164" xfId="2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3" fontId="41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3" fontId="41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64" xfId="20">
      <alignment horizontal="general" indent="0" shrinkToFit="false" textRotation="0" vertical="bottom" wrapText="true"/>
      <protection hidden="false" locked="true"/>
    </xf>
    <xf applyAlignment="true" applyBorder="false" applyFont="true" applyProtection="false" borderId="0" fillId="3" fontId="0" numFmtId="164" xfId="2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1" fillId="3" fontId="5" numFmtId="164" xfId="20">
      <alignment horizontal="center" indent="0" shrinkToFit="false" textRotation="0" vertical="bottom" wrapText="false"/>
      <protection hidden="false" locked="true"/>
    </xf>
    <xf applyAlignment="false" applyBorder="true" applyFont="true" applyProtection="false" borderId="3" fillId="3" fontId="5" numFmtId="164" xfId="2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1" fillId="3" fontId="5" numFmtId="164" xfId="2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3" fillId="3" fontId="0" numFmtId="164" xfId="2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13" fillId="3" fontId="5" numFmtId="164" xfId="2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14" fillId="3" fontId="5" numFmtId="164" xfId="2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3" fontId="5" numFmtId="164" xfId="20">
      <alignment horizontal="general" indent="0" shrinkToFit="false" textRotation="0" vertical="bottom" wrapText="false"/>
      <protection hidden="false" locked="true"/>
    </xf>
    <xf applyAlignment="true" applyBorder="true" applyFont="false" applyProtection="false" borderId="13" fillId="3" fontId="0" numFmtId="164" xfId="2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14" fillId="3" fontId="0" numFmtId="164" xfId="20">
      <alignment horizontal="center" indent="0" shrinkToFit="false" textRotation="0" vertical="bottom" wrapText="false"/>
      <protection hidden="false" locked="true"/>
    </xf>
    <xf applyAlignment="true" applyBorder="false" applyFont="false" applyProtection="false" borderId="0" fillId="3" fontId="0" numFmtId="184" xfId="20">
      <alignment horizontal="center" indent="0" shrinkToFit="false" textRotation="0" vertical="bottom" wrapText="false"/>
      <protection hidden="false" locked="true"/>
    </xf>
    <xf applyAlignment="true" applyBorder="false" applyFont="false" applyProtection="false" borderId="0" fillId="3" fontId="0" numFmtId="173" xfId="20">
      <alignment horizontal="center" indent="0" shrinkToFit="false" textRotation="0" vertical="bottom" wrapText="false"/>
      <protection hidden="false" locked="true"/>
    </xf>
    <xf applyAlignment="false" applyBorder="true" applyFont="false" applyProtection="false" borderId="13" fillId="3" fontId="0" numFmtId="164" xfId="2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4" fillId="3" fontId="0" numFmtId="164" xfId="20">
      <alignment horizontal="general" indent="0" shrinkToFit="false" textRotation="0" vertical="bottom" wrapText="false"/>
      <protection hidden="false" locked="true"/>
    </xf>
    <xf applyAlignment="true" applyBorder="true" applyFont="false" applyProtection="false" borderId="13" fillId="3" fontId="0" numFmtId="169" xfId="2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13" fillId="3" fontId="0" numFmtId="174" xfId="2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3" fontId="0" numFmtId="164" xfId="20">
      <alignment horizontal="left" indent="0" shrinkToFit="false" textRotation="0" vertical="bottom" wrapText="false"/>
      <protection hidden="false" locked="true"/>
    </xf>
    <xf applyAlignment="false" applyBorder="true" applyFont="false" applyProtection="false" borderId="7" fillId="3" fontId="0" numFmtId="164" xfId="2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9" fillId="3" fontId="0" numFmtId="164" xfId="2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10" fillId="3" fontId="5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10" fillId="3" fontId="5" numFmtId="164" xfId="2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10" fillId="3" fontId="0" numFmtId="164" xfId="2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5" fontId="48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6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7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8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9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0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1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2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3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4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5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6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7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8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19" fontId="0" numFmtId="164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0" numFmtId="164" xfId="0">
      <alignment horizontal="general" indent="0" shrinkToFit="false" textRotation="0" vertical="bottom" wrapText="false"/>
      <protection hidden="false" locked="true"/>
    </xf>
  </cellXfs>
  <cellStyles count="7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  <cellStyle builtinId="54" customBuiltin="true" name="Normal_CommandLineGenerator" xfId="20"/>
  </cellStyles>
  <dxfs count="2">
    <dxf>
      <font>
        <name val="Arial"/>
        <charset val="1"/>
        <family val="2"/>
        <color rgb="FF9C0006"/>
        <sz val="10"/>
      </font>
      <numFmt formatCode="GENERAL" numFmtId="164"/>
      <fill>
        <patternFill>
          <bgColor rgb="FFFFC7CE"/>
        </patternFill>
      </fill>
    </dxf>
    <dxf>
      <font>
        <name val="Arial"/>
        <charset val="1"/>
        <family val="2"/>
        <color rgb="FF006100"/>
        <sz val="10"/>
      </font>
      <numFmt formatCode="GENERAL" numFmtId="164"/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D7E4BD"/>
      <rgbColor rgb="FF808080"/>
      <rgbColor rgb="FF9999FF"/>
      <rgbColor rgb="FF7030A0"/>
      <rgbColor rgb="FFF2F2F2"/>
      <rgbColor rgb="FFCCFFFF"/>
      <rgbColor rgb="FF660066"/>
      <rgbColor rgb="FFFF8080"/>
      <rgbColor rgb="FF0070C0"/>
      <rgbColor rgb="FFD9D9D9"/>
      <rgbColor rgb="FF000080"/>
      <rgbColor rgb="FFFF00FF"/>
      <rgbColor rgb="FFFFFF00"/>
      <rgbColor rgb="FF00FFFF"/>
      <rgbColor rgb="FF800080"/>
      <rgbColor rgb="FFC00000"/>
      <rgbColor rgb="FF008080"/>
      <rgbColor rgb="FF2004EC"/>
      <rgbColor rgb="FF00B0F0"/>
      <rgbColor rgb="FFCCFFFF"/>
      <rgbColor rgb="FFC6EFCE"/>
      <rgbColor rgb="FFFFFF99"/>
      <rgbColor rgb="FF99CCFF"/>
      <rgbColor rgb="FFFFC7CE"/>
      <rgbColor rgb="FFCC99FF"/>
      <rgbColor rgb="FFFAC090"/>
      <rgbColor rgb="FF3366FF"/>
      <rgbColor rgb="FF33CCCC"/>
      <rgbColor rgb="FF92D050"/>
      <rgbColor rgb="FFFFCC00"/>
      <rgbColor rgb="FFF79646"/>
      <rgbColor rgb="FFE46C0A"/>
      <rgbColor rgb="FF558ED5"/>
      <rgbColor rgb="FF878787"/>
      <rgbColor rgb="FF003366"/>
      <rgbColor rgb="FF00B050"/>
      <rgbColor rgb="FF003300"/>
      <rgbColor rgb="FF632523"/>
      <rgbColor rgb="FF993300"/>
      <rgbColor rgb="FF993366"/>
      <rgbColor rgb="FF333399"/>
      <rgbColor rgb="FF403152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sharedStrings" Target="sharedStrings.xml"/>
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>
                <a:solidFill>
                  <a:srgbClr val="000000"/>
                </a:solidFill>
                <a:latin typeface="Calibri"/>
              </a:rPr>
              <a:t>Illumination and Photoconductance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"Light Intensity (suns)"</c:f>
              <c:strCache>
                <c:ptCount val="1"/>
                <c:pt idx="0">
                  <c:v>Light Intensity (suns)</c:v>
                </c:pt>
              </c:strCache>
            </c:strRef>
          </c:tx>
          <c:spPr>
            <a:solidFill>
              <a:srgbClr val="2004ec"/>
            </a:solidFill>
            <a:ln w="28440">
              <a:solidFill>
                <a:srgbClr val="2004ec"/>
              </a:solidFill>
              <a:round/>
            </a:ln>
          </c:spPr>
          <c:marker/>
          <c:xVal>
            <c:numRef>
              <c:f>Calc!$A$9:$A$133</c:f>
              <c:numCache>
                <c:formatCode>General</c:formatCode>
                <c:ptCount val="125"/>
                <c:pt idx="0">
                  <c:v>4.99E-005</c:v>
                </c:pt>
                <c:pt idx="1">
                  <c:v>0.0001499</c:v>
                </c:pt>
                <c:pt idx="2">
                  <c:v>0.0002499</c:v>
                </c:pt>
                <c:pt idx="3">
                  <c:v>0.0003499</c:v>
                </c:pt>
                <c:pt idx="4">
                  <c:v>0.0004499</c:v>
                </c:pt>
                <c:pt idx="5">
                  <c:v>0.0005499</c:v>
                </c:pt>
                <c:pt idx="6">
                  <c:v>0.0006499</c:v>
                </c:pt>
                <c:pt idx="7">
                  <c:v>0.0007499</c:v>
                </c:pt>
                <c:pt idx="8">
                  <c:v>0.0008499</c:v>
                </c:pt>
                <c:pt idx="9">
                  <c:v>0.0009499</c:v>
                </c:pt>
                <c:pt idx="10">
                  <c:v>0.0010499</c:v>
                </c:pt>
                <c:pt idx="11">
                  <c:v>0.0011499</c:v>
                </c:pt>
                <c:pt idx="12">
                  <c:v>0.0012499</c:v>
                </c:pt>
                <c:pt idx="13">
                  <c:v>0.0013499</c:v>
                </c:pt>
                <c:pt idx="14">
                  <c:v>0.0014499</c:v>
                </c:pt>
                <c:pt idx="15">
                  <c:v>0.0015499</c:v>
                </c:pt>
                <c:pt idx="16">
                  <c:v>0.0016499</c:v>
                </c:pt>
                <c:pt idx="17">
                  <c:v>0.0017499</c:v>
                </c:pt>
                <c:pt idx="18">
                  <c:v>0.0018499</c:v>
                </c:pt>
                <c:pt idx="19">
                  <c:v>0.0019499</c:v>
                </c:pt>
                <c:pt idx="20">
                  <c:v>0.0020499</c:v>
                </c:pt>
                <c:pt idx="21">
                  <c:v>0.0021499</c:v>
                </c:pt>
                <c:pt idx="22">
                  <c:v>0.0022499</c:v>
                </c:pt>
                <c:pt idx="23">
                  <c:v>0.0023499</c:v>
                </c:pt>
                <c:pt idx="24">
                  <c:v>0.0024499</c:v>
                </c:pt>
                <c:pt idx="25">
                  <c:v>0.0025499</c:v>
                </c:pt>
                <c:pt idx="26">
                  <c:v>0.0026499</c:v>
                </c:pt>
                <c:pt idx="27">
                  <c:v>0.0027499</c:v>
                </c:pt>
                <c:pt idx="28">
                  <c:v>0.0028499</c:v>
                </c:pt>
                <c:pt idx="29">
                  <c:v>0.0029499</c:v>
                </c:pt>
                <c:pt idx="30">
                  <c:v>0.0030499</c:v>
                </c:pt>
                <c:pt idx="31">
                  <c:v>0.0031499</c:v>
                </c:pt>
                <c:pt idx="32">
                  <c:v>0.0032499</c:v>
                </c:pt>
                <c:pt idx="33">
                  <c:v>0.0033499</c:v>
                </c:pt>
                <c:pt idx="34">
                  <c:v>0.0034499</c:v>
                </c:pt>
                <c:pt idx="35">
                  <c:v>0.0035499</c:v>
                </c:pt>
                <c:pt idx="36">
                  <c:v>0.0036499</c:v>
                </c:pt>
                <c:pt idx="37">
                  <c:v>0.0037499</c:v>
                </c:pt>
                <c:pt idx="38">
                  <c:v>0.0038499</c:v>
                </c:pt>
                <c:pt idx="39">
                  <c:v>0.0039499</c:v>
                </c:pt>
                <c:pt idx="40">
                  <c:v>0.0040499</c:v>
                </c:pt>
                <c:pt idx="41">
                  <c:v>0.0041499</c:v>
                </c:pt>
                <c:pt idx="42">
                  <c:v>0.0042499</c:v>
                </c:pt>
                <c:pt idx="43">
                  <c:v>0.0043499</c:v>
                </c:pt>
                <c:pt idx="44">
                  <c:v>0.0044499</c:v>
                </c:pt>
                <c:pt idx="45">
                  <c:v>0.0045499</c:v>
                </c:pt>
                <c:pt idx="46">
                  <c:v>0.0046499</c:v>
                </c:pt>
                <c:pt idx="47">
                  <c:v>0.0047499</c:v>
                </c:pt>
                <c:pt idx="48">
                  <c:v>0.0048499</c:v>
                </c:pt>
                <c:pt idx="49">
                  <c:v>0.0049499</c:v>
                </c:pt>
                <c:pt idx="50">
                  <c:v>0.0050499</c:v>
                </c:pt>
                <c:pt idx="51">
                  <c:v>0.0051499</c:v>
                </c:pt>
                <c:pt idx="52">
                  <c:v>0.0052499</c:v>
                </c:pt>
                <c:pt idx="53">
                  <c:v>0.0053499</c:v>
                </c:pt>
                <c:pt idx="54">
                  <c:v>0.0054499</c:v>
                </c:pt>
                <c:pt idx="55">
                  <c:v>0.0055499</c:v>
                </c:pt>
                <c:pt idx="56">
                  <c:v>0.0056499</c:v>
                </c:pt>
                <c:pt idx="57">
                  <c:v>0.0057499</c:v>
                </c:pt>
                <c:pt idx="58">
                  <c:v>0.0058499</c:v>
                </c:pt>
                <c:pt idx="59">
                  <c:v>0.0059499</c:v>
                </c:pt>
                <c:pt idx="60">
                  <c:v>0.0060499</c:v>
                </c:pt>
                <c:pt idx="61">
                  <c:v>0.0061499</c:v>
                </c:pt>
                <c:pt idx="62">
                  <c:v>0.0062499</c:v>
                </c:pt>
                <c:pt idx="63">
                  <c:v>0.0063499</c:v>
                </c:pt>
                <c:pt idx="64">
                  <c:v>0.0064499</c:v>
                </c:pt>
                <c:pt idx="65">
                  <c:v>0.0065499</c:v>
                </c:pt>
                <c:pt idx="66">
                  <c:v>0.0066499</c:v>
                </c:pt>
                <c:pt idx="67">
                  <c:v>0.0067499</c:v>
                </c:pt>
                <c:pt idx="68">
                  <c:v>0.0068499</c:v>
                </c:pt>
                <c:pt idx="69">
                  <c:v>0.0069499</c:v>
                </c:pt>
                <c:pt idx="70">
                  <c:v>0.0070499</c:v>
                </c:pt>
                <c:pt idx="71">
                  <c:v>0.0071499</c:v>
                </c:pt>
                <c:pt idx="72">
                  <c:v>0.0072499</c:v>
                </c:pt>
                <c:pt idx="73">
                  <c:v>0.0073499</c:v>
                </c:pt>
                <c:pt idx="74">
                  <c:v>0.0074499</c:v>
                </c:pt>
                <c:pt idx="75">
                  <c:v>0.0075499</c:v>
                </c:pt>
                <c:pt idx="76">
                  <c:v>0.0076499</c:v>
                </c:pt>
                <c:pt idx="77">
                  <c:v>0.0077499</c:v>
                </c:pt>
                <c:pt idx="78">
                  <c:v>0.0078499</c:v>
                </c:pt>
                <c:pt idx="79">
                  <c:v>0.0079499</c:v>
                </c:pt>
                <c:pt idx="80">
                  <c:v>0.0080499</c:v>
                </c:pt>
                <c:pt idx="81">
                  <c:v>0.0081499</c:v>
                </c:pt>
                <c:pt idx="82">
                  <c:v>0.0082499</c:v>
                </c:pt>
                <c:pt idx="83">
                  <c:v>0.0083499</c:v>
                </c:pt>
                <c:pt idx="84">
                  <c:v>0.0084499</c:v>
                </c:pt>
                <c:pt idx="85">
                  <c:v>0.0085499</c:v>
                </c:pt>
                <c:pt idx="86">
                  <c:v>0.0086499</c:v>
                </c:pt>
                <c:pt idx="87">
                  <c:v>0.0087499</c:v>
                </c:pt>
                <c:pt idx="88">
                  <c:v>0.0088499</c:v>
                </c:pt>
                <c:pt idx="89">
                  <c:v>0.0089499</c:v>
                </c:pt>
                <c:pt idx="90">
                  <c:v>0.0090499</c:v>
                </c:pt>
                <c:pt idx="91">
                  <c:v>0.0091499</c:v>
                </c:pt>
                <c:pt idx="92">
                  <c:v>0.0092499</c:v>
                </c:pt>
                <c:pt idx="93">
                  <c:v>0.0093499</c:v>
                </c:pt>
                <c:pt idx="94">
                  <c:v>0.0094499</c:v>
                </c:pt>
                <c:pt idx="95">
                  <c:v>0.0095499</c:v>
                </c:pt>
                <c:pt idx="96">
                  <c:v>0.0096499</c:v>
                </c:pt>
                <c:pt idx="97">
                  <c:v>0.0097499</c:v>
                </c:pt>
                <c:pt idx="98">
                  <c:v>0.0098499</c:v>
                </c:pt>
                <c:pt idx="99">
                  <c:v>0.0099499</c:v>
                </c:pt>
                <c:pt idx="100">
                  <c:v>0.0100499</c:v>
                </c:pt>
                <c:pt idx="101">
                  <c:v>0.0101499</c:v>
                </c:pt>
                <c:pt idx="102">
                  <c:v>0.0102499</c:v>
                </c:pt>
                <c:pt idx="103">
                  <c:v>0.0103499</c:v>
                </c:pt>
                <c:pt idx="104">
                  <c:v>0.0104499</c:v>
                </c:pt>
                <c:pt idx="105">
                  <c:v>0.0105499</c:v>
                </c:pt>
                <c:pt idx="106">
                  <c:v>0.0106499</c:v>
                </c:pt>
                <c:pt idx="107">
                  <c:v>0.0107499</c:v>
                </c:pt>
                <c:pt idx="108">
                  <c:v>0.0108499</c:v>
                </c:pt>
                <c:pt idx="109">
                  <c:v>0.0109499</c:v>
                </c:pt>
                <c:pt idx="110">
                  <c:v>0.0110499</c:v>
                </c:pt>
                <c:pt idx="111">
                  <c:v>0.0111499</c:v>
                </c:pt>
                <c:pt idx="112">
                  <c:v>0.0112499</c:v>
                </c:pt>
                <c:pt idx="113">
                  <c:v>0.0113499</c:v>
                </c:pt>
                <c:pt idx="114">
                  <c:v>0.0114499</c:v>
                </c:pt>
                <c:pt idx="115">
                  <c:v>0.0115499</c:v>
                </c:pt>
                <c:pt idx="116">
                  <c:v>0.0116499</c:v>
                </c:pt>
                <c:pt idx="117">
                  <c:v>0.0117499</c:v>
                </c:pt>
                <c:pt idx="118">
                  <c:v>0.0118499</c:v>
                </c:pt>
                <c:pt idx="119">
                  <c:v>0.0119499</c:v>
                </c:pt>
                <c:pt idx="120">
                  <c:v>0.0120499</c:v>
                </c:pt>
                <c:pt idx="121">
                  <c:v>0.0121499</c:v>
                </c:pt>
                <c:pt idx="122">
                  <c:v>0.0122499</c:v>
                </c:pt>
                <c:pt idx="123">
                  <c:v>0.0123499</c:v>
                </c:pt>
                <c:pt idx="124">
                  <c:v>0.0124499</c:v>
                </c:pt>
              </c:numCache>
            </c:numRef>
          </c:xVal>
          <c:yVal>
            <c:numRef>
              <c:f>Calc!$E$9:$E$133</c:f>
              <c:numCache>
                <c:formatCode>General</c:formatCode>
                <c:ptCount val="125"/>
                <c:pt idx="0">
                  <c:v>34.3301586306349</c:v>
                </c:pt>
                <c:pt idx="1">
                  <c:v>51.4904868929713</c:v>
                </c:pt>
                <c:pt idx="2">
                  <c:v>57.9145756707989</c:v>
                </c:pt>
                <c:pt idx="3">
                  <c:v>59.3781850521482</c:v>
                </c:pt>
                <c:pt idx="4">
                  <c:v>57.9613260321327</c:v>
                </c:pt>
                <c:pt idx="5">
                  <c:v>55.3289576174396</c:v>
                </c:pt>
                <c:pt idx="6">
                  <c:v>52.2116967354982</c:v>
                </c:pt>
                <c:pt idx="7">
                  <c:v>49.1645613955574</c:v>
                </c:pt>
                <c:pt idx="8">
                  <c:v>46.2604327503469</c:v>
                </c:pt>
                <c:pt idx="9">
                  <c:v>43.532378128615</c:v>
                </c:pt>
                <c:pt idx="10">
                  <c:v>40.9876191308928</c:v>
                </c:pt>
                <c:pt idx="11">
                  <c:v>38.6031606607521</c:v>
                </c:pt>
                <c:pt idx="12">
                  <c:v>36.3523968214987</c:v>
                </c:pt>
                <c:pt idx="13">
                  <c:v>34.2511011090299</c:v>
                </c:pt>
                <c:pt idx="14">
                  <c:v>32.2765634900961</c:v>
                </c:pt>
                <c:pt idx="15">
                  <c:v>30.4290690278762</c:v>
                </c:pt>
                <c:pt idx="16">
                  <c:v>28.6949346897846</c:v>
                </c:pt>
                <c:pt idx="17">
                  <c:v>27.0623778644284</c:v>
                </c:pt>
                <c:pt idx="18">
                  <c:v>25.5265524777669</c:v>
                </c:pt>
                <c:pt idx="19">
                  <c:v>24.0893589509924</c:v>
                </c:pt>
                <c:pt idx="20">
                  <c:v>22.7441458099315</c:v>
                </c:pt>
                <c:pt idx="21">
                  <c:v>21.4826462223971</c:v>
                </c:pt>
                <c:pt idx="22">
                  <c:v>20.2958331877251</c:v>
                </c:pt>
                <c:pt idx="23">
                  <c:v>19.1767701685633</c:v>
                </c:pt>
                <c:pt idx="24">
                  <c:v>18.1322986812042</c:v>
                </c:pt>
                <c:pt idx="25">
                  <c:v>17.1494958615395</c:v>
                </c:pt>
                <c:pt idx="26">
                  <c:v>16.2272214568537</c:v>
                </c:pt>
                <c:pt idx="27">
                  <c:v>15.3573036560193</c:v>
                </c:pt>
                <c:pt idx="28">
                  <c:v>14.5137066887</c:v>
                </c:pt>
                <c:pt idx="29">
                  <c:v>13.7419456424546</c:v>
                </c:pt>
                <c:pt idx="30">
                  <c:v>13.017410062841</c:v>
                </c:pt>
                <c:pt idx="31">
                  <c:v>12.3427605395287</c:v>
                </c:pt>
                <c:pt idx="32">
                  <c:v>11.7028887240378</c:v>
                </c:pt>
                <c:pt idx="33">
                  <c:v>11.0969394268318</c:v>
                </c:pt>
                <c:pt idx="34">
                  <c:v>10.5262429427454</c:v>
                </c:pt>
                <c:pt idx="35">
                  <c:v>9.98861378740719</c:v>
                </c:pt>
                <c:pt idx="36">
                  <c:v>9.47877829200828</c:v>
                </c:pt>
                <c:pt idx="37">
                  <c:v>9.00423361815278</c:v>
                </c:pt>
                <c:pt idx="38">
                  <c:v>8.54313442423371</c:v>
                </c:pt>
                <c:pt idx="39">
                  <c:v>8.11702198446727</c:v>
                </c:pt>
                <c:pt idx="40">
                  <c:v>7.70854545336656</c:v>
                </c:pt>
                <c:pt idx="41">
                  <c:v>7.32484091250917</c:v>
                </c:pt>
                <c:pt idx="42">
                  <c:v>6.96183195843733</c:v>
                </c:pt>
                <c:pt idx="43">
                  <c:v>6.61849236370714</c:v>
                </c:pt>
                <c:pt idx="44">
                  <c:v>6.29343482084811</c:v>
                </c:pt>
                <c:pt idx="45">
                  <c:v>5.98786609731744</c:v>
                </c:pt>
                <c:pt idx="46">
                  <c:v>5.69686410222674</c:v>
                </c:pt>
                <c:pt idx="47">
                  <c:v>5.41838588279414</c:v>
                </c:pt>
                <c:pt idx="48">
                  <c:v>5.15773361414653</c:v>
                </c:pt>
                <c:pt idx="49">
                  <c:v>4.91173359289255</c:v>
                </c:pt>
                <c:pt idx="50">
                  <c:v>4.67390538276602</c:v>
                </c:pt>
                <c:pt idx="51">
                  <c:v>4.45222125066916</c:v>
                </c:pt>
                <c:pt idx="52">
                  <c:v>4.23981117399137</c:v>
                </c:pt>
                <c:pt idx="53">
                  <c:v>4.03557290844102</c:v>
                </c:pt>
                <c:pt idx="54">
                  <c:v>3.84655701664202</c:v>
                </c:pt>
                <c:pt idx="55">
                  <c:v>3.66514280961274</c:v>
                </c:pt>
                <c:pt idx="56">
                  <c:v>3.49171037159166</c:v>
                </c:pt>
                <c:pt idx="57">
                  <c:v>3.32634522153245</c:v>
                </c:pt>
                <c:pt idx="58">
                  <c:v>3.16451485489115</c:v>
                </c:pt>
                <c:pt idx="59">
                  <c:v>3.01586390921935</c:v>
                </c:pt>
                <c:pt idx="60">
                  <c:v>2.87286671659502</c:v>
                </c:pt>
                <c:pt idx="61">
                  <c:v>2.7356182980778</c:v>
                </c:pt>
                <c:pt idx="62">
                  <c:v>2.60256030828987</c:v>
                </c:pt>
                <c:pt idx="63">
                  <c:v>2.47905193499391</c:v>
                </c:pt>
                <c:pt idx="64">
                  <c:v>2.36491263817662</c:v>
                </c:pt>
                <c:pt idx="65">
                  <c:v>2.25495426798267</c:v>
                </c:pt>
                <c:pt idx="66">
                  <c:v>2.14879674017359</c:v>
                </c:pt>
                <c:pt idx="67">
                  <c:v>2.04764682220655</c:v>
                </c:pt>
                <c:pt idx="68">
                  <c:v>1.94641138528585</c:v>
                </c:pt>
                <c:pt idx="69">
                  <c:v>1.85612237443355</c:v>
                </c:pt>
                <c:pt idx="70">
                  <c:v>1.76972922702572</c:v>
                </c:pt>
                <c:pt idx="71">
                  <c:v>1.68500845026723</c:v>
                </c:pt>
                <c:pt idx="72">
                  <c:v>1.60632151079471</c:v>
                </c:pt>
                <c:pt idx="73">
                  <c:v>1.52995308517695</c:v>
                </c:pt>
                <c:pt idx="74">
                  <c:v>1.45905787259338</c:v>
                </c:pt>
                <c:pt idx="75">
                  <c:v>1.38946444852663</c:v>
                </c:pt>
                <c:pt idx="76">
                  <c:v>1.32441303110978</c:v>
                </c:pt>
                <c:pt idx="77">
                  <c:v>1.26029282007722</c:v>
                </c:pt>
                <c:pt idx="78">
                  <c:v>1.20090465781382</c:v>
                </c:pt>
                <c:pt idx="79">
                  <c:v>1.14225765981545</c:v>
                </c:pt>
                <c:pt idx="80">
                  <c:v>1.08695540311577</c:v>
                </c:pt>
                <c:pt idx="81">
                  <c:v>1.03619515306599</c:v>
                </c:pt>
                <c:pt idx="82">
                  <c:v>0.984228135559015</c:v>
                </c:pt>
                <c:pt idx="83">
                  <c:v>0.938852728957982</c:v>
                </c:pt>
                <c:pt idx="84">
                  <c:v>0.894126316194164</c:v>
                </c:pt>
                <c:pt idx="85">
                  <c:v>0.848007844906892</c:v>
                </c:pt>
                <c:pt idx="86">
                  <c:v>0.809127127730985</c:v>
                </c:pt>
                <c:pt idx="87">
                  <c:v>0.768946522459457</c:v>
                </c:pt>
                <c:pt idx="88">
                  <c:v>0.732014687216387</c:v>
                </c:pt>
                <c:pt idx="89">
                  <c:v>0.693876084516124</c:v>
                </c:pt>
                <c:pt idx="90">
                  <c:v>0.660378310367774</c:v>
                </c:pt>
                <c:pt idx="91">
                  <c:v>0.62799323282759</c:v>
                </c:pt>
                <c:pt idx="92">
                  <c:v>0.597834498714337</c:v>
                </c:pt>
                <c:pt idx="93">
                  <c:v>0.563408368813484</c:v>
                </c:pt>
                <c:pt idx="94">
                  <c:v>0.537797342613714</c:v>
                </c:pt>
                <c:pt idx="95">
                  <c:v>0.511351081299871</c:v>
                </c:pt>
                <c:pt idx="96">
                  <c:v>0.483234349757883</c:v>
                </c:pt>
                <c:pt idx="97">
                  <c:v>0.457437082281254</c:v>
                </c:pt>
                <c:pt idx="98">
                  <c:v>0.433868058652749</c:v>
                </c:pt>
                <c:pt idx="99">
                  <c:v>0.41150485227084</c:v>
                </c:pt>
                <c:pt idx="100">
                  <c:v>0.389326936955193</c:v>
                </c:pt>
                <c:pt idx="101">
                  <c:v>0.368726371229261</c:v>
                </c:pt>
                <c:pt idx="102">
                  <c:v>0.349889396369905</c:v>
                </c:pt>
                <c:pt idx="103">
                  <c:v>0.330959300872119</c:v>
                </c:pt>
                <c:pt idx="104">
                  <c:v>0.311657673031213</c:v>
                </c:pt>
                <c:pt idx="105">
                  <c:v>0.293749053924357</c:v>
                </c:pt>
                <c:pt idx="106">
                  <c:v>0.280107830605102</c:v>
                </c:pt>
                <c:pt idx="107">
                  <c:v>0.262012970221388</c:v>
                </c:pt>
                <c:pt idx="108">
                  <c:v>0.248836399883681</c:v>
                </c:pt>
                <c:pt idx="109">
                  <c:v>0.235196126775022</c:v>
                </c:pt>
                <c:pt idx="110">
                  <c:v>0.219420730456668</c:v>
                </c:pt>
                <c:pt idx="111">
                  <c:v>0.207264686299295</c:v>
                </c:pt>
                <c:pt idx="112">
                  <c:v>0.196407580026948</c:v>
                </c:pt>
                <c:pt idx="113">
                  <c:v>0.183694712460194</c:v>
                </c:pt>
                <c:pt idx="114">
                  <c:v>0.17163178894125</c:v>
                </c:pt>
                <c:pt idx="115">
                  <c:v>0.162908855668001</c:v>
                </c:pt>
                <c:pt idx="116">
                  <c:v>0.151774287901559</c:v>
                </c:pt>
                <c:pt idx="117">
                  <c:v>0.1463922950846</c:v>
                </c:pt>
                <c:pt idx="118">
                  <c:v>0.1350714860413</c:v>
                </c:pt>
                <c:pt idx="119">
                  <c:v>0.126812255539003</c:v>
                </c:pt>
                <c:pt idx="120">
                  <c:v>0.117440328428539</c:v>
                </c:pt>
                <c:pt idx="121">
                  <c:v>0.110573156449697</c:v>
                </c:pt>
                <c:pt idx="122">
                  <c:v>0.103799105109283</c:v>
                </c:pt>
                <c:pt idx="123">
                  <c:v>0.0961907688653935</c:v>
                </c:pt>
                <c:pt idx="124">
                  <c:v>0.0890451851818603</c:v>
                </c:pt>
              </c:numCache>
            </c:numRef>
          </c:yVal>
        </c:ser>
        <c:axId val="4820798"/>
        <c:axId val="86561446"/>
      </c:scatterChart>
      <c:scatterChart>
        <c:scatterStyle val="lineMarker"/>
        <c:varyColors val="0"/>
        <c:ser>
          <c:idx val="0"/>
          <c:order val="0"/>
          <c:tx>
            <c:strRef>
              <c:f>"Photoconductance (Siemens)"</c:f>
              <c:strCache>
                <c:ptCount val="1"/>
                <c:pt idx="0">
                  <c:v>Photoconductance (Siemens)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/>
          <c:xVal>
            <c:numRef>
              <c:f>Calc!$A$9:$A$133</c:f>
              <c:numCache>
                <c:formatCode>General</c:formatCode>
                <c:ptCount val="125"/>
                <c:pt idx="0">
                  <c:v>4.99E-005</c:v>
                </c:pt>
                <c:pt idx="1">
                  <c:v>0.0001499</c:v>
                </c:pt>
                <c:pt idx="2">
                  <c:v>0.0002499</c:v>
                </c:pt>
                <c:pt idx="3">
                  <c:v>0.0003499</c:v>
                </c:pt>
                <c:pt idx="4">
                  <c:v>0.0004499</c:v>
                </c:pt>
                <c:pt idx="5">
                  <c:v>0.0005499</c:v>
                </c:pt>
                <c:pt idx="6">
                  <c:v>0.0006499</c:v>
                </c:pt>
                <c:pt idx="7">
                  <c:v>0.0007499</c:v>
                </c:pt>
                <c:pt idx="8">
                  <c:v>0.0008499</c:v>
                </c:pt>
                <c:pt idx="9">
                  <c:v>0.0009499</c:v>
                </c:pt>
                <c:pt idx="10">
                  <c:v>0.0010499</c:v>
                </c:pt>
                <c:pt idx="11">
                  <c:v>0.0011499</c:v>
                </c:pt>
                <c:pt idx="12">
                  <c:v>0.0012499</c:v>
                </c:pt>
                <c:pt idx="13">
                  <c:v>0.0013499</c:v>
                </c:pt>
                <c:pt idx="14">
                  <c:v>0.0014499</c:v>
                </c:pt>
                <c:pt idx="15">
                  <c:v>0.0015499</c:v>
                </c:pt>
                <c:pt idx="16">
                  <c:v>0.0016499</c:v>
                </c:pt>
                <c:pt idx="17">
                  <c:v>0.0017499</c:v>
                </c:pt>
                <c:pt idx="18">
                  <c:v>0.0018499</c:v>
                </c:pt>
                <c:pt idx="19">
                  <c:v>0.0019499</c:v>
                </c:pt>
                <c:pt idx="20">
                  <c:v>0.0020499</c:v>
                </c:pt>
                <c:pt idx="21">
                  <c:v>0.0021499</c:v>
                </c:pt>
                <c:pt idx="22">
                  <c:v>0.0022499</c:v>
                </c:pt>
                <c:pt idx="23">
                  <c:v>0.0023499</c:v>
                </c:pt>
                <c:pt idx="24">
                  <c:v>0.0024499</c:v>
                </c:pt>
                <c:pt idx="25">
                  <c:v>0.0025499</c:v>
                </c:pt>
                <c:pt idx="26">
                  <c:v>0.0026499</c:v>
                </c:pt>
                <c:pt idx="27">
                  <c:v>0.0027499</c:v>
                </c:pt>
                <c:pt idx="28">
                  <c:v>0.0028499</c:v>
                </c:pt>
                <c:pt idx="29">
                  <c:v>0.0029499</c:v>
                </c:pt>
                <c:pt idx="30">
                  <c:v>0.0030499</c:v>
                </c:pt>
                <c:pt idx="31">
                  <c:v>0.0031499</c:v>
                </c:pt>
                <c:pt idx="32">
                  <c:v>0.0032499</c:v>
                </c:pt>
                <c:pt idx="33">
                  <c:v>0.0033499</c:v>
                </c:pt>
                <c:pt idx="34">
                  <c:v>0.0034499</c:v>
                </c:pt>
                <c:pt idx="35">
                  <c:v>0.0035499</c:v>
                </c:pt>
                <c:pt idx="36">
                  <c:v>0.0036499</c:v>
                </c:pt>
                <c:pt idx="37">
                  <c:v>0.0037499</c:v>
                </c:pt>
                <c:pt idx="38">
                  <c:v>0.0038499</c:v>
                </c:pt>
                <c:pt idx="39">
                  <c:v>0.0039499</c:v>
                </c:pt>
                <c:pt idx="40">
                  <c:v>0.0040499</c:v>
                </c:pt>
                <c:pt idx="41">
                  <c:v>0.0041499</c:v>
                </c:pt>
                <c:pt idx="42">
                  <c:v>0.0042499</c:v>
                </c:pt>
                <c:pt idx="43">
                  <c:v>0.0043499</c:v>
                </c:pt>
                <c:pt idx="44">
                  <c:v>0.0044499</c:v>
                </c:pt>
                <c:pt idx="45">
                  <c:v>0.0045499</c:v>
                </c:pt>
                <c:pt idx="46">
                  <c:v>0.0046499</c:v>
                </c:pt>
                <c:pt idx="47">
                  <c:v>0.0047499</c:v>
                </c:pt>
                <c:pt idx="48">
                  <c:v>0.0048499</c:v>
                </c:pt>
                <c:pt idx="49">
                  <c:v>0.0049499</c:v>
                </c:pt>
                <c:pt idx="50">
                  <c:v>0.0050499</c:v>
                </c:pt>
                <c:pt idx="51">
                  <c:v>0.0051499</c:v>
                </c:pt>
                <c:pt idx="52">
                  <c:v>0.0052499</c:v>
                </c:pt>
                <c:pt idx="53">
                  <c:v>0.0053499</c:v>
                </c:pt>
                <c:pt idx="54">
                  <c:v>0.0054499</c:v>
                </c:pt>
                <c:pt idx="55">
                  <c:v>0.0055499</c:v>
                </c:pt>
                <c:pt idx="56">
                  <c:v>0.0056499</c:v>
                </c:pt>
                <c:pt idx="57">
                  <c:v>0.0057499</c:v>
                </c:pt>
                <c:pt idx="58">
                  <c:v>0.0058499</c:v>
                </c:pt>
                <c:pt idx="59">
                  <c:v>0.0059499</c:v>
                </c:pt>
                <c:pt idx="60">
                  <c:v>0.0060499</c:v>
                </c:pt>
                <c:pt idx="61">
                  <c:v>0.0061499</c:v>
                </c:pt>
                <c:pt idx="62">
                  <c:v>0.0062499</c:v>
                </c:pt>
                <c:pt idx="63">
                  <c:v>0.0063499</c:v>
                </c:pt>
                <c:pt idx="64">
                  <c:v>0.0064499</c:v>
                </c:pt>
                <c:pt idx="65">
                  <c:v>0.0065499</c:v>
                </c:pt>
                <c:pt idx="66">
                  <c:v>0.0066499</c:v>
                </c:pt>
                <c:pt idx="67">
                  <c:v>0.0067499</c:v>
                </c:pt>
                <c:pt idx="68">
                  <c:v>0.0068499</c:v>
                </c:pt>
                <c:pt idx="69">
                  <c:v>0.0069499</c:v>
                </c:pt>
                <c:pt idx="70">
                  <c:v>0.0070499</c:v>
                </c:pt>
                <c:pt idx="71">
                  <c:v>0.0071499</c:v>
                </c:pt>
                <c:pt idx="72">
                  <c:v>0.0072499</c:v>
                </c:pt>
                <c:pt idx="73">
                  <c:v>0.0073499</c:v>
                </c:pt>
                <c:pt idx="74">
                  <c:v>0.0074499</c:v>
                </c:pt>
                <c:pt idx="75">
                  <c:v>0.0075499</c:v>
                </c:pt>
                <c:pt idx="76">
                  <c:v>0.0076499</c:v>
                </c:pt>
                <c:pt idx="77">
                  <c:v>0.0077499</c:v>
                </c:pt>
                <c:pt idx="78">
                  <c:v>0.0078499</c:v>
                </c:pt>
                <c:pt idx="79">
                  <c:v>0.0079499</c:v>
                </c:pt>
                <c:pt idx="80">
                  <c:v>0.0080499</c:v>
                </c:pt>
                <c:pt idx="81">
                  <c:v>0.0081499</c:v>
                </c:pt>
                <c:pt idx="82">
                  <c:v>0.0082499</c:v>
                </c:pt>
                <c:pt idx="83">
                  <c:v>0.0083499</c:v>
                </c:pt>
                <c:pt idx="84">
                  <c:v>0.0084499</c:v>
                </c:pt>
                <c:pt idx="85">
                  <c:v>0.0085499</c:v>
                </c:pt>
                <c:pt idx="86">
                  <c:v>0.0086499</c:v>
                </c:pt>
                <c:pt idx="87">
                  <c:v>0.0087499</c:v>
                </c:pt>
                <c:pt idx="88">
                  <c:v>0.0088499</c:v>
                </c:pt>
                <c:pt idx="89">
                  <c:v>0.0089499</c:v>
                </c:pt>
                <c:pt idx="90">
                  <c:v>0.0090499</c:v>
                </c:pt>
                <c:pt idx="91">
                  <c:v>0.0091499</c:v>
                </c:pt>
                <c:pt idx="92">
                  <c:v>0.0092499</c:v>
                </c:pt>
                <c:pt idx="93">
                  <c:v>0.0093499</c:v>
                </c:pt>
                <c:pt idx="94">
                  <c:v>0.0094499</c:v>
                </c:pt>
                <c:pt idx="95">
                  <c:v>0.0095499</c:v>
                </c:pt>
                <c:pt idx="96">
                  <c:v>0.0096499</c:v>
                </c:pt>
                <c:pt idx="97">
                  <c:v>0.0097499</c:v>
                </c:pt>
                <c:pt idx="98">
                  <c:v>0.0098499</c:v>
                </c:pt>
                <c:pt idx="99">
                  <c:v>0.0099499</c:v>
                </c:pt>
                <c:pt idx="100">
                  <c:v>0.0100499</c:v>
                </c:pt>
                <c:pt idx="101">
                  <c:v>0.0101499</c:v>
                </c:pt>
                <c:pt idx="102">
                  <c:v>0.0102499</c:v>
                </c:pt>
                <c:pt idx="103">
                  <c:v>0.0103499</c:v>
                </c:pt>
                <c:pt idx="104">
                  <c:v>0.0104499</c:v>
                </c:pt>
                <c:pt idx="105">
                  <c:v>0.0105499</c:v>
                </c:pt>
                <c:pt idx="106">
                  <c:v>0.0106499</c:v>
                </c:pt>
                <c:pt idx="107">
                  <c:v>0.0107499</c:v>
                </c:pt>
                <c:pt idx="108">
                  <c:v>0.0108499</c:v>
                </c:pt>
                <c:pt idx="109">
                  <c:v>0.0109499</c:v>
                </c:pt>
                <c:pt idx="110">
                  <c:v>0.0110499</c:v>
                </c:pt>
                <c:pt idx="111">
                  <c:v>0.0111499</c:v>
                </c:pt>
                <c:pt idx="112">
                  <c:v>0.0112499</c:v>
                </c:pt>
                <c:pt idx="113">
                  <c:v>0.0113499</c:v>
                </c:pt>
                <c:pt idx="114">
                  <c:v>0.0114499</c:v>
                </c:pt>
                <c:pt idx="115">
                  <c:v>0.0115499</c:v>
                </c:pt>
                <c:pt idx="116">
                  <c:v>0.0116499</c:v>
                </c:pt>
                <c:pt idx="117">
                  <c:v>0.0117499</c:v>
                </c:pt>
                <c:pt idx="118">
                  <c:v>0.0118499</c:v>
                </c:pt>
                <c:pt idx="119">
                  <c:v>0.0119499</c:v>
                </c:pt>
                <c:pt idx="120">
                  <c:v>0.0120499</c:v>
                </c:pt>
                <c:pt idx="121">
                  <c:v>0.0121499</c:v>
                </c:pt>
                <c:pt idx="122">
                  <c:v>0.0122499</c:v>
                </c:pt>
                <c:pt idx="123">
                  <c:v>0.0123499</c:v>
                </c:pt>
                <c:pt idx="124">
                  <c:v>0.0124499</c:v>
                </c:pt>
              </c:numCache>
            </c:numRef>
          </c:xVal>
          <c:yVal>
            <c:numRef>
              <c:f>Calc!$H$9:$H$133</c:f>
              <c:numCache>
                <c:formatCode>General</c:formatCode>
                <c:ptCount val="125"/>
                <c:pt idx="0">
                  <c:v>0.0310258182262369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</c:numCache>
            </c:numRef>
          </c:yVal>
        </c:ser>
        <c:ser>
          <c:idx val="1"/>
          <c:order val="1"/>
          <c:tx>
            <c:strRef>
              <c:f>"First Point Analyzed"</c:f>
              <c:strCache>
                <c:ptCount val="1"/>
                <c:pt idx="0">
                  <c:v>First Point Analyzed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[0]!TimeofMaxCD</c:f>
              <c:numCache>
                <c:formatCode>General</c:formatCode>
                <c:ptCount val="0"/>
              </c:numCache>
            </c:numRef>
          </c:xVal>
          <c:yVal>
            <c:numRef>
              <c:f>[0]!FirstPoint</c:f>
              <c:numCache>
                <c:formatCode>General</c:formatCode>
                <c:ptCount val="0"/>
              </c:numCache>
            </c:numRef>
          </c:yVal>
        </c:ser>
        <c:axId val="76375637"/>
        <c:axId val="15762910"/>
      </c:scatterChart>
      <c:valAx>
        <c:axId val="4820798"/>
        <c:scaling>
          <c:orientation val="minMax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Time (seconds)</a:t>
                </a:r>
              </a:p>
            </c:rich>
          </c:tx>
        </c:title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86561446"/>
        <c:crossesAt val="0"/>
      </c:valAx>
      <c:valAx>
        <c:axId val="86561446"/>
        <c:scaling>
          <c:orientation val="minMax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2004ec"/>
                    </a:solidFill>
                    <a:latin typeface="Calibri"/>
                  </a:rPr>
                  <a:t>Illumination (suns)</a:t>
                </a:r>
              </a:p>
            </c:rich>
          </c:tx>
        </c:title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2004ec"/>
            </a:solidFill>
            <a:round/>
          </a:ln>
        </c:spPr>
        <c:crossAx val="4820798"/>
        <c:crossesAt val="0"/>
      </c:valAx>
      <c:valAx>
        <c:axId val="76375637"/>
        <c:scaling>
          <c:orientation val="minMax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Time (seconds)</a:t>
                </a:r>
              </a:p>
            </c:rich>
          </c:tx>
        </c:title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15762910"/>
        <c:crossesAt val="0"/>
      </c:valAx>
      <c:valAx>
        <c:axId val="15762910"/>
        <c:scaling>
          <c:orientation val="minMax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ff0000"/>
                    </a:solidFill>
                    <a:latin typeface="Calibri"/>
                  </a:rPr>
                  <a:t>Photoconductance (Siemens)</a:t>
                </a:r>
              </a:p>
            </c:rich>
          </c:tx>
        </c:title>
        <c:delete val="0"/>
        <c:axPos val="l"/>
        <c:majorTickMark val="out"/>
        <c:minorTickMark val="none"/>
        <c:tickLblPos val="nextTo"/>
        <c:spPr>
          <a:ln w="9360">
            <a:solidFill>
              <a:srgbClr val="ff0000"/>
            </a:solidFill>
            <a:round/>
          </a:ln>
        </c:spPr>
        <c:crossAx val="76375637"/>
        <c:crosses val="max"/>
      </c:valAx>
      <c:spPr>
        <a:solidFill>
          <a:srgbClr val="ffffff"/>
        </a:solidFill>
        <a:ln>
          <a:solidFill>
            <a:srgbClr val="000000"/>
          </a:solidFill>
        </a:ln>
      </c:spPr>
    </c:plotArea>
    <c:legend>
      <c:legendPos val="r"/>
      <c:spPr>
        <a:solidFill>
          <a:srgbClr val="ffffff"/>
        </a:solidFill>
        <a:ln>
          <a:solidFill>
            <a:srgbClr val="000000"/>
          </a:solidFill>
        </a:ln>
      </c:spPr>
    </c:legend>
    <c:plotVisOnly val="1"/>
  </c:chart>
  <c:spPr>
    <a:noFill/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>
                <a:solidFill>
                  <a:srgbClr val="000000"/>
                </a:solidFill>
                <a:latin typeface="Calibri"/>
              </a:rPr>
              <a:t>Inverse Lifetime (Corrected) vs. Carrier Density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"Minority Carrier Density"</c:f>
              <c:strCache>
                <c:ptCount val="1"/>
                <c:pt idx="0">
                  <c:v>Minority Carrier Density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Calc!$O$15:$O$130</c:f>
              <c:numCache>
                <c:formatCode>General</c:formatCode>
                <c:ptCount val="116"/>
                <c:pt idx="0">
                  <c:v>33094189745940200</c:v>
                </c:pt>
                <c:pt idx="1">
                  <c:v>31509624705700300</c:v>
                </c:pt>
                <c:pt idx="2">
                  <c:v>29891736272606900</c:v>
                </c:pt>
                <c:pt idx="3">
                  <c:v>28297879556163500</c:v>
                </c:pt>
                <c:pt idx="4">
                  <c:v>26752924575107000</c:v>
                </c:pt>
                <c:pt idx="5">
                  <c:v>25263397175589000</c:v>
                </c:pt>
                <c:pt idx="6">
                  <c:v>23827630108026100</c:v>
                </c:pt>
                <c:pt idx="7">
                  <c:v>22456291055661500</c:v>
                </c:pt>
                <c:pt idx="8">
                  <c:v>21155974638805200</c:v>
                </c:pt>
                <c:pt idx="9">
                  <c:v>19908759707753300</c:v>
                </c:pt>
                <c:pt idx="10">
                  <c:v>18728247707966400</c:v>
                </c:pt>
                <c:pt idx="11">
                  <c:v>17605699975024100</c:v>
                </c:pt>
                <c:pt idx="12">
                  <c:v>16539968009497500</c:v>
                </c:pt>
                <c:pt idx="13">
                  <c:v>15535100296298000</c:v>
                </c:pt>
                <c:pt idx="14">
                  <c:v>14583243862017500</c:v>
                </c:pt>
                <c:pt idx="15">
                  <c:v>13689584349206500</c:v>
                </c:pt>
                <c:pt idx="16">
                  <c:v>12845970111505300</c:v>
                </c:pt>
                <c:pt idx="17">
                  <c:v>12051435426874400</c:v>
                </c:pt>
                <c:pt idx="18">
                  <c:v>11304792156430900</c:v>
                </c:pt>
                <c:pt idx="19">
                  <c:v>10602611747998900</c:v>
                </c:pt>
                <c:pt idx="20">
                  <c:v>9949873671104590</c:v>
                </c:pt>
                <c:pt idx="21">
                  <c:v>9332678772147270</c:v>
                </c:pt>
                <c:pt idx="22">
                  <c:v>8754445669875410</c:v>
                </c:pt>
                <c:pt idx="23">
                  <c:v>8211088727205680</c:v>
                </c:pt>
                <c:pt idx="24">
                  <c:v>7702864378172590</c:v>
                </c:pt>
                <c:pt idx="25">
                  <c:v>7226807255739610</c:v>
                </c:pt>
                <c:pt idx="26">
                  <c:v>6777655477861600</c:v>
                </c:pt>
                <c:pt idx="27">
                  <c:v>6355404294101230</c:v>
                </c:pt>
                <c:pt idx="28">
                  <c:v>5958129488975960</c:v>
                </c:pt>
                <c:pt idx="29">
                  <c:v>5589119782351900</c:v>
                </c:pt>
                <c:pt idx="30">
                  <c:v>5240117478900220</c:v>
                </c:pt>
                <c:pt idx="31">
                  <c:v>4912154763705850</c:v>
                </c:pt>
                <c:pt idx="32">
                  <c:v>4608586025899590</c:v>
                </c:pt>
                <c:pt idx="33">
                  <c:v>4320303762359760</c:v>
                </c:pt>
                <c:pt idx="34">
                  <c:v>4047128628949140</c:v>
                </c:pt>
                <c:pt idx="35">
                  <c:v>3792086185908160</c:v>
                </c:pt>
                <c:pt idx="36">
                  <c:v>3558946252789220</c:v>
                </c:pt>
                <c:pt idx="37">
                  <c:v>3334347137827980</c:v>
                </c:pt>
                <c:pt idx="38">
                  <c:v>3126622200397880</c:v>
                </c:pt>
                <c:pt idx="39">
                  <c:v>2931046234871820</c:v>
                </c:pt>
                <c:pt idx="40">
                  <c:v>2748983842134610</c:v>
                </c:pt>
                <c:pt idx="41">
                  <c:v>2574693173309650</c:v>
                </c:pt>
                <c:pt idx="42">
                  <c:v>2414878703535610</c:v>
                </c:pt>
                <c:pt idx="43">
                  <c:v>2266083458860130</c:v>
                </c:pt>
                <c:pt idx="44">
                  <c:v>2125971438414310</c:v>
                </c:pt>
                <c:pt idx="45">
                  <c:v>1989964370513320</c:v>
                </c:pt>
                <c:pt idx="46">
                  <c:v>1864797110184120</c:v>
                </c:pt>
                <c:pt idx="47">
                  <c:v>1746876132224580</c:v>
                </c:pt>
                <c:pt idx="48">
                  <c:v>1638419307940450</c:v>
                </c:pt>
                <c:pt idx="49">
                  <c:v>1535491452734930</c:v>
                </c:pt>
                <c:pt idx="50">
                  <c:v>1439826951286910</c:v>
                </c:pt>
                <c:pt idx="51">
                  <c:v>1350685112988700</c:v>
                </c:pt>
                <c:pt idx="52">
                  <c:v>1264012780965970</c:v>
                </c:pt>
                <c:pt idx="53">
                  <c:v>1184160970027500</c:v>
                </c:pt>
                <c:pt idx="54">
                  <c:v>1110287849279560</c:v>
                </c:pt>
                <c:pt idx="55">
                  <c:v>1037141572389610</c:v>
                </c:pt>
                <c:pt idx="56">
                  <c:v>977772529288657</c:v>
                </c:pt>
                <c:pt idx="57">
                  <c:v>916903108915604</c:v>
                </c:pt>
                <c:pt idx="58">
                  <c:v>858506603042325</c:v>
                </c:pt>
                <c:pt idx="59">
                  <c:v>805968056995729</c:v>
                </c:pt>
                <c:pt idx="60">
                  <c:v>755879257963519</c:v>
                </c:pt>
                <c:pt idx="61">
                  <c:v>707967165894605</c:v>
                </c:pt>
                <c:pt idx="62">
                  <c:v>661500068404725</c:v>
                </c:pt>
                <c:pt idx="63">
                  <c:v>620802574185446</c:v>
                </c:pt>
                <c:pt idx="64">
                  <c:v>582300309816828</c:v>
                </c:pt>
                <c:pt idx="65">
                  <c:v>545005614705633</c:v>
                </c:pt>
                <c:pt idx="66">
                  <c:v>510151221833608</c:v>
                </c:pt>
                <c:pt idx="67">
                  <c:v>479049614787835</c:v>
                </c:pt>
                <c:pt idx="68">
                  <c:v>447499320366370</c:v>
                </c:pt>
                <c:pt idx="69">
                  <c:v>421958337673398</c:v>
                </c:pt>
                <c:pt idx="70">
                  <c:v>395562562247333</c:v>
                </c:pt>
                <c:pt idx="71">
                  <c:v>369634442045838</c:v>
                </c:pt>
                <c:pt idx="72">
                  <c:v>346770608412039</c:v>
                </c:pt>
                <c:pt idx="73">
                  <c:v>324034467606480</c:v>
                </c:pt>
                <c:pt idx="74">
                  <c:v>301783714180183</c:v>
                </c:pt>
                <c:pt idx="75">
                  <c:v>284296418020692</c:v>
                </c:pt>
                <c:pt idx="76">
                  <c:v>264637960521096</c:v>
                </c:pt>
                <c:pt idx="77">
                  <c:v>248774139642155</c:v>
                </c:pt>
                <c:pt idx="78">
                  <c:v>234293024261246</c:v>
                </c:pt>
                <c:pt idx="79">
                  <c:v>218706869289316</c:v>
                </c:pt>
                <c:pt idx="80">
                  <c:v>204618740201941</c:v>
                </c:pt>
                <c:pt idx="81">
                  <c:v>192789613599167</c:v>
                </c:pt>
                <c:pt idx="82">
                  <c:v>180885870525469</c:v>
                </c:pt>
                <c:pt idx="83">
                  <c:v>168995550058679</c:v>
                </c:pt>
                <c:pt idx="84">
                  <c:v>159441084468022</c:v>
                </c:pt>
                <c:pt idx="85">
                  <c:v>151539967661566</c:v>
                </c:pt>
                <c:pt idx="86">
                  <c:v>140420087935485</c:v>
                </c:pt>
                <c:pt idx="87">
                  <c:v>133209306812886</c:v>
                </c:pt>
                <c:pt idx="88">
                  <c:v>122082574445884</c:v>
                </c:pt>
                <c:pt idx="89">
                  <c:v>113806058023588</c:v>
                </c:pt>
                <c:pt idx="90">
                  <c:v>105129014300300</c:v>
                </c:pt>
                <c:pt idx="91">
                  <c:v>100312421108554</c:v>
                </c:pt>
                <c:pt idx="92">
                  <c:v>92904360815706.8</c:v>
                </c:pt>
                <c:pt idx="93">
                  <c:v>84717255660120.9</c:v>
                </c:pt>
                <c:pt idx="94">
                  <c:v>81107387371609.9</c:v>
                </c:pt>
                <c:pt idx="95">
                  <c:v>73690460933525.9</c:v>
                </c:pt>
                <c:pt idx="96">
                  <c:v>70755458155712.5</c:v>
                </c:pt>
                <c:pt idx="97">
                  <c:v>69709400525524</c:v>
                </c:pt>
                <c:pt idx="98">
                  <c:v>64163141544923.7</c:v>
                </c:pt>
                <c:pt idx="99">
                  <c:v>59549733263458.2</c:v>
                </c:pt>
                <c:pt idx="100">
                  <c:v>56389325825649.6</c:v>
                </c:pt>
                <c:pt idx="101">
                  <c:v>54099898148273.9</c:v>
                </c:pt>
                <c:pt idx="102">
                  <c:v>45501501107646.4</c:v>
                </c:pt>
                <c:pt idx="103">
                  <c:v>43939725689345.2</c:v>
                </c:pt>
                <c:pt idx="104">
                  <c:v>41800301029689.8</c:v>
                </c:pt>
                <c:pt idx="105">
                  <c:v>41019918286339.9</c:v>
                </c:pt>
                <c:pt idx="106">
                  <c:v>38073114983681.9</c:v>
                </c:pt>
                <c:pt idx="107">
                  <c:v>33310224587328.3</c:v>
                </c:pt>
                <c:pt idx="108">
                  <c:v>32646757858004.8</c:v>
                </c:pt>
                <c:pt idx="109">
                  <c:v>29186774225621.7</c:v>
                </c:pt>
                <c:pt idx="110">
                  <c:v>27342694042775.6</c:v>
                </c:pt>
                <c:pt idx="111">
                  <c:v>26449772194609.8</c:v>
                </c:pt>
                <c:pt idx="112">
                  <c:v>26881842656070.6</c:v>
                </c:pt>
                <c:pt idx="113">
                  <c:v>26132991744538</c:v>
                </c:pt>
                <c:pt idx="114">
                  <c:v>25960251382945.2</c:v>
                </c:pt>
                <c:pt idx="115">
                  <c:v>24952516219816.5</c:v>
                </c:pt>
              </c:numCache>
            </c:numRef>
          </c:xVal>
          <c:yVal>
            <c:numRef>
              <c:f>Calc!$S$15:$S$130</c:f>
              <c:numCache>
                <c:formatCode>General</c:formatCode>
                <c:ptCount val="116"/>
                <c:pt idx="0">
                  <c:v>12008.6086889953</c:v>
                </c:pt>
                <c:pt idx="1">
                  <c:v>12074.2659662192</c:v>
                </c:pt>
                <c:pt idx="2">
                  <c:v>12159.0625666404</c:v>
                </c:pt>
                <c:pt idx="3">
                  <c:v>12255.4193107308</c:v>
                </c:pt>
                <c:pt idx="4">
                  <c:v>12357.7713135225</c:v>
                </c:pt>
                <c:pt idx="5">
                  <c:v>12463.5343063966</c:v>
                </c:pt>
                <c:pt idx="6">
                  <c:v>12569.6652612926</c:v>
                </c:pt>
                <c:pt idx="7">
                  <c:v>12679.8546813527</c:v>
                </c:pt>
                <c:pt idx="8">
                  <c:v>12784.122382635</c:v>
                </c:pt>
                <c:pt idx="9">
                  <c:v>12899.4130867774</c:v>
                </c:pt>
                <c:pt idx="10">
                  <c:v>13013.5720807955</c:v>
                </c:pt>
                <c:pt idx="11">
                  <c:v>13128.5455652436</c:v>
                </c:pt>
                <c:pt idx="12">
                  <c:v>13246.6345990308</c:v>
                </c:pt>
                <c:pt idx="13">
                  <c:v>13365.8308789799</c:v>
                </c:pt>
                <c:pt idx="14">
                  <c:v>13492.4287635514</c:v>
                </c:pt>
                <c:pt idx="15">
                  <c:v>13618.9138983113</c:v>
                </c:pt>
                <c:pt idx="16">
                  <c:v>13748.5429664687</c:v>
                </c:pt>
                <c:pt idx="17">
                  <c:v>13879.3949724333</c:v>
                </c:pt>
                <c:pt idx="18">
                  <c:v>14016.3121587604</c:v>
                </c:pt>
                <c:pt idx="19">
                  <c:v>14156.5830447254</c:v>
                </c:pt>
                <c:pt idx="20">
                  <c:v>14292.1651063499</c:v>
                </c:pt>
                <c:pt idx="21">
                  <c:v>14436.2983047226</c:v>
                </c:pt>
                <c:pt idx="22">
                  <c:v>14558.9439561373</c:v>
                </c:pt>
                <c:pt idx="23">
                  <c:v>14706.9366628815</c:v>
                </c:pt>
                <c:pt idx="24">
                  <c:v>14858.9992073627</c:v>
                </c:pt>
                <c:pt idx="25">
                  <c:v>15023.5631036112</c:v>
                </c:pt>
                <c:pt idx="26">
                  <c:v>15194.8843367101</c:v>
                </c:pt>
                <c:pt idx="27">
                  <c:v>15369.1387527595</c:v>
                </c:pt>
                <c:pt idx="28">
                  <c:v>15552.5126328733</c:v>
                </c:pt>
                <c:pt idx="29">
                  <c:v>15733.0247114971</c:v>
                </c:pt>
                <c:pt idx="30">
                  <c:v>15922.7680756907</c:v>
                </c:pt>
                <c:pt idx="31">
                  <c:v>16133.9084526571</c:v>
                </c:pt>
                <c:pt idx="32">
                  <c:v>16314.9746300821</c:v>
                </c:pt>
                <c:pt idx="33">
                  <c:v>16533.9114471309</c:v>
                </c:pt>
                <c:pt idx="34">
                  <c:v>16757.7604460594</c:v>
                </c:pt>
                <c:pt idx="35">
                  <c:v>16988.6320889989</c:v>
                </c:pt>
                <c:pt idx="36">
                  <c:v>17196.5097091559</c:v>
                </c:pt>
                <c:pt idx="37">
                  <c:v>17443.2281771993</c:v>
                </c:pt>
                <c:pt idx="38">
                  <c:v>17682.8709446895</c:v>
                </c:pt>
                <c:pt idx="39">
                  <c:v>17939.557952781</c:v>
                </c:pt>
                <c:pt idx="40">
                  <c:v>18190.9559722004</c:v>
                </c:pt>
                <c:pt idx="41">
                  <c:v>18463.4985397179</c:v>
                </c:pt>
                <c:pt idx="42">
                  <c:v>18727.7617655081</c:v>
                </c:pt>
                <c:pt idx="43">
                  <c:v>18997.1209443676</c:v>
                </c:pt>
                <c:pt idx="44">
                  <c:v>19264.4030492721</c:v>
                </c:pt>
                <c:pt idx="45">
                  <c:v>19600.2192852592</c:v>
                </c:pt>
                <c:pt idx="46">
                  <c:v>19908.4470933919</c:v>
                </c:pt>
                <c:pt idx="47">
                  <c:v>20215.5410090328</c:v>
                </c:pt>
                <c:pt idx="48">
                  <c:v>20532.1904171238</c:v>
                </c:pt>
                <c:pt idx="49">
                  <c:v>20862.64808521</c:v>
                </c:pt>
                <c:pt idx="50">
                  <c:v>21189.2653792299</c:v>
                </c:pt>
                <c:pt idx="51">
                  <c:v>21510.3399265703</c:v>
                </c:pt>
                <c:pt idx="52">
                  <c:v>21859.4360267986</c:v>
                </c:pt>
                <c:pt idx="53">
                  <c:v>22232.7103256428</c:v>
                </c:pt>
                <c:pt idx="54">
                  <c:v>22566.1045719032</c:v>
                </c:pt>
                <c:pt idx="55">
                  <c:v>22986.3658859518</c:v>
                </c:pt>
                <c:pt idx="56">
                  <c:v>23185.3290984385</c:v>
                </c:pt>
                <c:pt idx="57">
                  <c:v>23537.6606553246</c:v>
                </c:pt>
                <c:pt idx="58">
                  <c:v>23981.3589046398</c:v>
                </c:pt>
                <c:pt idx="59">
                  <c:v>24346.6170992677</c:v>
                </c:pt>
                <c:pt idx="60">
                  <c:v>24732.7112304865</c:v>
                </c:pt>
                <c:pt idx="61">
                  <c:v>25157.7635231457</c:v>
                </c:pt>
                <c:pt idx="62">
                  <c:v>25582.7184458386</c:v>
                </c:pt>
                <c:pt idx="63">
                  <c:v>25980.8290256617</c:v>
                </c:pt>
                <c:pt idx="64">
                  <c:v>26396.2122570136</c:v>
                </c:pt>
                <c:pt idx="65">
                  <c:v>26843.8067003263</c:v>
                </c:pt>
                <c:pt idx="66">
                  <c:v>27331.8488056707</c:v>
                </c:pt>
                <c:pt idx="67">
                  <c:v>27699.9351123319</c:v>
                </c:pt>
                <c:pt idx="68">
                  <c:v>28260.6161950187</c:v>
                </c:pt>
                <c:pt idx="69">
                  <c:v>28537.3308417018</c:v>
                </c:pt>
                <c:pt idx="70">
                  <c:v>29005.5617197081</c:v>
                </c:pt>
                <c:pt idx="71">
                  <c:v>29545.9312255005</c:v>
                </c:pt>
                <c:pt idx="72">
                  <c:v>30010.0878016675</c:v>
                </c:pt>
                <c:pt idx="73">
                  <c:v>30528.5524601331</c:v>
                </c:pt>
                <c:pt idx="74">
                  <c:v>31188.424147861</c:v>
                </c:pt>
                <c:pt idx="75">
                  <c:v>31536.8407252838</c:v>
                </c:pt>
                <c:pt idx="76">
                  <c:v>32151.1475497567</c:v>
                </c:pt>
                <c:pt idx="77">
                  <c:v>32620.1088670776</c:v>
                </c:pt>
                <c:pt idx="78">
                  <c:v>32970.3508401679</c:v>
                </c:pt>
                <c:pt idx="79">
                  <c:v>33494.9229025665</c:v>
                </c:pt>
                <c:pt idx="80">
                  <c:v>34147.8059008804</c:v>
                </c:pt>
                <c:pt idx="81">
                  <c:v>34427.7631349382</c:v>
                </c:pt>
                <c:pt idx="82">
                  <c:v>34913.9546139905</c:v>
                </c:pt>
                <c:pt idx="83">
                  <c:v>35398.2360932826</c:v>
                </c:pt>
                <c:pt idx="84">
                  <c:v>35704.7906996645</c:v>
                </c:pt>
                <c:pt idx="85">
                  <c:v>35704.5471638802</c:v>
                </c:pt>
                <c:pt idx="86">
                  <c:v>36730.0010273966</c:v>
                </c:pt>
                <c:pt idx="87">
                  <c:v>36534.5756721721</c:v>
                </c:pt>
                <c:pt idx="88">
                  <c:v>38055.892180458</c:v>
                </c:pt>
                <c:pt idx="89">
                  <c:v>38791.2819460606</c:v>
                </c:pt>
                <c:pt idx="90">
                  <c:v>39623.6354851003</c:v>
                </c:pt>
                <c:pt idx="91">
                  <c:v>39333.1475376596</c:v>
                </c:pt>
                <c:pt idx="92">
                  <c:v>40247.5566212323</c:v>
                </c:pt>
                <c:pt idx="93">
                  <c:v>41917.377912132</c:v>
                </c:pt>
                <c:pt idx="94">
                  <c:v>41346.7597154372</c:v>
                </c:pt>
                <c:pt idx="95">
                  <c:v>42937.0651867553</c:v>
                </c:pt>
                <c:pt idx="96">
                  <c:v>42427.4784322789</c:v>
                </c:pt>
                <c:pt idx="97">
                  <c:v>40720.6572411457</c:v>
                </c:pt>
                <c:pt idx="98">
                  <c:v>41754.7528583226</c:v>
                </c:pt>
                <c:pt idx="99">
                  <c:v>42443.5699783791</c:v>
                </c:pt>
                <c:pt idx="100">
                  <c:v>42840.0452037559</c:v>
                </c:pt>
                <c:pt idx="101">
                  <c:v>41807.1849890529</c:v>
                </c:pt>
                <c:pt idx="102">
                  <c:v>47193.3643220489</c:v>
                </c:pt>
                <c:pt idx="103">
                  <c:v>46025.2661643422</c:v>
                </c:pt>
                <c:pt idx="104">
                  <c:v>44894.674217343</c:v>
                </c:pt>
                <c:pt idx="105">
                  <c:v>43414.0293100617</c:v>
                </c:pt>
                <c:pt idx="106">
                  <c:v>44385.4933996055</c:v>
                </c:pt>
                <c:pt idx="107">
                  <c:v>47591.157737937</c:v>
                </c:pt>
                <c:pt idx="108">
                  <c:v>45320.6443564971</c:v>
                </c:pt>
                <c:pt idx="109">
                  <c:v>47936.6438079437</c:v>
                </c:pt>
                <c:pt idx="110">
                  <c:v>47545.8191320019</c:v>
                </c:pt>
                <c:pt idx="111">
                  <c:v>47136.0782946411</c:v>
                </c:pt>
                <c:pt idx="112">
                  <c:v>42681.1121951383</c:v>
                </c:pt>
                <c:pt idx="113">
                  <c:v>41258.6848325384</c:v>
                </c:pt>
                <c:pt idx="114">
                  <c:v>38894.9319879527</c:v>
                </c:pt>
                <c:pt idx="115">
                  <c:v>38281.7749208662</c:v>
                </c:pt>
              </c:numCache>
            </c:numRef>
          </c:yVal>
        </c:ser>
        <c:ser>
          <c:idx val="1"/>
          <c:order val="1"/>
          <c:tx>
            <c:strRef>
              <c:f>"Apprent Carrier Density"</c:f>
              <c:strCache>
                <c:ptCount val="1"/>
                <c:pt idx="0">
                  <c:v>Apprent Carrier Density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Calc!$I$15:$I$130</c:f>
              <c:numCache>
                <c:formatCode>General</c:formatCode>
                <c:ptCount val="116"/>
                <c:pt idx="0">
                  <c:v>33094189745940200</c:v>
                </c:pt>
                <c:pt idx="1">
                  <c:v>31509624705700300</c:v>
                </c:pt>
                <c:pt idx="2">
                  <c:v>29891736272606900</c:v>
                </c:pt>
                <c:pt idx="3">
                  <c:v>28297879556163500</c:v>
                </c:pt>
                <c:pt idx="4">
                  <c:v>26752924575107000</c:v>
                </c:pt>
                <c:pt idx="5">
                  <c:v>25263397175589000</c:v>
                </c:pt>
                <c:pt idx="6">
                  <c:v>23827630108026100</c:v>
                </c:pt>
                <c:pt idx="7">
                  <c:v>22456291055661500</c:v>
                </c:pt>
                <c:pt idx="8">
                  <c:v>21155974638805200</c:v>
                </c:pt>
                <c:pt idx="9">
                  <c:v>19908759707753300</c:v>
                </c:pt>
                <c:pt idx="10">
                  <c:v>18728247707966400</c:v>
                </c:pt>
                <c:pt idx="11">
                  <c:v>17605699975024100</c:v>
                </c:pt>
                <c:pt idx="12">
                  <c:v>16539968009497500</c:v>
                </c:pt>
                <c:pt idx="13">
                  <c:v>15535100296298000</c:v>
                </c:pt>
                <c:pt idx="14">
                  <c:v>14583243862017500</c:v>
                </c:pt>
                <c:pt idx="15">
                  <c:v>13689584349206500</c:v>
                </c:pt>
                <c:pt idx="16">
                  <c:v>12845970111505300</c:v>
                </c:pt>
                <c:pt idx="17">
                  <c:v>12051435426874400</c:v>
                </c:pt>
                <c:pt idx="18">
                  <c:v>11304792156430900</c:v>
                </c:pt>
                <c:pt idx="19">
                  <c:v>10602611747998900</c:v>
                </c:pt>
                <c:pt idx="20">
                  <c:v>9949873671104590</c:v>
                </c:pt>
                <c:pt idx="21">
                  <c:v>9332678772147270</c:v>
                </c:pt>
                <c:pt idx="22">
                  <c:v>8754445669875410</c:v>
                </c:pt>
                <c:pt idx="23">
                  <c:v>8211088727205680</c:v>
                </c:pt>
                <c:pt idx="24">
                  <c:v>7702864378172590</c:v>
                </c:pt>
                <c:pt idx="25">
                  <c:v>7226807255739610</c:v>
                </c:pt>
                <c:pt idx="26">
                  <c:v>6777655477861600</c:v>
                </c:pt>
                <c:pt idx="27">
                  <c:v>6355404294101230</c:v>
                </c:pt>
                <c:pt idx="28">
                  <c:v>5958129488975960</c:v>
                </c:pt>
                <c:pt idx="29">
                  <c:v>5589119782351900</c:v>
                </c:pt>
                <c:pt idx="30">
                  <c:v>5240117478900220</c:v>
                </c:pt>
                <c:pt idx="31">
                  <c:v>4912154763705850</c:v>
                </c:pt>
                <c:pt idx="32">
                  <c:v>4608586025899590</c:v>
                </c:pt>
                <c:pt idx="33">
                  <c:v>4320303762359760</c:v>
                </c:pt>
                <c:pt idx="34">
                  <c:v>4047128628949140</c:v>
                </c:pt>
                <c:pt idx="35">
                  <c:v>3792086185908160</c:v>
                </c:pt>
                <c:pt idx="36">
                  <c:v>3558946252789220</c:v>
                </c:pt>
                <c:pt idx="37">
                  <c:v>3334347137827980</c:v>
                </c:pt>
                <c:pt idx="38">
                  <c:v>3126622200397880</c:v>
                </c:pt>
                <c:pt idx="39">
                  <c:v>2931046234871820</c:v>
                </c:pt>
                <c:pt idx="40">
                  <c:v>2748983842134610</c:v>
                </c:pt>
                <c:pt idx="41">
                  <c:v>2574693173309650</c:v>
                </c:pt>
                <c:pt idx="42">
                  <c:v>2414878703535610</c:v>
                </c:pt>
                <c:pt idx="43">
                  <c:v>2266083458860130</c:v>
                </c:pt>
                <c:pt idx="44">
                  <c:v>2125971438414310</c:v>
                </c:pt>
                <c:pt idx="45">
                  <c:v>1989964370513320</c:v>
                </c:pt>
                <c:pt idx="46">
                  <c:v>1864797110184120</c:v>
                </c:pt>
                <c:pt idx="47">
                  <c:v>1746876132224580</c:v>
                </c:pt>
                <c:pt idx="48">
                  <c:v>1638419307940450</c:v>
                </c:pt>
                <c:pt idx="49">
                  <c:v>1535491452734930</c:v>
                </c:pt>
                <c:pt idx="50">
                  <c:v>1439826951286910</c:v>
                </c:pt>
                <c:pt idx="51">
                  <c:v>1350685112988700</c:v>
                </c:pt>
                <c:pt idx="52">
                  <c:v>1264012780965970</c:v>
                </c:pt>
                <c:pt idx="53">
                  <c:v>1184160970027500</c:v>
                </c:pt>
                <c:pt idx="54">
                  <c:v>1110287849279560</c:v>
                </c:pt>
                <c:pt idx="55">
                  <c:v>1037141572389610</c:v>
                </c:pt>
                <c:pt idx="56">
                  <c:v>977772529288657</c:v>
                </c:pt>
                <c:pt idx="57">
                  <c:v>916903108915604</c:v>
                </c:pt>
                <c:pt idx="58">
                  <c:v>858506603042325</c:v>
                </c:pt>
                <c:pt idx="59">
                  <c:v>805968056995729</c:v>
                </c:pt>
                <c:pt idx="60">
                  <c:v>755879257963519</c:v>
                </c:pt>
                <c:pt idx="61">
                  <c:v>707967165894605</c:v>
                </c:pt>
                <c:pt idx="62">
                  <c:v>661500068404725</c:v>
                </c:pt>
                <c:pt idx="63">
                  <c:v>620802574185446</c:v>
                </c:pt>
                <c:pt idx="64">
                  <c:v>582300309816828</c:v>
                </c:pt>
                <c:pt idx="65">
                  <c:v>545005614705633</c:v>
                </c:pt>
                <c:pt idx="66">
                  <c:v>510151221833608</c:v>
                </c:pt>
                <c:pt idx="67">
                  <c:v>479049614787835</c:v>
                </c:pt>
                <c:pt idx="68">
                  <c:v>447499320366370</c:v>
                </c:pt>
                <c:pt idx="69">
                  <c:v>421958337673398</c:v>
                </c:pt>
                <c:pt idx="70">
                  <c:v>395562562247333</c:v>
                </c:pt>
                <c:pt idx="71">
                  <c:v>369634442045838</c:v>
                </c:pt>
                <c:pt idx="72">
                  <c:v>346770608412039</c:v>
                </c:pt>
                <c:pt idx="73">
                  <c:v>324034467606480</c:v>
                </c:pt>
                <c:pt idx="74">
                  <c:v>301783714180183</c:v>
                </c:pt>
                <c:pt idx="75">
                  <c:v>284296418020692</c:v>
                </c:pt>
                <c:pt idx="76">
                  <c:v>264637960521096</c:v>
                </c:pt>
                <c:pt idx="77">
                  <c:v>248774139642155</c:v>
                </c:pt>
                <c:pt idx="78">
                  <c:v>234293024261246</c:v>
                </c:pt>
                <c:pt idx="79">
                  <c:v>218706869289316</c:v>
                </c:pt>
                <c:pt idx="80">
                  <c:v>204618740201941</c:v>
                </c:pt>
                <c:pt idx="81">
                  <c:v>192789613599167</c:v>
                </c:pt>
                <c:pt idx="82">
                  <c:v>180885870525469</c:v>
                </c:pt>
                <c:pt idx="83">
                  <c:v>168995550058679</c:v>
                </c:pt>
                <c:pt idx="84">
                  <c:v>159441084468022</c:v>
                </c:pt>
                <c:pt idx="85">
                  <c:v>151539967661566</c:v>
                </c:pt>
                <c:pt idx="86">
                  <c:v>140420087935485</c:v>
                </c:pt>
                <c:pt idx="87">
                  <c:v>133209306812886</c:v>
                </c:pt>
                <c:pt idx="88">
                  <c:v>122082574445884</c:v>
                </c:pt>
                <c:pt idx="89">
                  <c:v>113806058023588</c:v>
                </c:pt>
                <c:pt idx="90">
                  <c:v>105129014300300</c:v>
                </c:pt>
                <c:pt idx="91">
                  <c:v>100312421108554</c:v>
                </c:pt>
                <c:pt idx="92">
                  <c:v>92904360815706.8</c:v>
                </c:pt>
                <c:pt idx="93">
                  <c:v>84717255660120.9</c:v>
                </c:pt>
                <c:pt idx="94">
                  <c:v>81107387371609.9</c:v>
                </c:pt>
                <c:pt idx="95">
                  <c:v>73690460933525.9</c:v>
                </c:pt>
                <c:pt idx="96">
                  <c:v>70755458155712.5</c:v>
                </c:pt>
                <c:pt idx="97">
                  <c:v>69709400525524</c:v>
                </c:pt>
                <c:pt idx="98">
                  <c:v>64163141544923.7</c:v>
                </c:pt>
                <c:pt idx="99">
                  <c:v>59549733263458.2</c:v>
                </c:pt>
                <c:pt idx="100">
                  <c:v>56389325825649.6</c:v>
                </c:pt>
                <c:pt idx="101">
                  <c:v>54099898148273.9</c:v>
                </c:pt>
                <c:pt idx="102">
                  <c:v>45501501107646.4</c:v>
                </c:pt>
                <c:pt idx="103">
                  <c:v>43939725689345.2</c:v>
                </c:pt>
                <c:pt idx="104">
                  <c:v>41800301029689.8</c:v>
                </c:pt>
                <c:pt idx="105">
                  <c:v>41019918286339.9</c:v>
                </c:pt>
                <c:pt idx="106">
                  <c:v>38073114983681.9</c:v>
                </c:pt>
                <c:pt idx="107">
                  <c:v>33310224587328.3</c:v>
                </c:pt>
                <c:pt idx="108">
                  <c:v>32646757858004.8</c:v>
                </c:pt>
                <c:pt idx="109">
                  <c:v>29186774225621.7</c:v>
                </c:pt>
                <c:pt idx="110">
                  <c:v>27342694042775.6</c:v>
                </c:pt>
                <c:pt idx="111">
                  <c:v>26449772194609.8</c:v>
                </c:pt>
                <c:pt idx="112">
                  <c:v>26881842656070.6</c:v>
                </c:pt>
                <c:pt idx="113">
                  <c:v>26132991744538</c:v>
                </c:pt>
                <c:pt idx="114">
                  <c:v>25960251382945.2</c:v>
                </c:pt>
                <c:pt idx="115">
                  <c:v>24952516219816.5</c:v>
                </c:pt>
              </c:numCache>
            </c:numRef>
          </c:xVal>
          <c:yVal>
            <c:numRef>
              <c:f>Calc!$S$15:$S$130</c:f>
              <c:numCache>
                <c:formatCode>General</c:formatCode>
                <c:ptCount val="116"/>
                <c:pt idx="0">
                  <c:v>12008.6086889953</c:v>
                </c:pt>
                <c:pt idx="1">
                  <c:v>12074.2659662192</c:v>
                </c:pt>
                <c:pt idx="2">
                  <c:v>12159.0625666404</c:v>
                </c:pt>
                <c:pt idx="3">
                  <c:v>12255.4193107308</c:v>
                </c:pt>
                <c:pt idx="4">
                  <c:v>12357.7713135225</c:v>
                </c:pt>
                <c:pt idx="5">
                  <c:v>12463.5343063966</c:v>
                </c:pt>
                <c:pt idx="6">
                  <c:v>12569.6652612926</c:v>
                </c:pt>
                <c:pt idx="7">
                  <c:v>12679.8546813527</c:v>
                </c:pt>
                <c:pt idx="8">
                  <c:v>12784.122382635</c:v>
                </c:pt>
                <c:pt idx="9">
                  <c:v>12899.4130867774</c:v>
                </c:pt>
                <c:pt idx="10">
                  <c:v>13013.5720807955</c:v>
                </c:pt>
                <c:pt idx="11">
                  <c:v>13128.5455652436</c:v>
                </c:pt>
                <c:pt idx="12">
                  <c:v>13246.6345990308</c:v>
                </c:pt>
                <c:pt idx="13">
                  <c:v>13365.8308789799</c:v>
                </c:pt>
                <c:pt idx="14">
                  <c:v>13492.4287635514</c:v>
                </c:pt>
                <c:pt idx="15">
                  <c:v>13618.9138983113</c:v>
                </c:pt>
                <c:pt idx="16">
                  <c:v>13748.5429664687</c:v>
                </c:pt>
                <c:pt idx="17">
                  <c:v>13879.3949724333</c:v>
                </c:pt>
                <c:pt idx="18">
                  <c:v>14016.3121587604</c:v>
                </c:pt>
                <c:pt idx="19">
                  <c:v>14156.5830447254</c:v>
                </c:pt>
                <c:pt idx="20">
                  <c:v>14292.1651063499</c:v>
                </c:pt>
                <c:pt idx="21">
                  <c:v>14436.2983047226</c:v>
                </c:pt>
                <c:pt idx="22">
                  <c:v>14558.9439561373</c:v>
                </c:pt>
                <c:pt idx="23">
                  <c:v>14706.9366628815</c:v>
                </c:pt>
                <c:pt idx="24">
                  <c:v>14858.9992073627</c:v>
                </c:pt>
                <c:pt idx="25">
                  <c:v>15023.5631036112</c:v>
                </c:pt>
                <c:pt idx="26">
                  <c:v>15194.8843367101</c:v>
                </c:pt>
                <c:pt idx="27">
                  <c:v>15369.1387527595</c:v>
                </c:pt>
                <c:pt idx="28">
                  <c:v>15552.5126328733</c:v>
                </c:pt>
                <c:pt idx="29">
                  <c:v>15733.0247114971</c:v>
                </c:pt>
                <c:pt idx="30">
                  <c:v>15922.7680756907</c:v>
                </c:pt>
                <c:pt idx="31">
                  <c:v>16133.9084526571</c:v>
                </c:pt>
                <c:pt idx="32">
                  <c:v>16314.9746300821</c:v>
                </c:pt>
                <c:pt idx="33">
                  <c:v>16533.9114471309</c:v>
                </c:pt>
                <c:pt idx="34">
                  <c:v>16757.7604460594</c:v>
                </c:pt>
                <c:pt idx="35">
                  <c:v>16988.6320889989</c:v>
                </c:pt>
                <c:pt idx="36">
                  <c:v>17196.5097091559</c:v>
                </c:pt>
                <c:pt idx="37">
                  <c:v>17443.2281771993</c:v>
                </c:pt>
                <c:pt idx="38">
                  <c:v>17682.8709446895</c:v>
                </c:pt>
                <c:pt idx="39">
                  <c:v>17939.557952781</c:v>
                </c:pt>
                <c:pt idx="40">
                  <c:v>18190.9559722004</c:v>
                </c:pt>
                <c:pt idx="41">
                  <c:v>18463.4985397179</c:v>
                </c:pt>
                <c:pt idx="42">
                  <c:v>18727.7617655081</c:v>
                </c:pt>
                <c:pt idx="43">
                  <c:v>18997.1209443676</c:v>
                </c:pt>
                <c:pt idx="44">
                  <c:v>19264.4030492721</c:v>
                </c:pt>
                <c:pt idx="45">
                  <c:v>19600.2192852592</c:v>
                </c:pt>
                <c:pt idx="46">
                  <c:v>19908.4470933919</c:v>
                </c:pt>
                <c:pt idx="47">
                  <c:v>20215.5410090328</c:v>
                </c:pt>
                <c:pt idx="48">
                  <c:v>20532.1904171238</c:v>
                </c:pt>
                <c:pt idx="49">
                  <c:v>20862.64808521</c:v>
                </c:pt>
                <c:pt idx="50">
                  <c:v>21189.2653792299</c:v>
                </c:pt>
                <c:pt idx="51">
                  <c:v>21510.3399265703</c:v>
                </c:pt>
                <c:pt idx="52">
                  <c:v>21859.4360267986</c:v>
                </c:pt>
                <c:pt idx="53">
                  <c:v>22232.7103256428</c:v>
                </c:pt>
                <c:pt idx="54">
                  <c:v>22566.1045719032</c:v>
                </c:pt>
                <c:pt idx="55">
                  <c:v>22986.3658859518</c:v>
                </c:pt>
                <c:pt idx="56">
                  <c:v>23185.3290984385</c:v>
                </c:pt>
                <c:pt idx="57">
                  <c:v>23537.6606553246</c:v>
                </c:pt>
                <c:pt idx="58">
                  <c:v>23981.3589046398</c:v>
                </c:pt>
                <c:pt idx="59">
                  <c:v>24346.6170992677</c:v>
                </c:pt>
                <c:pt idx="60">
                  <c:v>24732.7112304865</c:v>
                </c:pt>
                <c:pt idx="61">
                  <c:v>25157.7635231457</c:v>
                </c:pt>
                <c:pt idx="62">
                  <c:v>25582.7184458386</c:v>
                </c:pt>
                <c:pt idx="63">
                  <c:v>25980.8290256617</c:v>
                </c:pt>
                <c:pt idx="64">
                  <c:v>26396.2122570136</c:v>
                </c:pt>
                <c:pt idx="65">
                  <c:v>26843.8067003263</c:v>
                </c:pt>
                <c:pt idx="66">
                  <c:v>27331.8488056707</c:v>
                </c:pt>
                <c:pt idx="67">
                  <c:v>27699.9351123319</c:v>
                </c:pt>
                <c:pt idx="68">
                  <c:v>28260.6161950187</c:v>
                </c:pt>
                <c:pt idx="69">
                  <c:v>28537.3308417018</c:v>
                </c:pt>
                <c:pt idx="70">
                  <c:v>29005.5617197081</c:v>
                </c:pt>
                <c:pt idx="71">
                  <c:v>29545.9312255005</c:v>
                </c:pt>
                <c:pt idx="72">
                  <c:v>30010.0878016675</c:v>
                </c:pt>
                <c:pt idx="73">
                  <c:v>30528.5524601331</c:v>
                </c:pt>
                <c:pt idx="74">
                  <c:v>31188.424147861</c:v>
                </c:pt>
                <c:pt idx="75">
                  <c:v>31536.8407252838</c:v>
                </c:pt>
                <c:pt idx="76">
                  <c:v>32151.1475497567</c:v>
                </c:pt>
                <c:pt idx="77">
                  <c:v>32620.1088670776</c:v>
                </c:pt>
                <c:pt idx="78">
                  <c:v>32970.3508401679</c:v>
                </c:pt>
                <c:pt idx="79">
                  <c:v>33494.9229025665</c:v>
                </c:pt>
                <c:pt idx="80">
                  <c:v>34147.8059008804</c:v>
                </c:pt>
                <c:pt idx="81">
                  <c:v>34427.7631349382</c:v>
                </c:pt>
                <c:pt idx="82">
                  <c:v>34913.9546139905</c:v>
                </c:pt>
                <c:pt idx="83">
                  <c:v>35398.2360932826</c:v>
                </c:pt>
                <c:pt idx="84">
                  <c:v>35704.7906996645</c:v>
                </c:pt>
                <c:pt idx="85">
                  <c:v>35704.5471638802</c:v>
                </c:pt>
                <c:pt idx="86">
                  <c:v>36730.0010273966</c:v>
                </c:pt>
                <c:pt idx="87">
                  <c:v>36534.5756721721</c:v>
                </c:pt>
                <c:pt idx="88">
                  <c:v>38055.892180458</c:v>
                </c:pt>
                <c:pt idx="89">
                  <c:v>38791.2819460606</c:v>
                </c:pt>
                <c:pt idx="90">
                  <c:v>39623.6354851003</c:v>
                </c:pt>
                <c:pt idx="91">
                  <c:v>39333.1475376596</c:v>
                </c:pt>
                <c:pt idx="92">
                  <c:v>40247.5566212323</c:v>
                </c:pt>
                <c:pt idx="93">
                  <c:v>41917.377912132</c:v>
                </c:pt>
                <c:pt idx="94">
                  <c:v>41346.7597154372</c:v>
                </c:pt>
                <c:pt idx="95">
                  <c:v>42937.0651867553</c:v>
                </c:pt>
                <c:pt idx="96">
                  <c:v>42427.4784322789</c:v>
                </c:pt>
                <c:pt idx="97">
                  <c:v>40720.6572411457</c:v>
                </c:pt>
                <c:pt idx="98">
                  <c:v>41754.7528583226</c:v>
                </c:pt>
                <c:pt idx="99">
                  <c:v>42443.5699783791</c:v>
                </c:pt>
                <c:pt idx="100">
                  <c:v>42840.0452037559</c:v>
                </c:pt>
                <c:pt idx="101">
                  <c:v>41807.1849890529</c:v>
                </c:pt>
                <c:pt idx="102">
                  <c:v>47193.3643220489</c:v>
                </c:pt>
                <c:pt idx="103">
                  <c:v>46025.2661643422</c:v>
                </c:pt>
                <c:pt idx="104">
                  <c:v>44894.674217343</c:v>
                </c:pt>
                <c:pt idx="105">
                  <c:v>43414.0293100617</c:v>
                </c:pt>
                <c:pt idx="106">
                  <c:v>44385.4933996055</c:v>
                </c:pt>
                <c:pt idx="107">
                  <c:v>47591.157737937</c:v>
                </c:pt>
                <c:pt idx="108">
                  <c:v>45320.6443564971</c:v>
                </c:pt>
                <c:pt idx="109">
                  <c:v>47936.6438079437</c:v>
                </c:pt>
                <c:pt idx="110">
                  <c:v>47545.8191320019</c:v>
                </c:pt>
                <c:pt idx="111">
                  <c:v>47136.0782946411</c:v>
                </c:pt>
                <c:pt idx="112">
                  <c:v>42681.1121951383</c:v>
                </c:pt>
                <c:pt idx="113">
                  <c:v>41258.6848325384</c:v>
                </c:pt>
                <c:pt idx="114">
                  <c:v>38894.9319879527</c:v>
                </c:pt>
                <c:pt idx="115">
                  <c:v>38281.7749208662</c:v>
                </c:pt>
              </c:numCache>
            </c:numRef>
          </c:yVal>
        </c:ser>
        <c:ser>
          <c:idx val="2"/>
          <c:order val="2"/>
          <c:tx>
            <c:strRef>
              <c:f>"Fit"</c:f>
              <c:strCache>
                <c:ptCount val="1"/>
                <c:pt idx="0">
                  <c:v>Fit</c:v>
                </c:pt>
              </c:strCache>
            </c:strRef>
          </c:tx>
          <c:spPr>
            <a:solidFill>
              <a:srgbClr val="000000"/>
            </a:solidFill>
            <a:ln w="28440">
              <a:solidFill>
                <a:srgbClr val="000000"/>
              </a:solidFill>
              <a:round/>
            </a:ln>
          </c:spPr>
          <c:marker/>
          <c:xVal>
            <c:numRef>
              <c:f>Calc!$I$12:$I$130</c:f>
              <c:numCache>
                <c:formatCode>General</c:formatCode>
                <c:ptCount val="119"/>
                <c:pt idx="0">
                  <c:v>36427160437229200</c:v>
                </c:pt>
                <c:pt idx="1">
                  <c:v>35960639175556000</c:v>
                </c:pt>
                <c:pt idx="2">
                  <c:v>34640506713742100</c:v>
                </c:pt>
                <c:pt idx="3">
                  <c:v>33094189745940200</c:v>
                </c:pt>
                <c:pt idx="4">
                  <c:v>31509624705700300</c:v>
                </c:pt>
                <c:pt idx="5">
                  <c:v>29891736272606900</c:v>
                </c:pt>
                <c:pt idx="6">
                  <c:v>28297879556163500</c:v>
                </c:pt>
                <c:pt idx="7">
                  <c:v>26752924575107000</c:v>
                </c:pt>
                <c:pt idx="8">
                  <c:v>25263397175589000</c:v>
                </c:pt>
                <c:pt idx="9">
                  <c:v>23827630108026100</c:v>
                </c:pt>
                <c:pt idx="10">
                  <c:v>22456291055661500</c:v>
                </c:pt>
                <c:pt idx="11">
                  <c:v>21155974638805200</c:v>
                </c:pt>
                <c:pt idx="12">
                  <c:v>19908759707753300</c:v>
                </c:pt>
                <c:pt idx="13">
                  <c:v>18728247707966400</c:v>
                </c:pt>
                <c:pt idx="14">
                  <c:v>17605699975024100</c:v>
                </c:pt>
                <c:pt idx="15">
                  <c:v>16539968009497500</c:v>
                </c:pt>
                <c:pt idx="16">
                  <c:v>15535100296298000</c:v>
                </c:pt>
                <c:pt idx="17">
                  <c:v>14583243862017500</c:v>
                </c:pt>
                <c:pt idx="18">
                  <c:v>13689584349206500</c:v>
                </c:pt>
                <c:pt idx="19">
                  <c:v>12845970111505300</c:v>
                </c:pt>
                <c:pt idx="20">
                  <c:v>12051435426874400</c:v>
                </c:pt>
                <c:pt idx="21">
                  <c:v>11304792156430900</c:v>
                </c:pt>
                <c:pt idx="22">
                  <c:v>10602611747998900</c:v>
                </c:pt>
                <c:pt idx="23">
                  <c:v>9949873671104590</c:v>
                </c:pt>
                <c:pt idx="24">
                  <c:v>9332678772147270</c:v>
                </c:pt>
                <c:pt idx="25">
                  <c:v>8754445669875410</c:v>
                </c:pt>
                <c:pt idx="26">
                  <c:v>8211088727205680</c:v>
                </c:pt>
                <c:pt idx="27">
                  <c:v>7702864378172590</c:v>
                </c:pt>
                <c:pt idx="28">
                  <c:v>7226807255739610</c:v>
                </c:pt>
                <c:pt idx="29">
                  <c:v>6777655477861600</c:v>
                </c:pt>
                <c:pt idx="30">
                  <c:v>6355404294101230</c:v>
                </c:pt>
                <c:pt idx="31">
                  <c:v>5958129488975960</c:v>
                </c:pt>
                <c:pt idx="32">
                  <c:v>5589119782351900</c:v>
                </c:pt>
                <c:pt idx="33">
                  <c:v>5240117478900220</c:v>
                </c:pt>
                <c:pt idx="34">
                  <c:v>4912154763705850</c:v>
                </c:pt>
                <c:pt idx="35">
                  <c:v>4608586025899590</c:v>
                </c:pt>
                <c:pt idx="36">
                  <c:v>4320303762359760</c:v>
                </c:pt>
                <c:pt idx="37">
                  <c:v>4047128628949140</c:v>
                </c:pt>
                <c:pt idx="38">
                  <c:v>3792086185908160</c:v>
                </c:pt>
                <c:pt idx="39">
                  <c:v>3558946252789220</c:v>
                </c:pt>
                <c:pt idx="40">
                  <c:v>3334347137827980</c:v>
                </c:pt>
                <c:pt idx="41">
                  <c:v>3126622200397880</c:v>
                </c:pt>
                <c:pt idx="42">
                  <c:v>2931046234871820</c:v>
                </c:pt>
                <c:pt idx="43">
                  <c:v>2748983842134610</c:v>
                </c:pt>
                <c:pt idx="44">
                  <c:v>2574693173309650</c:v>
                </c:pt>
                <c:pt idx="45">
                  <c:v>2414878703535610</c:v>
                </c:pt>
                <c:pt idx="46">
                  <c:v>2266083458860130</c:v>
                </c:pt>
                <c:pt idx="47">
                  <c:v>2125971438414310</c:v>
                </c:pt>
                <c:pt idx="48">
                  <c:v>1989964370513320</c:v>
                </c:pt>
                <c:pt idx="49">
                  <c:v>1864797110184120</c:v>
                </c:pt>
                <c:pt idx="50">
                  <c:v>1746876132224580</c:v>
                </c:pt>
                <c:pt idx="51">
                  <c:v>1638419307940450</c:v>
                </c:pt>
                <c:pt idx="52">
                  <c:v>1535491452734930</c:v>
                </c:pt>
                <c:pt idx="53">
                  <c:v>1439826951286910</c:v>
                </c:pt>
                <c:pt idx="54">
                  <c:v>1350685112988700</c:v>
                </c:pt>
                <c:pt idx="55">
                  <c:v>1264012780965970</c:v>
                </c:pt>
                <c:pt idx="56">
                  <c:v>1184160970027500</c:v>
                </c:pt>
                <c:pt idx="57">
                  <c:v>1110287849279560</c:v>
                </c:pt>
                <c:pt idx="58">
                  <c:v>1037141572389610</c:v>
                </c:pt>
                <c:pt idx="59">
                  <c:v>977772529288657</c:v>
                </c:pt>
                <c:pt idx="60">
                  <c:v>916903108915604</c:v>
                </c:pt>
                <c:pt idx="61">
                  <c:v>858506603042325</c:v>
                </c:pt>
                <c:pt idx="62">
                  <c:v>805968056995729</c:v>
                </c:pt>
                <c:pt idx="63">
                  <c:v>755879257963519</c:v>
                </c:pt>
                <c:pt idx="64">
                  <c:v>707967165894605</c:v>
                </c:pt>
                <c:pt idx="65">
                  <c:v>661500068404725</c:v>
                </c:pt>
                <c:pt idx="66">
                  <c:v>620802574185446</c:v>
                </c:pt>
                <c:pt idx="67">
                  <c:v>582300309816828</c:v>
                </c:pt>
                <c:pt idx="68">
                  <c:v>545005614705633</c:v>
                </c:pt>
                <c:pt idx="69">
                  <c:v>510151221833608</c:v>
                </c:pt>
                <c:pt idx="70">
                  <c:v>479049614787835</c:v>
                </c:pt>
                <c:pt idx="71">
                  <c:v>447499320366370</c:v>
                </c:pt>
                <c:pt idx="72">
                  <c:v>421958337673398</c:v>
                </c:pt>
                <c:pt idx="73">
                  <c:v>395562562247333</c:v>
                </c:pt>
                <c:pt idx="74">
                  <c:v>369634442045838</c:v>
                </c:pt>
                <c:pt idx="75">
                  <c:v>346770608412039</c:v>
                </c:pt>
                <c:pt idx="76">
                  <c:v>324034467606480</c:v>
                </c:pt>
                <c:pt idx="77">
                  <c:v>301783714180183</c:v>
                </c:pt>
                <c:pt idx="78">
                  <c:v>284296418020692</c:v>
                </c:pt>
                <c:pt idx="79">
                  <c:v>264637960521096</c:v>
                </c:pt>
                <c:pt idx="80">
                  <c:v>248774139642155</c:v>
                </c:pt>
                <c:pt idx="81">
                  <c:v>234293024261246</c:v>
                </c:pt>
                <c:pt idx="82">
                  <c:v>218706869289316</c:v>
                </c:pt>
                <c:pt idx="83">
                  <c:v>204618740201941</c:v>
                </c:pt>
                <c:pt idx="84">
                  <c:v>192789613599167</c:v>
                </c:pt>
                <c:pt idx="85">
                  <c:v>180885870525469</c:v>
                </c:pt>
                <c:pt idx="86">
                  <c:v>168995550058679</c:v>
                </c:pt>
                <c:pt idx="87">
                  <c:v>159441084468022</c:v>
                </c:pt>
                <c:pt idx="88">
                  <c:v>151539967661566</c:v>
                </c:pt>
                <c:pt idx="89">
                  <c:v>140420087935485</c:v>
                </c:pt>
                <c:pt idx="90">
                  <c:v>133209306812886</c:v>
                </c:pt>
                <c:pt idx="91">
                  <c:v>122082574445884</c:v>
                </c:pt>
                <c:pt idx="92">
                  <c:v>113806058023588</c:v>
                </c:pt>
                <c:pt idx="93">
                  <c:v>105129014300300</c:v>
                </c:pt>
                <c:pt idx="94">
                  <c:v>100312421108554</c:v>
                </c:pt>
                <c:pt idx="95">
                  <c:v>92904360815706.8</c:v>
                </c:pt>
                <c:pt idx="96">
                  <c:v>84717255660120.9</c:v>
                </c:pt>
                <c:pt idx="97">
                  <c:v>81107387371609.9</c:v>
                </c:pt>
                <c:pt idx="98">
                  <c:v>73690460933525.9</c:v>
                </c:pt>
                <c:pt idx="99">
                  <c:v>70755458155712.5</c:v>
                </c:pt>
                <c:pt idx="100">
                  <c:v>69709400525524</c:v>
                </c:pt>
                <c:pt idx="101">
                  <c:v>64163141544923.7</c:v>
                </c:pt>
                <c:pt idx="102">
                  <c:v>59549733263458.2</c:v>
                </c:pt>
                <c:pt idx="103">
                  <c:v>56389325825649.6</c:v>
                </c:pt>
                <c:pt idx="104">
                  <c:v>54099898148273.9</c:v>
                </c:pt>
                <c:pt idx="105">
                  <c:v>45501501107646.4</c:v>
                </c:pt>
                <c:pt idx="106">
                  <c:v>43939725689345.2</c:v>
                </c:pt>
                <c:pt idx="107">
                  <c:v>41800301029689.8</c:v>
                </c:pt>
                <c:pt idx="108">
                  <c:v>41019918286339.9</c:v>
                </c:pt>
                <c:pt idx="109">
                  <c:v>38073114983681.9</c:v>
                </c:pt>
                <c:pt idx="110">
                  <c:v>33310224587328.3</c:v>
                </c:pt>
                <c:pt idx="111">
                  <c:v>32646757858004.8</c:v>
                </c:pt>
                <c:pt idx="112">
                  <c:v>29186774225621.7</c:v>
                </c:pt>
                <c:pt idx="113">
                  <c:v>27342694042775.6</c:v>
                </c:pt>
                <c:pt idx="114">
                  <c:v>26449772194609.8</c:v>
                </c:pt>
                <c:pt idx="115">
                  <c:v>26881842656070.6</c:v>
                </c:pt>
                <c:pt idx="116">
                  <c:v>26132991744538</c:v>
                </c:pt>
                <c:pt idx="117">
                  <c:v>25960251382945.2</c:v>
                </c:pt>
                <c:pt idx="118">
                  <c:v>24952516219816.5</c:v>
                </c:pt>
              </c:numCache>
            </c:numRef>
          </c:xVal>
          <c:yVal>
            <c:numRef>
              <c:f>Calc!$U$12:$U$130</c:f>
              <c:numCache>
                <c:formatCode>General</c:formatCode>
                <c:ptCount val="119"/>
                <c:pt idx="0">
                  <c:v>-182818.153107854</c:v>
                </c:pt>
                <c:pt idx="1">
                  <c:v>-180104.726390106</c:v>
                </c:pt>
                <c:pt idx="2">
                  <c:v>-172426.442489378</c:v>
                </c:pt>
                <c:pt idx="3">
                  <c:v>-163432.602081134</c:v>
                </c:pt>
                <c:pt idx="4">
                  <c:v>-154216.299482671</c:v>
                </c:pt>
                <c:pt idx="5">
                  <c:v>-144806.178098393</c:v>
                </c:pt>
                <c:pt idx="6">
                  <c:v>-135535.832341484</c:v>
                </c:pt>
                <c:pt idx="7">
                  <c:v>-126549.913654131</c:v>
                </c:pt>
                <c:pt idx="8">
                  <c:v>-117886.378302764</c:v>
                </c:pt>
                <c:pt idx="9">
                  <c:v>-109535.529066835</c:v>
                </c:pt>
                <c:pt idx="10">
                  <c:v>-101559.412371891</c:v>
                </c:pt>
                <c:pt idx="11">
                  <c:v>-93996.3844953695</c:v>
                </c:pt>
                <c:pt idx="12">
                  <c:v>-86742.2106886857</c:v>
                </c:pt>
                <c:pt idx="13">
                  <c:v>-79876.0010129346</c:v>
                </c:pt>
                <c:pt idx="14">
                  <c:v>-73346.9287910407</c:v>
                </c:pt>
                <c:pt idx="15">
                  <c:v>-67148.3140079825</c:v>
                </c:pt>
                <c:pt idx="16">
                  <c:v>-61303.7038587711</c:v>
                </c:pt>
                <c:pt idx="17">
                  <c:v>-55767.423109264</c:v>
                </c:pt>
                <c:pt idx="18">
                  <c:v>-50569.6330022614</c:v>
                </c:pt>
                <c:pt idx="19">
                  <c:v>-45662.9211327074</c:v>
                </c:pt>
                <c:pt idx="20">
                  <c:v>-41041.6705733587</c:v>
                </c:pt>
                <c:pt idx="21">
                  <c:v>-36698.9707543153</c:v>
                </c:pt>
                <c:pt idx="22">
                  <c:v>-32614.8801941436</c:v>
                </c:pt>
                <c:pt idx="23">
                  <c:v>-28818.3609718808</c:v>
                </c:pt>
                <c:pt idx="24">
                  <c:v>-25228.571467149</c:v>
                </c:pt>
                <c:pt idx="25">
                  <c:v>-21865.3953856053</c:v>
                </c:pt>
                <c:pt idx="26">
                  <c:v>-18705.0694441333</c:v>
                </c:pt>
                <c:pt idx="27">
                  <c:v>-15749.0851395152</c:v>
                </c:pt>
                <c:pt idx="28">
                  <c:v>-12980.195013155</c:v>
                </c:pt>
                <c:pt idx="29">
                  <c:v>-10367.7943906256</c:v>
                </c:pt>
                <c:pt idx="30">
                  <c:v>-7911.85564196717</c:v>
                </c:pt>
                <c:pt idx="31">
                  <c:v>-5601.1869563666</c:v>
                </c:pt>
                <c:pt idx="32">
                  <c:v>-3454.91650886108</c:v>
                </c:pt>
                <c:pt idx="33">
                  <c:v>-1425.01508197856</c:v>
                </c:pt>
                <c:pt idx="34">
                  <c:v>482.513828155134</c:v>
                </c:pt>
                <c:pt idx="35">
                  <c:v>2248.1600944846</c:v>
                </c:pt>
                <c:pt idx="36">
                  <c:v>3924.89566991455</c:v>
                </c:pt>
                <c:pt idx="37">
                  <c:v>5513.76367340561</c:v>
                </c:pt>
                <c:pt idx="38">
                  <c:v>6997.16654474561</c:v>
                </c:pt>
                <c:pt idx="39">
                  <c:v>8353.17788971644</c:v>
                </c:pt>
                <c:pt idx="40">
                  <c:v>9659.51329044966</c:v>
                </c:pt>
                <c:pt idx="41">
                  <c:v>10867.703444836</c:v>
                </c:pt>
                <c:pt idx="42">
                  <c:v>12005.2315572836</c:v>
                </c:pt>
                <c:pt idx="43">
                  <c:v>13064.1607022888</c:v>
                </c:pt>
                <c:pt idx="44">
                  <c:v>14077.8871844381</c:v>
                </c:pt>
                <c:pt idx="45">
                  <c:v>15007.4157778668</c:v>
                </c:pt>
                <c:pt idx="46">
                  <c:v>15872.8532735305</c:v>
                </c:pt>
                <c:pt idx="47">
                  <c:v>16687.786548794</c:v>
                </c:pt>
                <c:pt idx="48">
                  <c:v>17478.8441964594</c:v>
                </c:pt>
                <c:pt idx="49">
                  <c:v>18206.8542921762</c:v>
                </c:pt>
                <c:pt idx="50">
                  <c:v>18892.7178496716</c:v>
                </c:pt>
                <c:pt idx="51">
                  <c:v>19523.5350683321</c:v>
                </c:pt>
                <c:pt idx="52">
                  <c:v>20122.1941547658</c:v>
                </c:pt>
                <c:pt idx="53">
                  <c:v>20678.6074106979</c:v>
                </c:pt>
                <c:pt idx="54">
                  <c:v>21197.0829134864</c:v>
                </c:pt>
                <c:pt idx="55">
                  <c:v>21701.1950316706</c:v>
                </c:pt>
                <c:pt idx="56">
                  <c:v>22165.6369661795</c:v>
                </c:pt>
                <c:pt idx="57">
                  <c:v>22595.3050564225</c:v>
                </c:pt>
                <c:pt idx="58">
                  <c:v>23020.7456061312</c:v>
                </c:pt>
                <c:pt idx="59">
                  <c:v>23366.0536574287</c:v>
                </c:pt>
                <c:pt idx="60">
                  <c:v>23720.0883501708</c:v>
                </c:pt>
                <c:pt idx="61">
                  <c:v>24059.73983506</c:v>
                </c:pt>
                <c:pt idx="62">
                  <c:v>24365.3196794666</c:v>
                </c:pt>
                <c:pt idx="63">
                  <c:v>24656.6510650212</c:v>
                </c:pt>
                <c:pt idx="64">
                  <c:v>24935.3220740482</c:v>
                </c:pt>
                <c:pt idx="65">
                  <c:v>25205.588563882</c:v>
                </c:pt>
                <c:pt idx="66">
                  <c:v>25442.2973213005</c:v>
                </c:pt>
                <c:pt idx="67">
                  <c:v>25666.2379675573</c:v>
                </c:pt>
                <c:pt idx="68">
                  <c:v>25883.1550310627</c:v>
                </c:pt>
                <c:pt idx="69">
                  <c:v>26085.878569344</c:v>
                </c:pt>
                <c:pt idx="70">
                  <c:v>26266.7747866358</c:v>
                </c:pt>
                <c:pt idx="71">
                  <c:v>26450.2807034487</c:v>
                </c:pt>
                <c:pt idx="72">
                  <c:v>26598.8346720033</c:v>
                </c:pt>
                <c:pt idx="73">
                  <c:v>26752.3603698887</c:v>
                </c:pt>
                <c:pt idx="74">
                  <c:v>26903.1660455902</c:v>
                </c:pt>
                <c:pt idx="75">
                  <c:v>27036.1489172166</c:v>
                </c:pt>
                <c:pt idx="76">
                  <c:v>27168.3890892916</c:v>
                </c:pt>
                <c:pt idx="77">
                  <c:v>27297.8061036853</c:v>
                </c:pt>
                <c:pt idx="78">
                  <c:v>27399.5174307321</c:v>
                </c:pt>
                <c:pt idx="79">
                  <c:v>27513.8568793091</c:v>
                </c:pt>
                <c:pt idx="80">
                  <c:v>27606.1255902015</c:v>
                </c:pt>
                <c:pt idx="81">
                  <c:v>27690.3520737629</c:v>
                </c:pt>
                <c:pt idx="82">
                  <c:v>27781.0057969739</c:v>
                </c:pt>
                <c:pt idx="83">
                  <c:v>27862.9465551114</c:v>
                </c:pt>
                <c:pt idx="84">
                  <c:v>27931.7482814389</c:v>
                </c:pt>
                <c:pt idx="85">
                  <c:v>28000.9839994029</c:v>
                </c:pt>
                <c:pt idx="86">
                  <c:v>28070.141647484</c:v>
                </c:pt>
                <c:pt idx="87">
                  <c:v>28125.713267338</c:v>
                </c:pt>
                <c:pt idx="88">
                  <c:v>28171.6685178357</c:v>
                </c:pt>
                <c:pt idx="89">
                  <c:v>28236.3450529172</c:v>
                </c:pt>
                <c:pt idx="90">
                  <c:v>28278.2851053035</c:v>
                </c:pt>
                <c:pt idx="91">
                  <c:v>28343.0014973873</c:v>
                </c:pt>
                <c:pt idx="92">
                  <c:v>28391.1401839492</c:v>
                </c:pt>
                <c:pt idx="93">
                  <c:v>28441.6084566821</c:v>
                </c:pt>
                <c:pt idx="94">
                  <c:v>28469.6231984071</c:v>
                </c:pt>
                <c:pt idx="95">
                  <c:v>28512.7106852522</c:v>
                </c:pt>
                <c:pt idx="96">
                  <c:v>28560.3293292354</c:v>
                </c:pt>
                <c:pt idx="97">
                  <c:v>28581.3253992247</c:v>
                </c:pt>
                <c:pt idx="98">
                  <c:v>28624.4644542133</c:v>
                </c:pt>
                <c:pt idx="99">
                  <c:v>28641.5353052297</c:v>
                </c:pt>
                <c:pt idx="100">
                  <c:v>28647.6194882139</c:v>
                </c:pt>
                <c:pt idx="101">
                  <c:v>28679.8781836644</c:v>
                </c:pt>
                <c:pt idx="102">
                  <c:v>28706.7111413862</c:v>
                </c:pt>
                <c:pt idx="103">
                  <c:v>28725.0930130934</c:v>
                </c:pt>
                <c:pt idx="104">
                  <c:v>28738.4090068937</c:v>
                </c:pt>
                <c:pt idx="105">
                  <c:v>28788.4198470774</c:v>
                </c:pt>
                <c:pt idx="106">
                  <c:v>28797.5035984416</c:v>
                </c:pt>
                <c:pt idx="107">
                  <c:v>28809.9471299781</c:v>
                </c:pt>
                <c:pt idx="108">
                  <c:v>28814.4860686286</c:v>
                </c:pt>
                <c:pt idx="109">
                  <c:v>28831.6255550149</c:v>
                </c:pt>
                <c:pt idx="110">
                  <c:v>28859.3279452743</c:v>
                </c:pt>
                <c:pt idx="111">
                  <c:v>28863.1868655371</c:v>
                </c:pt>
                <c:pt idx="112">
                  <c:v>28883.311161689</c:v>
                </c:pt>
                <c:pt idx="113">
                  <c:v>28894.0368817127</c:v>
                </c:pt>
                <c:pt idx="114">
                  <c:v>28899.2303813422</c:v>
                </c:pt>
                <c:pt idx="115">
                  <c:v>28896.7173307476</c:v>
                </c:pt>
                <c:pt idx="116">
                  <c:v>28901.0728708652</c:v>
                </c:pt>
                <c:pt idx="117">
                  <c:v>28902.0775802984</c:v>
                </c:pt>
                <c:pt idx="118">
                  <c:v>28907.9388683911</c:v>
                </c:pt>
              </c:numCache>
            </c:numRef>
          </c:yVal>
        </c:ser>
        <c:ser>
          <c:idx val="3"/>
          <c:order val="3"/>
          <c:tx>
            <c:strRef>
              <c:f>"Specified MCD"</c:f>
              <c:strCache>
                <c:ptCount val="1"/>
                <c:pt idx="0">
                  <c:v>Specified MCD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Calc!$O$6</c:f>
              <c:numCache>
                <c:formatCode>General</c:formatCode>
                <c:ptCount val="1"/>
                <c:pt idx="0">
                  <c:v>1000000000000000</c:v>
                </c:pt>
              </c:numCache>
            </c:numRef>
          </c:xVal>
          <c:yVal>
            <c:numRef>
              <c:f>Calc!$X$6</c:f>
              <c:numCache>
                <c:formatCode>General</c:formatCode>
                <c:ptCount val="1"/>
                <c:pt idx="0">
                  <c:v>23236.7720622453</c:v>
                </c:pt>
              </c:numCache>
            </c:numRef>
          </c:yVal>
        </c:ser>
        <c:axId val="84604500"/>
        <c:axId val="91217498"/>
      </c:scatterChart>
      <c:valAx>
        <c:axId val="84604500"/>
        <c:scaling>
          <c:orientation val="minMax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Minority Carrier Density (cm-3)</a:t>
                </a:r>
              </a:p>
            </c:rich>
          </c:tx>
        </c:title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91217498"/>
        <c:crossesAt val="0"/>
      </c:valAx>
      <c:valAx>
        <c:axId val="91217498"/>
        <c:scaling>
          <c:orientation val="minMax"/>
          <c:max val="92953.9360009774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Inverse Lifetime - Correction Term (s-1)</a:t>
                </a:r>
              </a:p>
            </c:rich>
          </c:tx>
        </c:title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crossAx val="84604500"/>
        <c:crossesAt val="0"/>
      </c:valAx>
      <c:spPr>
        <a:solidFill>
          <a:srgbClr val="ffffff"/>
        </a:solidFill>
        <a:ln>
          <a:solidFill>
            <a:srgbClr val="000000"/>
          </a:solidFill>
        </a:ln>
      </c:spPr>
    </c:plotArea>
    <c:legend>
      <c:legendPos val="r"/>
      <c:spPr>
        <a:solidFill>
          <a:srgbClr val="ffffff"/>
        </a:solidFill>
        <a:ln>
          <a:solidFill>
            <a:srgbClr val="000000"/>
          </a:solidFill>
        </a:ln>
      </c:spPr>
    </c:legend>
    <c:plotVisOnly val="1"/>
  </c:chart>
  <c:spPr>
    <a:noFill/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>
                <a:solidFill>
                  <a:srgbClr val="000000"/>
                </a:solidFill>
                <a:latin typeface="Calibri"/>
              </a:rPr>
              <a:t>Implied Voc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"Implied Voc"</c:f>
              <c:strCache>
                <c:ptCount val="1"/>
                <c:pt idx="0">
                  <c:v>Implied Voc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Calc!$X$15:$X$130</c:f>
              <c:numCache>
                <c:formatCode>General</c:formatCode>
                <c:ptCount val="116"/>
                <c:pt idx="0">
                  <c:v>0.78159030941271</c:v>
                </c:pt>
                <c:pt idx="1">
                  <c:v>0.779189965365535</c:v>
                </c:pt>
                <c:pt idx="2">
                  <c:v>0.776617324694065</c:v>
                </c:pt>
                <c:pt idx="3">
                  <c:v>0.773949930604088</c:v>
                </c:pt>
                <c:pt idx="4">
                  <c:v>0.771224615462259</c:v>
                </c:pt>
                <c:pt idx="5">
                  <c:v>0.768452146655414</c:v>
                </c:pt>
                <c:pt idx="6">
                  <c:v>0.765629598328279</c:v>
                </c:pt>
                <c:pt idx="7">
                  <c:v>0.762780019729167</c:v>
                </c:pt>
                <c:pt idx="8">
                  <c:v>0.75992293448829</c:v>
                </c:pt>
                <c:pt idx="9">
                  <c:v>0.757023739279914</c:v>
                </c:pt>
                <c:pt idx="10">
                  <c:v>0.754119126692214</c:v>
                </c:pt>
                <c:pt idx="11">
                  <c:v>0.751194779118685</c:v>
                </c:pt>
                <c:pt idx="12">
                  <c:v>0.748254063483063</c:v>
                </c:pt>
                <c:pt idx="13">
                  <c:v>0.745316583918299</c:v>
                </c:pt>
                <c:pt idx="14">
                  <c:v>0.74236839142106</c:v>
                </c:pt>
                <c:pt idx="15">
                  <c:v>0.7394355718853</c:v>
                </c:pt>
                <c:pt idx="16">
                  <c:v>0.736502286581711</c:v>
                </c:pt>
                <c:pt idx="17">
                  <c:v>0.733575221236574</c:v>
                </c:pt>
                <c:pt idx="18">
                  <c:v>0.730661149714447</c:v>
                </c:pt>
                <c:pt idx="19">
                  <c:v>0.727758166164364</c:v>
                </c:pt>
                <c:pt idx="20">
                  <c:v>0.724900905732898</c:v>
                </c:pt>
                <c:pt idx="21">
                  <c:v>0.72204125200905</c:v>
                </c:pt>
                <c:pt idx="22">
                  <c:v>0.719205677997943</c:v>
                </c:pt>
                <c:pt idx="23">
                  <c:v>0.716386251284457</c:v>
                </c:pt>
                <c:pt idx="24">
                  <c:v>0.713596659505112</c:v>
                </c:pt>
                <c:pt idx="25">
                  <c:v>0.710833630109503</c:v>
                </c:pt>
                <c:pt idx="26">
                  <c:v>0.708077509851315</c:v>
                </c:pt>
                <c:pt idx="27">
                  <c:v>0.705338187118026</c:v>
                </c:pt>
                <c:pt idx="28">
                  <c:v>0.702613653089566</c:v>
                </c:pt>
                <c:pt idx="29">
                  <c:v>0.699939476899929</c:v>
                </c:pt>
                <c:pt idx="30">
                  <c:v>0.69726762195907</c:v>
                </c:pt>
                <c:pt idx="31">
                  <c:v>0.694615016538997</c:v>
                </c:pt>
                <c:pt idx="32">
                  <c:v>0.692022324269432</c:v>
                </c:pt>
                <c:pt idx="33">
                  <c:v>0.689423004784096</c:v>
                </c:pt>
                <c:pt idx="34">
                  <c:v>0.686821478063307</c:v>
                </c:pt>
                <c:pt idx="35">
                  <c:v>0.684256040793433</c:v>
                </c:pt>
                <c:pt idx="36">
                  <c:v>0.6817813375843</c:v>
                </c:pt>
                <c:pt idx="37">
                  <c:v>0.679265848994818</c:v>
                </c:pt>
                <c:pt idx="38">
                  <c:v>0.676810442458658</c:v>
                </c:pt>
                <c:pt idx="39">
                  <c:v>0.674371406662413</c:v>
                </c:pt>
                <c:pt idx="40">
                  <c:v>0.671976304778702</c:v>
                </c:pt>
                <c:pt idx="41">
                  <c:v>0.669556869386586</c:v>
                </c:pt>
                <c:pt idx="42">
                  <c:v>0.667216008971517</c:v>
                </c:pt>
                <c:pt idx="43">
                  <c:v>0.664918176769155</c:v>
                </c:pt>
                <c:pt idx="44">
                  <c:v>0.662637145000226</c:v>
                </c:pt>
                <c:pt idx="45">
                  <c:v>0.660300425105849</c:v>
                </c:pt>
                <c:pt idx="46">
                  <c:v>0.658029708666231</c:v>
                </c:pt>
                <c:pt idx="47">
                  <c:v>0.655771423332952</c:v>
                </c:pt>
                <c:pt idx="48">
                  <c:v>0.653579374543954</c:v>
                </c:pt>
                <c:pt idx="49">
                  <c:v>0.651384048594085</c:v>
                </c:pt>
                <c:pt idx="50">
                  <c:v>0.649230303664754</c:v>
                </c:pt>
                <c:pt idx="51">
                  <c:v>0.647112464808991</c:v>
                </c:pt>
                <c:pt idx="52">
                  <c:v>0.644937297722941</c:v>
                </c:pt>
                <c:pt idx="53">
                  <c:v>0.642818759321177</c:v>
                </c:pt>
                <c:pt idx="54">
                  <c:v>0.640748058244217</c:v>
                </c:pt>
                <c:pt idx="55">
                  <c:v>0.638578737359539</c:v>
                </c:pt>
                <c:pt idx="56">
                  <c:v>0.636719616900712</c:v>
                </c:pt>
                <c:pt idx="57">
                  <c:v>0.634710021111386</c:v>
                </c:pt>
                <c:pt idx="58">
                  <c:v>0.632670859384287</c:v>
                </c:pt>
                <c:pt idx="59">
                  <c:v>0.630730833080499</c:v>
                </c:pt>
                <c:pt idx="60">
                  <c:v>0.628775914154363</c:v>
                </c:pt>
                <c:pt idx="61">
                  <c:v>0.626796905830995</c:v>
                </c:pt>
                <c:pt idx="62">
                  <c:v>0.624761784346958</c:v>
                </c:pt>
                <c:pt idx="63">
                  <c:v>0.622872864080212</c:v>
                </c:pt>
                <c:pt idx="64">
                  <c:v>0.620981829304968</c:v>
                </c:pt>
                <c:pt idx="65">
                  <c:v>0.619040667136321</c:v>
                </c:pt>
                <c:pt idx="66">
                  <c:v>0.617115801971526</c:v>
                </c:pt>
                <c:pt idx="67">
                  <c:v>0.615295519530558</c:v>
                </c:pt>
                <c:pt idx="68">
                  <c:v>0.613336356893383</c:v>
                </c:pt>
                <c:pt idx="69">
                  <c:v>0.611656211110195</c:v>
                </c:pt>
                <c:pt idx="70">
                  <c:v>0.609819415626259</c:v>
                </c:pt>
                <c:pt idx="71">
                  <c:v>0.607902435659934</c:v>
                </c:pt>
                <c:pt idx="72">
                  <c:v>0.60610648499772</c:v>
                </c:pt>
                <c:pt idx="73">
                  <c:v>0.604208664660955</c:v>
                </c:pt>
                <c:pt idx="74">
                  <c:v>0.602227811574057</c:v>
                </c:pt>
                <c:pt idx="75">
                  <c:v>0.600573180009253</c:v>
                </c:pt>
                <c:pt idx="76">
                  <c:v>0.5985955338659</c:v>
                </c:pt>
                <c:pt idx="77">
                  <c:v>0.596896490579657</c:v>
                </c:pt>
                <c:pt idx="78">
                  <c:v>0.595254082164136</c:v>
                </c:pt>
                <c:pt idx="79">
                  <c:v>0.593375657542457</c:v>
                </c:pt>
                <c:pt idx="80">
                  <c:v>0.591565356651786</c:v>
                </c:pt>
                <c:pt idx="81">
                  <c:v>0.589951480032786</c:v>
                </c:pt>
                <c:pt idx="82">
                  <c:v>0.588229300073819</c:v>
                </c:pt>
                <c:pt idx="83">
                  <c:v>0.586397478282406</c:v>
                </c:pt>
                <c:pt idx="84">
                  <c:v>0.584833820654435</c:v>
                </c:pt>
                <c:pt idx="85">
                  <c:v>0.583471295350553</c:v>
                </c:pt>
                <c:pt idx="86">
                  <c:v>0.581433244933607</c:v>
                </c:pt>
                <c:pt idx="87">
                  <c:v>0.580026810496789</c:v>
                </c:pt>
                <c:pt idx="88">
                  <c:v>0.577705368325761</c:v>
                </c:pt>
                <c:pt idx="89">
                  <c:v>0.575841719842809</c:v>
                </c:pt>
                <c:pt idx="90">
                  <c:v>0.573741086732689</c:v>
                </c:pt>
                <c:pt idx="91">
                  <c:v>0.572501094098604</c:v>
                </c:pt>
                <c:pt idx="92">
                  <c:v>0.570476008576418</c:v>
                </c:pt>
                <c:pt idx="93">
                  <c:v>0.568046066883023</c:v>
                </c:pt>
                <c:pt idx="94">
                  <c:v>0.566900886458206</c:v>
                </c:pt>
                <c:pt idx="95">
                  <c:v>0.564382658814793</c:v>
                </c:pt>
                <c:pt idx="96">
                  <c:v>0.56331690868121</c:v>
                </c:pt>
                <c:pt idx="97">
                  <c:v>0.562926561158334</c:v>
                </c:pt>
                <c:pt idx="98">
                  <c:v>0.560755793623277</c:v>
                </c:pt>
                <c:pt idx="99">
                  <c:v>0.558804804635982</c:v>
                </c:pt>
                <c:pt idx="100">
                  <c:v>0.557380509810953</c:v>
                </c:pt>
                <c:pt idx="101">
                  <c:v>0.556298779192935</c:v>
                </c:pt>
                <c:pt idx="102">
                  <c:v>0.551788444342218</c:v>
                </c:pt>
                <c:pt idx="103">
                  <c:v>0.550879590088872</c:v>
                </c:pt>
                <c:pt idx="104">
                  <c:v>0.549581377577428</c:v>
                </c:pt>
                <c:pt idx="105">
                  <c:v>0.549091431348798</c:v>
                </c:pt>
                <c:pt idx="106">
                  <c:v>0.547154351896642</c:v>
                </c:pt>
                <c:pt idx="107">
                  <c:v>0.543685591481101</c:v>
                </c:pt>
                <c:pt idx="108">
                  <c:v>0.543163796880667</c:v>
                </c:pt>
                <c:pt idx="109">
                  <c:v>0.540259963809592</c:v>
                </c:pt>
                <c:pt idx="110">
                  <c:v>0.538569518928607</c:v>
                </c:pt>
                <c:pt idx="111">
                  <c:v>0.537709901949714</c:v>
                </c:pt>
                <c:pt idx="112">
                  <c:v>0.538129394316395</c:v>
                </c:pt>
                <c:pt idx="113">
                  <c:v>0.537397999738031</c:v>
                </c:pt>
                <c:pt idx="114">
                  <c:v>0.5372263346919</c:v>
                </c:pt>
                <c:pt idx="115">
                  <c:v>0.536201696557797</c:v>
                </c:pt>
              </c:numCache>
            </c:numRef>
          </c:xVal>
          <c:yVal>
            <c:numRef>
              <c:f>Calc!$Y$15:$Y$130</c:f>
              <c:numCache>
                <c:formatCode>General</c:formatCode>
                <c:ptCount val="11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</c:numCache>
            </c:numRef>
          </c:yVal>
        </c:ser>
        <c:axId val="75122084"/>
        <c:axId val="57856774"/>
      </c:scatterChart>
      <c:valAx>
        <c:axId val="75122084"/>
        <c:scaling>
          <c:orientation val="minMax"/>
          <c:min val="0.4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Implied Open Circuit Voltage (V)</a:t>
                </a:r>
              </a:p>
            </c:rich>
          </c:tx>
        </c:title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low"/>
        <c:spPr>
          <a:ln w="9360">
            <a:solidFill>
              <a:srgbClr val="878787"/>
            </a:solidFill>
            <a:round/>
          </a:ln>
        </c:spPr>
        <c:crossAx val="57856774"/>
        <c:crossesAt val="1"/>
      </c:valAx>
      <c:valAx>
        <c:axId val="57856774"/>
        <c:scaling>
          <c:orientation val="minMax"/>
          <c:logBase val="10"/>
          <c:min val="0.01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Illumination (suns)</a:t>
                </a:r>
              </a:p>
            </c:rich>
          </c:tx>
        </c:title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878787"/>
              </a:solidFill>
              <a:round/>
            </a:ln>
          </c:spPr>
        </c:minorGridlines>
        <c:majorTickMark val="out"/>
        <c:minorTickMark val="none"/>
        <c:tickLblPos val="nextTo"/>
        <c:spPr>
          <a:ln w="9360">
            <a:solidFill>
              <a:srgbClr val="000000"/>
            </a:solidFill>
            <a:round/>
          </a:ln>
        </c:spPr>
        <c:crossAx val="75122084"/>
        <c:crossesAt val="0"/>
      </c:valAx>
      <c:spPr>
        <a:solidFill>
          <a:srgbClr val="ffffff"/>
        </a:solidFill>
        <a:ln>
          <a:solidFill>
            <a:srgbClr val="000000"/>
          </a:solidFill>
        </a:ln>
      </c:spPr>
    </c:plotArea>
    <c:plotVisOnly val="1"/>
  </c:chart>
  <c:spPr>
    <a:noFill/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 sz="1400">
                <a:solidFill>
                  <a:srgbClr val="000000"/>
                </a:solidFill>
                <a:latin typeface="Calibri"/>
              </a:rPr>
              <a:t>Minority Carrier Lifetime (no Auger Correction)  vs Minority Carrier Density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"Minority Carrier Density"</c:f>
              <c:strCache>
                <c:ptCount val="1"/>
                <c:pt idx="0">
                  <c:v>Minority Carrier Density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Calc!$O$12:$O$131</c:f>
              <c:numCache>
                <c:formatCode>General</c:formatCode>
                <c:ptCount val="120"/>
                <c:pt idx="0">
                  <c:v>36427160437229200</c:v>
                </c:pt>
                <c:pt idx="1">
                  <c:v>35960639175556000</c:v>
                </c:pt>
                <c:pt idx="2">
                  <c:v>34640506713742100</c:v>
                </c:pt>
                <c:pt idx="3">
                  <c:v>33094189745940200</c:v>
                </c:pt>
                <c:pt idx="4">
                  <c:v>31509624705700300</c:v>
                </c:pt>
                <c:pt idx="5">
                  <c:v>29891736272606900</c:v>
                </c:pt>
                <c:pt idx="6">
                  <c:v>28297879556163500</c:v>
                </c:pt>
                <c:pt idx="7">
                  <c:v>26752924575107000</c:v>
                </c:pt>
                <c:pt idx="8">
                  <c:v>25263397175589000</c:v>
                </c:pt>
                <c:pt idx="9">
                  <c:v>23827630108026100</c:v>
                </c:pt>
                <c:pt idx="10">
                  <c:v>22456291055661500</c:v>
                </c:pt>
                <c:pt idx="11">
                  <c:v>21155974638805200</c:v>
                </c:pt>
                <c:pt idx="12">
                  <c:v>19908759707753300</c:v>
                </c:pt>
                <c:pt idx="13">
                  <c:v>18728247707966400</c:v>
                </c:pt>
                <c:pt idx="14">
                  <c:v>17605699975024100</c:v>
                </c:pt>
                <c:pt idx="15">
                  <c:v>16539968009497500</c:v>
                </c:pt>
                <c:pt idx="16">
                  <c:v>15535100296298000</c:v>
                </c:pt>
                <c:pt idx="17">
                  <c:v>14583243862017500</c:v>
                </c:pt>
                <c:pt idx="18">
                  <c:v>13689584349206500</c:v>
                </c:pt>
                <c:pt idx="19">
                  <c:v>12845970111505300</c:v>
                </c:pt>
                <c:pt idx="20">
                  <c:v>12051435426874400</c:v>
                </c:pt>
                <c:pt idx="21">
                  <c:v>11304792156430900</c:v>
                </c:pt>
                <c:pt idx="22">
                  <c:v>10602611747998900</c:v>
                </c:pt>
                <c:pt idx="23">
                  <c:v>9949873671104590</c:v>
                </c:pt>
                <c:pt idx="24">
                  <c:v>9332678772147270</c:v>
                </c:pt>
                <c:pt idx="25">
                  <c:v>8754445669875410</c:v>
                </c:pt>
                <c:pt idx="26">
                  <c:v>8211088727205680</c:v>
                </c:pt>
                <c:pt idx="27">
                  <c:v>7702864378172590</c:v>
                </c:pt>
                <c:pt idx="28">
                  <c:v>7226807255739610</c:v>
                </c:pt>
                <c:pt idx="29">
                  <c:v>6777655477861600</c:v>
                </c:pt>
                <c:pt idx="30">
                  <c:v>6355404294101230</c:v>
                </c:pt>
                <c:pt idx="31">
                  <c:v>5958129488975960</c:v>
                </c:pt>
                <c:pt idx="32">
                  <c:v>5589119782351900</c:v>
                </c:pt>
                <c:pt idx="33">
                  <c:v>5240117478900220</c:v>
                </c:pt>
                <c:pt idx="34">
                  <c:v>4912154763705850</c:v>
                </c:pt>
                <c:pt idx="35">
                  <c:v>4608586025899590</c:v>
                </c:pt>
                <c:pt idx="36">
                  <c:v>4320303762359760</c:v>
                </c:pt>
                <c:pt idx="37">
                  <c:v>4047128628949140</c:v>
                </c:pt>
                <c:pt idx="38">
                  <c:v>3792086185908160</c:v>
                </c:pt>
                <c:pt idx="39">
                  <c:v>3558946252789220</c:v>
                </c:pt>
                <c:pt idx="40">
                  <c:v>3334347137827980</c:v>
                </c:pt>
                <c:pt idx="41">
                  <c:v>3126622200397880</c:v>
                </c:pt>
                <c:pt idx="42">
                  <c:v>2931046234871820</c:v>
                </c:pt>
                <c:pt idx="43">
                  <c:v>2748983842134610</c:v>
                </c:pt>
                <c:pt idx="44">
                  <c:v>2574693173309650</c:v>
                </c:pt>
                <c:pt idx="45">
                  <c:v>2414878703535610</c:v>
                </c:pt>
                <c:pt idx="46">
                  <c:v>2266083458860130</c:v>
                </c:pt>
                <c:pt idx="47">
                  <c:v>2125971438414310</c:v>
                </c:pt>
                <c:pt idx="48">
                  <c:v>1989964370513320</c:v>
                </c:pt>
                <c:pt idx="49">
                  <c:v>1864797110184120</c:v>
                </c:pt>
                <c:pt idx="50">
                  <c:v>1746876132224580</c:v>
                </c:pt>
                <c:pt idx="51">
                  <c:v>1638419307940450</c:v>
                </c:pt>
                <c:pt idx="52">
                  <c:v>1535491452734930</c:v>
                </c:pt>
                <c:pt idx="53">
                  <c:v>1439826951286910</c:v>
                </c:pt>
                <c:pt idx="54">
                  <c:v>1350685112988700</c:v>
                </c:pt>
                <c:pt idx="55">
                  <c:v>1264012780965970</c:v>
                </c:pt>
                <c:pt idx="56">
                  <c:v>1184160970027500</c:v>
                </c:pt>
                <c:pt idx="57">
                  <c:v>1110287849279560</c:v>
                </c:pt>
                <c:pt idx="58">
                  <c:v>1037141572389610</c:v>
                </c:pt>
                <c:pt idx="59">
                  <c:v>977772529288657</c:v>
                </c:pt>
                <c:pt idx="60">
                  <c:v>916903108915604</c:v>
                </c:pt>
                <c:pt idx="61">
                  <c:v>858506603042325</c:v>
                </c:pt>
                <c:pt idx="62">
                  <c:v>805968056995729</c:v>
                </c:pt>
                <c:pt idx="63">
                  <c:v>755879257963519</c:v>
                </c:pt>
                <c:pt idx="64">
                  <c:v>707967165894605</c:v>
                </c:pt>
                <c:pt idx="65">
                  <c:v>661500068404725</c:v>
                </c:pt>
                <c:pt idx="66">
                  <c:v>620802574185446</c:v>
                </c:pt>
                <c:pt idx="67">
                  <c:v>582300309816828</c:v>
                </c:pt>
                <c:pt idx="68">
                  <c:v>545005614705633</c:v>
                </c:pt>
                <c:pt idx="69">
                  <c:v>510151221833608</c:v>
                </c:pt>
                <c:pt idx="70">
                  <c:v>479049614787835</c:v>
                </c:pt>
                <c:pt idx="71">
                  <c:v>447499320366370</c:v>
                </c:pt>
                <c:pt idx="72">
                  <c:v>421958337673398</c:v>
                </c:pt>
                <c:pt idx="73">
                  <c:v>395562562247333</c:v>
                </c:pt>
                <c:pt idx="74">
                  <c:v>369634442045838</c:v>
                </c:pt>
                <c:pt idx="75">
                  <c:v>346770608412039</c:v>
                </c:pt>
                <c:pt idx="76">
                  <c:v>324034467606480</c:v>
                </c:pt>
                <c:pt idx="77">
                  <c:v>301783714180183</c:v>
                </c:pt>
                <c:pt idx="78">
                  <c:v>284296418020692</c:v>
                </c:pt>
                <c:pt idx="79">
                  <c:v>264637960521096</c:v>
                </c:pt>
                <c:pt idx="80">
                  <c:v>248774139642155</c:v>
                </c:pt>
                <c:pt idx="81">
                  <c:v>234293024261246</c:v>
                </c:pt>
                <c:pt idx="82">
                  <c:v>218706869289316</c:v>
                </c:pt>
                <c:pt idx="83">
                  <c:v>204618740201941</c:v>
                </c:pt>
                <c:pt idx="84">
                  <c:v>192789613599167</c:v>
                </c:pt>
                <c:pt idx="85">
                  <c:v>180885870525469</c:v>
                </c:pt>
                <c:pt idx="86">
                  <c:v>168995550058679</c:v>
                </c:pt>
                <c:pt idx="87">
                  <c:v>159441084468022</c:v>
                </c:pt>
                <c:pt idx="88">
                  <c:v>151539967661566</c:v>
                </c:pt>
                <c:pt idx="89">
                  <c:v>140420087935485</c:v>
                </c:pt>
                <c:pt idx="90">
                  <c:v>133209306812886</c:v>
                </c:pt>
                <c:pt idx="91">
                  <c:v>122082574445884</c:v>
                </c:pt>
                <c:pt idx="92">
                  <c:v>113806058023588</c:v>
                </c:pt>
                <c:pt idx="93">
                  <c:v>105129014300300</c:v>
                </c:pt>
                <c:pt idx="94">
                  <c:v>100312421108554</c:v>
                </c:pt>
                <c:pt idx="95">
                  <c:v>92904360815706.8</c:v>
                </c:pt>
                <c:pt idx="96">
                  <c:v>84717255660120.9</c:v>
                </c:pt>
                <c:pt idx="97">
                  <c:v>81107387371609.9</c:v>
                </c:pt>
                <c:pt idx="98">
                  <c:v>73690460933525.9</c:v>
                </c:pt>
                <c:pt idx="99">
                  <c:v>70755458155712.5</c:v>
                </c:pt>
                <c:pt idx="100">
                  <c:v>69709400525524</c:v>
                </c:pt>
                <c:pt idx="101">
                  <c:v>64163141544923.7</c:v>
                </c:pt>
                <c:pt idx="102">
                  <c:v>59549733263458.2</c:v>
                </c:pt>
                <c:pt idx="103">
                  <c:v>56389325825649.6</c:v>
                </c:pt>
                <c:pt idx="104">
                  <c:v>54099898148273.9</c:v>
                </c:pt>
                <c:pt idx="105">
                  <c:v>45501501107646.4</c:v>
                </c:pt>
                <c:pt idx="106">
                  <c:v>43939725689345.2</c:v>
                </c:pt>
                <c:pt idx="107">
                  <c:v>41800301029689.8</c:v>
                </c:pt>
                <c:pt idx="108">
                  <c:v>41019918286339.9</c:v>
                </c:pt>
                <c:pt idx="109">
                  <c:v>38073114983681.9</c:v>
                </c:pt>
                <c:pt idx="110">
                  <c:v>33310224587328.3</c:v>
                </c:pt>
                <c:pt idx="111">
                  <c:v>32646757858004.8</c:v>
                </c:pt>
                <c:pt idx="112">
                  <c:v>29186774225621.7</c:v>
                </c:pt>
                <c:pt idx="113">
                  <c:v>27342694042775.6</c:v>
                </c:pt>
                <c:pt idx="114">
                  <c:v>26449772194609.8</c:v>
                </c:pt>
                <c:pt idx="115">
                  <c:v>26881842656070.6</c:v>
                </c:pt>
                <c:pt idx="116">
                  <c:v>26132991744538</c:v>
                </c:pt>
                <c:pt idx="117">
                  <c:v>25960251382945.2</c:v>
                </c:pt>
                <c:pt idx="118">
                  <c:v>24952516219816.5</c:v>
                </c:pt>
                <c:pt idx="119">
                  <c:v>20061967632947.2</c:v>
                </c:pt>
              </c:numCache>
            </c:numRef>
          </c:xVal>
          <c:yVal>
            <c:numRef>
              <c:f>Calc!$P$12:$P$131</c:f>
              <c:numCache>
                <c:formatCode>General</c:formatCode>
                <c:ptCount val="12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</c:numCache>
            </c:numRef>
          </c:yVal>
        </c:ser>
        <c:ser>
          <c:idx val="1"/>
          <c:order val="1"/>
          <c:tx>
            <c:strRef>
              <c:f>"Apparent Carrier Density"</c:f>
              <c:strCache>
                <c:ptCount val="1"/>
                <c:pt idx="0">
                  <c:v>Apparent Carrier Density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Calc!$I$12:$I$131</c:f>
              <c:numCache>
                <c:formatCode>General</c:formatCode>
                <c:ptCount val="120"/>
                <c:pt idx="0">
                  <c:v>36427160437229200</c:v>
                </c:pt>
                <c:pt idx="1">
                  <c:v>35960639175556000</c:v>
                </c:pt>
                <c:pt idx="2">
                  <c:v>34640506713742100</c:v>
                </c:pt>
                <c:pt idx="3">
                  <c:v>33094189745940200</c:v>
                </c:pt>
                <c:pt idx="4">
                  <c:v>31509624705700300</c:v>
                </c:pt>
                <c:pt idx="5">
                  <c:v>29891736272606900</c:v>
                </c:pt>
                <c:pt idx="6">
                  <c:v>28297879556163500</c:v>
                </c:pt>
                <c:pt idx="7">
                  <c:v>26752924575107000</c:v>
                </c:pt>
                <c:pt idx="8">
                  <c:v>25263397175589000</c:v>
                </c:pt>
                <c:pt idx="9">
                  <c:v>23827630108026100</c:v>
                </c:pt>
                <c:pt idx="10">
                  <c:v>22456291055661500</c:v>
                </c:pt>
                <c:pt idx="11">
                  <c:v>21155974638805200</c:v>
                </c:pt>
                <c:pt idx="12">
                  <c:v>19908759707753300</c:v>
                </c:pt>
                <c:pt idx="13">
                  <c:v>18728247707966400</c:v>
                </c:pt>
                <c:pt idx="14">
                  <c:v>17605699975024100</c:v>
                </c:pt>
                <c:pt idx="15">
                  <c:v>16539968009497500</c:v>
                </c:pt>
                <c:pt idx="16">
                  <c:v>15535100296298000</c:v>
                </c:pt>
                <c:pt idx="17">
                  <c:v>14583243862017500</c:v>
                </c:pt>
                <c:pt idx="18">
                  <c:v>13689584349206500</c:v>
                </c:pt>
                <c:pt idx="19">
                  <c:v>12845970111505300</c:v>
                </c:pt>
                <c:pt idx="20">
                  <c:v>12051435426874400</c:v>
                </c:pt>
                <c:pt idx="21">
                  <c:v>11304792156430900</c:v>
                </c:pt>
                <c:pt idx="22">
                  <c:v>10602611747998900</c:v>
                </c:pt>
                <c:pt idx="23">
                  <c:v>9949873671104590</c:v>
                </c:pt>
                <c:pt idx="24">
                  <c:v>9332678772147270</c:v>
                </c:pt>
                <c:pt idx="25">
                  <c:v>8754445669875410</c:v>
                </c:pt>
                <c:pt idx="26">
                  <c:v>8211088727205680</c:v>
                </c:pt>
                <c:pt idx="27">
                  <c:v>7702864378172590</c:v>
                </c:pt>
                <c:pt idx="28">
                  <c:v>7226807255739610</c:v>
                </c:pt>
                <c:pt idx="29">
                  <c:v>6777655477861600</c:v>
                </c:pt>
                <c:pt idx="30">
                  <c:v>6355404294101230</c:v>
                </c:pt>
                <c:pt idx="31">
                  <c:v>5958129488975960</c:v>
                </c:pt>
                <c:pt idx="32">
                  <c:v>5589119782351900</c:v>
                </c:pt>
                <c:pt idx="33">
                  <c:v>5240117478900220</c:v>
                </c:pt>
                <c:pt idx="34">
                  <c:v>4912154763705850</c:v>
                </c:pt>
                <c:pt idx="35">
                  <c:v>4608586025899590</c:v>
                </c:pt>
                <c:pt idx="36">
                  <c:v>4320303762359760</c:v>
                </c:pt>
                <c:pt idx="37">
                  <c:v>4047128628949140</c:v>
                </c:pt>
                <c:pt idx="38">
                  <c:v>3792086185908160</c:v>
                </c:pt>
                <c:pt idx="39">
                  <c:v>3558946252789220</c:v>
                </c:pt>
                <c:pt idx="40">
                  <c:v>3334347137827980</c:v>
                </c:pt>
                <c:pt idx="41">
                  <c:v>3126622200397880</c:v>
                </c:pt>
                <c:pt idx="42">
                  <c:v>2931046234871820</c:v>
                </c:pt>
                <c:pt idx="43">
                  <c:v>2748983842134610</c:v>
                </c:pt>
                <c:pt idx="44">
                  <c:v>2574693173309650</c:v>
                </c:pt>
                <c:pt idx="45">
                  <c:v>2414878703535610</c:v>
                </c:pt>
                <c:pt idx="46">
                  <c:v>2266083458860130</c:v>
                </c:pt>
                <c:pt idx="47">
                  <c:v>2125971438414310</c:v>
                </c:pt>
                <c:pt idx="48">
                  <c:v>1989964370513320</c:v>
                </c:pt>
                <c:pt idx="49">
                  <c:v>1864797110184120</c:v>
                </c:pt>
                <c:pt idx="50">
                  <c:v>1746876132224580</c:v>
                </c:pt>
                <c:pt idx="51">
                  <c:v>1638419307940450</c:v>
                </c:pt>
                <c:pt idx="52">
                  <c:v>1535491452734930</c:v>
                </c:pt>
                <c:pt idx="53">
                  <c:v>1439826951286910</c:v>
                </c:pt>
                <c:pt idx="54">
                  <c:v>1350685112988700</c:v>
                </c:pt>
                <c:pt idx="55">
                  <c:v>1264012780965970</c:v>
                </c:pt>
                <c:pt idx="56">
                  <c:v>1184160970027500</c:v>
                </c:pt>
                <c:pt idx="57">
                  <c:v>1110287849279560</c:v>
                </c:pt>
                <c:pt idx="58">
                  <c:v>1037141572389610</c:v>
                </c:pt>
                <c:pt idx="59">
                  <c:v>977772529288657</c:v>
                </c:pt>
                <c:pt idx="60">
                  <c:v>916903108915604</c:v>
                </c:pt>
                <c:pt idx="61">
                  <c:v>858506603042325</c:v>
                </c:pt>
                <c:pt idx="62">
                  <c:v>805968056995729</c:v>
                </c:pt>
                <c:pt idx="63">
                  <c:v>755879257963519</c:v>
                </c:pt>
                <c:pt idx="64">
                  <c:v>707967165894605</c:v>
                </c:pt>
                <c:pt idx="65">
                  <c:v>661500068404725</c:v>
                </c:pt>
                <c:pt idx="66">
                  <c:v>620802574185446</c:v>
                </c:pt>
                <c:pt idx="67">
                  <c:v>582300309816828</c:v>
                </c:pt>
                <c:pt idx="68">
                  <c:v>545005614705633</c:v>
                </c:pt>
                <c:pt idx="69">
                  <c:v>510151221833608</c:v>
                </c:pt>
                <c:pt idx="70">
                  <c:v>479049614787835</c:v>
                </c:pt>
                <c:pt idx="71">
                  <c:v>447499320366370</c:v>
                </c:pt>
                <c:pt idx="72">
                  <c:v>421958337673398</c:v>
                </c:pt>
                <c:pt idx="73">
                  <c:v>395562562247333</c:v>
                </c:pt>
                <c:pt idx="74">
                  <c:v>369634442045838</c:v>
                </c:pt>
                <c:pt idx="75">
                  <c:v>346770608412039</c:v>
                </c:pt>
                <c:pt idx="76">
                  <c:v>324034467606480</c:v>
                </c:pt>
                <c:pt idx="77">
                  <c:v>301783714180183</c:v>
                </c:pt>
                <c:pt idx="78">
                  <c:v>284296418020692</c:v>
                </c:pt>
                <c:pt idx="79">
                  <c:v>264637960521096</c:v>
                </c:pt>
                <c:pt idx="80">
                  <c:v>248774139642155</c:v>
                </c:pt>
                <c:pt idx="81">
                  <c:v>234293024261246</c:v>
                </c:pt>
                <c:pt idx="82">
                  <c:v>218706869289316</c:v>
                </c:pt>
                <c:pt idx="83">
                  <c:v>204618740201941</c:v>
                </c:pt>
                <c:pt idx="84">
                  <c:v>192789613599167</c:v>
                </c:pt>
                <c:pt idx="85">
                  <c:v>180885870525469</c:v>
                </c:pt>
                <c:pt idx="86">
                  <c:v>168995550058679</c:v>
                </c:pt>
                <c:pt idx="87">
                  <c:v>159441084468022</c:v>
                </c:pt>
                <c:pt idx="88">
                  <c:v>151539967661566</c:v>
                </c:pt>
                <c:pt idx="89">
                  <c:v>140420087935485</c:v>
                </c:pt>
                <c:pt idx="90">
                  <c:v>133209306812886</c:v>
                </c:pt>
                <c:pt idx="91">
                  <c:v>122082574445884</c:v>
                </c:pt>
                <c:pt idx="92">
                  <c:v>113806058023588</c:v>
                </c:pt>
                <c:pt idx="93">
                  <c:v>105129014300300</c:v>
                </c:pt>
                <c:pt idx="94">
                  <c:v>100312421108554</c:v>
                </c:pt>
                <c:pt idx="95">
                  <c:v>92904360815706.8</c:v>
                </c:pt>
                <c:pt idx="96">
                  <c:v>84717255660120.9</c:v>
                </c:pt>
                <c:pt idx="97">
                  <c:v>81107387371609.9</c:v>
                </c:pt>
                <c:pt idx="98">
                  <c:v>73690460933525.9</c:v>
                </c:pt>
                <c:pt idx="99">
                  <c:v>70755458155712.5</c:v>
                </c:pt>
                <c:pt idx="100">
                  <c:v>69709400525524</c:v>
                </c:pt>
                <c:pt idx="101">
                  <c:v>64163141544923.7</c:v>
                </c:pt>
                <c:pt idx="102">
                  <c:v>59549733263458.2</c:v>
                </c:pt>
                <c:pt idx="103">
                  <c:v>56389325825649.6</c:v>
                </c:pt>
                <c:pt idx="104">
                  <c:v>54099898148273.9</c:v>
                </c:pt>
                <c:pt idx="105">
                  <c:v>45501501107646.4</c:v>
                </c:pt>
                <c:pt idx="106">
                  <c:v>43939725689345.2</c:v>
                </c:pt>
                <c:pt idx="107">
                  <c:v>41800301029689.8</c:v>
                </c:pt>
                <c:pt idx="108">
                  <c:v>41019918286339.9</c:v>
                </c:pt>
                <c:pt idx="109">
                  <c:v>38073114983681.9</c:v>
                </c:pt>
                <c:pt idx="110">
                  <c:v>33310224587328.3</c:v>
                </c:pt>
                <c:pt idx="111">
                  <c:v>32646757858004.8</c:v>
                </c:pt>
                <c:pt idx="112">
                  <c:v>29186774225621.7</c:v>
                </c:pt>
                <c:pt idx="113">
                  <c:v>27342694042775.6</c:v>
                </c:pt>
                <c:pt idx="114">
                  <c:v>26449772194609.8</c:v>
                </c:pt>
                <c:pt idx="115">
                  <c:v>26881842656070.6</c:v>
                </c:pt>
                <c:pt idx="116">
                  <c:v>26132991744538</c:v>
                </c:pt>
                <c:pt idx="117">
                  <c:v>25960251382945.2</c:v>
                </c:pt>
                <c:pt idx="118">
                  <c:v>24952516219816.5</c:v>
                </c:pt>
                <c:pt idx="119">
                  <c:v>20061967632947.2</c:v>
                </c:pt>
              </c:numCache>
            </c:numRef>
          </c:xVal>
          <c:yVal>
            <c:numRef>
              <c:f>Calc!$P$12:$P$131</c:f>
              <c:numCache>
                <c:formatCode>General</c:formatCode>
                <c:ptCount val="12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</c:numCache>
            </c:numRef>
          </c:yVal>
        </c:ser>
        <c:ser>
          <c:idx val="2"/>
          <c:order val="2"/>
          <c:tx>
            <c:strRef>
              <c:f>"Specified Carrier Density"</c:f>
              <c:strCache>
                <c:ptCount val="1"/>
                <c:pt idx="0">
                  <c:v>Specified Carrier Density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Calc!$O$6</c:f>
              <c:numCache>
                <c:formatCode>General</c:formatCode>
                <c:ptCount val="1"/>
                <c:pt idx="0">
                  <c:v>1000000000000000</c:v>
                </c:pt>
              </c:numCache>
            </c:numRef>
          </c:xVal>
          <c:yVal>
            <c:numRef>
              <c:f>Calc!$S$6</c:f>
              <c:numCache>
                <c:formatCode>General</c:formatCode>
                <c:ptCount val="1"/>
                <c:pt idx="0">
                  <c:v>4.30320669794761E-005</c:v>
                </c:pt>
              </c:numCache>
            </c:numRef>
          </c:yVal>
        </c:ser>
        <c:axId val="64893417"/>
        <c:axId val="26548577"/>
      </c:scatterChart>
      <c:valAx>
        <c:axId val="64893417"/>
        <c:scaling>
          <c:orientation val="minMax"/>
          <c:logBase val="10"/>
          <c:min val="1000000000000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Minority Carrier Density (cm-3)</a:t>
                </a:r>
              </a:p>
            </c:rich>
          </c:tx>
        </c:title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26548577"/>
        <c:crossesAt val="0"/>
      </c:valAx>
      <c:valAx>
        <c:axId val="26548577"/>
        <c:scaling>
          <c:orientation val="minMax"/>
          <c:max val="0.000172128267917905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Minority Carrier Lifetime (seconds)</a:t>
                </a:r>
              </a:p>
            </c:rich>
          </c:tx>
        </c:title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/>
        <c:crossAx val="64893417"/>
        <c:crossesAt val="1"/>
      </c:valAx>
      <c:spPr>
        <a:solidFill>
          <a:srgbClr val="ffffff"/>
        </a:solidFill>
        <a:ln>
          <a:solidFill>
            <a:srgbClr val="000000"/>
          </a:solidFill>
        </a:ln>
      </c:spPr>
    </c:plotArea>
    <c:legend>
      <c:legendPos val="r"/>
      <c:spPr>
        <a:solidFill>
          <a:srgbClr val="ffffff"/>
        </a:solidFill>
        <a:ln>
          <a:solidFill>
            <a:srgbClr val="000000"/>
          </a:solidFill>
        </a:ln>
      </c:spPr>
    </c:legend>
    <c:plotVisOnly val="1"/>
  </c:chart>
  <c:spPr>
    <a:noFill/>
  </c:spPr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 sz="875">
                <a:solidFill>
                  <a:srgbClr val="000000"/>
                </a:solidFill>
                <a:ea typeface="Arial"/>
              </a:rPr>
              <a:t>Raw Voltages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"Light voltage"</c:f>
              <c:strCache>
                <c:ptCount val="1"/>
                <c:pt idx="0">
                  <c:v>Light voltage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smooth val="1"/>
          <c:xVal>
            <c:numRef>
              <c:f>Calc!$A$9:$A$133</c:f>
              <c:numCache>
                <c:formatCode>General</c:formatCode>
                <c:ptCount val="125"/>
                <c:pt idx="0">
                  <c:v>4.99E-005</c:v>
                </c:pt>
                <c:pt idx="1">
                  <c:v>0.0001499</c:v>
                </c:pt>
                <c:pt idx="2">
                  <c:v>0.0002499</c:v>
                </c:pt>
                <c:pt idx="3">
                  <c:v>0.0003499</c:v>
                </c:pt>
                <c:pt idx="4">
                  <c:v>0.0004499</c:v>
                </c:pt>
                <c:pt idx="5">
                  <c:v>0.0005499</c:v>
                </c:pt>
                <c:pt idx="6">
                  <c:v>0.0006499</c:v>
                </c:pt>
                <c:pt idx="7">
                  <c:v>0.0007499</c:v>
                </c:pt>
                <c:pt idx="8">
                  <c:v>0.0008499</c:v>
                </c:pt>
                <c:pt idx="9">
                  <c:v>0.0009499</c:v>
                </c:pt>
                <c:pt idx="10">
                  <c:v>0.0010499</c:v>
                </c:pt>
                <c:pt idx="11">
                  <c:v>0.0011499</c:v>
                </c:pt>
                <c:pt idx="12">
                  <c:v>0.0012499</c:v>
                </c:pt>
                <c:pt idx="13">
                  <c:v>0.0013499</c:v>
                </c:pt>
                <c:pt idx="14">
                  <c:v>0.0014499</c:v>
                </c:pt>
                <c:pt idx="15">
                  <c:v>0.0015499</c:v>
                </c:pt>
                <c:pt idx="16">
                  <c:v>0.0016499</c:v>
                </c:pt>
                <c:pt idx="17">
                  <c:v>0.0017499</c:v>
                </c:pt>
                <c:pt idx="18">
                  <c:v>0.0018499</c:v>
                </c:pt>
                <c:pt idx="19">
                  <c:v>0.0019499</c:v>
                </c:pt>
                <c:pt idx="20">
                  <c:v>0.0020499</c:v>
                </c:pt>
                <c:pt idx="21">
                  <c:v>0.0021499</c:v>
                </c:pt>
                <c:pt idx="22">
                  <c:v>0.0022499</c:v>
                </c:pt>
                <c:pt idx="23">
                  <c:v>0.0023499</c:v>
                </c:pt>
                <c:pt idx="24">
                  <c:v>0.0024499</c:v>
                </c:pt>
                <c:pt idx="25">
                  <c:v>0.0025499</c:v>
                </c:pt>
                <c:pt idx="26">
                  <c:v>0.0026499</c:v>
                </c:pt>
                <c:pt idx="27">
                  <c:v>0.0027499</c:v>
                </c:pt>
                <c:pt idx="28">
                  <c:v>0.0028499</c:v>
                </c:pt>
                <c:pt idx="29">
                  <c:v>0.0029499</c:v>
                </c:pt>
                <c:pt idx="30">
                  <c:v>0.0030499</c:v>
                </c:pt>
                <c:pt idx="31">
                  <c:v>0.0031499</c:v>
                </c:pt>
                <c:pt idx="32">
                  <c:v>0.0032499</c:v>
                </c:pt>
                <c:pt idx="33">
                  <c:v>0.0033499</c:v>
                </c:pt>
                <c:pt idx="34">
                  <c:v>0.0034499</c:v>
                </c:pt>
                <c:pt idx="35">
                  <c:v>0.0035499</c:v>
                </c:pt>
                <c:pt idx="36">
                  <c:v>0.0036499</c:v>
                </c:pt>
                <c:pt idx="37">
                  <c:v>0.0037499</c:v>
                </c:pt>
                <c:pt idx="38">
                  <c:v>0.0038499</c:v>
                </c:pt>
                <c:pt idx="39">
                  <c:v>0.0039499</c:v>
                </c:pt>
                <c:pt idx="40">
                  <c:v>0.0040499</c:v>
                </c:pt>
                <c:pt idx="41">
                  <c:v>0.0041499</c:v>
                </c:pt>
                <c:pt idx="42">
                  <c:v>0.0042499</c:v>
                </c:pt>
                <c:pt idx="43">
                  <c:v>0.0043499</c:v>
                </c:pt>
                <c:pt idx="44">
                  <c:v>0.0044499</c:v>
                </c:pt>
                <c:pt idx="45">
                  <c:v>0.0045499</c:v>
                </c:pt>
                <c:pt idx="46">
                  <c:v>0.0046499</c:v>
                </c:pt>
                <c:pt idx="47">
                  <c:v>0.0047499</c:v>
                </c:pt>
                <c:pt idx="48">
                  <c:v>0.0048499</c:v>
                </c:pt>
                <c:pt idx="49">
                  <c:v>0.0049499</c:v>
                </c:pt>
                <c:pt idx="50">
                  <c:v>0.0050499</c:v>
                </c:pt>
                <c:pt idx="51">
                  <c:v>0.0051499</c:v>
                </c:pt>
                <c:pt idx="52">
                  <c:v>0.0052499</c:v>
                </c:pt>
                <c:pt idx="53">
                  <c:v>0.0053499</c:v>
                </c:pt>
                <c:pt idx="54">
                  <c:v>0.0054499</c:v>
                </c:pt>
                <c:pt idx="55">
                  <c:v>0.0055499</c:v>
                </c:pt>
                <c:pt idx="56">
                  <c:v>0.0056499</c:v>
                </c:pt>
                <c:pt idx="57">
                  <c:v>0.0057499</c:v>
                </c:pt>
                <c:pt idx="58">
                  <c:v>0.0058499</c:v>
                </c:pt>
                <c:pt idx="59">
                  <c:v>0.0059499</c:v>
                </c:pt>
                <c:pt idx="60">
                  <c:v>0.0060499</c:v>
                </c:pt>
                <c:pt idx="61">
                  <c:v>0.0061499</c:v>
                </c:pt>
                <c:pt idx="62">
                  <c:v>0.0062499</c:v>
                </c:pt>
                <c:pt idx="63">
                  <c:v>0.0063499</c:v>
                </c:pt>
                <c:pt idx="64">
                  <c:v>0.0064499</c:v>
                </c:pt>
                <c:pt idx="65">
                  <c:v>0.0065499</c:v>
                </c:pt>
                <c:pt idx="66">
                  <c:v>0.0066499</c:v>
                </c:pt>
                <c:pt idx="67">
                  <c:v>0.0067499</c:v>
                </c:pt>
                <c:pt idx="68">
                  <c:v>0.0068499</c:v>
                </c:pt>
                <c:pt idx="69">
                  <c:v>0.0069499</c:v>
                </c:pt>
                <c:pt idx="70">
                  <c:v>0.0070499</c:v>
                </c:pt>
                <c:pt idx="71">
                  <c:v>0.0071499</c:v>
                </c:pt>
                <c:pt idx="72">
                  <c:v>0.0072499</c:v>
                </c:pt>
                <c:pt idx="73">
                  <c:v>0.0073499</c:v>
                </c:pt>
                <c:pt idx="74">
                  <c:v>0.0074499</c:v>
                </c:pt>
                <c:pt idx="75">
                  <c:v>0.0075499</c:v>
                </c:pt>
                <c:pt idx="76">
                  <c:v>0.0076499</c:v>
                </c:pt>
                <c:pt idx="77">
                  <c:v>0.0077499</c:v>
                </c:pt>
                <c:pt idx="78">
                  <c:v>0.0078499</c:v>
                </c:pt>
                <c:pt idx="79">
                  <c:v>0.0079499</c:v>
                </c:pt>
                <c:pt idx="80">
                  <c:v>0.0080499</c:v>
                </c:pt>
                <c:pt idx="81">
                  <c:v>0.0081499</c:v>
                </c:pt>
                <c:pt idx="82">
                  <c:v>0.0082499</c:v>
                </c:pt>
                <c:pt idx="83">
                  <c:v>0.0083499</c:v>
                </c:pt>
                <c:pt idx="84">
                  <c:v>0.0084499</c:v>
                </c:pt>
                <c:pt idx="85">
                  <c:v>0.0085499</c:v>
                </c:pt>
                <c:pt idx="86">
                  <c:v>0.0086499</c:v>
                </c:pt>
                <c:pt idx="87">
                  <c:v>0.0087499</c:v>
                </c:pt>
                <c:pt idx="88">
                  <c:v>0.0088499</c:v>
                </c:pt>
                <c:pt idx="89">
                  <c:v>0.0089499</c:v>
                </c:pt>
                <c:pt idx="90">
                  <c:v>0.0090499</c:v>
                </c:pt>
                <c:pt idx="91">
                  <c:v>0.0091499</c:v>
                </c:pt>
                <c:pt idx="92">
                  <c:v>0.0092499</c:v>
                </c:pt>
                <c:pt idx="93">
                  <c:v>0.0093499</c:v>
                </c:pt>
                <c:pt idx="94">
                  <c:v>0.0094499</c:v>
                </c:pt>
                <c:pt idx="95">
                  <c:v>0.0095499</c:v>
                </c:pt>
                <c:pt idx="96">
                  <c:v>0.0096499</c:v>
                </c:pt>
                <c:pt idx="97">
                  <c:v>0.0097499</c:v>
                </c:pt>
                <c:pt idx="98">
                  <c:v>0.0098499</c:v>
                </c:pt>
                <c:pt idx="99">
                  <c:v>0.0099499</c:v>
                </c:pt>
                <c:pt idx="100">
                  <c:v>0.0100499</c:v>
                </c:pt>
                <c:pt idx="101">
                  <c:v>0.0101499</c:v>
                </c:pt>
                <c:pt idx="102">
                  <c:v>0.0102499</c:v>
                </c:pt>
                <c:pt idx="103">
                  <c:v>0.0103499</c:v>
                </c:pt>
                <c:pt idx="104">
                  <c:v>0.0104499</c:v>
                </c:pt>
                <c:pt idx="105">
                  <c:v>0.0105499</c:v>
                </c:pt>
                <c:pt idx="106">
                  <c:v>0.0106499</c:v>
                </c:pt>
                <c:pt idx="107">
                  <c:v>0.0107499</c:v>
                </c:pt>
                <c:pt idx="108">
                  <c:v>0.0108499</c:v>
                </c:pt>
                <c:pt idx="109">
                  <c:v>0.0109499</c:v>
                </c:pt>
                <c:pt idx="110">
                  <c:v>0.0110499</c:v>
                </c:pt>
                <c:pt idx="111">
                  <c:v>0.0111499</c:v>
                </c:pt>
                <c:pt idx="112">
                  <c:v>0.0112499</c:v>
                </c:pt>
                <c:pt idx="113">
                  <c:v>0.0113499</c:v>
                </c:pt>
                <c:pt idx="114">
                  <c:v>0.0114499</c:v>
                </c:pt>
                <c:pt idx="115">
                  <c:v>0.0115499</c:v>
                </c:pt>
                <c:pt idx="116">
                  <c:v>0.0116499</c:v>
                </c:pt>
                <c:pt idx="117">
                  <c:v>0.0117499</c:v>
                </c:pt>
                <c:pt idx="118">
                  <c:v>0.0118499</c:v>
                </c:pt>
                <c:pt idx="119">
                  <c:v>0.0119499</c:v>
                </c:pt>
                <c:pt idx="120">
                  <c:v>0.0120499</c:v>
                </c:pt>
                <c:pt idx="121">
                  <c:v>0.0121499</c:v>
                </c:pt>
                <c:pt idx="122">
                  <c:v>0.0122499</c:v>
                </c:pt>
                <c:pt idx="123">
                  <c:v>0.0123499</c:v>
                </c:pt>
                <c:pt idx="124">
                  <c:v>0.0124499</c:v>
                </c:pt>
              </c:numCache>
            </c:numRef>
          </c:xVal>
          <c:yVal>
            <c:numRef>
              <c:f>Calc!$C$9:$C$133</c:f>
              <c:numCache>
                <c:formatCode>General</c:formatCode>
                <c:ptCount val="125"/>
                <c:pt idx="0">
                  <c:v>0.36129</c:v>
                </c:pt>
                <c:pt idx="1">
                  <c:v>0.541885</c:v>
                </c:pt>
                <c:pt idx="2">
                  <c:v>0.609492</c:v>
                </c:pt>
                <c:pt idx="3">
                  <c:v>0.624895</c:v>
                </c:pt>
                <c:pt idx="4">
                  <c:v>0.609984</c:v>
                </c:pt>
                <c:pt idx="5">
                  <c:v>0.582281</c:v>
                </c:pt>
                <c:pt idx="6">
                  <c:v>0.549475</c:v>
                </c:pt>
                <c:pt idx="7">
                  <c:v>0.517407</c:v>
                </c:pt>
                <c:pt idx="8">
                  <c:v>0.486844</c:v>
                </c:pt>
                <c:pt idx="9">
                  <c:v>0.458134</c:v>
                </c:pt>
                <c:pt idx="10">
                  <c:v>0.431353</c:v>
                </c:pt>
                <c:pt idx="11">
                  <c:v>0.406259</c:v>
                </c:pt>
                <c:pt idx="12">
                  <c:v>0.382572</c:v>
                </c:pt>
                <c:pt idx="13">
                  <c:v>0.360458</c:v>
                </c:pt>
                <c:pt idx="14">
                  <c:v>0.339678</c:v>
                </c:pt>
                <c:pt idx="15">
                  <c:v>0.320235</c:v>
                </c:pt>
                <c:pt idx="16">
                  <c:v>0.301985</c:v>
                </c:pt>
                <c:pt idx="17">
                  <c:v>0.284804</c:v>
                </c:pt>
                <c:pt idx="18">
                  <c:v>0.268641</c:v>
                </c:pt>
                <c:pt idx="19">
                  <c:v>0.253516</c:v>
                </c:pt>
                <c:pt idx="20">
                  <c:v>0.239359</c:v>
                </c:pt>
                <c:pt idx="21">
                  <c:v>0.226083</c:v>
                </c:pt>
                <c:pt idx="22">
                  <c:v>0.213593</c:v>
                </c:pt>
                <c:pt idx="23">
                  <c:v>0.201816</c:v>
                </c:pt>
                <c:pt idx="24">
                  <c:v>0.190824</c:v>
                </c:pt>
                <c:pt idx="25">
                  <c:v>0.180481</c:v>
                </c:pt>
                <c:pt idx="26">
                  <c:v>0.170775</c:v>
                </c:pt>
                <c:pt idx="27">
                  <c:v>0.16162</c:v>
                </c:pt>
                <c:pt idx="28">
                  <c:v>0.152742</c:v>
                </c:pt>
                <c:pt idx="29">
                  <c:v>0.14462</c:v>
                </c:pt>
                <c:pt idx="30">
                  <c:v>0.136995</c:v>
                </c:pt>
                <c:pt idx="31">
                  <c:v>0.129895</c:v>
                </c:pt>
                <c:pt idx="32">
                  <c:v>0.123161</c:v>
                </c:pt>
                <c:pt idx="33">
                  <c:v>0.116784</c:v>
                </c:pt>
                <c:pt idx="34">
                  <c:v>0.110778</c:v>
                </c:pt>
                <c:pt idx="35">
                  <c:v>0.10512</c:v>
                </c:pt>
                <c:pt idx="36">
                  <c:v>0.0997545</c:v>
                </c:pt>
                <c:pt idx="37">
                  <c:v>0.0947604</c:v>
                </c:pt>
                <c:pt idx="38">
                  <c:v>0.0899078</c:v>
                </c:pt>
                <c:pt idx="39">
                  <c:v>0.0854234</c:v>
                </c:pt>
                <c:pt idx="40">
                  <c:v>0.0811246</c:v>
                </c:pt>
                <c:pt idx="41">
                  <c:v>0.0770865</c:v>
                </c:pt>
                <c:pt idx="42">
                  <c:v>0.0732662</c:v>
                </c:pt>
                <c:pt idx="43">
                  <c:v>0.0696529</c:v>
                </c:pt>
                <c:pt idx="44">
                  <c:v>0.066232</c:v>
                </c:pt>
                <c:pt idx="45">
                  <c:v>0.0630162</c:v>
                </c:pt>
                <c:pt idx="46">
                  <c:v>0.0599537</c:v>
                </c:pt>
                <c:pt idx="47">
                  <c:v>0.057023</c:v>
                </c:pt>
                <c:pt idx="48">
                  <c:v>0.0542799</c:v>
                </c:pt>
                <c:pt idx="49">
                  <c:v>0.051691</c:v>
                </c:pt>
                <c:pt idx="50">
                  <c:v>0.0491881</c:v>
                </c:pt>
                <c:pt idx="51">
                  <c:v>0.0468551</c:v>
                </c:pt>
                <c:pt idx="52">
                  <c:v>0.0446197</c:v>
                </c:pt>
                <c:pt idx="53">
                  <c:v>0.0424703</c:v>
                </c:pt>
                <c:pt idx="54">
                  <c:v>0.0404811</c:v>
                </c:pt>
                <c:pt idx="55">
                  <c:v>0.0385719</c:v>
                </c:pt>
                <c:pt idx="56">
                  <c:v>0.0367467</c:v>
                </c:pt>
                <c:pt idx="57">
                  <c:v>0.0350064</c:v>
                </c:pt>
                <c:pt idx="58">
                  <c:v>0.0333033</c:v>
                </c:pt>
                <c:pt idx="59">
                  <c:v>0.0317389</c:v>
                </c:pt>
                <c:pt idx="60">
                  <c:v>0.030234</c:v>
                </c:pt>
                <c:pt idx="61">
                  <c:v>0.0287896</c:v>
                </c:pt>
                <c:pt idx="62">
                  <c:v>0.0273893</c:v>
                </c:pt>
                <c:pt idx="63">
                  <c:v>0.0260895</c:v>
                </c:pt>
                <c:pt idx="64">
                  <c:v>0.0248883</c:v>
                </c:pt>
                <c:pt idx="65">
                  <c:v>0.0237311</c:v>
                </c:pt>
                <c:pt idx="66">
                  <c:v>0.0226139</c:v>
                </c:pt>
                <c:pt idx="67">
                  <c:v>0.0215494</c:v>
                </c:pt>
                <c:pt idx="68">
                  <c:v>0.020484</c:v>
                </c:pt>
                <c:pt idx="69">
                  <c:v>0.0195338</c:v>
                </c:pt>
                <c:pt idx="70">
                  <c:v>0.0186246</c:v>
                </c:pt>
                <c:pt idx="71">
                  <c:v>0.017733</c:v>
                </c:pt>
                <c:pt idx="72">
                  <c:v>0.0169049</c:v>
                </c:pt>
                <c:pt idx="73">
                  <c:v>0.0161012</c:v>
                </c:pt>
                <c:pt idx="74">
                  <c:v>0.0153551</c:v>
                </c:pt>
                <c:pt idx="75">
                  <c:v>0.0146227</c:v>
                </c:pt>
                <c:pt idx="76">
                  <c:v>0.0139381</c:v>
                </c:pt>
                <c:pt idx="77">
                  <c:v>0.0132633</c:v>
                </c:pt>
                <c:pt idx="78">
                  <c:v>0.0126383</c:v>
                </c:pt>
                <c:pt idx="79">
                  <c:v>0.0120211</c:v>
                </c:pt>
                <c:pt idx="80">
                  <c:v>0.0114391</c:v>
                </c:pt>
                <c:pt idx="81">
                  <c:v>0.0109049</c:v>
                </c:pt>
                <c:pt idx="82">
                  <c:v>0.010358</c:v>
                </c:pt>
                <c:pt idx="83">
                  <c:v>0.00988047</c:v>
                </c:pt>
                <c:pt idx="84">
                  <c:v>0.00940977</c:v>
                </c:pt>
                <c:pt idx="85">
                  <c:v>0.00892442</c:v>
                </c:pt>
                <c:pt idx="86">
                  <c:v>0.00851524</c:v>
                </c:pt>
                <c:pt idx="87">
                  <c:v>0.00809238</c:v>
                </c:pt>
                <c:pt idx="88">
                  <c:v>0.00770371</c:v>
                </c:pt>
                <c:pt idx="89">
                  <c:v>0.00730234</c:v>
                </c:pt>
                <c:pt idx="90">
                  <c:v>0.00694981</c:v>
                </c:pt>
                <c:pt idx="91">
                  <c:v>0.00660899</c:v>
                </c:pt>
                <c:pt idx="92">
                  <c:v>0.0062916</c:v>
                </c:pt>
                <c:pt idx="93">
                  <c:v>0.0059293</c:v>
                </c:pt>
                <c:pt idx="94">
                  <c:v>0.00565977</c:v>
                </c:pt>
                <c:pt idx="95">
                  <c:v>0.00538145</c:v>
                </c:pt>
                <c:pt idx="96">
                  <c:v>0.00508555</c:v>
                </c:pt>
                <c:pt idx="97">
                  <c:v>0.00481406</c:v>
                </c:pt>
                <c:pt idx="98">
                  <c:v>0.00456602</c:v>
                </c:pt>
                <c:pt idx="99">
                  <c:v>0.00433067</c:v>
                </c:pt>
                <c:pt idx="100">
                  <c:v>0.00409727</c:v>
                </c:pt>
                <c:pt idx="101">
                  <c:v>0.00388047</c:v>
                </c:pt>
                <c:pt idx="102">
                  <c:v>0.00368223</c:v>
                </c:pt>
                <c:pt idx="103">
                  <c:v>0.00348301</c:v>
                </c:pt>
                <c:pt idx="104">
                  <c:v>0.00327988</c:v>
                </c:pt>
                <c:pt idx="105">
                  <c:v>0.00309141</c:v>
                </c:pt>
                <c:pt idx="106">
                  <c:v>0.00294785</c:v>
                </c:pt>
                <c:pt idx="107">
                  <c:v>0.00275742</c:v>
                </c:pt>
                <c:pt idx="108">
                  <c:v>0.00261875</c:v>
                </c:pt>
                <c:pt idx="109">
                  <c:v>0.0024752</c:v>
                </c:pt>
                <c:pt idx="110">
                  <c:v>0.00230918</c:v>
                </c:pt>
                <c:pt idx="111">
                  <c:v>0.00218125</c:v>
                </c:pt>
                <c:pt idx="112">
                  <c:v>0.00206699</c:v>
                </c:pt>
                <c:pt idx="113">
                  <c:v>0.0019332</c:v>
                </c:pt>
                <c:pt idx="114">
                  <c:v>0.00180625</c:v>
                </c:pt>
                <c:pt idx="115">
                  <c:v>0.00171445</c:v>
                </c:pt>
                <c:pt idx="116">
                  <c:v>0.00159727</c:v>
                </c:pt>
                <c:pt idx="117">
                  <c:v>0.00154063</c:v>
                </c:pt>
                <c:pt idx="118">
                  <c:v>0.00142149</c:v>
                </c:pt>
                <c:pt idx="119">
                  <c:v>0.00133457</c:v>
                </c:pt>
                <c:pt idx="120">
                  <c:v>0.00123594</c:v>
                </c:pt>
                <c:pt idx="121">
                  <c:v>0.00116367</c:v>
                </c:pt>
                <c:pt idx="122">
                  <c:v>0.00109238</c:v>
                </c:pt>
                <c:pt idx="123">
                  <c:v>0.00101231</c:v>
                </c:pt>
                <c:pt idx="124">
                  <c:v>0.00093711</c:v>
                </c:pt>
              </c:numCache>
            </c:numRef>
          </c:yVal>
        </c:ser>
        <c:ser>
          <c:idx val="1"/>
          <c:order val="1"/>
          <c:tx>
            <c:strRef>
              <c:f>"Ref_Upper"</c:f>
              <c:strCache>
                <c:ptCount val="1"/>
                <c:pt idx="0">
                  <c:v>Ref_Upper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custDash/>
              <a:round/>
            </a:ln>
          </c:spPr>
          <c:marker>
            <c:symbol val="none"/>
          </c:marker>
          <c:smooth val="1"/>
          <c:xVal>
            <c:numRef>
              <c:f>Command!$B$17:$B$18</c:f>
              <c:numCache>
                <c:formatCode>General</c:formatCode>
                <c:ptCount val="2"/>
                <c:pt idx="0">
                  <c:v>0</c:v>
                </c:pt>
                <c:pt idx="1">
                  <c:v>0.0124499</c:v>
                </c:pt>
              </c:numCache>
            </c:numRef>
          </c:xVal>
          <c:yVal>
            <c:numRef>
              <c:f>Command!$E$17:$E$18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</c:ser>
        <c:ser>
          <c:idx val="2"/>
          <c:order val="2"/>
          <c:tx>
            <c:strRef>
              <c:f>"Ref_Lower"</c:f>
              <c:strCache>
                <c:ptCount val="1"/>
                <c:pt idx="0">
                  <c:v>Ref_Lower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custDash/>
              <a:round/>
            </a:ln>
          </c:spPr>
          <c:marker>
            <c:symbol val="none"/>
          </c:marker>
          <c:smooth val="1"/>
          <c:xVal>
            <c:numRef>
              <c:f>Command!$B$17:$B$18</c:f>
              <c:numCache>
                <c:formatCode>General</c:formatCode>
                <c:ptCount val="2"/>
                <c:pt idx="0">
                  <c:v>0</c:v>
                </c:pt>
                <c:pt idx="1">
                  <c:v>0.0124499</c:v>
                </c:pt>
              </c:numCache>
            </c:numRef>
          </c:xVal>
          <c:yVal>
            <c:numRef>
              <c:f>Command!$F$17:$F$18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</c:ser>
        <c:axId val="9916797"/>
        <c:axId val="11855649"/>
      </c:scatterChart>
      <c:scatterChart>
        <c:scatterStyle val="lineMarker"/>
        <c:varyColors val="0"/>
        <c:ser>
          <c:idx val="0"/>
          <c:order val="0"/>
          <c:tx>
            <c:strRef>
              <c:f>Calc!$B$8</c:f>
              <c:strCache>
                <c:ptCount val="1"/>
                <c:pt idx="0">
                  <c:v>Photovoltage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smooth val="1"/>
          <c:xVal>
            <c:numRef>
              <c:f>Calc!$A$9:$A$133</c:f>
              <c:numCache>
                <c:formatCode>General</c:formatCode>
                <c:ptCount val="125"/>
                <c:pt idx="0">
                  <c:v>4.99E-005</c:v>
                </c:pt>
                <c:pt idx="1">
                  <c:v>0.0001499</c:v>
                </c:pt>
                <c:pt idx="2">
                  <c:v>0.0002499</c:v>
                </c:pt>
                <c:pt idx="3">
                  <c:v>0.0003499</c:v>
                </c:pt>
                <c:pt idx="4">
                  <c:v>0.0004499</c:v>
                </c:pt>
                <c:pt idx="5">
                  <c:v>0.0005499</c:v>
                </c:pt>
                <c:pt idx="6">
                  <c:v>0.0006499</c:v>
                </c:pt>
                <c:pt idx="7">
                  <c:v>0.0007499</c:v>
                </c:pt>
                <c:pt idx="8">
                  <c:v>0.0008499</c:v>
                </c:pt>
                <c:pt idx="9">
                  <c:v>0.0009499</c:v>
                </c:pt>
                <c:pt idx="10">
                  <c:v>0.0010499</c:v>
                </c:pt>
                <c:pt idx="11">
                  <c:v>0.0011499</c:v>
                </c:pt>
                <c:pt idx="12">
                  <c:v>0.0012499</c:v>
                </c:pt>
                <c:pt idx="13">
                  <c:v>0.0013499</c:v>
                </c:pt>
                <c:pt idx="14">
                  <c:v>0.0014499</c:v>
                </c:pt>
                <c:pt idx="15">
                  <c:v>0.0015499</c:v>
                </c:pt>
                <c:pt idx="16">
                  <c:v>0.0016499</c:v>
                </c:pt>
                <c:pt idx="17">
                  <c:v>0.0017499</c:v>
                </c:pt>
                <c:pt idx="18">
                  <c:v>0.0018499</c:v>
                </c:pt>
                <c:pt idx="19">
                  <c:v>0.0019499</c:v>
                </c:pt>
                <c:pt idx="20">
                  <c:v>0.0020499</c:v>
                </c:pt>
                <c:pt idx="21">
                  <c:v>0.0021499</c:v>
                </c:pt>
                <c:pt idx="22">
                  <c:v>0.0022499</c:v>
                </c:pt>
                <c:pt idx="23">
                  <c:v>0.0023499</c:v>
                </c:pt>
                <c:pt idx="24">
                  <c:v>0.0024499</c:v>
                </c:pt>
                <c:pt idx="25">
                  <c:v>0.0025499</c:v>
                </c:pt>
                <c:pt idx="26">
                  <c:v>0.0026499</c:v>
                </c:pt>
                <c:pt idx="27">
                  <c:v>0.0027499</c:v>
                </c:pt>
                <c:pt idx="28">
                  <c:v>0.0028499</c:v>
                </c:pt>
                <c:pt idx="29">
                  <c:v>0.0029499</c:v>
                </c:pt>
                <c:pt idx="30">
                  <c:v>0.0030499</c:v>
                </c:pt>
                <c:pt idx="31">
                  <c:v>0.0031499</c:v>
                </c:pt>
                <c:pt idx="32">
                  <c:v>0.0032499</c:v>
                </c:pt>
                <c:pt idx="33">
                  <c:v>0.0033499</c:v>
                </c:pt>
                <c:pt idx="34">
                  <c:v>0.0034499</c:v>
                </c:pt>
                <c:pt idx="35">
                  <c:v>0.0035499</c:v>
                </c:pt>
                <c:pt idx="36">
                  <c:v>0.0036499</c:v>
                </c:pt>
                <c:pt idx="37">
                  <c:v>0.0037499</c:v>
                </c:pt>
                <c:pt idx="38">
                  <c:v>0.0038499</c:v>
                </c:pt>
                <c:pt idx="39">
                  <c:v>0.0039499</c:v>
                </c:pt>
                <c:pt idx="40">
                  <c:v>0.0040499</c:v>
                </c:pt>
                <c:pt idx="41">
                  <c:v>0.0041499</c:v>
                </c:pt>
                <c:pt idx="42">
                  <c:v>0.0042499</c:v>
                </c:pt>
                <c:pt idx="43">
                  <c:v>0.0043499</c:v>
                </c:pt>
                <c:pt idx="44">
                  <c:v>0.0044499</c:v>
                </c:pt>
                <c:pt idx="45">
                  <c:v>0.0045499</c:v>
                </c:pt>
                <c:pt idx="46">
                  <c:v>0.0046499</c:v>
                </c:pt>
                <c:pt idx="47">
                  <c:v>0.0047499</c:v>
                </c:pt>
                <c:pt idx="48">
                  <c:v>0.0048499</c:v>
                </c:pt>
                <c:pt idx="49">
                  <c:v>0.0049499</c:v>
                </c:pt>
                <c:pt idx="50">
                  <c:v>0.0050499</c:v>
                </c:pt>
                <c:pt idx="51">
                  <c:v>0.0051499</c:v>
                </c:pt>
                <c:pt idx="52">
                  <c:v>0.0052499</c:v>
                </c:pt>
                <c:pt idx="53">
                  <c:v>0.0053499</c:v>
                </c:pt>
                <c:pt idx="54">
                  <c:v>0.0054499</c:v>
                </c:pt>
                <c:pt idx="55">
                  <c:v>0.0055499</c:v>
                </c:pt>
                <c:pt idx="56">
                  <c:v>0.0056499</c:v>
                </c:pt>
                <c:pt idx="57">
                  <c:v>0.0057499</c:v>
                </c:pt>
                <c:pt idx="58">
                  <c:v>0.0058499</c:v>
                </c:pt>
                <c:pt idx="59">
                  <c:v>0.0059499</c:v>
                </c:pt>
                <c:pt idx="60">
                  <c:v>0.0060499</c:v>
                </c:pt>
                <c:pt idx="61">
                  <c:v>0.0061499</c:v>
                </c:pt>
                <c:pt idx="62">
                  <c:v>0.0062499</c:v>
                </c:pt>
                <c:pt idx="63">
                  <c:v>0.0063499</c:v>
                </c:pt>
                <c:pt idx="64">
                  <c:v>0.0064499</c:v>
                </c:pt>
                <c:pt idx="65">
                  <c:v>0.0065499</c:v>
                </c:pt>
                <c:pt idx="66">
                  <c:v>0.0066499</c:v>
                </c:pt>
                <c:pt idx="67">
                  <c:v>0.0067499</c:v>
                </c:pt>
                <c:pt idx="68">
                  <c:v>0.0068499</c:v>
                </c:pt>
                <c:pt idx="69">
                  <c:v>0.0069499</c:v>
                </c:pt>
                <c:pt idx="70">
                  <c:v>0.0070499</c:v>
                </c:pt>
                <c:pt idx="71">
                  <c:v>0.0071499</c:v>
                </c:pt>
                <c:pt idx="72">
                  <c:v>0.0072499</c:v>
                </c:pt>
                <c:pt idx="73">
                  <c:v>0.0073499</c:v>
                </c:pt>
                <c:pt idx="74">
                  <c:v>0.0074499</c:v>
                </c:pt>
                <c:pt idx="75">
                  <c:v>0.0075499</c:v>
                </c:pt>
                <c:pt idx="76">
                  <c:v>0.0076499</c:v>
                </c:pt>
                <c:pt idx="77">
                  <c:v>0.0077499</c:v>
                </c:pt>
                <c:pt idx="78">
                  <c:v>0.0078499</c:v>
                </c:pt>
                <c:pt idx="79">
                  <c:v>0.0079499</c:v>
                </c:pt>
                <c:pt idx="80">
                  <c:v>0.0080499</c:v>
                </c:pt>
                <c:pt idx="81">
                  <c:v>0.0081499</c:v>
                </c:pt>
                <c:pt idx="82">
                  <c:v>0.0082499</c:v>
                </c:pt>
                <c:pt idx="83">
                  <c:v>0.0083499</c:v>
                </c:pt>
                <c:pt idx="84">
                  <c:v>0.0084499</c:v>
                </c:pt>
                <c:pt idx="85">
                  <c:v>0.0085499</c:v>
                </c:pt>
                <c:pt idx="86">
                  <c:v>0.0086499</c:v>
                </c:pt>
                <c:pt idx="87">
                  <c:v>0.0087499</c:v>
                </c:pt>
                <c:pt idx="88">
                  <c:v>0.0088499</c:v>
                </c:pt>
                <c:pt idx="89">
                  <c:v>0.0089499</c:v>
                </c:pt>
                <c:pt idx="90">
                  <c:v>0.0090499</c:v>
                </c:pt>
                <c:pt idx="91">
                  <c:v>0.0091499</c:v>
                </c:pt>
                <c:pt idx="92">
                  <c:v>0.0092499</c:v>
                </c:pt>
                <c:pt idx="93">
                  <c:v>0.0093499</c:v>
                </c:pt>
                <c:pt idx="94">
                  <c:v>0.0094499</c:v>
                </c:pt>
                <c:pt idx="95">
                  <c:v>0.0095499</c:v>
                </c:pt>
                <c:pt idx="96">
                  <c:v>0.0096499</c:v>
                </c:pt>
                <c:pt idx="97">
                  <c:v>0.0097499</c:v>
                </c:pt>
                <c:pt idx="98">
                  <c:v>0.0098499</c:v>
                </c:pt>
                <c:pt idx="99">
                  <c:v>0.0099499</c:v>
                </c:pt>
                <c:pt idx="100">
                  <c:v>0.0100499</c:v>
                </c:pt>
                <c:pt idx="101">
                  <c:v>0.0101499</c:v>
                </c:pt>
                <c:pt idx="102">
                  <c:v>0.0102499</c:v>
                </c:pt>
                <c:pt idx="103">
                  <c:v>0.0103499</c:v>
                </c:pt>
                <c:pt idx="104">
                  <c:v>0.0104499</c:v>
                </c:pt>
                <c:pt idx="105">
                  <c:v>0.0105499</c:v>
                </c:pt>
                <c:pt idx="106">
                  <c:v>0.0106499</c:v>
                </c:pt>
                <c:pt idx="107">
                  <c:v>0.0107499</c:v>
                </c:pt>
                <c:pt idx="108">
                  <c:v>0.0108499</c:v>
                </c:pt>
                <c:pt idx="109">
                  <c:v>0.0109499</c:v>
                </c:pt>
                <c:pt idx="110">
                  <c:v>0.0110499</c:v>
                </c:pt>
                <c:pt idx="111">
                  <c:v>0.0111499</c:v>
                </c:pt>
                <c:pt idx="112">
                  <c:v>0.0112499</c:v>
                </c:pt>
                <c:pt idx="113">
                  <c:v>0.0113499</c:v>
                </c:pt>
                <c:pt idx="114">
                  <c:v>0.0114499</c:v>
                </c:pt>
                <c:pt idx="115">
                  <c:v>0.0115499</c:v>
                </c:pt>
                <c:pt idx="116">
                  <c:v>0.0116499</c:v>
                </c:pt>
                <c:pt idx="117">
                  <c:v>0.0117499</c:v>
                </c:pt>
                <c:pt idx="118">
                  <c:v>0.0118499</c:v>
                </c:pt>
                <c:pt idx="119">
                  <c:v>0.0119499</c:v>
                </c:pt>
                <c:pt idx="120">
                  <c:v>0.0120499</c:v>
                </c:pt>
                <c:pt idx="121">
                  <c:v>0.0121499</c:v>
                </c:pt>
                <c:pt idx="122">
                  <c:v>0.0122499</c:v>
                </c:pt>
                <c:pt idx="123">
                  <c:v>0.0123499</c:v>
                </c:pt>
                <c:pt idx="124">
                  <c:v>0.0124499</c:v>
                </c:pt>
              </c:numCache>
            </c:numRef>
          </c:xVal>
          <c:yVal>
            <c:numRef>
              <c:f>Calc!$B$9:$B$133</c:f>
              <c:numCache>
                <c:formatCode>General</c:formatCode>
                <c:ptCount val="125"/>
                <c:pt idx="0">
                  <c:v>1.02528</c:v>
                </c:pt>
                <c:pt idx="1">
                  <c:v>2.85829</c:v>
                </c:pt>
                <c:pt idx="2">
                  <c:v>3.62985</c:v>
                </c:pt>
                <c:pt idx="3">
                  <c:v>3.89091</c:v>
                </c:pt>
                <c:pt idx="4">
                  <c:v>3.85429</c:v>
                </c:pt>
                <c:pt idx="5">
                  <c:v>3.74956</c:v>
                </c:pt>
                <c:pt idx="6">
                  <c:v>3.62474</c:v>
                </c:pt>
                <c:pt idx="7">
                  <c:v>3.49432</c:v>
                </c:pt>
                <c:pt idx="8">
                  <c:v>3.3584</c:v>
                </c:pt>
                <c:pt idx="9">
                  <c:v>3.22163</c:v>
                </c:pt>
                <c:pt idx="10">
                  <c:v>3.08619</c:v>
                </c:pt>
                <c:pt idx="11">
                  <c:v>2.95279</c:v>
                </c:pt>
                <c:pt idx="12">
                  <c:v>2.82144</c:v>
                </c:pt>
                <c:pt idx="13">
                  <c:v>2.69331</c:v>
                </c:pt>
                <c:pt idx="14">
                  <c:v>2.56927</c:v>
                </c:pt>
                <c:pt idx="15">
                  <c:v>2.44784</c:v>
                </c:pt>
                <c:pt idx="16">
                  <c:v>2.33057</c:v>
                </c:pt>
                <c:pt idx="17">
                  <c:v>2.21684</c:v>
                </c:pt>
                <c:pt idx="18">
                  <c:v>2.10676</c:v>
                </c:pt>
                <c:pt idx="19">
                  <c:v>2.00099</c:v>
                </c:pt>
                <c:pt idx="20">
                  <c:v>1.89894</c:v>
                </c:pt>
                <c:pt idx="21">
                  <c:v>1.8014</c:v>
                </c:pt>
                <c:pt idx="22">
                  <c:v>1.70771</c:v>
                </c:pt>
                <c:pt idx="23">
                  <c:v>1.61797</c:v>
                </c:pt>
                <c:pt idx="24">
                  <c:v>1.53225</c:v>
                </c:pt>
                <c:pt idx="25">
                  <c:v>1.45035</c:v>
                </c:pt>
                <c:pt idx="26">
                  <c:v>1.37305</c:v>
                </c:pt>
                <c:pt idx="27">
                  <c:v>1.29888</c:v>
                </c:pt>
                <c:pt idx="28">
                  <c:v>1.2284</c:v>
                </c:pt>
                <c:pt idx="29">
                  <c:v>1.16126</c:v>
                </c:pt>
                <c:pt idx="30">
                  <c:v>1.09763</c:v>
                </c:pt>
                <c:pt idx="31">
                  <c:v>1.03727</c:v>
                </c:pt>
                <c:pt idx="32">
                  <c:v>0.979624</c:v>
                </c:pt>
                <c:pt idx="33">
                  <c:v>0.92479</c:v>
                </c:pt>
                <c:pt idx="34">
                  <c:v>0.872612</c:v>
                </c:pt>
                <c:pt idx="35">
                  <c:v>0.823618</c:v>
                </c:pt>
                <c:pt idx="36">
                  <c:v>0.776796</c:v>
                </c:pt>
                <c:pt idx="37">
                  <c:v>0.732353</c:v>
                </c:pt>
                <c:pt idx="38">
                  <c:v>0.69082</c:v>
                </c:pt>
                <c:pt idx="39">
                  <c:v>0.651015</c:v>
                </c:pt>
                <c:pt idx="40">
                  <c:v>0.612959</c:v>
                </c:pt>
                <c:pt idx="41">
                  <c:v>0.577124</c:v>
                </c:pt>
                <c:pt idx="42">
                  <c:v>0.544101</c:v>
                </c:pt>
                <c:pt idx="43">
                  <c:v>0.512041</c:v>
                </c:pt>
                <c:pt idx="44">
                  <c:v>0.482168</c:v>
                </c:pt>
                <c:pt idx="45">
                  <c:v>0.453842</c:v>
                </c:pt>
                <c:pt idx="46">
                  <c:v>0.427294</c:v>
                </c:pt>
                <c:pt idx="47">
                  <c:v>0.401713</c:v>
                </c:pt>
                <c:pt idx="48">
                  <c:v>0.37811</c:v>
                </c:pt>
                <c:pt idx="49">
                  <c:v>0.356005</c:v>
                </c:pt>
                <c:pt idx="50">
                  <c:v>0.335073</c:v>
                </c:pt>
                <c:pt idx="51">
                  <c:v>0.314643</c:v>
                </c:pt>
                <c:pt idx="52">
                  <c:v>0.295742</c:v>
                </c:pt>
                <c:pt idx="53">
                  <c:v>0.277846</c:v>
                </c:pt>
                <c:pt idx="54">
                  <c:v>0.261308</c:v>
                </c:pt>
                <c:pt idx="55">
                  <c:v>0.245542</c:v>
                </c:pt>
                <c:pt idx="56">
                  <c:v>0.230825</c:v>
                </c:pt>
                <c:pt idx="57">
                  <c:v>0.217055</c:v>
                </c:pt>
                <c:pt idx="58">
                  <c:v>0.203613</c:v>
                </c:pt>
                <c:pt idx="59">
                  <c:v>0.191181</c:v>
                </c:pt>
                <c:pt idx="60">
                  <c:v>0.179638</c:v>
                </c:pt>
                <c:pt idx="61">
                  <c:v>0.168168</c:v>
                </c:pt>
                <c:pt idx="62">
                  <c:v>0.158828</c:v>
                </c:pt>
                <c:pt idx="63">
                  <c:v>0.149223</c:v>
                </c:pt>
                <c:pt idx="64">
                  <c:v>0.13998</c:v>
                </c:pt>
                <c:pt idx="65">
                  <c:v>0.13164</c:v>
                </c:pt>
                <c:pt idx="66">
                  <c:v>0.123667</c:v>
                </c:pt>
                <c:pt idx="67">
                  <c:v>0.11602</c:v>
                </c:pt>
                <c:pt idx="68">
                  <c:v>0.108584</c:v>
                </c:pt>
                <c:pt idx="69">
                  <c:v>0.102055</c:v>
                </c:pt>
                <c:pt idx="70">
                  <c:v>0.0958638</c:v>
                </c:pt>
                <c:pt idx="71">
                  <c:v>0.0898531</c:v>
                </c:pt>
                <c:pt idx="72">
                  <c:v>0.0842232</c:v>
                </c:pt>
                <c:pt idx="73">
                  <c:v>0.079189</c:v>
                </c:pt>
                <c:pt idx="74">
                  <c:v>0.0740718</c:v>
                </c:pt>
                <c:pt idx="75">
                  <c:v>0.0699214</c:v>
                </c:pt>
                <c:pt idx="76">
                  <c:v>0.0656245</c:v>
                </c:pt>
                <c:pt idx="77">
                  <c:v>0.061396</c:v>
                </c:pt>
                <c:pt idx="78">
                  <c:v>0.0576607</c:v>
                </c:pt>
                <c:pt idx="79">
                  <c:v>0.05394</c:v>
                </c:pt>
                <c:pt idx="80">
                  <c:v>0.0502925</c:v>
                </c:pt>
                <c:pt idx="81">
                  <c:v>0.0474214</c:v>
                </c:pt>
                <c:pt idx="82">
                  <c:v>0.044189</c:v>
                </c:pt>
                <c:pt idx="83">
                  <c:v>0.0415767</c:v>
                </c:pt>
                <c:pt idx="84">
                  <c:v>0.039189</c:v>
                </c:pt>
                <c:pt idx="85">
                  <c:v>0.0366157</c:v>
                </c:pt>
                <c:pt idx="86">
                  <c:v>0.0342866</c:v>
                </c:pt>
                <c:pt idx="87">
                  <c:v>0.0323286</c:v>
                </c:pt>
                <c:pt idx="88">
                  <c:v>0.030356</c:v>
                </c:pt>
                <c:pt idx="89">
                  <c:v>0.0283833</c:v>
                </c:pt>
                <c:pt idx="90">
                  <c:v>0.0267964</c:v>
                </c:pt>
                <c:pt idx="91">
                  <c:v>0.0254829</c:v>
                </c:pt>
                <c:pt idx="92">
                  <c:v>0.0236324</c:v>
                </c:pt>
                <c:pt idx="93">
                  <c:v>0.0224312</c:v>
                </c:pt>
                <c:pt idx="94">
                  <c:v>0.0205757</c:v>
                </c:pt>
                <c:pt idx="95">
                  <c:v>0.0191939</c:v>
                </c:pt>
                <c:pt idx="96">
                  <c:v>0.0177437</c:v>
                </c:pt>
                <c:pt idx="97">
                  <c:v>0.016938</c:v>
                </c:pt>
                <c:pt idx="98">
                  <c:v>0.0156978</c:v>
                </c:pt>
                <c:pt idx="99">
                  <c:v>0.0143257</c:v>
                </c:pt>
                <c:pt idx="100">
                  <c:v>0.0137202</c:v>
                </c:pt>
                <c:pt idx="101">
                  <c:v>0.0124751</c:v>
                </c:pt>
                <c:pt idx="102">
                  <c:v>0.011982</c:v>
                </c:pt>
                <c:pt idx="103">
                  <c:v>0.0118062</c:v>
                </c:pt>
                <c:pt idx="104">
                  <c:v>0.0108736</c:v>
                </c:pt>
                <c:pt idx="105">
                  <c:v>0.0100972</c:v>
                </c:pt>
                <c:pt idx="106">
                  <c:v>0.00956497</c:v>
                </c:pt>
                <c:pt idx="107">
                  <c:v>0.00917923</c:v>
                </c:pt>
                <c:pt idx="108">
                  <c:v>0.00772903</c:v>
                </c:pt>
                <c:pt idx="109">
                  <c:v>0.00746536</c:v>
                </c:pt>
                <c:pt idx="110">
                  <c:v>0.00710403</c:v>
                </c:pt>
                <c:pt idx="111">
                  <c:v>0.00697219</c:v>
                </c:pt>
                <c:pt idx="112">
                  <c:v>0.00647415</c:v>
                </c:pt>
                <c:pt idx="113">
                  <c:v>0.00566848</c:v>
                </c:pt>
                <c:pt idx="114">
                  <c:v>0.00555618</c:v>
                </c:pt>
                <c:pt idx="115">
                  <c:v>0.00497024</c:v>
                </c:pt>
                <c:pt idx="116">
                  <c:v>0.00465774</c:v>
                </c:pt>
                <c:pt idx="117">
                  <c:v>0.00450637</c:v>
                </c:pt>
                <c:pt idx="118">
                  <c:v>0.00457962</c:v>
                </c:pt>
                <c:pt idx="119">
                  <c:v>0.00445266</c:v>
                </c:pt>
                <c:pt idx="120">
                  <c:v>0.00442337</c:v>
                </c:pt>
                <c:pt idx="121">
                  <c:v>0.00425247</c:v>
                </c:pt>
                <c:pt idx="122">
                  <c:v>0.00342239</c:v>
                </c:pt>
                <c:pt idx="123">
                  <c:v>0.00338333</c:v>
                </c:pt>
                <c:pt idx="124">
                  <c:v>0.00276321</c:v>
                </c:pt>
              </c:numCache>
            </c:numRef>
          </c:yVal>
        </c:ser>
        <c:ser>
          <c:idx val="1"/>
          <c:order val="1"/>
          <c:tx>
            <c:strRef>
              <c:f>"PC_Upper"</c:f>
              <c:strCache>
                <c:ptCount val="1"/>
                <c:pt idx="0">
                  <c:v>PC_Upper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custDash/>
              <a:round/>
            </a:ln>
          </c:spPr>
          <c:marker>
            <c:symbol val="none"/>
          </c:marker>
          <c:smooth val="1"/>
          <c:xVal>
            <c:numRef>
              <c:f>Command!$B$17:$B$18</c:f>
              <c:numCache>
                <c:formatCode>General</c:formatCode>
                <c:ptCount val="2"/>
                <c:pt idx="0">
                  <c:v>0</c:v>
                </c:pt>
                <c:pt idx="1">
                  <c:v>0.0124499</c:v>
                </c:pt>
              </c:numCache>
            </c:numRef>
          </c:xVal>
          <c:yVal>
            <c:numRef>
              <c:f>Command!$C$17:$C$18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</c:ser>
        <c:ser>
          <c:idx val="2"/>
          <c:order val="2"/>
          <c:tx>
            <c:strRef>
              <c:f>"PC_Lower"</c:f>
              <c:strCache>
                <c:ptCount val="1"/>
                <c:pt idx="0">
                  <c:v>PC_Lower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custDash/>
              <a:round/>
            </a:ln>
          </c:spPr>
          <c:marker>
            <c:symbol val="none"/>
          </c:marker>
          <c:smooth val="1"/>
          <c:xVal>
            <c:numRef>
              <c:f>Command!$B$17:$B$18</c:f>
              <c:numCache>
                <c:formatCode>General</c:formatCode>
                <c:ptCount val="2"/>
                <c:pt idx="0">
                  <c:v>0</c:v>
                </c:pt>
                <c:pt idx="1">
                  <c:v>0.0124499</c:v>
                </c:pt>
              </c:numCache>
            </c:numRef>
          </c:xVal>
          <c:yVal>
            <c:numRef>
              <c:f>Command!$D$17:$D$18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</c:ser>
        <c:axId val="19473884"/>
        <c:axId val="81429466"/>
      </c:scatterChart>
      <c:valAx>
        <c:axId val="9916797"/>
        <c:scaling>
          <c:orientation val="minMax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800">
                    <a:solidFill>
                      <a:srgbClr val="000000"/>
                    </a:solidFill>
                    <a:ea typeface="Arial"/>
                  </a:rPr>
                  <a:t>Time (s)</a:t>
                </a:r>
              </a:p>
            </c:rich>
          </c:tx>
        </c:title>
        <c:delete val="0"/>
        <c:axPos val="b"/>
        <c:majorGridlines>
          <c:spPr>
            <a:ln w="3240">
              <a:solidFill>
                <a:srgbClr val="808080"/>
              </a:solidFill>
              <a:round/>
            </a:ln>
          </c:spPr>
        </c:majorGridlines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crossAx val="11855649"/>
        <c:crossesAt val="0"/>
      </c:valAx>
      <c:valAx>
        <c:axId val="11855649"/>
        <c:scaling>
          <c:orientation val="minMax"/>
          <c:max val="1.05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975">
                    <a:solidFill>
                      <a:srgbClr val="0000ff"/>
                    </a:solidFill>
                    <a:ea typeface="Arial"/>
                  </a:rPr>
                  <a:t>light intensity (V)</a:t>
                </a:r>
              </a:p>
            </c:rich>
          </c:tx>
        </c:title>
        <c:delete val="0"/>
        <c:axPos val="l"/>
        <c:majorGridlines>
          <c:spPr>
            <a:ln w="3240">
              <a:solidFill>
                <a:srgbClr val="808080"/>
              </a:solidFill>
              <a:round/>
            </a:ln>
          </c:spPr>
        </c:majorGridlines>
        <c:majorTickMark val="out"/>
        <c:minorTickMark val="none"/>
        <c:tickLblPos val="nextTo"/>
        <c:spPr>
          <a:ln w="3240">
            <a:solidFill>
              <a:srgbClr val="0000ff"/>
            </a:solidFill>
            <a:round/>
          </a:ln>
        </c:spPr>
        <c:crossAx val="9916797"/>
        <c:crossesAt val="0"/>
      </c:valAx>
      <c:valAx>
        <c:axId val="19473884"/>
        <c:scaling>
          <c:orientation val="minMax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800">
                    <a:solidFill>
                      <a:srgbClr val="000000"/>
                    </a:solidFill>
                    <a:ea typeface="Arial"/>
                  </a:rPr>
                  <a:t>Time (s)</a:t>
                </a:r>
              </a:p>
            </c:rich>
          </c:tx>
        </c:title>
        <c:delete val="0"/>
        <c:axPos val="b"/>
        <c:majorGridlines>
          <c:spPr>
            <a:ln w="3240">
              <a:solidFill>
                <a:srgbClr val="808080"/>
              </a:solidFill>
              <a:round/>
            </a:ln>
          </c:spPr>
        </c:majorGridlines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crossAx val="81429466"/>
        <c:crossesAt val="0"/>
      </c:valAx>
      <c:valAx>
        <c:axId val="81429466"/>
        <c:scaling>
          <c:orientation val="minMax"/>
          <c:max val="5.25"/>
          <c:min val="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975">
                    <a:solidFill>
                      <a:srgbClr val="ff0000"/>
                    </a:solidFill>
                    <a:ea typeface="Arial"/>
                  </a:rPr>
                  <a:t>photoconductance (V)</a:t>
                </a:r>
              </a:p>
            </c:rich>
          </c:tx>
        </c:title>
        <c:delete val="0"/>
        <c:axPos val="l"/>
        <c:majorTickMark val="cross"/>
        <c:minorTickMark val="none"/>
        <c:tickLblPos val="nextTo"/>
        <c:spPr>
          <a:ln w="3240">
            <a:solidFill>
              <a:srgbClr val="ff0000"/>
            </a:solidFill>
            <a:round/>
          </a:ln>
        </c:spPr>
        <c:crossAx val="19473884"/>
        <c:crosses val="max"/>
      </c:valAx>
      <c:spPr>
        <a:solidFill>
          <a:srgbClr val="ffffff"/>
        </a:solidFill>
        <a:ln w="12600">
          <a:solidFill>
            <a:srgbClr val="808080"/>
          </a:solidFill>
          <a:round/>
        </a:ln>
      </c:spPr>
    </c:plotArea>
    <c:plotVisOnly val="1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>
                <a:solidFill>
                  <a:srgbClr val="000000"/>
                </a:solidFill>
                <a:latin typeface="Calibri"/>
              </a:rPr>
              <a:t>Undoped Cond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Calc!$AC$8</c:f>
              <c:strCache>
                <c:ptCount val="1"/>
                <c:pt idx="0">
                  <c:v>Undoped Cond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Calc!$AA$9:$AA$44</c:f>
              <c:numCache>
                <c:formatCode>General</c:formatCode>
                <c:ptCount val="36"/>
                <c:pt idx="0">
                  <c:v>25.574944</c:v>
                </c:pt>
                <c:pt idx="1">
                  <c:v>30.514985</c:v>
                </c:pt>
                <c:pt idx="2">
                  <c:v>35.505573</c:v>
                </c:pt>
                <c:pt idx="3">
                  <c:v>40.471617</c:v>
                </c:pt>
                <c:pt idx="4">
                  <c:v>45.471894</c:v>
                </c:pt>
                <c:pt idx="5">
                  <c:v>50.503872</c:v>
                </c:pt>
                <c:pt idx="6">
                  <c:v>55.478293</c:v>
                </c:pt>
                <c:pt idx="7">
                  <c:v>60.47762</c:v>
                </c:pt>
                <c:pt idx="8">
                  <c:v>65.476242</c:v>
                </c:pt>
                <c:pt idx="9">
                  <c:v>70.4719</c:v>
                </c:pt>
                <c:pt idx="10">
                  <c:v>75.441409</c:v>
                </c:pt>
                <c:pt idx="11">
                  <c:v>80.43993</c:v>
                </c:pt>
                <c:pt idx="12">
                  <c:v>85.464177</c:v>
                </c:pt>
                <c:pt idx="13">
                  <c:v>90.457423</c:v>
                </c:pt>
                <c:pt idx="14">
                  <c:v>95.445974</c:v>
                </c:pt>
                <c:pt idx="15">
                  <c:v>100.439252</c:v>
                </c:pt>
                <c:pt idx="16">
                  <c:v>105.532697</c:v>
                </c:pt>
                <c:pt idx="17">
                  <c:v>110.378572</c:v>
                </c:pt>
                <c:pt idx="18">
                  <c:v>115.414168</c:v>
                </c:pt>
                <c:pt idx="19">
                  <c:v>120.432009</c:v>
                </c:pt>
                <c:pt idx="20">
                  <c:v>125.43118</c:v>
                </c:pt>
                <c:pt idx="21">
                  <c:v>130.380813</c:v>
                </c:pt>
                <c:pt idx="22">
                  <c:v>135.378719</c:v>
                </c:pt>
                <c:pt idx="23">
                  <c:v>140.399551</c:v>
                </c:pt>
                <c:pt idx="24">
                  <c:v>145.428927</c:v>
                </c:pt>
                <c:pt idx="25">
                  <c:v>150.456804</c:v>
                </c:pt>
                <c:pt idx="26">
                  <c:v>155.387701</c:v>
                </c:pt>
                <c:pt idx="27">
                  <c:v>160.342437</c:v>
                </c:pt>
                <c:pt idx="28">
                  <c:v>165.35217</c:v>
                </c:pt>
                <c:pt idx="29">
                  <c:v>170.347684</c:v>
                </c:pt>
                <c:pt idx="30">
                  <c:v>175.258086</c:v>
                </c:pt>
                <c:pt idx="31">
                  <c:v>180.424954</c:v>
                </c:pt>
                <c:pt idx="32">
                  <c:v>185.40362</c:v>
                </c:pt>
                <c:pt idx="33">
                  <c:v>190.424297</c:v>
                </c:pt>
                <c:pt idx="34">
                  <c:v>195.404594</c:v>
                </c:pt>
                <c:pt idx="35">
                  <c:v>200.296317</c:v>
                </c:pt>
              </c:numCache>
            </c:numRef>
          </c:xVal>
          <c:yVal>
            <c:numRef>
              <c:f>Calc!$AC$9:$AC$44</c:f>
              <c:numCache>
                <c:formatCode>General</c:formatCode>
                <c:ptCount val="36"/>
                <c:pt idx="0">
                  <c:v>0.000232898541470991</c:v>
                </c:pt>
                <c:pt idx="1">
                  <c:v>0.00105204131355356</c:v>
                </c:pt>
                <c:pt idx="2">
                  <c:v>0.00172706132857158</c:v>
                </c:pt>
                <c:pt idx="3">
                  <c:v>0.0020832236283463</c:v>
                </c:pt>
                <c:pt idx="4">
                  <c:v>0.00270149995858371</c:v>
                </c:pt>
                <c:pt idx="5">
                  <c:v>0.00360568242673284</c:v>
                </c:pt>
                <c:pt idx="6">
                  <c:v>0.00425389850313199</c:v>
                </c:pt>
                <c:pt idx="7">
                  <c:v>0.00471818344700289</c:v>
                </c:pt>
                <c:pt idx="8">
                  <c:v>0.00564585649178533</c:v>
                </c:pt>
                <c:pt idx="9">
                  <c:v>0.00611421289550966</c:v>
                </c:pt>
                <c:pt idx="10">
                  <c:v>0.00675236060468679</c:v>
                </c:pt>
                <c:pt idx="11">
                  <c:v>0.00743480798428176</c:v>
                </c:pt>
                <c:pt idx="12">
                  <c:v>0.00810624085298464</c:v>
                </c:pt>
                <c:pt idx="13">
                  <c:v>0.0087480770846301</c:v>
                </c:pt>
                <c:pt idx="14">
                  <c:v>0.00938417364489258</c:v>
                </c:pt>
                <c:pt idx="15">
                  <c:v>0.0100444540946433</c:v>
                </c:pt>
                <c:pt idx="16">
                  <c:v>0.0106469033858338</c:v>
                </c:pt>
                <c:pt idx="17">
                  <c:v>0.0112175287024781</c:v>
                </c:pt>
                <c:pt idx="18">
                  <c:v>0.0117946122603552</c:v>
                </c:pt>
                <c:pt idx="19">
                  <c:v>0.012344806232735</c:v>
                </c:pt>
                <c:pt idx="20">
                  <c:v>0.0128519180293436</c:v>
                </c:pt>
                <c:pt idx="21">
                  <c:v>0.0134067343977657</c:v>
                </c:pt>
                <c:pt idx="22">
                  <c:v>0.0138603968702227</c:v>
                </c:pt>
                <c:pt idx="23">
                  <c:v>0.0143310339526153</c:v>
                </c:pt>
                <c:pt idx="24">
                  <c:v>0.0148253928982871</c:v>
                </c:pt>
                <c:pt idx="25">
                  <c:v>0.0153012826948241</c:v>
                </c:pt>
                <c:pt idx="26">
                  <c:v>0.0156512713882782</c:v>
                </c:pt>
                <c:pt idx="27">
                  <c:v>0.0160596235389715</c:v>
                </c:pt>
                <c:pt idx="28">
                  <c:v>0.0164444778038984</c:v>
                </c:pt>
                <c:pt idx="29">
                  <c:v>0.0167659273286614</c:v>
                </c:pt>
                <c:pt idx="30">
                  <c:v>0.0170869066258963</c:v>
                </c:pt>
                <c:pt idx="31">
                  <c:v>0.0174711256589012</c:v>
                </c:pt>
                <c:pt idx="32">
                  <c:v>0.0178178864091511</c:v>
                </c:pt>
                <c:pt idx="33">
                  <c:v>0.0181393773397118</c:v>
                </c:pt>
                <c:pt idx="34">
                  <c:v>0.0185062479937966</c:v>
                </c:pt>
                <c:pt idx="35">
                  <c:v>0.0188938641336794</c:v>
                </c:pt>
              </c:numCache>
            </c:numRef>
          </c:yVal>
        </c:ser>
        <c:axId val="59631744"/>
        <c:axId val="32043149"/>
      </c:scatterChart>
      <c:valAx>
        <c:axId val="596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32043149"/>
        <c:crossesAt val="0"/>
      </c:valAx>
      <c:valAx>
        <c:axId val="320431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59631744"/>
        <c:crossesAt val="0"/>
      </c:valAx>
      <c:spPr>
        <a:solidFill>
          <a:srgbClr val="ffffff"/>
        </a:solidFill>
      </c:spPr>
    </c:plotArea>
    <c:plotVisOnly val="1"/>
  </c:chart>
  <c:spPr>
    <a:noFill/>
  </c:spPr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>
                <a:solidFill>
                  <a:srgbClr val="000000"/>
                </a:solidFill>
                <a:latin typeface="Calibri"/>
              </a:rPr>
              <a:t>Temperature Dependent Lifetime vs Injection Level</a:t>
            </a:r>
          </a:p>
        </c:rich>
      </c:tx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Plots!$B$1</c:f>
              <c:strCache>
                <c:ptCount val="1"/>
                <c:pt idx="0">
                  <c:v>190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Plots!$B$3:$B$127</c:f>
              <c:numCache>
                <c:formatCode>General</c:formatCode>
                <c:ptCount val="125"/>
                <c:pt idx="0">
                  <c:v>9521685338752010</c:v>
                </c:pt>
                <c:pt idx="1">
                  <c:v>33420638998458500</c:v>
                </c:pt>
                <c:pt idx="2">
                  <c:v>45577226866408800</c:v>
                </c:pt>
                <c:pt idx="3">
                  <c:v>49953274665437500</c:v>
                </c:pt>
                <c:pt idx="4">
                  <c:v>49816861305779500</c:v>
                </c:pt>
                <c:pt idx="5">
                  <c:v>48492711618544400</c:v>
                </c:pt>
                <c:pt idx="6">
                  <c:v>46869540605476300</c:v>
                </c:pt>
                <c:pt idx="7">
                  <c:v>45235894013626000</c:v>
                </c:pt>
                <c:pt idx="8">
                  <c:v>43575456171339000</c:v>
                </c:pt>
                <c:pt idx="9">
                  <c:v>41924590431014200</c:v>
                </c:pt>
                <c:pt idx="10">
                  <c:v>40292117904733500</c:v>
                </c:pt>
                <c:pt idx="11">
                  <c:v>38691286824481600</c:v>
                </c:pt>
                <c:pt idx="12">
                  <c:v>37113534963311800</c:v>
                </c:pt>
                <c:pt idx="13">
                  <c:v>35580664703825400</c:v>
                </c:pt>
                <c:pt idx="14">
                  <c:v>34083096082433500</c:v>
                </c:pt>
                <c:pt idx="15">
                  <c:v>32636082294597100</c:v>
                </c:pt>
                <c:pt idx="16">
                  <c:v>31221519816142400</c:v>
                </c:pt>
                <c:pt idx="17">
                  <c:v>29845989120195600</c:v>
                </c:pt>
                <c:pt idx="18">
                  <c:v>28521562316292600</c:v>
                </c:pt>
                <c:pt idx="19">
                  <c:v>27249178167212400</c:v>
                </c:pt>
                <c:pt idx="20">
                  <c:v>26009141416167600</c:v>
                </c:pt>
                <c:pt idx="21">
                  <c:v>24815152886340300</c:v>
                </c:pt>
                <c:pt idx="22">
                  <c:v>23670031942469800</c:v>
                </c:pt>
                <c:pt idx="23">
                  <c:v>22563367856741800</c:v>
                </c:pt>
                <c:pt idx="24">
                  <c:v>21501814295918400</c:v>
                </c:pt>
                <c:pt idx="25">
                  <c:v>20481855312560000</c:v>
                </c:pt>
                <c:pt idx="26">
                  <c:v>19501820531672800</c:v>
                </c:pt>
                <c:pt idx="27">
                  <c:v>18566612388081100</c:v>
                </c:pt>
                <c:pt idx="28">
                  <c:v>17673149551250900</c:v>
                </c:pt>
                <c:pt idx="29">
                  <c:v>16812200023978100</c:v>
                </c:pt>
                <c:pt idx="30">
                  <c:v>15995770500398000</c:v>
                </c:pt>
                <c:pt idx="31">
                  <c:v>15213812687594500</c:v>
                </c:pt>
                <c:pt idx="32">
                  <c:v>14464522227456300</c:v>
                </c:pt>
                <c:pt idx="33">
                  <c:v>13747707409869100</c:v>
                </c:pt>
                <c:pt idx="34">
                  <c:v>13061880591293100</c:v>
                </c:pt>
                <c:pt idx="35">
                  <c:v>12404560547015200</c:v>
                </c:pt>
                <c:pt idx="36">
                  <c:v>11778194526440400</c:v>
                </c:pt>
                <c:pt idx="37">
                  <c:v>11180101622886500</c:v>
                </c:pt>
                <c:pt idx="38">
                  <c:v>10618882826081300</c:v>
                </c:pt>
                <c:pt idx="39">
                  <c:v>10073094739099500</c:v>
                </c:pt>
                <c:pt idx="40">
                  <c:v>9559600665185000</c:v>
                </c:pt>
                <c:pt idx="41">
                  <c:v>9068138789119260</c:v>
                </c:pt>
                <c:pt idx="42">
                  <c:v>8597432081755680</c:v>
                </c:pt>
                <c:pt idx="43">
                  <c:v>8151216336127100</c:v>
                </c:pt>
                <c:pt idx="44">
                  <c:v>7722716288918300</c:v>
                </c:pt>
                <c:pt idx="45">
                  <c:v>7322304192406580</c:v>
                </c:pt>
                <c:pt idx="46">
                  <c:v>6946449734701160</c:v>
                </c:pt>
                <c:pt idx="47">
                  <c:v>6582233816123900</c:v>
                </c:pt>
                <c:pt idx="48">
                  <c:v>6229172144069350</c:v>
                </c:pt>
                <c:pt idx="49">
                  <c:v>5899874832156060</c:v>
                </c:pt>
                <c:pt idx="50">
                  <c:v>5582854970382000</c:v>
                </c:pt>
                <c:pt idx="51">
                  <c:v>5285518792815250</c:v>
                </c:pt>
                <c:pt idx="52">
                  <c:v>5008018355625920</c:v>
                </c:pt>
                <c:pt idx="53">
                  <c:v>4740869899752070</c:v>
                </c:pt>
                <c:pt idx="54">
                  <c:v>4486241928753270</c:v>
                </c:pt>
                <c:pt idx="55">
                  <c:v>4243137192974520</c:v>
                </c:pt>
                <c:pt idx="56">
                  <c:v>4006242633425980</c:v>
                </c:pt>
                <c:pt idx="57">
                  <c:v>3794713446645310</c:v>
                </c:pt>
                <c:pt idx="58">
                  <c:v>3582045430077040</c:v>
                </c:pt>
                <c:pt idx="59">
                  <c:v>3388877228822260</c:v>
                </c:pt>
                <c:pt idx="60">
                  <c:v>3209639521532490</c:v>
                </c:pt>
                <c:pt idx="61">
                  <c:v>3025716530011920</c:v>
                </c:pt>
                <c:pt idx="62">
                  <c:v>2857188803637500</c:v>
                </c:pt>
                <c:pt idx="63">
                  <c:v>2699639219864190</c:v>
                </c:pt>
                <c:pt idx="64">
                  <c:v>2547190161227160</c:v>
                </c:pt>
                <c:pt idx="65">
                  <c:v>2412595424020420</c:v>
                </c:pt>
                <c:pt idx="66">
                  <c:v>2277520751369180</c:v>
                </c:pt>
                <c:pt idx="67">
                  <c:v>2154176463235470</c:v>
                </c:pt>
                <c:pt idx="68">
                  <c:v>2030743153989260</c:v>
                </c:pt>
                <c:pt idx="69">
                  <c:v>1914162364044030</c:v>
                </c:pt>
                <c:pt idx="70">
                  <c:v>1808058053196010</c:v>
                </c:pt>
                <c:pt idx="71">
                  <c:v>1701668010577890</c:v>
                </c:pt>
                <c:pt idx="72">
                  <c:v>1603422856404830</c:v>
                </c:pt>
                <c:pt idx="73">
                  <c:v>1513339343674600</c:v>
                </c:pt>
                <c:pt idx="74">
                  <c:v>1428082337782760</c:v>
                </c:pt>
                <c:pt idx="75">
                  <c:v>1347907270957080</c:v>
                </c:pt>
                <c:pt idx="76">
                  <c:v>1270186931091810</c:v>
                </c:pt>
                <c:pt idx="77">
                  <c:v>1195115955324910</c:v>
                </c:pt>
                <c:pt idx="78">
                  <c:v>1127133368461480</c:v>
                </c:pt>
                <c:pt idx="79">
                  <c:v>1056918085946970</c:v>
                </c:pt>
                <c:pt idx="80">
                  <c:v>997584202233706</c:v>
                </c:pt>
                <c:pt idx="81">
                  <c:v>938798467623057</c:v>
                </c:pt>
                <c:pt idx="82">
                  <c:v>884101415908131</c:v>
                </c:pt>
                <c:pt idx="83">
                  <c:v>830079319987154</c:v>
                </c:pt>
                <c:pt idx="84">
                  <c:v>778294593930976</c:v>
                </c:pt>
                <c:pt idx="85">
                  <c:v>727790504979584</c:v>
                </c:pt>
                <c:pt idx="86">
                  <c:v>686289596000127</c:v>
                </c:pt>
                <c:pt idx="87">
                  <c:v>643000660071457</c:v>
                </c:pt>
                <c:pt idx="88">
                  <c:v>612609190778786</c:v>
                </c:pt>
                <c:pt idx="89">
                  <c:v>569531667122211</c:v>
                </c:pt>
                <c:pt idx="90">
                  <c:v>527106781638252</c:v>
                </c:pt>
                <c:pt idx="91">
                  <c:v>498151813579938</c:v>
                </c:pt>
                <c:pt idx="92">
                  <c:v>467261998618213</c:v>
                </c:pt>
                <c:pt idx="93">
                  <c:v>438891646401559</c:v>
                </c:pt>
                <c:pt idx="94">
                  <c:v>413301637360628</c:v>
                </c:pt>
                <c:pt idx="95">
                  <c:v>390016746660394</c:v>
                </c:pt>
                <c:pt idx="96">
                  <c:v>361035140496555</c:v>
                </c:pt>
                <c:pt idx="97">
                  <c:v>336172942243093</c:v>
                </c:pt>
                <c:pt idx="98">
                  <c:v>314216000719506</c:v>
                </c:pt>
                <c:pt idx="99">
                  <c:v>294891015120497</c:v>
                </c:pt>
                <c:pt idx="100">
                  <c:v>275510583545574</c:v>
                </c:pt>
                <c:pt idx="101">
                  <c:v>258151244758103</c:v>
                </c:pt>
                <c:pt idx="102">
                  <c:v>246629669700964</c:v>
                </c:pt>
                <c:pt idx="103">
                  <c:v>230023459875976</c:v>
                </c:pt>
                <c:pt idx="104">
                  <c:v>215301290116237</c:v>
                </c:pt>
                <c:pt idx="105">
                  <c:v>193968050925017</c:v>
                </c:pt>
                <c:pt idx="106">
                  <c:v>187951657391014</c:v>
                </c:pt>
                <c:pt idx="107">
                  <c:v>171983225544579</c:v>
                </c:pt>
                <c:pt idx="108">
                  <c:v>159162524985044</c:v>
                </c:pt>
                <c:pt idx="109">
                  <c:v>157427636193525</c:v>
                </c:pt>
                <c:pt idx="110">
                  <c:v>142212854516688</c:v>
                </c:pt>
                <c:pt idx="111">
                  <c:v>129141976898901</c:v>
                </c:pt>
                <c:pt idx="112">
                  <c:v>127275303594925</c:v>
                </c:pt>
                <c:pt idx="113">
                  <c:v>120543278651441</c:v>
                </c:pt>
                <c:pt idx="114">
                  <c:v>114546376767432</c:v>
                </c:pt>
                <c:pt idx="115">
                  <c:v>98962631903625.1</c:v>
                </c:pt>
                <c:pt idx="116">
                  <c:v>92972278825323</c:v>
                </c:pt>
                <c:pt idx="117">
                  <c:v>90443537885120.9</c:v>
                </c:pt>
                <c:pt idx="118">
                  <c:v>81595946117416</c:v>
                </c:pt>
                <c:pt idx="119">
                  <c:v>82660021862882.4</c:v>
                </c:pt>
                <c:pt idx="120">
                  <c:v>71024607898140</c:v>
                </c:pt>
                <c:pt idx="121">
                  <c:v>61655933622390.8</c:v>
                </c:pt>
                <c:pt idx="122">
                  <c:v>63515826406555.1</c:v>
                </c:pt>
                <c:pt idx="123">
                  <c:v>60726005458266.9</c:v>
                </c:pt>
                <c:pt idx="124">
                  <c:v>57006878314246.2</c:v>
                </c:pt>
              </c:numCache>
            </c:numRef>
          </c:xVal>
          <c:yVal>
            <c:numRef>
              <c:f>Plots!$C$3:$C$127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0.000115351097287753</c:v>
                </c:pt>
                <c:pt idx="3">
                  <c:v>0.000105305908445984</c:v>
                </c:pt>
                <c:pt idx="4">
                  <c:v>9.96691751396779E-005</c:v>
                </c:pt>
                <c:pt idx="5">
                  <c:v>9.81315591564504E-005</c:v>
                </c:pt>
                <c:pt idx="6">
                  <c:v>9.95582952006627E-005</c:v>
                </c:pt>
                <c:pt idx="7">
                  <c:v>0.00010192889887775</c:v>
                </c:pt>
                <c:pt idx="8">
                  <c:v>0.000104218741647131</c:v>
                </c:pt>
                <c:pt idx="9">
                  <c:v>0.000106390508417669</c:v>
                </c:pt>
                <c:pt idx="10">
                  <c:v>0.000108487038920318</c:v>
                </c:pt>
                <c:pt idx="11">
                  <c:v>0.000110493709911582</c:v>
                </c:pt>
                <c:pt idx="12">
                  <c:v>0.000112388570568075</c:v>
                </c:pt>
                <c:pt idx="13">
                  <c:v>0.000114212426921299</c:v>
                </c:pt>
                <c:pt idx="14">
                  <c:v>0.00011591440339242</c:v>
                </c:pt>
                <c:pt idx="15">
                  <c:v>0.000117575735818091</c:v>
                </c:pt>
                <c:pt idx="16">
                  <c:v>0.000119138142001123</c:v>
                </c:pt>
                <c:pt idx="17">
                  <c:v>0.000120631637082664</c:v>
                </c:pt>
                <c:pt idx="18">
                  <c:v>0.000122084643857019</c:v>
                </c:pt>
                <c:pt idx="19">
                  <c:v>0.000123451837576595</c:v>
                </c:pt>
                <c:pt idx="20">
                  <c:v>0.000124667729242766</c:v>
                </c:pt>
                <c:pt idx="21">
                  <c:v>0.000125815573841345</c:v>
                </c:pt>
                <c:pt idx="22">
                  <c:v>0.000126872122834928</c:v>
                </c:pt>
                <c:pt idx="23">
                  <c:v>0.000127873005723001</c:v>
                </c:pt>
                <c:pt idx="24">
                  <c:v>0.000128786705652866</c:v>
                </c:pt>
                <c:pt idx="25">
                  <c:v>0.000129608544851285</c:v>
                </c:pt>
                <c:pt idx="26">
                  <c:v>0.000130353664131492</c:v>
                </c:pt>
                <c:pt idx="27">
                  <c:v>0.000131021626041889</c:v>
                </c:pt>
                <c:pt idx="28">
                  <c:v>0.000131867938888476</c:v>
                </c:pt>
                <c:pt idx="29">
                  <c:v>0.000132421271202175</c:v>
                </c:pt>
                <c:pt idx="30">
                  <c:v>0.000132932615977375</c:v>
                </c:pt>
                <c:pt idx="31">
                  <c:v>0.000133339658194294</c:v>
                </c:pt>
                <c:pt idx="32">
                  <c:v>0.00013362480489025</c:v>
                </c:pt>
                <c:pt idx="33">
                  <c:v>0.000133854664382674</c:v>
                </c:pt>
                <c:pt idx="34">
                  <c:v>0.000133999830331037</c:v>
                </c:pt>
                <c:pt idx="35">
                  <c:v>0.000134045307579346</c:v>
                </c:pt>
                <c:pt idx="36">
                  <c:v>0.000134098484062376</c:v>
                </c:pt>
                <c:pt idx="37">
                  <c:v>0.000133984478093757</c:v>
                </c:pt>
                <c:pt idx="38">
                  <c:v>0.000134046046532307</c:v>
                </c:pt>
                <c:pt idx="39">
                  <c:v>0.000133910805625046</c:v>
                </c:pt>
                <c:pt idx="40">
                  <c:v>0.000133777382786642</c:v>
                </c:pt>
                <c:pt idx="41">
                  <c:v>0.00013354120301323</c:v>
                </c:pt>
                <c:pt idx="42">
                  <c:v>0.000133241675257402</c:v>
                </c:pt>
                <c:pt idx="43">
                  <c:v>0.000132849539670601</c:v>
                </c:pt>
                <c:pt idx="44">
                  <c:v>0.00013240450150072</c:v>
                </c:pt>
                <c:pt idx="45">
                  <c:v>0.000132092065881105</c:v>
                </c:pt>
                <c:pt idx="46">
                  <c:v>0.000131705056103213</c:v>
                </c:pt>
                <c:pt idx="47">
                  <c:v>0.000131201747823612</c:v>
                </c:pt>
                <c:pt idx="48">
                  <c:v>0.000130443420694137</c:v>
                </c:pt>
                <c:pt idx="49">
                  <c:v>0.00012986948174809</c:v>
                </c:pt>
                <c:pt idx="50">
                  <c:v>0.000129188187229219</c:v>
                </c:pt>
                <c:pt idx="51">
                  <c:v>0.000128466361966068</c:v>
                </c:pt>
                <c:pt idx="52">
                  <c:v>0.00012791768785864</c:v>
                </c:pt>
                <c:pt idx="53">
                  <c:v>0.000127176964505243</c:v>
                </c:pt>
                <c:pt idx="54">
                  <c:v>0.000126377071763951</c:v>
                </c:pt>
                <c:pt idx="55">
                  <c:v>0.000125554158102418</c:v>
                </c:pt>
                <c:pt idx="56">
                  <c:v>0.000124401023908553</c:v>
                </c:pt>
                <c:pt idx="57">
                  <c:v>0.000123816570229501</c:v>
                </c:pt>
                <c:pt idx="58">
                  <c:v>0.000122974909014398</c:v>
                </c:pt>
                <c:pt idx="59">
                  <c:v>0.000122078286155082</c:v>
                </c:pt>
                <c:pt idx="60">
                  <c:v>0.00012141889113801</c:v>
                </c:pt>
                <c:pt idx="61">
                  <c:v>0.000120307915752228</c:v>
                </c:pt>
                <c:pt idx="62">
                  <c:v>0.000119280741322145</c:v>
                </c:pt>
                <c:pt idx="63">
                  <c:v>0.000118505626127204</c:v>
                </c:pt>
                <c:pt idx="64">
                  <c:v>0.000117414384758311</c:v>
                </c:pt>
                <c:pt idx="65">
                  <c:v>0.000116824095757704</c:v>
                </c:pt>
                <c:pt idx="66">
                  <c:v>0.000115751689878222</c:v>
                </c:pt>
                <c:pt idx="67">
                  <c:v>0.00011484047924104</c:v>
                </c:pt>
                <c:pt idx="68">
                  <c:v>0.000113828773554476</c:v>
                </c:pt>
                <c:pt idx="69">
                  <c:v>0.000112603804090569</c:v>
                </c:pt>
                <c:pt idx="70">
                  <c:v>0.000111735949168506</c:v>
                </c:pt>
                <c:pt idx="71">
                  <c:v>0.000110285373553942</c:v>
                </c:pt>
                <c:pt idx="72">
                  <c:v>0.000109255221393787</c:v>
                </c:pt>
                <c:pt idx="73">
                  <c:v>0.000108183172418741</c:v>
                </c:pt>
                <c:pt idx="74">
                  <c:v>0.000107214203109963</c:v>
                </c:pt>
                <c:pt idx="75">
                  <c:v>0.000106287212354338</c:v>
                </c:pt>
                <c:pt idx="76">
                  <c:v>0.000105004683310379</c:v>
                </c:pt>
                <c:pt idx="77">
                  <c:v>0.000103688352081486</c:v>
                </c:pt>
                <c:pt idx="78">
                  <c:v>0.000102899127830159</c:v>
                </c:pt>
                <c:pt idx="79">
                  <c:v>0.000101396565941234</c:v>
                </c:pt>
                <c:pt idx="80">
                  <c:v>0.000100640409645937</c:v>
                </c:pt>
                <c:pt idx="81">
                  <c:v>9.95839247066392E-005</c:v>
                </c:pt>
                <c:pt idx="82">
                  <c:v>9.85239726597367E-005</c:v>
                </c:pt>
                <c:pt idx="83">
                  <c:v>9.70240513890043E-005</c:v>
                </c:pt>
                <c:pt idx="84">
                  <c:v>9.56840780311075E-005</c:v>
                </c:pt>
                <c:pt idx="85">
                  <c:v>9.41653490224565E-005</c:v>
                </c:pt>
                <c:pt idx="86">
                  <c:v>9.34994250381673E-005</c:v>
                </c:pt>
                <c:pt idx="87">
                  <c:v>9.24747596747643E-005</c:v>
                </c:pt>
                <c:pt idx="88">
                  <c:v>9.26159839736713E-005</c:v>
                </c:pt>
                <c:pt idx="89">
                  <c:v>9.03126446784093E-005</c:v>
                </c:pt>
                <c:pt idx="90">
                  <c:v>8.76577124243164E-005</c:v>
                </c:pt>
                <c:pt idx="91">
                  <c:v>8.78021624469315E-005</c:v>
                </c:pt>
                <c:pt idx="92">
                  <c:v>8.67518264330909E-005</c:v>
                </c:pt>
                <c:pt idx="93">
                  <c:v>8.59393461771983E-005</c:v>
                </c:pt>
                <c:pt idx="94">
                  <c:v>8.5305506982309E-005</c:v>
                </c:pt>
                <c:pt idx="95">
                  <c:v>8.46704935230338E-005</c:v>
                </c:pt>
                <c:pt idx="96">
                  <c:v>8.25522893316836E-005</c:v>
                </c:pt>
                <c:pt idx="97">
                  <c:v>8.10178942598292E-005</c:v>
                </c:pt>
                <c:pt idx="98">
                  <c:v>7.98321784135041E-005</c:v>
                </c:pt>
                <c:pt idx="99">
                  <c:v>7.96699279748263E-005</c:v>
                </c:pt>
                <c:pt idx="100">
                  <c:v>7.89982690809592E-005</c:v>
                </c:pt>
                <c:pt idx="101">
                  <c:v>7.82338860295755E-005</c:v>
                </c:pt>
                <c:pt idx="102">
                  <c:v>7.83406796914842E-005</c:v>
                </c:pt>
                <c:pt idx="103">
                  <c:v>7.72072102117606E-005</c:v>
                </c:pt>
                <c:pt idx="104">
                  <c:v>7.6805121695426E-005</c:v>
                </c:pt>
                <c:pt idx="105">
                  <c:v>7.25029371591774E-005</c:v>
                </c:pt>
                <c:pt idx="106">
                  <c:v>7.38715382109525E-005</c:v>
                </c:pt>
                <c:pt idx="107">
                  <c:v>7.24819974815184E-005</c:v>
                </c:pt>
                <c:pt idx="108">
                  <c:v>7.11249761443996E-005</c:v>
                </c:pt>
                <c:pt idx="109">
                  <c:v>7.5191981281713E-005</c:v>
                </c:pt>
                <c:pt idx="110">
                  <c:v>7.20777659871292E-005</c:v>
                </c:pt>
                <c:pt idx="111">
                  <c:v>6.8346808357091E-005</c:v>
                </c:pt>
                <c:pt idx="112">
                  <c:v>7.32566881423973E-005</c:v>
                </c:pt>
                <c:pt idx="113">
                  <c:v>7.25101925604179E-005</c:v>
                </c:pt>
                <c:pt idx="114">
                  <c:v>7.19746152386324E-005</c:v>
                </c:pt>
                <c:pt idx="115">
                  <c:v>6.67207247533696E-005</c:v>
                </c:pt>
                <c:pt idx="116">
                  <c:v>6.56519989250864E-005</c:v>
                </c:pt>
                <c:pt idx="117">
                  <c:v>6.98247949027983E-005</c:v>
                </c:pt>
                <c:pt idx="118">
                  <c:v>6.58394857838824E-005</c:v>
                </c:pt>
                <c:pt idx="119">
                  <c:v>7.06434134778307E-005</c:v>
                </c:pt>
                <c:pt idx="120">
                  <c:v>6.46509367816915E-005</c:v>
                </c:pt>
                <c:pt idx="121">
                  <c:v>5.91874291930705E-005</c:v>
                </c:pt>
                <c:pt idx="122">
                  <c:v>6.59774977774202E-005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Plots!$D$1</c:f>
              <c:strCache>
                <c:ptCount val="1"/>
                <c:pt idx="0">
                  <c:v>180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Plots!$D$3:$D$127</c:f>
              <c:numCache>
                <c:formatCode>General</c:formatCode>
                <c:ptCount val="125"/>
                <c:pt idx="0">
                  <c:v>9632274585915770</c:v>
                </c:pt>
                <c:pt idx="1">
                  <c:v>33356220593712700</c:v>
                </c:pt>
                <c:pt idx="2">
                  <c:v>45467210175672300</c:v>
                </c:pt>
                <c:pt idx="3">
                  <c:v>49561136238226900</c:v>
                </c:pt>
                <c:pt idx="4">
                  <c:v>49331173599870200</c:v>
                </c:pt>
                <c:pt idx="5">
                  <c:v>48006709497859400</c:v>
                </c:pt>
                <c:pt idx="6">
                  <c:v>46412927577140100</c:v>
                </c:pt>
                <c:pt idx="7">
                  <c:v>44779288943168700</c:v>
                </c:pt>
                <c:pt idx="8">
                  <c:v>43134875114242800</c:v>
                </c:pt>
                <c:pt idx="9">
                  <c:v>41510814504890100</c:v>
                </c:pt>
                <c:pt idx="10">
                  <c:v>39893898149722600</c:v>
                </c:pt>
                <c:pt idx="11">
                  <c:v>38295773008807700</c:v>
                </c:pt>
                <c:pt idx="12">
                  <c:v>36733907844599800</c:v>
                </c:pt>
                <c:pt idx="13">
                  <c:v>35201237861220700</c:v>
                </c:pt>
                <c:pt idx="14">
                  <c:v>33701633965915600</c:v>
                </c:pt>
                <c:pt idx="15">
                  <c:v>32259518192911500</c:v>
                </c:pt>
                <c:pt idx="16">
                  <c:v>30850688390964800</c:v>
                </c:pt>
                <c:pt idx="17">
                  <c:v>29487075224812800</c:v>
                </c:pt>
                <c:pt idx="18">
                  <c:v>28168813144288400</c:v>
                </c:pt>
                <c:pt idx="19">
                  <c:v>26893886818528300</c:v>
                </c:pt>
                <c:pt idx="20">
                  <c:v>25667214323717000</c:v>
                </c:pt>
                <c:pt idx="21">
                  <c:v>24479392815262100</c:v>
                </c:pt>
                <c:pt idx="22">
                  <c:v>23330347098384000</c:v>
                </c:pt>
                <c:pt idx="23">
                  <c:v>22225816076005000</c:v>
                </c:pt>
                <c:pt idx="24">
                  <c:v>21177431924501100</c:v>
                </c:pt>
                <c:pt idx="25">
                  <c:v>20166483998822400</c:v>
                </c:pt>
                <c:pt idx="26">
                  <c:v>19195916259941600</c:v>
                </c:pt>
                <c:pt idx="27">
                  <c:v>18260964795163200</c:v>
                </c:pt>
                <c:pt idx="28">
                  <c:v>17370468141266200</c:v>
                </c:pt>
                <c:pt idx="29">
                  <c:v>16519966272660400</c:v>
                </c:pt>
                <c:pt idx="30">
                  <c:v>15710955601883900</c:v>
                </c:pt>
                <c:pt idx="31">
                  <c:v>14927749202857400</c:v>
                </c:pt>
                <c:pt idx="32">
                  <c:v>14180845116094600</c:v>
                </c:pt>
                <c:pt idx="33">
                  <c:v>13471878294920100</c:v>
                </c:pt>
                <c:pt idx="34">
                  <c:v>12790575345340600</c:v>
                </c:pt>
                <c:pt idx="35">
                  <c:v>12142725508111700</c:v>
                </c:pt>
                <c:pt idx="36">
                  <c:v>11526773247353200</c:v>
                </c:pt>
                <c:pt idx="37">
                  <c:v>10932971230360700</c:v>
                </c:pt>
                <c:pt idx="38">
                  <c:v>10365982772889600</c:v>
                </c:pt>
                <c:pt idx="39">
                  <c:v>9834290690439120</c:v>
                </c:pt>
                <c:pt idx="40">
                  <c:v>9324961659416050</c:v>
                </c:pt>
                <c:pt idx="41">
                  <c:v>8846007033809850</c:v>
                </c:pt>
                <c:pt idx="42">
                  <c:v>8386008289478700</c:v>
                </c:pt>
                <c:pt idx="43">
                  <c:v>7945114717818410</c:v>
                </c:pt>
                <c:pt idx="44">
                  <c:v>7530108392890370</c:v>
                </c:pt>
                <c:pt idx="45">
                  <c:v>7135805279714390</c:v>
                </c:pt>
                <c:pt idx="46">
                  <c:v>6755739285449100</c:v>
                </c:pt>
                <c:pt idx="47">
                  <c:v>6402750453137200</c:v>
                </c:pt>
                <c:pt idx="48">
                  <c:v>6063133866354280</c:v>
                </c:pt>
                <c:pt idx="49">
                  <c:v>5743918784295810</c:v>
                </c:pt>
                <c:pt idx="50">
                  <c:v>5433456424221180</c:v>
                </c:pt>
                <c:pt idx="51">
                  <c:v>5141687188975700</c:v>
                </c:pt>
                <c:pt idx="52">
                  <c:v>4859965363135400</c:v>
                </c:pt>
                <c:pt idx="53">
                  <c:v>4600018169447510</c:v>
                </c:pt>
                <c:pt idx="54">
                  <c:v>4355208500034350</c:v>
                </c:pt>
                <c:pt idx="55">
                  <c:v>4119945086502210</c:v>
                </c:pt>
                <c:pt idx="56">
                  <c:v>3891964669074050</c:v>
                </c:pt>
                <c:pt idx="57">
                  <c:v>3677474724942710</c:v>
                </c:pt>
                <c:pt idx="58">
                  <c:v>3474275158214890</c:v>
                </c:pt>
                <c:pt idx="59">
                  <c:v>3284348861091230</c:v>
                </c:pt>
                <c:pt idx="60">
                  <c:v>3103336551310200</c:v>
                </c:pt>
                <c:pt idx="61">
                  <c:v>2932113611276200</c:v>
                </c:pt>
                <c:pt idx="62">
                  <c:v>2761238011447450</c:v>
                </c:pt>
                <c:pt idx="63">
                  <c:v>2607915699408530</c:v>
                </c:pt>
                <c:pt idx="64">
                  <c:v>2463453271635230</c:v>
                </c:pt>
                <c:pt idx="65">
                  <c:v>2322154319458840</c:v>
                </c:pt>
                <c:pt idx="66">
                  <c:v>2193691977651610</c:v>
                </c:pt>
                <c:pt idx="67">
                  <c:v>2073328190380140</c:v>
                </c:pt>
                <c:pt idx="68">
                  <c:v>1953137757650240</c:v>
                </c:pt>
                <c:pt idx="69">
                  <c:v>1841638303097290</c:v>
                </c:pt>
                <c:pt idx="70">
                  <c:v>1736011866810070</c:v>
                </c:pt>
                <c:pt idx="71">
                  <c:v>1636742900913180</c:v>
                </c:pt>
                <c:pt idx="72">
                  <c:v>1542541452672490</c:v>
                </c:pt>
                <c:pt idx="73">
                  <c:v>1451736067585650</c:v>
                </c:pt>
                <c:pt idx="74">
                  <c:v>1367210113660320</c:v>
                </c:pt>
                <c:pt idx="75">
                  <c:v>1284606622560610</c:v>
                </c:pt>
                <c:pt idx="76">
                  <c:v>1211388639866150</c:v>
                </c:pt>
                <c:pt idx="77">
                  <c:v>1138541437834660</c:v>
                </c:pt>
                <c:pt idx="78">
                  <c:v>1071300373625270</c:v>
                </c:pt>
                <c:pt idx="79">
                  <c:v>1014019755541950</c:v>
                </c:pt>
                <c:pt idx="80">
                  <c:v>953872887127901</c:v>
                </c:pt>
                <c:pt idx="81">
                  <c:v>892567621438349</c:v>
                </c:pt>
                <c:pt idx="82">
                  <c:v>834859821701804</c:v>
                </c:pt>
                <c:pt idx="83">
                  <c:v>789840783537430</c:v>
                </c:pt>
                <c:pt idx="84">
                  <c:v>738114091017055</c:v>
                </c:pt>
                <c:pt idx="85">
                  <c:v>682623708803244</c:v>
                </c:pt>
                <c:pt idx="86">
                  <c:v>644698775860180</c:v>
                </c:pt>
                <c:pt idx="87">
                  <c:v>605321917490904</c:v>
                </c:pt>
                <c:pt idx="88">
                  <c:v>565919364155045</c:v>
                </c:pt>
                <c:pt idx="89">
                  <c:v>533856923791375</c:v>
                </c:pt>
                <c:pt idx="90">
                  <c:v>501111657170546</c:v>
                </c:pt>
                <c:pt idx="91">
                  <c:v>467363735826664</c:v>
                </c:pt>
                <c:pt idx="92">
                  <c:v>436933532956152</c:v>
                </c:pt>
                <c:pt idx="93">
                  <c:v>411617335265102</c:v>
                </c:pt>
                <c:pt idx="94">
                  <c:v>382780268447856</c:v>
                </c:pt>
                <c:pt idx="95">
                  <c:v>354481573017899</c:v>
                </c:pt>
                <c:pt idx="96">
                  <c:v>332311657325041</c:v>
                </c:pt>
                <c:pt idx="97">
                  <c:v>310027172151399</c:v>
                </c:pt>
                <c:pt idx="98">
                  <c:v>290390431481208</c:v>
                </c:pt>
                <c:pt idx="99">
                  <c:v>269099189183115</c:v>
                </c:pt>
                <c:pt idx="100">
                  <c:v>252436738568504</c:v>
                </c:pt>
                <c:pt idx="101">
                  <c:v>237319804822498</c:v>
                </c:pt>
                <c:pt idx="102">
                  <c:v>217092200445948</c:v>
                </c:pt>
                <c:pt idx="103">
                  <c:v>207816012093702</c:v>
                </c:pt>
                <c:pt idx="104">
                  <c:v>193492988103705</c:v>
                </c:pt>
                <c:pt idx="105">
                  <c:v>179176883521385</c:v>
                </c:pt>
                <c:pt idx="106">
                  <c:v>173171821424600</c:v>
                </c:pt>
                <c:pt idx="107">
                  <c:v>159060078202796</c:v>
                </c:pt>
                <c:pt idx="108">
                  <c:v>144766334489052</c:v>
                </c:pt>
                <c:pt idx="109">
                  <c:v>138962361587060</c:v>
                </c:pt>
                <c:pt idx="110">
                  <c:v>130418001989170</c:v>
                </c:pt>
                <c:pt idx="111">
                  <c:v>117161748201265</c:v>
                </c:pt>
                <c:pt idx="112">
                  <c:v>111619811475769</c:v>
                </c:pt>
                <c:pt idx="113">
                  <c:v>104869923895943</c:v>
                </c:pt>
                <c:pt idx="114">
                  <c:v>102577912352699</c:v>
                </c:pt>
                <c:pt idx="115">
                  <c:v>87878629172882.9</c:v>
                </c:pt>
                <c:pt idx="116">
                  <c:v>86860881217006.6</c:v>
                </c:pt>
                <c:pt idx="117">
                  <c:v>80883298644847.4</c:v>
                </c:pt>
                <c:pt idx="118">
                  <c:v>80056729414222.8</c:v>
                </c:pt>
                <c:pt idx="119">
                  <c:v>76179007666695.5</c:v>
                </c:pt>
                <c:pt idx="120">
                  <c:v>71412607368000.1</c:v>
                </c:pt>
                <c:pt idx="121">
                  <c:v>67918107988153.4</c:v>
                </c:pt>
                <c:pt idx="122">
                  <c:v>64233998733355.9</c:v>
                </c:pt>
                <c:pt idx="123">
                  <c:v>51220079530429.1</c:v>
                </c:pt>
                <c:pt idx="124">
                  <c:v>49570483757731</c:v>
                </c:pt>
              </c:numCache>
            </c:numRef>
          </c:xVal>
          <c:yVal>
            <c:numRef>
              <c:f>Plots!$E$3:$E$127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0.00011491261860492</c:v>
                </c:pt>
                <c:pt idx="3">
                  <c:v>0.000104943132567101</c:v>
                </c:pt>
                <c:pt idx="4">
                  <c:v>9.94859612222234E-005</c:v>
                </c:pt>
                <c:pt idx="5">
                  <c:v>9.82486888494481E-005</c:v>
                </c:pt>
                <c:pt idx="6">
                  <c:v>9.98240939168792E-005</c:v>
                </c:pt>
                <c:pt idx="7">
                  <c:v>0.000102079360888386</c:v>
                </c:pt>
                <c:pt idx="8">
                  <c:v>0.000104297167216622</c:v>
                </c:pt>
                <c:pt idx="9">
                  <c:v>0.000106329948060734</c:v>
                </c:pt>
                <c:pt idx="10">
                  <c:v>0.000108325354740565</c:v>
                </c:pt>
                <c:pt idx="11">
                  <c:v>0.000110195722777489</c:v>
                </c:pt>
                <c:pt idx="12">
                  <c:v>0.000112046239308354</c:v>
                </c:pt>
                <c:pt idx="13">
                  <c:v>0.000113766673587996</c:v>
                </c:pt>
                <c:pt idx="14">
                  <c:v>0.000115387033035208</c:v>
                </c:pt>
                <c:pt idx="15">
                  <c:v>0.000116976345346043</c:v>
                </c:pt>
                <c:pt idx="16">
                  <c:v>0.000118454171034507</c:v>
                </c:pt>
                <c:pt idx="17">
                  <c:v>0.000119836121732549</c:v>
                </c:pt>
                <c:pt idx="18">
                  <c:v>0.00012119372520946</c:v>
                </c:pt>
                <c:pt idx="19">
                  <c:v>0.0001224486144596</c:v>
                </c:pt>
                <c:pt idx="20">
                  <c:v>0.00012360909521762</c:v>
                </c:pt>
                <c:pt idx="21">
                  <c:v>0.000124655498722604</c:v>
                </c:pt>
                <c:pt idx="22">
                  <c:v>0.00012560220542799</c:v>
                </c:pt>
                <c:pt idx="23">
                  <c:v>0.000126511566291954</c:v>
                </c:pt>
                <c:pt idx="24">
                  <c:v>0.000127401841579376</c:v>
                </c:pt>
                <c:pt idx="25">
                  <c:v>0.000128157479150891</c:v>
                </c:pt>
                <c:pt idx="26">
                  <c:v>0.000128798904981739</c:v>
                </c:pt>
                <c:pt idx="27">
                  <c:v>0.000129361839179583</c:v>
                </c:pt>
                <c:pt idx="28">
                  <c:v>0.000130117526473342</c:v>
                </c:pt>
                <c:pt idx="29">
                  <c:v>0.000130616265480756</c:v>
                </c:pt>
                <c:pt idx="30">
                  <c:v>0.000131050373949133</c:v>
                </c:pt>
                <c:pt idx="31">
                  <c:v>0.000131335785592585</c:v>
                </c:pt>
                <c:pt idx="32">
                  <c:v>0.000131544418200759</c:v>
                </c:pt>
                <c:pt idx="33">
                  <c:v>0.000131741666668197</c:v>
                </c:pt>
                <c:pt idx="34">
                  <c:v>0.000131807079293831</c:v>
                </c:pt>
                <c:pt idx="35">
                  <c:v>0.000131847831882906</c:v>
                </c:pt>
                <c:pt idx="36">
                  <c:v>0.000131818273103711</c:v>
                </c:pt>
                <c:pt idx="37">
                  <c:v>0.000131627355753448</c:v>
                </c:pt>
                <c:pt idx="38">
                  <c:v>0.00013143797832424</c:v>
                </c:pt>
                <c:pt idx="39">
                  <c:v>0.000131360300982907</c:v>
                </c:pt>
                <c:pt idx="40">
                  <c:v>0.000131197565777598</c:v>
                </c:pt>
                <c:pt idx="41">
                  <c:v>0.00013095302625429</c:v>
                </c:pt>
                <c:pt idx="42">
                  <c:v>0.000130654606795587</c:v>
                </c:pt>
                <c:pt idx="43">
                  <c:v>0.000130183225136406</c:v>
                </c:pt>
                <c:pt idx="44">
                  <c:v>0.000129751978991606</c:v>
                </c:pt>
                <c:pt idx="45">
                  <c:v>0.00012933109618799</c:v>
                </c:pt>
                <c:pt idx="46">
                  <c:v>0.00012869597597166</c:v>
                </c:pt>
                <c:pt idx="47">
                  <c:v>0.000128281244764548</c:v>
                </c:pt>
                <c:pt idx="48">
                  <c:v>0.000127685063235095</c:v>
                </c:pt>
                <c:pt idx="49">
                  <c:v>0.00012706029491819</c:v>
                </c:pt>
                <c:pt idx="50">
                  <c:v>0.000126245488071335</c:v>
                </c:pt>
                <c:pt idx="51">
                  <c:v>0.000125514917102654</c:v>
                </c:pt>
                <c:pt idx="52">
                  <c:v>0.000124717962172846</c:v>
                </c:pt>
                <c:pt idx="53">
                  <c:v>0.000124083993516256</c:v>
                </c:pt>
                <c:pt idx="54">
                  <c:v>0.000123344709179725</c:v>
                </c:pt>
                <c:pt idx="55">
                  <c:v>0.000122505001606478</c:v>
                </c:pt>
                <c:pt idx="56">
                  <c:v>0.000121456008706228</c:v>
                </c:pt>
                <c:pt idx="57">
                  <c:v>0.000120490474388808</c:v>
                </c:pt>
                <c:pt idx="58">
                  <c:v>0.000119676247751097</c:v>
                </c:pt>
                <c:pt idx="59">
                  <c:v>0.000118898088824904</c:v>
                </c:pt>
                <c:pt idx="60">
                  <c:v>0.000117894516267677</c:v>
                </c:pt>
                <c:pt idx="61">
                  <c:v>0.000117177836039935</c:v>
                </c:pt>
                <c:pt idx="62">
                  <c:v>0.000115912698926755</c:v>
                </c:pt>
                <c:pt idx="63">
                  <c:v>0.0001150285024291</c:v>
                </c:pt>
                <c:pt idx="64">
                  <c:v>0.000114043283021301</c:v>
                </c:pt>
                <c:pt idx="65">
                  <c:v>0.000112979354346764</c:v>
                </c:pt>
                <c:pt idx="66">
                  <c:v>0.000112018016901244</c:v>
                </c:pt>
                <c:pt idx="67">
                  <c:v>0.000111296727985934</c:v>
                </c:pt>
                <c:pt idx="68">
                  <c:v>0.000110208851965217</c:v>
                </c:pt>
                <c:pt idx="69">
                  <c:v>0.000109096196069909</c:v>
                </c:pt>
                <c:pt idx="70">
                  <c:v>0.000108018633523072</c:v>
                </c:pt>
                <c:pt idx="71">
                  <c:v>0.000106805860217821</c:v>
                </c:pt>
                <c:pt idx="72">
                  <c:v>0.000105613072290752</c:v>
                </c:pt>
                <c:pt idx="73">
                  <c:v>0.000104265054180604</c:v>
                </c:pt>
                <c:pt idx="74">
                  <c:v>0.000103204689347963</c:v>
                </c:pt>
                <c:pt idx="75">
                  <c:v>0.000101923093890276</c:v>
                </c:pt>
                <c:pt idx="76">
                  <c:v>0.000100839623407937</c:v>
                </c:pt>
                <c:pt idx="77">
                  <c:v>9.9736132881036E-005</c:v>
                </c:pt>
                <c:pt idx="78">
                  <c:v>9.86990153204509E-005</c:v>
                </c:pt>
                <c:pt idx="79">
                  <c:v>9.81065765140679E-005</c:v>
                </c:pt>
                <c:pt idx="80">
                  <c:v>9.66555690780341E-005</c:v>
                </c:pt>
                <c:pt idx="81">
                  <c:v>9.51841692357995E-005</c:v>
                </c:pt>
                <c:pt idx="82">
                  <c:v>9.32776305143403E-005</c:v>
                </c:pt>
                <c:pt idx="83">
                  <c:v>9.29103140356411E-005</c:v>
                </c:pt>
                <c:pt idx="84">
                  <c:v>9.10524012360856E-005</c:v>
                </c:pt>
                <c:pt idx="85">
                  <c:v>8.85424615028046E-005</c:v>
                </c:pt>
                <c:pt idx="86">
                  <c:v>8.80669530528318E-005</c:v>
                </c:pt>
                <c:pt idx="87">
                  <c:v>8.73273367557433E-005</c:v>
                </c:pt>
                <c:pt idx="88">
                  <c:v>8.58025444222857E-005</c:v>
                </c:pt>
                <c:pt idx="89">
                  <c:v>8.50019021284412E-005</c:v>
                </c:pt>
                <c:pt idx="90">
                  <c:v>8.4167279869707E-005</c:v>
                </c:pt>
                <c:pt idx="91">
                  <c:v>8.26008111908353E-005</c:v>
                </c:pt>
                <c:pt idx="92">
                  <c:v>8.14035307364989E-005</c:v>
                </c:pt>
                <c:pt idx="93">
                  <c:v>8.09289720400397E-005</c:v>
                </c:pt>
                <c:pt idx="94">
                  <c:v>7.92811340742532E-005</c:v>
                </c:pt>
                <c:pt idx="95">
                  <c:v>7.72855158520742E-005</c:v>
                </c:pt>
                <c:pt idx="96">
                  <c:v>7.6740508344325E-005</c:v>
                </c:pt>
                <c:pt idx="97">
                  <c:v>7.56605852819631E-005</c:v>
                </c:pt>
                <c:pt idx="98">
                  <c:v>7.45478431206601E-005</c:v>
                </c:pt>
                <c:pt idx="99">
                  <c:v>7.32196171432447E-005</c:v>
                </c:pt>
                <c:pt idx="100">
                  <c:v>7.24901427829495E-005</c:v>
                </c:pt>
                <c:pt idx="101">
                  <c:v>7.17110015022061E-005</c:v>
                </c:pt>
                <c:pt idx="102">
                  <c:v>6.98000325780277E-005</c:v>
                </c:pt>
                <c:pt idx="103">
                  <c:v>7.08569772850181E-005</c:v>
                </c:pt>
                <c:pt idx="104">
                  <c:v>7.01228008342931E-005</c:v>
                </c:pt>
                <c:pt idx="105">
                  <c:v>6.87598280729626E-005</c:v>
                </c:pt>
                <c:pt idx="106">
                  <c:v>6.99661759772327E-005</c:v>
                </c:pt>
                <c:pt idx="107">
                  <c:v>6.87196877330978E-005</c:v>
                </c:pt>
                <c:pt idx="108">
                  <c:v>6.60933248035587E-005</c:v>
                </c:pt>
                <c:pt idx="109">
                  <c:v>6.77859043013887E-005</c:v>
                </c:pt>
                <c:pt idx="110">
                  <c:v>6.79924040938657E-005</c:v>
                </c:pt>
                <c:pt idx="111">
                  <c:v>6.48391793278501E-005</c:v>
                </c:pt>
                <c:pt idx="112">
                  <c:v>6.52700484150481E-005</c:v>
                </c:pt>
                <c:pt idx="113">
                  <c:v>6.49496112236142E-005</c:v>
                </c:pt>
                <c:pt idx="114">
                  <c:v>6.72771287614386E-005</c:v>
                </c:pt>
                <c:pt idx="115">
                  <c:v>6.15249249877724E-005</c:v>
                </c:pt>
                <c:pt idx="116">
                  <c:v>6.44976753227093E-005</c:v>
                </c:pt>
                <c:pt idx="117">
                  <c:v>6.66660613217606E-005</c:v>
                </c:pt>
                <c:pt idx="118">
                  <c:v>6.90321858412453E-005</c:v>
                </c:pt>
                <c:pt idx="119">
                  <c:v>6.94701839888683E-005</c:v>
                </c:pt>
                <c:pt idx="120">
                  <c:v>6.93606365856629E-005</c:v>
                </c:pt>
                <c:pt idx="121">
                  <c:v>7.0265646081274E-005</c:v>
                </c:pt>
                <c:pt idx="122">
                  <c:v>7.08825916718536E-005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Plots!$F$1</c:f>
              <c:strCache>
                <c:ptCount val="1"/>
                <c:pt idx="0">
                  <c:v>170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Plots!$F$3:$F$127</c:f>
              <c:numCache>
                <c:formatCode>General</c:formatCode>
                <c:ptCount val="125"/>
                <c:pt idx="0">
                  <c:v>2083245056901970</c:v>
                </c:pt>
                <c:pt idx="1">
                  <c:v>22520385236250100</c:v>
                </c:pt>
                <c:pt idx="2">
                  <c:v>39983333522947400</c:v>
                </c:pt>
                <c:pt idx="3">
                  <c:v>48303790768154300</c:v>
                </c:pt>
                <c:pt idx="4">
                  <c:v>49784289998804500</c:v>
                </c:pt>
                <c:pt idx="5">
                  <c:v>48848452901848800</c:v>
                </c:pt>
                <c:pt idx="6">
                  <c:v>47265631728713300</c:v>
                </c:pt>
                <c:pt idx="7">
                  <c:v>45595129708619700</c:v>
                </c:pt>
                <c:pt idx="8">
                  <c:v>43904547715014600</c:v>
                </c:pt>
                <c:pt idx="9">
                  <c:v>42241247600908400</c:v>
                </c:pt>
                <c:pt idx="10">
                  <c:v>40578038034824100</c:v>
                </c:pt>
                <c:pt idx="11">
                  <c:v>38949920999238800</c:v>
                </c:pt>
                <c:pt idx="12">
                  <c:v>37346798737151200</c:v>
                </c:pt>
                <c:pt idx="13">
                  <c:v>35799523398595800</c:v>
                </c:pt>
                <c:pt idx="14">
                  <c:v>34270183729745100</c:v>
                </c:pt>
                <c:pt idx="15">
                  <c:v>32785024319908700</c:v>
                </c:pt>
                <c:pt idx="16">
                  <c:v>31353819678248600</c:v>
                </c:pt>
                <c:pt idx="17">
                  <c:v>29951162123170500</c:v>
                </c:pt>
                <c:pt idx="18">
                  <c:v>28596682298503600</c:v>
                </c:pt>
                <c:pt idx="19">
                  <c:v>27288106508742100</c:v>
                </c:pt>
                <c:pt idx="20">
                  <c:v>26023754249958500</c:v>
                </c:pt>
                <c:pt idx="21">
                  <c:v>24810294534225800</c:v>
                </c:pt>
                <c:pt idx="22">
                  <c:v>23645407904859500</c:v>
                </c:pt>
                <c:pt idx="23">
                  <c:v>22523538963829200</c:v>
                </c:pt>
                <c:pt idx="24">
                  <c:v>21440488506264500</c:v>
                </c:pt>
                <c:pt idx="25">
                  <c:v>20405563891702000</c:v>
                </c:pt>
                <c:pt idx="26">
                  <c:v>19414330238962500</c:v>
                </c:pt>
                <c:pt idx="27">
                  <c:v>18457711652346600</c:v>
                </c:pt>
                <c:pt idx="28">
                  <c:v>17543916381510500</c:v>
                </c:pt>
                <c:pt idx="29">
                  <c:v>16676938089598800</c:v>
                </c:pt>
                <c:pt idx="30">
                  <c:v>15847386336253700</c:v>
                </c:pt>
                <c:pt idx="31">
                  <c:v>15062425468484500</c:v>
                </c:pt>
                <c:pt idx="32">
                  <c:v>14305818398829100</c:v>
                </c:pt>
                <c:pt idx="33">
                  <c:v>13580798924577600</c:v>
                </c:pt>
                <c:pt idx="34">
                  <c:v>12897324722797800</c:v>
                </c:pt>
                <c:pt idx="35">
                  <c:v>12235940159558000</c:v>
                </c:pt>
                <c:pt idx="36">
                  <c:v>11610877088217700</c:v>
                </c:pt>
                <c:pt idx="37">
                  <c:v>11009394140573100</c:v>
                </c:pt>
                <c:pt idx="38">
                  <c:v>10441341915508900</c:v>
                </c:pt>
                <c:pt idx="39">
                  <c:v>9904785992818950</c:v>
                </c:pt>
                <c:pt idx="40">
                  <c:v>9386443760853170</c:v>
                </c:pt>
                <c:pt idx="41">
                  <c:v>8903634314580150</c:v>
                </c:pt>
                <c:pt idx="42">
                  <c:v>8443017694494650</c:v>
                </c:pt>
                <c:pt idx="43">
                  <c:v>8000606098463790</c:v>
                </c:pt>
                <c:pt idx="44">
                  <c:v>7579875194515170</c:v>
                </c:pt>
                <c:pt idx="45">
                  <c:v>7183975770453740</c:v>
                </c:pt>
                <c:pt idx="46">
                  <c:v>6800167466337740</c:v>
                </c:pt>
                <c:pt idx="47">
                  <c:v>6437236281994750</c:v>
                </c:pt>
                <c:pt idx="48">
                  <c:v>6102060637760980</c:v>
                </c:pt>
                <c:pt idx="49">
                  <c:v>5775336019201810</c:v>
                </c:pt>
                <c:pt idx="50">
                  <c:v>5465674703035210</c:v>
                </c:pt>
                <c:pt idx="51">
                  <c:v>5171877778568030</c:v>
                </c:pt>
                <c:pt idx="52">
                  <c:v>4889553684762650</c:v>
                </c:pt>
                <c:pt idx="53">
                  <c:v>4623383928154970</c:v>
                </c:pt>
                <c:pt idx="54">
                  <c:v>4377830837194180</c:v>
                </c:pt>
                <c:pt idx="55">
                  <c:v>4137414476996780</c:v>
                </c:pt>
                <c:pt idx="56">
                  <c:v>3916998361465970</c:v>
                </c:pt>
                <c:pt idx="57">
                  <c:v>3698054164376990</c:v>
                </c:pt>
                <c:pt idx="58">
                  <c:v>3496415952727540</c:v>
                </c:pt>
                <c:pt idx="59">
                  <c:v>3298518237212150</c:v>
                </c:pt>
                <c:pt idx="60">
                  <c:v>3114761431551290</c:v>
                </c:pt>
                <c:pt idx="61">
                  <c:v>2945319345722360</c:v>
                </c:pt>
                <c:pt idx="62">
                  <c:v>2777142920622370</c:v>
                </c:pt>
                <c:pt idx="63">
                  <c:v>2615431369826880</c:v>
                </c:pt>
                <c:pt idx="64">
                  <c:v>2472437113723350</c:v>
                </c:pt>
                <c:pt idx="65">
                  <c:v>2330447847275920</c:v>
                </c:pt>
                <c:pt idx="66">
                  <c:v>2197651613653920</c:v>
                </c:pt>
                <c:pt idx="67">
                  <c:v>2076419712466810</c:v>
                </c:pt>
                <c:pt idx="68">
                  <c:v>1962830659580510</c:v>
                </c:pt>
                <c:pt idx="69">
                  <c:v>1846385474009900</c:v>
                </c:pt>
                <c:pt idx="70">
                  <c:v>1741227767304130</c:v>
                </c:pt>
                <c:pt idx="71">
                  <c:v>1638695924009150</c:v>
                </c:pt>
                <c:pt idx="72">
                  <c:v>1540848336177080</c:v>
                </c:pt>
                <c:pt idx="73">
                  <c:v>1455114378077410</c:v>
                </c:pt>
                <c:pt idx="74">
                  <c:v>1371928542823450</c:v>
                </c:pt>
                <c:pt idx="75">
                  <c:v>1290572251965890</c:v>
                </c:pt>
                <c:pt idx="76">
                  <c:v>1213757129986570</c:v>
                </c:pt>
                <c:pt idx="77">
                  <c:v>1141451815465610</c:v>
                </c:pt>
                <c:pt idx="78">
                  <c:v>1075768369140690</c:v>
                </c:pt>
                <c:pt idx="79">
                  <c:v>1006367561259570</c:v>
                </c:pt>
                <c:pt idx="80">
                  <c:v>947807357109094</c:v>
                </c:pt>
                <c:pt idx="81">
                  <c:v>887206655378532</c:v>
                </c:pt>
                <c:pt idx="82">
                  <c:v>835402945142559</c:v>
                </c:pt>
                <c:pt idx="83">
                  <c:v>785776325888305</c:v>
                </c:pt>
                <c:pt idx="84">
                  <c:v>733167687679555</c:v>
                </c:pt>
                <c:pt idx="85">
                  <c:v>688874460388624</c:v>
                </c:pt>
                <c:pt idx="86">
                  <c:v>641411034986735</c:v>
                </c:pt>
                <c:pt idx="87">
                  <c:v>603593529328123</c:v>
                </c:pt>
                <c:pt idx="88">
                  <c:v>570140453216093</c:v>
                </c:pt>
                <c:pt idx="89">
                  <c:v>533136458744200</c:v>
                </c:pt>
                <c:pt idx="90">
                  <c:v>496293115606997</c:v>
                </c:pt>
                <c:pt idx="91">
                  <c:v>467253742445672</c:v>
                </c:pt>
                <c:pt idx="92">
                  <c:v>439347517676295</c:v>
                </c:pt>
                <c:pt idx="93">
                  <c:v>411833784702085</c:v>
                </c:pt>
                <c:pt idx="94">
                  <c:v>377643628820487</c:v>
                </c:pt>
                <c:pt idx="95">
                  <c:v>355155817882732</c:v>
                </c:pt>
                <c:pt idx="96">
                  <c:v>336920444982045</c:v>
                </c:pt>
                <c:pt idx="97">
                  <c:v>311581353720753</c:v>
                </c:pt>
                <c:pt idx="98">
                  <c:v>296193349544969</c:v>
                </c:pt>
                <c:pt idx="99">
                  <c:v>274809630613249</c:v>
                </c:pt>
                <c:pt idx="100">
                  <c:v>254665774167297</c:v>
                </c:pt>
                <c:pt idx="101">
                  <c:v>244080158908838</c:v>
                </c:pt>
                <c:pt idx="102">
                  <c:v>228790147089698</c:v>
                </c:pt>
                <c:pt idx="103">
                  <c:v>213447978055886</c:v>
                </c:pt>
                <c:pt idx="104">
                  <c:v>199947577034517</c:v>
                </c:pt>
                <c:pt idx="105">
                  <c:v>184379829933714</c:v>
                </c:pt>
                <c:pt idx="106">
                  <c:v>169980456085729</c:v>
                </c:pt>
                <c:pt idx="107">
                  <c:v>162053756314865</c:v>
                </c:pt>
                <c:pt idx="108">
                  <c:v>152238996045120</c:v>
                </c:pt>
                <c:pt idx="109">
                  <c:v>148704693806555</c:v>
                </c:pt>
                <c:pt idx="110">
                  <c:v>128790693540738</c:v>
                </c:pt>
                <c:pt idx="111">
                  <c:v>124773142860494</c:v>
                </c:pt>
                <c:pt idx="112">
                  <c:v>115828872205033</c:v>
                </c:pt>
                <c:pt idx="113">
                  <c:v>111875236364281</c:v>
                </c:pt>
                <c:pt idx="114">
                  <c:v>101296154351765</c:v>
                </c:pt>
                <c:pt idx="115">
                  <c:v>98075172930776.6</c:v>
                </c:pt>
                <c:pt idx="116">
                  <c:v>93153519650614.6</c:v>
                </c:pt>
                <c:pt idx="117">
                  <c:v>83193263785928.8</c:v>
                </c:pt>
                <c:pt idx="118">
                  <c:v>82828942301138</c:v>
                </c:pt>
                <c:pt idx="119">
                  <c:v>71904443143391.7</c:v>
                </c:pt>
                <c:pt idx="120">
                  <c:v>67294365955901.8</c:v>
                </c:pt>
                <c:pt idx="121">
                  <c:v>64080289143476.1</c:v>
                </c:pt>
                <c:pt idx="122">
                  <c:v>63473922201534</c:v>
                </c:pt>
                <c:pt idx="123">
                  <c:v>61715697534738.6</c:v>
                </c:pt>
                <c:pt idx="124">
                  <c:v>57714982833505.5</c:v>
                </c:pt>
              </c:numCache>
            </c:numRef>
          </c:xVal>
          <c:yVal>
            <c:numRef>
              <c:f>Plots!$G$3:$G$127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0.000116622623761488</c:v>
                </c:pt>
                <c:pt idx="3">
                  <c:v>0.000110011776315095</c:v>
                </c:pt>
                <c:pt idx="4">
                  <c:v>0.000102467113491918</c:v>
                </c:pt>
                <c:pt idx="5">
                  <c:v>9.89690218262415E-005</c:v>
                </c:pt>
                <c:pt idx="6">
                  <c:v>9.94334116235404E-005</c:v>
                </c:pt>
                <c:pt idx="7">
                  <c:v>0.000101465827196899</c:v>
                </c:pt>
                <c:pt idx="8">
                  <c:v>0.00010372406121951</c:v>
                </c:pt>
                <c:pt idx="9">
                  <c:v>0.000105798461248403</c:v>
                </c:pt>
                <c:pt idx="10">
                  <c:v>0.000107800747400443</c:v>
                </c:pt>
                <c:pt idx="11">
                  <c:v>0.000109664400791386</c:v>
                </c:pt>
                <c:pt idx="12">
                  <c:v>0.000111468162696005</c:v>
                </c:pt>
                <c:pt idx="13">
                  <c:v>0.000113214165040126</c:v>
                </c:pt>
                <c:pt idx="14">
                  <c:v>0.000114817229069326</c:v>
                </c:pt>
                <c:pt idx="15">
                  <c:v>0.000116331863544194</c:v>
                </c:pt>
                <c:pt idx="16">
                  <c:v>0.000117820563681972</c:v>
                </c:pt>
                <c:pt idx="17">
                  <c:v>0.000119160749653242</c:v>
                </c:pt>
                <c:pt idx="18">
                  <c:v>0.000120441709815807</c:v>
                </c:pt>
                <c:pt idx="19">
                  <c:v>0.000121682921674375</c:v>
                </c:pt>
                <c:pt idx="20">
                  <c:v>0.000122776916686102</c:v>
                </c:pt>
                <c:pt idx="21">
                  <c:v>0.000123836786723156</c:v>
                </c:pt>
                <c:pt idx="22">
                  <c:v>0.000124779277501587</c:v>
                </c:pt>
                <c:pt idx="23">
                  <c:v>0.0001256789296564</c:v>
                </c:pt>
                <c:pt idx="24">
                  <c:v>0.000126448045625207</c:v>
                </c:pt>
                <c:pt idx="25">
                  <c:v>0.000127148344609901</c:v>
                </c:pt>
                <c:pt idx="26">
                  <c:v>0.000127776291702086</c:v>
                </c:pt>
                <c:pt idx="27">
                  <c:v>0.000128269486115777</c:v>
                </c:pt>
                <c:pt idx="28">
                  <c:v>0.000128828347365055</c:v>
                </c:pt>
                <c:pt idx="29">
                  <c:v>0.000129423096244212</c:v>
                </c:pt>
                <c:pt idx="30">
                  <c:v>0.000129760003856468</c:v>
                </c:pt>
                <c:pt idx="31">
                  <c:v>0.000130087837604563</c:v>
                </c:pt>
                <c:pt idx="32">
                  <c:v>0.000130287336071161</c:v>
                </c:pt>
                <c:pt idx="33">
                  <c:v>0.000130364769010323</c:v>
                </c:pt>
                <c:pt idx="34">
                  <c:v>0.000130438967489506</c:v>
                </c:pt>
                <c:pt idx="35">
                  <c:v>0.000130399364368332</c:v>
                </c:pt>
                <c:pt idx="36">
                  <c:v>0.000130320909159791</c:v>
                </c:pt>
                <c:pt idx="37">
                  <c:v>0.000130133396101097</c:v>
                </c:pt>
                <c:pt idx="38">
                  <c:v>0.000129911041087672</c:v>
                </c:pt>
                <c:pt idx="39">
                  <c:v>0.000129817554192748</c:v>
                </c:pt>
                <c:pt idx="40">
                  <c:v>0.000129530990671032</c:v>
                </c:pt>
                <c:pt idx="41">
                  <c:v>0.00012930825056013</c:v>
                </c:pt>
                <c:pt idx="42">
                  <c:v>0.000129018330728252</c:v>
                </c:pt>
                <c:pt idx="43">
                  <c:v>0.000128553499335668</c:v>
                </c:pt>
                <c:pt idx="44">
                  <c:v>0.000127989270681705</c:v>
                </c:pt>
                <c:pt idx="45">
                  <c:v>0.000127557383319343</c:v>
                </c:pt>
                <c:pt idx="46">
                  <c:v>0.000126868957385729</c:v>
                </c:pt>
                <c:pt idx="47">
                  <c:v>0.000126270060631447</c:v>
                </c:pt>
                <c:pt idx="48">
                  <c:v>0.00012587705468256</c:v>
                </c:pt>
                <c:pt idx="49">
                  <c:v>0.00012520232012166</c:v>
                </c:pt>
                <c:pt idx="50">
                  <c:v>0.000124411815330228</c:v>
                </c:pt>
                <c:pt idx="51">
                  <c:v>0.000123595694136081</c:v>
                </c:pt>
                <c:pt idx="52">
                  <c:v>0.00012276245934856</c:v>
                </c:pt>
                <c:pt idx="53">
                  <c:v>0.000121934062636621</c:v>
                </c:pt>
                <c:pt idx="54">
                  <c:v>0.00012138781939526</c:v>
                </c:pt>
                <c:pt idx="55">
                  <c:v>0.000120346023491272</c:v>
                </c:pt>
                <c:pt idx="56">
                  <c:v>0.00011966454153146</c:v>
                </c:pt>
                <c:pt idx="57">
                  <c:v>0.000118490892483102</c:v>
                </c:pt>
                <c:pt idx="58">
                  <c:v>0.000117599126588061</c:v>
                </c:pt>
                <c:pt idx="59">
                  <c:v>0.000116725424229392</c:v>
                </c:pt>
                <c:pt idx="60">
                  <c:v>0.00011574920206168</c:v>
                </c:pt>
                <c:pt idx="61">
                  <c:v>0.00011485079960852</c:v>
                </c:pt>
                <c:pt idx="62">
                  <c:v>0.000113964596045963</c:v>
                </c:pt>
                <c:pt idx="63">
                  <c:v>0.000112655665068948</c:v>
                </c:pt>
                <c:pt idx="64">
                  <c:v>0.000111804265506883</c:v>
                </c:pt>
                <c:pt idx="65">
                  <c:v>0.000110625462614021</c:v>
                </c:pt>
                <c:pt idx="66">
                  <c:v>0.000109568362794473</c:v>
                </c:pt>
                <c:pt idx="67">
                  <c:v>0.000108671070641083</c:v>
                </c:pt>
                <c:pt idx="68">
                  <c:v>0.000107885529062212</c:v>
                </c:pt>
                <c:pt idx="69">
                  <c:v>0.000106473766928691</c:v>
                </c:pt>
                <c:pt idx="70">
                  <c:v>0.000105311444365272</c:v>
                </c:pt>
                <c:pt idx="71">
                  <c:v>0.00010400774096018</c:v>
                </c:pt>
                <c:pt idx="72">
                  <c:v>0.000102772843365901</c:v>
                </c:pt>
                <c:pt idx="73">
                  <c:v>0.000101914770802082</c:v>
                </c:pt>
                <c:pt idx="74">
                  <c:v>0.000100911350534555</c:v>
                </c:pt>
                <c:pt idx="75">
                  <c:v>9.94240763112941E-005</c:v>
                </c:pt>
                <c:pt idx="76">
                  <c:v>9.82805747427012E-005</c:v>
                </c:pt>
                <c:pt idx="77">
                  <c:v>9.71279964493018E-005</c:v>
                </c:pt>
                <c:pt idx="78">
                  <c:v>9.60768671109307E-005</c:v>
                </c:pt>
                <c:pt idx="79">
                  <c:v>9.44672026095654E-005</c:v>
                </c:pt>
                <c:pt idx="80">
                  <c:v>9.36670926318198E-005</c:v>
                </c:pt>
                <c:pt idx="81">
                  <c:v>9.22419040852205E-005</c:v>
                </c:pt>
                <c:pt idx="82">
                  <c:v>9.1038268092684E-005</c:v>
                </c:pt>
                <c:pt idx="83">
                  <c:v>8.99330689589469E-005</c:v>
                </c:pt>
                <c:pt idx="84">
                  <c:v>8.82037384632374E-005</c:v>
                </c:pt>
                <c:pt idx="85">
                  <c:v>8.69762208458011E-005</c:v>
                </c:pt>
                <c:pt idx="86">
                  <c:v>8.5354713709055E-005</c:v>
                </c:pt>
                <c:pt idx="87">
                  <c:v>8.46840736462449E-005</c:v>
                </c:pt>
                <c:pt idx="88">
                  <c:v>8.40027727028134E-005</c:v>
                </c:pt>
                <c:pt idx="89">
                  <c:v>8.26277388497083E-005</c:v>
                </c:pt>
                <c:pt idx="90">
                  <c:v>8.09124658987672E-005</c:v>
                </c:pt>
                <c:pt idx="91">
                  <c:v>8.02349342906578E-005</c:v>
                </c:pt>
                <c:pt idx="92">
                  <c:v>7.93379919168646E-005</c:v>
                </c:pt>
                <c:pt idx="93">
                  <c:v>7.82539709085489E-005</c:v>
                </c:pt>
                <c:pt idx="94">
                  <c:v>7.54186113617554E-005</c:v>
                </c:pt>
                <c:pt idx="95">
                  <c:v>7.51991927072996E-005</c:v>
                </c:pt>
                <c:pt idx="96">
                  <c:v>7.55402412543821E-005</c:v>
                </c:pt>
                <c:pt idx="97">
                  <c:v>7.35733280508996E-005</c:v>
                </c:pt>
                <c:pt idx="98">
                  <c:v>7.38055856314002E-005</c:v>
                </c:pt>
                <c:pt idx="99">
                  <c:v>7.20996000580809E-005</c:v>
                </c:pt>
                <c:pt idx="100">
                  <c:v>7.06926342878182E-005</c:v>
                </c:pt>
                <c:pt idx="101">
                  <c:v>7.19384708787732E-005</c:v>
                </c:pt>
                <c:pt idx="102">
                  <c:v>7.13123372324923E-005</c:v>
                </c:pt>
                <c:pt idx="103">
                  <c:v>6.93617041777978E-005</c:v>
                </c:pt>
                <c:pt idx="104">
                  <c:v>6.89739759856529E-005</c:v>
                </c:pt>
                <c:pt idx="105">
                  <c:v>6.70535375149799E-005</c:v>
                </c:pt>
                <c:pt idx="106">
                  <c:v>6.60482487517904E-005</c:v>
                </c:pt>
                <c:pt idx="107">
                  <c:v>6.71624024303766E-005</c:v>
                </c:pt>
                <c:pt idx="108">
                  <c:v>6.63494030119862E-005</c:v>
                </c:pt>
                <c:pt idx="109">
                  <c:v>6.88195100775055E-005</c:v>
                </c:pt>
                <c:pt idx="110">
                  <c:v>6.32288732930145E-005</c:v>
                </c:pt>
                <c:pt idx="111">
                  <c:v>6.55545996894595E-005</c:v>
                </c:pt>
                <c:pt idx="112">
                  <c:v>6.53007330515335E-005</c:v>
                </c:pt>
                <c:pt idx="113">
                  <c:v>6.6210209308925E-005</c:v>
                </c:pt>
                <c:pt idx="114">
                  <c:v>6.48085139314092E-005</c:v>
                </c:pt>
                <c:pt idx="115">
                  <c:v>6.62431249522948E-005</c:v>
                </c:pt>
                <c:pt idx="116">
                  <c:v>6.71401598831394E-005</c:v>
                </c:pt>
                <c:pt idx="117">
                  <c:v>6.24819275353223E-005</c:v>
                </c:pt>
                <c:pt idx="118">
                  <c:v>6.66792137423472E-005</c:v>
                </c:pt>
                <c:pt idx="119">
                  <c:v>6.17437134757694E-005</c:v>
                </c:pt>
                <c:pt idx="120">
                  <c:v>6.17534330366871E-005</c:v>
                </c:pt>
                <c:pt idx="121">
                  <c:v>6.42962525098508E-005</c:v>
                </c:pt>
                <c:pt idx="122">
                  <c:v>6.84610689383649E-005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Plots!$H$1</c:f>
              <c:strCache>
                <c:ptCount val="1"/>
                <c:pt idx="0">
                  <c:v>160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Plots!$H$3:$H$127</c:f>
              <c:numCache>
                <c:formatCode>General</c:formatCode>
                <c:ptCount val="125"/>
                <c:pt idx="0">
                  <c:v>2295468155143520</c:v>
                </c:pt>
                <c:pt idx="1">
                  <c:v>22956688616278600</c:v>
                </c:pt>
                <c:pt idx="2">
                  <c:v>39429211934474100</c:v>
                </c:pt>
                <c:pt idx="3">
                  <c:v>46931154857537400</c:v>
                </c:pt>
                <c:pt idx="4">
                  <c:v>48369762143978200</c:v>
                </c:pt>
                <c:pt idx="5">
                  <c:v>47444486584262500</c:v>
                </c:pt>
                <c:pt idx="6">
                  <c:v>45922820282246600</c:v>
                </c:pt>
                <c:pt idx="7">
                  <c:v>44282226773476400</c:v>
                </c:pt>
                <c:pt idx="8">
                  <c:v>42605834644268600</c:v>
                </c:pt>
                <c:pt idx="9">
                  <c:v>40941976762104600</c:v>
                </c:pt>
                <c:pt idx="10">
                  <c:v>39304205269420400</c:v>
                </c:pt>
                <c:pt idx="11">
                  <c:v>37685689197192400</c:v>
                </c:pt>
                <c:pt idx="12">
                  <c:v>36099267904791900</c:v>
                </c:pt>
                <c:pt idx="13">
                  <c:v>34554176140008900</c:v>
                </c:pt>
                <c:pt idx="14">
                  <c:v>33052029911112100</c:v>
                </c:pt>
                <c:pt idx="15">
                  <c:v>31595393814813500</c:v>
                </c:pt>
                <c:pt idx="16">
                  <c:v>30185500735995400</c:v>
                </c:pt>
                <c:pt idx="17">
                  <c:v>28812326578367700</c:v>
                </c:pt>
                <c:pt idx="18">
                  <c:v>27485040802955700</c:v>
                </c:pt>
                <c:pt idx="19">
                  <c:v>26205437798634900</c:v>
                </c:pt>
                <c:pt idx="20">
                  <c:v>24976206341818300</c:v>
                </c:pt>
                <c:pt idx="21">
                  <c:v>23787895632084000</c:v>
                </c:pt>
                <c:pt idx="22">
                  <c:v>22650235716166100</c:v>
                </c:pt>
                <c:pt idx="23">
                  <c:v>21558076348020500</c:v>
                </c:pt>
                <c:pt idx="24">
                  <c:v>20502367425995100</c:v>
                </c:pt>
                <c:pt idx="25">
                  <c:v>19506393479740900</c:v>
                </c:pt>
                <c:pt idx="26">
                  <c:v>18547413745069300</c:v>
                </c:pt>
                <c:pt idx="27">
                  <c:v>17622217012279300</c:v>
                </c:pt>
                <c:pt idx="28">
                  <c:v>16737875913813200</c:v>
                </c:pt>
                <c:pt idx="29">
                  <c:v>15901662722765500</c:v>
                </c:pt>
                <c:pt idx="30">
                  <c:v>15099262651278200</c:v>
                </c:pt>
                <c:pt idx="31">
                  <c:v>14343636962303400</c:v>
                </c:pt>
                <c:pt idx="32">
                  <c:v>13607680152058900</c:v>
                </c:pt>
                <c:pt idx="33">
                  <c:v>12914149241889700</c:v>
                </c:pt>
                <c:pt idx="34">
                  <c:v>12250785067243900</c:v>
                </c:pt>
                <c:pt idx="35">
                  <c:v>11616712631766200</c:v>
                </c:pt>
                <c:pt idx="36">
                  <c:v>11019067533397100</c:v>
                </c:pt>
                <c:pt idx="37">
                  <c:v>10440585354209700</c:v>
                </c:pt>
                <c:pt idx="38">
                  <c:v>9903510503286740</c:v>
                </c:pt>
                <c:pt idx="39">
                  <c:v>9383153407774650</c:v>
                </c:pt>
                <c:pt idx="40">
                  <c:v>8888977301975570</c:v>
                </c:pt>
                <c:pt idx="41">
                  <c:v>8420691044651710</c:v>
                </c:pt>
                <c:pt idx="42">
                  <c:v>7977962537577480</c:v>
                </c:pt>
                <c:pt idx="43">
                  <c:v>7555155177446670</c:v>
                </c:pt>
                <c:pt idx="44">
                  <c:v>7154754432801300</c:v>
                </c:pt>
                <c:pt idx="45">
                  <c:v>6771586296382940</c:v>
                </c:pt>
                <c:pt idx="46">
                  <c:v>6408349172268610</c:v>
                </c:pt>
                <c:pt idx="47">
                  <c:v>6070028700195090</c:v>
                </c:pt>
                <c:pt idx="48">
                  <c:v>5737896179176970</c:v>
                </c:pt>
                <c:pt idx="49">
                  <c:v>5431360942819020</c:v>
                </c:pt>
                <c:pt idx="50">
                  <c:v>5143264924751730</c:v>
                </c:pt>
                <c:pt idx="51">
                  <c:v>4865665580848520</c:v>
                </c:pt>
                <c:pt idx="52">
                  <c:v>4600609046829620</c:v>
                </c:pt>
                <c:pt idx="53">
                  <c:v>4347129512626450</c:v>
                </c:pt>
                <c:pt idx="54">
                  <c:v>4109113941537080</c:v>
                </c:pt>
                <c:pt idx="55">
                  <c:v>3885253467726710</c:v>
                </c:pt>
                <c:pt idx="56">
                  <c:v>3670260599047440</c:v>
                </c:pt>
                <c:pt idx="57">
                  <c:v>3466004787537580</c:v>
                </c:pt>
                <c:pt idx="58">
                  <c:v>3278179783710850</c:v>
                </c:pt>
                <c:pt idx="59">
                  <c:v>3092581065639720</c:v>
                </c:pt>
                <c:pt idx="60">
                  <c:v>2922536900492570</c:v>
                </c:pt>
                <c:pt idx="61">
                  <c:v>2754298549520940</c:v>
                </c:pt>
                <c:pt idx="62">
                  <c:v>2599339346290570</c:v>
                </c:pt>
                <c:pt idx="63">
                  <c:v>2447591225610270</c:v>
                </c:pt>
                <c:pt idx="64">
                  <c:v>2313619475634200</c:v>
                </c:pt>
                <c:pt idx="65">
                  <c:v>2184034918269370</c:v>
                </c:pt>
                <c:pt idx="66">
                  <c:v>2062348967739380</c:v>
                </c:pt>
                <c:pt idx="67">
                  <c:v>1948797842120480</c:v>
                </c:pt>
                <c:pt idx="68">
                  <c:v>1834705201951160</c:v>
                </c:pt>
                <c:pt idx="69">
                  <c:v>1731567276085190</c:v>
                </c:pt>
                <c:pt idx="70">
                  <c:v>1628448219617590</c:v>
                </c:pt>
                <c:pt idx="71">
                  <c:v>1535284156825300</c:v>
                </c:pt>
                <c:pt idx="72">
                  <c:v>1445611911449310</c:v>
                </c:pt>
                <c:pt idx="73">
                  <c:v>1359303750656120</c:v>
                </c:pt>
                <c:pt idx="74">
                  <c:v>1280366486416680</c:v>
                </c:pt>
                <c:pt idx="75">
                  <c:v>1200241178502920</c:v>
                </c:pt>
                <c:pt idx="76">
                  <c:v>1131939020969150</c:v>
                </c:pt>
                <c:pt idx="77">
                  <c:v>1062070692668500</c:v>
                </c:pt>
                <c:pt idx="78">
                  <c:v>997806573588993</c:v>
                </c:pt>
                <c:pt idx="79">
                  <c:v>943712493977464</c:v>
                </c:pt>
                <c:pt idx="80">
                  <c:v>885046379709062</c:v>
                </c:pt>
                <c:pt idx="81">
                  <c:v>828248514150924</c:v>
                </c:pt>
                <c:pt idx="82">
                  <c:v>777942665240699</c:v>
                </c:pt>
                <c:pt idx="83">
                  <c:v>728294480321692</c:v>
                </c:pt>
                <c:pt idx="84">
                  <c:v>685933079264177</c:v>
                </c:pt>
                <c:pt idx="85">
                  <c:v>643799154814647</c:v>
                </c:pt>
                <c:pt idx="86">
                  <c:v>603603795319946</c:v>
                </c:pt>
                <c:pt idx="87">
                  <c:v>565400785209995</c:v>
                </c:pt>
                <c:pt idx="88">
                  <c:v>529362121891818</c:v>
                </c:pt>
                <c:pt idx="89">
                  <c:v>494185387584972</c:v>
                </c:pt>
                <c:pt idx="90">
                  <c:v>461871292714314</c:v>
                </c:pt>
                <c:pt idx="91">
                  <c:v>435172574369302</c:v>
                </c:pt>
                <c:pt idx="92">
                  <c:v>407263513386168</c:v>
                </c:pt>
                <c:pt idx="93">
                  <c:v>380434840798052</c:v>
                </c:pt>
                <c:pt idx="94">
                  <c:v>350934835359371</c:v>
                </c:pt>
                <c:pt idx="95">
                  <c:v>337806350127828</c:v>
                </c:pt>
                <c:pt idx="96">
                  <c:v>318067397568656</c:v>
                </c:pt>
                <c:pt idx="97">
                  <c:v>292374386614646</c:v>
                </c:pt>
                <c:pt idx="98">
                  <c:v>282548778531366</c:v>
                </c:pt>
                <c:pt idx="99">
                  <c:v>260571512456065</c:v>
                </c:pt>
                <c:pt idx="100">
                  <c:v>238554515445011</c:v>
                </c:pt>
                <c:pt idx="101">
                  <c:v>226764662163231</c:v>
                </c:pt>
                <c:pt idx="102">
                  <c:v>207052569728725</c:v>
                </c:pt>
                <c:pt idx="103">
                  <c:v>200289818347786</c:v>
                </c:pt>
                <c:pt idx="104">
                  <c:v>189394863999175</c:v>
                </c:pt>
                <c:pt idx="105">
                  <c:v>177571601055447</c:v>
                </c:pt>
                <c:pt idx="106">
                  <c:v>164942089058725</c:v>
                </c:pt>
                <c:pt idx="107">
                  <c:v>148016670053408</c:v>
                </c:pt>
                <c:pt idx="108">
                  <c:v>142320114520044</c:v>
                </c:pt>
                <c:pt idx="109">
                  <c:v>133429223175518</c:v>
                </c:pt>
                <c:pt idx="110">
                  <c:v>124542532588011</c:v>
                </c:pt>
                <c:pt idx="111">
                  <c:v>120188190674729</c:v>
                </c:pt>
                <c:pt idx="112">
                  <c:v>113861664775144</c:v>
                </c:pt>
                <c:pt idx="113">
                  <c:v>105101153838796</c:v>
                </c:pt>
                <c:pt idx="114">
                  <c:v>105623235802506</c:v>
                </c:pt>
                <c:pt idx="115">
                  <c:v>95533648112965.5</c:v>
                </c:pt>
                <c:pt idx="116">
                  <c:v>84060146769427.2</c:v>
                </c:pt>
                <c:pt idx="117">
                  <c:v>80932545240135.7</c:v>
                </c:pt>
                <c:pt idx="118">
                  <c:v>76416039551673.5</c:v>
                </c:pt>
                <c:pt idx="119">
                  <c:v>74042498559501.8</c:v>
                </c:pt>
                <c:pt idx="120">
                  <c:v>68833864096753.3</c:v>
                </c:pt>
                <c:pt idx="121">
                  <c:v>61660765187091.7</c:v>
                </c:pt>
                <c:pt idx="122">
                  <c:v>62643964443850.3</c:v>
                </c:pt>
                <c:pt idx="123">
                  <c:v>55011949792600.7</c:v>
                </c:pt>
                <c:pt idx="124">
                  <c:v>53220236068412.1</c:v>
                </c:pt>
              </c:numCache>
            </c:numRef>
          </c:xVal>
          <c:yVal>
            <c:numRef>
              <c:f>Plots!$I$3:$I$127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0.000113468366034446</c:v>
                </c:pt>
                <c:pt idx="3">
                  <c:v>0.00010673119608438</c:v>
                </c:pt>
                <c:pt idx="4">
                  <c:v>9.99835114240106E-005</c:v>
                </c:pt>
                <c:pt idx="5">
                  <c:v>9.70138098927052E-005</c:v>
                </c:pt>
                <c:pt idx="6">
                  <c:v>9.75454408375638E-005</c:v>
                </c:pt>
                <c:pt idx="7">
                  <c:v>9.9468362593821E-005</c:v>
                </c:pt>
                <c:pt idx="8">
                  <c:v>0.000101556513262327</c:v>
                </c:pt>
                <c:pt idx="9">
                  <c:v>0.000103489011287167</c:v>
                </c:pt>
                <c:pt idx="10">
                  <c:v>0.00010538794213601</c:v>
                </c:pt>
                <c:pt idx="11">
                  <c:v>0.000107127257033346</c:v>
                </c:pt>
                <c:pt idx="12">
                  <c:v>0.000108819976660183</c:v>
                </c:pt>
                <c:pt idx="13">
                  <c:v>0.0001104113114818</c:v>
                </c:pt>
                <c:pt idx="14">
                  <c:v>0.00011190791978885</c:v>
                </c:pt>
                <c:pt idx="15">
                  <c:v>0.000113303422847333</c:v>
                </c:pt>
                <c:pt idx="16">
                  <c:v>0.000114639397286493</c:v>
                </c:pt>
                <c:pt idx="17">
                  <c:v>0.000115862240991294</c:v>
                </c:pt>
                <c:pt idx="18">
                  <c:v>0.000117013725810142</c:v>
                </c:pt>
                <c:pt idx="19">
                  <c:v>0.000118103553678715</c:v>
                </c:pt>
                <c:pt idx="20">
                  <c:v>0.000119105435671363</c:v>
                </c:pt>
                <c:pt idx="21">
                  <c:v>0.000119979430086076</c:v>
                </c:pt>
                <c:pt idx="22">
                  <c:v>0.000120787619038006</c:v>
                </c:pt>
                <c:pt idx="23">
                  <c:v>0.00012154691224735</c:v>
                </c:pt>
                <c:pt idx="24">
                  <c:v>0.000122192750369267</c:v>
                </c:pt>
                <c:pt idx="25">
                  <c:v>0.000122815409843142</c:v>
                </c:pt>
                <c:pt idx="26">
                  <c:v>0.000123321334364032</c:v>
                </c:pt>
                <c:pt idx="27">
                  <c:v>0.000123680648818244</c:v>
                </c:pt>
                <c:pt idx="28">
                  <c:v>0.000124148886567637</c:v>
                </c:pt>
                <c:pt idx="29">
                  <c:v>0.000124604404322467</c:v>
                </c:pt>
                <c:pt idx="30">
                  <c:v>0.00012481588764227</c:v>
                </c:pt>
                <c:pt idx="31">
                  <c:v>0.000125061540035946</c:v>
                </c:pt>
                <c:pt idx="32">
                  <c:v>0.000125099582108604</c:v>
                </c:pt>
                <c:pt idx="33">
                  <c:v>0.000125110540701798</c:v>
                </c:pt>
                <c:pt idx="34">
                  <c:v>0.000125052657142944</c:v>
                </c:pt>
                <c:pt idx="35">
                  <c:v>0.000124905033124293</c:v>
                </c:pt>
                <c:pt idx="36">
                  <c:v>0.000124821668943148</c:v>
                </c:pt>
                <c:pt idx="37">
                  <c:v>0.000124507489946751</c:v>
                </c:pt>
                <c:pt idx="38">
                  <c:v>0.000124315778113276</c:v>
                </c:pt>
                <c:pt idx="39">
                  <c:v>0.000124097679800363</c:v>
                </c:pt>
                <c:pt idx="40">
                  <c:v>0.000123741361582926</c:v>
                </c:pt>
                <c:pt idx="41">
                  <c:v>0.000123311968849369</c:v>
                </c:pt>
                <c:pt idx="42">
                  <c:v>0.000122941848085827</c:v>
                </c:pt>
                <c:pt idx="43">
                  <c:v>0.00012245243436165</c:v>
                </c:pt>
                <c:pt idx="44">
                  <c:v>0.000121947403758445</c:v>
                </c:pt>
                <c:pt idx="45">
                  <c:v>0.000121303729207163</c:v>
                </c:pt>
                <c:pt idx="46">
                  <c:v>0.000120645814210907</c:v>
                </c:pt>
                <c:pt idx="47">
                  <c:v>0.000120162106504883</c:v>
                </c:pt>
                <c:pt idx="48">
                  <c:v>0.000119334069702506</c:v>
                </c:pt>
                <c:pt idx="49">
                  <c:v>0.000118736873336953</c:v>
                </c:pt>
                <c:pt idx="50">
                  <c:v>0.000118134515766282</c:v>
                </c:pt>
                <c:pt idx="51">
                  <c:v>0.000117348483399337</c:v>
                </c:pt>
                <c:pt idx="52">
                  <c:v>0.000116467620691363</c:v>
                </c:pt>
                <c:pt idx="53">
                  <c:v>0.000115614200693439</c:v>
                </c:pt>
                <c:pt idx="54">
                  <c:v>0.000114751869832031</c:v>
                </c:pt>
                <c:pt idx="55">
                  <c:v>0.000113910542424792</c:v>
                </c:pt>
                <c:pt idx="56">
                  <c:v>0.000113005435426439</c:v>
                </c:pt>
                <c:pt idx="57">
                  <c:v>0.000111991161321242</c:v>
                </c:pt>
                <c:pt idx="58">
                  <c:v>0.000111245882724687</c:v>
                </c:pt>
                <c:pt idx="59">
                  <c:v>0.00011023279164359</c:v>
                </c:pt>
                <c:pt idx="60">
                  <c:v>0.000109242721062485</c:v>
                </c:pt>
                <c:pt idx="61">
                  <c:v>0.000108124539707429</c:v>
                </c:pt>
                <c:pt idx="62">
                  <c:v>0.000107253424085897</c:v>
                </c:pt>
                <c:pt idx="63">
                  <c:v>0.000106262269102979</c:v>
                </c:pt>
                <c:pt idx="64">
                  <c:v>0.000105451287530294</c:v>
                </c:pt>
                <c:pt idx="65">
                  <c:v>0.000104537471189504</c:v>
                </c:pt>
                <c:pt idx="66">
                  <c:v>0.000103572451966105</c:v>
                </c:pt>
                <c:pt idx="67">
                  <c:v>0.00010259228395735</c:v>
                </c:pt>
                <c:pt idx="68">
                  <c:v>0.000101498257735632</c:v>
                </c:pt>
                <c:pt idx="69">
                  <c:v>0.000100489455482423</c:v>
                </c:pt>
                <c:pt idx="70">
                  <c:v>9.92684404263979E-005</c:v>
                </c:pt>
                <c:pt idx="71">
                  <c:v>9.81367367030528E-005</c:v>
                </c:pt>
                <c:pt idx="72">
                  <c:v>9.69718353011777E-005</c:v>
                </c:pt>
                <c:pt idx="73">
                  <c:v>9.56235335980532E-005</c:v>
                </c:pt>
                <c:pt idx="74">
                  <c:v>9.44379438537901E-005</c:v>
                </c:pt>
                <c:pt idx="75">
                  <c:v>9.31590662200261E-005</c:v>
                </c:pt>
                <c:pt idx="76">
                  <c:v>9.21202883167703E-005</c:v>
                </c:pt>
                <c:pt idx="77">
                  <c:v>9.09762502369659E-005</c:v>
                </c:pt>
                <c:pt idx="78">
                  <c:v>8.99634797233834E-005</c:v>
                </c:pt>
                <c:pt idx="79">
                  <c:v>8.93243804272522E-005</c:v>
                </c:pt>
                <c:pt idx="80">
                  <c:v>8.80639264419164E-005</c:v>
                </c:pt>
                <c:pt idx="81">
                  <c:v>8.64916739375888E-005</c:v>
                </c:pt>
                <c:pt idx="82">
                  <c:v>8.53697089270568E-005</c:v>
                </c:pt>
                <c:pt idx="83">
                  <c:v>8.40276784995663E-005</c:v>
                </c:pt>
                <c:pt idx="84">
                  <c:v>8.31622592760517E-005</c:v>
                </c:pt>
                <c:pt idx="85">
                  <c:v>8.21065212936042E-005</c:v>
                </c:pt>
                <c:pt idx="86">
                  <c:v>8.05166135389258E-005</c:v>
                </c:pt>
                <c:pt idx="87">
                  <c:v>7.94705435203017E-005</c:v>
                </c:pt>
                <c:pt idx="88">
                  <c:v>7.82426577123485E-005</c:v>
                </c:pt>
                <c:pt idx="89">
                  <c:v>7.69600258486533E-005</c:v>
                </c:pt>
                <c:pt idx="90">
                  <c:v>7.57235621259865E-005</c:v>
                </c:pt>
                <c:pt idx="91">
                  <c:v>7.53353502418973E-005</c:v>
                </c:pt>
                <c:pt idx="92">
                  <c:v>7.41889168490532E-005</c:v>
                </c:pt>
                <c:pt idx="93">
                  <c:v>7.31514143786357E-005</c:v>
                </c:pt>
                <c:pt idx="94">
                  <c:v>7.14104190846628E-005</c:v>
                </c:pt>
                <c:pt idx="95">
                  <c:v>7.24023593239814E-005</c:v>
                </c:pt>
                <c:pt idx="96">
                  <c:v>7.18145938648226E-005</c:v>
                </c:pt>
                <c:pt idx="97">
                  <c:v>6.94281147702608E-005</c:v>
                </c:pt>
                <c:pt idx="98">
                  <c:v>7.03371254456641E-005</c:v>
                </c:pt>
                <c:pt idx="99">
                  <c:v>6.84685363121402E-005</c:v>
                </c:pt>
                <c:pt idx="100">
                  <c:v>6.57643131967561E-005</c:v>
                </c:pt>
                <c:pt idx="101">
                  <c:v>6.68709386957629E-005</c:v>
                </c:pt>
                <c:pt idx="102">
                  <c:v>6.47775081812597E-005</c:v>
                </c:pt>
                <c:pt idx="103">
                  <c:v>6.60936346951379E-005</c:v>
                </c:pt>
                <c:pt idx="104">
                  <c:v>6.64012739170617E-005</c:v>
                </c:pt>
                <c:pt idx="105">
                  <c:v>6.51456484944537E-005</c:v>
                </c:pt>
                <c:pt idx="106">
                  <c:v>6.3995733275391E-005</c:v>
                </c:pt>
                <c:pt idx="107">
                  <c:v>6.10658931838784E-005</c:v>
                </c:pt>
                <c:pt idx="108">
                  <c:v>6.24364560696771E-005</c:v>
                </c:pt>
                <c:pt idx="109">
                  <c:v>6.26851366456519E-005</c:v>
                </c:pt>
                <c:pt idx="110">
                  <c:v>6.20181776048308E-005</c:v>
                </c:pt>
                <c:pt idx="111">
                  <c:v>6.33618490157297E-005</c:v>
                </c:pt>
                <c:pt idx="112">
                  <c:v>6.41848689066957E-005</c:v>
                </c:pt>
                <c:pt idx="113">
                  <c:v>6.28126949592633E-005</c:v>
                </c:pt>
                <c:pt idx="114">
                  <c:v>6.61459145527129E-005</c:v>
                </c:pt>
                <c:pt idx="115">
                  <c:v>6.3420035146335E-005</c:v>
                </c:pt>
                <c:pt idx="116">
                  <c:v>5.9039735898068E-005</c:v>
                </c:pt>
                <c:pt idx="117">
                  <c:v>6.11830140488864E-005</c:v>
                </c:pt>
                <c:pt idx="118">
                  <c:v>6.26416136062158E-005</c:v>
                </c:pt>
                <c:pt idx="119">
                  <c:v>6.32571490790456E-005</c:v>
                </c:pt>
                <c:pt idx="120">
                  <c:v>6.4144123248674E-005</c:v>
                </c:pt>
                <c:pt idx="121">
                  <c:v>6.03092640021359E-005</c:v>
                </c:pt>
                <c:pt idx="122">
                  <c:v>6.66022643514484E-005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Plots!$J$1</c:f>
              <c:strCache>
                <c:ptCount val="1"/>
                <c:pt idx="0">
                  <c:v>145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Plots!$J$3:$J$127</c:f>
              <c:numCache>
                <c:formatCode>General</c:formatCode>
                <c:ptCount val="125"/>
                <c:pt idx="0">
                  <c:v>8817125582214000</c:v>
                </c:pt>
                <c:pt idx="1">
                  <c:v>30528706741350800</c:v>
                </c:pt>
                <c:pt idx="2">
                  <c:v>41582408933647600</c:v>
                </c:pt>
                <c:pt idx="3">
                  <c:v>46134723534879700</c:v>
                </c:pt>
                <c:pt idx="4">
                  <c:v>46173316152389300</c:v>
                </c:pt>
                <c:pt idx="5">
                  <c:v>44975285204289000</c:v>
                </c:pt>
                <c:pt idx="6">
                  <c:v>43440839918597900</c:v>
                </c:pt>
                <c:pt idx="7">
                  <c:v>41831517265267900</c:v>
                </c:pt>
                <c:pt idx="8">
                  <c:v>40211300709259800</c:v>
                </c:pt>
                <c:pt idx="9">
                  <c:v>38596909030547900</c:v>
                </c:pt>
                <c:pt idx="10">
                  <c:v>37008972824052800</c:v>
                </c:pt>
                <c:pt idx="11">
                  <c:v>35440683723895500</c:v>
                </c:pt>
                <c:pt idx="12">
                  <c:v>33898708952774400</c:v>
                </c:pt>
                <c:pt idx="13">
                  <c:v>32405216368133100</c:v>
                </c:pt>
                <c:pt idx="14">
                  <c:v>30956277080293300</c:v>
                </c:pt>
                <c:pt idx="15">
                  <c:v>29551541652251100</c:v>
                </c:pt>
                <c:pt idx="16">
                  <c:v>28188887795635500</c:v>
                </c:pt>
                <c:pt idx="17">
                  <c:v>26877713166307000</c:v>
                </c:pt>
                <c:pt idx="18">
                  <c:v>25607801534291400</c:v>
                </c:pt>
                <c:pt idx="19">
                  <c:v>24385845270485100</c:v>
                </c:pt>
                <c:pt idx="20">
                  <c:v>23208545817077000</c:v>
                </c:pt>
                <c:pt idx="21">
                  <c:v>22080028687181800</c:v>
                </c:pt>
                <c:pt idx="22">
                  <c:v>20996413619782500</c:v>
                </c:pt>
                <c:pt idx="23">
                  <c:v>19949362161640800</c:v>
                </c:pt>
                <c:pt idx="24">
                  <c:v>18951778735730900</c:v>
                </c:pt>
                <c:pt idx="25">
                  <c:v>18000295872241200</c:v>
                </c:pt>
                <c:pt idx="26">
                  <c:v>17092688565952700</c:v>
                </c:pt>
                <c:pt idx="27">
                  <c:v>16215377053348200</c:v>
                </c:pt>
                <c:pt idx="28">
                  <c:v>15383903405436100</c:v>
                </c:pt>
                <c:pt idx="29">
                  <c:v>14593304077841400</c:v>
                </c:pt>
                <c:pt idx="30">
                  <c:v>13841442025032100</c:v>
                </c:pt>
                <c:pt idx="31">
                  <c:v>13123085201058100</c:v>
                </c:pt>
                <c:pt idx="32">
                  <c:v>12437299313556400</c:v>
                </c:pt>
                <c:pt idx="33">
                  <c:v>11787879151096700</c:v>
                </c:pt>
                <c:pt idx="34">
                  <c:v>11172349991404500</c:v>
                </c:pt>
                <c:pt idx="35">
                  <c:v>10582052169258400</c:v>
                </c:pt>
                <c:pt idx="36">
                  <c:v>10016589572694300</c:v>
                </c:pt>
                <c:pt idx="37">
                  <c:v>9486209435851140</c:v>
                </c:pt>
                <c:pt idx="38">
                  <c:v>8978127391525000</c:v>
                </c:pt>
                <c:pt idx="39">
                  <c:v>8494443426432140</c:v>
                </c:pt>
                <c:pt idx="40">
                  <c:v>8037915377499570</c:v>
                </c:pt>
                <c:pt idx="41">
                  <c:v>7603821449672410</c:v>
                </c:pt>
                <c:pt idx="42">
                  <c:v>7196682073529160</c:v>
                </c:pt>
                <c:pt idx="43">
                  <c:v>6810241992467520</c:v>
                </c:pt>
                <c:pt idx="44">
                  <c:v>6439342450273140</c:v>
                </c:pt>
                <c:pt idx="45">
                  <c:v>6086830746368530</c:v>
                </c:pt>
                <c:pt idx="46">
                  <c:v>5755733039410550</c:v>
                </c:pt>
                <c:pt idx="47">
                  <c:v>5441038047126030</c:v>
                </c:pt>
                <c:pt idx="48">
                  <c:v>5141508915199400</c:v>
                </c:pt>
                <c:pt idx="49">
                  <c:v>4860780476870350</c:v>
                </c:pt>
                <c:pt idx="50">
                  <c:v>4593441911791370</c:v>
                </c:pt>
                <c:pt idx="51">
                  <c:v>4333866896651600</c:v>
                </c:pt>
                <c:pt idx="52">
                  <c:v>4093151927622930</c:v>
                </c:pt>
                <c:pt idx="53">
                  <c:v>3862706029003170</c:v>
                </c:pt>
                <c:pt idx="54">
                  <c:v>3653788191290190</c:v>
                </c:pt>
                <c:pt idx="55">
                  <c:v>3446761242375340</c:v>
                </c:pt>
                <c:pt idx="56">
                  <c:v>3255291000946770</c:v>
                </c:pt>
                <c:pt idx="57">
                  <c:v>3067183168343850</c:v>
                </c:pt>
                <c:pt idx="58">
                  <c:v>2897466018658970</c:v>
                </c:pt>
                <c:pt idx="59">
                  <c:v>2731024079044710</c:v>
                </c:pt>
                <c:pt idx="60">
                  <c:v>2576647585953760</c:v>
                </c:pt>
                <c:pt idx="61">
                  <c:v>2429400884677030</c:v>
                </c:pt>
                <c:pt idx="62">
                  <c:v>2292665802812860</c:v>
                </c:pt>
                <c:pt idx="63">
                  <c:v>2157752089941170</c:v>
                </c:pt>
                <c:pt idx="64">
                  <c:v>2036422310062290</c:v>
                </c:pt>
                <c:pt idx="65">
                  <c:v>1917509886792180</c:v>
                </c:pt>
                <c:pt idx="66">
                  <c:v>1806493058662100</c:v>
                </c:pt>
                <c:pt idx="67">
                  <c:v>1702138421820520</c:v>
                </c:pt>
                <c:pt idx="68">
                  <c:v>1600452041191280</c:v>
                </c:pt>
                <c:pt idx="69">
                  <c:v>1512629186583320</c:v>
                </c:pt>
                <c:pt idx="70">
                  <c:v>1423394620520620</c:v>
                </c:pt>
                <c:pt idx="71">
                  <c:v>1339571756248860</c:v>
                </c:pt>
                <c:pt idx="72">
                  <c:v>1260845152573570</c:v>
                </c:pt>
                <c:pt idx="73">
                  <c:v>1183046089328430</c:v>
                </c:pt>
                <c:pt idx="74">
                  <c:v>1112088066926260</c:v>
                </c:pt>
                <c:pt idx="75">
                  <c:v>1047716267483030</c:v>
                </c:pt>
                <c:pt idx="76">
                  <c:v>985006408096687</c:v>
                </c:pt>
                <c:pt idx="77">
                  <c:v>924673260816509</c:v>
                </c:pt>
                <c:pt idx="78">
                  <c:v>868649770045304</c:v>
                </c:pt>
                <c:pt idx="79">
                  <c:v>817747021843727</c:v>
                </c:pt>
                <c:pt idx="80">
                  <c:v>768462904203446</c:v>
                </c:pt>
                <c:pt idx="81">
                  <c:v>722393055999431</c:v>
                </c:pt>
                <c:pt idx="82">
                  <c:v>676991347506068</c:v>
                </c:pt>
                <c:pt idx="83">
                  <c:v>635392464678725</c:v>
                </c:pt>
                <c:pt idx="84">
                  <c:v>595221600550628</c:v>
                </c:pt>
                <c:pt idx="85">
                  <c:v>555538768077515</c:v>
                </c:pt>
                <c:pt idx="86">
                  <c:v>516508583371057</c:v>
                </c:pt>
                <c:pt idx="87">
                  <c:v>483007139107727</c:v>
                </c:pt>
                <c:pt idx="88">
                  <c:v>453703231793411</c:v>
                </c:pt>
                <c:pt idx="89">
                  <c:v>425850863062396</c:v>
                </c:pt>
                <c:pt idx="90">
                  <c:v>395620573487249</c:v>
                </c:pt>
                <c:pt idx="91">
                  <c:v>374702738497308</c:v>
                </c:pt>
                <c:pt idx="92">
                  <c:v>346382134465617</c:v>
                </c:pt>
                <c:pt idx="93">
                  <c:v>327736794984547</c:v>
                </c:pt>
                <c:pt idx="94">
                  <c:v>302242998960593</c:v>
                </c:pt>
                <c:pt idx="95">
                  <c:v>279278079182082</c:v>
                </c:pt>
                <c:pt idx="96">
                  <c:v>270140454101322</c:v>
                </c:pt>
                <c:pt idx="97">
                  <c:v>241557435849061</c:v>
                </c:pt>
                <c:pt idx="98">
                  <c:v>225216881849724</c:v>
                </c:pt>
                <c:pt idx="99">
                  <c:v>217566062117403</c:v>
                </c:pt>
                <c:pt idx="100">
                  <c:v>197936354752818</c:v>
                </c:pt>
                <c:pt idx="101">
                  <c:v>188562182995659</c:v>
                </c:pt>
                <c:pt idx="102">
                  <c:v>171665883109531</c:v>
                </c:pt>
                <c:pt idx="103">
                  <c:v>163116238350354</c:v>
                </c:pt>
                <c:pt idx="104">
                  <c:v>152676559814564</c:v>
                </c:pt>
                <c:pt idx="105">
                  <c:v>143864355524081</c:v>
                </c:pt>
                <c:pt idx="106">
                  <c:v>138244244079162</c:v>
                </c:pt>
                <c:pt idx="107">
                  <c:v>125065437628646</c:v>
                </c:pt>
                <c:pt idx="108">
                  <c:v>115241688335734</c:v>
                </c:pt>
                <c:pt idx="109">
                  <c:v>111950008564060</c:v>
                </c:pt>
                <c:pt idx="110">
                  <c:v>108605878297461</c:v>
                </c:pt>
                <c:pt idx="111">
                  <c:v>97175722062536.4</c:v>
                </c:pt>
                <c:pt idx="112">
                  <c:v>87962472076874</c:v>
                </c:pt>
                <c:pt idx="113">
                  <c:v>85969676335426.7</c:v>
                </c:pt>
                <c:pt idx="114">
                  <c:v>79724130665080.1</c:v>
                </c:pt>
                <c:pt idx="115">
                  <c:v>72459197517987.2</c:v>
                </c:pt>
                <c:pt idx="116">
                  <c:v>72028728321269.1</c:v>
                </c:pt>
                <c:pt idx="117">
                  <c:v>69984667516115.8</c:v>
                </c:pt>
                <c:pt idx="118">
                  <c:v>65897330770320.1</c:v>
                </c:pt>
                <c:pt idx="119">
                  <c:v>61542654338053.1</c:v>
                </c:pt>
                <c:pt idx="120">
                  <c:v>59446539573983</c:v>
                </c:pt>
                <c:pt idx="121">
                  <c:v>57834453625204.2</c:v>
                </c:pt>
                <c:pt idx="122">
                  <c:v>46287789932291.4</c:v>
                </c:pt>
                <c:pt idx="123">
                  <c:v>44140889734629.4</c:v>
                </c:pt>
                <c:pt idx="124">
                  <c:v>46878234993103.3</c:v>
                </c:pt>
              </c:numCache>
            </c:numRef>
          </c:xVal>
          <c:yVal>
            <c:numRef>
              <c:f>Plots!$K$3:$K$127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0.000106861232742633</c:v>
                </c:pt>
                <c:pt idx="3">
                  <c:v>9.9414669525385E-005</c:v>
                </c:pt>
                <c:pt idx="4">
                  <c:v>9.49956110024021E-005</c:v>
                </c:pt>
                <c:pt idx="5">
                  <c:v>9.38168395724515E-005</c:v>
                </c:pt>
                <c:pt idx="6">
                  <c:v>9.50780596528925E-005</c:v>
                </c:pt>
                <c:pt idx="7">
                  <c:v>9.69148593494916E-005</c:v>
                </c:pt>
                <c:pt idx="8">
                  <c:v>9.86992408670333E-005</c:v>
                </c:pt>
                <c:pt idx="9">
                  <c:v>0.000100449271392719</c:v>
                </c:pt>
                <c:pt idx="10">
                  <c:v>0.0001020588561858</c:v>
                </c:pt>
                <c:pt idx="11">
                  <c:v>0.000103599457065769</c:v>
                </c:pt>
                <c:pt idx="12">
                  <c:v>0.000105034146343299</c:v>
                </c:pt>
                <c:pt idx="13">
                  <c:v>0.000106404196175437</c:v>
                </c:pt>
                <c:pt idx="14">
                  <c:v>0.000107653858836723</c:v>
                </c:pt>
                <c:pt idx="15">
                  <c:v>0.000108837374920653</c:v>
                </c:pt>
                <c:pt idx="16">
                  <c:v>0.000109914026722624</c:v>
                </c:pt>
                <c:pt idx="17">
                  <c:v>0.000110931450512167</c:v>
                </c:pt>
                <c:pt idx="18">
                  <c:v>0.000111871283792533</c:v>
                </c:pt>
                <c:pt idx="19">
                  <c:v>0.000112726612859968</c:v>
                </c:pt>
                <c:pt idx="20">
                  <c:v>0.000113474564795613</c:v>
                </c:pt>
                <c:pt idx="21">
                  <c:v>0.000114151473091746</c:v>
                </c:pt>
                <c:pt idx="22">
                  <c:v>0.000114747609607857</c:v>
                </c:pt>
                <c:pt idx="23">
                  <c:v>0.000115262726423235</c:v>
                </c:pt>
                <c:pt idx="24">
                  <c:v>0.000115708728009331</c:v>
                </c:pt>
                <c:pt idx="25">
                  <c:v>0.000116105961107901</c:v>
                </c:pt>
                <c:pt idx="26">
                  <c:v>0.000116422939273031</c:v>
                </c:pt>
                <c:pt idx="27">
                  <c:v>0.000116621832240493</c:v>
                </c:pt>
                <c:pt idx="28">
                  <c:v>0.000117010049855012</c:v>
                </c:pt>
                <c:pt idx="29">
                  <c:v>0.000117150833625839</c:v>
                </c:pt>
                <c:pt idx="30">
                  <c:v>0.000117219461206099</c:v>
                </c:pt>
                <c:pt idx="31">
                  <c:v>0.00011718223637564</c:v>
                </c:pt>
                <c:pt idx="32">
                  <c:v>0.00011706522094627</c:v>
                </c:pt>
                <c:pt idx="33">
                  <c:v>0.000116952025713381</c:v>
                </c:pt>
                <c:pt idx="34">
                  <c:v>0.000116818347141635</c:v>
                </c:pt>
                <c:pt idx="35">
                  <c:v>0.000116561047656036</c:v>
                </c:pt>
                <c:pt idx="36">
                  <c:v>0.000116185413583321</c:v>
                </c:pt>
                <c:pt idx="37">
                  <c:v>0.000115817571704007</c:v>
                </c:pt>
                <c:pt idx="38">
                  <c:v>0.00011546280848249</c:v>
                </c:pt>
                <c:pt idx="39">
                  <c:v>0.000115008874687814</c:v>
                </c:pt>
                <c:pt idx="40">
                  <c:v>0.000114599423027114</c:v>
                </c:pt>
                <c:pt idx="41">
                  <c:v>0.0001140866474249</c:v>
                </c:pt>
                <c:pt idx="42">
                  <c:v>0.000113610631371019</c:v>
                </c:pt>
                <c:pt idx="43">
                  <c:v>0.000113073545949913</c:v>
                </c:pt>
                <c:pt idx="44">
                  <c:v>0.00011238919000651</c:v>
                </c:pt>
                <c:pt idx="45">
                  <c:v>0.000111644242851642</c:v>
                </c:pt>
                <c:pt idx="46">
                  <c:v>0.000111004598075391</c:v>
                </c:pt>
                <c:pt idx="47">
                  <c:v>0.000110303118226589</c:v>
                </c:pt>
                <c:pt idx="48">
                  <c:v>0.000109525549961633</c:v>
                </c:pt>
                <c:pt idx="49">
                  <c:v>0.000108806052878953</c:v>
                </c:pt>
                <c:pt idx="50">
                  <c:v>0.000108021538531964</c:v>
                </c:pt>
                <c:pt idx="51">
                  <c:v>0.000107021186617235</c:v>
                </c:pt>
                <c:pt idx="52">
                  <c:v>0.000106244972024331</c:v>
                </c:pt>
                <c:pt idx="53">
                  <c:v>0.000105356354899474</c:v>
                </c:pt>
                <c:pt idx="54">
                  <c:v>0.000104695509464171</c:v>
                </c:pt>
                <c:pt idx="55">
                  <c:v>0.000103701219139353</c:v>
                </c:pt>
                <c:pt idx="56">
                  <c:v>0.000102693436207791</c:v>
                </c:pt>
                <c:pt idx="57">
                  <c:v>0.000101654615048007</c:v>
                </c:pt>
                <c:pt idx="58">
                  <c:v>0.000100914873844179</c:v>
                </c:pt>
                <c:pt idx="59">
                  <c:v>9.98799841074885E-005</c:v>
                </c:pt>
                <c:pt idx="60">
                  <c:v>9.8972665383912E-005</c:v>
                </c:pt>
                <c:pt idx="61">
                  <c:v>9.81402323369227E-005</c:v>
                </c:pt>
                <c:pt idx="62">
                  <c:v>9.73389874059774E-005</c:v>
                </c:pt>
                <c:pt idx="63">
                  <c:v>9.61443248546549E-005</c:v>
                </c:pt>
                <c:pt idx="64">
                  <c:v>9.51920724593327E-005</c:v>
                </c:pt>
                <c:pt idx="65">
                  <c:v>9.41368970230009E-005</c:v>
                </c:pt>
                <c:pt idx="66">
                  <c:v>9.29726047308901E-005</c:v>
                </c:pt>
                <c:pt idx="67">
                  <c:v>9.20717750729616E-005</c:v>
                </c:pt>
                <c:pt idx="68">
                  <c:v>9.10854108311142E-005</c:v>
                </c:pt>
                <c:pt idx="69">
                  <c:v>9.03266526927958E-005</c:v>
                </c:pt>
                <c:pt idx="70">
                  <c:v>8.9204135328528E-005</c:v>
                </c:pt>
                <c:pt idx="71">
                  <c:v>8.8013452934293E-005</c:v>
                </c:pt>
                <c:pt idx="72">
                  <c:v>8.68846889715049E-005</c:v>
                </c:pt>
                <c:pt idx="73">
                  <c:v>8.55430694417708E-005</c:v>
                </c:pt>
                <c:pt idx="74">
                  <c:v>8.44182314015384E-005</c:v>
                </c:pt>
                <c:pt idx="75">
                  <c:v>8.36444164474884E-005</c:v>
                </c:pt>
                <c:pt idx="76">
                  <c:v>8.25718021921297E-005</c:v>
                </c:pt>
                <c:pt idx="77">
                  <c:v>8.15713145500667E-005</c:v>
                </c:pt>
                <c:pt idx="78">
                  <c:v>8.02881413783138E-005</c:v>
                </c:pt>
                <c:pt idx="79">
                  <c:v>7.93772746689148E-005</c:v>
                </c:pt>
                <c:pt idx="80">
                  <c:v>7.8386486198387E-005</c:v>
                </c:pt>
                <c:pt idx="81">
                  <c:v>7.75266189707307E-005</c:v>
                </c:pt>
                <c:pt idx="82">
                  <c:v>7.61616848588528E-005</c:v>
                </c:pt>
                <c:pt idx="83">
                  <c:v>7.49684812696387E-005</c:v>
                </c:pt>
                <c:pt idx="84">
                  <c:v>7.38571997706147E-005</c:v>
                </c:pt>
                <c:pt idx="85">
                  <c:v>7.25199977513512E-005</c:v>
                </c:pt>
                <c:pt idx="86">
                  <c:v>7.09603982612733E-005</c:v>
                </c:pt>
                <c:pt idx="87">
                  <c:v>6.98305035196509E-005</c:v>
                </c:pt>
                <c:pt idx="88">
                  <c:v>6.92088375713574E-005</c:v>
                </c:pt>
                <c:pt idx="89">
                  <c:v>6.82316193771029E-005</c:v>
                </c:pt>
                <c:pt idx="90">
                  <c:v>6.67449614454717E-005</c:v>
                </c:pt>
                <c:pt idx="91">
                  <c:v>6.64489252361852E-005</c:v>
                </c:pt>
                <c:pt idx="92">
                  <c:v>6.51017147746542E-005</c:v>
                </c:pt>
                <c:pt idx="93">
                  <c:v>6.45080380220411E-005</c:v>
                </c:pt>
                <c:pt idx="94">
                  <c:v>6.28275356909999E-005</c:v>
                </c:pt>
                <c:pt idx="95">
                  <c:v>6.10834315805315E-005</c:v>
                </c:pt>
                <c:pt idx="96">
                  <c:v>6.22772755019376E-005</c:v>
                </c:pt>
                <c:pt idx="97">
                  <c:v>5.90570483391054E-005</c:v>
                </c:pt>
                <c:pt idx="98">
                  <c:v>5.7677403486193E-005</c:v>
                </c:pt>
                <c:pt idx="99">
                  <c:v>5.9499378651103E-005</c:v>
                </c:pt>
                <c:pt idx="100">
                  <c:v>5.68363194659721E-005</c:v>
                </c:pt>
                <c:pt idx="101">
                  <c:v>5.7592039281796E-005</c:v>
                </c:pt>
                <c:pt idx="102">
                  <c:v>5.49989966205565E-005</c:v>
                </c:pt>
                <c:pt idx="103">
                  <c:v>5.54087282428412E-005</c:v>
                </c:pt>
                <c:pt idx="104">
                  <c:v>5.51049645895843E-005</c:v>
                </c:pt>
                <c:pt idx="105">
                  <c:v>5.47901624831623E-005</c:v>
                </c:pt>
                <c:pt idx="106">
                  <c:v>5.55084343582724E-005</c:v>
                </c:pt>
                <c:pt idx="107">
                  <c:v>5.320081336015E-005</c:v>
                </c:pt>
                <c:pt idx="108">
                  <c:v>5.21313701384971E-005</c:v>
                </c:pt>
                <c:pt idx="109">
                  <c:v>5.41815488317912E-005</c:v>
                </c:pt>
                <c:pt idx="110">
                  <c:v>5.56590733557029E-005</c:v>
                </c:pt>
                <c:pt idx="111">
                  <c:v>5.21289124477147E-005</c:v>
                </c:pt>
                <c:pt idx="112">
                  <c:v>5.06608663722897E-005</c:v>
                </c:pt>
                <c:pt idx="113">
                  <c:v>5.31043480599703E-005</c:v>
                </c:pt>
                <c:pt idx="114">
                  <c:v>5.1909433973857E-005</c:v>
                </c:pt>
                <c:pt idx="115">
                  <c:v>5.0856140170939E-005</c:v>
                </c:pt>
                <c:pt idx="116">
                  <c:v>5.40789027862132E-005</c:v>
                </c:pt>
                <c:pt idx="117">
                  <c:v>5.51398442651798E-005</c:v>
                </c:pt>
                <c:pt idx="118">
                  <c:v>5.6156414838701E-005</c:v>
                </c:pt>
                <c:pt idx="119">
                  <c:v>5.56371702577433E-005</c:v>
                </c:pt>
                <c:pt idx="120">
                  <c:v>5.66196297834417E-005</c:v>
                </c:pt>
                <c:pt idx="121">
                  <c:v>5.88092242968196E-005</c:v>
                </c:pt>
                <c:pt idx="122">
                  <c:v>5.00959994921931E-005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Plots!$L$1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Plots!$L$3:$L$127</c:f>
              <c:numCache>
                <c:formatCode>General</c:formatCode>
                <c:ptCount val="125"/>
                <c:pt idx="0">
                  <c:v>2177068050223640</c:v>
                </c:pt>
                <c:pt idx="1">
                  <c:v>22269461553246200</c:v>
                </c:pt>
                <c:pt idx="2">
                  <c:v>38296148062976500</c:v>
                </c:pt>
                <c:pt idx="3">
                  <c:v>45412578357476300</c:v>
                </c:pt>
                <c:pt idx="4">
                  <c:v>46541758316970200</c:v>
                </c:pt>
                <c:pt idx="5">
                  <c:v>45536997355107600</c:v>
                </c:pt>
                <c:pt idx="6">
                  <c:v>44013546146029400</c:v>
                </c:pt>
                <c:pt idx="7">
                  <c:v>42384782096571900</c:v>
                </c:pt>
                <c:pt idx="8">
                  <c:v>40742659251762900</c:v>
                </c:pt>
                <c:pt idx="9">
                  <c:v>39115118899841200</c:v>
                </c:pt>
                <c:pt idx="10">
                  <c:v>37489984423762800</c:v>
                </c:pt>
                <c:pt idx="11">
                  <c:v>35898150286685500</c:v>
                </c:pt>
                <c:pt idx="12">
                  <c:v>34330180925710200</c:v>
                </c:pt>
                <c:pt idx="13">
                  <c:v>32795923304441900</c:v>
                </c:pt>
                <c:pt idx="14">
                  <c:v>31319771531881800</c:v>
                </c:pt>
                <c:pt idx="15">
                  <c:v>29892610535963400</c:v>
                </c:pt>
                <c:pt idx="16">
                  <c:v>28503091554293400</c:v>
                </c:pt>
                <c:pt idx="17">
                  <c:v>27159225551836900</c:v>
                </c:pt>
                <c:pt idx="18">
                  <c:v>25858399543005500</c:v>
                </c:pt>
                <c:pt idx="19">
                  <c:v>24605485941122300</c:v>
                </c:pt>
                <c:pt idx="20">
                  <c:v>23410021463175100</c:v>
                </c:pt>
                <c:pt idx="21">
                  <c:v>22253859339699900</c:v>
                </c:pt>
                <c:pt idx="22">
                  <c:v>21145709098712900</c:v>
                </c:pt>
                <c:pt idx="23">
                  <c:v>20079055474929000</c:v>
                </c:pt>
                <c:pt idx="24">
                  <c:v>19060182293481800</c:v>
                </c:pt>
                <c:pt idx="25">
                  <c:v>18085377522757500</c:v>
                </c:pt>
                <c:pt idx="26">
                  <c:v>17161252829357700</c:v>
                </c:pt>
                <c:pt idx="27">
                  <c:v>16273867226027900</c:v>
                </c:pt>
                <c:pt idx="28">
                  <c:v>15428958484977200</c:v>
                </c:pt>
                <c:pt idx="29">
                  <c:v>14627032783632900</c:v>
                </c:pt>
                <c:pt idx="30">
                  <c:v>13860134727054200</c:v>
                </c:pt>
                <c:pt idx="31">
                  <c:v>13136676745498700</c:v>
                </c:pt>
                <c:pt idx="32">
                  <c:v>12441073267272200</c:v>
                </c:pt>
                <c:pt idx="33">
                  <c:v>11779928590221000</c:v>
                </c:pt>
                <c:pt idx="34">
                  <c:v>11153811663637300</c:v>
                </c:pt>
                <c:pt idx="35">
                  <c:v>10558860965276100</c:v>
                </c:pt>
                <c:pt idx="36">
                  <c:v>9984576689035840</c:v>
                </c:pt>
                <c:pt idx="37">
                  <c:v>9443232391518670</c:v>
                </c:pt>
                <c:pt idx="38">
                  <c:v>8934271133662440</c:v>
                </c:pt>
                <c:pt idx="39">
                  <c:v>8450220205484130</c:v>
                </c:pt>
                <c:pt idx="40">
                  <c:v>7985730026277960</c:v>
                </c:pt>
                <c:pt idx="41">
                  <c:v>7547946315069560</c:v>
                </c:pt>
                <c:pt idx="42">
                  <c:v>7139201609275110</c:v>
                </c:pt>
                <c:pt idx="43">
                  <c:v>6746392834808330</c:v>
                </c:pt>
                <c:pt idx="44">
                  <c:v>6369865398544560</c:v>
                </c:pt>
                <c:pt idx="45">
                  <c:v>6019824421396730</c:v>
                </c:pt>
                <c:pt idx="46">
                  <c:v>5682280652716820</c:v>
                </c:pt>
                <c:pt idx="47">
                  <c:v>5372599476634620</c:v>
                </c:pt>
                <c:pt idx="48">
                  <c:v>5073144135090120</c:v>
                </c:pt>
                <c:pt idx="49">
                  <c:v>4792279103846070</c:v>
                </c:pt>
                <c:pt idx="50">
                  <c:v>4522051900715330</c:v>
                </c:pt>
                <c:pt idx="51">
                  <c:v>4267112788087320</c:v>
                </c:pt>
                <c:pt idx="52">
                  <c:v>4027334669666760</c:v>
                </c:pt>
                <c:pt idx="53">
                  <c:v>3795555603610830</c:v>
                </c:pt>
                <c:pt idx="54">
                  <c:v>3583753082659900</c:v>
                </c:pt>
                <c:pt idx="55">
                  <c:v>3384671332692950</c:v>
                </c:pt>
                <c:pt idx="56">
                  <c:v>3188959516970200</c:v>
                </c:pt>
                <c:pt idx="57">
                  <c:v>3008222966952090</c:v>
                </c:pt>
                <c:pt idx="58">
                  <c:v>2831516437445500</c:v>
                </c:pt>
                <c:pt idx="59">
                  <c:v>2675337665462950</c:v>
                </c:pt>
                <c:pt idx="60">
                  <c:v>2518189055055890</c:v>
                </c:pt>
                <c:pt idx="61">
                  <c:v>2374539744112240</c:v>
                </c:pt>
                <c:pt idx="62">
                  <c:v>2234709418332670</c:v>
                </c:pt>
                <c:pt idx="63">
                  <c:v>2101950872829590</c:v>
                </c:pt>
                <c:pt idx="64">
                  <c:v>1980559175623230</c:v>
                </c:pt>
                <c:pt idx="65">
                  <c:v>1866265465374530</c:v>
                </c:pt>
                <c:pt idx="66">
                  <c:v>1756430523964100</c:v>
                </c:pt>
                <c:pt idx="67">
                  <c:v>1653013058038880</c:v>
                </c:pt>
                <c:pt idx="68">
                  <c:v>1558196361427360</c:v>
                </c:pt>
                <c:pt idx="69">
                  <c:v>1463529059093390</c:v>
                </c:pt>
                <c:pt idx="70">
                  <c:v>1381724237770760</c:v>
                </c:pt>
                <c:pt idx="71">
                  <c:v>1299384681768440</c:v>
                </c:pt>
                <c:pt idx="72">
                  <c:v>1220318120148400</c:v>
                </c:pt>
                <c:pt idx="73">
                  <c:v>1149174295381870</c:v>
                </c:pt>
                <c:pt idx="74">
                  <c:v>1078859178217800</c:v>
                </c:pt>
                <c:pt idx="75">
                  <c:v>1013930166109550</c:v>
                </c:pt>
                <c:pt idx="76">
                  <c:v>954194382194541</c:v>
                </c:pt>
                <c:pt idx="77">
                  <c:v>897201496198294</c:v>
                </c:pt>
                <c:pt idx="78">
                  <c:v>843731778457613</c:v>
                </c:pt>
                <c:pt idx="79">
                  <c:v>790397029767569</c:v>
                </c:pt>
                <c:pt idx="80">
                  <c:v>743461513589780</c:v>
                </c:pt>
                <c:pt idx="81">
                  <c:v>696013785207879</c:v>
                </c:pt>
                <c:pt idx="82">
                  <c:v>655564763374203</c:v>
                </c:pt>
                <c:pt idx="83">
                  <c:v>613121251795701</c:v>
                </c:pt>
                <c:pt idx="84">
                  <c:v>575761409854697</c:v>
                </c:pt>
                <c:pt idx="85">
                  <c:v>536617722040804</c:v>
                </c:pt>
                <c:pt idx="86">
                  <c:v>507136540866337</c:v>
                </c:pt>
                <c:pt idx="87">
                  <c:v>470065920866176</c:v>
                </c:pt>
                <c:pt idx="88">
                  <c:v>440548136454743</c:v>
                </c:pt>
                <c:pt idx="89">
                  <c:v>416113488917020</c:v>
                </c:pt>
                <c:pt idx="90">
                  <c:v>385665109851881</c:v>
                </c:pt>
                <c:pt idx="91">
                  <c:v>365021991038470</c:v>
                </c:pt>
                <c:pt idx="92">
                  <c:v>341851385441604</c:v>
                </c:pt>
                <c:pt idx="93">
                  <c:v>318338818756988</c:v>
                </c:pt>
                <c:pt idx="94">
                  <c:v>296715071437906</c:v>
                </c:pt>
                <c:pt idx="95">
                  <c:v>282465085765124</c:v>
                </c:pt>
                <c:pt idx="96">
                  <c:v>264756132654326</c:v>
                </c:pt>
                <c:pt idx="97">
                  <c:v>248819493198911</c:v>
                </c:pt>
                <c:pt idx="98">
                  <c:v>231756570071164</c:v>
                </c:pt>
                <c:pt idx="99">
                  <c:v>216102392393000</c:v>
                </c:pt>
                <c:pt idx="100">
                  <c:v>202421752906559</c:v>
                </c:pt>
                <c:pt idx="101">
                  <c:v>188543472467285</c:v>
                </c:pt>
                <c:pt idx="102">
                  <c:v>174984410240810</c:v>
                </c:pt>
                <c:pt idx="103">
                  <c:v>165659679210957</c:v>
                </c:pt>
                <c:pt idx="104">
                  <c:v>157780066287003</c:v>
                </c:pt>
                <c:pt idx="105">
                  <c:v>145632664657446</c:v>
                </c:pt>
                <c:pt idx="106">
                  <c:v>135756866410264</c:v>
                </c:pt>
                <c:pt idx="107">
                  <c:v>131490229472517</c:v>
                </c:pt>
                <c:pt idx="108">
                  <c:v>116794179980902</c:v>
                </c:pt>
                <c:pt idx="109">
                  <c:v>112686187577343</c:v>
                </c:pt>
                <c:pt idx="110">
                  <c:v>108784315575378</c:v>
                </c:pt>
                <c:pt idx="111">
                  <c:v>99393056332573</c:v>
                </c:pt>
                <c:pt idx="112">
                  <c:v>96469287016450.9</c:v>
                </c:pt>
                <c:pt idx="113">
                  <c:v>86574130118601.7</c:v>
                </c:pt>
                <c:pt idx="114">
                  <c:v>85446558939331.3</c:v>
                </c:pt>
                <c:pt idx="115">
                  <c:v>77505753966433</c:v>
                </c:pt>
                <c:pt idx="116">
                  <c:v>72436455787291.8</c:v>
                </c:pt>
                <c:pt idx="117">
                  <c:v>66243572272423</c:v>
                </c:pt>
                <c:pt idx="118">
                  <c:v>60463114710464.8</c:v>
                </c:pt>
                <c:pt idx="119">
                  <c:v>59644940984546.2</c:v>
                </c:pt>
                <c:pt idx="120">
                  <c:v>59082455957753.8</c:v>
                </c:pt>
                <c:pt idx="121">
                  <c:v>56577130538420</c:v>
                </c:pt>
                <c:pt idx="122">
                  <c:v>45642752117570.3</c:v>
                </c:pt>
                <c:pt idx="123">
                  <c:v>42119732665514.7</c:v>
                </c:pt>
                <c:pt idx="124">
                  <c:v>43191804879838.7</c:v>
                </c:pt>
              </c:numCache>
            </c:numRef>
          </c:xVal>
          <c:yVal>
            <c:numRef>
              <c:f>Plots!$M$3:$M$127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0.000105733107553877</c:v>
                </c:pt>
                <c:pt idx="3">
                  <c:v>0.000100903205332734</c:v>
                </c:pt>
                <c:pt idx="4">
                  <c:v>9.44766645064173E-005</c:v>
                </c:pt>
                <c:pt idx="5">
                  <c:v>9.14451590881173E-005</c:v>
                </c:pt>
                <c:pt idx="6">
                  <c:v>9.16587711490363E-005</c:v>
                </c:pt>
                <c:pt idx="7">
                  <c:v>9.33268117113665E-005</c:v>
                </c:pt>
                <c:pt idx="8">
                  <c:v>9.51145922571575E-005</c:v>
                </c:pt>
                <c:pt idx="9">
                  <c:v>9.68053819219974E-005</c:v>
                </c:pt>
                <c:pt idx="10">
                  <c:v>9.83875998880091E-005</c:v>
                </c:pt>
                <c:pt idx="11">
                  <c:v>9.98547673080733E-005</c:v>
                </c:pt>
                <c:pt idx="12">
                  <c:v>0.000101252521306224</c:v>
                </c:pt>
                <c:pt idx="13">
                  <c:v>0.000102558103638821</c:v>
                </c:pt>
                <c:pt idx="14">
                  <c:v>0.000103770666435047</c:v>
                </c:pt>
                <c:pt idx="15">
                  <c:v>0.000104913054202259</c:v>
                </c:pt>
                <c:pt idx="16">
                  <c:v>0.00010593086132577</c:v>
                </c:pt>
                <c:pt idx="17">
                  <c:v>0.000106878267892753</c:v>
                </c:pt>
                <c:pt idx="18">
                  <c:v>0.000107748799921846</c:v>
                </c:pt>
                <c:pt idx="19">
                  <c:v>0.00010856469412176</c:v>
                </c:pt>
                <c:pt idx="20">
                  <c:v>0.000109324433903197</c:v>
                </c:pt>
                <c:pt idx="21">
                  <c:v>0.00010993899016376</c:v>
                </c:pt>
                <c:pt idx="22">
                  <c:v>0.000110466136952036</c:v>
                </c:pt>
                <c:pt idx="23">
                  <c:v>0.000110918148571852</c:v>
                </c:pt>
                <c:pt idx="24">
                  <c:v>0.000111344303223877</c:v>
                </c:pt>
                <c:pt idx="25">
                  <c:v>0.000111644282659015</c:v>
                </c:pt>
                <c:pt idx="26">
                  <c:v>0.000111946802660117</c:v>
                </c:pt>
                <c:pt idx="27">
                  <c:v>0.00011211667496769</c:v>
                </c:pt>
                <c:pt idx="28">
                  <c:v>0.000112296040074611</c:v>
                </c:pt>
                <c:pt idx="29">
                  <c:v>0.000112553341073815</c:v>
                </c:pt>
                <c:pt idx="30">
                  <c:v>0.000112568817077052</c:v>
                </c:pt>
                <c:pt idx="31">
                  <c:v>0.000112555226944601</c:v>
                </c:pt>
                <c:pt idx="32">
                  <c:v>0.000112422432344063</c:v>
                </c:pt>
                <c:pt idx="33">
                  <c:v>0.00011224559380744</c:v>
                </c:pt>
                <c:pt idx="34">
                  <c:v>0.000112048746609415</c:v>
                </c:pt>
                <c:pt idx="35">
                  <c:v>0.000111765080014215</c:v>
                </c:pt>
                <c:pt idx="36">
                  <c:v>0.000111360174892181</c:v>
                </c:pt>
                <c:pt idx="37">
                  <c:v>0.000110963425230907</c:v>
                </c:pt>
                <c:pt idx="38">
                  <c:v>0.000110505447544536</c:v>
                </c:pt>
                <c:pt idx="39">
                  <c:v>0.000110165509793941</c:v>
                </c:pt>
                <c:pt idx="40">
                  <c:v>0.000109615524718797</c:v>
                </c:pt>
                <c:pt idx="41">
                  <c:v>0.000109078226707472</c:v>
                </c:pt>
                <c:pt idx="42">
                  <c:v>0.000108606299309487</c:v>
                </c:pt>
                <c:pt idx="43">
                  <c:v>0.000108014840049597</c:v>
                </c:pt>
                <c:pt idx="44">
                  <c:v>0.000107243095367189</c:v>
                </c:pt>
                <c:pt idx="45">
                  <c:v>0.000106601165390369</c:v>
                </c:pt>
                <c:pt idx="46">
                  <c:v>0.000105779717155897</c:v>
                </c:pt>
                <c:pt idx="47">
                  <c:v>0.000105189220756789</c:v>
                </c:pt>
                <c:pt idx="48">
                  <c:v>0.000104405592670867</c:v>
                </c:pt>
                <c:pt idx="49">
                  <c:v>0.000103606009015881</c:v>
                </c:pt>
                <c:pt idx="50">
                  <c:v>0.000102710495481723</c:v>
                </c:pt>
                <c:pt idx="51">
                  <c:v>0.000101881823727611</c:v>
                </c:pt>
                <c:pt idx="52">
                  <c:v>0.000100972672802985</c:v>
                </c:pt>
                <c:pt idx="53">
                  <c:v>0.000100061860321832</c:v>
                </c:pt>
                <c:pt idx="54">
                  <c:v>9.92018128370304E-005</c:v>
                </c:pt>
                <c:pt idx="55">
                  <c:v>9.842728241694E-005</c:v>
                </c:pt>
                <c:pt idx="56">
                  <c:v>9.72853516441496E-005</c:v>
                </c:pt>
                <c:pt idx="57">
                  <c:v>9.63691825629708E-005</c:v>
                </c:pt>
                <c:pt idx="58">
                  <c:v>9.53256689029875E-005</c:v>
                </c:pt>
                <c:pt idx="59">
                  <c:v>9.46681249864303E-005</c:v>
                </c:pt>
                <c:pt idx="60">
                  <c:v>9.35378995285676E-005</c:v>
                </c:pt>
                <c:pt idx="61">
                  <c:v>9.25463010408033E-005</c:v>
                </c:pt>
                <c:pt idx="62">
                  <c:v>9.15887700118949E-005</c:v>
                </c:pt>
                <c:pt idx="63">
                  <c:v>9.04829108408743E-005</c:v>
                </c:pt>
                <c:pt idx="64">
                  <c:v>8.95350427357844E-005</c:v>
                </c:pt>
                <c:pt idx="65">
                  <c:v>8.85084561770506E-005</c:v>
                </c:pt>
                <c:pt idx="66">
                  <c:v>8.74479624112077E-005</c:v>
                </c:pt>
                <c:pt idx="67">
                  <c:v>8.63513489265772E-005</c:v>
                </c:pt>
                <c:pt idx="68">
                  <c:v>8.5626183769378E-005</c:v>
                </c:pt>
                <c:pt idx="69">
                  <c:v>8.44026226317859E-005</c:v>
                </c:pt>
                <c:pt idx="70">
                  <c:v>8.36389323101555E-005</c:v>
                </c:pt>
                <c:pt idx="71">
                  <c:v>8.25156358255243E-005</c:v>
                </c:pt>
                <c:pt idx="72">
                  <c:v>8.12525588301794E-005</c:v>
                </c:pt>
                <c:pt idx="73">
                  <c:v>8.0353016772145E-005</c:v>
                </c:pt>
                <c:pt idx="74">
                  <c:v>7.90840373883267E-005</c:v>
                </c:pt>
                <c:pt idx="75">
                  <c:v>7.81356361015795E-005</c:v>
                </c:pt>
                <c:pt idx="76">
                  <c:v>7.71986925172798E-005</c:v>
                </c:pt>
                <c:pt idx="77">
                  <c:v>7.63429594197643E-005</c:v>
                </c:pt>
                <c:pt idx="78">
                  <c:v>7.53369996205523E-005</c:v>
                </c:pt>
                <c:pt idx="79">
                  <c:v>7.41377095477096E-005</c:v>
                </c:pt>
                <c:pt idx="80">
                  <c:v>7.33737872678014E-005</c:v>
                </c:pt>
                <c:pt idx="81">
                  <c:v>7.21739071961373E-005</c:v>
                </c:pt>
                <c:pt idx="82">
                  <c:v>7.14306556589231E-005</c:v>
                </c:pt>
                <c:pt idx="83">
                  <c:v>7.00402330375383E-005</c:v>
                </c:pt>
                <c:pt idx="84">
                  <c:v>6.91381236157866E-005</c:v>
                </c:pt>
                <c:pt idx="85">
                  <c:v>6.76813256386327E-005</c:v>
                </c:pt>
                <c:pt idx="86">
                  <c:v>6.73244638699487E-005</c:v>
                </c:pt>
                <c:pt idx="87">
                  <c:v>6.56822808758656E-005</c:v>
                </c:pt>
                <c:pt idx="88">
                  <c:v>6.48757464027472E-005</c:v>
                </c:pt>
                <c:pt idx="89">
                  <c:v>6.44923514300557E-005</c:v>
                </c:pt>
                <c:pt idx="90">
                  <c:v>6.30371162641752E-005</c:v>
                </c:pt>
                <c:pt idx="91">
                  <c:v>6.26208141212678E-005</c:v>
                </c:pt>
                <c:pt idx="92">
                  <c:v>6.17328390717013E-005</c:v>
                </c:pt>
                <c:pt idx="93">
                  <c:v>6.05578360307333E-005</c:v>
                </c:pt>
                <c:pt idx="94">
                  <c:v>5.98421067918863E-005</c:v>
                </c:pt>
                <c:pt idx="95">
                  <c:v>5.98852861502042E-005</c:v>
                </c:pt>
                <c:pt idx="96">
                  <c:v>5.95916549607044E-005</c:v>
                </c:pt>
                <c:pt idx="97">
                  <c:v>5.86752902869682E-005</c:v>
                </c:pt>
                <c:pt idx="98">
                  <c:v>5.77861746628153E-005</c:v>
                </c:pt>
                <c:pt idx="99">
                  <c:v>5.67474846986747E-005</c:v>
                </c:pt>
                <c:pt idx="100">
                  <c:v>5.63193689215466E-005</c:v>
                </c:pt>
                <c:pt idx="101">
                  <c:v>5.5227189313697E-005</c:v>
                </c:pt>
                <c:pt idx="102">
                  <c:v>5.43936656164107E-005</c:v>
                </c:pt>
                <c:pt idx="103">
                  <c:v>5.43873754836022E-005</c:v>
                </c:pt>
                <c:pt idx="104">
                  <c:v>5.46760094639409E-005</c:v>
                </c:pt>
                <c:pt idx="105">
                  <c:v>5.35184294551576E-005</c:v>
                </c:pt>
                <c:pt idx="106">
                  <c:v>5.23812191178578E-005</c:v>
                </c:pt>
                <c:pt idx="107">
                  <c:v>5.40519332685447E-005</c:v>
                </c:pt>
                <c:pt idx="108">
                  <c:v>5.0878261746907E-005</c:v>
                </c:pt>
                <c:pt idx="109">
                  <c:v>5.17970242510702E-005</c:v>
                </c:pt>
                <c:pt idx="110">
                  <c:v>5.38197306333785E-005</c:v>
                </c:pt>
                <c:pt idx="111">
                  <c:v>5.12987653449069E-005</c:v>
                </c:pt>
                <c:pt idx="112">
                  <c:v>5.34647726407753E-005</c:v>
                </c:pt>
                <c:pt idx="113">
                  <c:v>5.04184237645627E-005</c:v>
                </c:pt>
                <c:pt idx="114">
                  <c:v>5.26549501982469E-005</c:v>
                </c:pt>
                <c:pt idx="115">
                  <c:v>5.05380621785515E-005</c:v>
                </c:pt>
                <c:pt idx="116">
                  <c:v>5.02289675457816E-005</c:v>
                </c:pt>
                <c:pt idx="117">
                  <c:v>4.88708213488061E-005</c:v>
                </c:pt>
                <c:pt idx="118">
                  <c:v>4.8773010089798E-005</c:v>
                </c:pt>
                <c:pt idx="119">
                  <c:v>5.10945062801329E-005</c:v>
                </c:pt>
                <c:pt idx="120">
                  <c:v>5.33330344030139E-005</c:v>
                </c:pt>
                <c:pt idx="121">
                  <c:v>5.41419377868782E-005</c:v>
                </c:pt>
                <c:pt idx="122">
                  <c:v>4.82464793675496E-005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Plots!$N$1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Plots!$N$3:$N$127</c:f>
              <c:numCache>
                <c:formatCode>General</c:formatCode>
                <c:ptCount val="125"/>
                <c:pt idx="0">
                  <c:v>8241621971857980</c:v>
                </c:pt>
                <c:pt idx="1">
                  <c:v>28312831967071900</c:v>
                </c:pt>
                <c:pt idx="2">
                  <c:v>39003181065489500</c:v>
                </c:pt>
                <c:pt idx="3">
                  <c:v>43721327595736000</c:v>
                </c:pt>
                <c:pt idx="4">
                  <c:v>43829594624184500</c:v>
                </c:pt>
                <c:pt idx="5">
                  <c:v>42631253119512800</c:v>
                </c:pt>
                <c:pt idx="6">
                  <c:v>41093687377334800</c:v>
                </c:pt>
                <c:pt idx="7">
                  <c:v>39510481312208500</c:v>
                </c:pt>
                <c:pt idx="8">
                  <c:v>37908453712487400</c:v>
                </c:pt>
                <c:pt idx="9">
                  <c:v>36329736505483800</c:v>
                </c:pt>
                <c:pt idx="10">
                  <c:v>34763092821658300</c:v>
                </c:pt>
                <c:pt idx="11">
                  <c:v>33242269098575200</c:v>
                </c:pt>
                <c:pt idx="12">
                  <c:v>31738590766353200</c:v>
                </c:pt>
                <c:pt idx="13">
                  <c:v>30276406626837200</c:v>
                </c:pt>
                <c:pt idx="14">
                  <c:v>28865421847880900</c:v>
                </c:pt>
                <c:pt idx="15">
                  <c:v>27505971527874600</c:v>
                </c:pt>
                <c:pt idx="16">
                  <c:v>26184877278977400</c:v>
                </c:pt>
                <c:pt idx="17">
                  <c:v>24919853443845100</c:v>
                </c:pt>
                <c:pt idx="18">
                  <c:v>23702452340463400</c:v>
                </c:pt>
                <c:pt idx="19">
                  <c:v>22528039726606100</c:v>
                </c:pt>
                <c:pt idx="20">
                  <c:v>21406840325732100</c:v>
                </c:pt>
                <c:pt idx="21">
                  <c:v>20327132994090500</c:v>
                </c:pt>
                <c:pt idx="22">
                  <c:v>19292042760993300</c:v>
                </c:pt>
                <c:pt idx="23">
                  <c:v>18305493223806400</c:v>
                </c:pt>
                <c:pt idx="24">
                  <c:v>17362877094902300</c:v>
                </c:pt>
                <c:pt idx="25">
                  <c:v>16464976089125100</c:v>
                </c:pt>
                <c:pt idx="26">
                  <c:v>15610689215923800</c:v>
                </c:pt>
                <c:pt idx="27">
                  <c:v>14787212208077900</c:v>
                </c:pt>
                <c:pt idx="28">
                  <c:v>14011325075880700</c:v>
                </c:pt>
                <c:pt idx="29">
                  <c:v>13265876381066000</c:v>
                </c:pt>
                <c:pt idx="30">
                  <c:v>12564163815125600</c:v>
                </c:pt>
                <c:pt idx="31">
                  <c:v>11894496572504900</c:v>
                </c:pt>
                <c:pt idx="32">
                  <c:v>11263318812494100</c:v>
                </c:pt>
                <c:pt idx="33">
                  <c:v>10656936422443700</c:v>
                </c:pt>
                <c:pt idx="34">
                  <c:v>10079499290984500</c:v>
                </c:pt>
                <c:pt idx="35">
                  <c:v>9533746752865860</c:v>
                </c:pt>
                <c:pt idx="36">
                  <c:v>9010619187874490</c:v>
                </c:pt>
                <c:pt idx="37">
                  <c:v>8524958231875620</c:v>
                </c:pt>
                <c:pt idx="38">
                  <c:v>8055218366818200</c:v>
                </c:pt>
                <c:pt idx="39">
                  <c:v>7613222282863200</c:v>
                </c:pt>
                <c:pt idx="40">
                  <c:v>7194136443903680</c:v>
                </c:pt>
                <c:pt idx="41">
                  <c:v>6794312130138630</c:v>
                </c:pt>
                <c:pt idx="42">
                  <c:v>6418098597588380</c:v>
                </c:pt>
                <c:pt idx="43">
                  <c:v>6059408603344130</c:v>
                </c:pt>
                <c:pt idx="44">
                  <c:v>5719952271758610</c:v>
                </c:pt>
                <c:pt idx="45">
                  <c:v>5399041112579580</c:v>
                </c:pt>
                <c:pt idx="46">
                  <c:v>5103850601195400</c:v>
                </c:pt>
                <c:pt idx="47">
                  <c:v>4815455643390530</c:v>
                </c:pt>
                <c:pt idx="48">
                  <c:v>4543021153814590</c:v>
                </c:pt>
                <c:pt idx="49">
                  <c:v>4289674915066010</c:v>
                </c:pt>
                <c:pt idx="50">
                  <c:v>4042926767434840</c:v>
                </c:pt>
                <c:pt idx="51">
                  <c:v>3813713092095790</c:v>
                </c:pt>
                <c:pt idx="52">
                  <c:v>3596856723408450</c:v>
                </c:pt>
                <c:pt idx="53">
                  <c:v>3394459000843060</c:v>
                </c:pt>
                <c:pt idx="54">
                  <c:v>3201294529725670</c:v>
                </c:pt>
                <c:pt idx="55">
                  <c:v>3013450057809430</c:v>
                </c:pt>
                <c:pt idx="56">
                  <c:v>2841664036078150</c:v>
                </c:pt>
                <c:pt idx="57">
                  <c:v>2675454386158360</c:v>
                </c:pt>
                <c:pt idx="58">
                  <c:v>2523412845104410</c:v>
                </c:pt>
                <c:pt idx="59">
                  <c:v>2378527357933660</c:v>
                </c:pt>
                <c:pt idx="60">
                  <c:v>2241548116968230</c:v>
                </c:pt>
                <c:pt idx="61">
                  <c:v>2111027228255700</c:v>
                </c:pt>
                <c:pt idx="62">
                  <c:v>1986192999105400</c:v>
                </c:pt>
                <c:pt idx="63">
                  <c:v>1871062488846680</c:v>
                </c:pt>
                <c:pt idx="64">
                  <c:v>1760774252193610</c:v>
                </c:pt>
                <c:pt idx="65">
                  <c:v>1663173386425160</c:v>
                </c:pt>
                <c:pt idx="66">
                  <c:v>1566617239411990</c:v>
                </c:pt>
                <c:pt idx="67">
                  <c:v>1474086243652490</c:v>
                </c:pt>
                <c:pt idx="68">
                  <c:v>1387028961118620</c:v>
                </c:pt>
                <c:pt idx="69">
                  <c:v>1306735934972700</c:v>
                </c:pt>
                <c:pt idx="70">
                  <c:v>1228538562234800</c:v>
                </c:pt>
                <c:pt idx="71">
                  <c:v>1156641373921960</c:v>
                </c:pt>
                <c:pt idx="72">
                  <c:v>1089082773745090</c:v>
                </c:pt>
                <c:pt idx="73">
                  <c:v>1025851183435830</c:v>
                </c:pt>
                <c:pt idx="74">
                  <c:v>966357739773201</c:v>
                </c:pt>
                <c:pt idx="75">
                  <c:v>907019815772816</c:v>
                </c:pt>
                <c:pt idx="76">
                  <c:v>854015818304651</c:v>
                </c:pt>
                <c:pt idx="77">
                  <c:v>802200234960677</c:v>
                </c:pt>
                <c:pt idx="78">
                  <c:v>752873062043961</c:v>
                </c:pt>
                <c:pt idx="79">
                  <c:v>706571523786332</c:v>
                </c:pt>
                <c:pt idx="80">
                  <c:v>663087397559858</c:v>
                </c:pt>
                <c:pt idx="81">
                  <c:v>620013747650782</c:v>
                </c:pt>
                <c:pt idx="82">
                  <c:v>585470345700892</c:v>
                </c:pt>
                <c:pt idx="83">
                  <c:v>549027771777910</c:v>
                </c:pt>
                <c:pt idx="84">
                  <c:v>512333704390281</c:v>
                </c:pt>
                <c:pt idx="85">
                  <c:v>482388173821777</c:v>
                </c:pt>
                <c:pt idx="86">
                  <c:v>451086705028139</c:v>
                </c:pt>
                <c:pt idx="87">
                  <c:v>425567831854001</c:v>
                </c:pt>
                <c:pt idx="88">
                  <c:v>399628290938681</c:v>
                </c:pt>
                <c:pt idx="89">
                  <c:v>375296603610667</c:v>
                </c:pt>
                <c:pt idx="90">
                  <c:v>351632176452572</c:v>
                </c:pt>
                <c:pt idx="91">
                  <c:v>328433644023891</c:v>
                </c:pt>
                <c:pt idx="92">
                  <c:v>307378874597984</c:v>
                </c:pt>
                <c:pt idx="93">
                  <c:v>289494304924544</c:v>
                </c:pt>
                <c:pt idx="94">
                  <c:v>271378323813090</c:v>
                </c:pt>
                <c:pt idx="95">
                  <c:v>252442921775853</c:v>
                </c:pt>
                <c:pt idx="96">
                  <c:v>241777029023260</c:v>
                </c:pt>
                <c:pt idx="97">
                  <c:v>219039673156883</c:v>
                </c:pt>
                <c:pt idx="98">
                  <c:v>206821430630562</c:v>
                </c:pt>
                <c:pt idx="99">
                  <c:v>195739449812513</c:v>
                </c:pt>
                <c:pt idx="100">
                  <c:v>181724504870998</c:v>
                </c:pt>
                <c:pt idx="101">
                  <c:v>177953916862280</c:v>
                </c:pt>
                <c:pt idx="102">
                  <c:v>160185202623473</c:v>
                </c:pt>
                <c:pt idx="103">
                  <c:v>153092912434455</c:v>
                </c:pt>
                <c:pt idx="104">
                  <c:v>139503917338214</c:v>
                </c:pt>
                <c:pt idx="105">
                  <c:v>130222357334820</c:v>
                </c:pt>
                <c:pt idx="106">
                  <c:v>124120076778930</c:v>
                </c:pt>
                <c:pt idx="107">
                  <c:v>110702527399406</c:v>
                </c:pt>
                <c:pt idx="108">
                  <c:v>107874336079899</c:v>
                </c:pt>
                <c:pt idx="109">
                  <c:v>105631764715178</c:v>
                </c:pt>
                <c:pt idx="110">
                  <c:v>93547238034028.6</c:v>
                </c:pt>
                <c:pt idx="111">
                  <c:v>85464637341940.4</c:v>
                </c:pt>
                <c:pt idx="112">
                  <c:v>81522610972817.6</c:v>
                </c:pt>
                <c:pt idx="113">
                  <c:v>74615051784090.2</c:v>
                </c:pt>
                <c:pt idx="114">
                  <c:v>65476217566408.8</c:v>
                </c:pt>
                <c:pt idx="115">
                  <c:v>63192721604603.1</c:v>
                </c:pt>
                <c:pt idx="116">
                  <c:v>60084043526867.4</c:v>
                </c:pt>
                <c:pt idx="117">
                  <c:v>58044462043402</c:v>
                </c:pt>
                <c:pt idx="118">
                  <c:v>51443042772893.7</c:v>
                </c:pt>
                <c:pt idx="119">
                  <c:v>48629127542143.4</c:v>
                </c:pt>
                <c:pt idx="120">
                  <c:v>42131232669611.4</c:v>
                </c:pt>
                <c:pt idx="121">
                  <c:v>40047132917576.4</c:v>
                </c:pt>
                <c:pt idx="122">
                  <c:v>37721351233360.4</c:v>
                </c:pt>
                <c:pt idx="123">
                  <c:v>36752414090409</c:v>
                </c:pt>
                <c:pt idx="124">
                  <c:v>33459058369133.1</c:v>
                </c:pt>
              </c:numCache>
            </c:numRef>
          </c:xVal>
          <c:yVal>
            <c:numRef>
              <c:f>Plots!$O$3:$O$127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0.000100594721248913</c:v>
                </c:pt>
                <c:pt idx="3">
                  <c:v>9.47560372443697E-005</c:v>
                </c:pt>
                <c:pt idx="4">
                  <c:v>9.0870307197202E-005</c:v>
                </c:pt>
                <c:pt idx="5">
                  <c:v>8.96917803471081E-005</c:v>
                </c:pt>
                <c:pt idx="6">
                  <c:v>9.08371392662617E-005</c:v>
                </c:pt>
                <c:pt idx="7">
                  <c:v>9.23978914968011E-005</c:v>
                </c:pt>
                <c:pt idx="8">
                  <c:v>9.3928314385137E-005</c:v>
                </c:pt>
                <c:pt idx="9">
                  <c:v>9.53935428716201E-005</c:v>
                </c:pt>
                <c:pt idx="10">
                  <c:v>9.6747709983489E-005</c:v>
                </c:pt>
                <c:pt idx="11">
                  <c:v>9.80445514131799E-005</c:v>
                </c:pt>
                <c:pt idx="12">
                  <c:v>9.92367530659901E-005</c:v>
                </c:pt>
                <c:pt idx="13">
                  <c:v>0.000100316137439781</c:v>
                </c:pt>
                <c:pt idx="14">
                  <c:v>0.000101304710819911</c:v>
                </c:pt>
                <c:pt idx="15">
                  <c:v>0.000102226951673957</c:v>
                </c:pt>
                <c:pt idx="16">
                  <c:v>0.000103030661335415</c:v>
                </c:pt>
                <c:pt idx="17">
                  <c:v>0.000103795747048715</c:v>
                </c:pt>
                <c:pt idx="18">
                  <c:v>0.000104494072919147</c:v>
                </c:pt>
                <c:pt idx="19">
                  <c:v>0.000105069189613745</c:v>
                </c:pt>
                <c:pt idx="20">
                  <c:v>0.000105609645315873</c:v>
                </c:pt>
                <c:pt idx="21">
                  <c:v>0.000106022579691235</c:v>
                </c:pt>
                <c:pt idx="22">
                  <c:v>0.000106348716683139</c:v>
                </c:pt>
                <c:pt idx="23">
                  <c:v>0.000106679273972285</c:v>
                </c:pt>
                <c:pt idx="24">
                  <c:v>0.000106889488937134</c:v>
                </c:pt>
                <c:pt idx="25">
                  <c:v>0.000107075518066712</c:v>
                </c:pt>
                <c:pt idx="26">
                  <c:v>0.000107192943040228</c:v>
                </c:pt>
                <c:pt idx="27">
                  <c:v>0.000107167169497148</c:v>
                </c:pt>
                <c:pt idx="28">
                  <c:v>0.000107361502539125</c:v>
                </c:pt>
                <c:pt idx="29">
                  <c:v>0.000107281654416558</c:v>
                </c:pt>
                <c:pt idx="30">
                  <c:v>0.000107191152081776</c:v>
                </c:pt>
                <c:pt idx="31">
                  <c:v>0.000107019693556141</c:v>
                </c:pt>
                <c:pt idx="32">
                  <c:v>0.000106794039695623</c:v>
                </c:pt>
                <c:pt idx="33">
                  <c:v>0.000106476187897836</c:v>
                </c:pt>
                <c:pt idx="34">
                  <c:v>0.000106096125872277</c:v>
                </c:pt>
                <c:pt idx="35">
                  <c:v>0.000105709030083932</c:v>
                </c:pt>
                <c:pt idx="36">
                  <c:v>0.000105218693803848</c:v>
                </c:pt>
                <c:pt idx="37">
                  <c:v>0.000104754005294226</c:v>
                </c:pt>
                <c:pt idx="38">
                  <c:v>0.000104274167066675</c:v>
                </c:pt>
                <c:pt idx="39">
                  <c:v>0.000103751134007523</c:v>
                </c:pt>
                <c:pt idx="40">
                  <c:v>0.000103196810030016</c:v>
                </c:pt>
                <c:pt idx="41">
                  <c:v>0.000102578238520852</c:v>
                </c:pt>
                <c:pt idx="42">
                  <c:v>0.000101982964437827</c:v>
                </c:pt>
                <c:pt idx="43">
                  <c:v>0.000101213494243104</c:v>
                </c:pt>
                <c:pt idx="44">
                  <c:v>0.000100515412894479</c:v>
                </c:pt>
                <c:pt idx="45">
                  <c:v>9.9750158798892E-005</c:v>
                </c:pt>
                <c:pt idx="46">
                  <c:v>9.91264418957275E-005</c:v>
                </c:pt>
                <c:pt idx="47">
                  <c:v>9.83621973495657E-005</c:v>
                </c:pt>
                <c:pt idx="48">
                  <c:v>9.74721265314058E-005</c:v>
                </c:pt>
                <c:pt idx="49">
                  <c:v>9.66484611885609E-005</c:v>
                </c:pt>
                <c:pt idx="50">
                  <c:v>9.56783137766253E-005</c:v>
                </c:pt>
                <c:pt idx="51">
                  <c:v>9.48740552189401E-005</c:v>
                </c:pt>
                <c:pt idx="52">
                  <c:v>9.40525782352745E-005</c:v>
                </c:pt>
                <c:pt idx="53">
                  <c:v>9.3225821767325E-005</c:v>
                </c:pt>
                <c:pt idx="54">
                  <c:v>9.22887571445332E-005</c:v>
                </c:pt>
                <c:pt idx="55">
                  <c:v>9.119554708117E-005</c:v>
                </c:pt>
                <c:pt idx="56">
                  <c:v>9.0290909377237E-005</c:v>
                </c:pt>
                <c:pt idx="57">
                  <c:v>8.92343528686791E-005</c:v>
                </c:pt>
                <c:pt idx="58">
                  <c:v>8.84578594794441E-005</c:v>
                </c:pt>
                <c:pt idx="59">
                  <c:v>8.76264279855426E-005</c:v>
                </c:pt>
                <c:pt idx="60">
                  <c:v>8.66621251875911E-005</c:v>
                </c:pt>
                <c:pt idx="61">
                  <c:v>8.57413841380381E-005</c:v>
                </c:pt>
                <c:pt idx="62">
                  <c:v>8.47875341436264E-005</c:v>
                </c:pt>
                <c:pt idx="63">
                  <c:v>8.38374009064981E-005</c:v>
                </c:pt>
                <c:pt idx="64">
                  <c:v>8.27589947131603E-005</c:v>
                </c:pt>
                <c:pt idx="65">
                  <c:v>8.20870801112511E-005</c:v>
                </c:pt>
                <c:pt idx="66">
                  <c:v>8.11914689815051E-005</c:v>
                </c:pt>
                <c:pt idx="67">
                  <c:v>8.0127551400445E-005</c:v>
                </c:pt>
                <c:pt idx="68">
                  <c:v>7.92253150436063E-005</c:v>
                </c:pt>
                <c:pt idx="69">
                  <c:v>7.83351330060285E-005</c:v>
                </c:pt>
                <c:pt idx="70">
                  <c:v>7.71877267677427E-005</c:v>
                </c:pt>
                <c:pt idx="71">
                  <c:v>7.63229472246278E-005</c:v>
                </c:pt>
                <c:pt idx="72">
                  <c:v>7.54731882656811E-005</c:v>
                </c:pt>
                <c:pt idx="73">
                  <c:v>7.46204674400467E-005</c:v>
                </c:pt>
                <c:pt idx="74">
                  <c:v>7.38218463815053E-005</c:v>
                </c:pt>
                <c:pt idx="75">
                  <c:v>7.26588315123862E-005</c:v>
                </c:pt>
                <c:pt idx="76">
                  <c:v>7.18628826159366E-005</c:v>
                </c:pt>
                <c:pt idx="77">
                  <c:v>7.0927083531233E-005</c:v>
                </c:pt>
                <c:pt idx="78">
                  <c:v>6.99151712252287E-005</c:v>
                </c:pt>
                <c:pt idx="79">
                  <c:v>6.8782072679336E-005</c:v>
                </c:pt>
                <c:pt idx="80">
                  <c:v>6.78991698317654E-005</c:v>
                </c:pt>
                <c:pt idx="81">
                  <c:v>6.67183486702569E-005</c:v>
                </c:pt>
                <c:pt idx="82">
                  <c:v>6.62263942144341E-005</c:v>
                </c:pt>
                <c:pt idx="83">
                  <c:v>6.52348015694887E-005</c:v>
                </c:pt>
                <c:pt idx="84">
                  <c:v>6.40297150938124E-005</c:v>
                </c:pt>
                <c:pt idx="85">
                  <c:v>6.33209433540103E-005</c:v>
                </c:pt>
                <c:pt idx="86">
                  <c:v>6.24061593640745E-005</c:v>
                </c:pt>
                <c:pt idx="87">
                  <c:v>6.17014391455914E-005</c:v>
                </c:pt>
                <c:pt idx="88">
                  <c:v>6.10505086522443E-005</c:v>
                </c:pt>
                <c:pt idx="89">
                  <c:v>6.04767031604864E-005</c:v>
                </c:pt>
                <c:pt idx="90">
                  <c:v>5.92910854351876E-005</c:v>
                </c:pt>
                <c:pt idx="91">
                  <c:v>5.83879666376029E-005</c:v>
                </c:pt>
                <c:pt idx="92">
                  <c:v>5.75048132775297E-005</c:v>
                </c:pt>
                <c:pt idx="93">
                  <c:v>5.70766279656373E-005</c:v>
                </c:pt>
                <c:pt idx="94">
                  <c:v>5.64544236766304E-005</c:v>
                </c:pt>
                <c:pt idx="95">
                  <c:v>5.53400150222324E-005</c:v>
                </c:pt>
                <c:pt idx="96">
                  <c:v>5.5771521375686E-005</c:v>
                </c:pt>
                <c:pt idx="97">
                  <c:v>5.31075710285147E-005</c:v>
                </c:pt>
                <c:pt idx="98">
                  <c:v>5.30716286773044E-005</c:v>
                </c:pt>
                <c:pt idx="99">
                  <c:v>5.36356459842167E-005</c:v>
                </c:pt>
                <c:pt idx="100">
                  <c:v>5.21919903219432E-005</c:v>
                </c:pt>
                <c:pt idx="101">
                  <c:v>5.42751655611143E-005</c:v>
                </c:pt>
                <c:pt idx="102">
                  <c:v>5.13923126728129E-005</c:v>
                </c:pt>
                <c:pt idx="103">
                  <c:v>5.17438712593072E-005</c:v>
                </c:pt>
                <c:pt idx="104">
                  <c:v>5.00625746337145E-005</c:v>
                </c:pt>
                <c:pt idx="105">
                  <c:v>4.88317100140974E-005</c:v>
                </c:pt>
                <c:pt idx="106">
                  <c:v>4.99144818280776E-005</c:v>
                </c:pt>
                <c:pt idx="107">
                  <c:v>4.72059932820185E-005</c:v>
                </c:pt>
                <c:pt idx="108">
                  <c:v>4.84866844563005E-005</c:v>
                </c:pt>
                <c:pt idx="109">
                  <c:v>5.05851152785657E-005</c:v>
                </c:pt>
                <c:pt idx="110">
                  <c:v>4.71543583909592E-005</c:v>
                </c:pt>
                <c:pt idx="111">
                  <c:v>4.57542304783747E-005</c:v>
                </c:pt>
                <c:pt idx="112">
                  <c:v>4.67733811523033E-005</c:v>
                </c:pt>
                <c:pt idx="113">
                  <c:v>4.53493653235209E-005</c:v>
                </c:pt>
                <c:pt idx="114">
                  <c:v>4.23873165612146E-005</c:v>
                </c:pt>
                <c:pt idx="115">
                  <c:v>4.38802604956901E-005</c:v>
                </c:pt>
                <c:pt idx="116">
                  <c:v>4.45879763811556E-005</c:v>
                </c:pt>
                <c:pt idx="117">
                  <c:v>4.60339676618632E-005</c:v>
                </c:pt>
                <c:pt idx="118">
                  <c:v>4.34937685303974E-005</c:v>
                </c:pt>
                <c:pt idx="119">
                  <c:v>4.33326826545336E-005</c:v>
                </c:pt>
                <c:pt idx="120">
                  <c:v>4.0395135250502E-005</c:v>
                </c:pt>
                <c:pt idx="121">
                  <c:v>4.15605327697615E-005</c:v>
                </c:pt>
                <c:pt idx="122">
                  <c:v>4.22701329220845E-005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Plots!$P$1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Plots!$P$3:$P$127</c:f>
              <c:numCache>
                <c:formatCode>General</c:formatCode>
                <c:ptCount val="125"/>
                <c:pt idx="0">
                  <c:v>2004676035789760</c:v>
                </c:pt>
                <c:pt idx="1">
                  <c:v>20960298182072300</c:v>
                </c:pt>
                <c:pt idx="2">
                  <c:v>36045687412734500</c:v>
                </c:pt>
                <c:pt idx="3">
                  <c:v>43264879117805700</c:v>
                </c:pt>
                <c:pt idx="4">
                  <c:v>44320836625102400</c:v>
                </c:pt>
                <c:pt idx="5">
                  <c:v>43306468278191900</c:v>
                </c:pt>
                <c:pt idx="6">
                  <c:v>41801184363540300</c:v>
                </c:pt>
                <c:pt idx="7">
                  <c:v>40211074994375900</c:v>
                </c:pt>
                <c:pt idx="8">
                  <c:v>38590037841840600</c:v>
                </c:pt>
                <c:pt idx="9">
                  <c:v>36969385467211100</c:v>
                </c:pt>
                <c:pt idx="10">
                  <c:v>35368347213979000</c:v>
                </c:pt>
                <c:pt idx="11">
                  <c:v>33798491800433500</c:v>
                </c:pt>
                <c:pt idx="12">
                  <c:v>32257668575173500</c:v>
                </c:pt>
                <c:pt idx="13">
                  <c:v>30758223330697200</c:v>
                </c:pt>
                <c:pt idx="14">
                  <c:v>29301747088337900</c:v>
                </c:pt>
                <c:pt idx="15">
                  <c:v>27908382871968700</c:v>
                </c:pt>
                <c:pt idx="16">
                  <c:v>26557590376422500</c:v>
                </c:pt>
                <c:pt idx="17">
                  <c:v>25253174002962000</c:v>
                </c:pt>
                <c:pt idx="18">
                  <c:v>23999271706473300</c:v>
                </c:pt>
                <c:pt idx="19">
                  <c:v>22786919114671100</c:v>
                </c:pt>
                <c:pt idx="20">
                  <c:v>21625881392207200</c:v>
                </c:pt>
                <c:pt idx="21">
                  <c:v>20516647069219000</c:v>
                </c:pt>
                <c:pt idx="22">
                  <c:v>19453403752268900</c:v>
                </c:pt>
                <c:pt idx="23">
                  <c:v>18431261988279100</c:v>
                </c:pt>
                <c:pt idx="24">
                  <c:v>17463623638779500</c:v>
                </c:pt>
                <c:pt idx="25">
                  <c:v>16536522318942300</c:v>
                </c:pt>
                <c:pt idx="26">
                  <c:v>15662040126667900</c:v>
                </c:pt>
                <c:pt idx="27">
                  <c:v>14823557315025000</c:v>
                </c:pt>
                <c:pt idx="28">
                  <c:v>14028554823397700</c:v>
                </c:pt>
                <c:pt idx="29">
                  <c:v>13266464817337500</c:v>
                </c:pt>
                <c:pt idx="30">
                  <c:v>12547263345641400</c:v>
                </c:pt>
                <c:pt idx="31">
                  <c:v>11869788910024700</c:v>
                </c:pt>
                <c:pt idx="32">
                  <c:v>11222645468675400</c:v>
                </c:pt>
                <c:pt idx="33">
                  <c:v>10606064002708800</c:v>
                </c:pt>
                <c:pt idx="34">
                  <c:v>10025332222574000</c:v>
                </c:pt>
                <c:pt idx="35">
                  <c:v>9475133734526550</c:v>
                </c:pt>
                <c:pt idx="36">
                  <c:v>8948189384651190</c:v>
                </c:pt>
                <c:pt idx="37">
                  <c:v>8453060155627950</c:v>
                </c:pt>
                <c:pt idx="38">
                  <c:v>7984428313760080</c:v>
                </c:pt>
                <c:pt idx="39">
                  <c:v>7537157954184700</c:v>
                </c:pt>
                <c:pt idx="40">
                  <c:v>7110427222294900</c:v>
                </c:pt>
                <c:pt idx="41">
                  <c:v>6715082299011590</c:v>
                </c:pt>
                <c:pt idx="42">
                  <c:v>6336706629234850</c:v>
                </c:pt>
                <c:pt idx="43">
                  <c:v>5974301189213850</c:v>
                </c:pt>
                <c:pt idx="44">
                  <c:v>5638562908299380</c:v>
                </c:pt>
                <c:pt idx="45">
                  <c:v>5320228799585630</c:v>
                </c:pt>
                <c:pt idx="46">
                  <c:v>5016812554666230</c:v>
                </c:pt>
                <c:pt idx="47">
                  <c:v>4735962839968110</c:v>
                </c:pt>
                <c:pt idx="48">
                  <c:v>4467591617310890</c:v>
                </c:pt>
                <c:pt idx="49">
                  <c:v>4211480651931450</c:v>
                </c:pt>
                <c:pt idx="50">
                  <c:v>3967693104401420</c:v>
                </c:pt>
                <c:pt idx="51">
                  <c:v>3740310066381900</c:v>
                </c:pt>
                <c:pt idx="52">
                  <c:v>3524035876440600</c:v>
                </c:pt>
                <c:pt idx="53">
                  <c:v>3322345661497710</c:v>
                </c:pt>
                <c:pt idx="54">
                  <c:v>3129277590063860</c:v>
                </c:pt>
                <c:pt idx="55">
                  <c:v>2951819822269660</c:v>
                </c:pt>
                <c:pt idx="56">
                  <c:v>2777682408296090</c:v>
                </c:pt>
                <c:pt idx="57">
                  <c:v>2619969228728820</c:v>
                </c:pt>
                <c:pt idx="58">
                  <c:v>2465867578626190</c:v>
                </c:pt>
                <c:pt idx="59">
                  <c:v>2321430549850920</c:v>
                </c:pt>
                <c:pt idx="60">
                  <c:v>2189675758212370</c:v>
                </c:pt>
                <c:pt idx="61">
                  <c:v>2055782638859290</c:v>
                </c:pt>
                <c:pt idx="62">
                  <c:v>1938838506222710</c:v>
                </c:pt>
                <c:pt idx="63">
                  <c:v>1824502157802480</c:v>
                </c:pt>
                <c:pt idx="64">
                  <c:v>1716369335180350</c:v>
                </c:pt>
                <c:pt idx="65">
                  <c:v>1616745770020370</c:v>
                </c:pt>
                <c:pt idx="66">
                  <c:v>1528415103410730</c:v>
                </c:pt>
                <c:pt idx="67">
                  <c:v>1436051468417070</c:v>
                </c:pt>
                <c:pt idx="68">
                  <c:v>1351391792729370</c:v>
                </c:pt>
                <c:pt idx="69">
                  <c:v>1268002063999420</c:v>
                </c:pt>
                <c:pt idx="70">
                  <c:v>1196776594469380</c:v>
                </c:pt>
                <c:pt idx="71">
                  <c:v>1121946447707120</c:v>
                </c:pt>
                <c:pt idx="72">
                  <c:v>1056608647583440</c:v>
                </c:pt>
                <c:pt idx="73">
                  <c:v>994043456038548</c:v>
                </c:pt>
                <c:pt idx="74">
                  <c:v>933124645506990</c:v>
                </c:pt>
                <c:pt idx="75">
                  <c:v>878876964122356</c:v>
                </c:pt>
                <c:pt idx="76">
                  <c:v>826440995970142</c:v>
                </c:pt>
                <c:pt idx="77">
                  <c:v>775715765228819</c:v>
                </c:pt>
                <c:pt idx="78">
                  <c:v>729692555776309</c:v>
                </c:pt>
                <c:pt idx="79">
                  <c:v>683978185696931</c:v>
                </c:pt>
                <c:pt idx="80">
                  <c:v>647164011417494</c:v>
                </c:pt>
                <c:pt idx="81">
                  <c:v>604615020767508</c:v>
                </c:pt>
                <c:pt idx="82">
                  <c:v>565916222748911</c:v>
                </c:pt>
                <c:pt idx="83">
                  <c:v>535215032885652</c:v>
                </c:pt>
                <c:pt idx="84">
                  <c:v>501668259571062</c:v>
                </c:pt>
                <c:pt idx="85">
                  <c:v>468164753243438</c:v>
                </c:pt>
                <c:pt idx="86">
                  <c:v>441675878509457</c:v>
                </c:pt>
                <c:pt idx="87">
                  <c:v>415121840942697</c:v>
                </c:pt>
                <c:pt idx="88">
                  <c:v>384602347959655</c:v>
                </c:pt>
                <c:pt idx="89">
                  <c:v>361491358511655</c:v>
                </c:pt>
                <c:pt idx="90">
                  <c:v>343423046073851</c:v>
                </c:pt>
                <c:pt idx="91">
                  <c:v>319558456479828</c:v>
                </c:pt>
                <c:pt idx="92">
                  <c:v>299604815143410</c:v>
                </c:pt>
                <c:pt idx="93">
                  <c:v>280044528836361</c:v>
                </c:pt>
                <c:pt idx="94">
                  <c:v>262558575276385</c:v>
                </c:pt>
                <c:pt idx="95">
                  <c:v>245741996373023</c:v>
                </c:pt>
                <c:pt idx="96">
                  <c:v>229966144776084</c:v>
                </c:pt>
                <c:pt idx="97">
                  <c:v>214576777439057</c:v>
                </c:pt>
                <c:pt idx="98">
                  <c:v>197942258383290</c:v>
                </c:pt>
                <c:pt idx="99">
                  <c:v>191237328346566</c:v>
                </c:pt>
                <c:pt idx="100">
                  <c:v>172997282629753</c:v>
                </c:pt>
                <c:pt idx="101">
                  <c:v>165373080710115</c:v>
                </c:pt>
                <c:pt idx="102">
                  <c:v>155057056293363</c:v>
                </c:pt>
                <c:pt idx="103">
                  <c:v>145908683557363</c:v>
                </c:pt>
                <c:pt idx="104">
                  <c:v>134492121780779</c:v>
                </c:pt>
                <c:pt idx="105">
                  <c:v>125402858860297</c:v>
                </c:pt>
                <c:pt idx="106">
                  <c:v>119562016396826</c:v>
                </c:pt>
                <c:pt idx="107">
                  <c:v>105204528944819</c:v>
                </c:pt>
                <c:pt idx="108">
                  <c:v>99187703556521</c:v>
                </c:pt>
                <c:pt idx="109">
                  <c:v>96226784814166.9</c:v>
                </c:pt>
                <c:pt idx="110">
                  <c:v>92480271240437.1</c:v>
                </c:pt>
                <c:pt idx="111">
                  <c:v>79169262090557.5</c:v>
                </c:pt>
                <c:pt idx="112">
                  <c:v>77229342799735.7</c:v>
                </c:pt>
                <c:pt idx="113">
                  <c:v>74366246911340.8</c:v>
                </c:pt>
                <c:pt idx="114">
                  <c:v>63198506452229.9</c:v>
                </c:pt>
                <c:pt idx="115">
                  <c:v>58356864236587.1</c:v>
                </c:pt>
                <c:pt idx="116">
                  <c:v>56144279922700</c:v>
                </c:pt>
                <c:pt idx="117">
                  <c:v>53655816618654.3</c:v>
                </c:pt>
                <c:pt idx="118">
                  <c:v>50016502184697.5</c:v>
                </c:pt>
                <c:pt idx="119">
                  <c:v>49279555081474</c:v>
                </c:pt>
                <c:pt idx="120">
                  <c:v>43248639523627</c:v>
                </c:pt>
                <c:pt idx="121">
                  <c:v>35198889371544.2</c:v>
                </c:pt>
                <c:pt idx="122">
                  <c:v>33590061060974</c:v>
                </c:pt>
                <c:pt idx="123">
                  <c:v>31981500276191.8</c:v>
                </c:pt>
                <c:pt idx="124">
                  <c:v>32670811700600.8</c:v>
                </c:pt>
              </c:numCache>
            </c:numRef>
          </c:xVal>
          <c:yVal>
            <c:numRef>
              <c:f>Plots!$Q$3:$Q$127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9.95298323406143E-005</c:v>
                </c:pt>
                <c:pt idx="3">
                  <c:v>9.59647816848775E-005</c:v>
                </c:pt>
                <c:pt idx="4">
                  <c:v>9.03521696910496E-005</c:v>
                </c:pt>
                <c:pt idx="5">
                  <c:v>8.7470000732657E-005</c:v>
                </c:pt>
                <c:pt idx="6">
                  <c:v>8.76773819368835E-005</c:v>
                </c:pt>
                <c:pt idx="7">
                  <c:v>8.91420340913477E-005</c:v>
                </c:pt>
                <c:pt idx="8">
                  <c:v>9.06884934954431E-005</c:v>
                </c:pt>
                <c:pt idx="9">
                  <c:v>9.20835368172027E-005</c:v>
                </c:pt>
                <c:pt idx="10">
                  <c:v>9.3399789894543E-005</c:v>
                </c:pt>
                <c:pt idx="11">
                  <c:v>9.46058662911714E-005</c:v>
                </c:pt>
                <c:pt idx="12">
                  <c:v>9.5731389998149E-005</c:v>
                </c:pt>
                <c:pt idx="13">
                  <c:v>9.67775089001428E-005</c:v>
                </c:pt>
                <c:pt idx="14">
                  <c:v>9.77174679715591E-005</c:v>
                </c:pt>
                <c:pt idx="15">
                  <c:v>9.85973313722103E-005</c:v>
                </c:pt>
                <c:pt idx="16">
                  <c:v>9.93654264682816E-005</c:v>
                </c:pt>
                <c:pt idx="17">
                  <c:v>0.000100047116492984</c:v>
                </c:pt>
                <c:pt idx="18">
                  <c:v>0.000100676273041447</c:v>
                </c:pt>
                <c:pt idx="19">
                  <c:v>0.000101217229840641</c:v>
                </c:pt>
                <c:pt idx="20">
                  <c:v>0.000101672302894072</c:v>
                </c:pt>
                <c:pt idx="21">
                  <c:v>0.00010205621527838</c:v>
                </c:pt>
                <c:pt idx="22">
                  <c:v>0.000102355957082996</c:v>
                </c:pt>
                <c:pt idx="23">
                  <c:v>0.000102573654270879</c:v>
                </c:pt>
                <c:pt idx="24">
                  <c:v>0.000102778699072961</c:v>
                </c:pt>
                <c:pt idx="25">
                  <c:v>0.000102862728050259</c:v>
                </c:pt>
                <c:pt idx="26">
                  <c:v>0.000102941581372381</c:v>
                </c:pt>
                <c:pt idx="27">
                  <c:v>0.000102914607744814</c:v>
                </c:pt>
                <c:pt idx="28">
                  <c:v>0.000102903850735372</c:v>
                </c:pt>
                <c:pt idx="29">
                  <c:v>0.000102912921381452</c:v>
                </c:pt>
                <c:pt idx="30">
                  <c:v>0.000102744632059719</c:v>
                </c:pt>
                <c:pt idx="31">
                  <c:v>0.000102554392527593</c:v>
                </c:pt>
                <c:pt idx="32">
                  <c:v>0.000102260745308786</c:v>
                </c:pt>
                <c:pt idx="33">
                  <c:v>0.000101888625456411</c:v>
                </c:pt>
                <c:pt idx="34">
                  <c:v>0.000101545158209976</c:v>
                </c:pt>
                <c:pt idx="35">
                  <c:v>0.000101131273835165</c:v>
                </c:pt>
                <c:pt idx="36">
                  <c:v>0.000100670649697864</c:v>
                </c:pt>
                <c:pt idx="37">
                  <c:v>0.000100141468898875</c:v>
                </c:pt>
                <c:pt idx="38">
                  <c:v>9.95914452462932E-005</c:v>
                </c:pt>
                <c:pt idx="39">
                  <c:v>9.9029034344377E-005</c:v>
                </c:pt>
                <c:pt idx="40">
                  <c:v>9.84127347538269E-005</c:v>
                </c:pt>
                <c:pt idx="41">
                  <c:v>9.78246741545092E-005</c:v>
                </c:pt>
                <c:pt idx="42">
                  <c:v>9.71890377001165E-005</c:v>
                </c:pt>
                <c:pt idx="43">
                  <c:v>9.63850608003039E-005</c:v>
                </c:pt>
                <c:pt idx="44">
                  <c:v>9.57196208925996E-005</c:v>
                </c:pt>
                <c:pt idx="45">
                  <c:v>9.49942546996527E-005</c:v>
                </c:pt>
                <c:pt idx="46">
                  <c:v>9.41866597635766E-005</c:v>
                </c:pt>
                <c:pt idx="47">
                  <c:v>9.34628803607068E-005</c:v>
                </c:pt>
                <c:pt idx="48">
                  <c:v>9.26711758942739E-005</c:v>
                </c:pt>
                <c:pt idx="49">
                  <c:v>9.17831359874855E-005</c:v>
                </c:pt>
                <c:pt idx="50">
                  <c:v>9.08648667742468E-005</c:v>
                </c:pt>
                <c:pt idx="51">
                  <c:v>9.00210771075714E-005</c:v>
                </c:pt>
                <c:pt idx="52">
                  <c:v>8.90969488795636E-005</c:v>
                </c:pt>
                <c:pt idx="53">
                  <c:v>8.82448819866801E-005</c:v>
                </c:pt>
                <c:pt idx="54">
                  <c:v>8.73307206870225E-005</c:v>
                </c:pt>
                <c:pt idx="55">
                  <c:v>8.65020617361276E-005</c:v>
                </c:pt>
                <c:pt idx="56">
                  <c:v>8.5483779325637E-005</c:v>
                </c:pt>
                <c:pt idx="57">
                  <c:v>8.46168145159715E-005</c:v>
                </c:pt>
                <c:pt idx="58">
                  <c:v>8.36331413590626E-005</c:v>
                </c:pt>
                <c:pt idx="59">
                  <c:v>8.26712579868099E-005</c:v>
                </c:pt>
                <c:pt idx="60">
                  <c:v>8.19092182774958E-005</c:v>
                </c:pt>
                <c:pt idx="61">
                  <c:v>8.06836560370351E-005</c:v>
                </c:pt>
                <c:pt idx="62">
                  <c:v>8.00633470391375E-005</c:v>
                </c:pt>
                <c:pt idx="63">
                  <c:v>7.91887304502998E-005</c:v>
                </c:pt>
                <c:pt idx="64">
                  <c:v>7.82337753961999E-005</c:v>
                </c:pt>
                <c:pt idx="65">
                  <c:v>7.72993721732128E-005</c:v>
                </c:pt>
                <c:pt idx="66">
                  <c:v>7.67419458430091E-005</c:v>
                </c:pt>
                <c:pt idx="67">
                  <c:v>7.55733556704671E-005</c:v>
                </c:pt>
                <c:pt idx="68">
                  <c:v>7.47223755298886E-005</c:v>
                </c:pt>
                <c:pt idx="69">
                  <c:v>7.35737257863023E-005</c:v>
                </c:pt>
                <c:pt idx="70">
                  <c:v>7.2958910462469E-005</c:v>
                </c:pt>
                <c:pt idx="71">
                  <c:v>7.1794317309984E-005</c:v>
                </c:pt>
                <c:pt idx="72">
                  <c:v>7.09161025911573E-005</c:v>
                </c:pt>
                <c:pt idx="73">
                  <c:v>7.00005192567473E-005</c:v>
                </c:pt>
                <c:pt idx="74">
                  <c:v>6.90209790008875E-005</c:v>
                </c:pt>
                <c:pt idx="75">
                  <c:v>6.82417683506625E-005</c:v>
                </c:pt>
                <c:pt idx="76">
                  <c:v>6.73152999127907E-005</c:v>
                </c:pt>
                <c:pt idx="77">
                  <c:v>6.63610898263069E-005</c:v>
                </c:pt>
                <c:pt idx="78">
                  <c:v>6.56844611285286E-005</c:v>
                </c:pt>
                <c:pt idx="79">
                  <c:v>6.46507726299352E-005</c:v>
                </c:pt>
                <c:pt idx="80">
                  <c:v>6.42839527205564E-005</c:v>
                </c:pt>
                <c:pt idx="81">
                  <c:v>6.3059944979135E-005</c:v>
                </c:pt>
                <c:pt idx="82">
                  <c:v>6.18291534680327E-005</c:v>
                </c:pt>
                <c:pt idx="83">
                  <c:v>6.13880193057675E-005</c:v>
                </c:pt>
                <c:pt idx="84">
                  <c:v>6.06377419068532E-005</c:v>
                </c:pt>
                <c:pt idx="85">
                  <c:v>5.9538509475912E-005</c:v>
                </c:pt>
                <c:pt idx="86">
                  <c:v>5.88684370966643E-005</c:v>
                </c:pt>
                <c:pt idx="87">
                  <c:v>5.79989034737946E-005</c:v>
                </c:pt>
                <c:pt idx="88">
                  <c:v>5.67701188580991E-005</c:v>
                </c:pt>
                <c:pt idx="89">
                  <c:v>5.61999252377815E-005</c:v>
                </c:pt>
                <c:pt idx="90">
                  <c:v>5.62067634907299E-005</c:v>
                </c:pt>
                <c:pt idx="91">
                  <c:v>5.50015624121654E-005</c:v>
                </c:pt>
                <c:pt idx="92">
                  <c:v>5.42690237964176E-005</c:v>
                </c:pt>
                <c:pt idx="93">
                  <c:v>5.3684833200243E-005</c:v>
                </c:pt>
                <c:pt idx="94">
                  <c:v>5.28087037304257E-005</c:v>
                </c:pt>
                <c:pt idx="95">
                  <c:v>5.2223789133791E-005</c:v>
                </c:pt>
                <c:pt idx="96">
                  <c:v>5.14225135163423E-005</c:v>
                </c:pt>
                <c:pt idx="97">
                  <c:v>5.05550961024301E-005</c:v>
                </c:pt>
                <c:pt idx="98">
                  <c:v>4.90313411098292E-005</c:v>
                </c:pt>
                <c:pt idx="99">
                  <c:v>5.00271900831767E-005</c:v>
                </c:pt>
                <c:pt idx="100">
                  <c:v>4.80092024106223E-005</c:v>
                </c:pt>
                <c:pt idx="101">
                  <c:v>4.83829009307339E-005</c:v>
                </c:pt>
                <c:pt idx="102">
                  <c:v>4.83259341676256E-005</c:v>
                </c:pt>
                <c:pt idx="103">
                  <c:v>4.76566318540575E-005</c:v>
                </c:pt>
                <c:pt idx="104">
                  <c:v>4.6223768027722E-005</c:v>
                </c:pt>
                <c:pt idx="105">
                  <c:v>4.55858593159445E-005</c:v>
                </c:pt>
                <c:pt idx="106">
                  <c:v>4.59583947001245E-005</c:v>
                </c:pt>
                <c:pt idx="107">
                  <c:v>4.29214350722061E-005</c:v>
                </c:pt>
                <c:pt idx="108">
                  <c:v>4.32378194076427E-005</c:v>
                </c:pt>
                <c:pt idx="109">
                  <c:v>4.44375133042732E-005</c:v>
                </c:pt>
                <c:pt idx="110">
                  <c:v>4.52921895425213E-005</c:v>
                </c:pt>
                <c:pt idx="111">
                  <c:v>4.1108261437985E-005</c:v>
                </c:pt>
                <c:pt idx="112">
                  <c:v>4.20654768882394E-005</c:v>
                </c:pt>
                <c:pt idx="113">
                  <c:v>4.35414540527301E-005</c:v>
                </c:pt>
                <c:pt idx="114">
                  <c:v>3.92575549892417E-005</c:v>
                </c:pt>
                <c:pt idx="115">
                  <c:v>3.86938177779876E-005</c:v>
                </c:pt>
                <c:pt idx="116">
                  <c:v>3.98690268555207E-005</c:v>
                </c:pt>
                <c:pt idx="117">
                  <c:v>4.14484774942252E-005</c:v>
                </c:pt>
                <c:pt idx="118">
                  <c:v>4.07272481387011E-005</c:v>
                </c:pt>
                <c:pt idx="119">
                  <c:v>4.16968439896625E-005</c:v>
                </c:pt>
                <c:pt idx="120">
                  <c:v>3.88104388193849E-005</c:v>
                </c:pt>
                <c:pt idx="121">
                  <c:v>3.3636999487473E-005</c:v>
                </c:pt>
                <c:pt idx="122">
                  <c:v>3.51146136062958E-005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8"/>
          <c:order val="8"/>
          <c:tx>
            <c:strRef>
              <c:f>Plots!$R$1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Plots!$R$3:$R$127</c:f>
              <c:numCache>
                <c:formatCode>General</c:formatCode>
                <c:ptCount val="125"/>
                <c:pt idx="0">
                  <c:v>8182873324811950</c:v>
                </c:pt>
                <c:pt idx="1">
                  <c:v>28136571936278500</c:v>
                </c:pt>
                <c:pt idx="2">
                  <c:v>38543132062459800</c:v>
                </c:pt>
                <c:pt idx="3">
                  <c:v>42478863067702500</c:v>
                </c:pt>
                <c:pt idx="4">
                  <c:v>42270689952140400</c:v>
                </c:pt>
                <c:pt idx="5">
                  <c:v>40997726910531700</c:v>
                </c:pt>
                <c:pt idx="6">
                  <c:v>39410700377268800</c:v>
                </c:pt>
                <c:pt idx="7">
                  <c:v>37799434634481600</c:v>
                </c:pt>
                <c:pt idx="8">
                  <c:v>36189315953190400</c:v>
                </c:pt>
                <c:pt idx="9">
                  <c:v>34619472681072700</c:v>
                </c:pt>
                <c:pt idx="10">
                  <c:v>33062564306871400</c:v>
                </c:pt>
                <c:pt idx="11">
                  <c:v>31537653515174600</c:v>
                </c:pt>
                <c:pt idx="12">
                  <c:v>30055628636895800</c:v>
                </c:pt>
                <c:pt idx="13">
                  <c:v>28623312973898500</c:v>
                </c:pt>
                <c:pt idx="14">
                  <c:v>27239811216930800</c:v>
                </c:pt>
                <c:pt idx="15">
                  <c:v>25910195288970300</c:v>
                </c:pt>
                <c:pt idx="16">
                  <c:v>24622026156101500</c:v>
                </c:pt>
                <c:pt idx="17">
                  <c:v>23376976156696800</c:v>
                </c:pt>
                <c:pt idx="18">
                  <c:v>22177395919663300</c:v>
                </c:pt>
                <c:pt idx="19">
                  <c:v>21030068898755000</c:v>
                </c:pt>
                <c:pt idx="20">
                  <c:v>19932475591004800</c:v>
                </c:pt>
                <c:pt idx="21">
                  <c:v>18883354543914400</c:v>
                </c:pt>
                <c:pt idx="22">
                  <c:v>17884137423651300</c:v>
                </c:pt>
                <c:pt idx="23">
                  <c:v>16930193913255900</c:v>
                </c:pt>
                <c:pt idx="24">
                  <c:v>16018950571637800</c:v>
                </c:pt>
                <c:pt idx="25">
                  <c:v>15153173726118900</c:v>
                </c:pt>
                <c:pt idx="26">
                  <c:v>14334053293906400</c:v>
                </c:pt>
                <c:pt idx="27">
                  <c:v>13551188857962100</c:v>
                </c:pt>
                <c:pt idx="28">
                  <c:v>12809923808033700</c:v>
                </c:pt>
                <c:pt idx="29">
                  <c:v>12100121082920100</c:v>
                </c:pt>
                <c:pt idx="30">
                  <c:v>11439606348797800</c:v>
                </c:pt>
                <c:pt idx="31">
                  <c:v>10809777529374900</c:v>
                </c:pt>
                <c:pt idx="32">
                  <c:v>10205972939407100</c:v>
                </c:pt>
                <c:pt idx="33">
                  <c:v>9639008575988310</c:v>
                </c:pt>
                <c:pt idx="34">
                  <c:v>9098124819424570</c:v>
                </c:pt>
                <c:pt idx="35">
                  <c:v>8590131613968400</c:v>
                </c:pt>
                <c:pt idx="36">
                  <c:v>8104394881496200</c:v>
                </c:pt>
                <c:pt idx="37">
                  <c:v>7644401439804290</c:v>
                </c:pt>
                <c:pt idx="38">
                  <c:v>7210736447019500</c:v>
                </c:pt>
                <c:pt idx="39">
                  <c:v>6803836095979500</c:v>
                </c:pt>
                <c:pt idx="40">
                  <c:v>6418170509199850</c:v>
                </c:pt>
                <c:pt idx="41">
                  <c:v>6051971576714230</c:v>
                </c:pt>
                <c:pt idx="42">
                  <c:v>5704840925070160</c:v>
                </c:pt>
                <c:pt idx="43">
                  <c:v>5384337682492520</c:v>
                </c:pt>
                <c:pt idx="44">
                  <c:v>5074170343827390</c:v>
                </c:pt>
                <c:pt idx="45">
                  <c:v>4781015270690880</c:v>
                </c:pt>
                <c:pt idx="46">
                  <c:v>4511924087190440</c:v>
                </c:pt>
                <c:pt idx="47">
                  <c:v>4251039315689200</c:v>
                </c:pt>
                <c:pt idx="48">
                  <c:v>4005836155224580</c:v>
                </c:pt>
                <c:pt idx="49">
                  <c:v>3776830064397520</c:v>
                </c:pt>
                <c:pt idx="50">
                  <c:v>3559318146531890</c:v>
                </c:pt>
                <c:pt idx="51">
                  <c:v>3350929887615550</c:v>
                </c:pt>
                <c:pt idx="52">
                  <c:v>3157012108314340</c:v>
                </c:pt>
                <c:pt idx="53">
                  <c:v>2977252084493020</c:v>
                </c:pt>
                <c:pt idx="54">
                  <c:v>2799834677756710</c:v>
                </c:pt>
                <c:pt idx="55">
                  <c:v>2635049087391100</c:v>
                </c:pt>
                <c:pt idx="56">
                  <c:v>2481677092406900</c:v>
                </c:pt>
                <c:pt idx="57">
                  <c:v>2337330650989460</c:v>
                </c:pt>
                <c:pt idx="58">
                  <c:v>2201245668395880</c:v>
                </c:pt>
                <c:pt idx="59">
                  <c:v>2072276024863250</c:v>
                </c:pt>
                <c:pt idx="60">
                  <c:v>1950532093504440</c:v>
                </c:pt>
                <c:pt idx="61">
                  <c:v>1833864441839870</c:v>
                </c:pt>
                <c:pt idx="62">
                  <c:v>1722977656446160</c:v>
                </c:pt>
                <c:pt idx="63">
                  <c:v>1623205516072990</c:v>
                </c:pt>
                <c:pt idx="64">
                  <c:v>1526626599421670</c:v>
                </c:pt>
                <c:pt idx="65">
                  <c:v>1439849835821890</c:v>
                </c:pt>
                <c:pt idx="66">
                  <c:v>1353101860053760</c:v>
                </c:pt>
                <c:pt idx="67">
                  <c:v>1272192346210900</c:v>
                </c:pt>
                <c:pt idx="68">
                  <c:v>1193538161482860</c:v>
                </c:pt>
                <c:pt idx="69">
                  <c:v>1120992211128670</c:v>
                </c:pt>
                <c:pt idx="70">
                  <c:v>1056417531400090</c:v>
                </c:pt>
                <c:pt idx="71">
                  <c:v>993441909469593</c:v>
                </c:pt>
                <c:pt idx="72">
                  <c:v>932132934026565</c:v>
                </c:pt>
                <c:pt idx="73">
                  <c:v>875092046729688</c:v>
                </c:pt>
                <c:pt idx="74">
                  <c:v>822103173577821</c:v>
                </c:pt>
                <c:pt idx="75">
                  <c:v>771475276150096</c:v>
                </c:pt>
                <c:pt idx="76">
                  <c:v>722835942017405</c:v>
                </c:pt>
                <c:pt idx="77">
                  <c:v>682585623114556</c:v>
                </c:pt>
                <c:pt idx="78">
                  <c:v>640005490929977</c:v>
                </c:pt>
                <c:pt idx="79">
                  <c:v>601858777021438</c:v>
                </c:pt>
                <c:pt idx="80">
                  <c:v>563497884746137</c:v>
                </c:pt>
                <c:pt idx="81">
                  <c:v>525373637494344</c:v>
                </c:pt>
                <c:pt idx="82">
                  <c:v>493759656674303</c:v>
                </c:pt>
                <c:pt idx="83">
                  <c:v>463215986848638</c:v>
                </c:pt>
                <c:pt idx="84">
                  <c:v>435885499284911</c:v>
                </c:pt>
                <c:pt idx="85">
                  <c:v>408765453393796</c:v>
                </c:pt>
                <c:pt idx="86">
                  <c:v>379448439312282</c:v>
                </c:pt>
                <c:pt idx="87">
                  <c:v>361663367712326</c:v>
                </c:pt>
                <c:pt idx="88">
                  <c:v>333744725805753</c:v>
                </c:pt>
                <c:pt idx="89">
                  <c:v>311284598297501</c:v>
                </c:pt>
                <c:pt idx="90">
                  <c:v>295378333528044</c:v>
                </c:pt>
                <c:pt idx="91">
                  <c:v>274070543857209</c:v>
                </c:pt>
                <c:pt idx="92">
                  <c:v>258903644942014</c:v>
                </c:pt>
                <c:pt idx="93">
                  <c:v>244944681543807</c:v>
                </c:pt>
                <c:pt idx="94">
                  <c:v>226526989835522</c:v>
                </c:pt>
                <c:pt idx="95">
                  <c:v>211841595552781</c:v>
                </c:pt>
                <c:pt idx="96">
                  <c:v>197124469069275</c:v>
                </c:pt>
                <c:pt idx="97">
                  <c:v>189219164150330</c:v>
                </c:pt>
                <c:pt idx="98">
                  <c:v>175007489545926</c:v>
                </c:pt>
                <c:pt idx="99">
                  <c:v>165216931363087</c:v>
                </c:pt>
                <c:pt idx="100">
                  <c:v>151248330633722</c:v>
                </c:pt>
                <c:pt idx="101">
                  <c:v>146315825178104</c:v>
                </c:pt>
                <c:pt idx="102">
                  <c:v>138612464685276</c:v>
                </c:pt>
                <c:pt idx="103">
                  <c:v>126032118295259</c:v>
                </c:pt>
                <c:pt idx="104">
                  <c:v>114781537693291</c:v>
                </c:pt>
                <c:pt idx="105">
                  <c:v>109863173377756</c:v>
                </c:pt>
                <c:pt idx="106">
                  <c:v>103980415776883</c:v>
                </c:pt>
                <c:pt idx="107">
                  <c:v>101478203463670</c:v>
                </c:pt>
                <c:pt idx="108">
                  <c:v>100074532247902</c:v>
                </c:pt>
                <c:pt idx="109">
                  <c:v>87751749826056.9</c:v>
                </c:pt>
                <c:pt idx="110">
                  <c:v>81485959269837</c:v>
                </c:pt>
                <c:pt idx="111">
                  <c:v>79033181738688</c:v>
                </c:pt>
                <c:pt idx="112">
                  <c:v>74742286051217.9</c:v>
                </c:pt>
                <c:pt idx="113">
                  <c:v>65072443623522.7</c:v>
                </c:pt>
                <c:pt idx="114">
                  <c:v>63192101263440.3</c:v>
                </c:pt>
                <c:pt idx="115">
                  <c:v>60131843365371.3</c:v>
                </c:pt>
                <c:pt idx="116">
                  <c:v>58602095699748.7</c:v>
                </c:pt>
                <c:pt idx="117">
                  <c:v>53883454206008.6</c:v>
                </c:pt>
                <c:pt idx="118">
                  <c:v>52442080172573.9</c:v>
                </c:pt>
                <c:pt idx="119">
                  <c:v>48774454159830.2</c:v>
                </c:pt>
                <c:pt idx="120">
                  <c:v>51001038984731.3</c:v>
                </c:pt>
                <c:pt idx="121">
                  <c:v>41705712198602.8</c:v>
                </c:pt>
                <c:pt idx="122">
                  <c:v>42752546273283.5</c:v>
                </c:pt>
                <c:pt idx="123">
                  <c:v>39002163191644.7</c:v>
                </c:pt>
                <c:pt idx="124">
                  <c:v>38827783331530</c:v>
                </c:pt>
              </c:numCache>
            </c:numRef>
          </c:xVal>
          <c:yVal>
            <c:numRef>
              <c:f>Plots!$S$3:$S$127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9.58129333820358E-005</c:v>
                </c:pt>
                <c:pt idx="3">
                  <c:v>9.04470362637936E-005</c:v>
                </c:pt>
                <c:pt idx="4">
                  <c:v>8.65043722170004E-005</c:v>
                </c:pt>
                <c:pt idx="5">
                  <c:v>8.5459503989937E-005</c:v>
                </c:pt>
                <c:pt idx="6">
                  <c:v>8.64730630782215E-005</c:v>
                </c:pt>
                <c:pt idx="7">
                  <c:v>8.78809058459284E-005</c:v>
                </c:pt>
                <c:pt idx="8">
                  <c:v>8.91246287053863E-005</c:v>
                </c:pt>
                <c:pt idx="9">
                  <c:v>9.03377939285396E-005</c:v>
                </c:pt>
                <c:pt idx="10">
                  <c:v>9.14393871420738E-005</c:v>
                </c:pt>
                <c:pt idx="11">
                  <c:v>9.24438776410985E-005</c:v>
                </c:pt>
                <c:pt idx="12">
                  <c:v>9.33751561915297E-005</c:v>
                </c:pt>
                <c:pt idx="13">
                  <c:v>9.4209849278928E-005</c:v>
                </c:pt>
                <c:pt idx="14">
                  <c:v>9.49454973168847E-005</c:v>
                </c:pt>
                <c:pt idx="15">
                  <c:v>9.56178807110967E-005</c:v>
                </c:pt>
                <c:pt idx="16">
                  <c:v>9.62119053737903E-005</c:v>
                </c:pt>
                <c:pt idx="17">
                  <c:v>9.67046771055464E-005</c:v>
                </c:pt>
                <c:pt idx="18">
                  <c:v>9.71421619131419E-005</c:v>
                </c:pt>
                <c:pt idx="19">
                  <c:v>9.7499713525588E-005</c:v>
                </c:pt>
                <c:pt idx="20">
                  <c:v>9.77861982908638E-005</c:v>
                </c:pt>
                <c:pt idx="21">
                  <c:v>9.7997262136751E-005</c:v>
                </c:pt>
                <c:pt idx="22">
                  <c:v>9.81498900937837E-005</c:v>
                </c:pt>
                <c:pt idx="23">
                  <c:v>9.82571188311367E-005</c:v>
                </c:pt>
                <c:pt idx="24">
                  <c:v>9.82649103619992E-005</c:v>
                </c:pt>
                <c:pt idx="25">
                  <c:v>9.82245440763467E-005</c:v>
                </c:pt>
                <c:pt idx="26">
                  <c:v>9.81734637003689E-005</c:v>
                </c:pt>
                <c:pt idx="27">
                  <c:v>9.80059928668975E-005</c:v>
                </c:pt>
                <c:pt idx="28">
                  <c:v>9.80138008026101E-005</c:v>
                </c:pt>
                <c:pt idx="29">
                  <c:v>9.77710119660688E-005</c:v>
                </c:pt>
                <c:pt idx="30">
                  <c:v>9.75591905079052E-005</c:v>
                </c:pt>
                <c:pt idx="31">
                  <c:v>9.7251420929557E-005</c:v>
                </c:pt>
                <c:pt idx="32">
                  <c:v>9.68180335289481E-005</c:v>
                </c:pt>
                <c:pt idx="33">
                  <c:v>9.64275353725359E-005</c:v>
                </c:pt>
                <c:pt idx="34">
                  <c:v>9.59595824884477E-005</c:v>
                </c:pt>
                <c:pt idx="35">
                  <c:v>9.54787000383243E-005</c:v>
                </c:pt>
                <c:pt idx="36">
                  <c:v>9.49045718676342E-005</c:v>
                </c:pt>
                <c:pt idx="37">
                  <c:v>9.42655499470998E-005</c:v>
                </c:pt>
                <c:pt idx="38">
                  <c:v>9.37290340075651E-005</c:v>
                </c:pt>
                <c:pt idx="39">
                  <c:v>9.31352324998703E-005</c:v>
                </c:pt>
                <c:pt idx="40">
                  <c:v>9.25149290194961E-005</c:v>
                </c:pt>
                <c:pt idx="41">
                  <c:v>9.18467203994131E-005</c:v>
                </c:pt>
                <c:pt idx="42">
                  <c:v>9.11263491476769E-005</c:v>
                </c:pt>
                <c:pt idx="43">
                  <c:v>9.05011929995498E-005</c:v>
                </c:pt>
                <c:pt idx="44">
                  <c:v>8.97095018838115E-005</c:v>
                </c:pt>
                <c:pt idx="45">
                  <c:v>8.88653867107954E-005</c:v>
                </c:pt>
                <c:pt idx="46">
                  <c:v>8.81818598458354E-005</c:v>
                </c:pt>
                <c:pt idx="47">
                  <c:v>8.73827106499957E-005</c:v>
                </c:pt>
                <c:pt idx="48">
                  <c:v>8.65223784253567E-005</c:v>
                </c:pt>
                <c:pt idx="49">
                  <c:v>8.57331432314992E-005</c:v>
                </c:pt>
                <c:pt idx="50">
                  <c:v>8.49026069541997E-005</c:v>
                </c:pt>
                <c:pt idx="51">
                  <c:v>8.39412637391727E-005</c:v>
                </c:pt>
                <c:pt idx="52">
                  <c:v>8.30743310677281E-005</c:v>
                </c:pt>
                <c:pt idx="53">
                  <c:v>8.23416410566245E-005</c:v>
                </c:pt>
                <c:pt idx="54">
                  <c:v>8.12877945745296E-005</c:v>
                </c:pt>
                <c:pt idx="55">
                  <c:v>8.03447582926255E-005</c:v>
                </c:pt>
                <c:pt idx="56">
                  <c:v>7.95106755827355E-005</c:v>
                </c:pt>
                <c:pt idx="57">
                  <c:v>7.85853334263978E-005</c:v>
                </c:pt>
                <c:pt idx="58">
                  <c:v>7.78170710682547E-005</c:v>
                </c:pt>
                <c:pt idx="59">
                  <c:v>7.68917971861351E-005</c:v>
                </c:pt>
                <c:pt idx="60">
                  <c:v>7.59913202559152E-005</c:v>
                </c:pt>
                <c:pt idx="61">
                  <c:v>7.50794691313445E-005</c:v>
                </c:pt>
                <c:pt idx="62">
                  <c:v>7.41564795306711E-005</c:v>
                </c:pt>
                <c:pt idx="63">
                  <c:v>7.33186001027289E-005</c:v>
                </c:pt>
                <c:pt idx="64">
                  <c:v>7.24224568686558E-005</c:v>
                </c:pt>
                <c:pt idx="65">
                  <c:v>7.16162955659708E-005</c:v>
                </c:pt>
                <c:pt idx="66">
                  <c:v>7.06672087687653E-005</c:v>
                </c:pt>
                <c:pt idx="67">
                  <c:v>6.9687486167531E-005</c:v>
                </c:pt>
                <c:pt idx="68">
                  <c:v>6.87292619500018E-005</c:v>
                </c:pt>
                <c:pt idx="69">
                  <c:v>6.78039470630199E-005</c:v>
                </c:pt>
                <c:pt idx="70">
                  <c:v>6.71059416428975E-005</c:v>
                </c:pt>
                <c:pt idx="71">
                  <c:v>6.62605767408171E-005</c:v>
                </c:pt>
                <c:pt idx="72">
                  <c:v>6.5182350783005E-005</c:v>
                </c:pt>
                <c:pt idx="73">
                  <c:v>6.42857995110976E-005</c:v>
                </c:pt>
                <c:pt idx="74">
                  <c:v>6.33199526787765E-005</c:v>
                </c:pt>
                <c:pt idx="75">
                  <c:v>6.24422553687034E-005</c:v>
                </c:pt>
                <c:pt idx="76">
                  <c:v>6.14525012458343E-005</c:v>
                </c:pt>
                <c:pt idx="77">
                  <c:v>6.103437303401E-005</c:v>
                </c:pt>
                <c:pt idx="78">
                  <c:v>6.00768883230555E-005</c:v>
                </c:pt>
                <c:pt idx="79">
                  <c:v>5.91441184106597E-005</c:v>
                </c:pt>
                <c:pt idx="80">
                  <c:v>5.8183239204972E-005</c:v>
                </c:pt>
                <c:pt idx="81">
                  <c:v>5.70185932963401E-005</c:v>
                </c:pt>
                <c:pt idx="82">
                  <c:v>5.63152502502879E-005</c:v>
                </c:pt>
                <c:pt idx="83">
                  <c:v>5.56479606753064E-005</c:v>
                </c:pt>
                <c:pt idx="84">
                  <c:v>5.49173747239735E-005</c:v>
                </c:pt>
                <c:pt idx="85">
                  <c:v>5.42511900592296E-005</c:v>
                </c:pt>
                <c:pt idx="86">
                  <c:v>5.28490602394531E-005</c:v>
                </c:pt>
                <c:pt idx="87">
                  <c:v>5.3022936891778E-005</c:v>
                </c:pt>
                <c:pt idx="88">
                  <c:v>5.16324770644594E-005</c:v>
                </c:pt>
                <c:pt idx="89">
                  <c:v>5.0486716658779E-005</c:v>
                </c:pt>
                <c:pt idx="90">
                  <c:v>5.04605092556652E-005</c:v>
                </c:pt>
                <c:pt idx="91">
                  <c:v>4.93422142070186E-005</c:v>
                </c:pt>
                <c:pt idx="92">
                  <c:v>4.88949016411308E-005</c:v>
                </c:pt>
                <c:pt idx="93">
                  <c:v>4.89375206813395E-005</c:v>
                </c:pt>
                <c:pt idx="94">
                  <c:v>4.7427076676824E-005</c:v>
                </c:pt>
                <c:pt idx="95">
                  <c:v>4.69005672346652E-005</c:v>
                </c:pt>
                <c:pt idx="96">
                  <c:v>4.62786624509629E-005</c:v>
                </c:pt>
                <c:pt idx="97">
                  <c:v>4.68716059958164E-005</c:v>
                </c:pt>
                <c:pt idx="98">
                  <c:v>4.56679193331706E-005</c:v>
                </c:pt>
                <c:pt idx="99">
                  <c:v>4.53932155716734E-005</c:v>
                </c:pt>
                <c:pt idx="100">
                  <c:v>4.44010522236773E-005</c:v>
                </c:pt>
                <c:pt idx="101">
                  <c:v>4.50628219106116E-005</c:v>
                </c:pt>
                <c:pt idx="102">
                  <c:v>4.48647435250791E-005</c:v>
                </c:pt>
                <c:pt idx="103">
                  <c:v>4.31016155703241E-005</c:v>
                </c:pt>
                <c:pt idx="104">
                  <c:v>4.15717824832175E-005</c:v>
                </c:pt>
                <c:pt idx="105">
                  <c:v>4.21989751483933E-005</c:v>
                </c:pt>
                <c:pt idx="106">
                  <c:v>4.29217724700173E-005</c:v>
                </c:pt>
                <c:pt idx="107">
                  <c:v>4.4120326124301E-005</c:v>
                </c:pt>
                <c:pt idx="108">
                  <c:v>4.5952832660178E-005</c:v>
                </c:pt>
                <c:pt idx="109">
                  <c:v>4.26979590414563E-005</c:v>
                </c:pt>
                <c:pt idx="110">
                  <c:v>4.22030506537717E-005</c:v>
                </c:pt>
                <c:pt idx="111">
                  <c:v>4.35811850313738E-005</c:v>
                </c:pt>
                <c:pt idx="112">
                  <c:v>4.36557537535826E-005</c:v>
                </c:pt>
                <c:pt idx="113">
                  <c:v>4.06093360094877E-005</c:v>
                </c:pt>
                <c:pt idx="114">
                  <c:v>4.23983976627008E-005</c:v>
                </c:pt>
                <c:pt idx="115">
                  <c:v>4.3096544088478E-005</c:v>
                </c:pt>
                <c:pt idx="116">
                  <c:v>4.41389877073646E-005</c:v>
                </c:pt>
                <c:pt idx="117">
                  <c:v>4.38445732779611E-005</c:v>
                </c:pt>
                <c:pt idx="118">
                  <c:v>4.47889350649699E-005</c:v>
                </c:pt>
                <c:pt idx="119">
                  <c:v>4.42098400113599E-005</c:v>
                </c:pt>
                <c:pt idx="120">
                  <c:v>4.97049799342032E-005</c:v>
                </c:pt>
                <c:pt idx="121">
                  <c:v>4.27514293897122E-005</c:v>
                </c:pt>
                <c:pt idx="122">
                  <c:v>4.74553850114128E-005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9"/>
          <c:order val="9"/>
          <c:tx>
            <c:strRef>
              <c:f>Plots!$T$1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Plots!$T$3:$T$127</c:f>
              <c:numCache>
                <c:formatCode>General</c:formatCode>
                <c:ptCount val="125"/>
                <c:pt idx="0">
                  <c:v>2156104833874550</c:v>
                </c:pt>
                <c:pt idx="1">
                  <c:v>20758459686787400</c:v>
                </c:pt>
                <c:pt idx="2">
                  <c:v>34930070688403300</c:v>
                </c:pt>
                <c:pt idx="3">
                  <c:v>41477166443989300</c:v>
                </c:pt>
                <c:pt idx="4">
                  <c:v>42381342864076500</c:v>
                </c:pt>
                <c:pt idx="5">
                  <c:v>41376826445736900</c:v>
                </c:pt>
                <c:pt idx="6">
                  <c:v>39838664919933700</c:v>
                </c:pt>
                <c:pt idx="7">
                  <c:v>38191862281188200</c:v>
                </c:pt>
                <c:pt idx="8">
                  <c:v>36555056054240000</c:v>
                </c:pt>
                <c:pt idx="9">
                  <c:v>34919628885756600</c:v>
                </c:pt>
                <c:pt idx="10">
                  <c:v>33295775591479500</c:v>
                </c:pt>
                <c:pt idx="11">
                  <c:v>31715337394387800</c:v>
                </c:pt>
                <c:pt idx="12">
                  <c:v>30180265548162400</c:v>
                </c:pt>
                <c:pt idx="13">
                  <c:v>28705891692185300</c:v>
                </c:pt>
                <c:pt idx="14">
                  <c:v>27273923610372100</c:v>
                </c:pt>
                <c:pt idx="15">
                  <c:v>25914292678127500</c:v>
                </c:pt>
                <c:pt idx="16">
                  <c:v>24597159754849100</c:v>
                </c:pt>
                <c:pt idx="17">
                  <c:v>23331075800184200</c:v>
                </c:pt>
                <c:pt idx="18">
                  <c:v>22117910129433600</c:v>
                </c:pt>
                <c:pt idx="19">
                  <c:v>20949025692203200</c:v>
                </c:pt>
                <c:pt idx="20">
                  <c:v>19834439493532100</c:v>
                </c:pt>
                <c:pt idx="21">
                  <c:v>18771172423131000</c:v>
                </c:pt>
                <c:pt idx="22">
                  <c:v>17758324998017100</c:v>
                </c:pt>
                <c:pt idx="23">
                  <c:v>16793109976251000</c:v>
                </c:pt>
                <c:pt idx="24">
                  <c:v>15875350953354000</c:v>
                </c:pt>
                <c:pt idx="25">
                  <c:v>15006153546623500</c:v>
                </c:pt>
                <c:pt idx="26">
                  <c:v>14181138018581200</c:v>
                </c:pt>
                <c:pt idx="27">
                  <c:v>13391106435407000</c:v>
                </c:pt>
                <c:pt idx="28">
                  <c:v>12645097493802200</c:v>
                </c:pt>
                <c:pt idx="29">
                  <c:v>11936124854197900</c:v>
                </c:pt>
                <c:pt idx="30">
                  <c:v>11264348531857500</c:v>
                </c:pt>
                <c:pt idx="31">
                  <c:v>10639753927528100</c:v>
                </c:pt>
                <c:pt idx="32">
                  <c:v>10042732249639200</c:v>
                </c:pt>
                <c:pt idx="33">
                  <c:v>9472970302585540</c:v>
                </c:pt>
                <c:pt idx="34">
                  <c:v>8937413266103270</c:v>
                </c:pt>
                <c:pt idx="35">
                  <c:v>8429620822742670</c:v>
                </c:pt>
                <c:pt idx="36">
                  <c:v>7947287900907360</c:v>
                </c:pt>
                <c:pt idx="37">
                  <c:v>7495552693784850</c:v>
                </c:pt>
                <c:pt idx="38">
                  <c:v>7065928561391970</c:v>
                </c:pt>
                <c:pt idx="39">
                  <c:v>6658794219463290</c:v>
                </c:pt>
                <c:pt idx="40">
                  <c:v>6274440139334530</c:v>
                </c:pt>
                <c:pt idx="41">
                  <c:v>5918316364349390</c:v>
                </c:pt>
                <c:pt idx="42">
                  <c:v>5575682845151930</c:v>
                </c:pt>
                <c:pt idx="43">
                  <c:v>5251204240640900</c:v>
                </c:pt>
                <c:pt idx="44">
                  <c:v>4943421762305040</c:v>
                </c:pt>
                <c:pt idx="45">
                  <c:v>4655525468224940</c:v>
                </c:pt>
                <c:pt idx="46">
                  <c:v>4388014375818820</c:v>
                </c:pt>
                <c:pt idx="47">
                  <c:v>4135800986592490</c:v>
                </c:pt>
                <c:pt idx="48">
                  <c:v>3896031004162030</c:v>
                </c:pt>
                <c:pt idx="49">
                  <c:v>3665133764900420</c:v>
                </c:pt>
                <c:pt idx="50">
                  <c:v>3451662998770520</c:v>
                </c:pt>
                <c:pt idx="51">
                  <c:v>3246847642261550</c:v>
                </c:pt>
                <c:pt idx="52">
                  <c:v>3058480780351260</c:v>
                </c:pt>
                <c:pt idx="53">
                  <c:v>2876336641854320</c:v>
                </c:pt>
                <c:pt idx="54">
                  <c:v>2709044006291940</c:v>
                </c:pt>
                <c:pt idx="55">
                  <c:v>2547313216531130</c:v>
                </c:pt>
                <c:pt idx="56">
                  <c:v>2397735826035990</c:v>
                </c:pt>
                <c:pt idx="57">
                  <c:v>2254323189801040</c:v>
                </c:pt>
                <c:pt idx="58">
                  <c:v>2121493787578080</c:v>
                </c:pt>
                <c:pt idx="59">
                  <c:v>1995859953328360</c:v>
                </c:pt>
                <c:pt idx="60">
                  <c:v>1871186212756150</c:v>
                </c:pt>
                <c:pt idx="61">
                  <c:v>1761684595697820</c:v>
                </c:pt>
                <c:pt idx="62">
                  <c:v>1660091120350790</c:v>
                </c:pt>
                <c:pt idx="63">
                  <c:v>1561266304737280</c:v>
                </c:pt>
                <c:pt idx="64">
                  <c:v>1466785400578160</c:v>
                </c:pt>
                <c:pt idx="65">
                  <c:v>1379625001428590</c:v>
                </c:pt>
                <c:pt idx="66">
                  <c:v>1297823202596460</c:v>
                </c:pt>
                <c:pt idx="67">
                  <c:v>1220333511620020</c:v>
                </c:pt>
                <c:pt idx="68">
                  <c:v>1147609302203750</c:v>
                </c:pt>
                <c:pt idx="69">
                  <c:v>1078739962363670</c:v>
                </c:pt>
                <c:pt idx="70">
                  <c:v>1013116807180120</c:v>
                </c:pt>
                <c:pt idx="71">
                  <c:v>952341892257997</c:v>
                </c:pt>
                <c:pt idx="72">
                  <c:v>890882171240831</c:v>
                </c:pt>
                <c:pt idx="73">
                  <c:v>839715820442130</c:v>
                </c:pt>
                <c:pt idx="74">
                  <c:v>789417863837256</c:v>
                </c:pt>
                <c:pt idx="75">
                  <c:v>740843232332281</c:v>
                </c:pt>
                <c:pt idx="76">
                  <c:v>696726898331835</c:v>
                </c:pt>
                <c:pt idx="77">
                  <c:v>651445281527073</c:v>
                </c:pt>
                <c:pt idx="78">
                  <c:v>608762969353430</c:v>
                </c:pt>
                <c:pt idx="79">
                  <c:v>572205569049020</c:v>
                </c:pt>
                <c:pt idx="80">
                  <c:v>543195250773943</c:v>
                </c:pt>
                <c:pt idx="81">
                  <c:v>508480433517968</c:v>
                </c:pt>
                <c:pt idx="82">
                  <c:v>471186249021531</c:v>
                </c:pt>
                <c:pt idx="83">
                  <c:v>444888281354204</c:v>
                </c:pt>
                <c:pt idx="84">
                  <c:v>417986041202791</c:v>
                </c:pt>
                <c:pt idx="85">
                  <c:v>392217258714920</c:v>
                </c:pt>
                <c:pt idx="86">
                  <c:v>366732665121103</c:v>
                </c:pt>
                <c:pt idx="87">
                  <c:v>348579404516134</c:v>
                </c:pt>
                <c:pt idx="88">
                  <c:v>325763408990373</c:v>
                </c:pt>
                <c:pt idx="89">
                  <c:v>304910739234008</c:v>
                </c:pt>
                <c:pt idx="90">
                  <c:v>287362088743873</c:v>
                </c:pt>
                <c:pt idx="91">
                  <c:v>267812905799759</c:v>
                </c:pt>
                <c:pt idx="92">
                  <c:v>254918062908351</c:v>
                </c:pt>
                <c:pt idx="93">
                  <c:v>234398056726096</c:v>
                </c:pt>
                <c:pt idx="94">
                  <c:v>221947095567188</c:v>
                </c:pt>
                <c:pt idx="95">
                  <c:v>207495495609923</c:v>
                </c:pt>
                <c:pt idx="96">
                  <c:v>195107184827275</c:v>
                </c:pt>
                <c:pt idx="97">
                  <c:v>182979613341319</c:v>
                </c:pt>
                <c:pt idx="98">
                  <c:v>174077710098710</c:v>
                </c:pt>
                <c:pt idx="99">
                  <c:v>161049153757449</c:v>
                </c:pt>
                <c:pt idx="100">
                  <c:v>157125981914647</c:v>
                </c:pt>
                <c:pt idx="101">
                  <c:v>145696983569731</c:v>
                </c:pt>
                <c:pt idx="102">
                  <c:v>135903023706866</c:v>
                </c:pt>
                <c:pt idx="103">
                  <c:v>126448936835128</c:v>
                </c:pt>
                <c:pt idx="104">
                  <c:v>118582473599748</c:v>
                </c:pt>
                <c:pt idx="105">
                  <c:v>110680208555374</c:v>
                </c:pt>
                <c:pt idx="106">
                  <c:v>101536668256186</c:v>
                </c:pt>
                <c:pt idx="107">
                  <c:v>98088680114853.5</c:v>
                </c:pt>
                <c:pt idx="108">
                  <c:v>94060155728197.3</c:v>
                </c:pt>
                <c:pt idx="109">
                  <c:v>85884425992388.3</c:v>
                </c:pt>
                <c:pt idx="110">
                  <c:v>83271391106090.4</c:v>
                </c:pt>
                <c:pt idx="111">
                  <c:v>78461474803072.7</c:v>
                </c:pt>
                <c:pt idx="112">
                  <c:v>72659405848736.2</c:v>
                </c:pt>
                <c:pt idx="113">
                  <c:v>64170078742218.2</c:v>
                </c:pt>
                <c:pt idx="114">
                  <c:v>63880334380334</c:v>
                </c:pt>
                <c:pt idx="115">
                  <c:v>59163033319593.2</c:v>
                </c:pt>
                <c:pt idx="116">
                  <c:v>56557187185201.8</c:v>
                </c:pt>
                <c:pt idx="117">
                  <c:v>54737760859577.3</c:v>
                </c:pt>
                <c:pt idx="118">
                  <c:v>51637268947523.4</c:v>
                </c:pt>
                <c:pt idx="119">
                  <c:v>42054499322299.7</c:v>
                </c:pt>
                <c:pt idx="120">
                  <c:v>40857538692614.1</c:v>
                </c:pt>
                <c:pt idx="121">
                  <c:v>37762877910808.8</c:v>
                </c:pt>
                <c:pt idx="122">
                  <c:v>38092888129970.8</c:v>
                </c:pt>
                <c:pt idx="123">
                  <c:v>36195424673612.9</c:v>
                </c:pt>
                <c:pt idx="124">
                  <c:v>33185413988282.1</c:v>
                </c:pt>
              </c:numCache>
            </c:numRef>
          </c:xVal>
          <c:yVal>
            <c:numRef>
              <c:f>Plots!$U$3:$U$127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9.41922271209442E-005</c:v>
                </c:pt>
                <c:pt idx="3">
                  <c:v>9.11183152679768E-005</c:v>
                </c:pt>
                <c:pt idx="4">
                  <c:v>8.6102388893739E-005</c:v>
                </c:pt>
                <c:pt idx="5">
                  <c:v>8.34916528615357E-005</c:v>
                </c:pt>
                <c:pt idx="6">
                  <c:v>8.36177081164407E-005</c:v>
                </c:pt>
                <c:pt idx="7">
                  <c:v>8.48382591123522E-005</c:v>
                </c:pt>
                <c:pt idx="8">
                  <c:v>8.61321213896814E-005</c:v>
                </c:pt>
                <c:pt idx="9">
                  <c:v>8.72848606388354E-005</c:v>
                </c:pt>
                <c:pt idx="10">
                  <c:v>8.83437173601465E-005</c:v>
                </c:pt>
                <c:pt idx="11">
                  <c:v>8.92967233312342E-005</c:v>
                </c:pt>
                <c:pt idx="12">
                  <c:v>9.0169941472747E-005</c:v>
                </c:pt>
                <c:pt idx="13">
                  <c:v>9.09563214113204E-005</c:v>
                </c:pt>
                <c:pt idx="14">
                  <c:v>9.16014165362482E-005</c:v>
                </c:pt>
                <c:pt idx="15">
                  <c:v>9.22194334445836E-005</c:v>
                </c:pt>
                <c:pt idx="16">
                  <c:v>9.27355119927403E-005</c:v>
                </c:pt>
                <c:pt idx="17">
                  <c:v>9.31712815065406E-005</c:v>
                </c:pt>
                <c:pt idx="18">
                  <c:v>9.35546906394848E-005</c:v>
                </c:pt>
                <c:pt idx="19">
                  <c:v>9.38574283474494E-005</c:v>
                </c:pt>
                <c:pt idx="20">
                  <c:v>9.40733388309691E-005</c:v>
                </c:pt>
                <c:pt idx="21">
                  <c:v>9.42370331675619E-005</c:v>
                </c:pt>
                <c:pt idx="22">
                  <c:v>9.43027126785039E-005</c:v>
                </c:pt>
                <c:pt idx="23">
                  <c:v>9.43395082965371E-005</c:v>
                </c:pt>
                <c:pt idx="24">
                  <c:v>9.4325432562128E-005</c:v>
                </c:pt>
                <c:pt idx="25">
                  <c:v>9.42544043692296E-005</c:v>
                </c:pt>
                <c:pt idx="26">
                  <c:v>9.41311983993204E-005</c:v>
                </c:pt>
                <c:pt idx="27">
                  <c:v>9.3896352675947E-005</c:v>
                </c:pt>
                <c:pt idx="28">
                  <c:v>9.37319334579591E-005</c:v>
                </c:pt>
                <c:pt idx="29">
                  <c:v>9.35686312594372E-005</c:v>
                </c:pt>
                <c:pt idx="30">
                  <c:v>9.32258309973397E-005</c:v>
                </c:pt>
                <c:pt idx="31">
                  <c:v>9.29457448363558E-005</c:v>
                </c:pt>
                <c:pt idx="32">
                  <c:v>9.25520455492381E-005</c:v>
                </c:pt>
                <c:pt idx="33">
                  <c:v>9.20618474223155E-005</c:v>
                </c:pt>
                <c:pt idx="34">
                  <c:v>9.15896094296027E-005</c:v>
                </c:pt>
                <c:pt idx="35">
                  <c:v>9.10512201173129E-005</c:v>
                </c:pt>
                <c:pt idx="36">
                  <c:v>9.04697060116331E-005</c:v>
                </c:pt>
                <c:pt idx="37">
                  <c:v>8.98810535182981E-005</c:v>
                </c:pt>
                <c:pt idx="38">
                  <c:v>8.92780447601839E-005</c:v>
                </c:pt>
                <c:pt idx="39">
                  <c:v>8.8635060573362E-005</c:v>
                </c:pt>
                <c:pt idx="40">
                  <c:v>8.79726649228366E-005</c:v>
                </c:pt>
                <c:pt idx="41">
                  <c:v>8.73589930701915E-005</c:v>
                </c:pt>
                <c:pt idx="42">
                  <c:v>8.66542859335362E-005</c:v>
                </c:pt>
                <c:pt idx="43">
                  <c:v>8.5853124051239E-005</c:v>
                </c:pt>
                <c:pt idx="44">
                  <c:v>8.50383537200427E-005</c:v>
                </c:pt>
                <c:pt idx="45">
                  <c:v>8.42441859056422E-005</c:v>
                </c:pt>
                <c:pt idx="46">
                  <c:v>8.35317966199319E-005</c:v>
                </c:pt>
                <c:pt idx="47">
                  <c:v>8.27922662823923E-005</c:v>
                </c:pt>
                <c:pt idx="48">
                  <c:v>8.19660957737428E-005</c:v>
                </c:pt>
                <c:pt idx="49">
                  <c:v>8.10324391235691E-005</c:v>
                </c:pt>
                <c:pt idx="50">
                  <c:v>8.02120470353221E-005</c:v>
                </c:pt>
                <c:pt idx="51">
                  <c:v>7.92694628086012E-005</c:v>
                </c:pt>
                <c:pt idx="52">
                  <c:v>7.84614571367899E-005</c:v>
                </c:pt>
                <c:pt idx="53">
                  <c:v>7.7562123148413E-005</c:v>
                </c:pt>
                <c:pt idx="54">
                  <c:v>7.66715124222035E-005</c:v>
                </c:pt>
                <c:pt idx="55">
                  <c:v>7.57552242023243E-005</c:v>
                </c:pt>
                <c:pt idx="56">
                  <c:v>7.48301735564094E-005</c:v>
                </c:pt>
                <c:pt idx="57">
                  <c:v>7.39314556525179E-005</c:v>
                </c:pt>
                <c:pt idx="58">
                  <c:v>7.30657215791099E-005</c:v>
                </c:pt>
                <c:pt idx="59">
                  <c:v>7.22082627425104E-005</c:v>
                </c:pt>
                <c:pt idx="60">
                  <c:v>7.11157595311706E-005</c:v>
                </c:pt>
                <c:pt idx="61">
                  <c:v>7.03320080241684E-005</c:v>
                </c:pt>
                <c:pt idx="62">
                  <c:v>6.976251741801E-005</c:v>
                </c:pt>
                <c:pt idx="63">
                  <c:v>6.88671838545966E-005</c:v>
                </c:pt>
                <c:pt idx="64">
                  <c:v>6.78849219174146E-005</c:v>
                </c:pt>
                <c:pt idx="65">
                  <c:v>6.70424684386234E-005</c:v>
                </c:pt>
                <c:pt idx="66">
                  <c:v>6.6154503935075E-005</c:v>
                </c:pt>
                <c:pt idx="67">
                  <c:v>6.54049864596491E-005</c:v>
                </c:pt>
                <c:pt idx="68">
                  <c:v>6.45252404713204E-005</c:v>
                </c:pt>
                <c:pt idx="69">
                  <c:v>6.37660765580937E-005</c:v>
                </c:pt>
                <c:pt idx="70">
                  <c:v>6.27868928345383E-005</c:v>
                </c:pt>
                <c:pt idx="71">
                  <c:v>6.18982664377154E-005</c:v>
                </c:pt>
                <c:pt idx="72">
                  <c:v>6.08291121235017E-005</c:v>
                </c:pt>
                <c:pt idx="73">
                  <c:v>6.01956725248282E-005</c:v>
                </c:pt>
                <c:pt idx="74">
                  <c:v>5.94454571446716E-005</c:v>
                </c:pt>
                <c:pt idx="75">
                  <c:v>5.84658682797068E-005</c:v>
                </c:pt>
                <c:pt idx="76">
                  <c:v>5.77787019438793E-005</c:v>
                </c:pt>
                <c:pt idx="77">
                  <c:v>5.67013034846472E-005</c:v>
                </c:pt>
                <c:pt idx="78">
                  <c:v>5.57418882840322E-005</c:v>
                </c:pt>
                <c:pt idx="79">
                  <c:v>5.50755439342969E-005</c:v>
                </c:pt>
                <c:pt idx="80">
                  <c:v>5.49702221530895E-005</c:v>
                </c:pt>
                <c:pt idx="81">
                  <c:v>5.40389942218101E-005</c:v>
                </c:pt>
                <c:pt idx="82">
                  <c:v>5.25244240138561E-005</c:v>
                </c:pt>
                <c:pt idx="83">
                  <c:v>5.2161817969399E-005</c:v>
                </c:pt>
                <c:pt idx="84">
                  <c:v>5.16030122666348E-005</c:v>
                </c:pt>
                <c:pt idx="85">
                  <c:v>5.08317065183782E-005</c:v>
                </c:pt>
                <c:pt idx="86">
                  <c:v>5.00106529009423E-005</c:v>
                </c:pt>
                <c:pt idx="87">
                  <c:v>4.9994540182595E-005</c:v>
                </c:pt>
                <c:pt idx="88">
                  <c:v>4.90084409546635E-005</c:v>
                </c:pt>
                <c:pt idx="89">
                  <c:v>4.82157872335946E-005</c:v>
                </c:pt>
                <c:pt idx="90">
                  <c:v>4.78930026754714E-005</c:v>
                </c:pt>
                <c:pt idx="91">
                  <c:v>4.7017390675002E-005</c:v>
                </c:pt>
                <c:pt idx="92">
                  <c:v>4.70641203703887E-005</c:v>
                </c:pt>
                <c:pt idx="93">
                  <c:v>4.55883366470866E-005</c:v>
                </c:pt>
                <c:pt idx="94">
                  <c:v>4.56367872103602E-005</c:v>
                </c:pt>
                <c:pt idx="95">
                  <c:v>4.46230415535246E-005</c:v>
                </c:pt>
                <c:pt idx="96">
                  <c:v>4.45416386106391E-005</c:v>
                </c:pt>
                <c:pt idx="97">
                  <c:v>4.40668634392288E-005</c:v>
                </c:pt>
                <c:pt idx="98">
                  <c:v>4.40617672016677E-005</c:v>
                </c:pt>
                <c:pt idx="99">
                  <c:v>4.30522110365404E-005</c:v>
                </c:pt>
                <c:pt idx="100">
                  <c:v>4.43203459587288E-005</c:v>
                </c:pt>
                <c:pt idx="101">
                  <c:v>4.37304248110993E-005</c:v>
                </c:pt>
                <c:pt idx="102">
                  <c:v>4.27420362295017E-005</c:v>
                </c:pt>
                <c:pt idx="103">
                  <c:v>4.19512104713122E-005</c:v>
                </c:pt>
                <c:pt idx="104">
                  <c:v>4.16280434228585E-005</c:v>
                </c:pt>
                <c:pt idx="105">
                  <c:v>4.1336876163507E-005</c:v>
                </c:pt>
                <c:pt idx="106">
                  <c:v>4.01302865396777E-005</c:v>
                </c:pt>
                <c:pt idx="107">
                  <c:v>4.12242695333221E-005</c:v>
                </c:pt>
                <c:pt idx="108">
                  <c:v>4.2069147249162E-005</c:v>
                </c:pt>
                <c:pt idx="109">
                  <c:v>4.06165734316612E-005</c:v>
                </c:pt>
                <c:pt idx="110">
                  <c:v>4.18344445236705E-005</c:v>
                </c:pt>
                <c:pt idx="111">
                  <c:v>4.13131140375852E-005</c:v>
                </c:pt>
                <c:pt idx="112">
                  <c:v>4.10666030945455E-005</c:v>
                </c:pt>
                <c:pt idx="113">
                  <c:v>3.82258711171438E-005</c:v>
                </c:pt>
                <c:pt idx="114">
                  <c:v>4.05389129721507E-005</c:v>
                </c:pt>
                <c:pt idx="115">
                  <c:v>4.05388599816887E-005</c:v>
                </c:pt>
                <c:pt idx="116">
                  <c:v>4.10654161000132E-005</c:v>
                </c:pt>
                <c:pt idx="117">
                  <c:v>4.20228635528496E-005</c:v>
                </c:pt>
                <c:pt idx="118">
                  <c:v>4.2316712025712E-005</c:v>
                </c:pt>
                <c:pt idx="119">
                  <c:v>3.58056495029752E-005</c:v>
                </c:pt>
                <c:pt idx="120">
                  <c:v>3.76049164171003E-005</c:v>
                </c:pt>
                <c:pt idx="121">
                  <c:v>3.82581378642504E-005</c:v>
                </c:pt>
                <c:pt idx="122">
                  <c:v>4.11107940789779E-005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Plots!$V$1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Plots!$V$3:$V$127</c:f>
              <c:numCache>
                <c:formatCode>General</c:formatCode>
                <c:ptCount val="125"/>
                <c:pt idx="0">
                  <c:v>2084456420118040</c:v>
                </c:pt>
                <c:pt idx="1">
                  <c:v>20809424491698300</c:v>
                </c:pt>
                <c:pt idx="2">
                  <c:v>34624316065849300</c:v>
                </c:pt>
                <c:pt idx="3">
                  <c:v>40733454949186800</c:v>
                </c:pt>
                <c:pt idx="4">
                  <c:v>41474616231598300</c:v>
                </c:pt>
                <c:pt idx="5">
                  <c:v>40438706800065400</c:v>
                </c:pt>
                <c:pt idx="6">
                  <c:v>38914550650805300</c:v>
                </c:pt>
                <c:pt idx="7">
                  <c:v>37313657177330100</c:v>
                </c:pt>
                <c:pt idx="8">
                  <c:v>35660057122936300</c:v>
                </c:pt>
                <c:pt idx="9">
                  <c:v>34013118093623700</c:v>
                </c:pt>
                <c:pt idx="10">
                  <c:v>32391527892385100</c:v>
                </c:pt>
                <c:pt idx="11">
                  <c:v>30809249316539800</c:v>
                </c:pt>
                <c:pt idx="12">
                  <c:v>29266946553086900</c:v>
                </c:pt>
                <c:pt idx="13">
                  <c:v>27790543308369200</c:v>
                </c:pt>
                <c:pt idx="14">
                  <c:v>26360660394420900</c:v>
                </c:pt>
                <c:pt idx="15">
                  <c:v>24985914748963100</c:v>
                </c:pt>
                <c:pt idx="16">
                  <c:v>23673452404677400</c:v>
                </c:pt>
                <c:pt idx="17">
                  <c:v>22410213123178100</c:v>
                </c:pt>
                <c:pt idx="18">
                  <c:v>21201617407001100</c:v>
                </c:pt>
                <c:pt idx="19">
                  <c:v>20052713642393200</c:v>
                </c:pt>
                <c:pt idx="20">
                  <c:v>18949507831661400</c:v>
                </c:pt>
                <c:pt idx="21">
                  <c:v>17903216098480700</c:v>
                </c:pt>
                <c:pt idx="22">
                  <c:v>16910982779316000</c:v>
                </c:pt>
                <c:pt idx="23">
                  <c:v>15962477496204000</c:v>
                </c:pt>
                <c:pt idx="24">
                  <c:v>15063158422648600</c:v>
                </c:pt>
                <c:pt idx="25">
                  <c:v>14213379220447500</c:v>
                </c:pt>
                <c:pt idx="26">
                  <c:v>13405180492442700</c:v>
                </c:pt>
                <c:pt idx="27">
                  <c:v>12646192985099300</c:v>
                </c:pt>
                <c:pt idx="28">
                  <c:v>11926557900608700</c:v>
                </c:pt>
                <c:pt idx="29">
                  <c:v>11242383874301200</c:v>
                </c:pt>
                <c:pt idx="30">
                  <c:v>10592622547689300</c:v>
                </c:pt>
                <c:pt idx="31">
                  <c:v>9988547603940930</c:v>
                </c:pt>
                <c:pt idx="32">
                  <c:v>9411236125637700</c:v>
                </c:pt>
                <c:pt idx="33">
                  <c:v>8869630486243880</c:v>
                </c:pt>
                <c:pt idx="34">
                  <c:v>8354347988692720</c:v>
                </c:pt>
                <c:pt idx="35">
                  <c:v>7868169555266790</c:v>
                </c:pt>
                <c:pt idx="36">
                  <c:v>7411225866474890</c:v>
                </c:pt>
                <c:pt idx="37">
                  <c:v>6979583640128380</c:v>
                </c:pt>
                <c:pt idx="38">
                  <c:v>6571191550837820</c:v>
                </c:pt>
                <c:pt idx="39">
                  <c:v>6186040196449880</c:v>
                </c:pt>
                <c:pt idx="40">
                  <c:v>5820252344660830</c:v>
                </c:pt>
                <c:pt idx="41">
                  <c:v>5478082098885290</c:v>
                </c:pt>
                <c:pt idx="42">
                  <c:v>5158475976075800</c:v>
                </c:pt>
                <c:pt idx="43">
                  <c:v>4852669106447710</c:v>
                </c:pt>
                <c:pt idx="44">
                  <c:v>4563129798216840</c:v>
                </c:pt>
                <c:pt idx="45">
                  <c:v>4294848354188090</c:v>
                </c:pt>
                <c:pt idx="46">
                  <c:v>4043661263347350</c:v>
                </c:pt>
                <c:pt idx="47">
                  <c:v>3805553014311290</c:v>
                </c:pt>
                <c:pt idx="48">
                  <c:v>3582528994189900</c:v>
                </c:pt>
                <c:pt idx="49">
                  <c:v>3371009422307240</c:v>
                </c:pt>
                <c:pt idx="50">
                  <c:v>3173485681096840</c:v>
                </c:pt>
                <c:pt idx="51">
                  <c:v>2978403690955920</c:v>
                </c:pt>
                <c:pt idx="52">
                  <c:v>2805681248625020</c:v>
                </c:pt>
                <c:pt idx="53">
                  <c:v>2636060460403700</c:v>
                </c:pt>
                <c:pt idx="54">
                  <c:v>2478824540363650</c:v>
                </c:pt>
                <c:pt idx="55">
                  <c:v>2328469909083450</c:v>
                </c:pt>
                <c:pt idx="56">
                  <c:v>2190916795716440</c:v>
                </c:pt>
                <c:pt idx="57">
                  <c:v>2058395017224830</c:v>
                </c:pt>
                <c:pt idx="58">
                  <c:v>1934777182922810</c:v>
                </c:pt>
                <c:pt idx="59">
                  <c:v>1817884528387520</c:v>
                </c:pt>
                <c:pt idx="60">
                  <c:v>1708047464173780</c:v>
                </c:pt>
                <c:pt idx="61">
                  <c:v>1606480424116370</c:v>
                </c:pt>
                <c:pt idx="62">
                  <c:v>1509524341297980</c:v>
                </c:pt>
                <c:pt idx="63">
                  <c:v>1417382933160690</c:v>
                </c:pt>
                <c:pt idx="64">
                  <c:v>1330374309707250</c:v>
                </c:pt>
                <c:pt idx="65">
                  <c:v>1255532932567870</c:v>
                </c:pt>
                <c:pt idx="66">
                  <c:v>1178792936803020</c:v>
                </c:pt>
                <c:pt idx="67">
                  <c:v>1108247185670460</c:v>
                </c:pt>
                <c:pt idx="68">
                  <c:v>1039316751333480</c:v>
                </c:pt>
                <c:pt idx="69">
                  <c:v>977761442270398</c:v>
                </c:pt>
                <c:pt idx="70">
                  <c:v>915222170182501</c:v>
                </c:pt>
                <c:pt idx="71">
                  <c:v>863421750243230</c:v>
                </c:pt>
                <c:pt idx="72">
                  <c:v>809458234998436</c:v>
                </c:pt>
                <c:pt idx="73">
                  <c:v>758741669855641</c:v>
                </c:pt>
                <c:pt idx="74">
                  <c:v>713862656081837</c:v>
                </c:pt>
                <c:pt idx="75">
                  <c:v>669462124133101</c:v>
                </c:pt>
                <c:pt idx="76">
                  <c:v>630857824444013</c:v>
                </c:pt>
                <c:pt idx="77">
                  <c:v>592515827106164</c:v>
                </c:pt>
                <c:pt idx="78">
                  <c:v>552040139438012</c:v>
                </c:pt>
                <c:pt idx="79">
                  <c:v>520183440104236</c:v>
                </c:pt>
                <c:pt idx="80">
                  <c:v>484774232688579</c:v>
                </c:pt>
                <c:pt idx="81">
                  <c:v>459077275998429</c:v>
                </c:pt>
                <c:pt idx="82">
                  <c:v>427050454976885</c:v>
                </c:pt>
                <c:pt idx="83">
                  <c:v>399399899638742</c:v>
                </c:pt>
                <c:pt idx="84">
                  <c:v>373268971615273</c:v>
                </c:pt>
                <c:pt idx="85">
                  <c:v>349582956495804</c:v>
                </c:pt>
                <c:pt idx="86">
                  <c:v>329460786047386</c:v>
                </c:pt>
                <c:pt idx="87">
                  <c:v>309749697995038</c:v>
                </c:pt>
                <c:pt idx="88">
                  <c:v>292965548127635</c:v>
                </c:pt>
                <c:pt idx="89">
                  <c:v>269388135973939</c:v>
                </c:pt>
                <c:pt idx="90">
                  <c:v>255620973461937</c:v>
                </c:pt>
                <c:pt idx="91">
                  <c:v>242638464174167</c:v>
                </c:pt>
                <c:pt idx="92">
                  <c:v>225036101239397</c:v>
                </c:pt>
                <c:pt idx="93">
                  <c:v>208186629323721</c:v>
                </c:pt>
                <c:pt idx="94">
                  <c:v>198979662040850</c:v>
                </c:pt>
                <c:pt idx="95">
                  <c:v>184930633943074</c:v>
                </c:pt>
                <c:pt idx="96">
                  <c:v>172163981785260</c:v>
                </c:pt>
                <c:pt idx="97">
                  <c:v>164056392256689</c:v>
                </c:pt>
                <c:pt idx="98">
                  <c:v>150159492255186</c:v>
                </c:pt>
                <c:pt idx="99">
                  <c:v>144213091376755</c:v>
                </c:pt>
                <c:pt idx="100">
                  <c:v>133441717449558</c:v>
                </c:pt>
                <c:pt idx="101">
                  <c:v>126967912693069</c:v>
                </c:pt>
                <c:pt idx="102">
                  <c:v>117857289238881</c:v>
                </c:pt>
                <c:pt idx="103">
                  <c:v>110550523699399</c:v>
                </c:pt>
                <c:pt idx="104">
                  <c:v>102218113576066</c:v>
                </c:pt>
                <c:pt idx="105">
                  <c:v>95304595157069.3</c:v>
                </c:pt>
                <c:pt idx="106">
                  <c:v>90303534202923.5</c:v>
                </c:pt>
                <c:pt idx="107">
                  <c:v>86679240012540.6</c:v>
                </c:pt>
                <c:pt idx="108">
                  <c:v>79776781494782</c:v>
                </c:pt>
                <c:pt idx="109">
                  <c:v>73831887527411.4</c:v>
                </c:pt>
                <c:pt idx="110">
                  <c:v>70518222040753.4</c:v>
                </c:pt>
                <c:pt idx="111">
                  <c:v>68119559962794.3</c:v>
                </c:pt>
                <c:pt idx="112">
                  <c:v>60927516702317.2</c:v>
                </c:pt>
                <c:pt idx="113">
                  <c:v>56554653964575</c:v>
                </c:pt>
                <c:pt idx="114">
                  <c:v>54692165285733.8</c:v>
                </c:pt>
                <c:pt idx="115">
                  <c:v>54008113275386.6</c:v>
                </c:pt>
                <c:pt idx="116">
                  <c:v>51120603694055.1</c:v>
                </c:pt>
                <c:pt idx="117">
                  <c:v>49981059057026.7</c:v>
                </c:pt>
                <c:pt idx="118">
                  <c:v>47436901931521.5</c:v>
                </c:pt>
                <c:pt idx="119">
                  <c:v>39354895727999</c:v>
                </c:pt>
                <c:pt idx="120">
                  <c:v>37155872060269.1</c:v>
                </c:pt>
                <c:pt idx="121">
                  <c:v>38520648261681.2</c:v>
                </c:pt>
                <c:pt idx="122">
                  <c:v>35980941112614.9</c:v>
                </c:pt>
                <c:pt idx="123">
                  <c:v>34351511861396.2</c:v>
                </c:pt>
                <c:pt idx="124">
                  <c:v>33972623524081</c:v>
                </c:pt>
              </c:numCache>
            </c:numRef>
          </c:xVal>
          <c:yVal>
            <c:numRef>
              <c:f>Plots!$W$3:$W$127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9.12839909645832E-005</c:v>
                </c:pt>
                <c:pt idx="3">
                  <c:v>8.83388046593881E-005</c:v>
                </c:pt>
                <c:pt idx="4">
                  <c:v>8.34716788999175E-005</c:v>
                </c:pt>
                <c:pt idx="5">
                  <c:v>8.09451265124819E-005</c:v>
                </c:pt>
                <c:pt idx="6">
                  <c:v>8.09115088899222E-005</c:v>
                </c:pt>
                <c:pt idx="7">
                  <c:v>8.1927537655193E-005</c:v>
                </c:pt>
                <c:pt idx="8">
                  <c:v>8.30450205908299E-005</c:v>
                </c:pt>
                <c:pt idx="9">
                  <c:v>8.39996521918293E-005</c:v>
                </c:pt>
                <c:pt idx="10">
                  <c:v>8.48869242112951E-005</c:v>
                </c:pt>
                <c:pt idx="11">
                  <c:v>8.56395492329878E-005</c:v>
                </c:pt>
                <c:pt idx="12">
                  <c:v>8.63074659011535E-005</c:v>
                </c:pt>
                <c:pt idx="13">
                  <c:v>8.69293411795092E-005</c:v>
                </c:pt>
                <c:pt idx="14">
                  <c:v>8.74368283081073E-005</c:v>
                </c:pt>
                <c:pt idx="15">
                  <c:v>8.78338368100983E-005</c:v>
                </c:pt>
                <c:pt idx="16">
                  <c:v>8.82046436071902E-005</c:v>
                </c:pt>
                <c:pt idx="17">
                  <c:v>8.8482376274433E-005</c:v>
                </c:pt>
                <c:pt idx="18">
                  <c:v>8.86731855610556E-005</c:v>
                </c:pt>
                <c:pt idx="19">
                  <c:v>8.88516584531588E-005</c:v>
                </c:pt>
                <c:pt idx="20">
                  <c:v>8.88981781663146E-005</c:v>
                </c:pt>
                <c:pt idx="21">
                  <c:v>8.88977374346582E-005</c:v>
                </c:pt>
                <c:pt idx="22">
                  <c:v>8.88478822048697E-005</c:v>
                </c:pt>
                <c:pt idx="23">
                  <c:v>8.87296677095446E-005</c:v>
                </c:pt>
                <c:pt idx="24">
                  <c:v>8.85775548312247E-005</c:v>
                </c:pt>
                <c:pt idx="25">
                  <c:v>8.83750224345944E-005</c:v>
                </c:pt>
                <c:pt idx="26">
                  <c:v>8.81143307872056E-005</c:v>
                </c:pt>
                <c:pt idx="27">
                  <c:v>8.7822206683038E-005</c:v>
                </c:pt>
                <c:pt idx="28">
                  <c:v>8.75332652796508E-005</c:v>
                </c:pt>
                <c:pt idx="29">
                  <c:v>8.72881090224052E-005</c:v>
                </c:pt>
                <c:pt idx="30">
                  <c:v>8.68576003007329E-005</c:v>
                </c:pt>
                <c:pt idx="31">
                  <c:v>8.645666169377E-005</c:v>
                </c:pt>
                <c:pt idx="32">
                  <c:v>8.59649342610175E-005</c:v>
                </c:pt>
                <c:pt idx="33">
                  <c:v>8.5450443867198E-005</c:v>
                </c:pt>
                <c:pt idx="34">
                  <c:v>8.49008451311982E-005</c:v>
                </c:pt>
                <c:pt idx="35">
                  <c:v>8.42988825655235E-005</c:v>
                </c:pt>
                <c:pt idx="36">
                  <c:v>8.3696202231641E-005</c:v>
                </c:pt>
                <c:pt idx="37">
                  <c:v>8.30633443044976E-005</c:v>
                </c:pt>
                <c:pt idx="38">
                  <c:v>8.23502841631733E-005</c:v>
                </c:pt>
                <c:pt idx="39">
                  <c:v>8.1710060804462E-005</c:v>
                </c:pt>
                <c:pt idx="40">
                  <c:v>8.09771916663291E-005</c:v>
                </c:pt>
                <c:pt idx="41">
                  <c:v>8.03222634310077E-005</c:v>
                </c:pt>
                <c:pt idx="42">
                  <c:v>7.96249868991096E-005</c:v>
                </c:pt>
                <c:pt idx="43">
                  <c:v>7.88234901890148E-005</c:v>
                </c:pt>
                <c:pt idx="44">
                  <c:v>7.79649934001092E-005</c:v>
                </c:pt>
                <c:pt idx="45">
                  <c:v>7.72153501003454E-005</c:v>
                </c:pt>
                <c:pt idx="46">
                  <c:v>7.64924031623414E-005</c:v>
                </c:pt>
                <c:pt idx="47">
                  <c:v>7.56868704598601E-005</c:v>
                </c:pt>
                <c:pt idx="48">
                  <c:v>7.49043325312674E-005</c:v>
                </c:pt>
                <c:pt idx="49">
                  <c:v>7.40260303440151E-005</c:v>
                </c:pt>
                <c:pt idx="50">
                  <c:v>7.32450287667998E-005</c:v>
                </c:pt>
                <c:pt idx="51">
                  <c:v>7.22175887132081E-005</c:v>
                </c:pt>
                <c:pt idx="52">
                  <c:v>7.15006801886427E-005</c:v>
                </c:pt>
                <c:pt idx="53">
                  <c:v>7.05806986999446E-005</c:v>
                </c:pt>
                <c:pt idx="54">
                  <c:v>6.97410784706446E-005</c:v>
                </c:pt>
                <c:pt idx="55">
                  <c:v>6.87853456196689E-005</c:v>
                </c:pt>
                <c:pt idx="56">
                  <c:v>6.79740708178685E-005</c:v>
                </c:pt>
                <c:pt idx="57">
                  <c:v>6.70598025804428E-005</c:v>
                </c:pt>
                <c:pt idx="58">
                  <c:v>6.62517912277008E-005</c:v>
                </c:pt>
                <c:pt idx="59">
                  <c:v>6.54452140431851E-005</c:v>
                </c:pt>
                <c:pt idx="60">
                  <c:v>6.45535587276188E-005</c:v>
                </c:pt>
                <c:pt idx="61">
                  <c:v>6.37518648792234E-005</c:v>
                </c:pt>
                <c:pt idx="62">
                  <c:v>6.30287565079856E-005</c:v>
                </c:pt>
                <c:pt idx="63">
                  <c:v>6.21552265817547E-005</c:v>
                </c:pt>
                <c:pt idx="64">
                  <c:v>6.12413417134321E-005</c:v>
                </c:pt>
                <c:pt idx="65">
                  <c:v>6.0672369857842E-005</c:v>
                </c:pt>
                <c:pt idx="66">
                  <c:v>5.97667843182657E-005</c:v>
                </c:pt>
                <c:pt idx="67">
                  <c:v>5.89425810334962E-005</c:v>
                </c:pt>
                <c:pt idx="68">
                  <c:v>5.80624813662188E-005</c:v>
                </c:pt>
                <c:pt idx="69">
                  <c:v>5.73746581711325E-005</c:v>
                </c:pt>
                <c:pt idx="70">
                  <c:v>5.63878513980297E-005</c:v>
                </c:pt>
                <c:pt idx="71">
                  <c:v>5.57407579195848E-005</c:v>
                </c:pt>
                <c:pt idx="72">
                  <c:v>5.49078902941894E-005</c:v>
                </c:pt>
                <c:pt idx="73">
                  <c:v>5.39543697421664E-005</c:v>
                </c:pt>
                <c:pt idx="74">
                  <c:v>5.33178819792479E-005</c:v>
                </c:pt>
                <c:pt idx="75">
                  <c:v>5.26196919355644E-005</c:v>
                </c:pt>
                <c:pt idx="76">
                  <c:v>5.19812569252718E-005</c:v>
                </c:pt>
                <c:pt idx="77">
                  <c:v>5.12609560140632E-005</c:v>
                </c:pt>
                <c:pt idx="78">
                  <c:v>5.00941722136613E-005</c:v>
                </c:pt>
                <c:pt idx="79">
                  <c:v>4.97314179456625E-005</c:v>
                </c:pt>
                <c:pt idx="80">
                  <c:v>4.87122167093425E-005</c:v>
                </c:pt>
                <c:pt idx="81">
                  <c:v>4.83689802386267E-005</c:v>
                </c:pt>
                <c:pt idx="82">
                  <c:v>4.72328316530763E-005</c:v>
                </c:pt>
                <c:pt idx="83">
                  <c:v>4.64170559980069E-005</c:v>
                </c:pt>
                <c:pt idx="84">
                  <c:v>4.57691940883201E-005</c:v>
                </c:pt>
                <c:pt idx="85">
                  <c:v>4.48937007679362E-005</c:v>
                </c:pt>
                <c:pt idx="86">
                  <c:v>4.46624735414063E-005</c:v>
                </c:pt>
                <c:pt idx="87">
                  <c:v>4.40193129367939E-005</c:v>
                </c:pt>
                <c:pt idx="88">
                  <c:v>4.37877074360122E-005</c:v>
                </c:pt>
                <c:pt idx="89">
                  <c:v>4.24427570230988E-005</c:v>
                </c:pt>
                <c:pt idx="90">
                  <c:v>4.2430408738465E-005</c:v>
                </c:pt>
                <c:pt idx="91">
                  <c:v>4.2238898982411E-005</c:v>
                </c:pt>
                <c:pt idx="92">
                  <c:v>4.13335909359533E-005</c:v>
                </c:pt>
                <c:pt idx="93">
                  <c:v>4.02371005518666E-005</c:v>
                </c:pt>
                <c:pt idx="94">
                  <c:v>4.04221223323294E-005</c:v>
                </c:pt>
                <c:pt idx="95">
                  <c:v>3.97499621080276E-005</c:v>
                </c:pt>
                <c:pt idx="96">
                  <c:v>3.89168910392556E-005</c:v>
                </c:pt>
                <c:pt idx="97">
                  <c:v>3.91370070718084E-005</c:v>
                </c:pt>
                <c:pt idx="98">
                  <c:v>3.78281986945439E-005</c:v>
                </c:pt>
                <c:pt idx="99">
                  <c:v>3.82475293374542E-005</c:v>
                </c:pt>
                <c:pt idx="100">
                  <c:v>3.77059225520657E-005</c:v>
                </c:pt>
                <c:pt idx="101">
                  <c:v>3.7716876441011E-005</c:v>
                </c:pt>
                <c:pt idx="102">
                  <c:v>3.70630450537851E-005</c:v>
                </c:pt>
                <c:pt idx="103">
                  <c:v>3.6715523097246E-005</c:v>
                </c:pt>
                <c:pt idx="104">
                  <c:v>3.58574985729124E-005</c:v>
                </c:pt>
                <c:pt idx="105">
                  <c:v>3.52665274579803E-005</c:v>
                </c:pt>
                <c:pt idx="106">
                  <c:v>3.55550748714475E-005</c:v>
                </c:pt>
                <c:pt idx="107">
                  <c:v>3.61895237128318E-005</c:v>
                </c:pt>
                <c:pt idx="108">
                  <c:v>3.49882748110065E-005</c:v>
                </c:pt>
                <c:pt idx="109">
                  <c:v>3.43426385489227E-005</c:v>
                </c:pt>
                <c:pt idx="110">
                  <c:v>3.48636560198057E-005</c:v>
                </c:pt>
                <c:pt idx="111">
                  <c:v>3.57635865889144E-005</c:v>
                </c:pt>
                <c:pt idx="112">
                  <c:v>3.37450084416257E-005</c:v>
                </c:pt>
                <c:pt idx="113">
                  <c:v>3.35295320862779E-005</c:v>
                </c:pt>
                <c:pt idx="114">
                  <c:v>3.45619801544085E-005</c:v>
                </c:pt>
                <c:pt idx="115">
                  <c:v>3.67577690423432E-005</c:v>
                </c:pt>
                <c:pt idx="116">
                  <c:v>3.6649024717276E-005</c:v>
                </c:pt>
                <c:pt idx="117">
                  <c:v>3.7760532040985E-005</c:v>
                </c:pt>
                <c:pt idx="118">
                  <c:v>3.80032342889421E-005</c:v>
                </c:pt>
                <c:pt idx="119">
                  <c:v>3.35531816585335E-005</c:v>
                </c:pt>
                <c:pt idx="120">
                  <c:v>3.44496936967252E-005</c:v>
                </c:pt>
                <c:pt idx="121">
                  <c:v>3.83113197094577E-005</c:v>
                </c:pt>
                <c:pt idx="122">
                  <c:v>3.79145536717165E-005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Plots!$X$1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Plots!$X$3:$X$127</c:f>
              <c:numCache>
                <c:formatCode>General</c:formatCode>
                <c:ptCount val="125"/>
                <c:pt idx="0">
                  <c:v>7642329850515710</c:v>
                </c:pt>
                <c:pt idx="1">
                  <c:v>25957260334048400</c:v>
                </c:pt>
                <c:pt idx="2">
                  <c:v>35382487260675400</c:v>
                </c:pt>
                <c:pt idx="3">
                  <c:v>39392054932886300</c:v>
                </c:pt>
                <c:pt idx="4">
                  <c:v>39247807699374300</c:v>
                </c:pt>
                <c:pt idx="5">
                  <c:v>37930589076913700</c:v>
                </c:pt>
                <c:pt idx="6">
                  <c:v>36331337698649800</c:v>
                </c:pt>
                <c:pt idx="7">
                  <c:v>34719616037102300</c:v>
                </c:pt>
                <c:pt idx="8">
                  <c:v>33114529171801700</c:v>
                </c:pt>
                <c:pt idx="9">
                  <c:v>31520625817221900</c:v>
                </c:pt>
                <c:pt idx="10">
                  <c:v>29963899990492500</c:v>
                </c:pt>
                <c:pt idx="11">
                  <c:v>28452974790108400</c:v>
                </c:pt>
                <c:pt idx="12">
                  <c:v>26986301618275300</c:v>
                </c:pt>
                <c:pt idx="13">
                  <c:v>25582741795572000</c:v>
                </c:pt>
                <c:pt idx="14">
                  <c:v>24229995624413100</c:v>
                </c:pt>
                <c:pt idx="15">
                  <c:v>22937631922208300</c:v>
                </c:pt>
                <c:pt idx="16">
                  <c:v>21703396701173000</c:v>
                </c:pt>
                <c:pt idx="17">
                  <c:v>20513708194746100</c:v>
                </c:pt>
                <c:pt idx="18">
                  <c:v>19379650644705000</c:v>
                </c:pt>
                <c:pt idx="19">
                  <c:v>18298047327131100</c:v>
                </c:pt>
                <c:pt idx="20">
                  <c:v>17267641146252700</c:v>
                </c:pt>
                <c:pt idx="21">
                  <c:v>16294049616911100</c:v>
                </c:pt>
                <c:pt idx="22">
                  <c:v>15368217290536600</c:v>
                </c:pt>
                <c:pt idx="23">
                  <c:v>14490435163664800</c:v>
                </c:pt>
                <c:pt idx="24">
                  <c:v>13656907523612100</c:v>
                </c:pt>
                <c:pt idx="25">
                  <c:v>12872026353682200</c:v>
                </c:pt>
                <c:pt idx="26">
                  <c:v>12130432722618300</c:v>
                </c:pt>
                <c:pt idx="27">
                  <c:v>11425338308743700</c:v>
                </c:pt>
                <c:pt idx="28">
                  <c:v>10759168767977100</c:v>
                </c:pt>
                <c:pt idx="29">
                  <c:v>10133546730513600</c:v>
                </c:pt>
                <c:pt idx="30">
                  <c:v>9542211368883510</c:v>
                </c:pt>
                <c:pt idx="31">
                  <c:v>8990061271690210</c:v>
                </c:pt>
                <c:pt idx="32">
                  <c:v>8462093245241410</c:v>
                </c:pt>
                <c:pt idx="33">
                  <c:v>7968933164219970</c:v>
                </c:pt>
                <c:pt idx="34">
                  <c:v>7492200420056620</c:v>
                </c:pt>
                <c:pt idx="35">
                  <c:v>7054944722881340</c:v>
                </c:pt>
                <c:pt idx="36">
                  <c:v>6642050723389790</c:v>
                </c:pt>
                <c:pt idx="37">
                  <c:v>6248258415925560</c:v>
                </c:pt>
                <c:pt idx="38">
                  <c:v>5877807845587630</c:v>
                </c:pt>
                <c:pt idx="39">
                  <c:v>5526890852581300</c:v>
                </c:pt>
                <c:pt idx="40">
                  <c:v>5197753808317490</c:v>
                </c:pt>
                <c:pt idx="41">
                  <c:v>4887727897801580</c:v>
                </c:pt>
                <c:pt idx="42">
                  <c:v>4598772328853180</c:v>
                </c:pt>
                <c:pt idx="43">
                  <c:v>4324117198287780</c:v>
                </c:pt>
                <c:pt idx="44">
                  <c:v>4066884397860260</c:v>
                </c:pt>
                <c:pt idx="45">
                  <c:v>3824041983063730</c:v>
                </c:pt>
                <c:pt idx="46">
                  <c:v>3595151405554070</c:v>
                </c:pt>
                <c:pt idx="47">
                  <c:v>3378600855517460</c:v>
                </c:pt>
                <c:pt idx="48">
                  <c:v>3176558773402420</c:v>
                </c:pt>
                <c:pt idx="49">
                  <c:v>2985453864802420</c:v>
                </c:pt>
                <c:pt idx="50">
                  <c:v>2805882270059690</c:v>
                </c:pt>
                <c:pt idx="51">
                  <c:v>2635784705960780</c:v>
                </c:pt>
                <c:pt idx="52">
                  <c:v>2478455873284850</c:v>
                </c:pt>
                <c:pt idx="53">
                  <c:v>2329964105196130</c:v>
                </c:pt>
                <c:pt idx="54">
                  <c:v>2187916517456760</c:v>
                </c:pt>
                <c:pt idx="55">
                  <c:v>2053497331801240</c:v>
                </c:pt>
                <c:pt idx="56">
                  <c:v>1930806314092960</c:v>
                </c:pt>
                <c:pt idx="57">
                  <c:v>1811265324570440</c:v>
                </c:pt>
                <c:pt idx="58">
                  <c:v>1703844808336980</c:v>
                </c:pt>
                <c:pt idx="59">
                  <c:v>1598138524465450</c:v>
                </c:pt>
                <c:pt idx="60">
                  <c:v>1500645665821130</c:v>
                </c:pt>
                <c:pt idx="61">
                  <c:v>1410053578008010</c:v>
                </c:pt>
                <c:pt idx="62">
                  <c:v>1327660474443310</c:v>
                </c:pt>
                <c:pt idx="63">
                  <c:v>1248184007997230</c:v>
                </c:pt>
                <c:pt idx="64">
                  <c:v>1172719933687470</c:v>
                </c:pt>
                <c:pt idx="65">
                  <c:v>1100849649034120</c:v>
                </c:pt>
                <c:pt idx="66">
                  <c:v>1029372527837520</c:v>
                </c:pt>
                <c:pt idx="67">
                  <c:v>969509905040582</c:v>
                </c:pt>
                <c:pt idx="68">
                  <c:v>909149777381016</c:v>
                </c:pt>
                <c:pt idx="69">
                  <c:v>857710695161195</c:v>
                </c:pt>
                <c:pt idx="70">
                  <c:v>806305137303446</c:v>
                </c:pt>
                <c:pt idx="71">
                  <c:v>755465036902864</c:v>
                </c:pt>
                <c:pt idx="72">
                  <c:v>709336298650714</c:v>
                </c:pt>
                <c:pt idx="73">
                  <c:v>667109528968413</c:v>
                </c:pt>
                <c:pt idx="74">
                  <c:v>627311243809505</c:v>
                </c:pt>
                <c:pt idx="75">
                  <c:v>588554010729674</c:v>
                </c:pt>
                <c:pt idx="76">
                  <c:v>550425560222143</c:v>
                </c:pt>
                <c:pt idx="77">
                  <c:v>518111834469049</c:v>
                </c:pt>
                <c:pt idx="78">
                  <c:v>486184419628941</c:v>
                </c:pt>
                <c:pt idx="79">
                  <c:v>458446416571199</c:v>
                </c:pt>
                <c:pt idx="80">
                  <c:v>429937701424652</c:v>
                </c:pt>
                <c:pt idx="81">
                  <c:v>402135800042602</c:v>
                </c:pt>
                <c:pt idx="82">
                  <c:v>378201935268278</c:v>
                </c:pt>
                <c:pt idx="83">
                  <c:v>354338016240198</c:v>
                </c:pt>
                <c:pt idx="84">
                  <c:v>333662925071139</c:v>
                </c:pt>
                <c:pt idx="85">
                  <c:v>315835367788392</c:v>
                </c:pt>
                <c:pt idx="86">
                  <c:v>296635942988175</c:v>
                </c:pt>
                <c:pt idx="87">
                  <c:v>273839166316261</c:v>
                </c:pt>
                <c:pt idx="88">
                  <c:v>254472589091608</c:v>
                </c:pt>
                <c:pt idx="89">
                  <c:v>240857326441556</c:v>
                </c:pt>
                <c:pt idx="90">
                  <c:v>228311856087887</c:v>
                </c:pt>
                <c:pt idx="91">
                  <c:v>215631984732607</c:v>
                </c:pt>
                <c:pt idx="92">
                  <c:v>203909386380241</c:v>
                </c:pt>
                <c:pt idx="93">
                  <c:v>188889128651657</c:v>
                </c:pt>
                <c:pt idx="94">
                  <c:v>176318493342888</c:v>
                </c:pt>
                <c:pt idx="95">
                  <c:v>165611134925887</c:v>
                </c:pt>
                <c:pt idx="96">
                  <c:v>156979349314769</c:v>
                </c:pt>
                <c:pt idx="97">
                  <c:v>149042363215839</c:v>
                </c:pt>
                <c:pt idx="98">
                  <c:v>138793099736426</c:v>
                </c:pt>
                <c:pt idx="99">
                  <c:v>131085774223679</c:v>
                </c:pt>
                <c:pt idx="100">
                  <c:v>122480007968318</c:v>
                </c:pt>
                <c:pt idx="101">
                  <c:v>112544825274338</c:v>
                </c:pt>
                <c:pt idx="102">
                  <c:v>105181088889312</c:v>
                </c:pt>
                <c:pt idx="103">
                  <c:v>99697910816997.6</c:v>
                </c:pt>
                <c:pt idx="104">
                  <c:v>95011410713487.9</c:v>
                </c:pt>
                <c:pt idx="105">
                  <c:v>86904436115766</c:v>
                </c:pt>
                <c:pt idx="106">
                  <c:v>83519782400382.6</c:v>
                </c:pt>
                <c:pt idx="107">
                  <c:v>80317001747463.2</c:v>
                </c:pt>
                <c:pt idx="108">
                  <c:v>73482066326493.2</c:v>
                </c:pt>
                <c:pt idx="109">
                  <c:v>67408064957185.2</c:v>
                </c:pt>
                <c:pt idx="110">
                  <c:v>65396306560187.4</c:v>
                </c:pt>
                <c:pt idx="111">
                  <c:v>61266742615300.9</c:v>
                </c:pt>
                <c:pt idx="112">
                  <c:v>59543800234447.3</c:v>
                </c:pt>
                <c:pt idx="113">
                  <c:v>50827537263551.7</c:v>
                </c:pt>
                <c:pt idx="114">
                  <c:v>49035452155007.7</c:v>
                </c:pt>
                <c:pt idx="115">
                  <c:v>46957261799316.3</c:v>
                </c:pt>
                <c:pt idx="116">
                  <c:v>43268301288016.5</c:v>
                </c:pt>
                <c:pt idx="117">
                  <c:v>40511946602714.3</c:v>
                </c:pt>
                <c:pt idx="118">
                  <c:v>33180064603657.3</c:v>
                </c:pt>
                <c:pt idx="119">
                  <c:v>32286520753808.3</c:v>
                </c:pt>
                <c:pt idx="120">
                  <c:v>30857298112464</c:v>
                </c:pt>
                <c:pt idx="121">
                  <c:v>31428983989500.7</c:v>
                </c:pt>
                <c:pt idx="122">
                  <c:v>29749961425173.8</c:v>
                </c:pt>
                <c:pt idx="123">
                  <c:v>26108012693420.3</c:v>
                </c:pt>
                <c:pt idx="124">
                  <c:v>28999925399937.7</c:v>
                </c:pt>
              </c:numCache>
            </c:numRef>
          </c:xVal>
          <c:yVal>
            <c:numRef>
              <c:f>Plots!$Y$3:$Y$127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8.73495049568013E-005</c:v>
                </c:pt>
                <c:pt idx="3">
                  <c:v>8.34668495461059E-005</c:v>
                </c:pt>
                <c:pt idx="4">
                  <c:v>8.01374221400109E-005</c:v>
                </c:pt>
                <c:pt idx="5">
                  <c:v>7.89151457441459E-005</c:v>
                </c:pt>
                <c:pt idx="6">
                  <c:v>7.95981378155111E-005</c:v>
                </c:pt>
                <c:pt idx="7">
                  <c:v>8.05629800395017E-005</c:v>
                </c:pt>
                <c:pt idx="8">
                  <c:v>8.14702677890624E-005</c:v>
                </c:pt>
                <c:pt idx="9">
                  <c:v>8.22562174707806E-005</c:v>
                </c:pt>
                <c:pt idx="10">
                  <c:v>8.28884278990558E-005</c:v>
                </c:pt>
                <c:pt idx="11">
                  <c:v>8.34587589035312E-005</c:v>
                </c:pt>
                <c:pt idx="12">
                  <c:v>8.39538718133184E-005</c:v>
                </c:pt>
                <c:pt idx="13">
                  <c:v>8.43731075821762E-005</c:v>
                </c:pt>
                <c:pt idx="14">
                  <c:v>8.46844002914138E-005</c:v>
                </c:pt>
                <c:pt idx="15">
                  <c:v>8.49490662260683E-005</c:v>
                </c:pt>
                <c:pt idx="16">
                  <c:v>8.51464515634135E-005</c:v>
                </c:pt>
                <c:pt idx="17">
                  <c:v>8.52517665279595E-005</c:v>
                </c:pt>
                <c:pt idx="18">
                  <c:v>8.53062663835591E-005</c:v>
                </c:pt>
                <c:pt idx="19">
                  <c:v>8.52857217003017E-005</c:v>
                </c:pt>
                <c:pt idx="20">
                  <c:v>8.51995514292781E-005</c:v>
                </c:pt>
                <c:pt idx="21">
                  <c:v>8.50805217889499E-005</c:v>
                </c:pt>
                <c:pt idx="22">
                  <c:v>8.48943702866361E-005</c:v>
                </c:pt>
                <c:pt idx="23">
                  <c:v>8.46886002972463E-005</c:v>
                </c:pt>
                <c:pt idx="24">
                  <c:v>8.43913473812388E-005</c:v>
                </c:pt>
                <c:pt idx="25">
                  <c:v>8.40827198644795E-005</c:v>
                </c:pt>
                <c:pt idx="26">
                  <c:v>8.37343236130998E-005</c:v>
                </c:pt>
                <c:pt idx="27">
                  <c:v>8.33378937962345E-005</c:v>
                </c:pt>
                <c:pt idx="28">
                  <c:v>8.30545324186642E-005</c:v>
                </c:pt>
                <c:pt idx="29">
                  <c:v>8.26256971598627E-005</c:v>
                </c:pt>
                <c:pt idx="30">
                  <c:v>8.21509681530733E-005</c:v>
                </c:pt>
                <c:pt idx="31">
                  <c:v>8.16741308891541E-005</c:v>
                </c:pt>
                <c:pt idx="32">
                  <c:v>8.10854456313668E-005</c:v>
                </c:pt>
                <c:pt idx="33">
                  <c:v>8.05180252729834E-005</c:v>
                </c:pt>
                <c:pt idx="34">
                  <c:v>7.98528328374632E-005</c:v>
                </c:pt>
                <c:pt idx="35">
                  <c:v>7.92655223939573E-005</c:v>
                </c:pt>
                <c:pt idx="36">
                  <c:v>7.86309809338755E-005</c:v>
                </c:pt>
                <c:pt idx="37">
                  <c:v>7.7876710478271E-005</c:v>
                </c:pt>
                <c:pt idx="38">
                  <c:v>7.72008115679119E-005</c:v>
                </c:pt>
                <c:pt idx="39">
                  <c:v>7.64639744953557E-005</c:v>
                </c:pt>
                <c:pt idx="40">
                  <c:v>7.57332775976665E-005</c:v>
                </c:pt>
                <c:pt idx="41">
                  <c:v>7.50166101932027E-005</c:v>
                </c:pt>
                <c:pt idx="42">
                  <c:v>7.43000962434915E-005</c:v>
                </c:pt>
                <c:pt idx="43">
                  <c:v>7.35067339834952E-005</c:v>
                </c:pt>
                <c:pt idx="44">
                  <c:v>7.27517966777143E-005</c:v>
                </c:pt>
                <c:pt idx="45">
                  <c:v>7.19019517630671E-005</c:v>
                </c:pt>
                <c:pt idx="46">
                  <c:v>7.11218216494701E-005</c:v>
                </c:pt>
                <c:pt idx="47">
                  <c:v>7.02701332561866E-005</c:v>
                </c:pt>
                <c:pt idx="48">
                  <c:v>6.94658846695516E-005</c:v>
                </c:pt>
                <c:pt idx="49">
                  <c:v>6.85991802584344E-005</c:v>
                </c:pt>
                <c:pt idx="50">
                  <c:v>6.77482621506566E-005</c:v>
                </c:pt>
                <c:pt idx="51">
                  <c:v>6.69138273012178E-005</c:v>
                </c:pt>
                <c:pt idx="52">
                  <c:v>6.61292968466498E-005</c:v>
                </c:pt>
                <c:pt idx="53">
                  <c:v>6.53215130297829E-005</c:v>
                </c:pt>
                <c:pt idx="54">
                  <c:v>6.43992414489573E-005</c:v>
                </c:pt>
                <c:pt idx="55">
                  <c:v>6.34884106266233E-005</c:v>
                </c:pt>
                <c:pt idx="56">
                  <c:v>6.27003060968648E-005</c:v>
                </c:pt>
                <c:pt idx="57">
                  <c:v>6.17644658175753E-005</c:v>
                </c:pt>
                <c:pt idx="58">
                  <c:v>6.10499845953567E-005</c:v>
                </c:pt>
                <c:pt idx="59">
                  <c:v>6.01605130839913E-005</c:v>
                </c:pt>
                <c:pt idx="60">
                  <c:v>5.93108667198954E-005</c:v>
                </c:pt>
                <c:pt idx="61">
                  <c:v>5.86512777929285E-005</c:v>
                </c:pt>
                <c:pt idx="62">
                  <c:v>5.80268643508353E-005</c:v>
                </c:pt>
                <c:pt idx="63">
                  <c:v>5.72036433017108E-005</c:v>
                </c:pt>
                <c:pt idx="64">
                  <c:v>5.63719098339703E-005</c:v>
                </c:pt>
                <c:pt idx="65">
                  <c:v>5.55186817232652E-005</c:v>
                </c:pt>
                <c:pt idx="66">
                  <c:v>5.45267411180235E-005</c:v>
                </c:pt>
                <c:pt idx="67">
                  <c:v>5.39390355475627E-005</c:v>
                </c:pt>
                <c:pt idx="68">
                  <c:v>5.31928544526002E-005</c:v>
                </c:pt>
                <c:pt idx="69">
                  <c:v>5.27230986462159E-005</c:v>
                </c:pt>
                <c:pt idx="70">
                  <c:v>5.19373374921013E-005</c:v>
                </c:pt>
                <c:pt idx="71">
                  <c:v>5.10649950904279E-005</c:v>
                </c:pt>
                <c:pt idx="72">
                  <c:v>5.03255541556591E-005</c:v>
                </c:pt>
                <c:pt idx="73">
                  <c:v>4.9707741107383E-005</c:v>
                </c:pt>
                <c:pt idx="74">
                  <c:v>4.90607938020862E-005</c:v>
                </c:pt>
                <c:pt idx="75">
                  <c:v>4.83273569569045E-005</c:v>
                </c:pt>
                <c:pt idx="76">
                  <c:v>4.74996697395667E-005</c:v>
                </c:pt>
                <c:pt idx="77">
                  <c:v>4.69634011827935E-005</c:v>
                </c:pt>
                <c:pt idx="78">
                  <c:v>4.63458760633673E-005</c:v>
                </c:pt>
                <c:pt idx="79">
                  <c:v>4.58952901013379E-005</c:v>
                </c:pt>
                <c:pt idx="80">
                  <c:v>4.5201269450249E-005</c:v>
                </c:pt>
                <c:pt idx="81">
                  <c:v>4.4390433327566E-005</c:v>
                </c:pt>
                <c:pt idx="82">
                  <c:v>4.37846411847585E-005</c:v>
                </c:pt>
                <c:pt idx="83">
                  <c:v>4.31733103311864E-005</c:v>
                </c:pt>
                <c:pt idx="84">
                  <c:v>4.26207310060833E-005</c:v>
                </c:pt>
                <c:pt idx="85">
                  <c:v>4.24473669418481E-005</c:v>
                </c:pt>
                <c:pt idx="86">
                  <c:v>4.1912841496021E-005</c:v>
                </c:pt>
                <c:pt idx="87">
                  <c:v>4.06680356778283E-005</c:v>
                </c:pt>
                <c:pt idx="88">
                  <c:v>3.98413247294087E-005</c:v>
                </c:pt>
                <c:pt idx="89">
                  <c:v>3.96952234617134E-005</c:v>
                </c:pt>
                <c:pt idx="90">
                  <c:v>3.96550961703538E-005</c:v>
                </c:pt>
                <c:pt idx="91">
                  <c:v>3.93802241939693E-005</c:v>
                </c:pt>
                <c:pt idx="92">
                  <c:v>3.91915523157648E-005</c:v>
                </c:pt>
                <c:pt idx="93">
                  <c:v>3.82824819930029E-005</c:v>
                </c:pt>
                <c:pt idx="94">
                  <c:v>3.75872928539899E-005</c:v>
                </c:pt>
                <c:pt idx="95">
                  <c:v>3.70821598017264E-005</c:v>
                </c:pt>
                <c:pt idx="96">
                  <c:v>3.7236514685089E-005</c:v>
                </c:pt>
                <c:pt idx="97">
                  <c:v>3.72104203095256E-005</c:v>
                </c:pt>
                <c:pt idx="98">
                  <c:v>3.67532074787093E-005</c:v>
                </c:pt>
                <c:pt idx="99">
                  <c:v>3.65297491302415E-005</c:v>
                </c:pt>
                <c:pt idx="100">
                  <c:v>3.60132573229871E-005</c:v>
                </c:pt>
                <c:pt idx="101">
                  <c:v>3.50204012343278E-005</c:v>
                </c:pt>
                <c:pt idx="102">
                  <c:v>3.47850455558161E-005</c:v>
                </c:pt>
                <c:pt idx="103">
                  <c:v>3.48954823348949E-005</c:v>
                </c:pt>
                <c:pt idx="104">
                  <c:v>3.51282048690325E-005</c:v>
                </c:pt>
                <c:pt idx="105">
                  <c:v>3.39927999759591E-005</c:v>
                </c:pt>
                <c:pt idx="106">
                  <c:v>3.44123404943598E-005</c:v>
                </c:pt>
                <c:pt idx="107">
                  <c:v>3.50425766556024E-005</c:v>
                </c:pt>
                <c:pt idx="108">
                  <c:v>3.38953644205735E-005</c:v>
                </c:pt>
                <c:pt idx="109">
                  <c:v>3.32619784631008E-005</c:v>
                </c:pt>
                <c:pt idx="110">
                  <c:v>3.4539973570289E-005</c:v>
                </c:pt>
                <c:pt idx="111">
                  <c:v>3.43655994104159E-005</c:v>
                </c:pt>
                <c:pt idx="112">
                  <c:v>3.49353870320002E-005</c:v>
                </c:pt>
                <c:pt idx="113">
                  <c:v>3.20082852317364E-005</c:v>
                </c:pt>
                <c:pt idx="114">
                  <c:v>3.24786088246694E-005</c:v>
                </c:pt>
                <c:pt idx="115">
                  <c:v>3.35994069443488E-005</c:v>
                </c:pt>
                <c:pt idx="116">
                  <c:v>3.274746676241E-005</c:v>
                </c:pt>
                <c:pt idx="117">
                  <c:v>3.26500714454111E-005</c:v>
                </c:pt>
                <c:pt idx="118">
                  <c:v>2.81522751070025E-005</c:v>
                </c:pt>
                <c:pt idx="119">
                  <c:v>2.98418200092327E-005</c:v>
                </c:pt>
                <c:pt idx="120">
                  <c:v>3.00778087362621E-005</c:v>
                </c:pt>
                <c:pt idx="121">
                  <c:v>3.25476400873179E-005</c:v>
                </c:pt>
                <c:pt idx="122">
                  <c:v>3.29447472200074E-005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Plots!$Z$1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Plots!$Z$3:$Z$127</c:f>
              <c:numCache>
                <c:formatCode>General</c:formatCode>
                <c:ptCount val="125"/>
                <c:pt idx="0">
                  <c:v>7783256336065210</c:v>
                </c:pt>
                <c:pt idx="1">
                  <c:v>26845035783280000</c:v>
                </c:pt>
                <c:pt idx="2">
                  <c:v>36126305491217400</c:v>
                </c:pt>
                <c:pt idx="3">
                  <c:v>39630879794741000</c:v>
                </c:pt>
                <c:pt idx="4">
                  <c:v>39211290162413600</c:v>
                </c:pt>
                <c:pt idx="5">
                  <c:v>37843901497485900</c:v>
                </c:pt>
                <c:pt idx="6">
                  <c:v>36244723427761900</c:v>
                </c:pt>
                <c:pt idx="7">
                  <c:v>34628337339729900</c:v>
                </c:pt>
                <c:pt idx="8">
                  <c:v>33003513642253500</c:v>
                </c:pt>
                <c:pt idx="9">
                  <c:v>31400519642118300</c:v>
                </c:pt>
                <c:pt idx="10">
                  <c:v>29816495623101600</c:v>
                </c:pt>
                <c:pt idx="11">
                  <c:v>28273802391880900</c:v>
                </c:pt>
                <c:pt idx="12">
                  <c:v>26779548662975400</c:v>
                </c:pt>
                <c:pt idx="13">
                  <c:v>25350645777419100</c:v>
                </c:pt>
                <c:pt idx="14">
                  <c:v>23984223295483900</c:v>
                </c:pt>
                <c:pt idx="15">
                  <c:v>22680419705951700</c:v>
                </c:pt>
                <c:pt idx="16">
                  <c:v>21431727320027700</c:v>
                </c:pt>
                <c:pt idx="17">
                  <c:v>20228650097494300</c:v>
                </c:pt>
                <c:pt idx="18">
                  <c:v>19083574976637200</c:v>
                </c:pt>
                <c:pt idx="19">
                  <c:v>17994699470131700</c:v>
                </c:pt>
                <c:pt idx="20">
                  <c:v>16960717257106700</c:v>
                </c:pt>
                <c:pt idx="21">
                  <c:v>15978495563184400</c:v>
                </c:pt>
                <c:pt idx="22">
                  <c:v>15048134710362600</c:v>
                </c:pt>
                <c:pt idx="23">
                  <c:v>14168390774585200</c:v>
                </c:pt>
                <c:pt idx="24">
                  <c:v>13338171764520900</c:v>
                </c:pt>
                <c:pt idx="25">
                  <c:v>12554473923966900</c:v>
                </c:pt>
                <c:pt idx="26">
                  <c:v>11818122093944200</c:v>
                </c:pt>
                <c:pt idx="27">
                  <c:v>11123312219854100</c:v>
                </c:pt>
                <c:pt idx="28">
                  <c:v>10462185714733300</c:v>
                </c:pt>
                <c:pt idx="29">
                  <c:v>9841964060004830</c:v>
                </c:pt>
                <c:pt idx="30">
                  <c:v>9256653873902630</c:v>
                </c:pt>
                <c:pt idx="31">
                  <c:v>8710264173418590</c:v>
                </c:pt>
                <c:pt idx="32">
                  <c:v>8191184385357170</c:v>
                </c:pt>
                <c:pt idx="33">
                  <c:v>7706750884812710</c:v>
                </c:pt>
                <c:pt idx="34">
                  <c:v>7248645667740300</c:v>
                </c:pt>
                <c:pt idx="35">
                  <c:v>6810725345664040</c:v>
                </c:pt>
                <c:pt idx="36">
                  <c:v>6403665324180780</c:v>
                </c:pt>
                <c:pt idx="37">
                  <c:v>6019807573538920</c:v>
                </c:pt>
                <c:pt idx="38">
                  <c:v>5656541441218460</c:v>
                </c:pt>
                <c:pt idx="39">
                  <c:v>5318595300208510</c:v>
                </c:pt>
                <c:pt idx="40">
                  <c:v>4995807414916580</c:v>
                </c:pt>
                <c:pt idx="41">
                  <c:v>4697764338239960</c:v>
                </c:pt>
                <c:pt idx="42">
                  <c:v>4411588024612300</c:v>
                </c:pt>
                <c:pt idx="43">
                  <c:v>4147984429243830</c:v>
                </c:pt>
                <c:pt idx="44">
                  <c:v>3896000897858520</c:v>
                </c:pt>
                <c:pt idx="45">
                  <c:v>3658570276550310</c:v>
                </c:pt>
                <c:pt idx="46">
                  <c:v>3442409403709010</c:v>
                </c:pt>
                <c:pt idx="47">
                  <c:v>3233760419649640</c:v>
                </c:pt>
                <c:pt idx="48">
                  <c:v>3038401190614000</c:v>
                </c:pt>
                <c:pt idx="49">
                  <c:v>2854755862121410</c:v>
                </c:pt>
                <c:pt idx="50">
                  <c:v>2678126295065900</c:v>
                </c:pt>
                <c:pt idx="51">
                  <c:v>2514998887243250</c:v>
                </c:pt>
                <c:pt idx="52">
                  <c:v>2363040449961230</c:v>
                </c:pt>
                <c:pt idx="53">
                  <c:v>2221650993332700</c:v>
                </c:pt>
                <c:pt idx="54">
                  <c:v>2088650190782080</c:v>
                </c:pt>
                <c:pt idx="55">
                  <c:v>1959739898145810</c:v>
                </c:pt>
                <c:pt idx="56">
                  <c:v>1837575482821790</c:v>
                </c:pt>
                <c:pt idx="57">
                  <c:v>1727982417584770</c:v>
                </c:pt>
                <c:pt idx="58">
                  <c:v>1621164204159440</c:v>
                </c:pt>
                <c:pt idx="59">
                  <c:v>1516371803626890</c:v>
                </c:pt>
                <c:pt idx="60">
                  <c:v>1426779827960810</c:v>
                </c:pt>
                <c:pt idx="61">
                  <c:v>1340793784517640</c:v>
                </c:pt>
                <c:pt idx="62">
                  <c:v>1257264985840890</c:v>
                </c:pt>
                <c:pt idx="63">
                  <c:v>1181082192574680</c:v>
                </c:pt>
                <c:pt idx="64">
                  <c:v>1111469055930210</c:v>
                </c:pt>
                <c:pt idx="65">
                  <c:v>1046029760899890</c:v>
                </c:pt>
                <c:pt idx="66">
                  <c:v>976943456157116</c:v>
                </c:pt>
                <c:pt idx="67">
                  <c:v>916873337999137</c:v>
                </c:pt>
                <c:pt idx="68">
                  <c:v>862369715475035</c:v>
                </c:pt>
                <c:pt idx="69">
                  <c:v>810274656777833</c:v>
                </c:pt>
                <c:pt idx="70">
                  <c:v>759928168608903</c:v>
                </c:pt>
                <c:pt idx="71">
                  <c:v>712457836195338</c:v>
                </c:pt>
                <c:pt idx="72">
                  <c:v>668060251893562</c:v>
                </c:pt>
                <c:pt idx="73">
                  <c:v>627383080970369</c:v>
                </c:pt>
                <c:pt idx="74">
                  <c:v>589318461200266</c:v>
                </c:pt>
                <c:pt idx="75">
                  <c:v>553397019870857</c:v>
                </c:pt>
                <c:pt idx="76">
                  <c:v>519818727491663</c:v>
                </c:pt>
                <c:pt idx="77">
                  <c:v>486859404381272</c:v>
                </c:pt>
                <c:pt idx="78">
                  <c:v>455843056904075</c:v>
                </c:pt>
                <c:pt idx="79">
                  <c:v>425055206078415</c:v>
                </c:pt>
                <c:pt idx="80">
                  <c:v>398564755654291</c:v>
                </c:pt>
                <c:pt idx="81">
                  <c:v>371524605232268</c:v>
                </c:pt>
                <c:pt idx="82">
                  <c:v>351534019756677</c:v>
                </c:pt>
                <c:pt idx="83">
                  <c:v>332018726670925</c:v>
                </c:pt>
                <c:pt idx="84">
                  <c:v>307892103991467</c:v>
                </c:pt>
                <c:pt idx="85">
                  <c:v>289882797168303</c:v>
                </c:pt>
                <c:pt idx="86">
                  <c:v>272308724822338</c:v>
                </c:pt>
                <c:pt idx="87">
                  <c:v>255411020847325</c:v>
                </c:pt>
                <c:pt idx="88">
                  <c:v>239153328275594</c:v>
                </c:pt>
                <c:pt idx="89">
                  <c:v>226250976381346</c:v>
                </c:pt>
                <c:pt idx="90">
                  <c:v>212639243413736</c:v>
                </c:pt>
                <c:pt idx="91">
                  <c:v>198458508249437</c:v>
                </c:pt>
                <c:pt idx="92">
                  <c:v>183951274468051</c:v>
                </c:pt>
                <c:pt idx="93">
                  <c:v>170042711412660</c:v>
                </c:pt>
                <c:pt idx="94">
                  <c:v>158100579194870</c:v>
                </c:pt>
                <c:pt idx="95">
                  <c:v>150749997132874</c:v>
                </c:pt>
                <c:pt idx="96">
                  <c:v>142243262764838</c:v>
                </c:pt>
                <c:pt idx="97">
                  <c:v>133777555782481</c:v>
                </c:pt>
                <c:pt idx="98">
                  <c:v>125113486599790</c:v>
                </c:pt>
                <c:pt idx="99">
                  <c:v>117070851143209</c:v>
                </c:pt>
                <c:pt idx="100">
                  <c:v>108285554690460</c:v>
                </c:pt>
                <c:pt idx="101">
                  <c:v>102909520223569</c:v>
                </c:pt>
                <c:pt idx="102">
                  <c:v>97911237121938.4</c:v>
                </c:pt>
                <c:pt idx="103">
                  <c:v>86665974175966.2</c:v>
                </c:pt>
                <c:pt idx="104">
                  <c:v>83678709229895.1</c:v>
                </c:pt>
                <c:pt idx="105">
                  <c:v>81506901541466.4</c:v>
                </c:pt>
                <c:pt idx="106">
                  <c:v>75978231979228.2</c:v>
                </c:pt>
                <c:pt idx="107">
                  <c:v>66964302299966.4</c:v>
                </c:pt>
                <c:pt idx="108">
                  <c:v>66490195195647.9</c:v>
                </c:pt>
                <c:pt idx="109">
                  <c:v>64797229486570.6</c:v>
                </c:pt>
                <c:pt idx="110">
                  <c:v>60972587866905.5</c:v>
                </c:pt>
                <c:pt idx="111">
                  <c:v>58672065446955.9</c:v>
                </c:pt>
                <c:pt idx="112">
                  <c:v>50221086299523.3</c:v>
                </c:pt>
                <c:pt idx="113">
                  <c:v>48532231175033.3</c:v>
                </c:pt>
                <c:pt idx="114">
                  <c:v>44919651505753.6</c:v>
                </c:pt>
                <c:pt idx="115">
                  <c:v>45695972399757.4</c:v>
                </c:pt>
                <c:pt idx="116">
                  <c:v>43738430271932.9</c:v>
                </c:pt>
                <c:pt idx="117">
                  <c:v>39555520283487.2</c:v>
                </c:pt>
                <c:pt idx="118">
                  <c:v>36285640089836</c:v>
                </c:pt>
                <c:pt idx="119">
                  <c:v>33859826518472.7</c:v>
                </c:pt>
                <c:pt idx="120">
                  <c:v>32411624770957.9</c:v>
                </c:pt>
                <c:pt idx="121">
                  <c:v>31064783404136.9</c:v>
                </c:pt>
                <c:pt idx="122">
                  <c:v>30694488180460.2</c:v>
                </c:pt>
                <c:pt idx="123">
                  <c:v>28978034873310.5</c:v>
                </c:pt>
                <c:pt idx="124">
                  <c:v>28910704673927.9</c:v>
                </c:pt>
              </c:numCache>
            </c:numRef>
          </c:xVal>
          <c:yVal>
            <c:numRef>
              <c:f>Plots!$AA$3:$AA$127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8.6454549294838E-005</c:v>
                </c:pt>
                <c:pt idx="3">
                  <c:v>8.21024793769899E-005</c:v>
                </c:pt>
                <c:pt idx="4">
                  <c:v>7.84897867186617E-005</c:v>
                </c:pt>
                <c:pt idx="5">
                  <c:v>7.71370916027215E-005</c:v>
                </c:pt>
                <c:pt idx="6">
                  <c:v>7.76855325644301E-005</c:v>
                </c:pt>
                <c:pt idx="7">
                  <c:v>7.85822767958837E-005</c:v>
                </c:pt>
                <c:pt idx="8">
                  <c:v>7.9364632042181E-005</c:v>
                </c:pt>
                <c:pt idx="9">
                  <c:v>8.00349577347451E-005</c:v>
                </c:pt>
                <c:pt idx="10">
                  <c:v>8.06235507592777E-005</c:v>
                </c:pt>
                <c:pt idx="11">
                  <c:v>8.10860274652604E-005</c:v>
                </c:pt>
                <c:pt idx="12">
                  <c:v>8.14751358111887E-005</c:v>
                </c:pt>
                <c:pt idx="13">
                  <c:v>8.17750201627489E-005</c:v>
                </c:pt>
                <c:pt idx="14">
                  <c:v>8.20013659630712E-005</c:v>
                </c:pt>
                <c:pt idx="15">
                  <c:v>8.21801413049891E-005</c:v>
                </c:pt>
                <c:pt idx="16">
                  <c:v>8.2291209721622E-005</c:v>
                </c:pt>
                <c:pt idx="17">
                  <c:v>8.22909383652719E-005</c:v>
                </c:pt>
                <c:pt idx="18">
                  <c:v>8.22635674011089E-005</c:v>
                </c:pt>
                <c:pt idx="19">
                  <c:v>8.2176316619708E-005</c:v>
                </c:pt>
                <c:pt idx="20">
                  <c:v>8.20116136984802E-005</c:v>
                </c:pt>
                <c:pt idx="21">
                  <c:v>8.18020998623898E-005</c:v>
                </c:pt>
                <c:pt idx="22">
                  <c:v>8.15234191268943E-005</c:v>
                </c:pt>
                <c:pt idx="23">
                  <c:v>8.12257934841579E-005</c:v>
                </c:pt>
                <c:pt idx="24">
                  <c:v>8.08950320804902E-005</c:v>
                </c:pt>
                <c:pt idx="25">
                  <c:v>8.05204615589147E-005</c:v>
                </c:pt>
                <c:pt idx="26">
                  <c:v>8.0115807756719E-005</c:v>
                </c:pt>
                <c:pt idx="27">
                  <c:v>7.96925350772755E-005</c:v>
                </c:pt>
                <c:pt idx="28">
                  <c:v>7.92914658473898E-005</c:v>
                </c:pt>
                <c:pt idx="29">
                  <c:v>7.88444746772164E-005</c:v>
                </c:pt>
                <c:pt idx="30">
                  <c:v>7.83248949074988E-005</c:v>
                </c:pt>
                <c:pt idx="31">
                  <c:v>7.77886356796591E-005</c:v>
                </c:pt>
                <c:pt idx="32">
                  <c:v>7.71852447784042E-005</c:v>
                </c:pt>
                <c:pt idx="33">
                  <c:v>7.66068136772884E-005</c:v>
                </c:pt>
                <c:pt idx="34">
                  <c:v>7.59851824147342E-005</c:v>
                </c:pt>
                <c:pt idx="35">
                  <c:v>7.52557833126022E-005</c:v>
                </c:pt>
                <c:pt idx="36">
                  <c:v>7.45961887080292E-005</c:v>
                </c:pt>
                <c:pt idx="37">
                  <c:v>7.38761385865538E-005</c:v>
                </c:pt>
                <c:pt idx="38">
                  <c:v>7.31339959259735E-005</c:v>
                </c:pt>
                <c:pt idx="39">
                  <c:v>7.24616623045116E-005</c:v>
                </c:pt>
                <c:pt idx="40">
                  <c:v>7.16869939139941E-005</c:v>
                </c:pt>
                <c:pt idx="41">
                  <c:v>7.10029935124592E-005</c:v>
                </c:pt>
                <c:pt idx="42">
                  <c:v>7.02183825987787E-005</c:v>
                </c:pt>
                <c:pt idx="43">
                  <c:v>6.94532972797429E-005</c:v>
                </c:pt>
                <c:pt idx="44">
                  <c:v>6.86492159054596E-005</c:v>
                </c:pt>
                <c:pt idx="45">
                  <c:v>6.77899349793918E-005</c:v>
                </c:pt>
                <c:pt idx="46">
                  <c:v>6.71201733326708E-005</c:v>
                </c:pt>
                <c:pt idx="47">
                  <c:v>6.62968856143499E-005</c:v>
                </c:pt>
                <c:pt idx="48">
                  <c:v>6.54723883552683E-005</c:v>
                </c:pt>
                <c:pt idx="49">
                  <c:v>6.46351635326433E-005</c:v>
                </c:pt>
                <c:pt idx="50">
                  <c:v>6.3726357349124E-005</c:v>
                </c:pt>
                <c:pt idx="51">
                  <c:v>6.29025969270643E-005</c:v>
                </c:pt>
                <c:pt idx="52">
                  <c:v>6.21425953703571E-005</c:v>
                </c:pt>
                <c:pt idx="53">
                  <c:v>6.13811993141705E-005</c:v>
                </c:pt>
                <c:pt idx="54">
                  <c:v>6.05852759367483E-005</c:v>
                </c:pt>
                <c:pt idx="55">
                  <c:v>5.9681687002504E-005</c:v>
                </c:pt>
                <c:pt idx="56">
                  <c:v>5.88112587659978E-005</c:v>
                </c:pt>
                <c:pt idx="57">
                  <c:v>5.80354126849292E-005</c:v>
                </c:pt>
                <c:pt idx="58">
                  <c:v>5.71820117339573E-005</c:v>
                </c:pt>
                <c:pt idx="59">
                  <c:v>5.62592140687462E-005</c:v>
                </c:pt>
                <c:pt idx="60">
                  <c:v>5.55946986993525E-005</c:v>
                </c:pt>
                <c:pt idx="61">
                  <c:v>5.49127693956659E-005</c:v>
                </c:pt>
                <c:pt idx="62">
                  <c:v>5.41070850705025E-005</c:v>
                </c:pt>
                <c:pt idx="63">
                  <c:v>5.33840307637922E-005</c:v>
                </c:pt>
                <c:pt idx="64">
                  <c:v>5.27302087309038E-005</c:v>
                </c:pt>
                <c:pt idx="65">
                  <c:v>5.20332222387312E-005</c:v>
                </c:pt>
                <c:pt idx="66">
                  <c:v>5.10086413519726E-005</c:v>
                </c:pt>
                <c:pt idx="67">
                  <c:v>5.02991103916659E-005</c:v>
                </c:pt>
                <c:pt idx="68">
                  <c:v>4.96668119914107E-005</c:v>
                </c:pt>
                <c:pt idx="69">
                  <c:v>4.90385716337476E-005</c:v>
                </c:pt>
                <c:pt idx="70">
                  <c:v>4.82252899919799E-005</c:v>
                </c:pt>
                <c:pt idx="71">
                  <c:v>4.75085823349228E-005</c:v>
                </c:pt>
                <c:pt idx="72">
                  <c:v>4.67173197228132E-005</c:v>
                </c:pt>
                <c:pt idx="73">
                  <c:v>4.60961887344109E-005</c:v>
                </c:pt>
                <c:pt idx="74">
                  <c:v>4.54152223392865E-005</c:v>
                </c:pt>
                <c:pt idx="75">
                  <c:v>4.47689069464481E-005</c:v>
                </c:pt>
                <c:pt idx="76">
                  <c:v>4.415466336952E-005</c:v>
                </c:pt>
                <c:pt idx="77">
                  <c:v>4.34324804654708E-005</c:v>
                </c:pt>
                <c:pt idx="78">
                  <c:v>4.26949278861848E-005</c:v>
                </c:pt>
                <c:pt idx="79">
                  <c:v>4.18410640681787E-005</c:v>
                </c:pt>
                <c:pt idx="80">
                  <c:v>4.11598173253704E-005</c:v>
                </c:pt>
                <c:pt idx="81">
                  <c:v>4.0383229304041E-005</c:v>
                </c:pt>
                <c:pt idx="82">
                  <c:v>4.01506867814824E-005</c:v>
                </c:pt>
                <c:pt idx="83">
                  <c:v>3.99132568325917E-005</c:v>
                </c:pt>
                <c:pt idx="84">
                  <c:v>3.87681266361219E-005</c:v>
                </c:pt>
                <c:pt idx="85">
                  <c:v>3.83371208808156E-005</c:v>
                </c:pt>
                <c:pt idx="86">
                  <c:v>3.79478008398804E-005</c:v>
                </c:pt>
                <c:pt idx="87">
                  <c:v>3.74242266811373E-005</c:v>
                </c:pt>
                <c:pt idx="88">
                  <c:v>3.68153370254585E-005</c:v>
                </c:pt>
                <c:pt idx="89">
                  <c:v>3.67376160915476E-005</c:v>
                </c:pt>
                <c:pt idx="90">
                  <c:v>3.63647495978185E-005</c:v>
                </c:pt>
                <c:pt idx="91">
                  <c:v>3.55817661087042E-005</c:v>
                </c:pt>
                <c:pt idx="92">
                  <c:v>3.47260543508328E-005</c:v>
                </c:pt>
                <c:pt idx="93">
                  <c:v>3.39315047810688E-005</c:v>
                </c:pt>
                <c:pt idx="94">
                  <c:v>3.33127566681271E-005</c:v>
                </c:pt>
                <c:pt idx="95">
                  <c:v>3.36018064407698E-005</c:v>
                </c:pt>
                <c:pt idx="96">
                  <c:v>3.34519481712063E-005</c:v>
                </c:pt>
                <c:pt idx="97">
                  <c:v>3.31981639155023E-005</c:v>
                </c:pt>
                <c:pt idx="98">
                  <c:v>3.26790158019203E-005</c:v>
                </c:pt>
                <c:pt idx="99">
                  <c:v>3.21960430709486E-005</c:v>
                </c:pt>
                <c:pt idx="100">
                  <c:v>3.14578352408022E-005</c:v>
                </c:pt>
                <c:pt idx="101">
                  <c:v>3.18503090033886E-005</c:v>
                </c:pt>
                <c:pt idx="102">
                  <c:v>3.20276350315284E-005</c:v>
                </c:pt>
                <c:pt idx="103">
                  <c:v>2.99081923642703E-005</c:v>
                </c:pt>
                <c:pt idx="104">
                  <c:v>3.05269014110171E-005</c:v>
                </c:pt>
                <c:pt idx="105">
                  <c:v>3.13477816640154E-005</c:v>
                </c:pt>
                <c:pt idx="106">
                  <c:v>3.09894033394263E-005</c:v>
                </c:pt>
                <c:pt idx="107">
                  <c:v>2.87960902812126E-005</c:v>
                </c:pt>
                <c:pt idx="108">
                  <c:v>3.05508658460091E-005</c:v>
                </c:pt>
                <c:pt idx="109">
                  <c:v>3.16575445463851E-005</c:v>
                </c:pt>
                <c:pt idx="110">
                  <c:v>3.13662975852271E-005</c:v>
                </c:pt>
                <c:pt idx="111">
                  <c:v>3.18321932206094E-005</c:v>
                </c:pt>
                <c:pt idx="112">
                  <c:v>2.91668965799462E-005</c:v>
                </c:pt>
                <c:pt idx="113">
                  <c:v>3.00224177497642E-005</c:v>
                </c:pt>
                <c:pt idx="114">
                  <c:v>3.00316870031253E-005</c:v>
                </c:pt>
                <c:pt idx="115">
                  <c:v>3.21343082640078E-005</c:v>
                </c:pt>
                <c:pt idx="116">
                  <c:v>3.23034708143513E-005</c:v>
                </c:pt>
                <c:pt idx="117">
                  <c:v>3.0999127517164E-005</c:v>
                </c:pt>
                <c:pt idx="118">
                  <c:v>3.02149298342152E-005</c:v>
                </c:pt>
                <c:pt idx="119">
                  <c:v>3.0719214612638E-005</c:v>
                </c:pt>
                <c:pt idx="120">
                  <c:v>3.16575508818565E-005</c:v>
                </c:pt>
                <c:pt idx="121">
                  <c:v>3.18888045688814E-005</c:v>
                </c:pt>
                <c:pt idx="122">
                  <c:v>3.37426834813243E-005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Plots!$AB$1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Plots!$AB$3:$AB$127</c:f>
              <c:numCache>
                <c:formatCode>General</c:formatCode>
                <c:ptCount val="125"/>
                <c:pt idx="0">
                  <c:v>1848004577806580</c:v>
                </c:pt>
                <c:pt idx="1">
                  <c:v>18518142398048500</c:v>
                </c:pt>
                <c:pt idx="2">
                  <c:v>31256443189243800</c:v>
                </c:pt>
                <c:pt idx="3">
                  <c:v>37399982467007200</c:v>
                </c:pt>
                <c:pt idx="4">
                  <c:v>38079828191806400</c:v>
                </c:pt>
                <c:pt idx="5">
                  <c:v>36988080229799200</c:v>
                </c:pt>
                <c:pt idx="6">
                  <c:v>35389461286562400</c:v>
                </c:pt>
                <c:pt idx="7">
                  <c:v>33745354956649300</c:v>
                </c:pt>
                <c:pt idx="8">
                  <c:v>32104516843175500</c:v>
                </c:pt>
                <c:pt idx="9">
                  <c:v>30509528649830500</c:v>
                </c:pt>
                <c:pt idx="10">
                  <c:v>28939264816283900</c:v>
                </c:pt>
                <c:pt idx="11">
                  <c:v>27407464430583300</c:v>
                </c:pt>
                <c:pt idx="12">
                  <c:v>25920033648842800</c:v>
                </c:pt>
                <c:pt idx="13">
                  <c:v>24497117549265300</c:v>
                </c:pt>
                <c:pt idx="14">
                  <c:v>23150311639353700</c:v>
                </c:pt>
                <c:pt idx="15">
                  <c:v>21850434812651600</c:v>
                </c:pt>
                <c:pt idx="16">
                  <c:v>20621354139281700</c:v>
                </c:pt>
                <c:pt idx="17">
                  <c:v>19436251102525700</c:v>
                </c:pt>
                <c:pt idx="18">
                  <c:v>18311301911227100</c:v>
                </c:pt>
                <c:pt idx="19">
                  <c:v>17243890566864000</c:v>
                </c:pt>
                <c:pt idx="20">
                  <c:v>16227907372666900</c:v>
                </c:pt>
                <c:pt idx="21">
                  <c:v>15263445159540300</c:v>
                </c:pt>
                <c:pt idx="22">
                  <c:v>14356977444679200</c:v>
                </c:pt>
                <c:pt idx="23">
                  <c:v>13503422258759300</c:v>
                </c:pt>
                <c:pt idx="24">
                  <c:v>12691855841785900</c:v>
                </c:pt>
                <c:pt idx="25">
                  <c:v>11929562771205000</c:v>
                </c:pt>
                <c:pt idx="26">
                  <c:v>11214590222491700</c:v>
                </c:pt>
                <c:pt idx="27">
                  <c:v>10542650157378100</c:v>
                </c:pt>
                <c:pt idx="28">
                  <c:v>9901745107527590</c:v>
                </c:pt>
                <c:pt idx="29">
                  <c:v>9302513182066820</c:v>
                </c:pt>
                <c:pt idx="30">
                  <c:v>8743310261735320</c:v>
                </c:pt>
                <c:pt idx="31">
                  <c:v>8220779070231900</c:v>
                </c:pt>
                <c:pt idx="32">
                  <c:v>7724085273555210</c:v>
                </c:pt>
                <c:pt idx="33">
                  <c:v>7257000870150840</c:v>
                </c:pt>
                <c:pt idx="34">
                  <c:v>6816735483126460</c:v>
                </c:pt>
                <c:pt idx="35">
                  <c:v>6400926301522710</c:v>
                </c:pt>
                <c:pt idx="36">
                  <c:v>6006619173308160</c:v>
                </c:pt>
                <c:pt idx="37">
                  <c:v>5645397745008990</c:v>
                </c:pt>
                <c:pt idx="38">
                  <c:v>5301958460732440</c:v>
                </c:pt>
                <c:pt idx="39">
                  <c:v>4976531765420550</c:v>
                </c:pt>
                <c:pt idx="40">
                  <c:v>4671140933507160</c:v>
                </c:pt>
                <c:pt idx="41">
                  <c:v>4387147557871670</c:v>
                </c:pt>
                <c:pt idx="42">
                  <c:v>4117656485628450</c:v>
                </c:pt>
                <c:pt idx="43">
                  <c:v>3868787194593090</c:v>
                </c:pt>
                <c:pt idx="44">
                  <c:v>3629494866202210</c:v>
                </c:pt>
                <c:pt idx="45">
                  <c:v>3408787070535180</c:v>
                </c:pt>
                <c:pt idx="46">
                  <c:v>3201110278595010</c:v>
                </c:pt>
                <c:pt idx="47">
                  <c:v>3007194118668380</c:v>
                </c:pt>
                <c:pt idx="48">
                  <c:v>2820399797749110</c:v>
                </c:pt>
                <c:pt idx="49">
                  <c:v>2649061000179020</c:v>
                </c:pt>
                <c:pt idx="50">
                  <c:v>2483535710409960</c:v>
                </c:pt>
                <c:pt idx="51">
                  <c:v>2328004532627930</c:v>
                </c:pt>
                <c:pt idx="52">
                  <c:v>2187716037755220</c:v>
                </c:pt>
                <c:pt idx="53">
                  <c:v>2051335600834650</c:v>
                </c:pt>
                <c:pt idx="54">
                  <c:v>1923734761341160</c:v>
                </c:pt>
                <c:pt idx="55">
                  <c:v>1806359099753210</c:v>
                </c:pt>
                <c:pt idx="56">
                  <c:v>1691134376194310</c:v>
                </c:pt>
                <c:pt idx="57">
                  <c:v>1587097966301780</c:v>
                </c:pt>
                <c:pt idx="58">
                  <c:v>1491046685870610</c:v>
                </c:pt>
                <c:pt idx="59">
                  <c:v>1396948568980260</c:v>
                </c:pt>
                <c:pt idx="60">
                  <c:v>1308694126633820</c:v>
                </c:pt>
                <c:pt idx="61">
                  <c:v>1227354270732420</c:v>
                </c:pt>
                <c:pt idx="62">
                  <c:v>1151846359480760</c:v>
                </c:pt>
                <c:pt idx="63">
                  <c:v>1083009947963930</c:v>
                </c:pt>
                <c:pt idx="64">
                  <c:v>1015865676234590</c:v>
                </c:pt>
                <c:pt idx="65">
                  <c:v>954123136784631</c:v>
                </c:pt>
                <c:pt idx="66">
                  <c:v>894541012587194</c:v>
                </c:pt>
                <c:pt idx="67">
                  <c:v>838584060604274</c:v>
                </c:pt>
                <c:pt idx="68">
                  <c:v>786892607908908</c:v>
                </c:pt>
                <c:pt idx="69">
                  <c:v>736241683635041</c:v>
                </c:pt>
                <c:pt idx="70">
                  <c:v>693549839739455</c:v>
                </c:pt>
                <c:pt idx="71">
                  <c:v>650015402091358</c:v>
                </c:pt>
                <c:pt idx="72">
                  <c:v>611495943398194</c:v>
                </c:pt>
                <c:pt idx="73">
                  <c:v>570305674542891</c:v>
                </c:pt>
                <c:pt idx="74">
                  <c:v>537275261219522</c:v>
                </c:pt>
                <c:pt idx="75">
                  <c:v>504866931913715</c:v>
                </c:pt>
                <c:pt idx="76">
                  <c:v>471431210436411</c:v>
                </c:pt>
                <c:pt idx="77">
                  <c:v>442072598942729</c:v>
                </c:pt>
                <c:pt idx="78">
                  <c:v>417231076745968</c:v>
                </c:pt>
                <c:pt idx="79">
                  <c:v>391968432935060</c:v>
                </c:pt>
                <c:pt idx="80">
                  <c:v>367564659912309</c:v>
                </c:pt>
                <c:pt idx="81">
                  <c:v>340389695524286</c:v>
                </c:pt>
                <c:pt idx="82">
                  <c:v>320832097749966</c:v>
                </c:pt>
                <c:pt idx="83">
                  <c:v>300258524949194</c:v>
                </c:pt>
                <c:pt idx="84">
                  <c:v>280755727612295</c:v>
                </c:pt>
                <c:pt idx="85">
                  <c:v>264399668111817</c:v>
                </c:pt>
                <c:pt idx="86">
                  <c:v>251245325972267</c:v>
                </c:pt>
                <c:pt idx="87">
                  <c:v>235963753421470</c:v>
                </c:pt>
                <c:pt idx="88">
                  <c:v>217850885398784</c:v>
                </c:pt>
                <c:pt idx="89">
                  <c:v>205714753123806</c:v>
                </c:pt>
                <c:pt idx="90">
                  <c:v>193785557611598</c:v>
                </c:pt>
                <c:pt idx="91">
                  <c:v>182642809274247</c:v>
                </c:pt>
                <c:pt idx="92">
                  <c:v>169931392521201</c:v>
                </c:pt>
                <c:pt idx="93">
                  <c:v>160520048195757</c:v>
                </c:pt>
                <c:pt idx="94">
                  <c:v>151792769022590</c:v>
                </c:pt>
                <c:pt idx="95">
                  <c:v>141883411822677</c:v>
                </c:pt>
                <c:pt idx="96">
                  <c:v>134040133929522</c:v>
                </c:pt>
                <c:pt idx="97">
                  <c:v>124790963277199</c:v>
                </c:pt>
                <c:pt idx="98">
                  <c:v>117314513787468</c:v>
                </c:pt>
                <c:pt idx="99">
                  <c:v>114204036603635</c:v>
                </c:pt>
                <c:pt idx="100">
                  <c:v>103533235624895</c:v>
                </c:pt>
                <c:pt idx="101">
                  <c:v>94666820262537.2</c:v>
                </c:pt>
                <c:pt idx="102">
                  <c:v>90157981764877.8</c:v>
                </c:pt>
                <c:pt idx="103">
                  <c:v>86929225221450.7</c:v>
                </c:pt>
                <c:pt idx="104">
                  <c:v>81945363452841</c:v>
                </c:pt>
                <c:pt idx="105">
                  <c:v>77890427719598.4</c:v>
                </c:pt>
                <c:pt idx="106">
                  <c:v>73199413506250.4</c:v>
                </c:pt>
                <c:pt idx="107">
                  <c:v>68702787251078.9</c:v>
                </c:pt>
                <c:pt idx="108">
                  <c:v>60514799283316.6</c:v>
                </c:pt>
                <c:pt idx="109">
                  <c:v>57586146124002.1</c:v>
                </c:pt>
                <c:pt idx="110">
                  <c:v>56345063881124.4</c:v>
                </c:pt>
                <c:pt idx="111">
                  <c:v>51383248226792.4</c:v>
                </c:pt>
                <c:pt idx="112">
                  <c:v>49475951375918.5</c:v>
                </c:pt>
                <c:pt idx="113">
                  <c:v>45504477284762.4</c:v>
                </c:pt>
                <c:pt idx="114">
                  <c:v>41567572218516</c:v>
                </c:pt>
                <c:pt idx="115">
                  <c:v>40710702920633.8</c:v>
                </c:pt>
                <c:pt idx="116">
                  <c:v>38331333548012.5</c:v>
                </c:pt>
                <c:pt idx="117">
                  <c:v>36016519135700.2</c:v>
                </c:pt>
                <c:pt idx="118">
                  <c:v>30725094151871.3</c:v>
                </c:pt>
                <c:pt idx="119">
                  <c:v>31548491451777.1</c:v>
                </c:pt>
                <c:pt idx="120">
                  <c:v>27970890474342.3</c:v>
                </c:pt>
                <c:pt idx="121">
                  <c:v>25756225181762.1</c:v>
                </c:pt>
                <c:pt idx="122">
                  <c:v>24396360068788.1</c:v>
                </c:pt>
                <c:pt idx="123">
                  <c:v>23353007757137.8</c:v>
                </c:pt>
                <c:pt idx="124">
                  <c:v>23005307515587.5</c:v>
                </c:pt>
              </c:numCache>
            </c:numRef>
          </c:xVal>
          <c:yVal>
            <c:numRef>
              <c:f>Plots!$AC$3:$AC$127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8.26652848261426E-005</c:v>
                </c:pt>
                <c:pt idx="3">
                  <c:v>8.15617270295257E-005</c:v>
                </c:pt>
                <c:pt idx="4">
                  <c:v>7.76226050389419E-005</c:v>
                </c:pt>
                <c:pt idx="5">
                  <c:v>7.5424240507401E-005</c:v>
                </c:pt>
                <c:pt idx="6">
                  <c:v>7.55133670396709E-005</c:v>
                </c:pt>
                <c:pt idx="7">
                  <c:v>7.62624626313551E-005</c:v>
                </c:pt>
                <c:pt idx="8">
                  <c:v>7.69514122410432E-005</c:v>
                </c:pt>
                <c:pt idx="9">
                  <c:v>7.75311393460932E-005</c:v>
                </c:pt>
                <c:pt idx="10">
                  <c:v>7.79956366190353E-005</c:v>
                </c:pt>
                <c:pt idx="11">
                  <c:v>7.8343575244209E-005</c:v>
                </c:pt>
                <c:pt idx="12">
                  <c:v>7.86156964381521E-005</c:v>
                </c:pt>
                <c:pt idx="13">
                  <c:v>7.88028240774395E-005</c:v>
                </c:pt>
                <c:pt idx="14">
                  <c:v>7.89471659919295E-005</c:v>
                </c:pt>
                <c:pt idx="15">
                  <c:v>7.89836667826389E-005</c:v>
                </c:pt>
                <c:pt idx="16">
                  <c:v>7.89855013010684E-005</c:v>
                </c:pt>
                <c:pt idx="17">
                  <c:v>7.88992421013429E-005</c:v>
                </c:pt>
                <c:pt idx="18">
                  <c:v>7.87687223460411E-005</c:v>
                </c:pt>
                <c:pt idx="19">
                  <c:v>7.85881878040066E-005</c:v>
                </c:pt>
                <c:pt idx="20">
                  <c:v>7.8329762888211E-005</c:v>
                </c:pt>
                <c:pt idx="21">
                  <c:v>7.80230700435261E-005</c:v>
                </c:pt>
                <c:pt idx="22">
                  <c:v>7.7676805021902E-005</c:v>
                </c:pt>
                <c:pt idx="23">
                  <c:v>7.73435245665314E-005</c:v>
                </c:pt>
                <c:pt idx="24">
                  <c:v>7.69205224089026E-005</c:v>
                </c:pt>
                <c:pt idx="25">
                  <c:v>7.64740263355354E-005</c:v>
                </c:pt>
                <c:pt idx="26">
                  <c:v>7.59918034011178E-005</c:v>
                </c:pt>
                <c:pt idx="27">
                  <c:v>7.55096989644557E-005</c:v>
                </c:pt>
                <c:pt idx="28">
                  <c:v>7.50234916469274E-005</c:v>
                </c:pt>
                <c:pt idx="29">
                  <c:v>7.45190814003785E-005</c:v>
                </c:pt>
                <c:pt idx="30">
                  <c:v>7.39696566479513E-005</c:v>
                </c:pt>
                <c:pt idx="31">
                  <c:v>7.34046987364468E-005</c:v>
                </c:pt>
                <c:pt idx="32">
                  <c:v>7.27764369551841E-005</c:v>
                </c:pt>
                <c:pt idx="33">
                  <c:v>7.21406423379205E-005</c:v>
                </c:pt>
                <c:pt idx="34">
                  <c:v>7.14417421423919E-005</c:v>
                </c:pt>
                <c:pt idx="35">
                  <c:v>7.07525243749639E-005</c:v>
                </c:pt>
                <c:pt idx="36">
                  <c:v>7.00071670717499E-005</c:v>
                </c:pt>
                <c:pt idx="37">
                  <c:v>6.93297666947177E-005</c:v>
                </c:pt>
                <c:pt idx="38">
                  <c:v>6.85951854181981E-005</c:v>
                </c:pt>
                <c:pt idx="39">
                  <c:v>6.78452623722033E-005</c:v>
                </c:pt>
                <c:pt idx="40">
                  <c:v>6.70588550373392E-005</c:v>
                </c:pt>
                <c:pt idx="41">
                  <c:v>6.63383518611559E-005</c:v>
                </c:pt>
                <c:pt idx="42">
                  <c:v>6.55555832902744E-005</c:v>
                </c:pt>
                <c:pt idx="43">
                  <c:v>6.4820929121885E-005</c:v>
                </c:pt>
                <c:pt idx="44">
                  <c:v>6.39642498584908E-005</c:v>
                </c:pt>
                <c:pt idx="45">
                  <c:v>6.31921998521036E-005</c:v>
                </c:pt>
                <c:pt idx="46">
                  <c:v>6.23714156595173E-005</c:v>
                </c:pt>
                <c:pt idx="47">
                  <c:v>6.1649886864449E-005</c:v>
                </c:pt>
                <c:pt idx="48">
                  <c:v>6.07497253078594E-005</c:v>
                </c:pt>
                <c:pt idx="49">
                  <c:v>5.99893521480485E-005</c:v>
                </c:pt>
                <c:pt idx="50">
                  <c:v>5.91230749444243E-005</c:v>
                </c:pt>
                <c:pt idx="51">
                  <c:v>5.8259741842177E-005</c:v>
                </c:pt>
                <c:pt idx="52">
                  <c:v>5.7549686418008E-005</c:v>
                </c:pt>
                <c:pt idx="53">
                  <c:v>5.66902988334477E-005</c:v>
                </c:pt>
                <c:pt idx="54">
                  <c:v>5.58604143759779E-005</c:v>
                </c:pt>
                <c:pt idx="55">
                  <c:v>5.50798779550885E-005</c:v>
                </c:pt>
                <c:pt idx="56">
                  <c:v>5.41933837090622E-005</c:v>
                </c:pt>
                <c:pt idx="57">
                  <c:v>5.33718922646967E-005</c:v>
                </c:pt>
                <c:pt idx="58">
                  <c:v>5.27336920603375E-005</c:v>
                </c:pt>
                <c:pt idx="59">
                  <c:v>5.18788782280168E-005</c:v>
                </c:pt>
                <c:pt idx="60">
                  <c:v>5.1072605276263E-005</c:v>
                </c:pt>
                <c:pt idx="61">
                  <c:v>5.03634138650131E-005</c:v>
                </c:pt>
                <c:pt idx="62">
                  <c:v>4.97149178567065E-005</c:v>
                </c:pt>
                <c:pt idx="63">
                  <c:v>4.90704901155299E-005</c:v>
                </c:pt>
                <c:pt idx="64">
                  <c:v>4.83344163184705E-005</c:v>
                </c:pt>
                <c:pt idx="65">
                  <c:v>4.76108334870263E-005</c:v>
                </c:pt>
                <c:pt idx="66">
                  <c:v>4.68922974372287E-005</c:v>
                </c:pt>
                <c:pt idx="67">
                  <c:v>4.61284915437669E-005</c:v>
                </c:pt>
                <c:pt idx="68">
                  <c:v>4.55205265614333E-005</c:v>
                </c:pt>
                <c:pt idx="69">
                  <c:v>4.46345164781143E-005</c:v>
                </c:pt>
                <c:pt idx="70">
                  <c:v>4.41893997869272E-005</c:v>
                </c:pt>
                <c:pt idx="71">
                  <c:v>4.34193793642738E-005</c:v>
                </c:pt>
                <c:pt idx="72">
                  <c:v>4.28594551661518E-005</c:v>
                </c:pt>
                <c:pt idx="73">
                  <c:v>4.19396612550543E-005</c:v>
                </c:pt>
                <c:pt idx="74">
                  <c:v>4.14921677107679E-005</c:v>
                </c:pt>
                <c:pt idx="75">
                  <c:v>4.09995694781884E-005</c:v>
                </c:pt>
                <c:pt idx="76">
                  <c:v>4.01951799988789E-005</c:v>
                </c:pt>
                <c:pt idx="77">
                  <c:v>3.95952032369897E-005</c:v>
                </c:pt>
                <c:pt idx="78">
                  <c:v>3.93548187521635E-005</c:v>
                </c:pt>
                <c:pt idx="79">
                  <c:v>3.87717454757818E-005</c:v>
                </c:pt>
                <c:pt idx="80">
                  <c:v>3.81187054682725E-005</c:v>
                </c:pt>
                <c:pt idx="81">
                  <c:v>3.70432852785672E-005</c:v>
                </c:pt>
                <c:pt idx="82">
                  <c:v>3.67569981487181E-005</c:v>
                </c:pt>
                <c:pt idx="83">
                  <c:v>3.61707448959716E-005</c:v>
                </c:pt>
                <c:pt idx="84">
                  <c:v>3.55896487566178E-005</c:v>
                </c:pt>
                <c:pt idx="85">
                  <c:v>3.52167188470725E-005</c:v>
                </c:pt>
                <c:pt idx="86">
                  <c:v>3.51808242563028E-005</c:v>
                </c:pt>
                <c:pt idx="87">
                  <c:v>3.47084268294009E-005</c:v>
                </c:pt>
                <c:pt idx="88">
                  <c:v>3.37294996862301E-005</c:v>
                </c:pt>
                <c:pt idx="89">
                  <c:v>3.34949972461761E-005</c:v>
                </c:pt>
                <c:pt idx="90">
                  <c:v>3.32015651349719E-005</c:v>
                </c:pt>
                <c:pt idx="91">
                  <c:v>3.29614124969898E-005</c:v>
                </c:pt>
                <c:pt idx="92">
                  <c:v>3.22473297917634E-005</c:v>
                </c:pt>
                <c:pt idx="93">
                  <c:v>3.21455345911734E-005</c:v>
                </c:pt>
                <c:pt idx="94">
                  <c:v>3.21208847584094E-005</c:v>
                </c:pt>
                <c:pt idx="95">
                  <c:v>3.15818183174335E-005</c:v>
                </c:pt>
                <c:pt idx="96">
                  <c:v>3.14426410606458E-005</c:v>
                </c:pt>
                <c:pt idx="97">
                  <c:v>3.09556191914803E-005</c:v>
                </c:pt>
                <c:pt idx="98">
                  <c:v>3.05524544150874E-005</c:v>
                </c:pt>
                <c:pt idx="99">
                  <c:v>3.1475171271094E-005</c:v>
                </c:pt>
                <c:pt idx="100">
                  <c:v>3.01215917183101E-005</c:v>
                </c:pt>
                <c:pt idx="101">
                  <c:v>2.92373572469859E-005</c:v>
                </c:pt>
                <c:pt idx="102">
                  <c:v>2.95649461811427E-005</c:v>
                </c:pt>
                <c:pt idx="103">
                  <c:v>2.98660646569412E-005</c:v>
                </c:pt>
                <c:pt idx="104">
                  <c:v>2.98593042465778E-005</c:v>
                </c:pt>
                <c:pt idx="105">
                  <c:v>2.97106056865803E-005</c:v>
                </c:pt>
                <c:pt idx="106">
                  <c:v>2.98289971405083E-005</c:v>
                </c:pt>
                <c:pt idx="107">
                  <c:v>2.96837069809346E-005</c:v>
                </c:pt>
                <c:pt idx="108">
                  <c:v>2.77058836529568E-005</c:v>
                </c:pt>
                <c:pt idx="109">
                  <c:v>2.80580662758995E-005</c:v>
                </c:pt>
                <c:pt idx="110">
                  <c:v>2.93943531356185E-005</c:v>
                </c:pt>
                <c:pt idx="111">
                  <c:v>2.87576888856779E-005</c:v>
                </c:pt>
                <c:pt idx="112">
                  <c:v>2.87975865834016E-005</c:v>
                </c:pt>
                <c:pt idx="113">
                  <c:v>2.8435808176372E-005</c:v>
                </c:pt>
                <c:pt idx="114">
                  <c:v>2.74703172070129E-005</c:v>
                </c:pt>
                <c:pt idx="115">
                  <c:v>2.86324080577442E-005</c:v>
                </c:pt>
                <c:pt idx="116">
                  <c:v>2.85317004143236E-005</c:v>
                </c:pt>
                <c:pt idx="117">
                  <c:v>2.84495152637244E-005</c:v>
                </c:pt>
                <c:pt idx="118">
                  <c:v>2.55542962443509E-005</c:v>
                </c:pt>
                <c:pt idx="119">
                  <c:v>2.88918072658318E-005</c:v>
                </c:pt>
                <c:pt idx="120">
                  <c:v>2.71838583941719E-005</c:v>
                </c:pt>
                <c:pt idx="121">
                  <c:v>2.66841769238247E-005</c:v>
                </c:pt>
                <c:pt idx="122">
                  <c:v>2.75336761403459E-005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Plots!$AD$1</c:f>
              <c:strCache>
                <c:ptCount val="1"/>
                <c:pt idx="0">
                  <c:v>36</c:v>
                </c:pt>
              </c:strCache>
            </c:strRef>
          </c:tx>
          <c:spPr>
            <a:solidFill>
              <a:srgbClr val="99ccff"/>
            </a:solidFill>
          </c:spPr>
          <c:marker/>
          <c:xVal>
            <c:numRef>
              <c:f>Plots!$AD$3:$AD$127</c:f>
              <c:numCache>
                <c:formatCode>General</c:formatCode>
                <c:ptCount val="125"/>
                <c:pt idx="0">
                  <c:v>7132943842282830</c:v>
                </c:pt>
                <c:pt idx="1">
                  <c:v>24227357978840700</c:v>
                </c:pt>
                <c:pt idx="2">
                  <c:v>33156920272910100</c:v>
                </c:pt>
                <c:pt idx="3">
                  <c:v>36427160437229200</c:v>
                </c:pt>
                <c:pt idx="4">
                  <c:v>35960639175556000</c:v>
                </c:pt>
                <c:pt idx="5">
                  <c:v>34640506713742100</c:v>
                </c:pt>
                <c:pt idx="6">
                  <c:v>33094189745940200</c:v>
                </c:pt>
                <c:pt idx="7">
                  <c:v>31509624705700300</c:v>
                </c:pt>
                <c:pt idx="8">
                  <c:v>29891736272606900</c:v>
                </c:pt>
                <c:pt idx="9">
                  <c:v>28297879556163500</c:v>
                </c:pt>
                <c:pt idx="10">
                  <c:v>26752924575107000</c:v>
                </c:pt>
                <c:pt idx="11">
                  <c:v>25263397175589000</c:v>
                </c:pt>
                <c:pt idx="12">
                  <c:v>23827630108026100</c:v>
                </c:pt>
                <c:pt idx="13">
                  <c:v>22456291055661500</c:v>
                </c:pt>
                <c:pt idx="14">
                  <c:v>21155974638805200</c:v>
                </c:pt>
                <c:pt idx="15">
                  <c:v>19908759707753300</c:v>
                </c:pt>
                <c:pt idx="16">
                  <c:v>18728247707966400</c:v>
                </c:pt>
                <c:pt idx="17">
                  <c:v>17605699975024100</c:v>
                </c:pt>
                <c:pt idx="18">
                  <c:v>16539968009497500</c:v>
                </c:pt>
                <c:pt idx="19">
                  <c:v>15535100296298000</c:v>
                </c:pt>
                <c:pt idx="20">
                  <c:v>14583243862017500</c:v>
                </c:pt>
                <c:pt idx="21">
                  <c:v>13689584349206500</c:v>
                </c:pt>
                <c:pt idx="22">
                  <c:v>12845970111505300</c:v>
                </c:pt>
                <c:pt idx="23">
                  <c:v>12051435426874400</c:v>
                </c:pt>
                <c:pt idx="24">
                  <c:v>11304792156430900</c:v>
                </c:pt>
                <c:pt idx="25">
                  <c:v>10602611747998900</c:v>
                </c:pt>
                <c:pt idx="26">
                  <c:v>9949873671104590</c:v>
                </c:pt>
                <c:pt idx="27">
                  <c:v>9332678772147270</c:v>
                </c:pt>
                <c:pt idx="28">
                  <c:v>8754445669875410</c:v>
                </c:pt>
                <c:pt idx="29">
                  <c:v>8211088727205680</c:v>
                </c:pt>
                <c:pt idx="30">
                  <c:v>7702864378172590</c:v>
                </c:pt>
                <c:pt idx="31">
                  <c:v>7226807255739610</c:v>
                </c:pt>
                <c:pt idx="32">
                  <c:v>6777655477861600</c:v>
                </c:pt>
                <c:pt idx="33">
                  <c:v>6355404294101230</c:v>
                </c:pt>
                <c:pt idx="34">
                  <c:v>5958129488975960</c:v>
                </c:pt>
                <c:pt idx="35">
                  <c:v>5589119782351900</c:v>
                </c:pt>
                <c:pt idx="36">
                  <c:v>5240117478900220</c:v>
                </c:pt>
                <c:pt idx="37">
                  <c:v>4912154763705850</c:v>
                </c:pt>
                <c:pt idx="38">
                  <c:v>4608586025899590</c:v>
                </c:pt>
                <c:pt idx="39">
                  <c:v>4320303762359760</c:v>
                </c:pt>
                <c:pt idx="40">
                  <c:v>4047128628949140</c:v>
                </c:pt>
                <c:pt idx="41">
                  <c:v>3792086185908160</c:v>
                </c:pt>
                <c:pt idx="42">
                  <c:v>3558946252789220</c:v>
                </c:pt>
                <c:pt idx="43">
                  <c:v>3334347137827980</c:v>
                </c:pt>
                <c:pt idx="44">
                  <c:v>3126622200397880</c:v>
                </c:pt>
                <c:pt idx="45">
                  <c:v>2931046234871820</c:v>
                </c:pt>
                <c:pt idx="46">
                  <c:v>2748983842134610</c:v>
                </c:pt>
                <c:pt idx="47">
                  <c:v>2574693173309650</c:v>
                </c:pt>
                <c:pt idx="48">
                  <c:v>2414878703535610</c:v>
                </c:pt>
                <c:pt idx="49">
                  <c:v>2266083458860130</c:v>
                </c:pt>
                <c:pt idx="50">
                  <c:v>2125971438414310</c:v>
                </c:pt>
                <c:pt idx="51">
                  <c:v>1989964370513320</c:v>
                </c:pt>
                <c:pt idx="52">
                  <c:v>1864797110184120</c:v>
                </c:pt>
                <c:pt idx="53">
                  <c:v>1746876132224580</c:v>
                </c:pt>
                <c:pt idx="54">
                  <c:v>1638419307940450</c:v>
                </c:pt>
                <c:pt idx="55">
                  <c:v>1535491452734930</c:v>
                </c:pt>
                <c:pt idx="56">
                  <c:v>1439826951286910</c:v>
                </c:pt>
                <c:pt idx="57">
                  <c:v>1350685112988700</c:v>
                </c:pt>
                <c:pt idx="58">
                  <c:v>1264012780965970</c:v>
                </c:pt>
                <c:pt idx="59">
                  <c:v>1184160970027500</c:v>
                </c:pt>
                <c:pt idx="60">
                  <c:v>1110287849279560</c:v>
                </c:pt>
                <c:pt idx="61">
                  <c:v>1037141572389610</c:v>
                </c:pt>
                <c:pt idx="62">
                  <c:v>977772529288657</c:v>
                </c:pt>
                <c:pt idx="63">
                  <c:v>916903108915604</c:v>
                </c:pt>
                <c:pt idx="64">
                  <c:v>858506603042325</c:v>
                </c:pt>
                <c:pt idx="65">
                  <c:v>805968056995729</c:v>
                </c:pt>
                <c:pt idx="66">
                  <c:v>755879257963519</c:v>
                </c:pt>
                <c:pt idx="67">
                  <c:v>707967165894605</c:v>
                </c:pt>
                <c:pt idx="68">
                  <c:v>661500068404725</c:v>
                </c:pt>
                <c:pt idx="69">
                  <c:v>620802574185446</c:v>
                </c:pt>
                <c:pt idx="70">
                  <c:v>582300309816828</c:v>
                </c:pt>
                <c:pt idx="71">
                  <c:v>545005614705633</c:v>
                </c:pt>
                <c:pt idx="72">
                  <c:v>510151221833608</c:v>
                </c:pt>
                <c:pt idx="73">
                  <c:v>479049614787835</c:v>
                </c:pt>
                <c:pt idx="74">
                  <c:v>447499320366370</c:v>
                </c:pt>
                <c:pt idx="75">
                  <c:v>421958337673398</c:v>
                </c:pt>
                <c:pt idx="76">
                  <c:v>395562562247333</c:v>
                </c:pt>
                <c:pt idx="77">
                  <c:v>369634442045838</c:v>
                </c:pt>
                <c:pt idx="78">
                  <c:v>346770608412039</c:v>
                </c:pt>
                <c:pt idx="79">
                  <c:v>324034467606480</c:v>
                </c:pt>
                <c:pt idx="80">
                  <c:v>301783714180183</c:v>
                </c:pt>
                <c:pt idx="81">
                  <c:v>284296418020692</c:v>
                </c:pt>
                <c:pt idx="82">
                  <c:v>264637960521096</c:v>
                </c:pt>
                <c:pt idx="83">
                  <c:v>248774139642155</c:v>
                </c:pt>
                <c:pt idx="84">
                  <c:v>234293024261246</c:v>
                </c:pt>
                <c:pt idx="85">
                  <c:v>218706869289316</c:v>
                </c:pt>
                <c:pt idx="86">
                  <c:v>204618740201941</c:v>
                </c:pt>
                <c:pt idx="87">
                  <c:v>192789613599167</c:v>
                </c:pt>
                <c:pt idx="88">
                  <c:v>180885870525469</c:v>
                </c:pt>
                <c:pt idx="89">
                  <c:v>168995550058679</c:v>
                </c:pt>
                <c:pt idx="90">
                  <c:v>159441084468022</c:v>
                </c:pt>
                <c:pt idx="91">
                  <c:v>151539967661566</c:v>
                </c:pt>
                <c:pt idx="92">
                  <c:v>140420087935485</c:v>
                </c:pt>
                <c:pt idx="93">
                  <c:v>133209306812886</c:v>
                </c:pt>
                <c:pt idx="94">
                  <c:v>122082574445884</c:v>
                </c:pt>
                <c:pt idx="95">
                  <c:v>113806058023588</c:v>
                </c:pt>
                <c:pt idx="96">
                  <c:v>105129014300300</c:v>
                </c:pt>
                <c:pt idx="97">
                  <c:v>100312421108554</c:v>
                </c:pt>
                <c:pt idx="98">
                  <c:v>92904360815706.8</c:v>
                </c:pt>
                <c:pt idx="99">
                  <c:v>84717255660120.9</c:v>
                </c:pt>
                <c:pt idx="100">
                  <c:v>81107387371609.9</c:v>
                </c:pt>
                <c:pt idx="101">
                  <c:v>73690460933525.9</c:v>
                </c:pt>
                <c:pt idx="102">
                  <c:v>70755458155712.5</c:v>
                </c:pt>
                <c:pt idx="103">
                  <c:v>69709400525524</c:v>
                </c:pt>
                <c:pt idx="104">
                  <c:v>64163141544923.7</c:v>
                </c:pt>
                <c:pt idx="105">
                  <c:v>59549733263458.2</c:v>
                </c:pt>
                <c:pt idx="106">
                  <c:v>56389325825649.6</c:v>
                </c:pt>
                <c:pt idx="107">
                  <c:v>54099898148273.9</c:v>
                </c:pt>
                <c:pt idx="108">
                  <c:v>45501501107646.4</c:v>
                </c:pt>
                <c:pt idx="109">
                  <c:v>43939725689345.2</c:v>
                </c:pt>
                <c:pt idx="110">
                  <c:v>41800301029689.8</c:v>
                </c:pt>
                <c:pt idx="111">
                  <c:v>41019918286339.9</c:v>
                </c:pt>
                <c:pt idx="112">
                  <c:v>38073114983681.9</c:v>
                </c:pt>
                <c:pt idx="113">
                  <c:v>33310224587328.3</c:v>
                </c:pt>
                <c:pt idx="114">
                  <c:v>32646757858004.8</c:v>
                </c:pt>
                <c:pt idx="115">
                  <c:v>29186774225621.7</c:v>
                </c:pt>
                <c:pt idx="116">
                  <c:v>27342694042775.6</c:v>
                </c:pt>
                <c:pt idx="117">
                  <c:v>26449772194609.8</c:v>
                </c:pt>
                <c:pt idx="118">
                  <c:v>26881842656070.6</c:v>
                </c:pt>
                <c:pt idx="119">
                  <c:v>26132991744538</c:v>
                </c:pt>
                <c:pt idx="120">
                  <c:v>25960251382945.2</c:v>
                </c:pt>
                <c:pt idx="121">
                  <c:v>24952516219816.5</c:v>
                </c:pt>
                <c:pt idx="122">
                  <c:v>20061967632947.2</c:v>
                </c:pt>
                <c:pt idx="123">
                  <c:v>19832016491441.1</c:v>
                </c:pt>
                <c:pt idx="124">
                  <c:v>16183594725932.2</c:v>
                </c:pt>
              </c:numCache>
            </c:numRef>
          </c:xVal>
          <c:yVal>
            <c:numRef>
              <c:f>Plots!$AE$3:$AE$127</c:f>
              <c:numCache>
                <c:formatCode>General</c:formatCode>
                <c:ptCount val="125"/>
                <c:pt idx="0">
                  <c:v>0</c:v>
                </c:pt>
                <c:pt idx="1">
                  <c:v>0</c:v>
                </c:pt>
                <c:pt idx="2">
                  <c:v>7.88003505249978E-005</c:v>
                </c:pt>
                <c:pt idx="3">
                  <c:v>7.59856198820142E-005</c:v>
                </c:pt>
                <c:pt idx="4">
                  <c:v>7.29521529266433E-005</c:v>
                </c:pt>
                <c:pt idx="5">
                  <c:v>7.19542967670074E-005</c:v>
                </c:pt>
                <c:pt idx="6">
                  <c:v>7.23239269490315E-005</c:v>
                </c:pt>
                <c:pt idx="7">
                  <c:v>7.28735090753209E-005</c:v>
                </c:pt>
                <c:pt idx="8">
                  <c:v>7.3301428388468E-005</c:v>
                </c:pt>
                <c:pt idx="9">
                  <c:v>7.36122391207309E-005</c:v>
                </c:pt>
                <c:pt idx="10">
                  <c:v>7.38232674017368E-005</c:v>
                </c:pt>
                <c:pt idx="11">
                  <c:v>7.39480258867385E-005</c:v>
                </c:pt>
                <c:pt idx="12">
                  <c:v>7.40075213074163E-005</c:v>
                </c:pt>
                <c:pt idx="13">
                  <c:v>7.39810891907247E-005</c:v>
                </c:pt>
                <c:pt idx="14">
                  <c:v>7.39256897774816E-005</c:v>
                </c:pt>
                <c:pt idx="15">
                  <c:v>7.37606266491341E-005</c:v>
                </c:pt>
                <c:pt idx="16">
                  <c:v>7.35520585729832E-005</c:v>
                </c:pt>
                <c:pt idx="17">
                  <c:v>7.32972304984058E-005</c:v>
                </c:pt>
                <c:pt idx="18">
                  <c:v>7.29886426767674E-005</c:v>
                </c:pt>
                <c:pt idx="19">
                  <c:v>7.26403463471849E-005</c:v>
                </c:pt>
                <c:pt idx="20">
                  <c:v>7.22258278401225E-005</c:v>
                </c:pt>
                <c:pt idx="21">
                  <c:v>7.1787479429067E-005</c:v>
                </c:pt>
                <c:pt idx="22">
                  <c:v>7.13140897979178E-005</c:v>
                </c:pt>
                <c:pt idx="23">
                  <c:v>7.08190794071963E-005</c:v>
                </c:pt>
                <c:pt idx="24">
                  <c:v>7.02816878410319E-005</c:v>
                </c:pt>
                <c:pt idx="25">
                  <c:v>6.97194850596455E-005</c:v>
                </c:pt>
                <c:pt idx="26">
                  <c:v>6.91730120276577E-005</c:v>
                </c:pt>
                <c:pt idx="27">
                  <c:v>6.85829545810346E-005</c:v>
                </c:pt>
                <c:pt idx="28">
                  <c:v>6.80912867044117E-005</c:v>
                </c:pt>
                <c:pt idx="29">
                  <c:v>6.74815871503216E-005</c:v>
                </c:pt>
                <c:pt idx="30">
                  <c:v>6.68561197684216E-005</c:v>
                </c:pt>
                <c:pt idx="31">
                  <c:v>6.61802002928448E-005</c:v>
                </c:pt>
                <c:pt idx="32">
                  <c:v>6.54829998228375E-005</c:v>
                </c:pt>
                <c:pt idx="33">
                  <c:v>6.47828333343241E-005</c:v>
                </c:pt>
                <c:pt idx="34">
                  <c:v>6.40555839203326E-005</c:v>
                </c:pt>
                <c:pt idx="35">
                  <c:v>6.33517635783459E-005</c:v>
                </c:pt>
                <c:pt idx="36">
                  <c:v>6.2623878895807E-005</c:v>
                </c:pt>
                <c:pt idx="37">
                  <c:v>6.1827765900437E-005</c:v>
                </c:pt>
                <c:pt idx="38">
                  <c:v>6.11612136091523E-005</c:v>
                </c:pt>
                <c:pt idx="39">
                  <c:v>6.03686275451228E-005</c:v>
                </c:pt>
                <c:pt idx="40">
                  <c:v>5.95771807436491E-005</c:v>
                </c:pt>
                <c:pt idx="41">
                  <c:v>5.87802990871387E-005</c:v>
                </c:pt>
                <c:pt idx="42">
                  <c:v>5.80803218856445E-005</c:v>
                </c:pt>
                <c:pt idx="43">
                  <c:v>5.72682456630961E-005</c:v>
                </c:pt>
                <c:pt idx="44">
                  <c:v>5.65000521210655E-005</c:v>
                </c:pt>
                <c:pt idx="45">
                  <c:v>5.56984559288782E-005</c:v>
                </c:pt>
                <c:pt idx="46">
                  <c:v>5.49344892728111E-005</c:v>
                </c:pt>
                <c:pt idx="47">
                  <c:v>5.41286557640397E-005</c:v>
                </c:pt>
                <c:pt idx="48">
                  <c:v>5.33690769908542E-005</c:v>
                </c:pt>
                <c:pt idx="49">
                  <c:v>5.26159457329905E-005</c:v>
                </c:pt>
                <c:pt idx="50">
                  <c:v>5.18890040355604E-005</c:v>
                </c:pt>
                <c:pt idx="51">
                  <c:v>5.10027320322818E-005</c:v>
                </c:pt>
                <c:pt idx="52">
                  <c:v>5.02153745178701E-005</c:v>
                </c:pt>
                <c:pt idx="53">
                  <c:v>4.9454500476555E-005</c:v>
                </c:pt>
                <c:pt idx="54">
                  <c:v>4.86934416254524E-005</c:v>
                </c:pt>
                <c:pt idx="55">
                  <c:v>4.79235632424187E-005</c:v>
                </c:pt>
                <c:pt idx="56">
                  <c:v>4.71860443706459E-005</c:v>
                </c:pt>
                <c:pt idx="57">
                  <c:v>4.64827257090944E-005</c:v>
                </c:pt>
                <c:pt idx="58">
                  <c:v>4.5741284560727E-005</c:v>
                </c:pt>
                <c:pt idx="59">
                  <c:v>4.49740629284301E-005</c:v>
                </c:pt>
                <c:pt idx="60">
                  <c:v>4.43102318660033E-005</c:v>
                </c:pt>
                <c:pt idx="61">
                  <c:v>4.35006703610678E-005</c:v>
                </c:pt>
                <c:pt idx="62">
                  <c:v>4.31277706219776E-005</c:v>
                </c:pt>
                <c:pt idx="63">
                  <c:v>4.24825868110349E-005</c:v>
                </c:pt>
                <c:pt idx="64">
                  <c:v>4.16969275509492E-005</c:v>
                </c:pt>
                <c:pt idx="65">
                  <c:v>4.10716490073909E-005</c:v>
                </c:pt>
                <c:pt idx="66">
                  <c:v>4.04307333831839E-005</c:v>
                </c:pt>
                <c:pt idx="67">
                  <c:v>3.97478467445765E-005</c:v>
                </c:pt>
                <c:pt idx="68">
                  <c:v>3.90877775274702E-005</c:v>
                </c:pt>
                <c:pt idx="69">
                  <c:v>3.84889710570924E-005</c:v>
                </c:pt>
                <c:pt idx="70">
                  <c:v>3.78834155112318E-005</c:v>
                </c:pt>
                <c:pt idx="71">
                  <c:v>3.72518563901447E-005</c:v>
                </c:pt>
                <c:pt idx="72">
                  <c:v>3.65867746750371E-005</c:v>
                </c:pt>
                <c:pt idx="73">
                  <c:v>3.61006711156263E-005</c:v>
                </c:pt>
                <c:pt idx="74">
                  <c:v>3.53845164034624E-005</c:v>
                </c:pt>
                <c:pt idx="75">
                  <c:v>3.5041456703028E-005</c:v>
                </c:pt>
                <c:pt idx="76">
                  <c:v>3.44758379416023E-005</c:v>
                </c:pt>
                <c:pt idx="77">
                  <c:v>3.38453479793187E-005</c:v>
                </c:pt>
                <c:pt idx="78">
                  <c:v>3.33219067889578E-005</c:v>
                </c:pt>
                <c:pt idx="79">
                  <c:v>3.27560336186818E-005</c:v>
                </c:pt>
                <c:pt idx="80">
                  <c:v>3.2063022739196E-005</c:v>
                </c:pt>
                <c:pt idx="81">
                  <c:v>3.17088117476409E-005</c:v>
                </c:pt>
                <c:pt idx="82">
                  <c:v>3.11029764200429E-005</c:v>
                </c:pt>
                <c:pt idx="83">
                  <c:v>3.06558403788949E-005</c:v>
                </c:pt>
                <c:pt idx="84">
                  <c:v>3.03301970026605E-005</c:v>
                </c:pt>
                <c:pt idx="85">
                  <c:v>2.98552002146156E-005</c:v>
                </c:pt>
                <c:pt idx="86">
                  <c:v>2.92843987567132E-005</c:v>
                </c:pt>
                <c:pt idx="87">
                  <c:v>2.90462730316223E-005</c:v>
                </c:pt>
                <c:pt idx="88">
                  <c:v>2.86417982547482E-005</c:v>
                </c:pt>
                <c:pt idx="89">
                  <c:v>2.82499573727129E-005</c:v>
                </c:pt>
                <c:pt idx="90">
                  <c:v>2.80074129690148E-005</c:v>
                </c:pt>
                <c:pt idx="91">
                  <c:v>2.80076072029867E-005</c:v>
                </c:pt>
                <c:pt idx="92">
                  <c:v>2.72256760383844E-005</c:v>
                </c:pt>
                <c:pt idx="93">
                  <c:v>2.73713099261741E-005</c:v>
                </c:pt>
                <c:pt idx="94">
                  <c:v>2.62771227419525E-005</c:v>
                </c:pt>
                <c:pt idx="95">
                  <c:v>2.57789739236271E-005</c:v>
                </c:pt>
                <c:pt idx="96">
                  <c:v>2.52374504443717E-005</c:v>
                </c:pt>
                <c:pt idx="97">
                  <c:v>2.54238381092095E-005</c:v>
                </c:pt>
                <c:pt idx="98">
                  <c:v>2.48462199437009E-005</c:v>
                </c:pt>
                <c:pt idx="99">
                  <c:v>2.38564472681061E-005</c:v>
                </c:pt>
                <c:pt idx="100">
                  <c:v>2.41856857168698E-005</c:v>
                </c:pt>
                <c:pt idx="101">
                  <c:v>2.32898961703377E-005</c:v>
                </c:pt>
                <c:pt idx="102">
                  <c:v>2.35696261261533E-005</c:v>
                </c:pt>
                <c:pt idx="103">
                  <c:v>2.45575555419441E-005</c:v>
                </c:pt>
                <c:pt idx="104">
                  <c:v>2.39493654703569E-005</c:v>
                </c:pt>
                <c:pt idx="105">
                  <c:v>2.35606915680282E-005</c:v>
                </c:pt>
                <c:pt idx="106">
                  <c:v>2.33426428947987E-005</c:v>
                </c:pt>
                <c:pt idx="107">
                  <c:v>2.39193307095444E-005</c:v>
                </c:pt>
                <c:pt idx="108">
                  <c:v>2.11894180790183E-005</c:v>
                </c:pt>
                <c:pt idx="109">
                  <c:v>2.17271949453695E-005</c:v>
                </c:pt>
                <c:pt idx="110">
                  <c:v>2.22743555405468E-005</c:v>
                </c:pt>
                <c:pt idx="111">
                  <c:v>2.30340272845911E-005</c:v>
                </c:pt>
                <c:pt idx="112">
                  <c:v>2.25298823826038E-005</c:v>
                </c:pt>
                <c:pt idx="113">
                  <c:v>2.10123058321933E-005</c:v>
                </c:pt>
                <c:pt idx="114">
                  <c:v>2.2064998747491E-005</c:v>
                </c:pt>
                <c:pt idx="115">
                  <c:v>2.08608674088052E-005</c:v>
                </c:pt>
                <c:pt idx="116">
                  <c:v>2.1032342951573E-005</c:v>
                </c:pt>
                <c:pt idx="117">
                  <c:v>2.12151712985441E-005</c:v>
                </c:pt>
                <c:pt idx="118">
                  <c:v>2.34295668613918E-005</c:v>
                </c:pt>
                <c:pt idx="119">
                  <c:v>2.4237320617022E-005</c:v>
                </c:pt>
                <c:pt idx="120">
                  <c:v>2.57102897505214E-005</c:v>
                </c:pt>
                <c:pt idx="121">
                  <c:v>2.61220900825086E-005</c:v>
                </c:pt>
                <c:pt idx="122">
                  <c:v>2.21921112413827E-005</c:v>
                </c:pt>
                <c:pt idx="123">
                  <c:v>0</c:v>
                </c:pt>
                <c:pt idx="124">
                  <c:v>0</c:v>
                </c:pt>
              </c:numCache>
            </c:numRef>
          </c:yVal>
        </c:ser>
        <c:axId val="74782782"/>
        <c:axId val="34757088"/>
      </c:scatterChart>
      <c:valAx>
        <c:axId val="74782782"/>
        <c:scaling>
          <c:orientation val="minMax"/>
          <c:logBase val="10"/>
          <c:min val="1000000000000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0000"/>
                    </a:solidFill>
                    <a:latin typeface="Calibri"/>
                  </a:rPr>
                  <a:t>Minority Carrier Density (cm-3)</a:t>
                </a:r>
              </a:p>
            </c:rich>
          </c:tx>
        </c:title>
        <c:delete val="0"/>
        <c:axPos val="b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34757088"/>
        <c:crossesAt val="0"/>
      </c:valAx>
      <c:valAx>
        <c:axId val="34757088"/>
        <c:scaling>
          <c:orientation val="minMax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0000"/>
                    </a:solidFill>
                    <a:latin typeface="Calibri"/>
                  </a:rPr>
                  <a:t>Lifetime (s)</a:t>
                </a:r>
              </a:p>
            </c:rich>
          </c:tx>
        </c:title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74782782"/>
        <c:crossesAt val="1"/>
      </c:valAx>
      <c:spPr>
        <a:solidFill>
          <a:srgbClr val="ffffff"/>
        </a:solidFill>
      </c:spPr>
    </c:plotArea>
    <c:legend>
      <c:legendPos val="r"/>
      <c:spPr>
        <a:noFill/>
      </c:spPr>
    </c:legend>
    <c:plotVisOnly val="1"/>
  </c:chart>
  <c:spPr>
    <a:noFill/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6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7.xml"/>
</Relationships>
</file>

<file path=xl/drawings/drawing1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0</xdr:col>
      <xdr:colOff>27000</xdr:colOff>
      <xdr:row>10</xdr:row>
      <xdr:rowOff>131040</xdr:rowOff>
    </xdr:from>
    <xdr:to>
      <xdr:col>5</xdr:col>
      <xdr:colOff>850680</xdr:colOff>
      <xdr:row>32</xdr:row>
      <xdr:rowOff>132480</xdr:rowOff>
    </xdr:to>
    <xdr:graphicFrame>
      <xdr:nvGraphicFramePr>
        <xdr:cNvPr id="0" name="LightandPCGraph"/>
        <xdr:cNvGraphicFramePr/>
      </xdr:nvGraphicFramePr>
      <xdr:xfrm>
        <a:off x="27000" y="2864520"/>
        <a:ext cx="6236280" cy="3544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849240</xdr:colOff>
      <xdr:row>10</xdr:row>
      <xdr:rowOff>136800</xdr:rowOff>
    </xdr:from>
    <xdr:to>
      <xdr:col>12</xdr:col>
      <xdr:colOff>42120</xdr:colOff>
      <xdr:row>32</xdr:row>
      <xdr:rowOff>141480</xdr:rowOff>
    </xdr:to>
    <xdr:graphicFrame>
      <xdr:nvGraphicFramePr>
        <xdr:cNvPr id="1" name="InvLifetimeGraph"/>
        <xdr:cNvGraphicFramePr/>
      </xdr:nvGraphicFramePr>
      <xdr:xfrm>
        <a:off x="6261840" y="2870280"/>
        <a:ext cx="6338520" cy="3548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27000</xdr:colOff>
      <xdr:row>32</xdr:row>
      <xdr:rowOff>138240</xdr:rowOff>
    </xdr:from>
    <xdr:to>
      <xdr:col>5</xdr:col>
      <xdr:colOff>850680</xdr:colOff>
      <xdr:row>54</xdr:row>
      <xdr:rowOff>128520</xdr:rowOff>
    </xdr:to>
    <xdr:graphicFrame>
      <xdr:nvGraphicFramePr>
        <xdr:cNvPr id="2" name="ImpliedVGraph"/>
        <xdr:cNvGraphicFramePr/>
      </xdr:nvGraphicFramePr>
      <xdr:xfrm>
        <a:off x="27000" y="6415200"/>
        <a:ext cx="6236280" cy="3552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840960</xdr:colOff>
      <xdr:row>32</xdr:row>
      <xdr:rowOff>133200</xdr:rowOff>
    </xdr:from>
    <xdr:to>
      <xdr:col>12</xdr:col>
      <xdr:colOff>32760</xdr:colOff>
      <xdr:row>54</xdr:row>
      <xdr:rowOff>123480</xdr:rowOff>
    </xdr:to>
    <xdr:graphicFrame>
      <xdr:nvGraphicFramePr>
        <xdr:cNvPr id="3" name="LifetimeGraph"/>
        <xdr:cNvGraphicFramePr/>
      </xdr:nvGraphicFramePr>
      <xdr:xfrm>
        <a:off x="6253560" y="6410160"/>
        <a:ext cx="6337440" cy="3552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751680</xdr:colOff>
      <xdr:row>10</xdr:row>
      <xdr:rowOff>136440</xdr:rowOff>
    </xdr:from>
    <xdr:to>
      <xdr:col>8</xdr:col>
      <xdr:colOff>465480</xdr:colOff>
      <xdr:row>32</xdr:row>
      <xdr:rowOff>1440</xdr:rowOff>
    </xdr:to>
    <xdr:graphicFrame>
      <xdr:nvGraphicFramePr>
        <xdr:cNvPr id="4" name="RawVoltageGraph"/>
        <xdr:cNvGraphicFramePr/>
      </xdr:nvGraphicFramePr>
      <xdr:xfrm>
        <a:off x="4148640" y="2869920"/>
        <a:ext cx="4893480" cy="3408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475200</xdr:colOff>
      <xdr:row>0</xdr:row>
      <xdr:rowOff>58320</xdr:rowOff>
    </xdr:from>
    <xdr:to>
      <xdr:col>11</xdr:col>
      <xdr:colOff>151200</xdr:colOff>
      <xdr:row>3</xdr:row>
      <xdr:rowOff>12960</xdr:rowOff>
    </xdr:to>
    <xdr:pic>
      <xdr:nvPicPr>
        <xdr:cNvPr descr="" id="5" name="Picture 15"/>
        <xdr:cNvPicPr/>
      </xdr:nvPicPr>
      <xdr:blipFill>
        <a:blip r:embed="rId6"/>
        <a:stretch>
          <a:fillRect/>
        </a:stretch>
      </xdr:blipFill>
      <xdr:spPr>
        <a:xfrm>
          <a:off x="10160640" y="58320"/>
          <a:ext cx="1672560" cy="535320"/>
        </a:xfrm>
        <a:prstGeom prst="rect">
          <a:avLst/>
        </a:prstGeom>
      </xdr:spPr>
    </xdr:pic>
    <xdr:clientData/>
  </xdr:twoCellAnchor>
  <xdr:twoCellAnchor editAs="oneCell">
    <xdr:from>
      <xdr:col>0</xdr:col>
      <xdr:colOff>60480</xdr:colOff>
      <xdr:row>0</xdr:row>
      <xdr:rowOff>35640</xdr:rowOff>
    </xdr:from>
    <xdr:to>
      <xdr:col>1</xdr:col>
      <xdr:colOff>515160</xdr:colOff>
      <xdr:row>2</xdr:row>
      <xdr:rowOff>173520</xdr:rowOff>
    </xdr:to>
    <xdr:sp>
      <xdr:nvSpPr>
        <xdr:cNvPr id="6" name="CustomShape 1"/>
        <xdr:cNvSpPr/>
      </xdr:nvSpPr>
      <xdr:spPr>
        <a:xfrm>
          <a:off x="60480" y="35640"/>
          <a:ext cx="1674360" cy="528120"/>
        </a:xfrm>
        <a:prstGeom prst="rect">
          <a:avLst/>
        </a:prstGeom>
        <a:solidFill>
          <a:srgbClr val="ffe512"/>
        </a:solidFill>
      </xdr:spPr>
      <xdr:txBody>
        <a:bodyPr anchor="ctr" bIns="45000" lIns="90000" rIns="90000" tIns="45000"/>
        <a:p>
          <a:pPr algn="ctr">
            <a:lnSpc>
              <a:spcPct val="100000"/>
            </a:lnSpc>
          </a:pPr>
          <a:r>
            <a:rPr b="1" lang="en-US" sz="1400">
              <a:solidFill>
                <a:srgbClr val="000000"/>
              </a:solidFill>
              <a:latin typeface="Calibri"/>
            </a:rPr>
            <a:t>Zero Instrument</a:t>
          </a:r>
          <a:endParaRPr/>
        </a:p>
      </xdr:txBody>
    </xdr:sp>
    <xdr:clientData/>
  </xdr:twoCellAnchor>
  <xdr:twoCellAnchor editAs="oneCell">
    <xdr:from>
      <xdr:col>1</xdr:col>
      <xdr:colOff>587160</xdr:colOff>
      <xdr:row>0</xdr:row>
      <xdr:rowOff>35640</xdr:rowOff>
    </xdr:from>
    <xdr:to>
      <xdr:col>3</xdr:col>
      <xdr:colOff>145440</xdr:colOff>
      <xdr:row>2</xdr:row>
      <xdr:rowOff>173520</xdr:rowOff>
    </xdr:to>
    <xdr:sp>
      <xdr:nvSpPr>
        <xdr:cNvPr id="7" name="CustomShape 1"/>
        <xdr:cNvSpPr/>
      </xdr:nvSpPr>
      <xdr:spPr>
        <a:xfrm>
          <a:off x="1806840" y="35640"/>
          <a:ext cx="1735560" cy="528120"/>
        </a:xfrm>
        <a:prstGeom prst="rect">
          <a:avLst/>
        </a:prstGeom>
        <a:solidFill>
          <a:srgbClr val="ffe512"/>
        </a:solidFill>
      </xdr:spPr>
      <xdr:txBody>
        <a:bodyPr anchor="ctr" bIns="45000" lIns="90000" rIns="90000" tIns="45000"/>
        <a:p>
          <a:pPr algn="ctr">
            <a:lnSpc>
              <a:spcPct val="100000"/>
            </a:lnSpc>
          </a:pPr>
          <a:r>
            <a:rPr b="1" lang="en-US" sz="1400">
              <a:solidFill>
                <a:srgbClr val="000000"/>
              </a:solidFill>
              <a:latin typeface="Calibri"/>
            </a:rPr>
            <a:t>Measure Wafer</a:t>
          </a:r>
          <a:endParaRPr/>
        </a:p>
      </xdr:txBody>
    </xdr:sp>
    <xdr:clientData/>
  </xdr:twoCellAnchor>
  <xdr:twoCellAnchor editAs="oneCell">
    <xdr:from>
      <xdr:col>3</xdr:col>
      <xdr:colOff>217440</xdr:colOff>
      <xdr:row>0</xdr:row>
      <xdr:rowOff>35640</xdr:rowOff>
    </xdr:from>
    <xdr:to>
      <xdr:col>4</xdr:col>
      <xdr:colOff>840240</xdr:colOff>
      <xdr:row>2</xdr:row>
      <xdr:rowOff>173520</xdr:rowOff>
    </xdr:to>
    <xdr:sp>
      <xdr:nvSpPr>
        <xdr:cNvPr id="8" name="CustomShape 1"/>
        <xdr:cNvSpPr/>
      </xdr:nvSpPr>
      <xdr:spPr>
        <a:xfrm>
          <a:off x="3614400" y="35640"/>
          <a:ext cx="1671120" cy="528120"/>
        </a:xfrm>
        <a:prstGeom prst="rect">
          <a:avLst/>
        </a:prstGeom>
        <a:solidFill>
          <a:srgbClr val="ffe512"/>
        </a:solidFill>
      </xdr:spPr>
      <xdr:txBody>
        <a:bodyPr anchor="ctr" bIns="45000" lIns="90000" rIns="90000" tIns="45000"/>
        <a:p>
          <a:pPr algn="ctr">
            <a:lnSpc>
              <a:spcPct val="100000"/>
            </a:lnSpc>
          </a:pPr>
          <a:r>
            <a:rPr b="1" lang="en-US" sz="1400">
              <a:solidFill>
                <a:srgbClr val="000000"/>
              </a:solidFill>
              <a:latin typeface="Calibri"/>
            </a:rPr>
            <a:t>Log To Summary</a:t>
          </a:r>
          <a:endParaRPr/>
        </a:p>
      </xdr:txBody>
    </xdr:sp>
    <xdr:clientData/>
  </xdr:twoCellAnchor>
  <xdr:twoCellAnchor editAs="oneCell">
    <xdr:from>
      <xdr:col>4</xdr:col>
      <xdr:colOff>912240</xdr:colOff>
      <xdr:row>0</xdr:row>
      <xdr:rowOff>35640</xdr:rowOff>
    </xdr:from>
    <xdr:to>
      <xdr:col>6</xdr:col>
      <xdr:colOff>683640</xdr:colOff>
      <xdr:row>2</xdr:row>
      <xdr:rowOff>173520</xdr:rowOff>
    </xdr:to>
    <xdr:sp>
      <xdr:nvSpPr>
        <xdr:cNvPr id="9" name="CustomShape 1"/>
        <xdr:cNvSpPr/>
      </xdr:nvSpPr>
      <xdr:spPr>
        <a:xfrm>
          <a:off x="5357520" y="35640"/>
          <a:ext cx="1705680" cy="528120"/>
        </a:xfrm>
        <a:prstGeom prst="rect">
          <a:avLst/>
        </a:prstGeom>
        <a:solidFill>
          <a:srgbClr val="ffe512"/>
        </a:solidFill>
      </xdr:spPr>
      <xdr:txBody>
        <a:bodyPr anchor="ctr" bIns="45000" lIns="90000" rIns="90000" tIns="45000"/>
        <a:p>
          <a:pPr algn="ctr">
            <a:lnSpc>
              <a:spcPct val="100000"/>
            </a:lnSpc>
          </a:pPr>
          <a:r>
            <a:rPr b="1" lang="en-US" sz="1400">
              <a:solidFill>
                <a:srgbClr val="000000"/>
              </a:solidFill>
              <a:latin typeface="Calibri"/>
            </a:rPr>
            <a:t>Save Graph Data to .txt File</a:t>
          </a:r>
          <a:endParaRPr/>
        </a:p>
      </xdr:txBody>
    </xdr:sp>
    <xdr:clientData/>
  </xdr:twoCellAnchor>
  <xdr:twoCellAnchor editAs="oneCell">
    <xdr:from>
      <xdr:col>6</xdr:col>
      <xdr:colOff>755280</xdr:colOff>
      <xdr:row>0</xdr:row>
      <xdr:rowOff>35640</xdr:rowOff>
    </xdr:from>
    <xdr:to>
      <xdr:col>8</xdr:col>
      <xdr:colOff>291240</xdr:colOff>
      <xdr:row>2</xdr:row>
      <xdr:rowOff>173520</xdr:rowOff>
    </xdr:to>
    <xdr:sp>
      <xdr:nvSpPr>
        <xdr:cNvPr id="10" name="CustomShape 1"/>
        <xdr:cNvSpPr/>
      </xdr:nvSpPr>
      <xdr:spPr>
        <a:xfrm>
          <a:off x="7134840" y="35640"/>
          <a:ext cx="1733040" cy="528120"/>
        </a:xfrm>
        <a:prstGeom prst="rect">
          <a:avLst/>
        </a:prstGeom>
        <a:solidFill>
          <a:srgbClr val="ffe512"/>
        </a:solidFill>
      </xdr:spPr>
      <xdr:txBody>
        <a:bodyPr anchor="ctr" bIns="45000" lIns="90000" rIns="90000" tIns="45000"/>
        <a:p>
          <a:pPr algn="ctr">
            <a:lnSpc>
              <a:spcPct val="100000"/>
            </a:lnSpc>
          </a:pPr>
          <a:r>
            <a:rPr b="1" lang="en-US" sz="1400">
              <a:solidFill>
                <a:srgbClr val="000000"/>
              </a:solidFill>
              <a:latin typeface="Calibri"/>
            </a:rPr>
            <a:t>Temperature Scan</a:t>
          </a:r>
          <a:endParaRPr/>
        </a:p>
      </xdr:txBody>
    </xdr:sp>
    <xdr:clientData/>
  </xdr:twoCellAnchor>
</xdr:wsDr>
</file>

<file path=xl/drawings/drawing2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25</xdr:col>
      <xdr:colOff>734400</xdr:colOff>
      <xdr:row>20</xdr:row>
      <xdr:rowOff>68400</xdr:rowOff>
    </xdr:from>
    <xdr:to>
      <xdr:col>30</xdr:col>
      <xdr:colOff>353160</xdr:colOff>
      <xdr:row>37</xdr:row>
      <xdr:rowOff>35280</xdr:rowOff>
    </xdr:to>
    <xdr:graphicFrame>
      <xdr:nvGraphicFramePr>
        <xdr:cNvPr id="11" name="Chart 1"/>
        <xdr:cNvGraphicFramePr/>
      </xdr:nvGraphicFramePr>
      <xdr:xfrm>
        <a:off x="25156440" y="4221000"/>
        <a:ext cx="3942360" cy="271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0</xdr:col>
      <xdr:colOff>477000</xdr:colOff>
      <xdr:row>135</xdr:row>
      <xdr:rowOff>82800</xdr:rowOff>
    </xdr:from>
    <xdr:to>
      <xdr:col>11</xdr:col>
      <xdr:colOff>136440</xdr:colOff>
      <xdr:row>163</xdr:row>
      <xdr:rowOff>120240</xdr:rowOff>
    </xdr:to>
    <xdr:graphicFrame>
      <xdr:nvGraphicFramePr>
        <xdr:cNvPr id="12" name="Chart 4"/>
        <xdr:cNvGraphicFramePr/>
      </xdr:nvGraphicFramePr>
      <xdr:xfrm>
        <a:off x="477000" y="21942360"/>
        <a:ext cx="6756120" cy="4571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T136"/>
  <sheetViews>
    <sheetView colorId="64" defaultGridColor="true" rightToLeft="false" showFormulas="false" showGridLines="false" showOutlineSymbols="true" showRowColHeaders="true" showZeros="true" tabSelected="false" topLeftCell="A7" view="normal" windowProtection="false" workbookViewId="0" zoomScale="85" zoomScaleNormal="85" zoomScalePageLayoutView="100">
      <selection activeCell="A6" activeCellId="0" pane="topLeft" sqref="A6"/>
    </sheetView>
  </sheetViews>
  <sheetFormatPr defaultRowHeight="12.75"/>
  <cols>
    <col collapsed="false" hidden="false" max="1" min="1" style="1" width="17.2857142857143"/>
    <col collapsed="false" hidden="false" max="2" min="2" style="1" width="14.8571428571429"/>
    <col collapsed="false" hidden="false" max="3" min="3" style="1" width="16"/>
    <col collapsed="false" hidden="false" max="4" min="4" style="1" width="14.8571428571429"/>
    <col collapsed="false" hidden="false" max="6" min="5" style="1" width="13.7040816326531"/>
    <col collapsed="false" hidden="false" max="7" min="7" style="1" width="13.4285714285714"/>
    <col collapsed="false" hidden="false" max="8" min="8" style="1" width="17.7091836734694"/>
    <col collapsed="false" hidden="false" max="9" min="9" style="1" width="15.7142857142857"/>
    <col collapsed="false" hidden="false" max="11" min="10" style="1" width="14.1479591836735"/>
    <col collapsed="false" hidden="false" max="12" min="12" style="1" width="12.4183673469388"/>
    <col collapsed="false" hidden="false" max="13" min="13" style="1" width="11.2857142857143"/>
    <col collapsed="false" hidden="false" max="14" min="14" style="1" width="9.28571428571429"/>
    <col collapsed="false" hidden="false" max="15" min="15" style="1" width="10.5765306122449"/>
    <col collapsed="false" hidden="false" max="1025" min="16" style="1" width="9.14285714285714"/>
  </cols>
  <sheetData>
    <row collapsed="false" customFormat="false" customHeight="true" hidden="false" ht="15.75" outlineLevel="0" r="1">
      <c r="C1" s="2"/>
      <c r="E1" s="3"/>
      <c r="L1" s="4" t="s">
        <v>0</v>
      </c>
      <c r="R1" s="3"/>
    </row>
    <row collapsed="false" customFormat="true" customHeight="true" hidden="false" ht="15" outlineLevel="0" r="2" s="8">
      <c r="A2" s="5"/>
      <c r="B2" s="5"/>
      <c r="C2" s="6"/>
      <c r="D2" s="5"/>
      <c r="E2" s="5"/>
      <c r="F2" s="5"/>
      <c r="G2" s="5"/>
      <c r="H2" s="5"/>
      <c r="I2" s="7" t="n">
        <v>34</v>
      </c>
      <c r="L2" s="9" t="s">
        <v>1</v>
      </c>
      <c r="M2" s="10" t="s">
        <v>2</v>
      </c>
      <c r="N2" s="11" t="s">
        <v>3</v>
      </c>
      <c r="P2" s="12"/>
      <c r="Q2" s="5"/>
      <c r="R2" s="5"/>
      <c r="S2" s="5"/>
    </row>
    <row collapsed="false" customFormat="true" customHeight="true" hidden="false" ht="15" outlineLevel="0" r="3" s="8">
      <c r="A3" s="13"/>
      <c r="B3" s="14"/>
      <c r="C3" s="15"/>
      <c r="D3" s="15"/>
      <c r="E3" s="15"/>
      <c r="F3" s="15"/>
      <c r="G3" s="16"/>
      <c r="H3" s="5"/>
      <c r="M3" s="5"/>
      <c r="N3" s="5"/>
      <c r="P3" s="5"/>
      <c r="Q3" s="5"/>
      <c r="R3" s="5"/>
      <c r="S3" s="5"/>
    </row>
    <row collapsed="false" customFormat="true" customHeight="true" hidden="false" ht="15" outlineLevel="0" r="4" s="8">
      <c r="A4" s="17" t="s">
        <v>4</v>
      </c>
      <c r="B4" s="17"/>
      <c r="C4" s="18"/>
      <c r="D4" s="17"/>
      <c r="E4" s="17" t="s">
        <v>5</v>
      </c>
      <c r="F4" s="17"/>
      <c r="G4" s="17"/>
      <c r="I4" s="17" t="s">
        <v>6</v>
      </c>
      <c r="J4" s="19"/>
      <c r="K4" s="19"/>
      <c r="L4" s="17" t="s">
        <v>7</v>
      </c>
      <c r="M4" s="12"/>
      <c r="O4" s="12"/>
      <c r="P4" s="12"/>
      <c r="Q4" s="20"/>
      <c r="R4" s="5"/>
      <c r="S4" s="5"/>
    </row>
    <row collapsed="false" customFormat="false" customHeight="true" hidden="false" ht="35.25" outlineLevel="0" r="5">
      <c r="A5" s="21" t="s">
        <v>8</v>
      </c>
      <c r="B5" s="22" t="s">
        <v>9</v>
      </c>
      <c r="C5" s="22" t="s">
        <v>10</v>
      </c>
      <c r="D5" s="23" t="s">
        <v>11</v>
      </c>
      <c r="E5" s="21" t="s">
        <v>12</v>
      </c>
      <c r="F5" s="22" t="s">
        <v>13</v>
      </c>
      <c r="G5" s="24" t="s">
        <v>14</v>
      </c>
      <c r="H5" s="25" t="s">
        <v>15</v>
      </c>
      <c r="I5" s="22" t="s">
        <v>16</v>
      </c>
      <c r="J5" s="22" t="s">
        <v>17</v>
      </c>
      <c r="K5" s="22" t="s">
        <v>18</v>
      </c>
      <c r="L5" s="26" t="s">
        <v>19</v>
      </c>
      <c r="M5" s="27" t="s">
        <v>20</v>
      </c>
      <c r="N5" s="27" t="s">
        <v>21</v>
      </c>
      <c r="O5" s="28" t="s">
        <v>22</v>
      </c>
      <c r="P5" s="8"/>
      <c r="Q5" s="20"/>
      <c r="R5" s="5"/>
      <c r="S5" s="5"/>
      <c r="T5" s="8"/>
    </row>
    <row collapsed="false" customFormat="true" customHeight="true" hidden="false" ht="15.75" outlineLevel="0" r="6" s="44">
      <c r="A6" s="29" t="s">
        <v>23</v>
      </c>
      <c r="B6" s="30" t="n">
        <v>0.0196</v>
      </c>
      <c r="C6" s="31" t="n">
        <v>4.1</v>
      </c>
      <c r="D6" s="32" t="s">
        <v>24</v>
      </c>
      <c r="E6" s="33" t="n">
        <v>0.7</v>
      </c>
      <c r="F6" s="34" t="n">
        <v>1000000000000000</v>
      </c>
      <c r="G6" s="35" t="n">
        <v>0</v>
      </c>
      <c r="H6" s="36" t="s">
        <v>25</v>
      </c>
      <c r="I6" s="37" t="n">
        <f aca="false">MeasDate</f>
        <v>42055</v>
      </c>
      <c r="J6" s="38" t="n">
        <f aca="false">MeasTime</f>
        <v>0.728009259259259</v>
      </c>
      <c r="K6" s="39" t="s">
        <v>26</v>
      </c>
      <c r="L6" s="40" t="n">
        <v>35</v>
      </c>
      <c r="M6" s="35" t="n">
        <v>200</v>
      </c>
      <c r="N6" s="35" t="n">
        <v>5</v>
      </c>
      <c r="O6" s="41" t="n">
        <v>0.5</v>
      </c>
      <c r="P6" s="42"/>
      <c r="Q6" s="8"/>
      <c r="R6" s="42"/>
      <c r="S6" s="43"/>
      <c r="T6" s="42"/>
    </row>
    <row collapsed="false" customFormat="false" customHeight="true" hidden="false" ht="18.75" outlineLevel="0" r="7">
      <c r="A7" s="17" t="s">
        <v>27</v>
      </c>
      <c r="B7" s="17"/>
      <c r="C7" s="12"/>
      <c r="D7" s="11"/>
      <c r="E7" s="45"/>
      <c r="F7" s="46"/>
      <c r="G7" s="11" t="s">
        <v>28</v>
      </c>
      <c r="H7" s="12"/>
      <c r="I7" s="12"/>
      <c r="J7" s="11"/>
      <c r="K7" s="47"/>
      <c r="M7" s="17" t="s">
        <v>29</v>
      </c>
      <c r="O7" s="12"/>
      <c r="P7" s="5"/>
      <c r="Q7" s="5"/>
      <c r="R7" s="5"/>
      <c r="S7" s="5"/>
      <c r="T7" s="8"/>
    </row>
    <row collapsed="false" customFormat="false" customHeight="true" hidden="false" ht="49.5" outlineLevel="0" r="8">
      <c r="A8" s="21" t="s">
        <v>30</v>
      </c>
      <c r="B8" s="48" t="s">
        <v>31</v>
      </c>
      <c r="C8" s="22" t="s">
        <v>32</v>
      </c>
      <c r="D8" s="22" t="s">
        <v>33</v>
      </c>
      <c r="E8" s="22" t="s">
        <v>34</v>
      </c>
      <c r="F8" s="22" t="s">
        <v>35</v>
      </c>
      <c r="G8" s="22" t="s">
        <v>36</v>
      </c>
      <c r="H8" s="22" t="s">
        <v>37</v>
      </c>
      <c r="I8" s="22" t="s">
        <v>38</v>
      </c>
      <c r="J8" s="22" t="s">
        <v>39</v>
      </c>
      <c r="K8" s="49" t="s">
        <v>40</v>
      </c>
      <c r="L8" s="49" t="s">
        <v>41</v>
      </c>
      <c r="M8" s="50" t="str">
        <f aca="false">RefCellErrorMsg&amp;MCDErrorMsg&amp;LightBiasErrorMsg&amp;AirVoltageError&amp;AnalysisModeErrorMsg&amp;mobilitymodelerror</f>
        <v>  Saturated Reference Cell  - Data for MCD&gt; 3.3E+16 not valid   Remove Sample From Stage and Re-Zero Instrument  </v>
      </c>
      <c r="N8" s="50"/>
      <c r="O8" s="50"/>
      <c r="P8" s="5"/>
      <c r="Q8" s="5"/>
      <c r="R8" s="5"/>
      <c r="S8" s="5"/>
      <c r="T8" s="8"/>
    </row>
    <row collapsed="false" customFormat="true" customHeight="true" hidden="false" ht="17.25" outlineLevel="0" r="9" s="44">
      <c r="A9" s="51" t="n">
        <f aca="false">MeasuredLifetime</f>
        <v>43.0320669794761</v>
      </c>
      <c r="B9" s="52" t="n">
        <f aca="false">CorrectedSheetRho</f>
        <v>163.045863364606</v>
      </c>
      <c r="C9" s="53" t="n">
        <f aca="false">CorrectedResistivity</f>
        <v>3.19569892194628</v>
      </c>
      <c r="D9" s="54" t="n">
        <f aca="false">Jo</f>
        <v>-1.35089339166214E-012</v>
      </c>
      <c r="E9" s="52" t="n">
        <f aca="false">TauFitIntercept</f>
        <v>20.4402487831731</v>
      </c>
      <c r="F9" s="55" t="n">
        <f aca="false">MinApparentCD</f>
        <v>16183594725932.2</v>
      </c>
      <c r="G9" s="55" t="n">
        <f aca="false">MaxApparentCD</f>
        <v>36427160437229200</v>
      </c>
      <c r="H9" s="55" t="n">
        <f aca="false">BiasPtCD</f>
        <v>0</v>
      </c>
      <c r="I9" s="55" t="n">
        <f aca="false">Traps</f>
        <v>0</v>
      </c>
      <c r="J9" s="55" t="n">
        <f aca="false">SampleDoping</f>
        <v>3416264639614550</v>
      </c>
      <c r="K9" s="56" t="e">
        <f aca="false">ImpliedVoc1sun</f>
        <v>#N/A</v>
      </c>
      <c r="L9" s="57" t="n">
        <f aca="false">Temperature</f>
        <v>35.519899</v>
      </c>
      <c r="M9" s="50"/>
      <c r="N9" s="50"/>
      <c r="O9" s="50"/>
      <c r="P9" s="5"/>
      <c r="Q9" s="43"/>
      <c r="R9" s="43"/>
      <c r="S9" s="43"/>
      <c r="T9" s="42"/>
    </row>
    <row collapsed="false" customFormat="true" customHeight="true" hidden="false" ht="18" outlineLevel="0" r="10" s="44">
      <c r="A10" s="58" t="str">
        <f aca="false">LifetimeTextLabel</f>
        <v>Lifetime = 43.03 µs @ 1.0E+15 cm-3</v>
      </c>
      <c r="B10" s="58"/>
      <c r="C10" s="58"/>
      <c r="D10" s="58"/>
      <c r="E10" s="58"/>
      <c r="F10" s="58"/>
      <c r="G10" s="58"/>
      <c r="H10" s="58"/>
      <c r="I10" s="58"/>
      <c r="J10" s="59" t="e">
        <f aca="false">PassFailMsg</f>
        <v>#NAME?</v>
      </c>
      <c r="K10" s="60"/>
      <c r="M10" s="50"/>
      <c r="N10" s="50"/>
      <c r="O10" s="50"/>
      <c r="P10" s="60"/>
      <c r="Q10" s="61"/>
      <c r="R10" s="61"/>
      <c r="S10" s="61"/>
    </row>
    <row collapsed="false" customFormat="false" customHeight="true" hidden="false" ht="11.25" outlineLevel="0" r="11">
      <c r="A11" s="58"/>
      <c r="B11" s="58"/>
      <c r="C11" s="58"/>
      <c r="D11" s="58"/>
      <c r="E11" s="58"/>
      <c r="F11" s="58"/>
      <c r="G11" s="58"/>
      <c r="H11" s="58"/>
      <c r="I11" s="58"/>
      <c r="J11" s="59"/>
      <c r="K11" s="3"/>
      <c r="M11" s="50"/>
      <c r="N11" s="50"/>
      <c r="O11" s="50"/>
      <c r="P11" s="3"/>
      <c r="Q11" s="3"/>
      <c r="R11" s="3"/>
      <c r="S11" s="3"/>
    </row>
    <row collapsed="false" customFormat="false" customHeight="false" hidden="false" ht="12.75" outlineLevel="0" r="12">
      <c r="A12" s="62"/>
      <c r="B12" s="62"/>
      <c r="C12" s="62"/>
      <c r="D12" s="62"/>
      <c r="E12" s="5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collapsed="false" customFormat="false" customHeight="false" hidden="false" ht="12.75" outlineLevel="0" r="13">
      <c r="A13" s="63"/>
      <c r="B13" s="43"/>
      <c r="C13" s="64"/>
      <c r="D13" s="65"/>
      <c r="E13" s="5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collapsed="false" customFormat="false" customHeight="false" hidden="false" ht="12.75" outlineLevel="0" r="14">
      <c r="A14" s="5"/>
      <c r="B14" s="5"/>
      <c r="C14" s="5"/>
      <c r="D14" s="5"/>
      <c r="E14" s="5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collapsed="false" customFormat="false" customHeight="false" hidden="false" ht="12.75" outlineLevel="0" r="15">
      <c r="A15" s="62"/>
      <c r="B15" s="62"/>
      <c r="C15" s="62"/>
      <c r="D15" s="62"/>
      <c r="E15" s="5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collapsed="false" customFormat="false" customHeight="false" hidden="false" ht="12.75" outlineLevel="0" r="16">
      <c r="A16" s="63"/>
      <c r="B16" s="5"/>
      <c r="C16" s="66"/>
      <c r="D16" s="67"/>
      <c r="E16" s="5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collapsed="false" customFormat="false" customHeight="false" hidden="false" ht="12.75" outlineLevel="0" r="17">
      <c r="A17" s="63"/>
      <c r="B17" s="5"/>
      <c r="C17" s="66"/>
      <c r="D17" s="67"/>
      <c r="E17" s="5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collapsed="false" customFormat="false" customHeight="false" hidden="false" ht="12.75" outlineLevel="0" r="18">
      <c r="A18" s="5"/>
      <c r="B18" s="5"/>
      <c r="C18" s="5"/>
      <c r="D18" s="5"/>
      <c r="E18" s="5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collapsed="false" customFormat="false" customHeight="false" hidden="false" ht="12.75" outlineLevel="0" r="19">
      <c r="A19" s="5"/>
      <c r="B19" s="5"/>
      <c r="C19" s="5"/>
      <c r="D19" s="5"/>
      <c r="E19" s="5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collapsed="false" customFormat="false" customHeight="false" hidden="false" ht="12.75" outlineLevel="0"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collapsed="false" customFormat="false" customHeight="false" hidden="false" ht="12.75" outlineLevel="0" r="2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collapsed="false" customFormat="false" customHeight="false" hidden="false" ht="12.75" outlineLevel="0" r="2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collapsed="false" customFormat="false" customHeight="false" hidden="false" ht="12.75" outlineLevel="0" r="2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collapsed="false" customFormat="false" customHeight="false" hidden="false" ht="12.75" outlineLevel="0" r="2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collapsed="false" customFormat="false" customHeight="false" hidden="false" ht="12.75" outlineLevel="0" r="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collapsed="false" customFormat="false" customHeight="false" hidden="false" ht="12.75" outlineLevel="0" r="26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collapsed="false" customFormat="false" customHeight="false" hidden="false" ht="12.75" outlineLevel="0" r="27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collapsed="false" customFormat="false" customHeight="false" hidden="false" ht="12.75" outlineLevel="0" r="28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collapsed="false" customFormat="false" customHeight="false" hidden="false" ht="12.75" outlineLevel="0" r="29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collapsed="false" customFormat="false" customHeight="false" hidden="false" ht="12.75" outlineLevel="0" r="30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collapsed="false" customFormat="false" customHeight="false" hidden="false" ht="12.75" outlineLevel="0" r="3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collapsed="false" customFormat="false" customHeight="false" hidden="false" ht="12.75" outlineLevel="0" r="3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collapsed="false" customFormat="false" customHeight="false" hidden="false" ht="12.75" outlineLevel="0" r="3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collapsed="false" customFormat="false" customHeight="false" hidden="false" ht="12.75" outlineLevel="0" r="34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collapsed="false" customFormat="false" customHeight="false" hidden="false" ht="12.75" outlineLevel="0" r="3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collapsed="false" customFormat="false" customHeight="false" hidden="false" ht="12.75" outlineLevel="0" r="36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collapsed="false" customFormat="false" customHeight="false" hidden="false" ht="12.75" outlineLevel="0" r="37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collapsed="false" customFormat="false" customHeight="false" hidden="false" ht="12.75" outlineLevel="0" r="38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collapsed="false" customFormat="false" customHeight="false" hidden="false" ht="12.75" outlineLevel="0" r="39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collapsed="false" customFormat="false" customHeight="false" hidden="false" ht="12.75" outlineLevel="0" r="40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collapsed="false" customFormat="false" customHeight="false" hidden="false" ht="12.75" outlineLevel="0" r="4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collapsed="false" customFormat="false" customHeight="false" hidden="false" ht="12.75" outlineLevel="0" r="4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collapsed="false" customFormat="false" customHeight="false" hidden="false" ht="12.75" outlineLevel="0" r="4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collapsed="false" customFormat="false" customHeight="false" hidden="false" ht="12.75" outlineLevel="0" r="44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collapsed="false" customFormat="false" customHeight="false" hidden="false" ht="12.75" outlineLevel="0" r="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collapsed="false" customFormat="false" customHeight="false" hidden="false" ht="12.75" outlineLevel="0" r="46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collapsed="false" customFormat="false" customHeight="false" hidden="false" ht="12.75" outlineLevel="0" r="47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</row>
    <row collapsed="false" customFormat="false" customHeight="false" hidden="false" ht="12.75" outlineLevel="0" r="48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collapsed="false" customFormat="false" customHeight="false" hidden="false" ht="12.75" outlineLevel="0" r="49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collapsed="false" customFormat="false" customHeight="false" hidden="false" ht="12.75" outlineLevel="0" r="50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collapsed="false" customFormat="false" customHeight="false" hidden="false" ht="12.75" outlineLevel="0" r="5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collapsed="false" customFormat="false" customHeight="false" hidden="false" ht="12.75" outlineLevel="0" r="5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collapsed="false" customFormat="false" customHeight="false" hidden="false" ht="12.75" outlineLevel="0" r="5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collapsed="false" customFormat="false" customHeight="false" hidden="false" ht="12.75" outlineLevel="0" r="54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collapsed="false" customFormat="false" customHeight="false" hidden="false" ht="12.75" outlineLevel="0" r="5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collapsed="false" customFormat="false" customHeight="false" hidden="false" ht="12.75" outlineLevel="0" r="56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collapsed="false" customFormat="false" customHeight="false" hidden="false" ht="12.75" outlineLevel="0" r="57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collapsed="false" customFormat="false" customHeight="false" hidden="false" ht="12.75" outlineLevel="0" r="66">
      <c r="B66" s="68"/>
    </row>
    <row collapsed="false" customFormat="false" customHeight="false" hidden="false" ht="12.75" outlineLevel="0" r="67">
      <c r="B67" s="68"/>
    </row>
    <row collapsed="false" customFormat="false" customHeight="false" hidden="false" ht="12.75" outlineLevel="0" r="68">
      <c r="B68" s="68"/>
    </row>
    <row collapsed="false" customFormat="false" customHeight="false" hidden="false" ht="12.75" outlineLevel="0" r="69">
      <c r="B69" s="68"/>
    </row>
    <row collapsed="false" customFormat="false" customHeight="false" hidden="false" ht="12.75" outlineLevel="0" r="70">
      <c r="B70" s="68"/>
    </row>
    <row collapsed="false" customFormat="false" customHeight="false" hidden="false" ht="12.75" outlineLevel="0" r="71">
      <c r="B71" s="68"/>
    </row>
    <row collapsed="false" customFormat="false" customHeight="false" hidden="false" ht="12.75" outlineLevel="0" r="72">
      <c r="B72" s="68"/>
    </row>
    <row collapsed="false" customFormat="false" customHeight="false" hidden="false" ht="12.75" outlineLevel="0" r="73">
      <c r="B73" s="68"/>
    </row>
    <row collapsed="false" customFormat="false" customHeight="false" hidden="false" ht="12.75" outlineLevel="0" r="74">
      <c r="B74" s="68"/>
    </row>
    <row collapsed="false" customFormat="false" customHeight="false" hidden="false" ht="12.75" outlineLevel="0" r="75">
      <c r="B75" s="68"/>
    </row>
    <row collapsed="false" customFormat="false" customHeight="false" hidden="false" ht="12.75" outlineLevel="0" r="76">
      <c r="B76" s="68"/>
    </row>
    <row collapsed="false" customFormat="false" customHeight="false" hidden="false" ht="12.75" outlineLevel="0" r="135">
      <c r="A135" s="69" t="s">
        <v>42</v>
      </c>
    </row>
    <row collapsed="false" customFormat="false" customHeight="false" hidden="false" ht="12.75" outlineLevel="0" r="136">
      <c r="C136" s="70" t="n">
        <v>0.0146738701</v>
      </c>
    </row>
  </sheetData>
  <mergeCells count="3">
    <mergeCell ref="M8:O11"/>
    <mergeCell ref="A10:I11"/>
    <mergeCell ref="J10:J11"/>
  </mergeCells>
  <conditionalFormatting sqref="J10:J11">
    <cfRule aboveAverage="0" bottom="0" dxfId="0" percent="0" priority="2" rank="0" text="FAIL" type="containsText"/>
    <cfRule aboveAverage="0" bottom="0" dxfId="1" percent="0" priority="3" rank="0" text="PASS" type="containsText"/>
  </conditionalFormatting>
  <dataValidations count="2">
    <dataValidation allowBlank="true" operator="between" showDropDown="false" showErrorMessage="true" showInputMessage="true" sqref="D6" type="list">
      <formula1>type_list</formula1>
      <formula2>0</formula2>
    </dataValidation>
    <dataValidation allowBlank="true" operator="between" showDropDown="false" showErrorMessage="true" showInputMessage="true" sqref="H6" type="list">
      <formula1>Mode_List</formula1>
      <formula2>0</formula2>
    </dataValidation>
  </dataValidations>
  <printOptions headings="false" gridLines="false" gridLinesSet="true" horizontalCentered="false" verticalCentered="false"/>
  <pageMargins left="0.790277777777778" right="0.520138888888889" top="0.659722222222222" bottom="0.529861111111111" header="0.429861111111111" footer="0.3"/>
  <pageSetup blackAndWhite="false" cellComments="none" copies="1" draft="false" firstPageNumber="0" fitToHeight="1" fitToWidth="1" horizontalDpi="300" orientation="landscape" pageOrder="downThenOver" paperSize="1" scale="100" useFirstPageNumber="false" usePrinterDefaults="false" verticalDpi="300"/>
  <headerFooter differentFirst="false" differentOddEven="false">
    <oddHeader>&amp;L&amp;"Arial,Bold"Minority Carrier Lifetime Measurement&amp;C&amp;"Arial,Bold"&amp;F</oddHeader>
    <oddFooter>&amp;LFilename: &amp;F&amp;CPrinted:&amp;D &amp;T&amp;RSinton Lifetime Tester Copyright 2001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32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85" zoomScaleNormal="85" zoomScalePageLayoutView="100">
      <selection activeCell="F3" activeCellId="0" pane="topLeft" sqref="F3"/>
    </sheetView>
  </sheetViews>
  <sheetFormatPr defaultRowHeight="12.75"/>
  <cols>
    <col collapsed="false" hidden="false" max="1" min="1" style="71" width="11.7091836734694"/>
    <col collapsed="false" hidden="false" max="2" min="2" style="71" width="13.8571428571429"/>
    <col collapsed="false" hidden="false" max="3" min="3" style="71" width="11.9948979591837"/>
    <col collapsed="false" hidden="false" max="4" min="4" style="71" width="10.9948979591837"/>
    <col collapsed="false" hidden="false" max="5" min="5" style="71" width="11.8622448979592"/>
    <col collapsed="false" hidden="false" max="6" min="6" style="71" width="13.4285714285714"/>
    <col collapsed="false" hidden="false" max="7" min="7" style="71" width="11.9948979591837"/>
    <col collapsed="false" hidden="false" max="8" min="8" style="71" width="13.8571428571429"/>
    <col collapsed="false" hidden="false" max="9" min="9" style="71" width="14.0051020408163"/>
    <col collapsed="false" hidden="false" max="10" min="10" style="71" width="14.5714285714286"/>
    <col collapsed="false" hidden="false" max="11" min="11" style="71" width="13.8571428571429"/>
    <col collapsed="false" hidden="false" max="12" min="12" style="71" width="14.5714285714286"/>
    <col collapsed="false" hidden="false" max="13" min="13" style="71" width="13.7040816326531"/>
    <col collapsed="false" hidden="false" max="14" min="14" style="71" width="13.2857142857143"/>
    <col collapsed="false" hidden="false" max="15" min="15" style="71" width="14.5714285714286"/>
    <col collapsed="false" hidden="false" max="16" min="16" style="71" width="12.8622448979592"/>
    <col collapsed="false" hidden="false" max="17" min="17" style="71" width="15.7142857142857"/>
    <col collapsed="false" hidden="false" max="18" min="18" style="71" width="13.4285714285714"/>
    <col collapsed="false" hidden="false" max="19" min="19" style="71" width="14.0051020408163"/>
    <col collapsed="false" hidden="false" max="20" min="20" style="71" width="15.4234693877551"/>
    <col collapsed="false" hidden="false" max="21" min="21" style="71" width="16.8571428571429"/>
    <col collapsed="false" hidden="false" max="22" min="22" style="71" width="17.5765306122449"/>
    <col collapsed="false" hidden="false" max="23" min="23" style="71" width="15.1479591836735"/>
    <col collapsed="false" hidden="false" max="24" min="24" style="71" width="13.7040816326531"/>
    <col collapsed="false" hidden="false" max="25" min="25" style="71" width="13.1377551020408"/>
    <col collapsed="false" hidden="false" max="26" min="26" style="71" width="12.4183673469388"/>
    <col collapsed="false" hidden="false" max="27" min="27" style="71" width="10.5765306122449"/>
    <col collapsed="false" hidden="false" max="28" min="28" style="71" width="14.8571428571429"/>
    <col collapsed="false" hidden="false" max="29" min="29" style="71" width="10.4234693877551"/>
    <col collapsed="false" hidden="false" max="30" min="30" style="71" width="13.0051020408163"/>
    <col collapsed="false" hidden="false" max="31" min="31" style="71" width="12.8622448979592"/>
    <col collapsed="false" hidden="false" max="33" min="32" style="71" width="11.4183673469388"/>
    <col collapsed="false" hidden="false" max="34" min="34" style="71" width="13.0051020408163"/>
    <col collapsed="false" hidden="false" max="1025" min="35" style="71" width="11.4183673469388"/>
  </cols>
  <sheetData>
    <row collapsed="false" customFormat="false" customHeight="true" hidden="false" ht="19.5" outlineLevel="0" r="1">
      <c r="A1" s="72" t="s">
        <v>43</v>
      </c>
      <c r="B1" s="73"/>
      <c r="C1" s="73"/>
      <c r="D1" s="73"/>
      <c r="E1" s="74" t="s">
        <v>16</v>
      </c>
      <c r="F1" s="75" t="n">
        <v>42055</v>
      </c>
      <c r="G1" s="76"/>
      <c r="H1" s="73"/>
      <c r="J1" s="73" t="s">
        <v>44</v>
      </c>
      <c r="K1" s="77" t="s">
        <v>45</v>
      </c>
      <c r="L1" s="78" t="s">
        <v>46</v>
      </c>
      <c r="M1" s="79" t="str">
        <f aca="false">"Lifetime = "&amp;K2&amp;" "&amp;L1&amp;" @ "&amp;J2&amp;" "&amp;L2</f>
        <v>Lifetime = 43.03 µs @ 1.0E+15 cm-3</v>
      </c>
      <c r="N1" s="79"/>
      <c r="O1" s="79"/>
      <c r="P1" s="73"/>
      <c r="Q1" s="80" t="s">
        <v>47</v>
      </c>
      <c r="R1" s="81" t="str">
        <f aca="false">IF(MAX(C9:C133)&gt;0.6,"  Saturated Reference Cell  - Data for MCD&gt; "&amp;J4&amp; " not valid ","")</f>
        <v>  Saturated Reference Cell  - Data for MCD&gt; 3.3E+16 not valid </v>
      </c>
      <c r="S1" s="78" t="s">
        <v>15</v>
      </c>
      <c r="T1" s="82" t="str">
        <f aca="false">IF(AND(PCRefRatio&gt;1000,AnalysisMode&lt;&gt;"Transient"),"Recommended Analysis Mode is Transient for this sample",IF(AND(PCRefRatio&lt;1000,AnalysisMode="Transient"),"Recommended Analysis Mode is Generalized for this sample",""))</f>
        <v/>
      </c>
      <c r="U1" s="73"/>
      <c r="V1" s="73"/>
      <c r="W1" s="78"/>
      <c r="X1" s="78"/>
      <c r="Y1" s="78"/>
      <c r="Z1" s="78"/>
    </row>
    <row collapsed="false" customFormat="false" customHeight="false" hidden="false" ht="15" outlineLevel="0" r="2">
      <c r="A2" s="80" t="s">
        <v>3</v>
      </c>
      <c r="B2" s="83"/>
      <c r="C2" s="84"/>
      <c r="D2" s="83"/>
      <c r="E2" s="85" t="s">
        <v>17</v>
      </c>
      <c r="F2" s="86" t="n">
        <v>0.728009259259259</v>
      </c>
      <c r="G2" s="78"/>
      <c r="H2" s="87"/>
      <c r="I2" s="73" t="s">
        <v>48</v>
      </c>
      <c r="J2" s="87" t="str">
        <f aca="false">TEXT(SpecMCD,"0.0E+00")</f>
        <v>1.0E+15</v>
      </c>
      <c r="K2" s="78" t="str">
        <f aca="false">TEXT(MeasuredLifetime,"0.00")</f>
        <v>43.03</v>
      </c>
      <c r="L2" s="78" t="s">
        <v>49</v>
      </c>
      <c r="M2" s="78"/>
      <c r="N2" s="87"/>
      <c r="O2" s="78"/>
      <c r="P2" s="83"/>
      <c r="Q2" s="79" t="s">
        <v>50</v>
      </c>
      <c r="R2" s="81" t="str">
        <f aca="false">IF(OR(SpecMCD&gt;MaxApparentCD,SpecMCD&lt;MinApparentCD),"  Choose Specificed MCD within Data, Min MCD &lt; Spec MCD &lt; Max MCD","")</f>
        <v/>
      </c>
      <c r="S2" s="78" t="s">
        <v>51</v>
      </c>
      <c r="T2" s="73" t="str">
        <f aca="false">IF(AND(Temperature&gt;30,MobilityModel=DK),"Use Dorkel/ Leturqc mobility model for this analysis","")</f>
        <v/>
      </c>
      <c r="U2" s="73"/>
      <c r="V2" s="73"/>
      <c r="W2" s="77"/>
      <c r="X2" s="77"/>
      <c r="Y2" s="77"/>
      <c r="Z2" s="77"/>
    </row>
    <row collapsed="false" customFormat="false" customHeight="false" hidden="false" ht="12.75" outlineLevel="0" r="3">
      <c r="A3" s="76"/>
      <c r="B3" s="88"/>
      <c r="C3" s="73"/>
      <c r="D3" s="73"/>
      <c r="E3" s="85" t="s">
        <v>52</v>
      </c>
      <c r="F3" s="89" t="n">
        <v>35.519899</v>
      </c>
      <c r="G3" s="78"/>
      <c r="H3" s="78"/>
      <c r="I3" s="78"/>
      <c r="J3" s="73" t="s">
        <v>53</v>
      </c>
      <c r="K3" s="78"/>
      <c r="L3" s="87"/>
      <c r="M3" s="78"/>
      <c r="N3" s="87"/>
      <c r="O3" s="78"/>
      <c r="P3" s="90"/>
      <c r="Q3" s="91" t="s">
        <v>54</v>
      </c>
      <c r="R3" s="81" t="str">
        <f aca="false">IF(BiasLight=0,"",IF(MAX(M9:M133)=0,"  Choose Bias Light within data  ",""))</f>
        <v/>
      </c>
      <c r="S3" s="78"/>
      <c r="T3" s="73"/>
      <c r="U3" s="73"/>
      <c r="V3" s="73"/>
      <c r="W3" s="77"/>
      <c r="X3" s="77"/>
      <c r="Y3" s="77"/>
      <c r="Z3" s="77"/>
    </row>
    <row collapsed="false" customFormat="false" customHeight="true" hidden="false" ht="15.75" outlineLevel="0" r="4">
      <c r="A4" s="92"/>
      <c r="B4" s="73"/>
      <c r="C4" s="78"/>
      <c r="D4" s="92"/>
      <c r="E4" s="78"/>
      <c r="F4" s="73"/>
      <c r="G4" s="78"/>
      <c r="H4" s="78"/>
      <c r="I4" s="78"/>
      <c r="J4" s="73" t="str">
        <f aca="false">TEXT(AC6,"0.0E+00")</f>
        <v>3.3E+16</v>
      </c>
      <c r="K4" s="73"/>
      <c r="L4" s="84"/>
      <c r="M4" s="78"/>
      <c r="N4" s="83"/>
      <c r="O4" s="78"/>
      <c r="P4" s="92"/>
      <c r="Q4" s="80" t="s">
        <v>55</v>
      </c>
      <c r="R4" s="93" t="str">
        <f aca="true">IF(OR(Air_Voltage&lt;-0.95,Air_Voltage&gt;-0.5,(NOW()-ZeroInstTime)&gt;0.5,AirVStdev&gt;0.01),"  Remove Sample From Stage and Re-Zero Instrument  ","")</f>
        <v>  Remove Sample From Stage and Re-Zero Instrument  </v>
      </c>
      <c r="S4" s="87"/>
      <c r="T4" s="87"/>
      <c r="U4" s="92"/>
      <c r="V4" s="73"/>
      <c r="W4" s="94"/>
      <c r="X4" s="78"/>
      <c r="Y4" s="78"/>
      <c r="Z4" s="78"/>
    </row>
    <row collapsed="false" customFormat="false" customHeight="true" hidden="false" ht="43.5" outlineLevel="0" r="5">
      <c r="A5" s="95" t="s">
        <v>56</v>
      </c>
      <c r="B5" s="96" t="s">
        <v>57</v>
      </c>
      <c r="C5" s="96" t="s">
        <v>58</v>
      </c>
      <c r="D5" s="96" t="s">
        <v>59</v>
      </c>
      <c r="E5" s="96" t="s">
        <v>60</v>
      </c>
      <c r="F5" s="96" t="s">
        <v>61</v>
      </c>
      <c r="G5" s="96" t="s">
        <v>62</v>
      </c>
      <c r="H5" s="96" t="s">
        <v>63</v>
      </c>
      <c r="I5" s="96" t="s">
        <v>64</v>
      </c>
      <c r="J5" s="96" t="s">
        <v>65</v>
      </c>
      <c r="K5" s="97" t="s">
        <v>66</v>
      </c>
      <c r="L5" s="97" t="s">
        <v>67</v>
      </c>
      <c r="M5" s="96" t="s">
        <v>68</v>
      </c>
      <c r="N5" s="96" t="s">
        <v>69</v>
      </c>
      <c r="O5" s="96" t="s">
        <v>70</v>
      </c>
      <c r="P5" s="96" t="s">
        <v>71</v>
      </c>
      <c r="Q5" s="96" t="s">
        <v>72</v>
      </c>
      <c r="R5" s="96" t="s">
        <v>73</v>
      </c>
      <c r="S5" s="96" t="s">
        <v>74</v>
      </c>
      <c r="T5" s="96" t="s">
        <v>75</v>
      </c>
      <c r="U5" s="97" t="s">
        <v>76</v>
      </c>
      <c r="V5" s="96" t="s">
        <v>77</v>
      </c>
      <c r="W5" s="96" t="s">
        <v>78</v>
      </c>
      <c r="X5" s="96" t="s">
        <v>79</v>
      </c>
      <c r="Y5" s="96" t="s">
        <v>80</v>
      </c>
      <c r="Z5" s="97" t="s">
        <v>81</v>
      </c>
      <c r="AA5" s="96" t="s">
        <v>82</v>
      </c>
      <c r="AB5" s="96" t="s">
        <v>83</v>
      </c>
      <c r="AC5" s="97" t="s">
        <v>84</v>
      </c>
      <c r="AD5" s="96" t="s">
        <v>85</v>
      </c>
      <c r="AE5" s="98" t="s">
        <v>86</v>
      </c>
    </row>
    <row collapsed="false" customFormat="false" customHeight="false" hidden="false" ht="12.75" outlineLevel="0" r="6">
      <c r="A6" s="99" t="n">
        <f aca="false">B166</f>
        <v>-0.534245</v>
      </c>
      <c r="B6" s="100" t="n">
        <f aca="false">calcdarksheetresistance(Dark_Voltage,A_cal,B_cal,C_cal)</f>
        <v>129.974213129331</v>
      </c>
      <c r="C6" s="101" t="n">
        <f aca="false">SheetResistance*Thickness</f>
        <v>2.5474945773349</v>
      </c>
      <c r="D6" s="102" t="n">
        <f aca="false">calcdoping(InputResistivity,SampleType)</f>
        <v>3416264639614550</v>
      </c>
      <c r="E6" s="103" t="n">
        <f aca="false">SUMSQ(B9:B133)/SUMSQ(C9:C133)</f>
        <v>45.9487367843162</v>
      </c>
      <c r="F6" s="100" t="n">
        <f aca="false">MAX(E9:E133)</f>
        <v>59.3781850521482</v>
      </c>
      <c r="G6" s="104" t="n">
        <f aca="false">SpecMCD*(1-Fit_Range)</f>
        <v>700000000000000</v>
      </c>
      <c r="H6" s="104" t="n">
        <f aca="false">SpecMCD*(1+Fit_Range)</f>
        <v>1300000000000000</v>
      </c>
      <c r="I6" s="105" t="n">
        <f aca="false">MIN($I$14:$I$133)</f>
        <v>16183594725932.2</v>
      </c>
      <c r="J6" s="104" t="n">
        <f aca="false">MAX($I$9:$I$132)</f>
        <v>36427160437229200</v>
      </c>
      <c r="K6" s="105" t="n">
        <f aca="false">LOOKUP(2,1/(I9:I133=MaxApparentCD),A9:A133)</f>
        <v>0.0003499</v>
      </c>
      <c r="L6" s="105" t="n">
        <f aca="false">LOOKUP(2,1/(I9:I133=MaxApparentCD),H9:H133)</f>
        <v>0.122687707814058</v>
      </c>
      <c r="M6" s="104" t="n">
        <f aca="false">IF(BiasLight=0,0,INTERCEPT($N18:$N130,$M18:$M130)+BiasLight*SLOPE($N18:$N130,$M18:$M130))</f>
        <v>0</v>
      </c>
      <c r="N6" s="104" t="n">
        <f aca="false">BiasPtCD-(BiasLight*0.038*OptConst)*MeasuredLifetimeAuger*0.000001/(1.6E-019*Thickness)</f>
        <v>0</v>
      </c>
      <c r="O6" s="105" t="n">
        <f aca="false">SpecMCD-Traps</f>
        <v>1000000000000000</v>
      </c>
      <c r="P6" s="106" t="n">
        <f aca="false">IF(MAX(R10:R131)=0,0,SLOPE(R10:R131,J10:J131))</f>
        <v>-5.81304000161015E-012</v>
      </c>
      <c r="Q6" s="100" t="n">
        <f aca="false">IF(MAX(R10:R131)=0,0,INTERCEPT(R10:R130,J10:J130))</f>
        <v>29051.5240018545</v>
      </c>
      <c r="R6" s="106" t="n">
        <f aca="false">IF(MaxSuns&gt;0.1,1000000*1/(Q6+(SpecMCD)*P6),0)</f>
        <v>43.0320669794761</v>
      </c>
      <c r="S6" s="106" t="n">
        <f aca="false">R6/1000000</f>
        <v>4.30320669794761E-005</v>
      </c>
      <c r="T6" s="107" t="n">
        <f aca="false">IF(MAX(T10:T131)=0,0,SLOPE(T10:T131,J10:J131))</f>
        <v>-5.81629807828354E-012</v>
      </c>
      <c r="U6" s="106" t="n">
        <f aca="false">IF(MAX(T10:T131)=0,0,INTERCEPT(T10:T130,J10:J130))</f>
        <v>29053.0701405288</v>
      </c>
      <c r="V6" s="108" t="n">
        <f aca="false">IF(MaxSuns&gt;0.1,1000000*1/(FitInterceptAuger+(SpecMCD)*FitSlopeAuger),0)</f>
        <v>43.035237309264</v>
      </c>
      <c r="W6" s="105" t="n">
        <f aca="false">MeasuredLifetimeAuger/1000000</f>
        <v>4.3035237309264E-005</v>
      </c>
      <c r="X6" s="105" t="n">
        <f aca="false">IF(MeasuredLifetimeAuger&gt;0,1000000/MeasuredLifetimeAuger,0)</f>
        <v>23236.7720622453</v>
      </c>
      <c r="Y6" s="109" t="n">
        <f aca="false">IF(MaxSuns&gt;0.1,1000000/(FitInterceptAuger-(FitSlopeAuger*(SampleDoping-Traps))),0)</f>
        <v>20.4402487831731</v>
      </c>
      <c r="Z6" s="106" t="str">
        <f aca="false">IF(AugerModel="Richter",SLOPE(W10:W131,J10:J131),"")</f>
        <v/>
      </c>
      <c r="AA6" s="107" t="n">
        <f aca="false">IF(AugerModel="Sinton",calcjo(FitSlopeAuger,Thickness),calcjorichter(Thickness,Z6))</f>
        <v>-1.35089339166214E-012</v>
      </c>
      <c r="AB6" s="110" t="e">
        <f aca="true">FORECAST(1,OFFSET(X9,MATCH(1,Y9:Y133,-1)-1,0,2),OFFSET(Y9,MATCH(1,Y9:Y133,-1)-1,0,2))</f>
        <v>#N/A</v>
      </c>
      <c r="AC6" s="111" t="n">
        <f aca="false">MIN(Z9:Z133)</f>
        <v>33156920272910100</v>
      </c>
      <c r="AD6" s="112" t="n">
        <f aca="false">1/((1/SheetResistance)-(AD9*Temperature^3+AD10*Temperature^2+AD11*Temperature+AD12))</f>
        <v>163.045863364606</v>
      </c>
      <c r="AE6" s="113" t="n">
        <f aca="false">AD6*Thickness</f>
        <v>3.19569892194628</v>
      </c>
    </row>
    <row collapsed="false" customFormat="true" customHeight="false" hidden="false" ht="12.75" outlineLevel="0" r="7" s="78">
      <c r="A7" s="114"/>
      <c r="B7" s="73"/>
      <c r="C7" s="73"/>
      <c r="D7" s="114"/>
      <c r="K7" s="115"/>
      <c r="L7" s="116"/>
      <c r="M7" s="87"/>
      <c r="O7" s="87"/>
      <c r="S7" s="117"/>
      <c r="T7" s="114"/>
      <c r="U7" s="118"/>
      <c r="V7" s="73"/>
      <c r="W7" s="119"/>
    </row>
    <row collapsed="false" customFormat="false" customHeight="true" hidden="false" ht="42" outlineLevel="0" r="8">
      <c r="A8" s="120" t="s">
        <v>87</v>
      </c>
      <c r="B8" s="121" t="s">
        <v>88</v>
      </c>
      <c r="C8" s="96" t="s">
        <v>89</v>
      </c>
      <c r="D8" s="96" t="s">
        <v>90</v>
      </c>
      <c r="E8" s="96" t="s">
        <v>91</v>
      </c>
      <c r="F8" s="96" t="s">
        <v>92</v>
      </c>
      <c r="G8" s="96" t="s">
        <v>93</v>
      </c>
      <c r="H8" s="97" t="s">
        <v>94</v>
      </c>
      <c r="I8" s="96" t="s">
        <v>95</v>
      </c>
      <c r="J8" s="96" t="s">
        <v>96</v>
      </c>
      <c r="K8" s="96" t="s">
        <v>97</v>
      </c>
      <c r="L8" s="96" t="s">
        <v>98</v>
      </c>
      <c r="M8" s="96" t="s">
        <v>99</v>
      </c>
      <c r="N8" s="96" t="s">
        <v>100</v>
      </c>
      <c r="O8" s="96" t="s">
        <v>101</v>
      </c>
      <c r="P8" s="96" t="s">
        <v>102</v>
      </c>
      <c r="Q8" s="97" t="s">
        <v>103</v>
      </c>
      <c r="R8" s="97" t="s">
        <v>104</v>
      </c>
      <c r="S8" s="96" t="s">
        <v>105</v>
      </c>
      <c r="T8" s="97" t="s">
        <v>106</v>
      </c>
      <c r="U8" s="96" t="s">
        <v>107</v>
      </c>
      <c r="V8" s="97" t="s">
        <v>108</v>
      </c>
      <c r="W8" s="97" t="s">
        <v>109</v>
      </c>
      <c r="X8" s="96" t="s">
        <v>110</v>
      </c>
      <c r="Y8" s="97" t="s">
        <v>111</v>
      </c>
      <c r="Z8" s="97" t="s">
        <v>112</v>
      </c>
      <c r="AA8" s="97" t="s">
        <v>113</v>
      </c>
      <c r="AB8" s="97" t="s">
        <v>114</v>
      </c>
      <c r="AC8" s="97" t="s">
        <v>115</v>
      </c>
      <c r="AD8" s="97" t="s">
        <v>116</v>
      </c>
      <c r="AE8" s="122" t="s">
        <v>117</v>
      </c>
    </row>
    <row collapsed="false" customFormat="false" customHeight="false" hidden="false" ht="12.75" outlineLevel="0" r="9">
      <c r="A9" s="123" t="n">
        <v>4.99E-005</v>
      </c>
      <c r="B9" s="123" t="n">
        <v>1.02528</v>
      </c>
      <c r="C9" s="124" t="n">
        <v>0.36129</v>
      </c>
      <c r="D9" s="125" t="n">
        <f aca="false">IF(CouplingMode="AC",B9-(A$11-A$10)*SUM(B$9:B9)/0.21,B9)</f>
        <v>1.02528</v>
      </c>
      <c r="E9" s="126" t="n">
        <f aca="false">IF(C9&gt;0,C9/RefCellCal,0.00001)</f>
        <v>34.3301586306349</v>
      </c>
      <c r="F9" s="126" t="n">
        <f aca="false">E9-BiasLight</f>
        <v>34.3301586306349</v>
      </c>
      <c r="G9" s="127" t="n">
        <f aca="false">F9*0.038*OptConst/1.602E-019</f>
        <v>5.70026354291441E+018</v>
      </c>
      <c r="H9" s="128" t="n">
        <f aca="false">calcconductance(B9,Dark_Voltage,A_cal,B_cal,C_cal)</f>
        <v>0.0310258182262369</v>
      </c>
      <c r="I9" s="127" t="n">
        <f aca="false">IF(MobilityModel=DK,calcdeltan(H9,SampleDoping,Thickness,AreaFrac),calcdeltandl(H9,AreaFrac,Thickness,SampleType,SampleDoping,Temperature))</f>
        <v>7132943842282830</v>
      </c>
      <c r="J9" s="127" t="str">
        <f aca="false">IF(AND(AND(I9&gt;=FitRangeMin,I9&lt;=FitRangeMax),A9&gt;TimeofMaxCD),I9,"")</f>
        <v/>
      </c>
      <c r="K9" s="127" t="n">
        <f aca="false">IF(I9-BiasPtCD=0,0.00001,I9-BiasPtCD)</f>
        <v>7132943842282830</v>
      </c>
      <c r="L9" s="129"/>
      <c r="M9" s="73" t="str">
        <f aca="false">IF(E9&gt;0.85*BiasLight,IF( E9&lt;1.15*BiasLight,E9,""),"")</f>
        <v/>
      </c>
      <c r="N9" s="73" t="str">
        <f aca="false">IF(E9&gt;0.85*BiasLight,IF(E9&lt;1.15*BiasLight,I9,""),"")</f>
        <v/>
      </c>
      <c r="O9" s="129" t="n">
        <f aca="false">I9-Traps</f>
        <v>7132943842282830</v>
      </c>
      <c r="P9" s="127"/>
      <c r="Q9" s="129"/>
      <c r="R9" s="130"/>
      <c r="S9" s="131"/>
      <c r="T9" s="78"/>
      <c r="U9" s="131" t="n">
        <f aca="false">FitInterceptAuger+FitSlopeAuger*(I9+Traps)</f>
        <v>-12434.2574218452</v>
      </c>
      <c r="V9" s="130" t="str">
        <f aca="false">IF(AugerModel="Sinton","",IF(SampleType="n-type",n_intr_boltzmann(SampleDoping,0,K9,Temperature+273.15),n_intr_boltzmann(0,SampleDoping,K9,Temperature+273.15)))</f>
        <v/>
      </c>
      <c r="W9" s="130" t="str">
        <f aca="false">IF(V9="","",IF(T9="","",(V9^2)*T9))</f>
        <v/>
      </c>
      <c r="X9" s="125" t="str">
        <f aca="false">IF(AND(A9&gt;TimeofMaxCD,I9&gt;Traps),IF(AugerModel="Sinton",calcimpliedv(SampleDoping,O9),calcimpliedvrichter(O9,SampleDoping,V9)),"")</f>
        <v/>
      </c>
      <c r="Y9" s="132" t="str">
        <f aca="false">IF(OR(P9="",P9&lt;0,A9&lt;=TimeofMaxCD),"",(O9*Thickness*1.602E-019/(0.038*OptConst*P9)))</f>
        <v/>
      </c>
      <c r="Z9" s="77" t="str">
        <f aca="false">IF(C9&gt;0.6,O9,"")</f>
        <v/>
      </c>
      <c r="AA9" s="133" t="n">
        <v>25.574944</v>
      </c>
      <c r="AB9" s="133" t="n">
        <v>4293.71516748875</v>
      </c>
      <c r="AC9" s="130" t="n">
        <f aca="false">1/AB9</f>
        <v>0.000232898541470991</v>
      </c>
      <c r="AD9" s="130" t="n">
        <f aca="false">INDEX(LINEST(AC9:AC44,AA9:AA44^{1,2,3}),1)</f>
        <v>-1.04603418818127E-009</v>
      </c>
      <c r="AE9" s="130" t="n">
        <f aca="false">H9/(K9*AreaFrac*Thickness*1.602E-019)</f>
        <v>1385.27455085819</v>
      </c>
    </row>
    <row collapsed="false" customFormat="false" customHeight="false" hidden="false" ht="12.75" outlineLevel="0" r="10">
      <c r="A10" s="123" t="n">
        <v>0.0001499</v>
      </c>
      <c r="B10" s="123" t="n">
        <v>2.85829</v>
      </c>
      <c r="C10" s="124" t="n">
        <v>0.541885</v>
      </c>
      <c r="D10" s="125" t="n">
        <f aca="false">IF(CouplingMode="AC",B10-(A$11-A$10)*SUM(B$9:B10)/0.21,B10)</f>
        <v>2.85829</v>
      </c>
      <c r="E10" s="126" t="n">
        <f aca="false">IF(C10&gt;0,C10/RefCellCal,0.00001)</f>
        <v>51.4904868929713</v>
      </c>
      <c r="F10" s="126" t="n">
        <f aca="false">E10-BiasLight</f>
        <v>51.4904868929713</v>
      </c>
      <c r="G10" s="127" t="n">
        <f aca="false">F10*0.038*OptConst/1.602E-019</f>
        <v>8.54960643790909E+018</v>
      </c>
      <c r="H10" s="128" t="e">
        <f aca="false">calcconductance(B10,Dark_Voltage,A_cal,B_cal,C_cal)</f>
        <v>#NAME?</v>
      </c>
      <c r="I10" s="127" t="n">
        <f aca="false">IF(MobilityModel=DK,calcdeltan(H10,SampleDoping,Thickness,AreaFrac),calcdeltandl(H10,AreaFrac,Thickness,SampleType,SampleDoping,Temperature))</f>
        <v>24227357978840700</v>
      </c>
      <c r="J10" s="127" t="str">
        <f aca="false">IF(AND(AND(I10&gt;=FitRangeMin,I10&lt;=FitRangeMax),A10&gt;TimeofMaxCD),I10,"")</f>
        <v/>
      </c>
      <c r="K10" s="127" t="n">
        <f aca="false">IF(I10-BiasPtCD=0,0.00001,I10-BiasPtCD)</f>
        <v>24227357978840700</v>
      </c>
      <c r="L10" s="129"/>
      <c r="M10" s="73" t="str">
        <f aca="false">IF(E10&gt;0.85*BiasLight,IF( E10&lt;1.15*BiasLight,E10,""),"")</f>
        <v/>
      </c>
      <c r="N10" s="73" t="str">
        <f aca="false">IF(E10&gt;0.85*BiasLight,IF(E10&lt;1.15*BiasLight,I10,""),"")</f>
        <v/>
      </c>
      <c r="O10" s="129" t="n">
        <f aca="false">I10-Traps</f>
        <v>24227357978840700</v>
      </c>
      <c r="P10" s="127"/>
      <c r="Q10" s="129"/>
      <c r="R10" s="130"/>
      <c r="S10" s="131"/>
      <c r="T10" s="78"/>
      <c r="U10" s="131" t="n">
        <f aca="false">FitInterceptAuger+FitSlopeAuger*(I10+Traps)</f>
        <v>-111860.46551369</v>
      </c>
      <c r="V10" s="130" t="str">
        <f aca="false">IF(AugerModel="Sinton","",IF(SampleType="n-type",n_intr_boltzmann(SampleDoping,0,K10,Temperature+273.15),n_intr_boltzmann(0,SampleDoping,K10,Temperature+273.15)))</f>
        <v/>
      </c>
      <c r="W10" s="130" t="str">
        <f aca="false">IF(V10="","",IF(T10="","",(V10^2)*T10))</f>
        <v/>
      </c>
      <c r="X10" s="125" t="str">
        <f aca="false">IF(AND(A10&gt;TimeofMaxCD,I10&gt;Traps),IF(AugerModel="Sinton",calcimpliedv(SampleDoping,O10),calcimpliedvrichter(O10,SampleDoping,V10)),"")</f>
        <v/>
      </c>
      <c r="Y10" s="132" t="str">
        <f aca="false">IF(OR(P10="",P10&lt;0,A10&lt;=TimeofMaxCD),"",(O10*Thickness*1.602E-019/(0.038*OptConst*P10)))</f>
        <v/>
      </c>
      <c r="Z10" s="77" t="str">
        <f aca="false">IF(C10&gt;0.6,O10,"")</f>
        <v/>
      </c>
      <c r="AA10" s="133" t="n">
        <v>30.514985</v>
      </c>
      <c r="AB10" s="133" t="n">
        <v>950.533013406314</v>
      </c>
      <c r="AC10" s="130" t="n">
        <f aca="false">1/AB10</f>
        <v>0.00105204131355356</v>
      </c>
      <c r="AD10" s="130" t="n">
        <f aca="false">INDEX(LINEST(AC9:AC44,AA9:AA44^{1,2,3}),1,2)</f>
        <v>9.46147765679203E-008</v>
      </c>
      <c r="AE10" s="130" t="e">
        <f aca="false">H10/(K10*AreaFrac*Thickness*1.602E-019)</f>
        <v>#NAME?</v>
      </c>
    </row>
    <row collapsed="false" customFormat="false" customHeight="false" hidden="false" ht="12.75" outlineLevel="0" r="11">
      <c r="A11" s="123" t="n">
        <v>0.0002499</v>
      </c>
      <c r="B11" s="123" t="n">
        <v>3.62985</v>
      </c>
      <c r="C11" s="124" t="n">
        <v>0.609492</v>
      </c>
      <c r="D11" s="125" t="n">
        <f aca="false">IF(CouplingMode="AC",B11-(A$11-A$10)*SUM(B$9:B11)/0.21,B11)</f>
        <v>3.62985</v>
      </c>
      <c r="E11" s="126" t="n">
        <f aca="false">IF(C11&gt;0,C11/RefCellCal,0.00001)</f>
        <v>57.9145756707989</v>
      </c>
      <c r="F11" s="126" t="n">
        <f aca="false">E11-BiasLight</f>
        <v>57.9145756707989</v>
      </c>
      <c r="G11" s="127" t="n">
        <f aca="false">F11*0.038*OptConst/1.602E-019</f>
        <v>9.61627785794789E+018</v>
      </c>
      <c r="H11" s="128" t="e">
        <f aca="false">calcconductance(B11,Dark_Voltage,A_cal,B_cal,C_cal)</f>
        <v>#NAME?</v>
      </c>
      <c r="I11" s="127" t="n">
        <f aca="false">IF(MobilityModel=DK,calcdeltan(H11,SampleDoping,Thickness,AreaFrac),calcdeltandl(H11,AreaFrac,Thickness,SampleType,SampleDoping,Temperature))</f>
        <v>33156920272910100</v>
      </c>
      <c r="J11" s="127" t="str">
        <f aca="false">IF(AND(AND(I11&gt;=FitRangeMin,I11&lt;=FitRangeMax),A11&gt;TimeofMaxCD),I11,"")</f>
        <v/>
      </c>
      <c r="K11" s="127" t="n">
        <f aca="false">IF(I11-BiasPtCD=0,0.00001,I11-BiasPtCD)</f>
        <v>33156920272910100</v>
      </c>
      <c r="L11" s="129" t="n">
        <f aca="false">IF(ABS(SLOPE(K9:K13,A9:A13))&lt;1000000000000,-1000000000000,(SLOPE(K9:K13,A9:A13)))</f>
        <v>6.98551931249349E+019</v>
      </c>
      <c r="M11" s="73" t="str">
        <f aca="false">IF(E11&gt;0.85*BiasLight,IF( E11&lt;1.15*BiasLight,E11,""),"")</f>
        <v/>
      </c>
      <c r="N11" s="73" t="str">
        <f aca="false">IF(E11&gt;0.85*BiasLight,IF(E11&lt;1.15*BiasLight,I11,""),"")</f>
        <v/>
      </c>
      <c r="O11" s="129" t="n">
        <f aca="false">I11-Traps</f>
        <v>33156920272910100</v>
      </c>
      <c r="P11" s="127" t="n">
        <f aca="false">calclifetime(AnalysisMode,K11,Thickness,G11,L11)</f>
        <v>7.88003505249978E-005</v>
      </c>
      <c r="Q11" s="129"/>
      <c r="R11" s="130"/>
      <c r="S11" s="131" t="n">
        <f aca="false">IF(AND(E11&gt;0.95*BiasLight,E11&lt;1.05*BiasLight),"",IF(AugerModel="Sinton",calclifetimeauger(Auger_Coefficient,I11,P11),calclifetimerichter(SampleType,I11,SampleDoping,P11)))</f>
        <v>10865.3258189669</v>
      </c>
      <c r="T11" s="78"/>
      <c r="U11" s="131" t="n">
        <f aca="false">FitInterceptAuger+FitSlopeAuger*(I11+Traps)</f>
        <v>-163797.461524599</v>
      </c>
      <c r="V11" s="130" t="str">
        <f aca="false">IF(AugerModel="Sinton","",IF(SampleType="n-type",n_intr_boltzmann(SampleDoping,0,K11,Temperature+273.15),n_intr_boltzmann(0,SampleDoping,K11,Temperature+273.15)))</f>
        <v/>
      </c>
      <c r="W11" s="130" t="str">
        <f aca="false">IF(V11="","",IF(T11="","",(V11^2)*T11))</f>
        <v/>
      </c>
      <c r="X11" s="125" t="str">
        <f aca="false">IF(AND(A11&gt;TimeofMaxCD,I11&gt;Traps),IF(AugerModel="Sinton",calcimpliedv(SampleDoping,O11),calcimpliedvrichter(O11,SampleDoping,V11)),"")</f>
        <v/>
      </c>
      <c r="Y11" s="132" t="str">
        <f aca="false">IF(OR(P11="",P11&lt;0,A11&lt;=TimeofMaxCD),"",(O11*Thickness*1.602E-019/(0.038*OptConst*P11)))</f>
        <v/>
      </c>
      <c r="Z11" s="134" t="inlineStr">
        <f aca="false">IF(C11&gt;0.6,O11,"")</f>
        <is>
          <t/>
        </is>
      </c>
      <c r="AA11" s="133" t="n">
        <v>35.505573</v>
      </c>
      <c r="AB11" s="133" t="n">
        <v>579.01823372253</v>
      </c>
      <c r="AC11" s="130" t="n">
        <f aca="false">1/AB11</f>
        <v>0.00172706132857158</v>
      </c>
      <c r="AD11" s="130" t="n">
        <f aca="false">INDEX(LINEST(AC9:AC44,AA9:AA44^{1,2,3}),1,3)</f>
        <v>0.000132205901646309</v>
      </c>
      <c r="AE11" s="130" t="e">
        <f aca="false">H11/(K11*AreaFrac*Thickness*1.602E-019)</f>
        <v>#NAME?</v>
      </c>
    </row>
    <row collapsed="false" customFormat="false" customHeight="false" hidden="false" ht="12.75" outlineLevel="0" r="12">
      <c r="A12" s="123" t="n">
        <v>0.0003499</v>
      </c>
      <c r="B12" s="123" t="n">
        <v>3.89091</v>
      </c>
      <c r="C12" s="124" t="n">
        <v>0.624895</v>
      </c>
      <c r="D12" s="125" t="n">
        <f aca="false">IF(CouplingMode="AC",B12-(A$11-A$10)*SUM(B$9:B12)/0.21,B12)</f>
        <v>3.89091</v>
      </c>
      <c r="E12" s="126" t="n">
        <f aca="false">IF(C12&gt;0,C12/RefCellCal,0.00001)</f>
        <v>59.3781850521482</v>
      </c>
      <c r="F12" s="126" t="n">
        <f aca="false">E12-BiasLight</f>
        <v>59.3781850521482</v>
      </c>
      <c r="G12" s="127" t="n">
        <f aca="false">F12*0.038*OptConst/1.602E-019</f>
        <v>9.85929914099339E+018</v>
      </c>
      <c r="H12" s="128" t="e">
        <f aca="false">calcconductance(B12,Dark_Voltage,A_cal,B_cal,C_cal)</f>
        <v>#NAME?</v>
      </c>
      <c r="I12" s="127" t="n">
        <f aca="false">IF(MobilityModel=DK,calcdeltan(H12,SampleDoping,Thickness,AreaFrac),calcdeltandl(H12,AreaFrac,Thickness,SampleType,SampleDoping,Temperature))</f>
        <v>36427160437229200</v>
      </c>
      <c r="J12" s="127" t="str">
        <f aca="false">IF(AND(AND(I12&gt;=FitRangeMin,I12&lt;=FitRangeMax),A12&gt;TimeofMaxCD),I12,"")</f>
        <v/>
      </c>
      <c r="K12" s="127" t="n">
        <f aca="false">IF(I12-BiasPtCD=0,0.00001,I12-BiasPtCD)</f>
        <v>36427160437229200</v>
      </c>
      <c r="L12" s="129" t="n">
        <f aca="false">IF(ABS(SLOPE(K10:K14,A10:A14))&lt;1000000000000,-1000000000000,(SLOPE(K10:K14,A10:A14)))</f>
        <v>2.36300163724489E+019</v>
      </c>
      <c r="M12" s="73" t="str">
        <f aca="false">IF(E12&gt;0.85*BiasLight,IF( E12&lt;1.15*BiasLight,E12,""),"")</f>
        <v/>
      </c>
      <c r="N12" s="73" t="str">
        <f aca="false">IF(E12&gt;0.85*BiasLight,IF(E12&lt;1.15*BiasLight,I12,""),"")</f>
        <v/>
      </c>
      <c r="O12" s="129" t="n">
        <f aca="false">I12-Traps</f>
        <v>36427160437229200</v>
      </c>
      <c r="P12" s="127" t="e">
        <f aca="false">calclifetime(AnalysisMode,K12,Thickness,G12,L12)</f>
        <v>#NAME?</v>
      </c>
      <c r="Q12" s="129" t="str">
        <f aca="false">IF($J12="","",P12)</f>
        <v/>
      </c>
      <c r="R12" s="130" t="str">
        <f aca="false">IF(Q12="","",1/Q12)</f>
        <v/>
      </c>
      <c r="S12" s="131" t="n">
        <f aca="false">IF(AND(E12&gt;0.95*BiasLight,E12&lt;1.05*BiasLight),"",IF(AugerModel="Sinton",calclifetimeauger(Auger_Coefficient,I12,P12),calclifetimerichter(SampleType,I12,SampleDoping,P12)))</f>
        <v>10957.6677315325</v>
      </c>
      <c r="T12" s="78" t="str">
        <f aca="false">IF($J12="","",S12)</f>
        <v/>
      </c>
      <c r="U12" s="131" t="n">
        <f aca="false">FitInterceptAuger+FitSlopeAuger*(I12+Traps)</f>
        <v>-182818.153107854</v>
      </c>
      <c r="V12" s="130" t="str">
        <f aca="false">IF(AugerModel="Sinton","",IF(SampleType="n-type",n_intr_boltzmann(SampleDoping,0,K12,Temperature+273.15),n_intr_boltzmann(0,SampleDoping,K12,Temperature+273.15)))</f>
        <v/>
      </c>
      <c r="W12" s="130" t="str">
        <f aca="false">IF(V12="","",IF(T12="","",(V12^2)*T12))</f>
        <v/>
      </c>
      <c r="X12" s="125" t="str">
        <f aca="false">IF(AND(A12&gt;TimeofMaxCD,I12&gt;Traps),IF(AugerModel="Sinton",calcimpliedv(SampleDoping,O12),calcimpliedvrichter(O12,SampleDoping,V12)),"")</f>
        <v/>
      </c>
      <c r="Y12" s="132" t="e">
        <f aca="false">IF(OR(P12="",P12&lt;0,A12&lt;=TimeofMaxCD),"",(O12*Thickness*1.602E-019/(0.038*OptConst*P12)))</f>
        <v>#NAME?</v>
      </c>
      <c r="Z12" s="134" t="inlineStr">
        <f aca="false">IF(C12&gt;0.6,O12,"")</f>
        <is>
          <t/>
        </is>
      </c>
      <c r="AA12" s="133" t="n">
        <v>40.471617</v>
      </c>
      <c r="AB12" s="133" t="n">
        <v>480.025277360078</v>
      </c>
      <c r="AC12" s="130" t="n">
        <f aca="false">1/AB12</f>
        <v>0.0020832236283463</v>
      </c>
      <c r="AD12" s="130" t="n">
        <f aca="false">INDEX(LINEST(AC9:AC44,AA9:AA44^{1,2,3}),1,4)</f>
        <v>-0.00320784489143506</v>
      </c>
      <c r="AE12" s="130" t="e">
        <f aca="false">H12/(K12*AreaFrac*Thickness*1.602E-019)</f>
        <v>#NAME?</v>
      </c>
    </row>
    <row collapsed="false" customFormat="false" customHeight="false" hidden="false" ht="12.75" outlineLevel="0" r="13">
      <c r="A13" s="123" t="n">
        <v>0.0004499</v>
      </c>
      <c r="B13" s="123" t="n">
        <v>3.85429</v>
      </c>
      <c r="C13" s="124" t="n">
        <v>0.609984</v>
      </c>
      <c r="D13" s="125" t="n">
        <f aca="false">IF(CouplingMode="AC",B13-(A$11-A$10)*SUM(B$9:B13)/0.21,B13)</f>
        <v>3.85429</v>
      </c>
      <c r="E13" s="126" t="n">
        <f aca="false">IF(C13&gt;0,C13/RefCellCal,0.00001)</f>
        <v>57.9613260321327</v>
      </c>
      <c r="F13" s="126" t="n">
        <f aca="false">E13-BiasLight</f>
        <v>57.9613260321327</v>
      </c>
      <c r="G13" s="127" t="n">
        <f aca="false">F13*0.038*OptConst/1.602E-019</f>
        <v>9.62404040233914E+018</v>
      </c>
      <c r="H13" s="128" t="e">
        <f aca="false">calcconductance(B13,Dark_Voltage,A_cal,B_cal,C_cal)</f>
        <v>#NAME?</v>
      </c>
      <c r="I13" s="127" t="n">
        <f aca="false">IF(MobilityModel=DK,calcdeltan(H13,SampleDoping,Thickness,AreaFrac),calcdeltandl(H13,AreaFrac,Thickness,SampleType,SampleDoping,Temperature))</f>
        <v>35960639175556000</v>
      </c>
      <c r="J13" s="127" t="str">
        <f aca="false">IF(AND(AND(I13&gt;=FitRangeMin,I13&lt;=FitRangeMax),A13&gt;TimeofMaxCD),I13,"")</f>
        <v/>
      </c>
      <c r="K13" s="127" t="n">
        <f aca="false">IF(I13-BiasPtCD=0,0.00001,I13-BiasPtCD)</f>
        <v>35960639175556000</v>
      </c>
      <c r="L13" s="129" t="n">
        <f aca="false">IF(ABS(SLOPE(K11:K15,A11:A15))&lt;1000000000000,-1000000000000,(SLOPE(K11:K15,A11:A15)))</f>
        <v>-1.91211477742671E+018</v>
      </c>
      <c r="M13" s="73" t="str">
        <f aca="false">IF(E13&gt;0.85*BiasLight,IF( E13&lt;1.15*BiasLight,E13,""),"")</f>
        <v/>
      </c>
      <c r="N13" s="73" t="str">
        <f aca="false">IF(E13&gt;0.85*BiasLight,IF(E13&lt;1.15*BiasLight,I13,""),"")</f>
        <v/>
      </c>
      <c r="O13" s="129" t="n">
        <f aca="false">I13-Traps</f>
        <v>35960639175556000</v>
      </c>
      <c r="P13" s="127" t="e">
        <f aca="false">calclifetime(AnalysisMode,K13,Thickness,G13,L13)</f>
        <v>#NAME?</v>
      </c>
      <c r="Q13" s="129" t="str">
        <f aca="false">IF($J13="","",P13)</f>
        <v/>
      </c>
      <c r="R13" s="130" t="str">
        <f aca="false">IF(Q13="","",1/Q13)</f>
        <v/>
      </c>
      <c r="S13" s="131" t="n">
        <f aca="false">IF(AND(E13&gt;0.95*BiasLight,E13&lt;1.05*BiasLight),"",IF(AugerModel="Sinton",calclifetimeauger(Auger_Coefficient,I13,P13),calclifetimerichter(SampleType,I13,SampleDoping,P13)))</f>
        <v>11560.9564811141</v>
      </c>
      <c r="T13" s="78" t="str">
        <f aca="false">IF($J13="","",S13)</f>
        <v/>
      </c>
      <c r="U13" s="131" t="n">
        <f aca="false">FitInterceptAuger+FitSlopeAuger*(I13+Traps)</f>
        <v>-180104.726390106</v>
      </c>
      <c r="V13" s="130" t="str">
        <f aca="false">IF(AugerModel="Sinton","",IF(SampleType="n-type",n_intr_boltzmann(SampleDoping,0,K13,Temperature+273.15),n_intr_boltzmann(0,SampleDoping,K13,Temperature+273.15)))</f>
        <v/>
      </c>
      <c r="W13" s="130" t="str">
        <f aca="false">IF(V13="","",IF(T13="","",(V13^2)*T13))</f>
        <v/>
      </c>
      <c r="X13" s="125" t="n">
        <f aca="false">IF(AND(A13&gt;TimeofMaxCD,I13&gt;Traps),IF(AugerModel="Sinton",calcimpliedv(SampleDoping,O13),calcimpliedvrichter(O13,SampleDoping,V13)),"")</f>
        <v>0.785665978053867</v>
      </c>
      <c r="Y13" s="132" t="e">
        <f aca="false">IF(OR(P13="",P13&lt;0,A13&lt;=TimeofMaxCD),"",(O13*Thickness*1.602E-019/(0.038*OptConst*P13)))</f>
        <v>#NAME?</v>
      </c>
      <c r="Z13" s="134" t="inlineStr">
        <f aca="false">IF(C13&gt;0.6,O13,"")</f>
        <is>
          <t/>
        </is>
      </c>
      <c r="AA13" s="133" t="n">
        <v>45.471894</v>
      </c>
      <c r="AB13" s="133" t="n">
        <v>370.164728976809</v>
      </c>
      <c r="AC13" s="130" t="n">
        <f aca="false">1/AB13</f>
        <v>0.00270149995858371</v>
      </c>
      <c r="AE13" s="130" t="e">
        <f aca="false">H13/(K13*AreaFrac*Thickness*1.602E-019)</f>
        <v>#NAME?</v>
      </c>
    </row>
    <row collapsed="false" customFormat="false" customHeight="false" hidden="false" ht="12.75" outlineLevel="0" r="14">
      <c r="A14" s="123" t="n">
        <v>0.0005499</v>
      </c>
      <c r="B14" s="123" t="n">
        <v>3.74956</v>
      </c>
      <c r="C14" s="124" t="n">
        <v>0.582281</v>
      </c>
      <c r="D14" s="125" t="n">
        <f aca="false">IF(CouplingMode="AC",B14-(A$11-A$10)*SUM(B$9:B14)/0.21,B14)</f>
        <v>3.74956</v>
      </c>
      <c r="E14" s="126" t="n">
        <f aca="false">IF(C14&gt;0,C14/RefCellCal,0.00001)</f>
        <v>55.3289576174396</v>
      </c>
      <c r="F14" s="126" t="n">
        <f aca="false">E14-BiasLight</f>
        <v>55.3289576174396</v>
      </c>
      <c r="G14" s="127" t="n">
        <f aca="false">F14*0.038*OptConst/1.602E-019</f>
        <v>9.18695550951244E+018</v>
      </c>
      <c r="H14" s="128" t="e">
        <f aca="false">calcconductance(B14,Dark_Voltage,A_cal,B_cal,C_cal)</f>
        <v>#NAME?</v>
      </c>
      <c r="I14" s="127" t="n">
        <f aca="false">IF(MobilityModel=DK,calcdeltan(H14,SampleDoping,Thickness,AreaFrac),calcdeltandl(H14,AreaFrac,Thickness,SampleType,SampleDoping,Temperature))</f>
        <v>34640506713742100</v>
      </c>
      <c r="J14" s="127" t="str">
        <f aca="false">IF(AND(AND(I14&gt;=FitRangeMin,I14&lt;=FitRangeMax),A14&gt;TimeofMaxCD),I14,"")</f>
        <v/>
      </c>
      <c r="K14" s="127" t="n">
        <f aca="false">IF(I14-BiasPtCD=0,0.00001,I14-BiasPtCD)</f>
        <v>34640506713742100</v>
      </c>
      <c r="L14" s="129" t="n">
        <f aca="false">IF(ABS(SLOPE(K12:K16,A12:A16))&lt;1000000000000,-1000000000000,(SLOPE(K12:K16,A12:A16)))</f>
        <v>-1.27015208926737E+019</v>
      </c>
      <c r="M14" s="73" t="str">
        <f aca="false">IF(E14&gt;0.85*BiasLight,IF( E14&lt;1.15*BiasLight,E14,""),"")</f>
        <v/>
      </c>
      <c r="N14" s="73" t="str">
        <f aca="false">IF(E14&gt;0.85*BiasLight,IF(E14&lt;1.15*BiasLight,I14,""),"")</f>
        <v/>
      </c>
      <c r="O14" s="129" t="n">
        <f aca="false">I14-Traps</f>
        <v>34640506713742100</v>
      </c>
      <c r="P14" s="127" t="e">
        <f aca="false">calclifetime(AnalysisMode,K14,Thickness,G14,L14)</f>
        <v>#NAME?</v>
      </c>
      <c r="Q14" s="129" t="str">
        <f aca="false">IF($J14="","",P14)</f>
        <v/>
      </c>
      <c r="R14" s="130" t="str">
        <f aca="false">IF(Q14="","",1/Q14)</f>
        <v/>
      </c>
      <c r="S14" s="131" t="n">
        <f aca="false">IF(AND(E14&gt;0.95*BiasLight,E14&lt;1.05*BiasLight),"",IF(AugerModel="Sinton",calclifetimeauger(Auger_Coefficient,I14,P14),calclifetimerichter(SampleType,I14,SampleDoping,P14)))</f>
        <v>11905.769287813</v>
      </c>
      <c r="T14" s="78" t="str">
        <f aca="false">IF($J14="","",S14)</f>
        <v/>
      </c>
      <c r="U14" s="131" t="n">
        <f aca="false">FitInterceptAuger+FitSlopeAuger*(I14+Traps)</f>
        <v>-172426.442489378</v>
      </c>
      <c r="V14" s="130" t="str">
        <f aca="false">IF(AugerModel="Sinton","",IF(SampleType="n-type",n_intr_boltzmann(SampleDoping,0,K14,Temperature+273.15),n_intr_boltzmann(0,SampleDoping,K14,Temperature+273.15)))</f>
        <v/>
      </c>
      <c r="W14" s="130" t="str">
        <f aca="false">IF(V14="","",IF(T14="","",(V14^2)*T14))</f>
        <v/>
      </c>
      <c r="X14" s="125" t="n">
        <f aca="false">IF(AND(A14&gt;TimeofMaxCD,I14&gt;Traps),IF(AugerModel="Sinton",calcimpliedv(SampleDoping,O14),calcimpliedvrichter(O14,SampleDoping,V14)),"")</f>
        <v>0.783829099599213</v>
      </c>
      <c r="Y14" s="132" t="e">
        <f aca="false">IF(OR(P14="",P14&lt;0,A14&lt;=TimeofMaxCD),"",(O14*Thickness*1.602E-019/(0.038*OptConst*P14)))</f>
        <v>#NAME?</v>
      </c>
      <c r="Z14" s="77" t="str">
        <f aca="false">IF(C14&gt;0.6,O14,"")</f>
        <v/>
      </c>
      <c r="AA14" s="133" t="n">
        <v>50.503872</v>
      </c>
      <c r="AB14" s="133" t="n">
        <v>277.340009920428</v>
      </c>
      <c r="AC14" s="130" t="n">
        <f aca="false">1/AB14</f>
        <v>0.00360568242673284</v>
      </c>
      <c r="AE14" s="130" t="e">
        <f aca="false">H14/(K14*AreaFrac*Thickness*1.602E-019)</f>
        <v>#NAME?</v>
      </c>
    </row>
    <row collapsed="false" customFormat="false" customHeight="false" hidden="false" ht="12.75" outlineLevel="0" r="15">
      <c r="A15" s="123" t="n">
        <v>0.0006499</v>
      </c>
      <c r="B15" s="123" t="n">
        <v>3.62474</v>
      </c>
      <c r="C15" s="124" t="n">
        <v>0.549475</v>
      </c>
      <c r="D15" s="125" t="n">
        <f aca="false">IF(CouplingMode="AC",B15-(A$11-A$10)*SUM(B$9:B15)/0.21,B15)</f>
        <v>3.62474</v>
      </c>
      <c r="E15" s="126" t="n">
        <f aca="false">IF(C15&gt;0,C15/RefCellCal,0.00001)</f>
        <v>52.2116967354982</v>
      </c>
      <c r="F15" s="126" t="n">
        <f aca="false">E15-BiasLight</f>
        <v>52.2116967354982</v>
      </c>
      <c r="G15" s="127" t="n">
        <f aca="false">F15*0.038*OptConst/1.602E-019</f>
        <v>8.66935788492042E+018</v>
      </c>
      <c r="H15" s="128" t="e">
        <f aca="false">calcconductance(B15,Dark_Voltage,A_cal,B_cal,C_cal)</f>
        <v>#NAME?</v>
      </c>
      <c r="I15" s="127" t="n">
        <f aca="false">IF(MobilityModel=DK,calcdeltan(H15,SampleDoping,Thickness,AreaFrac),calcdeltandl(H15,AreaFrac,Thickness,SampleType,SampleDoping,Temperature))</f>
        <v>33094189745940200</v>
      </c>
      <c r="J15" s="127" t="str">
        <f aca="false">IF(AND(AND(I15&gt;=FitRangeMin,I15&lt;=FitRangeMax),A15&gt;TimeofMaxCD),I15,"")</f>
        <v/>
      </c>
      <c r="K15" s="127" t="n">
        <f aca="false">IF(I15-BiasPtCD=0,0.00001,I15-BiasPtCD)</f>
        <v>33094189745940200</v>
      </c>
      <c r="L15" s="129" t="n">
        <f aca="false">IF(ABS(SLOPE(K13:K17,A13:A17))&lt;1000000000000,-1000000000000,(SLOPE(K13:K17,A13:A17)))</f>
        <v>-1.52686878139401E+019</v>
      </c>
      <c r="M15" s="73" t="str">
        <f aca="false">IF(E15&gt;0.85*BiasLight,IF( E15&lt;1.15*BiasLight,E15,""),"")</f>
        <v/>
      </c>
      <c r="N15" s="73" t="str">
        <f aca="false">IF(E15&gt;0.85*BiasLight,IF(E15&lt;1.15*BiasLight,I15,""),"")</f>
        <v/>
      </c>
      <c r="O15" s="129" t="n">
        <f aca="false">I15-Traps</f>
        <v>33094189745940200</v>
      </c>
      <c r="P15" s="127" t="e">
        <f aca="false">calclifetime(AnalysisMode,K15,Thickness,G15,L15)</f>
        <v>#NAME?</v>
      </c>
      <c r="Q15" s="129" t="str">
        <f aca="false">IF($J15="","",P15)</f>
        <v/>
      </c>
      <c r="R15" s="130" t="str">
        <f aca="false">IF(Q15="","",1/Q15)</f>
        <v/>
      </c>
      <c r="S15" s="131" t="n">
        <f aca="false">IF(AND(E15&gt;0.95*BiasLight,E15&lt;1.05*BiasLight),"",IF(AugerModel="Sinton",calclifetimeauger(Auger_Coefficient,I15,P15),calclifetimerichter(SampleType,I15,SampleDoping,P15)))</f>
        <v>12008.6086889953</v>
      </c>
      <c r="T15" s="78" t="str">
        <f aca="false">IF($J15="","",S15)</f>
        <v/>
      </c>
      <c r="U15" s="131" t="n">
        <f aca="false">FitInterceptAuger+FitSlopeAuger*(I15+Traps)</f>
        <v>-163432.602081134</v>
      </c>
      <c r="V15" s="130" t="str">
        <f aca="false">IF(AugerModel="Sinton","",IF(SampleType="n-type",n_intr_boltzmann(SampleDoping,0,K15,Temperature+273.15),n_intr_boltzmann(0,SampleDoping,K15,Temperature+273.15)))</f>
        <v/>
      </c>
      <c r="W15" s="130" t="str">
        <f aca="false">IF(V15="","",IF(T15="","",(V15^2)*T15))</f>
        <v/>
      </c>
      <c r="X15" s="125" t="n">
        <f aca="false">IF(AND(A15&gt;TimeofMaxCD,I15&gt;Traps),IF(AugerModel="Sinton",calcimpliedv(SampleDoping,O15),calcimpliedvrichter(O15,SampleDoping,V15)),"")</f>
        <v>0.78159030941271</v>
      </c>
      <c r="Y15" s="132" t="e">
        <f aca="false">IF(OR(P15="",P15&lt;0,A15&lt;=TimeofMaxCD),"",(O15*Thickness*1.602E-019/(0.038*OptConst*P15)))</f>
        <v>#NAME?</v>
      </c>
      <c r="Z15" s="77" t="str">
        <f aca="false">IF(C15&gt;0.6,O15,"")</f>
        <v/>
      </c>
      <c r="AA15" s="133" t="n">
        <v>55.478293</v>
      </c>
      <c r="AB15" s="133" t="n">
        <v>235.078481365678</v>
      </c>
      <c r="AC15" s="130" t="n">
        <f aca="false">1/AB15</f>
        <v>0.00425389850313199</v>
      </c>
      <c r="AE15" s="130" t="e">
        <f aca="false">H15/(K15*AreaFrac*Thickness*1.602E-019)</f>
        <v>#NAME?</v>
      </c>
    </row>
    <row collapsed="false" customFormat="false" customHeight="false" hidden="false" ht="12.75" outlineLevel="0" r="16">
      <c r="A16" s="123" t="n">
        <v>0.0007499</v>
      </c>
      <c r="B16" s="123" t="n">
        <v>3.49432</v>
      </c>
      <c r="C16" s="124" t="n">
        <v>0.517407</v>
      </c>
      <c r="D16" s="125" t="n">
        <f aca="false">IF(CouplingMode="AC",B16-(A$11-A$10)*SUM(B$9:B16)/0.21,B16)</f>
        <v>3.49432</v>
      </c>
      <c r="E16" s="126" t="n">
        <f aca="false">IF(C16&gt;0,C16/RefCellCal,0.00001)</f>
        <v>49.1645613955574</v>
      </c>
      <c r="F16" s="126" t="n">
        <f aca="false">E16-BiasLight</f>
        <v>49.1645613955574</v>
      </c>
      <c r="G16" s="127" t="n">
        <f aca="false">F16*0.038*OptConst/1.602E-019</f>
        <v>8.16340407691527E+018</v>
      </c>
      <c r="H16" s="128" t="e">
        <f aca="false">calcconductance(B16,Dark_Voltage,A_cal,B_cal,C_cal)</f>
        <v>#NAME?</v>
      </c>
      <c r="I16" s="127" t="n">
        <f aca="false">IF(MobilityModel=DK,calcdeltan(H16,SampleDoping,Thickness,AreaFrac),calcdeltandl(H16,AreaFrac,Thickness,SampleType,SampleDoping,Temperature))</f>
        <v>31509624705700300</v>
      </c>
      <c r="J16" s="127" t="str">
        <f aca="false">IF(AND(AND(I16&gt;=FitRangeMin,I16&lt;=FitRangeMax),A16&gt;TimeofMaxCD),I16,"")</f>
        <v/>
      </c>
      <c r="K16" s="127" t="n">
        <f aca="false">IF(I16-BiasPtCD=0,0.00001,I16-BiasPtCD)</f>
        <v>31509624705700300</v>
      </c>
      <c r="L16" s="129" t="n">
        <f aca="false">IF(ABS(SLOPE(K14:K18,A14:A18))&lt;1000000000000,-1000000000000,(SLOPE(K14:K18,A14:A18)))</f>
        <v>-1.58877077884906E+019</v>
      </c>
      <c r="M16" s="73" t="str">
        <f aca="false">IF(E16&gt;0.85*BiasLight,IF( E16&lt;1.15*BiasLight,E16,""),"")</f>
        <v/>
      </c>
      <c r="N16" s="73" t="str">
        <f aca="false">IF(E16&gt;0.85*BiasLight,IF(E16&lt;1.15*BiasLight,I16,""),"")</f>
        <v/>
      </c>
      <c r="O16" s="129" t="n">
        <f aca="false">I16-Traps</f>
        <v>31509624705700300</v>
      </c>
      <c r="P16" s="127" t="e">
        <f aca="false">calclifetime(AnalysisMode,K16,Thickness,G16,L16)</f>
        <v>#NAME?</v>
      </c>
      <c r="Q16" s="129" t="str">
        <f aca="false">IF($J16="","",P16)</f>
        <v/>
      </c>
      <c r="R16" s="130" t="str">
        <f aca="false">IF(Q16="","",1/Q16)</f>
        <v/>
      </c>
      <c r="S16" s="131" t="n">
        <f aca="false">IF(AND(E16&gt;0.95*BiasLight,E16&lt;1.05*BiasLight),"",IF(AugerModel="Sinton",calclifetimeauger(Auger_Coefficient,I16,P16),calclifetimerichter(SampleType,I16,SampleDoping,P16)))</f>
        <v>12074.2659662192</v>
      </c>
      <c r="T16" s="78" t="str">
        <f aca="false">IF($J16="","",S16)</f>
        <v/>
      </c>
      <c r="U16" s="131" t="n">
        <f aca="false">FitInterceptAuger+FitSlopeAuger*(I16+Traps)</f>
        <v>-154216.299482671</v>
      </c>
      <c r="V16" s="130" t="str">
        <f aca="false">IF(AugerModel="Sinton","",IF(SampleType="n-type",n_intr_boltzmann(SampleDoping,0,K16,Temperature+273.15),n_intr_boltzmann(0,SampleDoping,K16,Temperature+273.15)))</f>
        <v/>
      </c>
      <c r="W16" s="130" t="str">
        <f aca="false">IF(V16="","",IF(T16="","",(V16^2)*T16))</f>
        <v/>
      </c>
      <c r="X16" s="125" t="n">
        <f aca="false">IF(AND(A16&gt;TimeofMaxCD,I16&gt;Traps),IF(AugerModel="Sinton",calcimpliedv(SampleDoping,O16),calcimpliedvrichter(O16,SampleDoping,V16)),"")</f>
        <v>0.779189965365535</v>
      </c>
      <c r="Y16" s="132" t="e">
        <f aca="false">IF(OR(P16="",P16&lt;0,A16&lt;=TimeofMaxCD),"",(O16*Thickness*1.602E-019/(0.038*OptConst*P16)))</f>
        <v>#NAME?</v>
      </c>
      <c r="Z16" s="77" t="str">
        <f aca="false">IF(C16&gt;0.6,O16,"")</f>
        <v/>
      </c>
      <c r="AA16" s="133" t="n">
        <v>60.47762</v>
      </c>
      <c r="AB16" s="133" t="n">
        <v>211.945976927884</v>
      </c>
      <c r="AC16" s="130" t="n">
        <f aca="false">1/AB16</f>
        <v>0.00471818344700289</v>
      </c>
      <c r="AE16" s="130" t="e">
        <f aca="false">H16/(K16*AreaFrac*Thickness*1.602E-019)</f>
        <v>#NAME?</v>
      </c>
    </row>
    <row collapsed="false" customFormat="false" customHeight="false" hidden="false" ht="12.75" outlineLevel="0" r="17">
      <c r="A17" s="123" t="n">
        <v>0.0008499</v>
      </c>
      <c r="B17" s="123" t="n">
        <v>3.3584</v>
      </c>
      <c r="C17" s="124" t="n">
        <v>0.486844</v>
      </c>
      <c r="D17" s="125" t="n">
        <f aca="false">IF(CouplingMode="AC",B17-(A$11-A$10)*SUM(B$9:B17)/0.21,B17)</f>
        <v>3.3584</v>
      </c>
      <c r="E17" s="126" t="n">
        <f aca="false">IF(C17&gt;0,C17/RefCellCal,0.00001)</f>
        <v>46.2604327503469</v>
      </c>
      <c r="F17" s="126" t="n">
        <f aca="false">E17-BiasLight</f>
        <v>46.2604327503469</v>
      </c>
      <c r="G17" s="127" t="n">
        <f aca="false">F17*0.038*OptConst/1.602E-019</f>
        <v>7.68119545043213E+018</v>
      </c>
      <c r="H17" s="128" t="e">
        <f aca="false">calcconductance(B17,Dark_Voltage,A_cal,B_cal,C_cal)</f>
        <v>#NAME?</v>
      </c>
      <c r="I17" s="127" t="n">
        <f aca="false">IF(MobilityModel=DK,calcdeltan(H17,SampleDoping,Thickness,AreaFrac),calcdeltandl(H17,AreaFrac,Thickness,SampleType,SampleDoping,Temperature))</f>
        <v>29891736272606900</v>
      </c>
      <c r="J17" s="127" t="str">
        <f aca="false">IF(AND(AND(I17&gt;=FitRangeMin,I17&lt;=FitRangeMax),A17&gt;TimeofMaxCD),I17,"")</f>
        <v/>
      </c>
      <c r="K17" s="127" t="n">
        <f aca="false">IF(I17-BiasPtCD=0,0.00001,I17-BiasPtCD)</f>
        <v>29891736272606900</v>
      </c>
      <c r="L17" s="129" t="n">
        <f aca="false">IF(ABS(SLOPE(K15:K19,A15:A19))&lt;1000000000000,-1000000000000,(SLOPE(K15:K19,A15:A19)))</f>
        <v>-1.58942754912032E+019</v>
      </c>
      <c r="M17" s="73" t="str">
        <f aca="false">IF(E17&gt;0.85*BiasLight,IF( E17&lt;1.15*BiasLight,E17,""),"")</f>
        <v/>
      </c>
      <c r="N17" s="73" t="str">
        <f aca="false">IF(E17&gt;0.85*BiasLight,IF(E17&lt;1.15*BiasLight,I17,""),"")</f>
        <v/>
      </c>
      <c r="O17" s="129" t="n">
        <f aca="false">I17-Traps</f>
        <v>29891736272606900</v>
      </c>
      <c r="P17" s="127" t="e">
        <f aca="false">calclifetime(AnalysisMode,K17,Thickness,G17,L17)</f>
        <v>#NAME?</v>
      </c>
      <c r="Q17" s="129" t="str">
        <f aca="false">IF($J17="","",P17)</f>
        <v/>
      </c>
      <c r="R17" s="130" t="str">
        <f aca="false">IF(Q17="","",1/Q17)</f>
        <v/>
      </c>
      <c r="S17" s="131" t="n">
        <f aca="false">IF(AND(E17&gt;0.95*BiasLight,E17&lt;1.05*BiasLight),"",IF(AugerModel="Sinton",calclifetimeauger(Auger_Coefficient,I17,P17),calclifetimerichter(SampleType,I17,SampleDoping,P17)))</f>
        <v>12159.0625666404</v>
      </c>
      <c r="T17" s="78" t="str">
        <f aca="false">IF($J17="","",S17)</f>
        <v/>
      </c>
      <c r="U17" s="131" t="n">
        <f aca="false">FitInterceptAuger+FitSlopeAuger*(I17+Traps)</f>
        <v>-144806.178098393</v>
      </c>
      <c r="V17" s="130" t="str">
        <f aca="false">IF(AugerModel="Sinton","",IF(SampleType="n-type",n_intr_boltzmann(SampleDoping,0,K17,Temperature+273.15),n_intr_boltzmann(0,SampleDoping,K17,Temperature+273.15)))</f>
        <v/>
      </c>
      <c r="W17" s="130" t="str">
        <f aca="false">IF(V17="","",IF(T17="","",(V17^2)*T17))</f>
        <v/>
      </c>
      <c r="X17" s="125" t="n">
        <f aca="false">IF(AND(A17&gt;TimeofMaxCD,I17&gt;Traps),IF(AugerModel="Sinton",calcimpliedv(SampleDoping,O17),calcimpliedvrichter(O17,SampleDoping,V17)),"")</f>
        <v>0.776617324694065</v>
      </c>
      <c r="Y17" s="132" t="e">
        <f aca="false">IF(OR(P17="",P17&lt;0,A17&lt;=TimeofMaxCD),"",(O17*Thickness*1.602E-019/(0.038*OptConst*P17)))</f>
        <v>#NAME?</v>
      </c>
      <c r="Z17" s="77" t="str">
        <f aca="false">IF(C17&gt;0.6,O17,"")</f>
        <v/>
      </c>
      <c r="AA17" s="133" t="n">
        <v>65.476242</v>
      </c>
      <c r="AB17" s="133" t="n">
        <v>177.121044690915</v>
      </c>
      <c r="AC17" s="130" t="n">
        <f aca="false">1/AB17</f>
        <v>0.00564585649178533</v>
      </c>
      <c r="AE17" s="130" t="e">
        <f aca="false">H17/(K17*AreaFrac*Thickness*1.602E-019)</f>
        <v>#NAME?</v>
      </c>
    </row>
    <row collapsed="false" customFormat="false" customHeight="false" hidden="false" ht="12.75" outlineLevel="0" r="18">
      <c r="A18" s="123" t="n">
        <v>0.0009499</v>
      </c>
      <c r="B18" s="123" t="n">
        <v>3.22163</v>
      </c>
      <c r="C18" s="124" t="n">
        <v>0.458134</v>
      </c>
      <c r="D18" s="125" t="n">
        <f aca="false">IF(CouplingMode="AC",B18-(A$11-A$10)*SUM(B$9:B18)/0.21,B18)</f>
        <v>3.22163</v>
      </c>
      <c r="E18" s="126" t="n">
        <f aca="false">IF(C18&gt;0,C18/RefCellCal,0.00001)</f>
        <v>43.532378128615</v>
      </c>
      <c r="F18" s="126" t="n">
        <f aca="false">E18-BiasLight</f>
        <v>43.532378128615</v>
      </c>
      <c r="G18" s="127" t="n">
        <f aca="false">F18*0.038*OptConst/1.602E-019</f>
        <v>7.22822258565018E+018</v>
      </c>
      <c r="H18" s="128" t="e">
        <f aca="false">calcconductance(B18,Dark_Voltage,A_cal,B_cal,C_cal)</f>
        <v>#NAME?</v>
      </c>
      <c r="I18" s="127" t="n">
        <f aca="false">IF(MobilityModel=DK,calcdeltan(H18,SampleDoping,Thickness,AreaFrac),calcdeltandl(H18,AreaFrac,Thickness,SampleType,SampleDoping,Temperature))</f>
        <v>28297879556163500</v>
      </c>
      <c r="J18" s="127" t="str">
        <f aca="false">IF(AND(AND(I18&gt;=FitRangeMin,I18&lt;=FitRangeMax),A18&gt;TimeofMaxCD),I18,"")</f>
        <v/>
      </c>
      <c r="K18" s="127" t="n">
        <f aca="false">IF(I18-BiasPtCD=0,0.00001,I18-BiasPtCD)</f>
        <v>28297879556163500</v>
      </c>
      <c r="L18" s="129" t="n">
        <f aca="false">IF(ABS(SLOPE(K16:K20,A16:A20))&lt;1000000000000,-1000000000000,(SLOPE(K16:K20,A16:A20)))</f>
        <v>-1.56312667577223E+019</v>
      </c>
      <c r="M18" s="73" t="str">
        <f aca="false">IF(E18&gt;0.85*BiasLight,IF( E18&lt;1.15*BiasLight,E18,""),"")</f>
        <v/>
      </c>
      <c r="N18" s="73" t="str">
        <f aca="false">IF(E18&gt;0.85*BiasLight,IF(E18&lt;1.15*BiasLight,I18,""),"")</f>
        <v/>
      </c>
      <c r="O18" s="129" t="n">
        <f aca="false">I18-Traps</f>
        <v>28297879556163500</v>
      </c>
      <c r="P18" s="127" t="e">
        <f aca="false">calclifetime(AnalysisMode,K18,Thickness,G18,L18)</f>
        <v>#NAME?</v>
      </c>
      <c r="Q18" s="129" t="str">
        <f aca="false">IF($J18="","",P18)</f>
        <v/>
      </c>
      <c r="R18" s="130" t="str">
        <f aca="false">IF(Q18="","",1/Q18)</f>
        <v/>
      </c>
      <c r="S18" s="131" t="n">
        <f aca="false">IF(AND(E18&gt;0.95*BiasLight,E18&lt;1.05*BiasLight),"",IF(AugerModel="Sinton",calclifetimeauger(Auger_Coefficient,I18,P18),calclifetimerichter(SampleType,I18,SampleDoping,P18)))</f>
        <v>12255.4193107308</v>
      </c>
      <c r="T18" s="78" t="str">
        <f aca="false">IF($J18="","",S18)</f>
        <v/>
      </c>
      <c r="U18" s="131" t="n">
        <f aca="false">FitInterceptAuger+FitSlopeAuger*(I18+Traps)</f>
        <v>-135535.832341484</v>
      </c>
      <c r="V18" s="130" t="str">
        <f aca="false">IF(AugerModel="Sinton","",IF(SampleType="n-type",n_intr_boltzmann(SampleDoping,0,K18,Temperature+273.15),n_intr_boltzmann(0,SampleDoping,K18,Temperature+273.15)))</f>
        <v/>
      </c>
      <c r="W18" s="130" t="str">
        <f aca="false">IF(V18="","",IF(T18="","",(V18^2)*T18))</f>
        <v/>
      </c>
      <c r="X18" s="125" t="n">
        <f aca="false">IF(AND(A18&gt;TimeofMaxCD,I18&gt;Traps),IF(AugerModel="Sinton",calcimpliedv(SampleDoping,O18),calcimpliedvrichter(O18,SampleDoping,V18)),"")</f>
        <v>0.773949930604088</v>
      </c>
      <c r="Y18" s="132" t="e">
        <f aca="false">IF(OR(P18="",P18&lt;0,A18&lt;=TimeofMaxCD),"",(O18*Thickness*1.602E-019/(0.038*OptConst*P18)))</f>
        <v>#NAME?</v>
      </c>
      <c r="Z18" s="77" t="str">
        <f aca="false">IF(C18&gt;0.6,O18,"")</f>
        <v/>
      </c>
      <c r="AA18" s="133" t="n">
        <v>70.4719</v>
      </c>
      <c r="AB18" s="133" t="n">
        <v>163.553349726244</v>
      </c>
      <c r="AC18" s="130" t="n">
        <f aca="false">1/AB18</f>
        <v>0.00611421289550966</v>
      </c>
      <c r="AE18" s="130" t="e">
        <f aca="false">H18/(K18*AreaFrac*Thickness*1.602E-019)</f>
        <v>#NAME?</v>
      </c>
    </row>
    <row collapsed="false" customFormat="false" customHeight="false" hidden="false" ht="12.75" outlineLevel="0" r="19">
      <c r="A19" s="123" t="n">
        <v>0.0010499</v>
      </c>
      <c r="B19" s="123" t="n">
        <v>3.08619</v>
      </c>
      <c r="C19" s="124" t="n">
        <v>0.431353</v>
      </c>
      <c r="D19" s="125" t="n">
        <f aca="false">IF(CouplingMode="AC",B19-(A$11-A$10)*SUM(B$9:B19)/0.21,B19)</f>
        <v>3.08619</v>
      </c>
      <c r="E19" s="126" t="n">
        <f aca="false">IF(C19&gt;0,C19/RefCellCal,0.00001)</f>
        <v>40.9876191308928</v>
      </c>
      <c r="F19" s="126" t="n">
        <f aca="false">E19-BiasLight</f>
        <v>40.9876191308928</v>
      </c>
      <c r="G19" s="127" t="n">
        <f aca="false">F19*0.038*OptConst/1.602E-019</f>
        <v>6.80568457479244E+018</v>
      </c>
      <c r="H19" s="128" t="e">
        <f aca="false">calcconductance(B19,Dark_Voltage,A_cal,B_cal,C_cal)</f>
        <v>#NAME?</v>
      </c>
      <c r="I19" s="127" t="n">
        <f aca="false">IF(MobilityModel=DK,calcdeltan(H19,SampleDoping,Thickness,AreaFrac),calcdeltandl(H19,AreaFrac,Thickness,SampleType,SampleDoping,Temperature))</f>
        <v>26752924575107000</v>
      </c>
      <c r="J19" s="127" t="str">
        <f aca="false">IF(AND(AND(I19&gt;=FitRangeMin,I19&lt;=FitRangeMax),A19&gt;TimeofMaxCD),I19,"")</f>
        <v/>
      </c>
      <c r="K19" s="127" t="n">
        <f aca="false">IF(I19-BiasPtCD=0,0.00001,I19-BiasPtCD)</f>
        <v>26752924575107000</v>
      </c>
      <c r="L19" s="129" t="n">
        <f aca="false">IF(ABS(SLOPE(K17:K21,A17:A21))&lt;1000000000000,-1000000000000,(SLOPE(K17:K21,A17:A21)))</f>
        <v>-1.51626947097361E+019</v>
      </c>
      <c r="M19" s="73" t="str">
        <f aca="false">IF(E19&gt;0.85*BiasLight,IF( E19&lt;1.15*BiasLight,E19,""),"")</f>
        <v/>
      </c>
      <c r="N19" s="73" t="str">
        <f aca="false">IF(E19&gt;0.85*BiasLight,IF(E19&lt;1.15*BiasLight,I19,""),"")</f>
        <v/>
      </c>
      <c r="O19" s="129" t="n">
        <f aca="false">I19-Traps</f>
        <v>26752924575107000</v>
      </c>
      <c r="P19" s="127" t="e">
        <f aca="false">calclifetime(AnalysisMode,K19,Thickness,G19,L19)</f>
        <v>#NAME?</v>
      </c>
      <c r="Q19" s="129" t="str">
        <f aca="false">IF($J19="","",P19)</f>
        <v/>
      </c>
      <c r="R19" s="130" t="str">
        <f aca="false">IF(Q19="","",1/Q19)</f>
        <v/>
      </c>
      <c r="S19" s="131" t="n">
        <f aca="false">IF(AND(E19&gt;0.95*BiasLight,E19&lt;1.05*BiasLight),"",IF(AugerModel="Sinton",calclifetimeauger(Auger_Coefficient,I19,P19),calclifetimerichter(SampleType,I19,SampleDoping,P19)))</f>
        <v>12357.7713135225</v>
      </c>
      <c r="T19" s="78" t="str">
        <f aca="false">IF($J19="","",S19)</f>
        <v/>
      </c>
      <c r="U19" s="131" t="n">
        <f aca="false">FitInterceptAuger+FitSlopeAuger*(I19+Traps)</f>
        <v>-126549.913654131</v>
      </c>
      <c r="V19" s="130" t="str">
        <f aca="false">IF(AugerModel="Sinton","",IF(SampleType="n-type",n_intr_boltzmann(SampleDoping,0,K19,Temperature+273.15),n_intr_boltzmann(0,SampleDoping,K19,Temperature+273.15)))</f>
        <v/>
      </c>
      <c r="W19" s="130" t="str">
        <f aca="false">IF(V19="","",IF(T19="","",(V19^2)*T19))</f>
        <v/>
      </c>
      <c r="X19" s="125" t="n">
        <f aca="false">IF(AND(A19&gt;TimeofMaxCD,I19&gt;Traps),IF(AugerModel="Sinton",calcimpliedv(SampleDoping,O19),calcimpliedvrichter(O19,SampleDoping,V19)),"")</f>
        <v>0.771224615462259</v>
      </c>
      <c r="Y19" s="132" t="e">
        <f aca="false">IF(OR(P19="",P19&lt;0,A19&lt;=TimeofMaxCD),"",(O19*Thickness*1.602E-019/(0.038*OptConst*P19)))</f>
        <v>#NAME?</v>
      </c>
      <c r="Z19" s="77" t="str">
        <f aca="false">IF(C19&gt;0.6,O19,"")</f>
        <v/>
      </c>
      <c r="AA19" s="133" t="n">
        <v>75.441409</v>
      </c>
      <c r="AB19" s="133" t="n">
        <v>148.096356007098</v>
      </c>
      <c r="AC19" s="130" t="n">
        <f aca="false">1/AB19</f>
        <v>0.00675236060468679</v>
      </c>
      <c r="AE19" s="130" t="e">
        <f aca="false">H19/(K19*AreaFrac*Thickness*1.602E-019)</f>
        <v>#NAME?</v>
      </c>
    </row>
    <row collapsed="false" customFormat="false" customHeight="false" hidden="false" ht="12.75" outlineLevel="0" r="20">
      <c r="A20" s="123" t="n">
        <v>0.0011499</v>
      </c>
      <c r="B20" s="123" t="n">
        <v>2.95279</v>
      </c>
      <c r="C20" s="124" t="n">
        <v>0.406259</v>
      </c>
      <c r="D20" s="125" t="n">
        <f aca="false">IF(CouplingMode="AC",B20-(A$11-A$10)*SUM(B$9:B20)/0.21,B20)</f>
        <v>2.95279</v>
      </c>
      <c r="E20" s="126" t="n">
        <f aca="false">IF(C20&gt;0,C20/RefCellCal,0.00001)</f>
        <v>38.6031606607521</v>
      </c>
      <c r="F20" s="126" t="n">
        <f aca="false">E20-BiasLight</f>
        <v>38.6031606607521</v>
      </c>
      <c r="G20" s="127" t="n">
        <f aca="false">F20*0.038*OptConst/1.602E-019</f>
        <v>6.40976325578031E+018</v>
      </c>
      <c r="H20" s="128" t="e">
        <f aca="false">calcconductance(B20,Dark_Voltage,A_cal,B_cal,C_cal)</f>
        <v>#NAME?</v>
      </c>
      <c r="I20" s="127" t="n">
        <f aca="false">IF(MobilityModel=DK,calcdeltan(H20,SampleDoping,Thickness,AreaFrac),calcdeltandl(H20,AreaFrac,Thickness,SampleType,SampleDoping,Temperature))</f>
        <v>25263397175589000</v>
      </c>
      <c r="J20" s="127" t="str">
        <f aca="false">IF(AND(AND(I20&gt;=FitRangeMin,I20&lt;=FitRangeMax),A20&gt;TimeofMaxCD),I20,"")</f>
        <v/>
      </c>
      <c r="K20" s="127" t="n">
        <f aca="false">IF(I20-BiasPtCD=0,0.00001,I20-BiasPtCD)</f>
        <v>25263397175589000</v>
      </c>
      <c r="L20" s="129" t="n">
        <f aca="false">IF(ABS(SLOPE(K18:K22,A18:A22))&lt;1000000000000,-1000000000000,(SLOPE(K18:K22,A18:A22)))</f>
        <v>-1.46084714680849E+019</v>
      </c>
      <c r="M20" s="73" t="str">
        <f aca="false">IF(E20&gt;0.85*BiasLight,IF( E20&lt;1.15*BiasLight,E20,""),"")</f>
        <v/>
      </c>
      <c r="N20" s="73" t="str">
        <f aca="false">IF(E20&gt;0.85*BiasLight,IF(E20&lt;1.15*BiasLight,I20,""),"")</f>
        <v/>
      </c>
      <c r="O20" s="129" t="n">
        <f aca="false">I20-Traps</f>
        <v>25263397175589000</v>
      </c>
      <c r="P20" s="127" t="e">
        <f aca="false">calclifetime(AnalysisMode,K20,Thickness,G20,L20)</f>
        <v>#NAME?</v>
      </c>
      <c r="Q20" s="129" t="str">
        <f aca="false">IF($J20="","",P20)</f>
        <v/>
      </c>
      <c r="R20" s="130" t="str">
        <f aca="false">IF(Q20="","",1/Q20)</f>
        <v/>
      </c>
      <c r="S20" s="131" t="n">
        <f aca="false">IF(AND(E20&gt;0.95*BiasLight,E20&lt;1.05*BiasLight),"",IF(AugerModel="Sinton",calclifetimeauger(Auger_Coefficient,I20,P20),calclifetimerichter(SampleType,I20,SampleDoping,P20)))</f>
        <v>12463.5343063966</v>
      </c>
      <c r="T20" s="78" t="str">
        <f aca="false">IF($J20="","",S20)</f>
        <v/>
      </c>
      <c r="U20" s="131" t="n">
        <f aca="false">FitInterceptAuger+FitSlopeAuger*(I20+Traps)</f>
        <v>-117886.378302764</v>
      </c>
      <c r="V20" s="130" t="str">
        <f aca="false">IF(AugerModel="Sinton","",IF(SampleType="n-type",n_intr_boltzmann(SampleDoping,0,K20,Temperature+273.15),n_intr_boltzmann(0,SampleDoping,K20,Temperature+273.15)))</f>
        <v/>
      </c>
      <c r="W20" s="130" t="str">
        <f aca="false">IF(V20="","",IF(T20="","",(V20^2)*T20))</f>
        <v/>
      </c>
      <c r="X20" s="125" t="n">
        <f aca="false">IF(AND(A20&gt;TimeofMaxCD,I20&gt;Traps),IF(AugerModel="Sinton",calcimpliedv(SampleDoping,O20),calcimpliedvrichter(O20,SampleDoping,V20)),"")</f>
        <v>0.768452146655414</v>
      </c>
      <c r="Y20" s="132" t="e">
        <f aca="false">IF(OR(P20="",P20&lt;0,A20&lt;=TimeofMaxCD),"",(O20*Thickness*1.602E-019/(0.038*OptConst*P20)))</f>
        <v>#NAME?</v>
      </c>
      <c r="Z20" s="77" t="str">
        <f aca="false">IF(C20&gt;0.6,O20,"")</f>
        <v/>
      </c>
      <c r="AA20" s="133" t="n">
        <v>80.43993</v>
      </c>
      <c r="AB20" s="133" t="n">
        <v>134.502464907519</v>
      </c>
      <c r="AC20" s="130" t="n">
        <f aca="false">1/AB20</f>
        <v>0.00743480798428176</v>
      </c>
      <c r="AE20" s="130" t="e">
        <f aca="false">H20/(K20*AreaFrac*Thickness*1.602E-019)</f>
        <v>#NAME?</v>
      </c>
    </row>
    <row collapsed="false" customFormat="false" customHeight="false" hidden="false" ht="12.75" outlineLevel="0" r="21">
      <c r="A21" s="123" t="n">
        <v>0.0012499</v>
      </c>
      <c r="B21" s="123" t="n">
        <v>2.82144</v>
      </c>
      <c r="C21" s="124" t="n">
        <v>0.382572</v>
      </c>
      <c r="D21" s="125" t="n">
        <f aca="false">IF(CouplingMode="AC",B21-(A$11-A$10)*SUM(B$9:B21)/0.21,B21)</f>
        <v>2.82144</v>
      </c>
      <c r="E21" s="126" t="n">
        <f aca="false">IF(C21&gt;0,C21/RefCellCal,0.00001)</f>
        <v>36.3523968214987</v>
      </c>
      <c r="F21" s="126" t="n">
        <f aca="false">E21-BiasLight</f>
        <v>36.3523968214987</v>
      </c>
      <c r="G21" s="127" t="n">
        <f aca="false">F21*0.038*OptConst/1.602E-019</f>
        <v>6.03604092042363E+018</v>
      </c>
      <c r="H21" s="128" t="e">
        <f aca="false">calcconductance(B21,Dark_Voltage,A_cal,B_cal,C_cal)</f>
        <v>#NAME?</v>
      </c>
      <c r="I21" s="127" t="n">
        <f aca="false">IF(MobilityModel=DK,calcdeltan(H21,SampleDoping,Thickness,AreaFrac),calcdeltandl(H21,AreaFrac,Thickness,SampleType,SampleDoping,Temperature))</f>
        <v>23827630108026100</v>
      </c>
      <c r="J21" s="127" t="str">
        <f aca="false">IF(AND(AND(I21&gt;=FitRangeMin,I21&lt;=FitRangeMax),A21&gt;TimeofMaxCD),I21,"")</f>
        <v/>
      </c>
      <c r="K21" s="127" t="n">
        <f aca="false">IF(I21-BiasPtCD=0,0.00001,I21-BiasPtCD)</f>
        <v>23827630108026100</v>
      </c>
      <c r="L21" s="129" t="n">
        <f aca="false">IF(ABS(SLOPE(K19:K23,A19:A23))&lt;1000000000000,-1000000000000,(SLOPE(K19:K23,A19:A23)))</f>
        <v>-1.40010059925311E+019</v>
      </c>
      <c r="M21" s="73" t="str">
        <f aca="false">IF(E21&gt;0.85*BiasLight,IF( E21&lt;1.15*BiasLight,E21,""),"")</f>
        <v/>
      </c>
      <c r="N21" s="73" t="str">
        <f aca="false">IF(E21&gt;0.85*BiasLight,IF(E21&lt;1.15*BiasLight,I21,""),"")</f>
        <v/>
      </c>
      <c r="O21" s="129" t="n">
        <f aca="false">I21-Traps</f>
        <v>23827630108026100</v>
      </c>
      <c r="P21" s="127" t="e">
        <f aca="false">calclifetime(AnalysisMode,K21,Thickness,G21,L21)</f>
        <v>#NAME?</v>
      </c>
      <c r="Q21" s="129" t="str">
        <f aca="false">IF($J21="","",P21)</f>
        <v/>
      </c>
      <c r="R21" s="130" t="str">
        <f aca="false">IF(Q21="","",1/Q21)</f>
        <v/>
      </c>
      <c r="S21" s="131" t="n">
        <f aca="false">IF(AND(E21&gt;0.95*BiasLight,E21&lt;1.05*BiasLight),"",IF(AugerModel="Sinton",calclifetimeauger(Auger_Coefficient,I21,P21),calclifetimerichter(SampleType,I21,SampleDoping,P21)))</f>
        <v>12569.6652612926</v>
      </c>
      <c r="T21" s="78" t="str">
        <f aca="false">IF($J21="","",S21)</f>
        <v/>
      </c>
      <c r="U21" s="131" t="n">
        <f aca="false">FitInterceptAuger+FitSlopeAuger*(I21+Traps)</f>
        <v>-109535.529066835</v>
      </c>
      <c r="V21" s="130" t="str">
        <f aca="false">IF(AugerModel="Sinton","",IF(SampleType="n-type",n_intr_boltzmann(SampleDoping,0,K21,Temperature+273.15),n_intr_boltzmann(0,SampleDoping,K21,Temperature+273.15)))</f>
        <v/>
      </c>
      <c r="W21" s="130" t="str">
        <f aca="false">IF(V21="","",IF(T21="","",(V21^2)*T21))</f>
        <v/>
      </c>
      <c r="X21" s="125" t="n">
        <f aca="false">IF(AND(A21&gt;TimeofMaxCD,I21&gt;Traps),IF(AugerModel="Sinton",calcimpliedv(SampleDoping,O21),calcimpliedvrichter(O21,SampleDoping,V21)),"")</f>
        <v>0.765629598328279</v>
      </c>
      <c r="Y21" s="132" t="e">
        <f aca="false">IF(OR(P21="",P21&lt;0,A21&lt;=TimeofMaxCD),"",(O21*Thickness*1.602E-019/(0.038*OptConst*P21)))</f>
        <v>#NAME?</v>
      </c>
      <c r="Z21" s="77" t="str">
        <f aca="false">IF(C21&gt;0.6,O21,"")</f>
        <v/>
      </c>
      <c r="AA21" s="133" t="n">
        <v>85.464177</v>
      </c>
      <c r="AB21" s="133" t="n">
        <v>123.361742901065</v>
      </c>
      <c r="AC21" s="130" t="n">
        <f aca="false">1/AB21</f>
        <v>0.00810624085298464</v>
      </c>
      <c r="AE21" s="130" t="e">
        <f aca="false">H21/(K21*AreaFrac*Thickness*1.602E-019)</f>
        <v>#NAME?</v>
      </c>
    </row>
    <row collapsed="false" customFormat="false" customHeight="false" hidden="false" ht="12.75" outlineLevel="0" r="22">
      <c r="A22" s="123" t="n">
        <v>0.0013499</v>
      </c>
      <c r="B22" s="123" t="n">
        <v>2.69331</v>
      </c>
      <c r="C22" s="124" t="n">
        <v>0.360458</v>
      </c>
      <c r="D22" s="125" t="n">
        <f aca="false">IF(CouplingMode="AC",B22-(A$11-A$10)*SUM(B$9:B22)/0.21,B22)</f>
        <v>2.69331</v>
      </c>
      <c r="E22" s="126" t="n">
        <f aca="false">IF(C22&gt;0,C22/RefCellCal,0.00001)</f>
        <v>34.2511011090299</v>
      </c>
      <c r="F22" s="126" t="n">
        <f aca="false">E22-BiasLight</f>
        <v>34.2511011090299</v>
      </c>
      <c r="G22" s="127" t="n">
        <f aca="false">F22*0.038*OptConst/1.602E-019</f>
        <v>5.687136638578E+018</v>
      </c>
      <c r="H22" s="128" t="e">
        <f aca="false">calcconductance(B22,Dark_Voltage,A_cal,B_cal,C_cal)</f>
        <v>#NAME?</v>
      </c>
      <c r="I22" s="127" t="n">
        <f aca="false">IF(MobilityModel=DK,calcdeltan(H22,SampleDoping,Thickness,AreaFrac),calcdeltandl(H22,AreaFrac,Thickness,SampleType,SampleDoping,Temperature))</f>
        <v>22456291055661500</v>
      </c>
      <c r="J22" s="127" t="str">
        <f aca="false">IF(AND(AND(I22&gt;=FitRangeMin,I22&lt;=FitRangeMax),A22&gt;TimeofMaxCD),I22,"")</f>
        <v/>
      </c>
      <c r="K22" s="127" t="n">
        <f aca="false">IF(I22-BiasPtCD=0,0.00001,I22-BiasPtCD)</f>
        <v>22456291055661500</v>
      </c>
      <c r="L22" s="129" t="n">
        <f aca="false">IF(ABS(SLOPE(K20:K24,A20:A24))&lt;1000000000000,-1000000000000,(SLOPE(K20:K24,A20:A24)))</f>
        <v>-1.33809304048923E+019</v>
      </c>
      <c r="M22" s="73" t="str">
        <f aca="false">IF(E22&gt;0.85*BiasLight,IF( E22&lt;1.15*BiasLight,E22,""),"")</f>
        <v/>
      </c>
      <c r="N22" s="73" t="str">
        <f aca="false">IF(E22&gt;0.85*BiasLight,IF(E22&lt;1.15*BiasLight,I22,""),"")</f>
        <v/>
      </c>
      <c r="O22" s="129" t="n">
        <f aca="false">I22-Traps</f>
        <v>22456291055661500</v>
      </c>
      <c r="P22" s="127" t="e">
        <f aca="false">calclifetime(AnalysisMode,K22,Thickness,G22,L22)</f>
        <v>#NAME?</v>
      </c>
      <c r="Q22" s="129" t="str">
        <f aca="false">IF($J22="","",P22)</f>
        <v/>
      </c>
      <c r="R22" s="130" t="str">
        <f aca="false">IF(Q22="","",1/Q22)</f>
        <v/>
      </c>
      <c r="S22" s="131" t="n">
        <f aca="false">IF(AND(E22&gt;0.95*BiasLight,E22&lt;1.05*BiasLight),"",IF(AugerModel="Sinton",calclifetimeauger(Auger_Coefficient,I22,P22),calclifetimerichter(SampleType,I22,SampleDoping,P22)))</f>
        <v>12679.8546813527</v>
      </c>
      <c r="T22" s="78" t="str">
        <f aca="false">IF($J22="","",S22)</f>
        <v/>
      </c>
      <c r="U22" s="131" t="n">
        <f aca="false">FitInterceptAuger+FitSlopeAuger*(I22+Traps)</f>
        <v>-101559.412371891</v>
      </c>
      <c r="V22" s="130" t="str">
        <f aca="false">IF(AugerModel="Sinton","",IF(SampleType="n-type",n_intr_boltzmann(SampleDoping,0,K22,Temperature+273.15),n_intr_boltzmann(0,SampleDoping,K22,Temperature+273.15)))</f>
        <v/>
      </c>
      <c r="W22" s="130" t="str">
        <f aca="false">IF(V22="","",IF(T22="","",(V22^2)*T22))</f>
        <v/>
      </c>
      <c r="X22" s="125" t="n">
        <f aca="false">IF(AND(A22&gt;TimeofMaxCD,I22&gt;Traps),IF(AugerModel="Sinton",calcimpliedv(SampleDoping,O22),calcimpliedvrichter(O22,SampleDoping,V22)),"")</f>
        <v>0.762780019729167</v>
      </c>
      <c r="Y22" s="132" t="e">
        <f aca="false">IF(OR(P22="",P22&lt;0,A22&lt;=TimeofMaxCD),"",(O22*Thickness*1.602E-019/(0.038*OptConst*P22)))</f>
        <v>#NAME?</v>
      </c>
      <c r="Z22" s="77" t="str">
        <f aca="false">IF(C22&gt;0.6,O22,"")</f>
        <v/>
      </c>
      <c r="AA22" s="133" t="n">
        <v>90.457423</v>
      </c>
      <c r="AB22" s="133" t="n">
        <v>114.310835435704</v>
      </c>
      <c r="AC22" s="130" t="n">
        <f aca="false">1/AB22</f>
        <v>0.0087480770846301</v>
      </c>
      <c r="AE22" s="130" t="e">
        <f aca="false">H22/(K22*AreaFrac*Thickness*1.602E-019)</f>
        <v>#NAME?</v>
      </c>
    </row>
    <row collapsed="false" customFormat="false" customHeight="false" hidden="false" ht="12.75" outlineLevel="0" r="23">
      <c r="A23" s="123" t="n">
        <v>0.0014499</v>
      </c>
      <c r="B23" s="123" t="n">
        <v>2.56927</v>
      </c>
      <c r="C23" s="124" t="n">
        <v>0.339678</v>
      </c>
      <c r="D23" s="125" t="n">
        <f aca="false">IF(CouplingMode="AC",B23-(A$11-A$10)*SUM(B$9:B23)/0.21,B23)</f>
        <v>2.56927</v>
      </c>
      <c r="E23" s="126" t="n">
        <f aca="false">IF(C23&gt;0,C23/RefCellCal,0.00001)</f>
        <v>32.2765634900961</v>
      </c>
      <c r="F23" s="126" t="n">
        <f aca="false">E23-BiasLight</f>
        <v>32.2765634900961</v>
      </c>
      <c r="G23" s="127" t="n">
        <f aca="false">F23*0.038*OptConst/1.602E-019</f>
        <v>5.35927958075253E+018</v>
      </c>
      <c r="H23" s="128" t="e">
        <f aca="false">calcconductance(B23,Dark_Voltage,A_cal,B_cal,C_cal)</f>
        <v>#NAME?</v>
      </c>
      <c r="I23" s="127" t="n">
        <f aca="false">IF(MobilityModel=DK,calcdeltan(H23,SampleDoping,Thickness,AreaFrac),calcdeltandl(H23,AreaFrac,Thickness,SampleType,SampleDoping,Temperature))</f>
        <v>21155974638805200</v>
      </c>
      <c r="J23" s="127" t="str">
        <f aca="false">IF(AND(AND(I23&gt;=FitRangeMin,I23&lt;=FitRangeMax),A23&gt;TimeofMaxCD),I23,"")</f>
        <v/>
      </c>
      <c r="K23" s="127" t="n">
        <f aca="false">IF(I23-BiasPtCD=0,0.00001,I23-BiasPtCD)</f>
        <v>21155974638805200</v>
      </c>
      <c r="L23" s="129" t="n">
        <f aca="false">IF(ABS(SLOPE(K21:K25,A21:A25))&lt;1000000000000,-1000000000000,(SLOPE(K21:K25,A21:A25)))</f>
        <v>-1.27462961480275E+019</v>
      </c>
      <c r="M23" s="73" t="str">
        <f aca="false">IF(E23&gt;0.85*BiasLight,IF( E23&lt;1.15*BiasLight,E23,""),"")</f>
        <v/>
      </c>
      <c r="N23" s="73" t="str">
        <f aca="false">IF(E23&gt;0.85*BiasLight,IF(E23&lt;1.15*BiasLight,I23,""),"")</f>
        <v/>
      </c>
      <c r="O23" s="129" t="n">
        <f aca="false">I23-Traps</f>
        <v>21155974638805200</v>
      </c>
      <c r="P23" s="127" t="e">
        <f aca="false">calclifetime(AnalysisMode,K23,Thickness,G23,L23)</f>
        <v>#NAME?</v>
      </c>
      <c r="Q23" s="129" t="str">
        <f aca="false">IF($J23="","",P23)</f>
        <v/>
      </c>
      <c r="R23" s="130" t="str">
        <f aca="false">IF(Q23="","",1/Q23)</f>
        <v/>
      </c>
      <c r="S23" s="131" t="n">
        <f aca="false">IF(AND(E23&gt;0.95*BiasLight,E23&lt;1.05*BiasLight),"",IF(AugerModel="Sinton",calclifetimeauger(Auger_Coefficient,I23,P23),calclifetimerichter(SampleType,I23,SampleDoping,P23)))</f>
        <v>12784.122382635</v>
      </c>
      <c r="T23" s="78" t="str">
        <f aca="false">IF($J23="","",S23)</f>
        <v/>
      </c>
      <c r="U23" s="131" t="n">
        <f aca="false">FitInterceptAuger+FitSlopeAuger*(I23+Traps)</f>
        <v>-93996.3844953695</v>
      </c>
      <c r="V23" s="130" t="str">
        <f aca="false">IF(AugerModel="Sinton","",IF(SampleType="n-type",n_intr_boltzmann(SampleDoping,0,K23,Temperature+273.15),n_intr_boltzmann(0,SampleDoping,K23,Temperature+273.15)))</f>
        <v/>
      </c>
      <c r="W23" s="130" t="str">
        <f aca="false">IF(V23="","",IF(T23="","",(V23^2)*T23))</f>
        <v/>
      </c>
      <c r="X23" s="125" t="n">
        <f aca="false">IF(AND(A23&gt;TimeofMaxCD,I23&gt;Traps),IF(AugerModel="Sinton",calcimpliedv(SampleDoping,O23),calcimpliedvrichter(O23,SampleDoping,V23)),"")</f>
        <v>0.75992293448829</v>
      </c>
      <c r="Y23" s="132" t="e">
        <f aca="false">IF(OR(P23="",P23&lt;0,A23&lt;=TimeofMaxCD),"",(O23*Thickness*1.602E-019/(0.038*OptConst*P23)))</f>
        <v>#NAME?</v>
      </c>
      <c r="Z23" s="77" t="str">
        <f aca="false">IF(C23&gt;0.6,O23,"")</f>
        <v/>
      </c>
      <c r="AA23" s="133" t="n">
        <v>95.445974</v>
      </c>
      <c r="AB23" s="133" t="n">
        <v>106.562393007749</v>
      </c>
      <c r="AC23" s="130" t="n">
        <f aca="false">1/AB23</f>
        <v>0.00938417364489258</v>
      </c>
      <c r="AE23" s="130" t="e">
        <f aca="false">H23/(K23*AreaFrac*Thickness*1.602E-019)</f>
        <v>#NAME?</v>
      </c>
    </row>
    <row collapsed="false" customFormat="false" customHeight="false" hidden="false" ht="12.75" outlineLevel="0" r="24">
      <c r="A24" s="123" t="n">
        <v>0.0015499</v>
      </c>
      <c r="B24" s="123" t="n">
        <v>2.44784</v>
      </c>
      <c r="C24" s="124" t="n">
        <v>0.320235</v>
      </c>
      <c r="D24" s="125" t="n">
        <f aca="false">IF(CouplingMode="AC",B24-(A$11-A$10)*SUM(B$9:B24)/0.21,B24)</f>
        <v>2.44784</v>
      </c>
      <c r="E24" s="126" t="n">
        <f aca="false">IF(C24&gt;0,C24/RefCellCal,0.00001)</f>
        <v>30.4290690278762</v>
      </c>
      <c r="F24" s="126" t="n">
        <f aca="false">E24-BiasLight</f>
        <v>30.4290690278762</v>
      </c>
      <c r="G24" s="127" t="n">
        <f aca="false">F24*0.038*OptConst/1.602E-019</f>
        <v>5.05251707953499E+018</v>
      </c>
      <c r="H24" s="128" t="e">
        <f aca="false">calcconductance(B24,Dark_Voltage,A_cal,B_cal,C_cal)</f>
        <v>#NAME?</v>
      </c>
      <c r="I24" s="127" t="n">
        <f aca="false">IF(MobilityModel=DK,calcdeltan(H24,SampleDoping,Thickness,AreaFrac),calcdeltandl(H24,AreaFrac,Thickness,SampleType,SampleDoping,Temperature))</f>
        <v>19908759707753300</v>
      </c>
      <c r="J24" s="127" t="str">
        <f aca="false">IF(AND(AND(I24&gt;=FitRangeMin,I24&lt;=FitRangeMax),A24&gt;TimeofMaxCD),I24,"")</f>
        <v/>
      </c>
      <c r="K24" s="127" t="n">
        <f aca="false">IF(I24-BiasPtCD=0,0.00001,I24-BiasPtCD)</f>
        <v>19908759707753300</v>
      </c>
      <c r="L24" s="129" t="n">
        <f aca="false">IF(ABS(SLOPE(K22:K26,A22:A26))&lt;1000000000000,-1000000000000,(SLOPE(K22:K26,A22:A26)))</f>
        <v>-1.21289090921135E+019</v>
      </c>
      <c r="M24" s="73" t="str">
        <f aca="false">IF(E24&gt;0.85*BiasLight,IF( E24&lt;1.15*BiasLight,E24,""),"")</f>
        <v/>
      </c>
      <c r="N24" s="73" t="str">
        <f aca="false">IF(E24&gt;0.85*BiasLight,IF(E24&lt;1.15*BiasLight,I24,""),"")</f>
        <v/>
      </c>
      <c r="O24" s="129" t="n">
        <f aca="false">I24-Traps</f>
        <v>19908759707753300</v>
      </c>
      <c r="P24" s="127" t="e">
        <f aca="false">calclifetime(AnalysisMode,K24,Thickness,G24,L24)</f>
        <v>#NAME?</v>
      </c>
      <c r="Q24" s="129" t="str">
        <f aca="false">IF($J24="","",P24)</f>
        <v/>
      </c>
      <c r="R24" s="130" t="str">
        <f aca="false">IF(Q24="","",1/Q24)</f>
        <v/>
      </c>
      <c r="S24" s="131" t="n">
        <f aca="false">IF(AND(E24&gt;0.95*BiasLight,E24&lt;1.05*BiasLight),"",IF(AugerModel="Sinton",calclifetimeauger(Auger_Coefficient,I24,P24),calclifetimerichter(SampleType,I24,SampleDoping,P24)))</f>
        <v>12899.4130867774</v>
      </c>
      <c r="T24" s="78" t="str">
        <f aca="false">IF($J24="","",S24)</f>
        <v/>
      </c>
      <c r="U24" s="131" t="n">
        <f aca="false">FitInterceptAuger+FitSlopeAuger*(I24+Traps)</f>
        <v>-86742.2106886857</v>
      </c>
      <c r="V24" s="130" t="str">
        <f aca="false">IF(AugerModel="Sinton","",IF(SampleType="n-type",n_intr_boltzmann(SampleDoping,0,K24,Temperature+273.15),n_intr_boltzmann(0,SampleDoping,K24,Temperature+273.15)))</f>
        <v/>
      </c>
      <c r="W24" s="130" t="str">
        <f aca="false">IF(V24="","",IF(T24="","",(V24^2)*T24))</f>
        <v/>
      </c>
      <c r="X24" s="125" t="n">
        <f aca="false">IF(AND(A24&gt;TimeofMaxCD,I24&gt;Traps),IF(AugerModel="Sinton",calcimpliedv(SampleDoping,O24),calcimpliedvrichter(O24,SampleDoping,V24)),"")</f>
        <v>0.757023739279914</v>
      </c>
      <c r="Y24" s="132" t="e">
        <f aca="false">IF(OR(P24="",P24&lt;0,A24&lt;=TimeofMaxCD),"",(O24*Thickness*1.602E-019/(0.038*OptConst*P24)))</f>
        <v>#NAME?</v>
      </c>
      <c r="Z24" s="77" t="str">
        <f aca="false">IF(C24&gt;0.6,O24,"")</f>
        <v/>
      </c>
      <c r="AA24" s="133" t="n">
        <v>100.439252</v>
      </c>
      <c r="AB24" s="133" t="n">
        <v>99.5574264741079</v>
      </c>
      <c r="AC24" s="130" t="n">
        <f aca="false">1/AB24</f>
        <v>0.0100444540946433</v>
      </c>
      <c r="AE24" s="130" t="e">
        <f aca="false">H24/(K24*AreaFrac*Thickness*1.602E-019)</f>
        <v>#NAME?</v>
      </c>
    </row>
    <row collapsed="false" customFormat="false" customHeight="false" hidden="false" ht="12.75" outlineLevel="0" r="25">
      <c r="A25" s="123" t="n">
        <v>0.0016499</v>
      </c>
      <c r="B25" s="123" t="n">
        <v>2.33057</v>
      </c>
      <c r="C25" s="124" t="n">
        <v>0.301985</v>
      </c>
      <c r="D25" s="125" t="n">
        <f aca="false">IF(CouplingMode="AC",B25-(A$11-A$10)*SUM(B$9:B25)/0.21,B25)</f>
        <v>2.33057</v>
      </c>
      <c r="E25" s="126" t="n">
        <f aca="false">IF(C25&gt;0,C25/RefCellCal,0.00001)</f>
        <v>28.6949346897846</v>
      </c>
      <c r="F25" s="126" t="n">
        <f aca="false">E25-BiasLight</f>
        <v>28.6949346897846</v>
      </c>
      <c r="G25" s="127" t="n">
        <f aca="false">F25*0.038*OptConst/1.602E-019</f>
        <v>4.7645771707133E+018</v>
      </c>
      <c r="H25" s="128" t="e">
        <f aca="false">calcconductance(B25,Dark_Voltage,A_cal,B_cal,C_cal)</f>
        <v>#NAME?</v>
      </c>
      <c r="I25" s="127" t="n">
        <f aca="false">IF(MobilityModel=DK,calcdeltan(H25,SampleDoping,Thickness,AreaFrac),calcdeltandl(H25,AreaFrac,Thickness,SampleType,SampleDoping,Temperature))</f>
        <v>18728247707966400</v>
      </c>
      <c r="J25" s="127" t="str">
        <f aca="false">IF(AND(AND(I25&gt;=FitRangeMin,I25&lt;=FitRangeMax),A25&gt;TimeofMaxCD),I25,"")</f>
        <v/>
      </c>
      <c r="K25" s="127" t="n">
        <f aca="false">IF(I25-BiasPtCD=0,0.00001,I25-BiasPtCD)</f>
        <v>18728247707966400</v>
      </c>
      <c r="L25" s="129" t="n">
        <f aca="false">IF(ABS(SLOPE(K23:K27,A23:A27))&lt;1000000000000,-1000000000000,(SLOPE(K23:K27,A23:A27)))</f>
        <v>-1.15350729913448E+019</v>
      </c>
      <c r="M25" s="73" t="str">
        <f aca="false">IF(E25&gt;0.85*BiasLight,IF( E25&lt;1.15*BiasLight,E25,""),"")</f>
        <v/>
      </c>
      <c r="N25" s="73" t="str">
        <f aca="false">IF(E25&gt;0.85*BiasLight,IF(E25&lt;1.15*BiasLight,I25,""),"")</f>
        <v/>
      </c>
      <c r="O25" s="129" t="n">
        <f aca="false">I25-Traps</f>
        <v>18728247707966400</v>
      </c>
      <c r="P25" s="127" t="e">
        <f aca="false">calclifetime(AnalysisMode,K25,Thickness,G25,L25)</f>
        <v>#NAME?</v>
      </c>
      <c r="Q25" s="129" t="str">
        <f aca="false">IF($J25="","",P25)</f>
        <v/>
      </c>
      <c r="R25" s="130" t="str">
        <f aca="false">IF(Q25="","",1/Q25)</f>
        <v/>
      </c>
      <c r="S25" s="131" t="n">
        <f aca="false">IF(AND(E25&gt;0.95*BiasLight,E25&lt;1.05*BiasLight),"",IF(AugerModel="Sinton",calclifetimeauger(Auger_Coefficient,I25,P25),calclifetimerichter(SampleType,I25,SampleDoping,P25)))</f>
        <v>13013.5720807955</v>
      </c>
      <c r="T25" s="78" t="str">
        <f aca="false">IF($J25="","",S25)</f>
        <v/>
      </c>
      <c r="U25" s="131" t="n">
        <f aca="false">FitInterceptAuger+FitSlopeAuger*(I25+Traps)</f>
        <v>-79876.0010129346</v>
      </c>
      <c r="V25" s="130" t="str">
        <f aca="false">IF(AugerModel="Sinton","",IF(SampleType="n-type",n_intr_boltzmann(SampleDoping,0,K25,Temperature+273.15),n_intr_boltzmann(0,SampleDoping,K25,Temperature+273.15)))</f>
        <v/>
      </c>
      <c r="W25" s="130" t="str">
        <f aca="false">IF(V25="","",IF(T25="","",(V25^2)*T25))</f>
        <v/>
      </c>
      <c r="X25" s="125" t="n">
        <f aca="false">IF(AND(A25&gt;TimeofMaxCD,I25&gt;Traps),IF(AugerModel="Sinton",calcimpliedv(SampleDoping,O25),calcimpliedvrichter(O25,SampleDoping,V25)),"")</f>
        <v>0.754119126692214</v>
      </c>
      <c r="Y25" s="132" t="e">
        <f aca="false">IF(OR(P25="",P25&lt;0,A25&lt;=TimeofMaxCD),"",(O25*Thickness*1.602E-019/(0.038*OptConst*P25)))</f>
        <v>#NAME?</v>
      </c>
      <c r="Z25" s="77" t="str">
        <f aca="false">IF(C25&gt;0.6,O25,"")</f>
        <v/>
      </c>
      <c r="AA25" s="133" t="n">
        <v>105.532697</v>
      </c>
      <c r="AB25" s="133" t="n">
        <v>93.9240231418412</v>
      </c>
      <c r="AC25" s="130" t="n">
        <f aca="false">1/AB25</f>
        <v>0.0106469033858338</v>
      </c>
      <c r="AE25" s="130" t="e">
        <f aca="false">H25/(K25*AreaFrac*Thickness*1.602E-019)</f>
        <v>#NAME?</v>
      </c>
    </row>
    <row collapsed="false" customFormat="false" customHeight="false" hidden="false" ht="12.75" outlineLevel="0" r="26">
      <c r="A26" s="123" t="n">
        <v>0.0017499</v>
      </c>
      <c r="B26" s="123" t="n">
        <v>2.21684</v>
      </c>
      <c r="C26" s="124" t="n">
        <v>0.284804</v>
      </c>
      <c r="D26" s="125" t="n">
        <f aca="false">IF(CouplingMode="AC",B26-(A$11-A$10)*SUM(B$9:B26)/0.21,B26)</f>
        <v>2.21684</v>
      </c>
      <c r="E26" s="126" t="n">
        <f aca="false">IF(C26&gt;0,C26/RefCellCal,0.00001)</f>
        <v>27.0623778644284</v>
      </c>
      <c r="F26" s="126" t="n">
        <f aca="false">E26-BiasLight</f>
        <v>27.0623778644284</v>
      </c>
      <c r="G26" s="127" t="n">
        <f aca="false">F26*0.038*OptConst/1.602E-019</f>
        <v>4.4935034406604E+018</v>
      </c>
      <c r="H26" s="128" t="e">
        <f aca="false">calcconductance(B26,Dark_Voltage,A_cal,B_cal,C_cal)</f>
        <v>#NAME?</v>
      </c>
      <c r="I26" s="127" t="n">
        <f aca="false">IF(MobilityModel=DK,calcdeltan(H26,SampleDoping,Thickness,AreaFrac),calcdeltandl(H26,AreaFrac,Thickness,SampleType,SampleDoping,Temperature))</f>
        <v>17605699975024100</v>
      </c>
      <c r="J26" s="127" t="str">
        <f aca="false">IF(AND(AND(I26&gt;=FitRangeMin,I26&lt;=FitRangeMax),A26&gt;TimeofMaxCD),I26,"")</f>
        <v/>
      </c>
      <c r="K26" s="127" t="n">
        <f aca="false">IF(I26-BiasPtCD=0,0.00001,I26-BiasPtCD)</f>
        <v>17605699975024100</v>
      </c>
      <c r="L26" s="129" t="n">
        <f aca="false">IF(ABS(SLOPE(K24:K28,A24:A28))&lt;1000000000000,-1000000000000,(SLOPE(K24:K28,A24:A28)))</f>
        <v>-1.09355985213797E+019</v>
      </c>
      <c r="M26" s="73" t="str">
        <f aca="false">IF(E26&gt;0.85*BiasLight,IF( E26&lt;1.15*BiasLight,E26,""),"")</f>
        <v/>
      </c>
      <c r="N26" s="73" t="str">
        <f aca="false">IF(E26&gt;0.85*BiasLight,IF(E26&lt;1.15*BiasLight,I26,""),"")</f>
        <v/>
      </c>
      <c r="O26" s="129" t="n">
        <f aca="false">I26-Traps</f>
        <v>17605699975024100</v>
      </c>
      <c r="P26" s="127" t="e">
        <f aca="false">calclifetime(AnalysisMode,K26,Thickness,G26,L26)</f>
        <v>#NAME?</v>
      </c>
      <c r="Q26" s="129" t="str">
        <f aca="false">IF($J26="","",P26)</f>
        <v/>
      </c>
      <c r="R26" s="130" t="str">
        <f aca="false">IF(Q26="","",1/Q26)</f>
        <v/>
      </c>
      <c r="S26" s="131" t="n">
        <f aca="false">IF(AND(E26&gt;0.95*BiasLight,E26&lt;1.05*BiasLight),"",IF(AugerModel="Sinton",calclifetimeauger(Auger_Coefficient,I26,P26),calclifetimerichter(SampleType,I26,SampleDoping,P26)))</f>
        <v>13128.5455652436</v>
      </c>
      <c r="T26" s="78" t="str">
        <f aca="false">IF($J26="","",S26)</f>
        <v/>
      </c>
      <c r="U26" s="131" t="n">
        <f aca="false">FitInterceptAuger+FitSlopeAuger*(I26+Traps)</f>
        <v>-73346.9287910407</v>
      </c>
      <c r="V26" s="130" t="str">
        <f aca="false">IF(AugerModel="Sinton","",IF(SampleType="n-type",n_intr_boltzmann(SampleDoping,0,K26,Temperature+273.15),n_intr_boltzmann(0,SampleDoping,K26,Temperature+273.15)))</f>
        <v/>
      </c>
      <c r="W26" s="130" t="str">
        <f aca="false">IF(V26="","",IF(T26="","",(V26^2)*T26))</f>
        <v/>
      </c>
      <c r="X26" s="125" t="n">
        <f aca="false">IF(AND(A26&gt;TimeofMaxCD,I26&gt;Traps),IF(AugerModel="Sinton",calcimpliedv(SampleDoping,O26),calcimpliedvrichter(O26,SampleDoping,V26)),"")</f>
        <v>0.751194779118685</v>
      </c>
      <c r="Y26" s="132" t="e">
        <f aca="false">IF(OR(P26="",P26&lt;0,A26&lt;=TimeofMaxCD),"",(O26*Thickness*1.602E-019/(0.038*OptConst*P26)))</f>
        <v>#NAME?</v>
      </c>
      <c r="Z26" s="77" t="str">
        <f aca="false">IF(C26&gt;0.6,O26,"")</f>
        <v/>
      </c>
      <c r="AA26" s="133" t="n">
        <v>110.378572</v>
      </c>
      <c r="AB26" s="133" t="n">
        <v>89.1461948993355</v>
      </c>
      <c r="AC26" s="130" t="n">
        <f aca="false">1/AB26</f>
        <v>0.0112175287024781</v>
      </c>
      <c r="AE26" s="130" t="e">
        <f aca="false">H26/(K26*AreaFrac*Thickness*1.602E-019)</f>
        <v>#NAME?</v>
      </c>
    </row>
    <row collapsed="false" customFormat="false" customHeight="false" hidden="false" ht="12.75" outlineLevel="0" r="27">
      <c r="A27" s="123" t="n">
        <v>0.0018499</v>
      </c>
      <c r="B27" s="123" t="n">
        <v>2.10676</v>
      </c>
      <c r="C27" s="124" t="n">
        <v>0.268641</v>
      </c>
      <c r="D27" s="125" t="n">
        <f aca="false">IF(CouplingMode="AC",B27-(A$11-A$10)*SUM(B$9:B27)/0.21,B27)</f>
        <v>2.10676</v>
      </c>
      <c r="E27" s="126" t="n">
        <f aca="false">IF(C27&gt;0,C27/RefCellCal,0.00001)</f>
        <v>25.5265524777669</v>
      </c>
      <c r="F27" s="126" t="n">
        <f aca="false">E27-BiasLight</f>
        <v>25.5265524777669</v>
      </c>
      <c r="G27" s="127" t="n">
        <f aca="false">F27*0.038*OptConst/1.602E-019</f>
        <v>4.23849123538451E+018</v>
      </c>
      <c r="H27" s="128" t="e">
        <f aca="false">calcconductance(B27,Dark_Voltage,A_cal,B_cal,C_cal)</f>
        <v>#NAME?</v>
      </c>
      <c r="I27" s="127" t="n">
        <f aca="false">IF(MobilityModel=DK,calcdeltan(H27,SampleDoping,Thickness,AreaFrac),calcdeltandl(H27,AreaFrac,Thickness,SampleType,SampleDoping,Temperature))</f>
        <v>16539968009497500</v>
      </c>
      <c r="J27" s="127" t="str">
        <f aca="false">IF(AND(AND(I27&gt;=FitRangeMin,I27&lt;=FitRangeMax),A27&gt;TimeofMaxCD),I27,"")</f>
        <v/>
      </c>
      <c r="K27" s="127" t="n">
        <f aca="false">IF(I27-BiasPtCD=0,0.00001,I27-BiasPtCD)</f>
        <v>16539968009497500</v>
      </c>
      <c r="L27" s="129" t="n">
        <f aca="false">IF(ABS(SLOPE(K25:K29,A25:A29))&lt;1000000000000,-1000000000000,(SLOPE(K25:K29,A25:A29)))</f>
        <v>-1.0360607370624E+019</v>
      </c>
      <c r="M27" s="73" t="str">
        <f aca="false">IF(E27&gt;0.85*BiasLight,IF( E27&lt;1.15*BiasLight,E27,""),"")</f>
        <v/>
      </c>
      <c r="N27" s="73" t="str">
        <f aca="false">IF(E27&gt;0.85*BiasLight,IF(E27&lt;1.15*BiasLight,I27,""),"")</f>
        <v/>
      </c>
      <c r="O27" s="129" t="n">
        <f aca="false">I27-Traps</f>
        <v>16539968009497500</v>
      </c>
      <c r="P27" s="127" t="e">
        <f aca="false">calclifetime(AnalysisMode,K27,Thickness,G27,L27)</f>
        <v>#NAME?</v>
      </c>
      <c r="Q27" s="129" t="str">
        <f aca="false">IF($J27="","",P27)</f>
        <v/>
      </c>
      <c r="R27" s="130" t="str">
        <f aca="false">IF(Q27="","",1/Q27)</f>
        <v/>
      </c>
      <c r="S27" s="131" t="n">
        <f aca="false">IF(AND(E27&gt;0.95*BiasLight,E27&lt;1.05*BiasLight),"",IF(AugerModel="Sinton",calclifetimeauger(Auger_Coefficient,I27,P27),calclifetimerichter(SampleType,I27,SampleDoping,P27)))</f>
        <v>13246.6345990308</v>
      </c>
      <c r="T27" s="78" t="str">
        <f aca="false">IF($J27="","",S27)</f>
        <v/>
      </c>
      <c r="U27" s="131" t="n">
        <f aca="false">FitInterceptAuger+FitSlopeAuger*(I27+Traps)</f>
        <v>-67148.3140079825</v>
      </c>
      <c r="V27" s="130" t="str">
        <f aca="false">IF(AugerModel="Sinton","",IF(SampleType="n-type",n_intr_boltzmann(SampleDoping,0,K27,Temperature+273.15),n_intr_boltzmann(0,SampleDoping,K27,Temperature+273.15)))</f>
        <v/>
      </c>
      <c r="W27" s="130" t="str">
        <f aca="false">IF(V27="","",IF(T27="","",(V27^2)*T27))</f>
        <v/>
      </c>
      <c r="X27" s="125" t="n">
        <f aca="false">IF(AND(A27&gt;TimeofMaxCD,I27&gt;Traps),IF(AugerModel="Sinton",calcimpliedv(SampleDoping,O27),calcimpliedvrichter(O27,SampleDoping,V27)),"")</f>
        <v>0.748254063483063</v>
      </c>
      <c r="Y27" s="132" t="e">
        <f aca="false">IF(OR(P27="",P27&lt;0,A27&lt;=TimeofMaxCD),"",(O27*Thickness*1.602E-019/(0.038*OptConst*P27)))</f>
        <v>#NAME?</v>
      </c>
      <c r="Z27" s="77" t="str">
        <f aca="false">IF(C27&gt;0.6,O27,"")</f>
        <v/>
      </c>
      <c r="AA27" s="133" t="n">
        <v>115.414168</v>
      </c>
      <c r="AB27" s="133" t="n">
        <v>84.7844742943576</v>
      </c>
      <c r="AC27" s="130" t="n">
        <f aca="false">1/AB27</f>
        <v>0.0117946122603552</v>
      </c>
      <c r="AE27" s="130" t="e">
        <f aca="false">H27/(K27*AreaFrac*Thickness*1.602E-019)</f>
        <v>#NAME?</v>
      </c>
    </row>
    <row collapsed="false" customFormat="false" customHeight="false" hidden="false" ht="12.75" outlineLevel="0" r="28">
      <c r="A28" s="123" t="n">
        <v>0.0019499</v>
      </c>
      <c r="B28" s="123" t="n">
        <v>2.00099</v>
      </c>
      <c r="C28" s="124" t="n">
        <v>0.253516</v>
      </c>
      <c r="D28" s="125" t="n">
        <f aca="false">IF(CouplingMode="AC",B28-(A$11-A$10)*SUM(B$9:B28)/0.21,B28)</f>
        <v>2.00099</v>
      </c>
      <c r="E28" s="126" t="n">
        <f aca="false">IF(C28&gt;0,C28/RefCellCal,0.00001)</f>
        <v>24.0893589509924</v>
      </c>
      <c r="F28" s="126" t="n">
        <f aca="false">E28-BiasLight</f>
        <v>24.0893589509924</v>
      </c>
      <c r="G28" s="127" t="n">
        <f aca="false">F28*0.038*OptConst/1.602E-019</f>
        <v>3.99985610547065E+018</v>
      </c>
      <c r="H28" s="128" t="e">
        <f aca="false">calcconductance(B28,Dark_Voltage,A_cal,B_cal,C_cal)</f>
        <v>#NAME?</v>
      </c>
      <c r="I28" s="127" t="n">
        <f aca="false">IF(MobilityModel=DK,calcdeltan(H28,SampleDoping,Thickness,AreaFrac),calcdeltandl(H28,AreaFrac,Thickness,SampleType,SampleDoping,Temperature))</f>
        <v>15535100296298000</v>
      </c>
      <c r="J28" s="127" t="str">
        <f aca="false">IF(AND(AND(I28&gt;=FitRangeMin,I28&lt;=FitRangeMax),A28&gt;TimeofMaxCD),I28,"")</f>
        <v/>
      </c>
      <c r="K28" s="127" t="n">
        <f aca="false">IF(I28-BiasPtCD=0,0.00001,I28-BiasPtCD)</f>
        <v>15535100296298000</v>
      </c>
      <c r="L28" s="129" t="n">
        <f aca="false">IF(ABS(SLOPE(K26:K30,A26:A30))&lt;1000000000000,-1000000000000,(SLOPE(K26:K30,A26:A30)))</f>
        <v>-9.78895539911523E+018</v>
      </c>
      <c r="M28" s="73" t="str">
        <f aca="false">IF(E28&gt;0.85*BiasLight,IF( E28&lt;1.15*BiasLight,E28,""),"")</f>
        <v/>
      </c>
      <c r="N28" s="73" t="str">
        <f aca="false">IF(E28&gt;0.85*BiasLight,IF(E28&lt;1.15*BiasLight,I28,""),"")</f>
        <v/>
      </c>
      <c r="O28" s="129" t="n">
        <f aca="false">I28-Traps</f>
        <v>15535100296298000</v>
      </c>
      <c r="P28" s="127" t="e">
        <f aca="false">calclifetime(AnalysisMode,K28,Thickness,G28,L28)</f>
        <v>#NAME?</v>
      </c>
      <c r="Q28" s="129" t="str">
        <f aca="false">IF($J28="","",P28)</f>
        <v/>
      </c>
      <c r="R28" s="130" t="str">
        <f aca="false">IF(Q28="","",1/Q28)</f>
        <v/>
      </c>
      <c r="S28" s="131" t="n">
        <f aca="false">IF(AND(E28&gt;0.95*BiasLight,E28&lt;1.05*BiasLight),"",IF(AugerModel="Sinton",calclifetimeauger(Auger_Coefficient,I28,P28),calclifetimerichter(SampleType,I28,SampleDoping,P28)))</f>
        <v>13365.8308789799</v>
      </c>
      <c r="T28" s="78" t="str">
        <f aca="false">IF($J28="","",S28)</f>
        <v/>
      </c>
      <c r="U28" s="131" t="n">
        <f aca="false">FitInterceptAuger+FitSlopeAuger*(I28+Traps)</f>
        <v>-61303.7038587711</v>
      </c>
      <c r="V28" s="130" t="str">
        <f aca="false">IF(AugerModel="Sinton","",IF(SampleType="n-type",n_intr_boltzmann(SampleDoping,0,K28,Temperature+273.15),n_intr_boltzmann(0,SampleDoping,K28,Temperature+273.15)))</f>
        <v/>
      </c>
      <c r="W28" s="130" t="str">
        <f aca="false">IF(V28="","",IF(T28="","",(V28^2)*T28))</f>
        <v/>
      </c>
      <c r="X28" s="125" t="n">
        <f aca="false">IF(AND(A28&gt;TimeofMaxCD,I28&gt;Traps),IF(AugerModel="Sinton",calcimpliedv(SampleDoping,O28),calcimpliedvrichter(O28,SampleDoping,V28)),"")</f>
        <v>0.745316583918299</v>
      </c>
      <c r="Y28" s="132" t="e">
        <f aca="false">IF(OR(P28="",P28&lt;0,A28&lt;=TimeofMaxCD),"",(O28*Thickness*1.602E-019/(0.038*OptConst*P28)))</f>
        <v>#NAME?</v>
      </c>
      <c r="Z28" s="77" t="str">
        <f aca="false">IF(C28&gt;0.6,O28,"")</f>
        <v/>
      </c>
      <c r="AA28" s="133" t="n">
        <v>120.432009</v>
      </c>
      <c r="AB28" s="133" t="n">
        <v>81.0057267118762</v>
      </c>
      <c r="AC28" s="130" t="n">
        <f aca="false">1/AB28</f>
        <v>0.012344806232735</v>
      </c>
      <c r="AE28" s="130" t="e">
        <f aca="false">H28/(K28*AreaFrac*Thickness*1.602E-019)</f>
        <v>#NAME?</v>
      </c>
    </row>
    <row collapsed="false" customFormat="false" customHeight="false" hidden="false" ht="12.75" outlineLevel="0" r="29">
      <c r="A29" s="123" t="n">
        <v>0.0020499</v>
      </c>
      <c r="B29" s="123" t="n">
        <v>1.89894</v>
      </c>
      <c r="C29" s="124" t="n">
        <v>0.239359</v>
      </c>
      <c r="D29" s="125" t="n">
        <f aca="false">IF(CouplingMode="AC",B29-(A$11-A$10)*SUM(B$9:B29)/0.21,B29)</f>
        <v>1.89894</v>
      </c>
      <c r="E29" s="126" t="n">
        <f aca="false">IF(C29&gt;0,C29/RefCellCal,0.00001)</f>
        <v>22.7441458099315</v>
      </c>
      <c r="F29" s="126" t="n">
        <f aca="false">E29-BiasLight</f>
        <v>22.7441458099315</v>
      </c>
      <c r="G29" s="127" t="n">
        <f aca="false">F29*0.038*OptConst/1.602E-019</f>
        <v>3.77649362387127E+018</v>
      </c>
      <c r="H29" s="128" t="e">
        <f aca="false">calcconductance(B29,Dark_Voltage,A_cal,B_cal,C_cal)</f>
        <v>#NAME?</v>
      </c>
      <c r="I29" s="127" t="n">
        <f aca="false">IF(MobilityModel=DK,calcdeltan(H29,SampleDoping,Thickness,AreaFrac),calcdeltandl(H29,AreaFrac,Thickness,SampleType,SampleDoping,Temperature))</f>
        <v>14583243862017500</v>
      </c>
      <c r="J29" s="127" t="str">
        <f aca="false">IF(AND(AND(I29&gt;=FitRangeMin,I29&lt;=FitRangeMax),A29&gt;TimeofMaxCD),I29,"")</f>
        <v/>
      </c>
      <c r="K29" s="127" t="n">
        <f aca="false">IF(I29-BiasPtCD=0,0.00001,I29-BiasPtCD)</f>
        <v>14583243862017500</v>
      </c>
      <c r="L29" s="129" t="n">
        <f aca="false">IF(ABS(SLOPE(K27:K31,A27:A31))&lt;1000000000000,-1000000000000,(SLOPE(K27:K31,A27:A31)))</f>
        <v>-9.23351174307573E+018</v>
      </c>
      <c r="M29" s="73" t="str">
        <f aca="false">IF(E29&gt;0.85*BiasLight,IF( E29&lt;1.15*BiasLight,E29,""),"")</f>
        <v/>
      </c>
      <c r="N29" s="73" t="str">
        <f aca="false">IF(E29&gt;0.85*BiasLight,IF(E29&lt;1.15*BiasLight,I29,""),"")</f>
        <v/>
      </c>
      <c r="O29" s="129" t="n">
        <f aca="false">I29-Traps</f>
        <v>14583243862017500</v>
      </c>
      <c r="P29" s="127" t="e">
        <f aca="false">calclifetime(AnalysisMode,K29,Thickness,G29,L29)</f>
        <v>#NAME?</v>
      </c>
      <c r="Q29" s="129" t="str">
        <f aca="false">IF($J29="","",P29)</f>
        <v/>
      </c>
      <c r="R29" s="130" t="str">
        <f aca="false">IF(Q29="","",1/Q29)</f>
        <v/>
      </c>
      <c r="S29" s="131" t="n">
        <f aca="false">IF(AND(E29&gt;0.95*BiasLight,E29&lt;1.05*BiasLight),"",IF(AugerModel="Sinton",calclifetimeauger(Auger_Coefficient,I29,P29),calclifetimerichter(SampleType,I29,SampleDoping,P29)))</f>
        <v>13492.4287635514</v>
      </c>
      <c r="T29" s="78" t="str">
        <f aca="false">IF($J29="","",S29)</f>
        <v/>
      </c>
      <c r="U29" s="131" t="n">
        <f aca="false">FitInterceptAuger+FitSlopeAuger*(I29+Traps)</f>
        <v>-55767.423109264</v>
      </c>
      <c r="V29" s="130" t="str">
        <f aca="false">IF(AugerModel="Sinton","",IF(SampleType="n-type",n_intr_boltzmann(SampleDoping,0,K29,Temperature+273.15),n_intr_boltzmann(0,SampleDoping,K29,Temperature+273.15)))</f>
        <v/>
      </c>
      <c r="W29" s="130" t="str">
        <f aca="false">IF(V29="","",IF(T29="","",(V29^2)*T29))</f>
        <v/>
      </c>
      <c r="X29" s="125" t="n">
        <f aca="false">IF(AND(A29&gt;TimeofMaxCD,I29&gt;Traps),IF(AugerModel="Sinton",calcimpliedv(SampleDoping,O29),calcimpliedvrichter(O29,SampleDoping,V29)),"")</f>
        <v>0.74236839142106</v>
      </c>
      <c r="Y29" s="132" t="e">
        <f aca="false">IF(OR(P29="",P29&lt;0,A29&lt;=TimeofMaxCD),"",(O29*Thickness*1.602E-019/(0.038*OptConst*P29)))</f>
        <v>#NAME?</v>
      </c>
      <c r="Z29" s="77" t="str">
        <f aca="false">IF(C29&gt;0.6,O29,"")</f>
        <v/>
      </c>
      <c r="AA29" s="133" t="n">
        <v>125.43118</v>
      </c>
      <c r="AB29" s="133" t="n">
        <v>77.8093976102863</v>
      </c>
      <c r="AC29" s="130" t="n">
        <f aca="false">1/AB29</f>
        <v>0.0128519180293436</v>
      </c>
      <c r="AE29" s="130" t="e">
        <f aca="false">H29/(K29*AreaFrac*Thickness*1.602E-019)</f>
        <v>#NAME?</v>
      </c>
    </row>
    <row collapsed="false" customFormat="false" customHeight="false" hidden="false" ht="12.75" outlineLevel="0" r="30">
      <c r="A30" s="123" t="n">
        <v>0.0021499</v>
      </c>
      <c r="B30" s="123" t="n">
        <v>1.8014</v>
      </c>
      <c r="C30" s="124" t="n">
        <v>0.226083</v>
      </c>
      <c r="D30" s="125" t="n">
        <f aca="false">IF(CouplingMode="AC",B30-(A$11-A$10)*SUM(B$9:B30)/0.21,B30)</f>
        <v>1.8014</v>
      </c>
      <c r="E30" s="126" t="n">
        <f aca="false">IF(C30&gt;0,C30/RefCellCal,0.00001)</f>
        <v>21.4826462223971</v>
      </c>
      <c r="F30" s="126" t="n">
        <f aca="false">E30-BiasLight</f>
        <v>21.4826462223971</v>
      </c>
      <c r="G30" s="127" t="n">
        <f aca="false">F30*0.038*OptConst/1.602E-019</f>
        <v>3.56703114554159E+018</v>
      </c>
      <c r="H30" s="128" t="e">
        <f aca="false">calcconductance(B30,Dark_Voltage,A_cal,B_cal,C_cal)</f>
        <v>#NAME?</v>
      </c>
      <c r="I30" s="127" t="n">
        <f aca="false">IF(MobilityModel=DK,calcdeltan(H30,SampleDoping,Thickness,AreaFrac),calcdeltandl(H30,AreaFrac,Thickness,SampleType,SampleDoping,Temperature))</f>
        <v>13689584349206500</v>
      </c>
      <c r="J30" s="127" t="str">
        <f aca="false">IF(AND(AND(I30&gt;=FitRangeMin,I30&lt;=FitRangeMax),A30&gt;TimeofMaxCD),I30,"")</f>
        <v/>
      </c>
      <c r="K30" s="127" t="n">
        <f aca="false">IF(I30-BiasPtCD=0,0.00001,I30-BiasPtCD)</f>
        <v>13689584349206500</v>
      </c>
      <c r="L30" s="129" t="n">
        <f aca="false">IF(ABS(SLOPE(K28:K32,A28:A32))&lt;1000000000000,-1000000000000,(SLOPE(K28:K32,A28:A32)))</f>
        <v>-8.7046034893594E+018</v>
      </c>
      <c r="M30" s="73" t="str">
        <f aca="false">IF(E30&gt;0.85*BiasLight,IF( E30&lt;1.15*BiasLight,E30,""),"")</f>
        <v/>
      </c>
      <c r="N30" s="73" t="str">
        <f aca="false">IF(E30&gt;0.85*BiasLight,IF(E30&lt;1.15*BiasLight,I30,""),"")</f>
        <v/>
      </c>
      <c r="O30" s="129" t="n">
        <f aca="false">I30-Traps</f>
        <v>13689584349206500</v>
      </c>
      <c r="P30" s="127" t="e">
        <f aca="false">calclifetime(AnalysisMode,K30,Thickness,G30,L30)</f>
        <v>#NAME?</v>
      </c>
      <c r="Q30" s="129" t="str">
        <f aca="false">IF($J30="","",P30)</f>
        <v/>
      </c>
      <c r="R30" s="130" t="str">
        <f aca="false">IF(Q30="","",1/Q30)</f>
        <v/>
      </c>
      <c r="S30" s="131" t="n">
        <f aca="false">IF(AND(E30&gt;0.95*BiasLight,E30&lt;1.05*BiasLight),"",IF(AugerModel="Sinton",calclifetimeauger(Auger_Coefficient,I30,P30),calclifetimerichter(SampleType,I30,SampleDoping,P30)))</f>
        <v>13618.9138983113</v>
      </c>
      <c r="T30" s="78" t="str">
        <f aca="false">IF($J30="","",S30)</f>
        <v/>
      </c>
      <c r="U30" s="131" t="n">
        <f aca="false">FitInterceptAuger+FitSlopeAuger*(I30+Traps)</f>
        <v>-50569.6330022614</v>
      </c>
      <c r="V30" s="130" t="str">
        <f aca="false">IF(AugerModel="Sinton","",IF(SampleType="n-type",n_intr_boltzmann(SampleDoping,0,K30,Temperature+273.15),n_intr_boltzmann(0,SampleDoping,K30,Temperature+273.15)))</f>
        <v/>
      </c>
      <c r="W30" s="130" t="str">
        <f aca="false">IF(V30="","",IF(T30="","",(V30^2)*T30))</f>
        <v/>
      </c>
      <c r="X30" s="125" t="n">
        <f aca="false">IF(AND(A30&gt;TimeofMaxCD,I30&gt;Traps),IF(AugerModel="Sinton",calcimpliedv(SampleDoping,O30),calcimpliedvrichter(O30,SampleDoping,V30)),"")</f>
        <v>0.7394355718853</v>
      </c>
      <c r="Y30" s="132" t="e">
        <f aca="false">IF(OR(P30="",P30&lt;0,A30&lt;=TimeofMaxCD),"",(O30*Thickness*1.602E-019/(0.038*OptConst*P30)))</f>
        <v>#NAME?</v>
      </c>
      <c r="Z30" s="77" t="str">
        <f aca="false">IF(C30&gt;0.6,O30,"")</f>
        <v/>
      </c>
      <c r="AA30" s="133" t="n">
        <v>130.380813</v>
      </c>
      <c r="AB30" s="133" t="n">
        <v>74.5893795111397</v>
      </c>
      <c r="AC30" s="130" t="n">
        <f aca="false">1/AB30</f>
        <v>0.0134067343977657</v>
      </c>
      <c r="AE30" s="130" t="e">
        <f aca="false">H30/(K30*AreaFrac*Thickness*1.602E-019)</f>
        <v>#NAME?</v>
      </c>
    </row>
    <row collapsed="false" customFormat="false" customHeight="false" hidden="false" ht="12.75" outlineLevel="0" r="31">
      <c r="A31" s="123" t="n">
        <v>0.0022499</v>
      </c>
      <c r="B31" s="123" t="n">
        <v>1.70771</v>
      </c>
      <c r="C31" s="124" t="n">
        <v>0.213593</v>
      </c>
      <c r="D31" s="125" t="n">
        <f aca="false">IF(CouplingMode="AC",B31-(A$11-A$10)*SUM(B$9:B31)/0.21,B31)</f>
        <v>1.70771</v>
      </c>
      <c r="E31" s="126" t="n">
        <f aca="false">IF(C31&gt;0,C31/RefCellCal,0.00001)</f>
        <v>20.2958331877251</v>
      </c>
      <c r="F31" s="126" t="n">
        <f aca="false">E31-BiasLight</f>
        <v>20.2958331877251</v>
      </c>
      <c r="G31" s="127" t="n">
        <f aca="false">F31*0.038*OptConst/1.602E-019</f>
        <v>3.3699698052028E+018</v>
      </c>
      <c r="H31" s="128" t="e">
        <f aca="false">calcconductance(B31,Dark_Voltage,A_cal,B_cal,C_cal)</f>
        <v>#NAME?</v>
      </c>
      <c r="I31" s="127" t="n">
        <f aca="false">IF(MobilityModel=DK,calcdeltan(H31,SampleDoping,Thickness,AreaFrac),calcdeltandl(H31,AreaFrac,Thickness,SampleType,SampleDoping,Temperature))</f>
        <v>12845970111505300</v>
      </c>
      <c r="J31" s="127" t="str">
        <f aca="false">IF(AND(AND(I31&gt;=FitRangeMin,I31&lt;=FitRangeMax),A31&gt;TimeofMaxCD),I31,"")</f>
        <v/>
      </c>
      <c r="K31" s="127" t="n">
        <f aca="false">IF(I31-BiasPtCD=0,0.00001,I31-BiasPtCD)</f>
        <v>12845970111505300</v>
      </c>
      <c r="L31" s="129" t="n">
        <f aca="false">IF(ABS(SLOPE(K29:K33,A29:A33))&lt;1000000000000,-1000000000000,(SLOPE(K29:K33,A29:A33)))</f>
        <v>-8.1950523335053E+018</v>
      </c>
      <c r="M31" s="73" t="str">
        <f aca="false">IF(E31&gt;0.85*BiasLight,IF( E31&lt;1.15*BiasLight,E31,""),"")</f>
        <v/>
      </c>
      <c r="N31" s="73" t="str">
        <f aca="false">IF(E31&gt;0.85*BiasLight,IF(E31&lt;1.15*BiasLight,I31,""),"")</f>
        <v/>
      </c>
      <c r="O31" s="129" t="n">
        <f aca="false">I31-Traps</f>
        <v>12845970111505300</v>
      </c>
      <c r="P31" s="127" t="e">
        <f aca="false">calclifetime(AnalysisMode,K31,Thickness,G31,L31)</f>
        <v>#NAME?</v>
      </c>
      <c r="Q31" s="129" t="str">
        <f aca="false">IF($J31="","",P31)</f>
        <v/>
      </c>
      <c r="R31" s="130" t="str">
        <f aca="false">IF(Q31="","",1/Q31)</f>
        <v/>
      </c>
      <c r="S31" s="131" t="n">
        <f aca="false">IF(AND(E31&gt;0.95*BiasLight,E31&lt;1.05*BiasLight),"",IF(AugerModel="Sinton",calclifetimeauger(Auger_Coefficient,I31,P31),calclifetimerichter(SampleType,I31,SampleDoping,P31)))</f>
        <v>13748.5429664687</v>
      </c>
      <c r="T31" s="78" t="str">
        <f aca="false">IF($J31="","",S31)</f>
        <v/>
      </c>
      <c r="U31" s="131" t="n">
        <f aca="false">FitInterceptAuger+FitSlopeAuger*(I31+Traps)</f>
        <v>-45662.9211327074</v>
      </c>
      <c r="V31" s="130" t="str">
        <f aca="false">IF(AugerModel="Sinton","",IF(SampleType="n-type",n_intr_boltzmann(SampleDoping,0,K31,Temperature+273.15),n_intr_boltzmann(0,SampleDoping,K31,Temperature+273.15)))</f>
        <v/>
      </c>
      <c r="W31" s="130" t="str">
        <f aca="false">IF(V31="","",IF(T31="","",(V31^2)*T31))</f>
        <v/>
      </c>
      <c r="X31" s="125" t="n">
        <f aca="false">IF(AND(A31&gt;TimeofMaxCD,I31&gt;Traps),IF(AugerModel="Sinton",calcimpliedv(SampleDoping,O31),calcimpliedvrichter(O31,SampleDoping,V31)),"")</f>
        <v>0.736502286581711</v>
      </c>
      <c r="Y31" s="132" t="e">
        <f aca="false">IF(OR(P31="",P31&lt;0,A31&lt;=TimeofMaxCD),"",(O31*Thickness*1.602E-019/(0.038*OptConst*P31)))</f>
        <v>#NAME?</v>
      </c>
      <c r="Z31" s="77" t="str">
        <f aca="false">IF(C31&gt;0.6,O31,"")</f>
        <v/>
      </c>
      <c r="AA31" s="133" t="n">
        <v>135.378719</v>
      </c>
      <c r="AB31" s="133" t="n">
        <v>72.1480062485348</v>
      </c>
      <c r="AC31" s="130" t="n">
        <f aca="false">1/AB31</f>
        <v>0.0138603968702227</v>
      </c>
      <c r="AE31" s="130" t="e">
        <f aca="false">H31/(K31*AreaFrac*Thickness*1.602E-019)</f>
        <v>#NAME?</v>
      </c>
    </row>
    <row collapsed="false" customFormat="false" customHeight="false" hidden="false" ht="12.75" outlineLevel="0" r="32">
      <c r="A32" s="123" t="n">
        <v>0.0023499</v>
      </c>
      <c r="B32" s="123" t="n">
        <v>1.61797</v>
      </c>
      <c r="C32" s="124" t="n">
        <v>0.201816</v>
      </c>
      <c r="D32" s="125" t="n">
        <f aca="false">IF(CouplingMode="AC",B32-(A$11-A$10)*SUM(B$9:B32)/0.21,B32)</f>
        <v>1.61797</v>
      </c>
      <c r="E32" s="126" t="n">
        <f aca="false">IF(C32&gt;0,C32/RefCellCal,0.00001)</f>
        <v>19.1767701685633</v>
      </c>
      <c r="F32" s="126" t="n">
        <f aca="false">E32-BiasLight</f>
        <v>19.1767701685633</v>
      </c>
      <c r="G32" s="127" t="n">
        <f aca="false">F32*0.038*OptConst/1.602E-019</f>
        <v>3.18415784321962E+018</v>
      </c>
      <c r="H32" s="128" t="e">
        <f aca="false">calcconductance(B32,Dark_Voltage,A_cal,B_cal,C_cal)</f>
        <v>#NAME?</v>
      </c>
      <c r="I32" s="127" t="n">
        <f aca="false">IF(MobilityModel=DK,calcdeltan(H32,SampleDoping,Thickness,AreaFrac),calcdeltandl(H32,AreaFrac,Thickness,SampleType,SampleDoping,Temperature))</f>
        <v>12051435426874400</v>
      </c>
      <c r="J32" s="127" t="str">
        <f aca="false">IF(AND(AND(I32&gt;=FitRangeMin,I32&lt;=FitRangeMax),A32&gt;TimeofMaxCD),I32,"")</f>
        <v/>
      </c>
      <c r="K32" s="127" t="n">
        <f aca="false">IF(I32-BiasPtCD=0,0.00001,I32-BiasPtCD)</f>
        <v>12051435426874400</v>
      </c>
      <c r="L32" s="129" t="n">
        <f aca="false">IF(ABS(SLOPE(K30:K34,A30:A34))&lt;1000000000000,-1000000000000,(SLOPE(K30:K34,A30:A34)))</f>
        <v>-7.71512315748961E+018</v>
      </c>
      <c r="M32" s="73" t="str">
        <f aca="false">IF(E32&gt;0.85*BiasLight,IF( E32&lt;1.15*BiasLight,E32,""),"")</f>
        <v/>
      </c>
      <c r="N32" s="73" t="str">
        <f aca="false">IF(E32&gt;0.85*BiasLight,IF(E32&lt;1.15*BiasLight,I32,""),"")</f>
        <v/>
      </c>
      <c r="O32" s="129" t="n">
        <f aca="false">I32-Traps</f>
        <v>12051435426874400</v>
      </c>
      <c r="P32" s="127" t="e">
        <f aca="false">calclifetime(AnalysisMode,K32,Thickness,G32,L32)</f>
        <v>#NAME?</v>
      </c>
      <c r="Q32" s="129" t="str">
        <f aca="false">IF($J32="","",P32)</f>
        <v/>
      </c>
      <c r="R32" s="130" t="str">
        <f aca="false">IF(Q32="","",1/Q32)</f>
        <v/>
      </c>
      <c r="S32" s="131" t="n">
        <f aca="false">IF(AND(E32&gt;0.95*BiasLight,E32&lt;1.05*BiasLight),"",IF(AugerModel="Sinton",calclifetimeauger(Auger_Coefficient,I32,P32),calclifetimerichter(SampleType,I32,SampleDoping,P32)))</f>
        <v>13879.3949724333</v>
      </c>
      <c r="T32" s="78" t="str">
        <f aca="false">IF($J32="","",S32)</f>
        <v/>
      </c>
      <c r="U32" s="131" t="n">
        <f aca="false">FitInterceptAuger+FitSlopeAuger*(I32+Traps)</f>
        <v>-41041.6705733587</v>
      </c>
      <c r="V32" s="130" t="str">
        <f aca="false">IF(AugerModel="Sinton","",IF(SampleType="n-type",n_intr_boltzmann(SampleDoping,0,K32,Temperature+273.15),n_intr_boltzmann(0,SampleDoping,K32,Temperature+273.15)))</f>
        <v/>
      </c>
      <c r="W32" s="130" t="str">
        <f aca="false">IF(V32="","",IF(T32="","",(V32^2)*T32))</f>
        <v/>
      </c>
      <c r="X32" s="125" t="n">
        <f aca="false">IF(AND(A32&gt;TimeofMaxCD,I32&gt;Traps),IF(AugerModel="Sinton",calcimpliedv(SampleDoping,O32),calcimpliedvrichter(O32,SampleDoping,V32)),"")</f>
        <v>0.733575221236574</v>
      </c>
      <c r="Y32" s="132" t="e">
        <f aca="false">IF(OR(P32="",P32&lt;0,A32&lt;=TimeofMaxCD),"",(O32*Thickness*1.602E-019/(0.038*OptConst*P32)))</f>
        <v>#NAME?</v>
      </c>
      <c r="Z32" s="77" t="str">
        <f aca="false">IF(C32&gt;0.6,O32,"")</f>
        <v/>
      </c>
      <c r="AA32" s="133" t="n">
        <v>140.399551</v>
      </c>
      <c r="AB32" s="133" t="n">
        <v>69.7786358825499</v>
      </c>
      <c r="AC32" s="130" t="n">
        <f aca="false">1/AB32</f>
        <v>0.0143310339526153</v>
      </c>
      <c r="AE32" s="130" t="e">
        <f aca="false">H32/(K32*AreaFrac*Thickness*1.602E-019)</f>
        <v>#NAME?</v>
      </c>
    </row>
    <row collapsed="false" customFormat="false" customHeight="false" hidden="false" ht="12.75" outlineLevel="0" r="33">
      <c r="A33" s="123" t="n">
        <v>0.0024499</v>
      </c>
      <c r="B33" s="123" t="n">
        <v>1.53225</v>
      </c>
      <c r="C33" s="124" t="n">
        <v>0.190824</v>
      </c>
      <c r="D33" s="125" t="n">
        <f aca="false">IF(CouplingMode="AC",B33-(A$11-A$10)*SUM(B$9:B33)/0.21,B33)</f>
        <v>1.53225</v>
      </c>
      <c r="E33" s="126" t="n">
        <f aca="false">IF(C33&gt;0,C33/RefCellCal,0.00001)</f>
        <v>18.1322986812042</v>
      </c>
      <c r="F33" s="126" t="n">
        <f aca="false">E33-BiasLight</f>
        <v>18.1322986812042</v>
      </c>
      <c r="G33" s="127" t="n">
        <f aca="false">F33*0.038*OptConst/1.602E-019</f>
        <v>3.01073124169808E+018</v>
      </c>
      <c r="H33" s="128" t="e">
        <f aca="false">calcconductance(B33,Dark_Voltage,A_cal,B_cal,C_cal)</f>
        <v>#NAME?</v>
      </c>
      <c r="I33" s="127" t="n">
        <f aca="false">IF(MobilityModel=DK,calcdeltan(H33,SampleDoping,Thickness,AreaFrac),calcdeltandl(H33,AreaFrac,Thickness,SampleType,SampleDoping,Temperature))</f>
        <v>11304792156430900</v>
      </c>
      <c r="J33" s="127" t="str">
        <f aca="false">IF(AND(AND(I33&gt;=FitRangeMin,I33&lt;=FitRangeMax),A33&gt;TimeofMaxCD),I33,"")</f>
        <v/>
      </c>
      <c r="K33" s="127" t="n">
        <f aca="false">IF(I33-BiasPtCD=0,0.00001,I33-BiasPtCD)</f>
        <v>11304792156430900</v>
      </c>
      <c r="L33" s="129" t="n">
        <f aca="false">IF(ABS(SLOPE(K31:K35,A31:A35))&lt;1000000000000,-1000000000000,(SLOPE(K31:K35,A31:A35)))</f>
        <v>-7.24101655967695E+018</v>
      </c>
      <c r="M33" s="73" t="str">
        <f aca="false">IF(E33&gt;0.85*BiasLight,IF( E33&lt;1.15*BiasLight,E33,""),"")</f>
        <v/>
      </c>
      <c r="N33" s="73" t="str">
        <f aca="false">IF(E33&gt;0.85*BiasLight,IF(E33&lt;1.15*BiasLight,I33,""),"")</f>
        <v/>
      </c>
      <c r="O33" s="129" t="n">
        <f aca="false">I33-Traps</f>
        <v>11304792156430900</v>
      </c>
      <c r="P33" s="127" t="e">
        <f aca="false">calclifetime(AnalysisMode,K33,Thickness,G33,L33)</f>
        <v>#NAME?</v>
      </c>
      <c r="Q33" s="129" t="str">
        <f aca="false">IF($J33="","",P33)</f>
        <v/>
      </c>
      <c r="R33" s="130" t="str">
        <f aca="false">IF(Q33="","",1/Q33)</f>
        <v/>
      </c>
      <c r="S33" s="131" t="n">
        <f aca="false">IF(AND(E33&gt;0.95*BiasLight,E33&lt;1.05*BiasLight),"",IF(AugerModel="Sinton",calclifetimeauger(Auger_Coefficient,I33,P33),calclifetimerichter(SampleType,I33,SampleDoping,P33)))</f>
        <v>14016.3121587604</v>
      </c>
      <c r="T33" s="78" t="str">
        <f aca="false">IF($J33="","",S33)</f>
        <v/>
      </c>
      <c r="U33" s="131" t="n">
        <f aca="false">FitInterceptAuger+FitSlopeAuger*(I33+Traps)</f>
        <v>-36698.9707543153</v>
      </c>
      <c r="V33" s="130" t="str">
        <f aca="false">IF(AugerModel="Sinton","",IF(SampleType="n-type",n_intr_boltzmann(SampleDoping,0,K33,Temperature+273.15),n_intr_boltzmann(0,SampleDoping,K33,Temperature+273.15)))</f>
        <v/>
      </c>
      <c r="W33" s="130" t="str">
        <f aca="false">IF(V33="","",IF(T33="","",(V33^2)*T33))</f>
        <v/>
      </c>
      <c r="X33" s="125" t="n">
        <f aca="false">IF(AND(A33&gt;TimeofMaxCD,I33&gt;Traps),IF(AugerModel="Sinton",calcimpliedv(SampleDoping,O33),calcimpliedvrichter(O33,SampleDoping,V33)),"")</f>
        <v>0.730661149714447</v>
      </c>
      <c r="Y33" s="132" t="e">
        <f aca="false">IF(OR(P33="",P33&lt;0,A33&lt;=TimeofMaxCD),"",(O33*Thickness*1.602E-019/(0.038*OptConst*P33)))</f>
        <v>#NAME?</v>
      </c>
      <c r="Z33" s="77" t="str">
        <f aca="false">IF(C33&gt;0.6,O33,"")</f>
        <v/>
      </c>
      <c r="AA33" s="133" t="n">
        <v>145.428927</v>
      </c>
      <c r="AB33" s="133" t="n">
        <v>67.4518379958442</v>
      </c>
      <c r="AC33" s="130" t="n">
        <f aca="false">1/AB33</f>
        <v>0.0148253928982871</v>
      </c>
      <c r="AE33" s="130" t="e">
        <f aca="false">H33/(K33*AreaFrac*Thickness*1.602E-019)</f>
        <v>#NAME?</v>
      </c>
    </row>
    <row collapsed="false" customFormat="false" customHeight="false" hidden="false" ht="12.75" outlineLevel="0" r="34">
      <c r="A34" s="123" t="n">
        <v>0.0025499</v>
      </c>
      <c r="B34" s="123" t="n">
        <v>1.45035</v>
      </c>
      <c r="C34" s="124" t="n">
        <v>0.180481</v>
      </c>
      <c r="D34" s="125" t="n">
        <f aca="false">IF(CouplingMode="AC",B34-(A$11-A$10)*SUM(B$9:B34)/0.21,B34)</f>
        <v>1.45035</v>
      </c>
      <c r="E34" s="126" t="n">
        <f aca="false">IF(C34&gt;0,C34/RefCellCal,0.00001)</f>
        <v>17.1494958615395</v>
      </c>
      <c r="F34" s="126" t="n">
        <f aca="false">E34-BiasLight</f>
        <v>17.1494958615395</v>
      </c>
      <c r="G34" s="127" t="n">
        <f aca="false">F34*0.038*OptConst/1.602E-019</f>
        <v>2.84754425666012E+018</v>
      </c>
      <c r="H34" s="128" t="e">
        <f aca="false">calcconductance(B34,Dark_Voltage,A_cal,B_cal,C_cal)</f>
        <v>#NAME?</v>
      </c>
      <c r="I34" s="127" t="n">
        <f aca="false">IF(MobilityModel=DK,calcdeltan(H34,SampleDoping,Thickness,AreaFrac),calcdeltandl(H34,AreaFrac,Thickness,SampleType,SampleDoping,Temperature))</f>
        <v>10602611747998900</v>
      </c>
      <c r="J34" s="127" t="str">
        <f aca="false">IF(AND(AND(I34&gt;=FitRangeMin,I34&lt;=FitRangeMax),A34&gt;TimeofMaxCD),I34,"")</f>
        <v/>
      </c>
      <c r="K34" s="127" t="n">
        <f aca="false">IF(I34-BiasPtCD=0,0.00001,I34-BiasPtCD)</f>
        <v>10602611747998900</v>
      </c>
      <c r="L34" s="129" t="n">
        <f aca="false">IF(ABS(SLOPE(K32:K36,A32:A36))&lt;1000000000000,-1000000000000,(SLOPE(K32:K36,A32:A36)))</f>
        <v>-6.79243179478051E+018</v>
      </c>
      <c r="M34" s="73" t="str">
        <f aca="false">IF(E34&gt;0.85*BiasLight,IF( E34&lt;1.15*BiasLight,E34,""),"")</f>
        <v/>
      </c>
      <c r="N34" s="73" t="str">
        <f aca="false">IF(E34&gt;0.85*BiasLight,IF(E34&lt;1.15*BiasLight,I34,""),"")</f>
        <v/>
      </c>
      <c r="O34" s="129" t="n">
        <f aca="false">I34-Traps</f>
        <v>10602611747998900</v>
      </c>
      <c r="P34" s="127" t="e">
        <f aca="false">calclifetime(AnalysisMode,K34,Thickness,G34,L34)</f>
        <v>#NAME?</v>
      </c>
      <c r="Q34" s="129" t="str">
        <f aca="false">IF($J34="","",P34)</f>
        <v/>
      </c>
      <c r="R34" s="130" t="str">
        <f aca="false">IF(Q34="","",1/Q34)</f>
        <v/>
      </c>
      <c r="S34" s="131" t="n">
        <f aca="false">IF(AND(E34&gt;0.95*BiasLight,E34&lt;1.05*BiasLight),"",IF(AugerModel="Sinton",calclifetimeauger(Auger_Coefficient,I34,P34),calclifetimerichter(SampleType,I34,SampleDoping,P34)))</f>
        <v>14156.5830447254</v>
      </c>
      <c r="T34" s="78" t="str">
        <f aca="false">IF($J34="","",S34)</f>
        <v/>
      </c>
      <c r="U34" s="131" t="n">
        <f aca="false">FitInterceptAuger+FitSlopeAuger*(I34+Traps)</f>
        <v>-32614.8801941436</v>
      </c>
      <c r="V34" s="130" t="str">
        <f aca="false">IF(AugerModel="Sinton","",IF(SampleType="n-type",n_intr_boltzmann(SampleDoping,0,K34,Temperature+273.15),n_intr_boltzmann(0,SampleDoping,K34,Temperature+273.15)))</f>
        <v/>
      </c>
      <c r="W34" s="130" t="str">
        <f aca="false">IF(V34="","",IF(T34="","",(V34^2)*T34))</f>
        <v/>
      </c>
      <c r="X34" s="125" t="n">
        <f aca="false">IF(AND(A34&gt;TimeofMaxCD,I34&gt;Traps),IF(AugerModel="Sinton",calcimpliedv(SampleDoping,O34),calcimpliedvrichter(O34,SampleDoping,V34)),"")</f>
        <v>0.727758166164364</v>
      </c>
      <c r="Y34" s="132" t="e">
        <f aca="false">IF(OR(P34="",P34&lt;0,A34&lt;=TimeofMaxCD),"",(O34*Thickness*1.602E-019/(0.038*OptConst*P34)))</f>
        <v>#NAME?</v>
      </c>
      <c r="Z34" s="77" t="str">
        <f aca="false">IF(C34&gt;0.6,O34,"")</f>
        <v/>
      </c>
      <c r="AA34" s="133" t="n">
        <v>150.456804</v>
      </c>
      <c r="AB34" s="133" t="n">
        <v>65.3539980892102</v>
      </c>
      <c r="AC34" s="130" t="n">
        <f aca="false">1/AB34</f>
        <v>0.0153012826948241</v>
      </c>
      <c r="AE34" s="130" t="e">
        <f aca="false">H34/(K34*AreaFrac*Thickness*1.602E-019)</f>
        <v>#NAME?</v>
      </c>
    </row>
    <row collapsed="false" customFormat="false" customHeight="false" hidden="false" ht="12.75" outlineLevel="0" r="35">
      <c r="A35" s="123" t="n">
        <v>0.0026499</v>
      </c>
      <c r="B35" s="123" t="n">
        <v>1.37305</v>
      </c>
      <c r="C35" s="124" t="n">
        <v>0.170775</v>
      </c>
      <c r="D35" s="125" t="n">
        <f aca="false">IF(CouplingMode="AC",B35-(A$11-A$10)*SUM(B$9:B35)/0.21,B35)</f>
        <v>1.37305</v>
      </c>
      <c r="E35" s="126" t="n">
        <f aca="false">IF(C35&gt;0,C35/RefCellCal,0.00001)</f>
        <v>16.2272214568537</v>
      </c>
      <c r="F35" s="126" t="n">
        <f aca="false">E35-BiasLight</f>
        <v>16.2272214568537</v>
      </c>
      <c r="G35" s="127" t="n">
        <f aca="false">F35*0.038*OptConst/1.602E-019</f>
        <v>2.69440755775474E+018</v>
      </c>
      <c r="H35" s="128" t="e">
        <f aca="false">calcconductance(B35,Dark_Voltage,A_cal,B_cal,C_cal)</f>
        <v>#NAME?</v>
      </c>
      <c r="I35" s="127" t="n">
        <f aca="false">IF(MobilityModel=DK,calcdeltan(H35,SampleDoping,Thickness,AreaFrac),calcdeltandl(H35,AreaFrac,Thickness,SampleType,SampleDoping,Temperature))</f>
        <v>9949873671104590</v>
      </c>
      <c r="J35" s="127" t="str">
        <f aca="false">IF(AND(AND(I35&gt;=FitRangeMin,I35&lt;=FitRangeMax),A35&gt;TimeofMaxCD),I35,"")</f>
        <v/>
      </c>
      <c r="K35" s="127" t="n">
        <f aca="false">IF(I35-BiasPtCD=0,0.00001,I35-BiasPtCD)</f>
        <v>9949873671104590</v>
      </c>
      <c r="L35" s="129" t="n">
        <f aca="false">IF(ABS(SLOPE(K33:K37,A33:A37))&lt;1000000000000,-1000000000000,(SLOPE(K33:K37,A33:A37)))</f>
        <v>-6.37062594896265E+018</v>
      </c>
      <c r="M35" s="73" t="str">
        <f aca="false">IF(E35&gt;0.85*BiasLight,IF( E35&lt;1.15*BiasLight,E35,""),"")</f>
        <v/>
      </c>
      <c r="N35" s="73" t="str">
        <f aca="false">IF(E35&gt;0.85*BiasLight,IF(E35&lt;1.15*BiasLight,I35,""),"")</f>
        <v/>
      </c>
      <c r="O35" s="129" t="n">
        <f aca="false">I35-Traps</f>
        <v>9949873671104590</v>
      </c>
      <c r="P35" s="127" t="e">
        <f aca="false">calclifetime(AnalysisMode,K35,Thickness,G35,L35)</f>
        <v>#NAME?</v>
      </c>
      <c r="Q35" s="129" t="str">
        <f aca="false">IF($J35="","",P35)</f>
        <v/>
      </c>
      <c r="R35" s="130" t="str">
        <f aca="false">IF(Q35="","",1/Q35)</f>
        <v/>
      </c>
      <c r="S35" s="131" t="n">
        <f aca="false">IF(AND(E35&gt;0.95*BiasLight,E35&lt;1.05*BiasLight),"",IF(AugerModel="Sinton",calclifetimeauger(Auger_Coefficient,I35,P35),calclifetimerichter(SampleType,I35,SampleDoping,P35)))</f>
        <v>14292.1651063499</v>
      </c>
      <c r="T35" s="78" t="str">
        <f aca="false">IF($J35="","",S35)</f>
        <v/>
      </c>
      <c r="U35" s="131" t="n">
        <f aca="false">FitInterceptAuger+FitSlopeAuger*(I35+Traps)</f>
        <v>-28818.3609718808</v>
      </c>
      <c r="V35" s="130" t="str">
        <f aca="false">IF(AugerModel="Sinton","",IF(SampleType="n-type",n_intr_boltzmann(SampleDoping,0,K35,Temperature+273.15),n_intr_boltzmann(0,SampleDoping,K35,Temperature+273.15)))</f>
        <v/>
      </c>
      <c r="W35" s="130" t="str">
        <f aca="false">IF(V35="","",IF(T35="","",(V35^2)*T35))</f>
        <v/>
      </c>
      <c r="X35" s="125" t="n">
        <f aca="false">IF(AND(A35&gt;TimeofMaxCD,I35&gt;Traps),IF(AugerModel="Sinton",calcimpliedv(SampleDoping,O35),calcimpliedvrichter(O35,SampleDoping,V35)),"")</f>
        <v>0.724900905732898</v>
      </c>
      <c r="Y35" s="132" t="e">
        <f aca="false">IF(OR(P35="",P35&lt;0,A35&lt;=TimeofMaxCD),"",(O35*Thickness*1.602E-019/(0.038*OptConst*P35)))</f>
        <v>#NAME?</v>
      </c>
      <c r="Z35" s="77" t="str">
        <f aca="false">IF(C35&gt;0.6,O35,"")</f>
        <v/>
      </c>
      <c r="AA35" s="133" t="n">
        <v>155.387701</v>
      </c>
      <c r="AB35" s="133" t="n">
        <v>63.8925730179937</v>
      </c>
      <c r="AC35" s="130" t="n">
        <f aca="false">1/AB35</f>
        <v>0.0156512713882782</v>
      </c>
      <c r="AE35" s="130" t="e">
        <f aca="false">H35/(K35*AreaFrac*Thickness*1.602E-019)</f>
        <v>#NAME?</v>
      </c>
    </row>
    <row collapsed="false" customFormat="false" customHeight="false" hidden="false" ht="12.75" outlineLevel="0" r="36">
      <c r="A36" s="123" t="n">
        <v>0.0027499</v>
      </c>
      <c r="B36" s="123" t="n">
        <v>1.29888</v>
      </c>
      <c r="C36" s="124" t="n">
        <v>0.16162</v>
      </c>
      <c r="D36" s="125" t="n">
        <f aca="false">IF(CouplingMode="AC",B36-(A$11-A$10)*SUM(B$9:B36)/0.21,B36)</f>
        <v>1.29888</v>
      </c>
      <c r="E36" s="126" t="n">
        <f aca="false">IF(C36&gt;0,C36/RefCellCal,0.00001)</f>
        <v>15.3573036560193</v>
      </c>
      <c r="F36" s="126" t="n">
        <f aca="false">E36-BiasLight</f>
        <v>15.3573036560193</v>
      </c>
      <c r="G36" s="127" t="n">
        <f aca="false">F36*0.038*OptConst/1.602E-019</f>
        <v>2.54996427746638E+018</v>
      </c>
      <c r="H36" s="128" t="e">
        <f aca="false">calcconductance(B36,Dark_Voltage,A_cal,B_cal,C_cal)</f>
        <v>#NAME?</v>
      </c>
      <c r="I36" s="127" t="n">
        <f aca="false">IF(MobilityModel=DK,calcdeltan(H36,SampleDoping,Thickness,AreaFrac),calcdeltandl(H36,AreaFrac,Thickness,SampleType,SampleDoping,Temperature))</f>
        <v>9332678772147270</v>
      </c>
      <c r="J36" s="127" t="str">
        <f aca="false">IF(AND(AND(I36&gt;=FitRangeMin,I36&lt;=FitRangeMax),A36&gt;TimeofMaxCD),I36,"")</f>
        <v/>
      </c>
      <c r="K36" s="127" t="n">
        <f aca="false">IF(I36-BiasPtCD=0,0.00001,I36-BiasPtCD)</f>
        <v>9332678772147270</v>
      </c>
      <c r="L36" s="129" t="n">
        <f aca="false">IF(ABS(SLOPE(K34:K38,A34:A38))&lt;1000000000000,-1000000000000,(SLOPE(K34:K38,A34:A38)))</f>
        <v>-5.97847404281557E+018</v>
      </c>
      <c r="M36" s="73" t="str">
        <f aca="false">IF(E36&gt;0.85*BiasLight,IF( E36&lt;1.15*BiasLight,E36,""),"")</f>
        <v/>
      </c>
      <c r="N36" s="73" t="str">
        <f aca="false">IF(E36&gt;0.85*BiasLight,IF(E36&lt;1.15*BiasLight,I36,""),"")</f>
        <v/>
      </c>
      <c r="O36" s="129" t="n">
        <f aca="false">I36-Traps</f>
        <v>9332678772147270</v>
      </c>
      <c r="P36" s="127" t="e">
        <f aca="false">calclifetime(AnalysisMode,K36,Thickness,G36,L36)</f>
        <v>#NAME?</v>
      </c>
      <c r="Q36" s="129" t="str">
        <f aca="false">IF($J36="","",P36)</f>
        <v/>
      </c>
      <c r="R36" s="130" t="str">
        <f aca="false">IF(Q36="","",1/Q36)</f>
        <v/>
      </c>
      <c r="S36" s="131" t="n">
        <f aca="false">IF(AND(E36&gt;0.95*BiasLight,E36&lt;1.05*BiasLight),"",IF(AugerModel="Sinton",calclifetimeauger(Auger_Coefficient,I36,P36),calclifetimerichter(SampleType,I36,SampleDoping,P36)))</f>
        <v>14436.2983047226</v>
      </c>
      <c r="T36" s="78" t="str">
        <f aca="false">IF($J36="","",S36)</f>
        <v/>
      </c>
      <c r="U36" s="131" t="n">
        <f aca="false">FitInterceptAuger+FitSlopeAuger*(I36+Traps)</f>
        <v>-25228.571467149</v>
      </c>
      <c r="V36" s="130" t="str">
        <f aca="false">IF(AugerModel="Sinton","",IF(SampleType="n-type",n_intr_boltzmann(SampleDoping,0,K36,Temperature+273.15),n_intr_boltzmann(0,SampleDoping,K36,Temperature+273.15)))</f>
        <v/>
      </c>
      <c r="W36" s="130" t="str">
        <f aca="false">IF(V36="","",IF(T36="","",(V36^2)*T36))</f>
        <v/>
      </c>
      <c r="X36" s="125" t="n">
        <f aca="false">IF(AND(A36&gt;TimeofMaxCD,I36&gt;Traps),IF(AugerModel="Sinton",calcimpliedv(SampleDoping,O36),calcimpliedvrichter(O36,SampleDoping,V36)),"")</f>
        <v>0.72204125200905</v>
      </c>
      <c r="Y36" s="132" t="e">
        <f aca="false">IF(OR(P36="",P36&lt;0,A36&lt;=TimeofMaxCD),"",(O36*Thickness*1.602E-019/(0.038*OptConst*P36)))</f>
        <v>#NAME?</v>
      </c>
      <c r="Z36" s="77" t="str">
        <f aca="false">IF(C36&gt;0.6,O36,"")</f>
        <v/>
      </c>
      <c r="AA36" s="133" t="n">
        <v>160.342437</v>
      </c>
      <c r="AB36" s="133" t="n">
        <v>62.2679602403709</v>
      </c>
      <c r="AC36" s="130" t="n">
        <f aca="false">1/AB36</f>
        <v>0.0160596235389715</v>
      </c>
      <c r="AE36" s="130" t="e">
        <f aca="false">H36/(K36*AreaFrac*Thickness*1.602E-019)</f>
        <v>#NAME?</v>
      </c>
    </row>
    <row collapsed="false" customFormat="false" customHeight="false" hidden="false" ht="12.75" outlineLevel="0" r="37">
      <c r="A37" s="123" t="n">
        <v>0.0028499</v>
      </c>
      <c r="B37" s="123" t="n">
        <v>1.2284</v>
      </c>
      <c r="C37" s="124" t="n">
        <v>0.152742</v>
      </c>
      <c r="D37" s="125" t="n">
        <f aca="false">IF(CouplingMode="AC",B37-(A$11-A$10)*SUM(B$9:B37)/0.21,B37)</f>
        <v>1.2284</v>
      </c>
      <c r="E37" s="126" t="n">
        <f aca="false">IF(C37&gt;0,C37/RefCellCal,0.00001)</f>
        <v>14.5137066887</v>
      </c>
      <c r="F37" s="126" t="n">
        <f aca="false">E37-BiasLight</f>
        <v>14.5137066887</v>
      </c>
      <c r="G37" s="127" t="n">
        <f aca="false">F37*0.038*OptConst/1.602E-019</f>
        <v>2.40989137278041E+018</v>
      </c>
      <c r="H37" s="128" t="e">
        <f aca="false">calcconductance(B37,Dark_Voltage,A_cal,B_cal,C_cal)</f>
        <v>#NAME?</v>
      </c>
      <c r="I37" s="127" t="n">
        <f aca="false">IF(MobilityModel=DK,calcdeltan(H37,SampleDoping,Thickness,AreaFrac),calcdeltandl(H37,AreaFrac,Thickness,SampleType,SampleDoping,Temperature))</f>
        <v>8754445669875410</v>
      </c>
      <c r="J37" s="127" t="str">
        <f aca="false">IF(AND(AND(I37&gt;=FitRangeMin,I37&lt;=FitRangeMax),A37&gt;TimeofMaxCD),I37,"")</f>
        <v/>
      </c>
      <c r="K37" s="127" t="n">
        <f aca="false">IF(I37-BiasPtCD=0,0.00001,I37-BiasPtCD)</f>
        <v>8754445669875410</v>
      </c>
      <c r="L37" s="129" t="n">
        <f aca="false">IF(ABS(SLOPE(K35:K39,A35:A39))&lt;1000000000000,-1000000000000,(SLOPE(K35:K39,A35:A39)))</f>
        <v>-5.6156086308056E+018</v>
      </c>
      <c r="M37" s="73" t="str">
        <f aca="false">IF(E37&gt;0.85*BiasLight,IF( E37&lt;1.15*BiasLight,E37,""),"")</f>
        <v/>
      </c>
      <c r="N37" s="73" t="str">
        <f aca="false">IF(E37&gt;0.85*BiasLight,IF(E37&lt;1.15*BiasLight,I37,""),"")</f>
        <v/>
      </c>
      <c r="O37" s="129" t="n">
        <f aca="false">I37-Traps</f>
        <v>8754445669875410</v>
      </c>
      <c r="P37" s="127" t="e">
        <f aca="false">calclifetime(AnalysisMode,K37,Thickness,G37,L37)</f>
        <v>#NAME?</v>
      </c>
      <c r="Q37" s="129" t="str">
        <f aca="false">IF($J37="","",P37)</f>
        <v/>
      </c>
      <c r="R37" s="130" t="str">
        <f aca="false">IF(Q37="","",1/Q37)</f>
        <v/>
      </c>
      <c r="S37" s="131" t="n">
        <f aca="false">IF(AND(E37&gt;0.95*BiasLight,E37&lt;1.05*BiasLight),"",IF(AugerModel="Sinton",calclifetimeauger(Auger_Coefficient,I37,P37),calclifetimerichter(SampleType,I37,SampleDoping,P37)))</f>
        <v>14558.9439561373</v>
      </c>
      <c r="T37" s="78" t="str">
        <f aca="false">IF($J37="","",S37)</f>
        <v/>
      </c>
      <c r="U37" s="131" t="n">
        <f aca="false">FitInterceptAuger+FitSlopeAuger*(I37+Traps)</f>
        <v>-21865.3953856053</v>
      </c>
      <c r="V37" s="130" t="str">
        <f aca="false">IF(AugerModel="Sinton","",IF(SampleType="n-type",n_intr_boltzmann(SampleDoping,0,K37,Temperature+273.15),n_intr_boltzmann(0,SampleDoping,K37,Temperature+273.15)))</f>
        <v/>
      </c>
      <c r="W37" s="130" t="str">
        <f aca="false">IF(V37="","",IF(T37="","",(V37^2)*T37))</f>
        <v/>
      </c>
      <c r="X37" s="125" t="n">
        <f aca="false">IF(AND(A37&gt;TimeofMaxCD,I37&gt;Traps),IF(AugerModel="Sinton",calcimpliedv(SampleDoping,O37),calcimpliedvrichter(O37,SampleDoping,V37)),"")</f>
        <v>0.719205677997943</v>
      </c>
      <c r="Y37" s="132" t="e">
        <f aca="false">IF(OR(P37="",P37&lt;0,A37&lt;=TimeofMaxCD),"",(O37*Thickness*1.602E-019/(0.038*OptConst*P37)))</f>
        <v>#NAME?</v>
      </c>
      <c r="Z37" s="77" t="str">
        <f aca="false">IF(C37&gt;0.6,O37,"")</f>
        <v/>
      </c>
      <c r="AA37" s="133" t="n">
        <v>165.35217</v>
      </c>
      <c r="AB37" s="133" t="n">
        <v>60.810687449311</v>
      </c>
      <c r="AC37" s="130" t="n">
        <f aca="false">1/AB37</f>
        <v>0.0164444778038984</v>
      </c>
      <c r="AE37" s="130" t="e">
        <f aca="false">H37/(K37*AreaFrac*Thickness*1.602E-019)</f>
        <v>#NAME?</v>
      </c>
    </row>
    <row collapsed="false" customFormat="false" customHeight="false" hidden="false" ht="12.75" outlineLevel="0" r="38">
      <c r="A38" s="123" t="n">
        <v>0.0029499</v>
      </c>
      <c r="B38" s="123" t="n">
        <v>1.16126</v>
      </c>
      <c r="C38" s="124" t="n">
        <v>0.14462</v>
      </c>
      <c r="D38" s="125" t="n">
        <f aca="false">IF(CouplingMode="AC",B38-(A$11-A$10)*SUM(B$9:B38)/0.21,B38)</f>
        <v>1.16126</v>
      </c>
      <c r="E38" s="126" t="n">
        <f aca="false">IF(C38&gt;0,C38/RefCellCal,0.00001)</f>
        <v>13.7419456424546</v>
      </c>
      <c r="F38" s="126" t="n">
        <f aca="false">E38-BiasLight</f>
        <v>13.7419456424546</v>
      </c>
      <c r="G38" s="127" t="n">
        <f aca="false">F38*0.038*OptConst/1.602E-019</f>
        <v>2.28174628020782E+018</v>
      </c>
      <c r="H38" s="128" t="e">
        <f aca="false">calcconductance(B38,Dark_Voltage,A_cal,B_cal,C_cal)</f>
        <v>#NAME?</v>
      </c>
      <c r="I38" s="127" t="n">
        <f aca="false">IF(MobilityModel=DK,calcdeltan(H38,SampleDoping,Thickness,AreaFrac),calcdeltandl(H38,AreaFrac,Thickness,SampleType,SampleDoping,Temperature))</f>
        <v>8211088727205680</v>
      </c>
      <c r="J38" s="127" t="str">
        <f aca="false">IF(AND(AND(I38&gt;=FitRangeMin,I38&lt;=FitRangeMax),A38&gt;TimeofMaxCD),I38,"")</f>
        <v/>
      </c>
      <c r="K38" s="127" t="n">
        <f aca="false">IF(I38-BiasPtCD=0,0.00001,I38-BiasPtCD)</f>
        <v>8211088727205680</v>
      </c>
      <c r="L38" s="129" t="n">
        <f aca="false">IF(ABS(SLOPE(K36:K40,A36:A40))&lt;1000000000000,-1000000000000,(SLOPE(K36:K40,A36:A40)))</f>
        <v>-5.26332432451816E+018</v>
      </c>
      <c r="M38" s="73" t="str">
        <f aca="false">IF(E38&gt;0.85*BiasLight,IF( E38&lt;1.15*BiasLight,E38,""),"")</f>
        <v/>
      </c>
      <c r="N38" s="73" t="str">
        <f aca="false">IF(E38&gt;0.85*BiasLight,IF(E38&lt;1.15*BiasLight,I38,""),"")</f>
        <v/>
      </c>
      <c r="O38" s="129" t="n">
        <f aca="false">I38-Traps</f>
        <v>8211088727205680</v>
      </c>
      <c r="P38" s="127" t="e">
        <f aca="false">calclifetime(AnalysisMode,K38,Thickness,G38,L38)</f>
        <v>#NAME?</v>
      </c>
      <c r="Q38" s="129" t="str">
        <f aca="false">IF($J38="","",P38)</f>
        <v/>
      </c>
      <c r="R38" s="130" t="str">
        <f aca="false">IF(Q38="","",1/Q38)</f>
        <v/>
      </c>
      <c r="S38" s="131" t="n">
        <f aca="false">IF(AND(E38&gt;0.95*BiasLight,E38&lt;1.05*BiasLight),"",IF(AugerModel="Sinton",calclifetimeauger(Auger_Coefficient,I38,P38),calclifetimerichter(SampleType,I38,SampleDoping,P38)))</f>
        <v>14706.9366628815</v>
      </c>
      <c r="T38" s="78" t="str">
        <f aca="false">IF($J38="","",S38)</f>
        <v/>
      </c>
      <c r="U38" s="131" t="n">
        <f aca="false">FitInterceptAuger+FitSlopeAuger*(I38+Traps)</f>
        <v>-18705.0694441333</v>
      </c>
      <c r="V38" s="130" t="str">
        <f aca="false">IF(AugerModel="Sinton","",IF(SampleType="n-type",n_intr_boltzmann(SampleDoping,0,K38,Temperature+273.15),n_intr_boltzmann(0,SampleDoping,K38,Temperature+273.15)))</f>
        <v/>
      </c>
      <c r="W38" s="130" t="str">
        <f aca="false">IF(V38="","",IF(T38="","",(V38^2)*T38))</f>
        <v/>
      </c>
      <c r="X38" s="125" t="n">
        <f aca="false">IF(AND(A38&gt;TimeofMaxCD,I38&gt;Traps),IF(AugerModel="Sinton",calcimpliedv(SampleDoping,O38),calcimpliedvrichter(O38,SampleDoping,V38)),"")</f>
        <v>0.716386251284457</v>
      </c>
      <c r="Y38" s="132" t="e">
        <f aca="false">IF(OR(P38="",P38&lt;0,A38&lt;=TimeofMaxCD),"",(O38*Thickness*1.602E-019/(0.038*OptConst*P38)))</f>
        <v>#NAME?</v>
      </c>
      <c r="Z38" s="77" t="str">
        <f aca="false">IF(C38&gt;0.6,O38,"")</f>
        <v/>
      </c>
      <c r="AA38" s="133" t="n">
        <v>170.347684</v>
      </c>
      <c r="AB38" s="133" t="n">
        <v>59.6447771958605</v>
      </c>
      <c r="AC38" s="130" t="n">
        <f aca="false">1/AB38</f>
        <v>0.0167659273286614</v>
      </c>
      <c r="AE38" s="130" t="e">
        <f aca="false">H38/(K38*AreaFrac*Thickness*1.602E-019)</f>
        <v>#NAME?</v>
      </c>
    </row>
    <row collapsed="false" customFormat="false" customHeight="false" hidden="false" ht="12.75" outlineLevel="0" r="39">
      <c r="A39" s="123" t="n">
        <v>0.0030499</v>
      </c>
      <c r="B39" s="123" t="n">
        <v>1.09763</v>
      </c>
      <c r="C39" s="124" t="n">
        <v>0.136995</v>
      </c>
      <c r="D39" s="125" t="n">
        <f aca="false">IF(CouplingMode="AC",B39-(A$11-A$10)*SUM(B$9:B39)/0.21,B39)</f>
        <v>1.09763</v>
      </c>
      <c r="E39" s="126" t="n">
        <f aca="false">IF(C39&gt;0,C39/RefCellCal,0.00001)</f>
        <v>13.017410062841</v>
      </c>
      <c r="F39" s="126" t="n">
        <f aca="false">E39-BiasLight</f>
        <v>13.017410062841</v>
      </c>
      <c r="G39" s="127" t="n">
        <f aca="false">F39*0.038*OptConst/1.602E-019</f>
        <v>2.16144261967273E+018</v>
      </c>
      <c r="H39" s="128" t="e">
        <f aca="false">calcconductance(B39,Dark_Voltage,A_cal,B_cal,C_cal)</f>
        <v>#NAME?</v>
      </c>
      <c r="I39" s="127" t="n">
        <f aca="false">IF(MobilityModel=DK,calcdeltan(H39,SampleDoping,Thickness,AreaFrac),calcdeltandl(H39,AreaFrac,Thickness,SampleType,SampleDoping,Temperature))</f>
        <v>7702864378172590</v>
      </c>
      <c r="J39" s="127" t="str">
        <f aca="false">IF(AND(AND(I39&gt;=FitRangeMin,I39&lt;=FitRangeMax),A39&gt;TimeofMaxCD),I39,"")</f>
        <v/>
      </c>
      <c r="K39" s="127" t="n">
        <f aca="false">IF(I39-BiasPtCD=0,0.00001,I39-BiasPtCD)</f>
        <v>7702864378172590</v>
      </c>
      <c r="L39" s="129" t="n">
        <f aca="false">IF(ABS(SLOPE(K37:K41,A37:A41))&lt;1000000000000,-1000000000000,(SLOPE(K37:K41,A37:A41)))</f>
        <v>-4.9378618554937E+018</v>
      </c>
      <c r="M39" s="73" t="str">
        <f aca="false">IF(E39&gt;0.85*BiasLight,IF( E39&lt;1.15*BiasLight,E39,""),"")</f>
        <v/>
      </c>
      <c r="N39" s="73" t="str">
        <f aca="false">IF(E39&gt;0.85*BiasLight,IF(E39&lt;1.15*BiasLight,I39,""),"")</f>
        <v/>
      </c>
      <c r="O39" s="129" t="n">
        <f aca="false">I39-Traps</f>
        <v>7702864378172590</v>
      </c>
      <c r="P39" s="127" t="e">
        <f aca="false">calclifetime(AnalysisMode,K39,Thickness,G39,L39)</f>
        <v>#NAME?</v>
      </c>
      <c r="Q39" s="129" t="str">
        <f aca="false">IF($J39="","",P39)</f>
        <v/>
      </c>
      <c r="R39" s="130" t="str">
        <f aca="false">IF(Q39="","",1/Q39)</f>
        <v/>
      </c>
      <c r="S39" s="131" t="n">
        <f aca="false">IF(AND(E39&gt;0.95*BiasLight,E39&lt;1.05*BiasLight),"",IF(AugerModel="Sinton",calclifetimeauger(Auger_Coefficient,I39,P39),calclifetimerichter(SampleType,I39,SampleDoping,P39)))</f>
        <v>14858.9992073627</v>
      </c>
      <c r="T39" s="78" t="str">
        <f aca="false">IF($J39="","",S39)</f>
        <v/>
      </c>
      <c r="U39" s="131" t="n">
        <f aca="false">FitInterceptAuger+FitSlopeAuger*(I39+Traps)</f>
        <v>-15749.0851395152</v>
      </c>
      <c r="V39" s="130" t="str">
        <f aca="false">IF(AugerModel="Sinton","",IF(SampleType="n-type",n_intr_boltzmann(SampleDoping,0,K39,Temperature+273.15),n_intr_boltzmann(0,SampleDoping,K39,Temperature+273.15)))</f>
        <v/>
      </c>
      <c r="W39" s="130" t="str">
        <f aca="false">IF(V39="","",IF(T39="","",(V39^2)*T39))</f>
        <v/>
      </c>
      <c r="X39" s="125" t="n">
        <f aca="false">IF(AND(A39&gt;TimeofMaxCD,I39&gt;Traps),IF(AugerModel="Sinton",calcimpliedv(SampleDoping,O39),calcimpliedvrichter(O39,SampleDoping,V39)),"")</f>
        <v>0.713596659505112</v>
      </c>
      <c r="Y39" s="132" t="e">
        <f aca="false">IF(OR(P39="",P39&lt;0,A39&lt;=TimeofMaxCD),"",(O39*Thickness*1.602E-019/(0.038*OptConst*P39)))</f>
        <v>#NAME?</v>
      </c>
      <c r="Z39" s="77" t="str">
        <f aca="false">IF(C39&gt;0.6,O39,"")</f>
        <v/>
      </c>
      <c r="AA39" s="133" t="n">
        <v>175.258086</v>
      </c>
      <c r="AB39" s="133" t="n">
        <v>58.5243439256839</v>
      </c>
      <c r="AC39" s="130" t="n">
        <f aca="false">1/AB39</f>
        <v>0.0170869066258963</v>
      </c>
      <c r="AE39" s="130" t="e">
        <f aca="false">H39/(K39*AreaFrac*Thickness*1.602E-019)</f>
        <v>#NAME?</v>
      </c>
    </row>
    <row collapsed="false" customFormat="false" customHeight="false" hidden="false" ht="12.75" outlineLevel="0" r="40">
      <c r="A40" s="123" t="n">
        <v>0.0031499</v>
      </c>
      <c r="B40" s="123" t="n">
        <v>1.03727</v>
      </c>
      <c r="C40" s="124" t="n">
        <v>0.129895</v>
      </c>
      <c r="D40" s="125" t="n">
        <f aca="false">IF(CouplingMode="AC",B40-(A$11-A$10)*SUM(B$9:B40)/0.21,B40)</f>
        <v>1.03727</v>
      </c>
      <c r="E40" s="126" t="n">
        <f aca="false">IF(C40&gt;0,C40/RefCellCal,0.00001)</f>
        <v>12.3427605395287</v>
      </c>
      <c r="F40" s="126" t="n">
        <f aca="false">E40-BiasLight</f>
        <v>12.3427605395287</v>
      </c>
      <c r="G40" s="127" t="n">
        <f aca="false">F40*0.038*OptConst/1.602E-019</f>
        <v>2.04942216199415E+018</v>
      </c>
      <c r="H40" s="128" t="e">
        <f aca="false">calcconductance(B40,Dark_Voltage,A_cal,B_cal,C_cal)</f>
        <v>#NAME?</v>
      </c>
      <c r="I40" s="127" t="n">
        <f aca="false">IF(MobilityModel=DK,calcdeltan(H40,SampleDoping,Thickness,AreaFrac),calcdeltandl(H40,AreaFrac,Thickness,SampleType,SampleDoping,Temperature))</f>
        <v>7226807255739610</v>
      </c>
      <c r="J40" s="127" t="str">
        <f aca="false">IF(AND(AND(I40&gt;=FitRangeMin,I40&lt;=FitRangeMax),A40&gt;TimeofMaxCD),I40,"")</f>
        <v/>
      </c>
      <c r="K40" s="127" t="n">
        <f aca="false">IF(I40-BiasPtCD=0,0.00001,I40-BiasPtCD)</f>
        <v>7226807255739610</v>
      </c>
      <c r="L40" s="129" t="n">
        <f aca="false">IF(ABS(SLOPE(K38:K42,A38:A42))&lt;1000000000000,-1000000000000,(SLOPE(K38:K42,A38:A42)))</f>
        <v>-4.63657776651989E+018</v>
      </c>
      <c r="M40" s="73" t="str">
        <f aca="false">IF(E40&gt;0.85*BiasLight,IF( E40&lt;1.15*BiasLight,E40,""),"")</f>
        <v/>
      </c>
      <c r="N40" s="73" t="str">
        <f aca="false">IF(E40&gt;0.85*BiasLight,IF(E40&lt;1.15*BiasLight,I40,""),"")</f>
        <v/>
      </c>
      <c r="O40" s="129" t="n">
        <f aca="false">I40-Traps</f>
        <v>7226807255739610</v>
      </c>
      <c r="P40" s="127" t="e">
        <f aca="false">calclifetime(AnalysisMode,K40,Thickness,G40,L40)</f>
        <v>#NAME?</v>
      </c>
      <c r="Q40" s="129" t="str">
        <f aca="false">IF($J40="","",P40)</f>
        <v/>
      </c>
      <c r="R40" s="130" t="str">
        <f aca="false">IF(Q40="","",1/Q40)</f>
        <v/>
      </c>
      <c r="S40" s="131" t="n">
        <f aca="false">IF(AND(E40&gt;0.95*BiasLight,E40&lt;1.05*BiasLight),"",IF(AugerModel="Sinton",calclifetimeauger(Auger_Coefficient,I40,P40),calclifetimerichter(SampleType,I40,SampleDoping,P40)))</f>
        <v>15023.5631036112</v>
      </c>
      <c r="T40" s="78" t="str">
        <f aca="false">IF($J40="","",S40)</f>
        <v/>
      </c>
      <c r="U40" s="131" t="n">
        <f aca="false">FitInterceptAuger+FitSlopeAuger*(I40+Traps)</f>
        <v>-12980.195013155</v>
      </c>
      <c r="V40" s="130" t="str">
        <f aca="false">IF(AugerModel="Sinton","",IF(SampleType="n-type",n_intr_boltzmann(SampleDoping,0,K40,Temperature+273.15),n_intr_boltzmann(0,SampleDoping,K40,Temperature+273.15)))</f>
        <v/>
      </c>
      <c r="W40" s="130" t="str">
        <f aca="false">IF(V40="","",IF(T40="","",(V40^2)*T40))</f>
        <v/>
      </c>
      <c r="X40" s="125" t="n">
        <f aca="false">IF(AND(A40&gt;TimeofMaxCD,I40&gt;Traps),IF(AugerModel="Sinton",calcimpliedv(SampleDoping,O40),calcimpliedvrichter(O40,SampleDoping,V40)),"")</f>
        <v>0.710833630109503</v>
      </c>
      <c r="Y40" s="132" t="e">
        <f aca="false">IF(OR(P40="",P40&lt;0,A40&lt;=TimeofMaxCD),"",(O40*Thickness*1.602E-019/(0.038*OptConst*P40)))</f>
        <v>#NAME?</v>
      </c>
      <c r="Z40" s="77" t="str">
        <f aca="false">IF(C40&gt;0.6,O40,"")</f>
        <v/>
      </c>
      <c r="AA40" s="133" t="n">
        <v>180.424954</v>
      </c>
      <c r="AB40" s="133" t="n">
        <v>57.2372965270569</v>
      </c>
      <c r="AC40" s="130" t="n">
        <f aca="false">1/AB40</f>
        <v>0.0174711256589012</v>
      </c>
      <c r="AE40" s="130" t="e">
        <f aca="false">H40/(K40*AreaFrac*Thickness*1.602E-019)</f>
        <v>#NAME?</v>
      </c>
    </row>
    <row collapsed="false" customFormat="false" customHeight="false" hidden="false" ht="12.75" outlineLevel="0" r="41">
      <c r="A41" s="123" t="n">
        <v>0.0032499</v>
      </c>
      <c r="B41" s="123" t="n">
        <v>0.979624</v>
      </c>
      <c r="C41" s="124" t="n">
        <v>0.123161</v>
      </c>
      <c r="D41" s="125" t="n">
        <f aca="false">IF(CouplingMode="AC",B41-(A$11-A$10)*SUM(B$9:B41)/0.21,B41)</f>
        <v>0.979624</v>
      </c>
      <c r="E41" s="126" t="n">
        <f aca="false">IF(C41&gt;0,C41/RefCellCal,0.00001)</f>
        <v>11.7028887240378</v>
      </c>
      <c r="F41" s="126" t="n">
        <f aca="false">E41-BiasLight</f>
        <v>11.7028887240378</v>
      </c>
      <c r="G41" s="127" t="n">
        <f aca="false">F41*0.038*OptConst/1.602E-019</f>
        <v>1.94317628002126E+018</v>
      </c>
      <c r="H41" s="128" t="e">
        <f aca="false">calcconductance(B41,Dark_Voltage,A_cal,B_cal,C_cal)</f>
        <v>#NAME?</v>
      </c>
      <c r="I41" s="127" t="n">
        <f aca="false">IF(MobilityModel=DK,calcdeltan(H41,SampleDoping,Thickness,AreaFrac),calcdeltandl(H41,AreaFrac,Thickness,SampleType,SampleDoping,Temperature))</f>
        <v>6777655477861600</v>
      </c>
      <c r="J41" s="127" t="str">
        <f aca="false">IF(AND(AND(I41&gt;=FitRangeMin,I41&lt;=FitRangeMax),A41&gt;TimeofMaxCD),I41,"")</f>
        <v/>
      </c>
      <c r="K41" s="127" t="n">
        <f aca="false">IF(I41-BiasPtCD=0,0.00001,I41-BiasPtCD)</f>
        <v>6777655477861600</v>
      </c>
      <c r="L41" s="129" t="n">
        <f aca="false">IF(ABS(SLOPE(K39:K43,A39:A43))&lt;1000000000000,-1000000000000,(SLOPE(K39:K43,A39:A43)))</f>
        <v>-4.36087274003162E+018</v>
      </c>
      <c r="M41" s="73" t="str">
        <f aca="false">IF(E41&gt;0.85*BiasLight,IF( E41&lt;1.15*BiasLight,E41,""),"")</f>
        <v/>
      </c>
      <c r="N41" s="73" t="str">
        <f aca="false">IF(E41&gt;0.85*BiasLight,IF(E41&lt;1.15*BiasLight,I41,""),"")</f>
        <v/>
      </c>
      <c r="O41" s="129" t="n">
        <f aca="false">I41-Traps</f>
        <v>6777655477861600</v>
      </c>
      <c r="P41" s="127" t="e">
        <f aca="false">calclifetime(AnalysisMode,K41,Thickness,G41,L41)</f>
        <v>#NAME?</v>
      </c>
      <c r="Q41" s="129" t="str">
        <f aca="false">IF($J41="","",P41)</f>
        <v/>
      </c>
      <c r="R41" s="130" t="str">
        <f aca="false">IF(Q41="","",1/Q41)</f>
        <v/>
      </c>
      <c r="S41" s="131" t="n">
        <f aca="false">IF(AND(E41&gt;0.95*BiasLight,E41&lt;1.05*BiasLight),"",IF(AugerModel="Sinton",calclifetimeauger(Auger_Coefficient,I41,P41),calclifetimerichter(SampleType,I41,SampleDoping,P41)))</f>
        <v>15194.8843367101</v>
      </c>
      <c r="T41" s="78" t="str">
        <f aca="false">IF($J41="","",S41)</f>
        <v/>
      </c>
      <c r="U41" s="131" t="n">
        <f aca="false">FitInterceptAuger+FitSlopeAuger*(I41+Traps)</f>
        <v>-10367.7943906256</v>
      </c>
      <c r="V41" s="130" t="str">
        <f aca="false">IF(AugerModel="Sinton","",IF(SampleType="n-type",n_intr_boltzmann(SampleDoping,0,K41,Temperature+273.15),n_intr_boltzmann(0,SampleDoping,K41,Temperature+273.15)))</f>
        <v/>
      </c>
      <c r="W41" s="130" t="str">
        <f aca="false">IF(V41="","",IF(T41="","",(V41^2)*T41))</f>
        <v/>
      </c>
      <c r="X41" s="125" t="n">
        <f aca="false">IF(AND(A41&gt;TimeofMaxCD,I41&gt;Traps),IF(AugerModel="Sinton",calcimpliedv(SampleDoping,O41),calcimpliedvrichter(O41,SampleDoping,V41)),"")</f>
        <v>0.708077509851315</v>
      </c>
      <c r="Y41" s="132" t="e">
        <f aca="false">IF(OR(P41="",P41&lt;0,A41&lt;=TimeofMaxCD),"",(O41*Thickness*1.602E-019/(0.038*OptConst*P41)))</f>
        <v>#NAME?</v>
      </c>
      <c r="Z41" s="77" t="str">
        <f aca="false">IF(C41&gt;0.6,O41,"")</f>
        <v/>
      </c>
      <c r="AA41" s="133" t="n">
        <v>185.40362</v>
      </c>
      <c r="AB41" s="133" t="n">
        <v>56.1233794534917</v>
      </c>
      <c r="AC41" s="130" t="n">
        <f aca="false">1/AB41</f>
        <v>0.0178178864091511</v>
      </c>
      <c r="AE41" s="130" t="e">
        <f aca="false">H41/(K41*AreaFrac*Thickness*1.602E-019)</f>
        <v>#NAME?</v>
      </c>
    </row>
    <row collapsed="false" customFormat="false" customHeight="false" hidden="false" ht="12.75" outlineLevel="0" r="42">
      <c r="A42" s="123" t="n">
        <v>0.0033499</v>
      </c>
      <c r="B42" s="123" t="n">
        <v>0.92479</v>
      </c>
      <c r="C42" s="124" t="n">
        <v>0.116784</v>
      </c>
      <c r="D42" s="125" t="n">
        <f aca="false">IF(CouplingMode="AC",B42-(A$11-A$10)*SUM(B$9:B42)/0.21,B42)</f>
        <v>0.92479</v>
      </c>
      <c r="E42" s="126" t="n">
        <f aca="false">IF(C42&gt;0,C42/RefCellCal,0.00001)</f>
        <v>11.0969394268318</v>
      </c>
      <c r="F42" s="126" t="n">
        <f aca="false">E42-BiasLight</f>
        <v>11.0969394268318</v>
      </c>
      <c r="G42" s="127" t="n">
        <f aca="false">F42*0.038*OptConst/1.602E-019</f>
        <v>1.8425629759908E+018</v>
      </c>
      <c r="H42" s="128" t="e">
        <f aca="false">calcconductance(B42,Dark_Voltage,A_cal,B_cal,C_cal)</f>
        <v>#NAME?</v>
      </c>
      <c r="I42" s="127" t="n">
        <f aca="false">IF(MobilityModel=DK,calcdeltan(H42,SampleDoping,Thickness,AreaFrac),calcdeltandl(H42,AreaFrac,Thickness,SampleType,SampleDoping,Temperature))</f>
        <v>6355404294101230</v>
      </c>
      <c r="J42" s="127" t="str">
        <f aca="false">IF(AND(AND(I42&gt;=FitRangeMin,I42&lt;=FitRangeMax),A42&gt;TimeofMaxCD),I42,"")</f>
        <v/>
      </c>
      <c r="K42" s="127" t="n">
        <f aca="false">IF(I42-BiasPtCD=0,0.00001,I42-BiasPtCD)</f>
        <v>6355404294101230</v>
      </c>
      <c r="L42" s="129" t="n">
        <f aca="false">IF(ABS(SLOPE(K40:K44,A40:A44))&lt;1000000000000,-1000000000000,(SLOPE(K40:K44,A40:A44)))</f>
        <v>-4.09490093566106E+018</v>
      </c>
      <c r="M42" s="73" t="str">
        <f aca="false">IF(E42&gt;0.85*BiasLight,IF( E42&lt;1.15*BiasLight,E42,""),"")</f>
        <v/>
      </c>
      <c r="N42" s="73" t="str">
        <f aca="false">IF(E42&gt;0.85*BiasLight,IF(E42&lt;1.15*BiasLight,I42,""),"")</f>
        <v/>
      </c>
      <c r="O42" s="129" t="n">
        <f aca="false">I42-Traps</f>
        <v>6355404294101230</v>
      </c>
      <c r="P42" s="127" t="e">
        <f aca="false">calclifetime(AnalysisMode,K42,Thickness,G42,L42)</f>
        <v>#NAME?</v>
      </c>
      <c r="Q42" s="129" t="str">
        <f aca="false">IF($J42="","",P42)</f>
        <v/>
      </c>
      <c r="R42" s="130" t="str">
        <f aca="false">IF(Q42="","",1/Q42)</f>
        <v/>
      </c>
      <c r="S42" s="131" t="n">
        <f aca="false">IF(AND(E42&gt;0.95*BiasLight,E42&lt;1.05*BiasLight),"",IF(AugerModel="Sinton",calclifetimeauger(Auger_Coefficient,I42,P42),calclifetimerichter(SampleType,I42,SampleDoping,P42)))</f>
        <v>15369.1387527595</v>
      </c>
      <c r="T42" s="78" t="str">
        <f aca="false">IF($J42="","",S42)</f>
        <v/>
      </c>
      <c r="U42" s="131" t="n">
        <f aca="false">FitInterceptAuger+FitSlopeAuger*(I42+Traps)</f>
        <v>-7911.85564196717</v>
      </c>
      <c r="V42" s="130" t="str">
        <f aca="false">IF(AugerModel="Sinton","",IF(SampleType="n-type",n_intr_boltzmann(SampleDoping,0,K42,Temperature+273.15),n_intr_boltzmann(0,SampleDoping,K42,Temperature+273.15)))</f>
        <v/>
      </c>
      <c r="W42" s="130" t="str">
        <f aca="false">IF(V42="","",IF(T42="","",(V42^2)*T42))</f>
        <v/>
      </c>
      <c r="X42" s="125" t="n">
        <f aca="false">IF(AND(A42&gt;TimeofMaxCD,I42&gt;Traps),IF(AugerModel="Sinton",calcimpliedv(SampleDoping,O42),calcimpliedvrichter(O42,SampleDoping,V42)),"")</f>
        <v>0.705338187118026</v>
      </c>
      <c r="Y42" s="132" t="e">
        <f aca="false">IF(OR(P42="",P42&lt;0,A42&lt;=TimeofMaxCD),"",(O42*Thickness*1.602E-019/(0.038*OptConst*P42)))</f>
        <v>#NAME?</v>
      </c>
      <c r="Z42" s="77" t="str">
        <f aca="false">IF(C42&gt;0.6,O42,"")</f>
        <v/>
      </c>
      <c r="AA42" s="133" t="n">
        <v>190.424297</v>
      </c>
      <c r="AB42" s="133" t="n">
        <v>55.128683927355</v>
      </c>
      <c r="AC42" s="130" t="n">
        <f aca="false">1/AB42</f>
        <v>0.0181393773397118</v>
      </c>
      <c r="AE42" s="130" t="e">
        <f aca="false">H42/(K42*AreaFrac*Thickness*1.602E-019)</f>
        <v>#NAME?</v>
      </c>
    </row>
    <row collapsed="false" customFormat="false" customHeight="false" hidden="false" ht="12.75" outlineLevel="0" r="43">
      <c r="A43" s="123" t="n">
        <v>0.0034499</v>
      </c>
      <c r="B43" s="123" t="n">
        <v>0.872612</v>
      </c>
      <c r="C43" s="124" t="n">
        <v>0.110778</v>
      </c>
      <c r="D43" s="125" t="n">
        <f aca="false">IF(CouplingMode="AC",B43-(A$11-A$10)*SUM(B$9:B43)/0.21,B43)</f>
        <v>0.872612</v>
      </c>
      <c r="E43" s="126" t="n">
        <f aca="false">IF(C43&gt;0,C43/RefCellCal,0.00001)</f>
        <v>10.5262429427454</v>
      </c>
      <c r="F43" s="126" t="n">
        <f aca="false">E43-BiasLight</f>
        <v>10.5262429427454</v>
      </c>
      <c r="G43" s="127" t="n">
        <f aca="false">F43*0.038*OptConst/1.602E-019</f>
        <v>1.74780313531228E+018</v>
      </c>
      <c r="H43" s="128" t="e">
        <f aca="false">calcconductance(B43,Dark_Voltage,A_cal,B_cal,C_cal)</f>
        <v>#NAME?</v>
      </c>
      <c r="I43" s="127" t="n">
        <f aca="false">IF(MobilityModel=DK,calcdeltan(H43,SampleDoping,Thickness,AreaFrac),calcdeltandl(H43,AreaFrac,Thickness,SampleType,SampleDoping,Temperature))</f>
        <v>5958129488975960</v>
      </c>
      <c r="J43" s="127" t="str">
        <f aca="false">IF(AND(AND(I43&gt;=FitRangeMin,I43&lt;=FitRangeMax),A43&gt;TimeofMaxCD),I43,"")</f>
        <v/>
      </c>
      <c r="K43" s="127" t="n">
        <f aca="false">IF(I43-BiasPtCD=0,0.00001,I43-BiasPtCD)</f>
        <v>5958129488975960</v>
      </c>
      <c r="L43" s="129" t="n">
        <f aca="false">IF(ABS(SLOPE(K41:K45,A41:A45))&lt;1000000000000,-1000000000000,(SLOPE(K41:K45,A41:A45)))</f>
        <v>-3.84136050967209E+018</v>
      </c>
      <c r="M43" s="73" t="str">
        <f aca="false">IF(E43&gt;0.85*BiasLight,IF( E43&lt;1.15*BiasLight,E43,""),"")</f>
        <v/>
      </c>
      <c r="N43" s="73" t="str">
        <f aca="false">IF(E43&gt;0.85*BiasLight,IF(E43&lt;1.15*BiasLight,I43,""),"")</f>
        <v/>
      </c>
      <c r="O43" s="129" t="n">
        <f aca="false">I43-Traps</f>
        <v>5958129488975960</v>
      </c>
      <c r="P43" s="127" t="e">
        <f aca="false">calclifetime(AnalysisMode,K43,Thickness,G43,L43)</f>
        <v>#NAME?</v>
      </c>
      <c r="Q43" s="129" t="str">
        <f aca="false">IF($J43="","",P43)</f>
        <v/>
      </c>
      <c r="R43" s="130" t="str">
        <f aca="false">IF(Q43="","",1/Q43)</f>
        <v/>
      </c>
      <c r="S43" s="131" t="n">
        <f aca="false">IF(AND(E43&gt;0.95*BiasLight,E43&lt;1.05*BiasLight),"",IF(AugerModel="Sinton",calclifetimeauger(Auger_Coefficient,I43,P43),calclifetimerichter(SampleType,I43,SampleDoping,P43)))</f>
        <v>15552.5126328733</v>
      </c>
      <c r="T43" s="78" t="str">
        <f aca="false">IF($J43="","",S43)</f>
        <v/>
      </c>
      <c r="U43" s="131" t="n">
        <f aca="false">FitInterceptAuger+FitSlopeAuger*(I43+Traps)</f>
        <v>-5601.1869563666</v>
      </c>
      <c r="V43" s="130" t="str">
        <f aca="false">IF(AugerModel="Sinton","",IF(SampleType="n-type",n_intr_boltzmann(SampleDoping,0,K43,Temperature+273.15),n_intr_boltzmann(0,SampleDoping,K43,Temperature+273.15)))</f>
        <v/>
      </c>
      <c r="W43" s="130" t="str">
        <f aca="false">IF(V43="","",IF(T43="","",(V43^2)*T43))</f>
        <v/>
      </c>
      <c r="X43" s="125" t="n">
        <f aca="false">IF(AND(A43&gt;TimeofMaxCD,I43&gt;Traps),IF(AugerModel="Sinton",calcimpliedv(SampleDoping,O43),calcimpliedvrichter(O43,SampleDoping,V43)),"")</f>
        <v>0.702613653089566</v>
      </c>
      <c r="Y43" s="132" t="e">
        <f aca="false">IF(OR(P43="",P43&lt;0,A43&lt;=TimeofMaxCD),"",(O43*Thickness*1.602E-019/(0.038*OptConst*P43)))</f>
        <v>#NAME?</v>
      </c>
      <c r="Z43" s="77" t="str">
        <f aca="false">IF(C43&gt;0.6,O43,"")</f>
        <v/>
      </c>
      <c r="AA43" s="133" t="n">
        <v>195.404594</v>
      </c>
      <c r="AB43" s="133" t="n">
        <v>54.0358045744986</v>
      </c>
      <c r="AC43" s="130" t="n">
        <f aca="false">1/AB43</f>
        <v>0.0185062479937966</v>
      </c>
      <c r="AE43" s="130" t="e">
        <f aca="false">H43/(K43*AreaFrac*Thickness*1.602E-019)</f>
        <v>#NAME?</v>
      </c>
    </row>
    <row collapsed="false" customFormat="false" customHeight="false" hidden="false" ht="12.75" outlineLevel="0" r="44">
      <c r="A44" s="123" t="n">
        <v>0.0035499</v>
      </c>
      <c r="B44" s="123" t="n">
        <v>0.823618</v>
      </c>
      <c r="C44" s="124" t="n">
        <v>0.10512</v>
      </c>
      <c r="D44" s="125" t="n">
        <f aca="false">IF(CouplingMode="AC",B44-(A$11-A$10)*SUM(B$9:B44)/0.21,B44)</f>
        <v>0.823618</v>
      </c>
      <c r="E44" s="126" t="n">
        <f aca="false">IF(C44&gt;0,C44/RefCellCal,0.00001)</f>
        <v>9.98861378740719</v>
      </c>
      <c r="F44" s="126" t="n">
        <f aca="false">E44-BiasLight</f>
        <v>9.98861378740719</v>
      </c>
      <c r="G44" s="127" t="n">
        <f aca="false">F44*0.038*OptConst/1.602E-019</f>
        <v>1.65853387481293E+018</v>
      </c>
      <c r="H44" s="128" t="e">
        <f aca="false">calcconductance(B44,Dark_Voltage,A_cal,B_cal,C_cal)</f>
        <v>#NAME?</v>
      </c>
      <c r="I44" s="127" t="n">
        <f aca="false">IF(MobilityModel=DK,calcdeltan(H44,SampleDoping,Thickness,AreaFrac),calcdeltandl(H44,AreaFrac,Thickness,SampleType,SampleDoping,Temperature))</f>
        <v>5589119782351900</v>
      </c>
      <c r="J44" s="127" t="str">
        <f aca="false">IF(AND(AND(I44&gt;=FitRangeMin,I44&lt;=FitRangeMax),A44&gt;TimeofMaxCD),I44,"")</f>
        <v/>
      </c>
      <c r="K44" s="127" t="n">
        <f aca="false">IF(I44-BiasPtCD=0,0.00001,I44-BiasPtCD)</f>
        <v>5589119782351900</v>
      </c>
      <c r="L44" s="129" t="n">
        <f aca="false">IF(ABS(SLOPE(K42:K46,A42:A46))&lt;1000000000000,-1000000000000,(SLOPE(K42:K46,A42:A46)))</f>
        <v>-3.60451107086651E+018</v>
      </c>
      <c r="M44" s="73" t="str">
        <f aca="false">IF(E44&gt;0.85*BiasLight,IF( E44&lt;1.15*BiasLight,E44,""),"")</f>
        <v/>
      </c>
      <c r="N44" s="73" t="str">
        <f aca="false">IF(E44&gt;0.85*BiasLight,IF(E44&lt;1.15*BiasLight,I44,""),"")</f>
        <v/>
      </c>
      <c r="O44" s="129" t="n">
        <f aca="false">I44-Traps</f>
        <v>5589119782351900</v>
      </c>
      <c r="P44" s="127" t="e">
        <f aca="false">calclifetime(AnalysisMode,K44,Thickness,G44,L44)</f>
        <v>#NAME?</v>
      </c>
      <c r="Q44" s="129" t="str">
        <f aca="false">IF($J44="","",P44)</f>
        <v/>
      </c>
      <c r="R44" s="130" t="str">
        <f aca="false">IF(Q44="","",1/Q44)</f>
        <v/>
      </c>
      <c r="S44" s="131" t="n">
        <f aca="false">IF(AND(E44&gt;0.95*BiasLight,E44&lt;1.05*BiasLight),"",IF(AugerModel="Sinton",calclifetimeauger(Auger_Coefficient,I44,P44),calclifetimerichter(SampleType,I44,SampleDoping,P44)))</f>
        <v>15733.0247114971</v>
      </c>
      <c r="T44" s="78" t="str">
        <f aca="false">IF($J44="","",S44)</f>
        <v/>
      </c>
      <c r="U44" s="131" t="n">
        <f aca="false">FitInterceptAuger+FitSlopeAuger*(I44+Traps)</f>
        <v>-3454.91650886108</v>
      </c>
      <c r="V44" s="130" t="str">
        <f aca="false">IF(AugerModel="Sinton","",IF(SampleType="n-type",n_intr_boltzmann(SampleDoping,0,K44,Temperature+273.15),n_intr_boltzmann(0,SampleDoping,K44,Temperature+273.15)))</f>
        <v/>
      </c>
      <c r="W44" s="130" t="str">
        <f aca="false">IF(V44="","",IF(T44="","",(V44^2)*T44))</f>
        <v/>
      </c>
      <c r="X44" s="125" t="n">
        <f aca="false">IF(AND(A44&gt;TimeofMaxCD,I44&gt;Traps),IF(AugerModel="Sinton",calcimpliedv(SampleDoping,O44),calcimpliedvrichter(O44,SampleDoping,V44)),"")</f>
        <v>0.699939476899929</v>
      </c>
      <c r="Y44" s="132" t="e">
        <f aca="false">IF(OR(P44="",P44&lt;0,A44&lt;=TimeofMaxCD),"",(O44*Thickness*1.602E-019/(0.038*OptConst*P44)))</f>
        <v>#NAME?</v>
      </c>
      <c r="Z44" s="77" t="str">
        <f aca="false">IF(C44&gt;0.6,O44,"")</f>
        <v/>
      </c>
      <c r="AA44" s="77" t="n">
        <v>200.296317</v>
      </c>
      <c r="AB44" s="77" t="n">
        <v>52.9272356848084</v>
      </c>
      <c r="AC44" s="130" t="n">
        <f aca="false">1/AB44</f>
        <v>0.0188938641336794</v>
      </c>
      <c r="AE44" s="130" t="e">
        <f aca="false">H44/(K44*AreaFrac*Thickness*1.602E-019)</f>
        <v>#NAME?</v>
      </c>
    </row>
    <row collapsed="false" customFormat="false" customHeight="false" hidden="false" ht="12.75" outlineLevel="0" r="45">
      <c r="A45" s="123" t="n">
        <v>0.0036499</v>
      </c>
      <c r="B45" s="123" t="n">
        <v>0.776796</v>
      </c>
      <c r="C45" s="124" t="n">
        <v>0.0997545</v>
      </c>
      <c r="D45" s="125" t="n">
        <f aca="false">IF(CouplingMode="AC",B45-(A$11-A$10)*SUM(B$9:B45)/0.21,B45)</f>
        <v>0.776796</v>
      </c>
      <c r="E45" s="126" t="n">
        <f aca="false">IF(C45&gt;0,C45/RefCellCal,0.00001)</f>
        <v>9.47877829200828</v>
      </c>
      <c r="F45" s="126" t="n">
        <f aca="false">E45-BiasLight</f>
        <v>9.47877829200828</v>
      </c>
      <c r="G45" s="127" t="n">
        <f aca="false">F45*0.038*OptConst/1.602E-019</f>
        <v>1.57387954161935E+018</v>
      </c>
      <c r="H45" s="128" t="e">
        <f aca="false">calcconductance(B45,Dark_Voltage,A_cal,B_cal,C_cal)</f>
        <v>#NAME?</v>
      </c>
      <c r="I45" s="127" t="n">
        <f aca="false">IF(MobilityModel=DK,calcdeltan(H45,SampleDoping,Thickness,AreaFrac),calcdeltandl(H45,AreaFrac,Thickness,SampleType,SampleDoping,Temperature))</f>
        <v>5240117478900220</v>
      </c>
      <c r="J45" s="127" t="str">
        <f aca="false">IF(AND(AND(I45&gt;=FitRangeMin,I45&lt;=FitRangeMax),A45&gt;TimeofMaxCD),I45,"")</f>
        <v/>
      </c>
      <c r="K45" s="127" t="n">
        <f aca="false">IF(I45-BiasPtCD=0,0.00001,I45-BiasPtCD)</f>
        <v>5240117478900220</v>
      </c>
      <c r="L45" s="129" t="n">
        <f aca="false">IF(ABS(SLOPE(K43:K47,A43:A47))&lt;1000000000000,-1000000000000,(SLOPE(K43:K47,A43:A47)))</f>
        <v>-3.37605194479879E+018</v>
      </c>
      <c r="M45" s="73" t="str">
        <f aca="false">IF(E45&gt;0.85*BiasLight,IF( E45&lt;1.15*BiasLight,E45,""),"")</f>
        <v/>
      </c>
      <c r="N45" s="73" t="str">
        <f aca="false">IF(E45&gt;0.85*BiasLight,IF(E45&lt;1.15*BiasLight,I45,""),"")</f>
        <v/>
      </c>
      <c r="O45" s="129" t="n">
        <f aca="false">I45-Traps</f>
        <v>5240117478900220</v>
      </c>
      <c r="P45" s="127" t="e">
        <f aca="false">calclifetime(AnalysisMode,K45,Thickness,G45,L45)</f>
        <v>#NAME?</v>
      </c>
      <c r="Q45" s="129" t="str">
        <f aca="false">IF($J45="","",P45)</f>
        <v/>
      </c>
      <c r="R45" s="130" t="str">
        <f aca="false">IF(Q45="","",1/Q45)</f>
        <v/>
      </c>
      <c r="S45" s="131" t="n">
        <f aca="false">IF(AND(E45&gt;0.95*BiasLight,E45&lt;1.05*BiasLight),"",IF(AugerModel="Sinton",calclifetimeauger(Auger_Coefficient,I45,P45),calclifetimerichter(SampleType,I45,SampleDoping,P45)))</f>
        <v>15922.7680756907</v>
      </c>
      <c r="T45" s="78" t="str">
        <f aca="false">IF($J45="","",S45)</f>
        <v/>
      </c>
      <c r="U45" s="131" t="n">
        <f aca="false">FitInterceptAuger+FitSlopeAuger*(I45+Traps)</f>
        <v>-1425.01508197856</v>
      </c>
      <c r="V45" s="130" t="str">
        <f aca="false">IF(AugerModel="Sinton","",IF(SampleType="n-type",n_intr_boltzmann(SampleDoping,0,K45,Temperature+273.15),n_intr_boltzmann(0,SampleDoping,K45,Temperature+273.15)))</f>
        <v/>
      </c>
      <c r="W45" s="130" t="str">
        <f aca="false">IF(V45="","",IF(T45="","",(V45^2)*T45))</f>
        <v/>
      </c>
      <c r="X45" s="125" t="n">
        <f aca="false">IF(AND(A45&gt;TimeofMaxCD,I45&gt;Traps),IF(AugerModel="Sinton",calcimpliedv(SampleDoping,O45),calcimpliedvrichter(O45,SampleDoping,V45)),"")</f>
        <v>0.69726762195907</v>
      </c>
      <c r="Y45" s="132" t="e">
        <f aca="false">IF(OR(P45="",P45&lt;0,A45&lt;=TimeofMaxCD),"",(O45*Thickness*1.602E-019/(0.038*OptConst*P45)))</f>
        <v>#NAME?</v>
      </c>
      <c r="Z45" s="77" t="str">
        <f aca="false">IF(C45&gt;0.6,O45,"")</f>
        <v/>
      </c>
      <c r="AE45" s="130" t="e">
        <f aca="false">H45/(K45*AreaFrac*Thickness*1.602E-019)</f>
        <v>#NAME?</v>
      </c>
    </row>
    <row collapsed="false" customFormat="false" customHeight="false" hidden="false" ht="12.75" outlineLevel="0" r="46">
      <c r="A46" s="123" t="n">
        <v>0.0037499</v>
      </c>
      <c r="B46" s="123" t="n">
        <v>0.732353</v>
      </c>
      <c r="C46" s="124" t="n">
        <v>0.0947604</v>
      </c>
      <c r="D46" s="125" t="n">
        <f aca="false">IF(CouplingMode="AC",B46-(A$11-A$10)*SUM(B$9:B46)/0.21,B46)</f>
        <v>0.732353</v>
      </c>
      <c r="E46" s="126" t="n">
        <f aca="false">IF(C46&gt;0,C46/RefCellCal,0.00001)</f>
        <v>9.00423361815278</v>
      </c>
      <c r="F46" s="126" t="n">
        <f aca="false">E46-BiasLight</f>
        <v>9.00423361815278</v>
      </c>
      <c r="G46" s="127" t="n">
        <f aca="false">F46*0.038*OptConst/1.602E-019</f>
        <v>1.49508498278941E+018</v>
      </c>
      <c r="H46" s="128" t="e">
        <f aca="false">calcconductance(B46,Dark_Voltage,A_cal,B_cal,C_cal)</f>
        <v>#NAME?</v>
      </c>
      <c r="I46" s="127" t="n">
        <f aca="false">IF(MobilityModel=DK,calcdeltan(H46,SampleDoping,Thickness,AreaFrac),calcdeltandl(H46,AreaFrac,Thickness,SampleType,SampleDoping,Temperature))</f>
        <v>4912154763705850</v>
      </c>
      <c r="J46" s="127" t="str">
        <f aca="false">IF(AND(AND(I46&gt;=FitRangeMin,I46&lt;=FitRangeMax),A46&gt;TimeofMaxCD),I46,"")</f>
        <v/>
      </c>
      <c r="K46" s="127" t="n">
        <f aca="false">IF(I46-BiasPtCD=0,0.00001,I46-BiasPtCD)</f>
        <v>4912154763705850</v>
      </c>
      <c r="L46" s="129" t="n">
        <f aca="false">IF(ABS(SLOPE(K44:K48,A44:A48))&lt;1000000000000,-1000000000000,(SLOPE(K44:K48,A44:A48)))</f>
        <v>-3.16916349298489E+018</v>
      </c>
      <c r="M46" s="73" t="str">
        <f aca="false">IF(E46&gt;0.85*BiasLight,IF( E46&lt;1.15*BiasLight,E46,""),"")</f>
        <v/>
      </c>
      <c r="N46" s="73" t="str">
        <f aca="false">IF(E46&gt;0.85*BiasLight,IF(E46&lt;1.15*BiasLight,I46,""),"")</f>
        <v/>
      </c>
      <c r="O46" s="129" t="n">
        <f aca="false">I46-Traps</f>
        <v>4912154763705850</v>
      </c>
      <c r="P46" s="127" t="e">
        <f aca="false">calclifetime(AnalysisMode,K46,Thickness,G46,L46)</f>
        <v>#NAME?</v>
      </c>
      <c r="Q46" s="129" t="str">
        <f aca="false">IF($J46="","",P46)</f>
        <v/>
      </c>
      <c r="R46" s="130" t="str">
        <f aca="false">IF(Q46="","",1/Q46)</f>
        <v/>
      </c>
      <c r="S46" s="131" t="n">
        <f aca="false">IF(AND(E46&gt;0.95*BiasLight,E46&lt;1.05*BiasLight),"",IF(AugerModel="Sinton",calclifetimeauger(Auger_Coefficient,I46,P46),calclifetimerichter(SampleType,I46,SampleDoping,P46)))</f>
        <v>16133.9084526571</v>
      </c>
      <c r="T46" s="78" t="str">
        <f aca="false">IF($J46="","",S46)</f>
        <v/>
      </c>
      <c r="U46" s="131" t="n">
        <f aca="false">FitInterceptAuger+FitSlopeAuger*(I46+Traps)</f>
        <v>482.513828155134</v>
      </c>
      <c r="V46" s="130" t="str">
        <f aca="false">IF(AugerModel="Sinton","",IF(SampleType="n-type",n_intr_boltzmann(SampleDoping,0,K46,Temperature+273.15),n_intr_boltzmann(0,SampleDoping,K46,Temperature+273.15)))</f>
        <v/>
      </c>
      <c r="W46" s="130" t="str">
        <f aca="false">IF(V46="","",IF(T46="","",(V46^2)*T46))</f>
        <v/>
      </c>
      <c r="X46" s="125" t="n">
        <f aca="false">IF(AND(A46&gt;TimeofMaxCD,I46&gt;Traps),IF(AugerModel="Sinton",calcimpliedv(SampleDoping,O46),calcimpliedvrichter(O46,SampleDoping,V46)),"")</f>
        <v>0.694615016538997</v>
      </c>
      <c r="Y46" s="132" t="e">
        <f aca="false">IF(OR(P46="",P46&lt;0,A46&lt;=TimeofMaxCD),"",(O46*Thickness*1.602E-019/(0.038*OptConst*P46)))</f>
        <v>#NAME?</v>
      </c>
      <c r="Z46" s="77" t="str">
        <f aca="false">IF(C46&gt;0.6,O46,"")</f>
        <v/>
      </c>
      <c r="AE46" s="130" t="e">
        <f aca="false">H46/(K46*AreaFrac*Thickness*1.602E-019)</f>
        <v>#NAME?</v>
      </c>
    </row>
    <row collapsed="false" customFormat="false" customHeight="false" hidden="false" ht="12.75" outlineLevel="0" r="47">
      <c r="A47" s="123" t="n">
        <v>0.0038499</v>
      </c>
      <c r="B47" s="123" t="n">
        <v>0.69082</v>
      </c>
      <c r="C47" s="124" t="n">
        <v>0.0899078</v>
      </c>
      <c r="D47" s="125" t="n">
        <f aca="false">IF(CouplingMode="AC",B47-(A$11-A$10)*SUM(B$9:B47)/0.21,B47)</f>
        <v>0.69082</v>
      </c>
      <c r="E47" s="126" t="n">
        <f aca="false">IF(C47&gt;0,C47/RefCellCal,0.00001)</f>
        <v>8.54313442423371</v>
      </c>
      <c r="F47" s="126" t="n">
        <f aca="false">E47-BiasLight</f>
        <v>8.54313442423371</v>
      </c>
      <c r="G47" s="127" t="n">
        <f aca="false">F47*0.038*OptConst/1.602E-019</f>
        <v>1.41852294434842E+018</v>
      </c>
      <c r="H47" s="128" t="e">
        <f aca="false">calcconductance(B47,Dark_Voltage,A_cal,B_cal,C_cal)</f>
        <v>#NAME?</v>
      </c>
      <c r="I47" s="127" t="n">
        <f aca="false">IF(MobilityModel=DK,calcdeltan(H47,SampleDoping,Thickness,AreaFrac),calcdeltandl(H47,AreaFrac,Thickness,SampleType,SampleDoping,Temperature))</f>
        <v>4608586025899590</v>
      </c>
      <c r="J47" s="127" t="str">
        <f aca="false">IF(AND(AND(I47&gt;=FitRangeMin,I47&lt;=FitRangeMax),A47&gt;TimeofMaxCD),I47,"")</f>
        <v/>
      </c>
      <c r="K47" s="127" t="n">
        <f aca="false">IF(I47-BiasPtCD=0,0.00001,I47-BiasPtCD)</f>
        <v>4608586025899590</v>
      </c>
      <c r="L47" s="129" t="n">
        <f aca="false">IF(ABS(SLOPE(K45:K49,A45:A49))&lt;1000000000000,-1000000000000,(SLOPE(K45:K49,A45:A49)))</f>
        <v>-2.97782870124824E+018</v>
      </c>
      <c r="M47" s="73" t="str">
        <f aca="false">IF(E47&gt;0.85*BiasLight,IF( E47&lt;1.15*BiasLight,E47,""),"")</f>
        <v/>
      </c>
      <c r="N47" s="73" t="str">
        <f aca="false">IF(E47&gt;0.85*BiasLight,IF(E47&lt;1.15*BiasLight,I47,""),"")</f>
        <v/>
      </c>
      <c r="O47" s="129" t="n">
        <f aca="false">I47-Traps</f>
        <v>4608586025899590</v>
      </c>
      <c r="P47" s="127" t="e">
        <f aca="false">calclifetime(AnalysisMode,K47,Thickness,G47,L47)</f>
        <v>#NAME?</v>
      </c>
      <c r="Q47" s="129" t="str">
        <f aca="false">IF($J47="","",P47)</f>
        <v/>
      </c>
      <c r="R47" s="130" t="str">
        <f aca="false">IF(Q47="","",1/Q47)</f>
        <v/>
      </c>
      <c r="S47" s="131" t="n">
        <f aca="false">IF(AND(E47&gt;0.95*BiasLight,E47&lt;1.05*BiasLight),"",IF(AugerModel="Sinton",calclifetimeauger(Auger_Coefficient,I47,P47),calclifetimerichter(SampleType,I47,SampleDoping,P47)))</f>
        <v>16314.9746300821</v>
      </c>
      <c r="T47" s="78" t="str">
        <f aca="false">IF($J47="","",S47)</f>
        <v/>
      </c>
      <c r="U47" s="131" t="n">
        <f aca="false">FitInterceptAuger+FitSlopeAuger*(I47+Traps)</f>
        <v>2248.1600944846</v>
      </c>
      <c r="V47" s="130" t="str">
        <f aca="false">IF(AugerModel="Sinton","",IF(SampleType="n-type",n_intr_boltzmann(SampleDoping,0,K47,Temperature+273.15),n_intr_boltzmann(0,SampleDoping,K47,Temperature+273.15)))</f>
        <v/>
      </c>
      <c r="W47" s="130" t="str">
        <f aca="false">IF(V47="","",IF(T47="","",(V47^2)*T47))</f>
        <v/>
      </c>
      <c r="X47" s="125" t="n">
        <f aca="false">IF(AND(A47&gt;TimeofMaxCD,I47&gt;Traps),IF(AugerModel="Sinton",calcimpliedv(SampleDoping,O47),calcimpliedvrichter(O47,SampleDoping,V47)),"")</f>
        <v>0.692022324269432</v>
      </c>
      <c r="Y47" s="132" t="e">
        <f aca="false">IF(OR(P47="",P47&lt;0,A47&lt;=TimeofMaxCD),"",(O47*Thickness*1.602E-019/(0.038*OptConst*P47)))</f>
        <v>#NAME?</v>
      </c>
      <c r="Z47" s="77" t="str">
        <f aca="false">IF(C47&gt;0.6,O47,"")</f>
        <v/>
      </c>
      <c r="AE47" s="130" t="e">
        <f aca="false">H47/(K47*AreaFrac*Thickness*1.602E-019)</f>
        <v>#NAME?</v>
      </c>
    </row>
    <row collapsed="false" customFormat="false" customHeight="false" hidden="false" ht="12.75" outlineLevel="0" r="48">
      <c r="A48" s="123" t="n">
        <v>0.0039499</v>
      </c>
      <c r="B48" s="123" t="n">
        <v>0.651015</v>
      </c>
      <c r="C48" s="124" t="n">
        <v>0.0854234</v>
      </c>
      <c r="D48" s="125" t="n">
        <f aca="false">IF(CouplingMode="AC",B48-(A$11-A$10)*SUM(B$9:B48)/0.21,B48)</f>
        <v>0.651015</v>
      </c>
      <c r="E48" s="126" t="n">
        <f aca="false">IF(C48&gt;0,C48/RefCellCal,0.00001)</f>
        <v>8.11702198446727</v>
      </c>
      <c r="F48" s="126" t="n">
        <f aca="false">E48-BiasLight</f>
        <v>8.11702198446727</v>
      </c>
      <c r="G48" s="127" t="n">
        <f aca="false">F48*0.038*OptConst/1.602E-019</f>
        <v>1.34777019217746E+018</v>
      </c>
      <c r="H48" s="128" t="e">
        <f aca="false">calcconductance(B48,Dark_Voltage,A_cal,B_cal,C_cal)</f>
        <v>#NAME?</v>
      </c>
      <c r="I48" s="127" t="n">
        <f aca="false">IF(MobilityModel=DK,calcdeltan(H48,SampleDoping,Thickness,AreaFrac),calcdeltandl(H48,AreaFrac,Thickness,SampleType,SampleDoping,Temperature))</f>
        <v>4320303762359760</v>
      </c>
      <c r="J48" s="127" t="str">
        <f aca="false">IF(AND(AND(I48&gt;=FitRangeMin,I48&lt;=FitRangeMax),A48&gt;TimeofMaxCD),I48,"")</f>
        <v/>
      </c>
      <c r="K48" s="127" t="n">
        <f aca="false">IF(I48-BiasPtCD=0,0.00001,I48-BiasPtCD)</f>
        <v>4320303762359760</v>
      </c>
      <c r="L48" s="129" t="n">
        <f aca="false">IF(ABS(SLOPE(K46:K50,A46:A50))&lt;1000000000000,-1000000000000,(SLOPE(K46:K50,A46:A50)))</f>
        <v>-2.80159455254583E+018</v>
      </c>
      <c r="M48" s="73" t="str">
        <f aca="false">IF(E48&gt;0.85*BiasLight,IF( E48&lt;1.15*BiasLight,E48,""),"")</f>
        <v/>
      </c>
      <c r="N48" s="73" t="str">
        <f aca="false">IF(E48&gt;0.85*BiasLight,IF(E48&lt;1.15*BiasLight,I48,""),"")</f>
        <v/>
      </c>
      <c r="O48" s="129" t="n">
        <f aca="false">I48-Traps</f>
        <v>4320303762359760</v>
      </c>
      <c r="P48" s="127" t="e">
        <f aca="false">calclifetime(AnalysisMode,K48,Thickness,G48,L48)</f>
        <v>#NAME?</v>
      </c>
      <c r="Q48" s="129" t="str">
        <f aca="false">IF($J48="","",P48)</f>
        <v/>
      </c>
      <c r="R48" s="130" t="str">
        <f aca="false">IF(Q48="","",1/Q48)</f>
        <v/>
      </c>
      <c r="S48" s="131" t="n">
        <f aca="false">IF(AND(E48&gt;0.95*BiasLight,E48&lt;1.05*BiasLight),"",IF(AugerModel="Sinton",calclifetimeauger(Auger_Coefficient,I48,P48),calclifetimerichter(SampleType,I48,SampleDoping,P48)))</f>
        <v>16533.9114471309</v>
      </c>
      <c r="T48" s="78" t="str">
        <f aca="false">IF($J48="","",S48)</f>
        <v/>
      </c>
      <c r="U48" s="131" t="n">
        <f aca="false">FitInterceptAuger+FitSlopeAuger*(I48+Traps)</f>
        <v>3924.89566991455</v>
      </c>
      <c r="V48" s="130" t="str">
        <f aca="false">IF(AugerModel="Sinton","",IF(SampleType="n-type",n_intr_boltzmann(SampleDoping,0,K48,Temperature+273.15),n_intr_boltzmann(0,SampleDoping,K48,Temperature+273.15)))</f>
        <v/>
      </c>
      <c r="W48" s="130" t="str">
        <f aca="false">IF(V48="","",IF(T48="","",(V48^2)*T48))</f>
        <v/>
      </c>
      <c r="X48" s="125" t="n">
        <f aca="false">IF(AND(A48&gt;TimeofMaxCD,I48&gt;Traps),IF(AugerModel="Sinton",calcimpliedv(SampleDoping,O48),calcimpliedvrichter(O48,SampleDoping,V48)),"")</f>
        <v>0.689423004784096</v>
      </c>
      <c r="Y48" s="132" t="e">
        <f aca="false">IF(OR(P48="",P48&lt;0,A48&lt;=TimeofMaxCD),"",(O48*Thickness*1.602E-019/(0.038*OptConst*P48)))</f>
        <v>#NAME?</v>
      </c>
      <c r="Z48" s="77" t="str">
        <f aca="false">IF(C48&gt;0.6,O48,"")</f>
        <v/>
      </c>
      <c r="AE48" s="130" t="e">
        <f aca="false">H48/(K48*AreaFrac*Thickness*1.602E-019)</f>
        <v>#NAME?</v>
      </c>
    </row>
    <row collapsed="false" customFormat="false" customHeight="false" hidden="false" ht="12.75" outlineLevel="0" r="49">
      <c r="A49" s="123" t="n">
        <v>0.0040499</v>
      </c>
      <c r="B49" s="123" t="n">
        <v>0.612959</v>
      </c>
      <c r="C49" s="124" t="n">
        <v>0.0811246</v>
      </c>
      <c r="D49" s="125" t="n">
        <f aca="false">IF(CouplingMode="AC",B49-(A$11-A$10)*SUM(B$9:B49)/0.21,B49)</f>
        <v>0.612959</v>
      </c>
      <c r="E49" s="126" t="n">
        <f aca="false">IF(C49&gt;0,C49/RefCellCal,0.00001)</f>
        <v>7.70854545336656</v>
      </c>
      <c r="F49" s="126" t="n">
        <f aca="false">E49-BiasLight</f>
        <v>7.70854545336656</v>
      </c>
      <c r="G49" s="127" t="n">
        <f aca="false">F49*0.038*OptConst/1.602E-019</f>
        <v>1.2799457494354E+018</v>
      </c>
      <c r="H49" s="128" t="e">
        <f aca="false">calcconductance(B49,Dark_Voltage,A_cal,B_cal,C_cal)</f>
        <v>#NAME?</v>
      </c>
      <c r="I49" s="127" t="n">
        <f aca="false">IF(MobilityModel=DK,calcdeltan(H49,SampleDoping,Thickness,AreaFrac),calcdeltandl(H49,AreaFrac,Thickness,SampleType,SampleDoping,Temperature))</f>
        <v>4047128628949140</v>
      </c>
      <c r="J49" s="127" t="str">
        <f aca="false">IF(AND(AND(I49&gt;=FitRangeMin,I49&lt;=FitRangeMax),A49&gt;TimeofMaxCD),I49,"")</f>
        <v/>
      </c>
      <c r="K49" s="127" t="n">
        <f aca="false">IF(I49-BiasPtCD=0,0.00001,I49-BiasPtCD)</f>
        <v>4047128628949140</v>
      </c>
      <c r="L49" s="129" t="n">
        <f aca="false">IF(ABS(SLOPE(K47:K51,A47:A51))&lt;1000000000000,-1000000000000,(SLOPE(K47:K51,A47:A51)))</f>
        <v>-2.62749712267235E+018</v>
      </c>
      <c r="M49" s="73" t="str">
        <f aca="false">IF(E49&gt;0.85*BiasLight,IF( E49&lt;1.15*BiasLight,E49,""),"")</f>
        <v/>
      </c>
      <c r="N49" s="73" t="str">
        <f aca="false">IF(E49&gt;0.85*BiasLight,IF(E49&lt;1.15*BiasLight,I49,""),"")</f>
        <v/>
      </c>
      <c r="O49" s="129" t="n">
        <f aca="false">I49-Traps</f>
        <v>4047128628949140</v>
      </c>
      <c r="P49" s="127" t="e">
        <f aca="false">calclifetime(AnalysisMode,K49,Thickness,G49,L49)</f>
        <v>#NAME?</v>
      </c>
      <c r="Q49" s="129" t="str">
        <f aca="false">IF($J49="","",P49)</f>
        <v/>
      </c>
      <c r="R49" s="130" t="str">
        <f aca="false">IF(Q49="","",1/Q49)</f>
        <v/>
      </c>
      <c r="S49" s="131" t="n">
        <f aca="false">IF(AND(E49&gt;0.95*BiasLight,E49&lt;1.05*BiasLight),"",IF(AugerModel="Sinton",calclifetimeauger(Auger_Coefficient,I49,P49),calclifetimerichter(SampleType,I49,SampleDoping,P49)))</f>
        <v>16757.7604460594</v>
      </c>
      <c r="T49" s="78" t="str">
        <f aca="false">IF($J49="","",S49)</f>
        <v/>
      </c>
      <c r="U49" s="131" t="n">
        <f aca="false">FitInterceptAuger+FitSlopeAuger*(I49+Traps)</f>
        <v>5513.76367340561</v>
      </c>
      <c r="V49" s="130" t="str">
        <f aca="false">IF(AugerModel="Sinton","",IF(SampleType="n-type",n_intr_boltzmann(SampleDoping,0,K49,Temperature+273.15),n_intr_boltzmann(0,SampleDoping,K49,Temperature+273.15)))</f>
        <v/>
      </c>
      <c r="W49" s="130" t="str">
        <f aca="false">IF(V49="","",IF(T49="","",(V49^2)*T49))</f>
        <v/>
      </c>
      <c r="X49" s="125" t="n">
        <f aca="false">IF(AND(A49&gt;TimeofMaxCD,I49&gt;Traps),IF(AugerModel="Sinton",calcimpliedv(SampleDoping,O49),calcimpliedvrichter(O49,SampleDoping,V49)),"")</f>
        <v>0.686821478063307</v>
      </c>
      <c r="Y49" s="132" t="e">
        <f aca="false">IF(OR(P49="",P49&lt;0,A49&lt;=TimeofMaxCD),"",(O49*Thickness*1.602E-019/(0.038*OptConst*P49)))</f>
        <v>#NAME?</v>
      </c>
      <c r="Z49" s="77" t="str">
        <f aca="false">IF(C49&gt;0.6,O49,"")</f>
        <v/>
      </c>
      <c r="AE49" s="130" t="e">
        <f aca="false">H49/(K49*AreaFrac*Thickness*1.602E-019)</f>
        <v>#NAME?</v>
      </c>
    </row>
    <row collapsed="false" customFormat="false" customHeight="false" hidden="false" ht="12.75" outlineLevel="0" r="50">
      <c r="A50" s="123" t="n">
        <v>0.0041499</v>
      </c>
      <c r="B50" s="123" t="n">
        <v>0.577124</v>
      </c>
      <c r="C50" s="124" t="n">
        <v>0.0770865</v>
      </c>
      <c r="D50" s="125" t="n">
        <f aca="false">IF(CouplingMode="AC",B50-(A$11-A$10)*SUM(B$9:B50)/0.21,B50)</f>
        <v>0.577124</v>
      </c>
      <c r="E50" s="126" t="n">
        <f aca="false">IF(C50&gt;0,C50/RefCellCal,0.00001)</f>
        <v>7.32484091250917</v>
      </c>
      <c r="F50" s="126" t="n">
        <f aca="false">E50-BiasLight</f>
        <v>7.32484091250917</v>
      </c>
      <c r="G50" s="127" t="n">
        <f aca="false">F50*0.038*OptConst/1.602E-019</f>
        <v>1.21623450856894E+018</v>
      </c>
      <c r="H50" s="128" t="e">
        <f aca="false">calcconductance(B50,Dark_Voltage,A_cal,B_cal,C_cal)</f>
        <v>#NAME?</v>
      </c>
      <c r="I50" s="127" t="n">
        <f aca="false">IF(MobilityModel=DK,calcdeltan(H50,SampleDoping,Thickness,AreaFrac),calcdeltandl(H50,AreaFrac,Thickness,SampleType,SampleDoping,Temperature))</f>
        <v>3792086185908160</v>
      </c>
      <c r="J50" s="127" t="str">
        <f aca="false">IF(AND(AND(I50&gt;=FitRangeMin,I50&lt;=FitRangeMax),A50&gt;TimeofMaxCD),I50,"")</f>
        <v/>
      </c>
      <c r="K50" s="127" t="n">
        <f aca="false">IF(I50-BiasPtCD=0,0.00001,I50-BiasPtCD)</f>
        <v>3792086185908160</v>
      </c>
      <c r="L50" s="129" t="n">
        <f aca="false">IF(ABS(SLOPE(K48:K52,A48:A52))&lt;1000000000000,-1000000000000,(SLOPE(K48:K52,A48:A52)))</f>
        <v>-2.46009562522348E+018</v>
      </c>
      <c r="M50" s="73" t="str">
        <f aca="false">IF(E50&gt;0.85*BiasLight,IF( E50&lt;1.15*BiasLight,E50,""),"")</f>
        <v/>
      </c>
      <c r="N50" s="73" t="str">
        <f aca="false">IF(E50&gt;0.85*BiasLight,IF(E50&lt;1.15*BiasLight,I50,""),"")</f>
        <v/>
      </c>
      <c r="O50" s="129" t="n">
        <f aca="false">I50-Traps</f>
        <v>3792086185908160</v>
      </c>
      <c r="P50" s="127" t="e">
        <f aca="false">calclifetime(AnalysisMode,K50,Thickness,G50,L50)</f>
        <v>#NAME?</v>
      </c>
      <c r="Q50" s="129" t="str">
        <f aca="false">IF($J50="","",P50)</f>
        <v/>
      </c>
      <c r="R50" s="130" t="str">
        <f aca="false">IF(Q50="","",1/Q50)</f>
        <v/>
      </c>
      <c r="S50" s="131" t="n">
        <f aca="false">IF(AND(E50&gt;0.95*BiasLight,E50&lt;1.05*BiasLight),"",IF(AugerModel="Sinton",calclifetimeauger(Auger_Coefficient,I50,P50),calclifetimerichter(SampleType,I50,SampleDoping,P50)))</f>
        <v>16988.6320889989</v>
      </c>
      <c r="T50" s="78" t="str">
        <f aca="false">IF($J50="","",S50)</f>
        <v/>
      </c>
      <c r="U50" s="131" t="n">
        <f aca="false">FitInterceptAuger+FitSlopeAuger*(I50+Traps)</f>
        <v>6997.16654474561</v>
      </c>
      <c r="V50" s="130" t="str">
        <f aca="false">IF(AugerModel="Sinton","",IF(SampleType="n-type",n_intr_boltzmann(SampleDoping,0,K50,Temperature+273.15),n_intr_boltzmann(0,SampleDoping,K50,Temperature+273.15)))</f>
        <v/>
      </c>
      <c r="W50" s="130" t="str">
        <f aca="false">IF(V50="","",IF(T50="","",(V50^2)*T50))</f>
        <v/>
      </c>
      <c r="X50" s="125" t="n">
        <f aca="false">IF(AND(A50&gt;TimeofMaxCD,I50&gt;Traps),IF(AugerModel="Sinton",calcimpliedv(SampleDoping,O50),calcimpliedvrichter(O50,SampleDoping,V50)),"")</f>
        <v>0.684256040793433</v>
      </c>
      <c r="Y50" s="132" t="e">
        <f aca="false">IF(OR(P50="",P50&lt;0,A50&lt;=TimeofMaxCD),"",(O50*Thickness*1.602E-019/(0.038*OptConst*P50)))</f>
        <v>#NAME?</v>
      </c>
      <c r="Z50" s="77" t="str">
        <f aca="false">IF(C50&gt;0.6,O50,"")</f>
        <v/>
      </c>
      <c r="AE50" s="130" t="e">
        <f aca="false">H50/(K50*AreaFrac*Thickness*1.602E-019)</f>
        <v>#NAME?</v>
      </c>
    </row>
    <row collapsed="false" customFormat="false" customHeight="false" hidden="false" ht="12.75" outlineLevel="0" r="51">
      <c r="A51" s="123" t="n">
        <v>0.0042499</v>
      </c>
      <c r="B51" s="123" t="n">
        <v>0.544101</v>
      </c>
      <c r="C51" s="124" t="n">
        <v>0.0732662</v>
      </c>
      <c r="D51" s="125" t="n">
        <f aca="false">IF(CouplingMode="AC",B51-(A$11-A$10)*SUM(B$9:B51)/0.21,B51)</f>
        <v>0.544101</v>
      </c>
      <c r="E51" s="126" t="n">
        <f aca="false">IF(C51&gt;0,C51/RefCellCal,0.00001)</f>
        <v>6.96183195843733</v>
      </c>
      <c r="F51" s="126" t="n">
        <f aca="false">E51-BiasLight</f>
        <v>6.96183195843733</v>
      </c>
      <c r="G51" s="127" t="n">
        <f aca="false">F51*0.038*OptConst/1.602E-019</f>
        <v>1.15595961357324E+018</v>
      </c>
      <c r="H51" s="128" t="e">
        <f aca="false">calcconductance(B51,Dark_Voltage,A_cal,B_cal,C_cal)</f>
        <v>#NAME?</v>
      </c>
      <c r="I51" s="127" t="n">
        <f aca="false">IF(MobilityModel=DK,calcdeltan(H51,SampleDoping,Thickness,AreaFrac),calcdeltandl(H51,AreaFrac,Thickness,SampleType,SampleDoping,Temperature))</f>
        <v>3558946252789220</v>
      </c>
      <c r="J51" s="127" t="str">
        <f aca="false">IF(AND(AND(I51&gt;=FitRangeMin,I51&lt;=FitRangeMax),A51&gt;TimeofMaxCD),I51,"")</f>
        <v/>
      </c>
      <c r="K51" s="127" t="n">
        <f aca="false">IF(I51-BiasPtCD=0,0.00001,I51-BiasPtCD)</f>
        <v>3558946252789220</v>
      </c>
      <c r="L51" s="129" t="n">
        <f aca="false">IF(ABS(SLOPE(K49:K53,A49:A53))&lt;1000000000000,-1000000000000,(SLOPE(K49:K53,A49:A53)))</f>
        <v>-2.2987519051827E+018</v>
      </c>
      <c r="M51" s="73" t="str">
        <f aca="false">IF(E51&gt;0.85*BiasLight,IF( E51&lt;1.15*BiasLight,E51,""),"")</f>
        <v/>
      </c>
      <c r="N51" s="73" t="str">
        <f aca="false">IF(E51&gt;0.85*BiasLight,IF(E51&lt;1.15*BiasLight,I51,""),"")</f>
        <v/>
      </c>
      <c r="O51" s="129" t="n">
        <f aca="false">I51-Traps</f>
        <v>3558946252789220</v>
      </c>
      <c r="P51" s="127" t="e">
        <f aca="false">calclifetime(AnalysisMode,K51,Thickness,G51,L51)</f>
        <v>#NAME?</v>
      </c>
      <c r="Q51" s="129" t="str">
        <f aca="false">IF($J51="","",P51)</f>
        <v/>
      </c>
      <c r="R51" s="130" t="str">
        <f aca="false">IF(Q51="","",1/Q51)</f>
        <v/>
      </c>
      <c r="S51" s="131" t="n">
        <f aca="false">IF(AND(E51&gt;0.95*BiasLight,E51&lt;1.05*BiasLight),"",IF(AugerModel="Sinton",calclifetimeauger(Auger_Coefficient,I51,P51),calclifetimerichter(SampleType,I51,SampleDoping,P51)))</f>
        <v>17196.5097091559</v>
      </c>
      <c r="T51" s="78" t="str">
        <f aca="false">IF($J51="","",S51)</f>
        <v/>
      </c>
      <c r="U51" s="131" t="n">
        <f aca="false">FitInterceptAuger+FitSlopeAuger*(I51+Traps)</f>
        <v>8353.17788971644</v>
      </c>
      <c r="V51" s="130" t="str">
        <f aca="false">IF(AugerModel="Sinton","",IF(SampleType="n-type",n_intr_boltzmann(SampleDoping,0,K51,Temperature+273.15),n_intr_boltzmann(0,SampleDoping,K51,Temperature+273.15)))</f>
        <v/>
      </c>
      <c r="W51" s="130" t="str">
        <f aca="false">IF(V51="","",IF(T51="","",(V51^2)*T51))</f>
        <v/>
      </c>
      <c r="X51" s="125" t="n">
        <f aca="false">IF(AND(A51&gt;TimeofMaxCD,I51&gt;Traps),IF(AugerModel="Sinton",calcimpliedv(SampleDoping,O51),calcimpliedvrichter(O51,SampleDoping,V51)),"")</f>
        <v>0.6817813375843</v>
      </c>
      <c r="Y51" s="132" t="e">
        <f aca="false">IF(OR(P51="",P51&lt;0,A51&lt;=TimeofMaxCD),"",(O51*Thickness*1.602E-019/(0.038*OptConst*P51)))</f>
        <v>#NAME?</v>
      </c>
      <c r="Z51" s="77" t="str">
        <f aca="false">IF(C51&gt;0.6,O51,"")</f>
        <v/>
      </c>
      <c r="AE51" s="130" t="e">
        <f aca="false">H51/(K51*AreaFrac*Thickness*1.602E-019)</f>
        <v>#NAME?</v>
      </c>
    </row>
    <row collapsed="false" customFormat="false" customHeight="false" hidden="false" ht="12.75" outlineLevel="0" r="52">
      <c r="A52" s="123" t="n">
        <v>0.0043499</v>
      </c>
      <c r="B52" s="123" t="n">
        <v>0.512041</v>
      </c>
      <c r="C52" s="124" t="n">
        <v>0.0696529</v>
      </c>
      <c r="D52" s="125" t="n">
        <f aca="false">IF(CouplingMode="AC",B52-(A$11-A$10)*SUM(B$9:B52)/0.21,B52)</f>
        <v>0.512041</v>
      </c>
      <c r="E52" s="126" t="n">
        <f aca="false">IF(C52&gt;0,C52/RefCellCal,0.00001)</f>
        <v>6.61849236370714</v>
      </c>
      <c r="F52" s="126" t="n">
        <f aca="false">E52-BiasLight</f>
        <v>6.61849236370714</v>
      </c>
      <c r="G52" s="127" t="n">
        <f aca="false">F52*0.038*OptConst/1.602E-019</f>
        <v>1.0989506671324E+018</v>
      </c>
      <c r="H52" s="128" t="e">
        <f aca="false">calcconductance(B52,Dark_Voltage,A_cal,B_cal,C_cal)</f>
        <v>#NAME?</v>
      </c>
      <c r="I52" s="127" t="n">
        <f aca="false">IF(MobilityModel=DK,calcdeltan(H52,SampleDoping,Thickness,AreaFrac),calcdeltandl(H52,AreaFrac,Thickness,SampleType,SampleDoping,Temperature))</f>
        <v>3334347137827980</v>
      </c>
      <c r="J52" s="127" t="str">
        <f aca="false">IF(AND(AND(I52&gt;=FitRangeMin,I52&lt;=FitRangeMax),A52&gt;TimeofMaxCD),I52,"")</f>
        <v/>
      </c>
      <c r="K52" s="127" t="n">
        <f aca="false">IF(I52-BiasPtCD=0,0.00001,I52-BiasPtCD)</f>
        <v>3334347137827980</v>
      </c>
      <c r="L52" s="129" t="n">
        <f aca="false">IF(ABS(SLOPE(K50:K54,A50:A54))&lt;1000000000000,-1000000000000,(SLOPE(K50:K54,A50:A54)))</f>
        <v>-2.15440395446402E+018</v>
      </c>
      <c r="M52" s="73" t="str">
        <f aca="false">IF(E52&gt;0.85*BiasLight,IF( E52&lt;1.15*BiasLight,E52,""),"")</f>
        <v/>
      </c>
      <c r="N52" s="73" t="str">
        <f aca="false">IF(E52&gt;0.85*BiasLight,IF(E52&lt;1.15*BiasLight,I52,""),"")</f>
        <v/>
      </c>
      <c r="O52" s="129" t="n">
        <f aca="false">I52-Traps</f>
        <v>3334347137827980</v>
      </c>
      <c r="P52" s="127" t="e">
        <f aca="false">calclifetime(AnalysisMode,K52,Thickness,G52,L52)</f>
        <v>#NAME?</v>
      </c>
      <c r="Q52" s="129" t="str">
        <f aca="false">IF($J52="","",P52)</f>
        <v/>
      </c>
      <c r="R52" s="130" t="str">
        <f aca="false">IF(Q52="","",1/Q52)</f>
        <v/>
      </c>
      <c r="S52" s="131" t="n">
        <f aca="false">IF(AND(E52&gt;0.95*BiasLight,E52&lt;1.05*BiasLight),"",IF(AugerModel="Sinton",calclifetimeauger(Auger_Coefficient,I52,P52),calclifetimerichter(SampleType,I52,SampleDoping,P52)))</f>
        <v>17443.2281771993</v>
      </c>
      <c r="T52" s="78" t="str">
        <f aca="false">IF($J52="","",S52)</f>
        <v/>
      </c>
      <c r="U52" s="131" t="n">
        <f aca="false">FitInterceptAuger+FitSlopeAuger*(I52+Traps)</f>
        <v>9659.51329044966</v>
      </c>
      <c r="V52" s="130" t="str">
        <f aca="false">IF(AugerModel="Sinton","",IF(SampleType="n-type",n_intr_boltzmann(SampleDoping,0,K52,Temperature+273.15),n_intr_boltzmann(0,SampleDoping,K52,Temperature+273.15)))</f>
        <v/>
      </c>
      <c r="W52" s="130" t="str">
        <f aca="false">IF(V52="","",IF(T52="","",(V52^2)*T52))</f>
        <v/>
      </c>
      <c r="X52" s="125" t="n">
        <f aca="false">IF(AND(A52&gt;TimeofMaxCD,I52&gt;Traps),IF(AugerModel="Sinton",calcimpliedv(SampleDoping,O52),calcimpliedvrichter(O52,SampleDoping,V52)),"")</f>
        <v>0.679265848994818</v>
      </c>
      <c r="Y52" s="132" t="e">
        <f aca="false">IF(OR(P52="",P52&lt;0,A52&lt;=TimeofMaxCD),"",(O52*Thickness*1.602E-019/(0.038*OptConst*P52)))</f>
        <v>#NAME?</v>
      </c>
      <c r="Z52" s="77" t="str">
        <f aca="false">IF(C52&gt;0.6,O52,"")</f>
        <v/>
      </c>
      <c r="AE52" s="130" t="e">
        <f aca="false">H52/(K52*AreaFrac*Thickness*1.602E-019)</f>
        <v>#NAME?</v>
      </c>
    </row>
    <row collapsed="false" customFormat="false" customHeight="false" hidden="false" ht="12.75" outlineLevel="0" r="53">
      <c r="A53" s="123" t="n">
        <v>0.0044499</v>
      </c>
      <c r="B53" s="123" t="n">
        <v>0.482168</v>
      </c>
      <c r="C53" s="124" t="n">
        <v>0.066232</v>
      </c>
      <c r="D53" s="125" t="n">
        <f aca="false">IF(CouplingMode="AC",B53-(A$11-A$10)*SUM(B$9:B53)/0.21,B53)</f>
        <v>0.482168</v>
      </c>
      <c r="E53" s="126" t="n">
        <f aca="false">IF(C53&gt;0,C53/RefCellCal,0.00001)</f>
        <v>6.29343482084811</v>
      </c>
      <c r="F53" s="126" t="n">
        <f aca="false">E53-BiasLight</f>
        <v>6.29343482084811</v>
      </c>
      <c r="G53" s="127" t="n">
        <f aca="false">F53*0.038*OptConst/1.602E-019</f>
        <v>1.04497731731935E+018</v>
      </c>
      <c r="H53" s="128" t="e">
        <f aca="false">calcconductance(B53,Dark_Voltage,A_cal,B_cal,C_cal)</f>
        <v>#NAME?</v>
      </c>
      <c r="I53" s="127" t="n">
        <f aca="false">IF(MobilityModel=DK,calcdeltan(H53,SampleDoping,Thickness,AreaFrac),calcdeltandl(H53,AreaFrac,Thickness,SampleType,SampleDoping,Temperature))</f>
        <v>3126622200397880</v>
      </c>
      <c r="J53" s="127" t="str">
        <f aca="false">IF(AND(AND(I53&gt;=FitRangeMin,I53&lt;=FitRangeMax),A53&gt;TimeofMaxCD),I53,"")</f>
        <v/>
      </c>
      <c r="K53" s="127" t="n">
        <f aca="false">IF(I53-BiasPtCD=0,0.00001,I53-BiasPtCD)</f>
        <v>3126622200397880</v>
      </c>
      <c r="L53" s="129" t="n">
        <f aca="false">IF(ABS(SLOPE(K51:K55,A51:A55))&lt;1000000000000,-1000000000000,(SLOPE(K51:K55,A51:A55)))</f>
        <v>-2.02322572426538E+018</v>
      </c>
      <c r="M53" s="73" t="str">
        <f aca="false">IF(E53&gt;0.85*BiasLight,IF( E53&lt;1.15*BiasLight,E53,""),"")</f>
        <v/>
      </c>
      <c r="N53" s="73" t="str">
        <f aca="false">IF(E53&gt;0.85*BiasLight,IF(E53&lt;1.15*BiasLight,I53,""),"")</f>
        <v/>
      </c>
      <c r="O53" s="129" t="n">
        <f aca="false">I53-Traps</f>
        <v>3126622200397880</v>
      </c>
      <c r="P53" s="127" t="e">
        <f aca="false">calclifetime(AnalysisMode,K53,Thickness,G53,L53)</f>
        <v>#NAME?</v>
      </c>
      <c r="Q53" s="129" t="str">
        <f aca="false">IF($J53="","",P53)</f>
        <v/>
      </c>
      <c r="R53" s="130" t="str">
        <f aca="false">IF(Q53="","",1/Q53)</f>
        <v/>
      </c>
      <c r="S53" s="131" t="n">
        <f aca="false">IF(AND(E53&gt;0.95*BiasLight,E53&lt;1.05*BiasLight),"",IF(AugerModel="Sinton",calclifetimeauger(Auger_Coefficient,I53,P53),calclifetimerichter(SampleType,I53,SampleDoping,P53)))</f>
        <v>17682.8709446895</v>
      </c>
      <c r="T53" s="78" t="str">
        <f aca="false">IF($J53="","",S53)</f>
        <v/>
      </c>
      <c r="U53" s="131" t="n">
        <f aca="false">FitInterceptAuger+FitSlopeAuger*(I53+Traps)</f>
        <v>10867.703444836</v>
      </c>
      <c r="V53" s="130" t="str">
        <f aca="false">IF(AugerModel="Sinton","",IF(SampleType="n-type",n_intr_boltzmann(SampleDoping,0,K53,Temperature+273.15),n_intr_boltzmann(0,SampleDoping,K53,Temperature+273.15)))</f>
        <v/>
      </c>
      <c r="W53" s="130" t="str">
        <f aca="false">IF(V53="","",IF(T53="","",(V53^2)*T53))</f>
        <v/>
      </c>
      <c r="X53" s="125" t="n">
        <f aca="false">IF(AND(A53&gt;TimeofMaxCD,I53&gt;Traps),IF(AugerModel="Sinton",calcimpliedv(SampleDoping,O53),calcimpliedvrichter(O53,SampleDoping,V53)),"")</f>
        <v>0.676810442458658</v>
      </c>
      <c r="Y53" s="132" t="e">
        <f aca="false">IF(OR(P53="",P53&lt;0,A53&lt;=TimeofMaxCD),"",(O53*Thickness*1.602E-019/(0.038*OptConst*P53)))</f>
        <v>#NAME?</v>
      </c>
      <c r="Z53" s="77" t="str">
        <f aca="false">IF(C53&gt;0.6,O53,"")</f>
        <v/>
      </c>
      <c r="AE53" s="130" t="e">
        <f aca="false">H53/(K53*AreaFrac*Thickness*1.602E-019)</f>
        <v>#NAME?</v>
      </c>
    </row>
    <row collapsed="false" customFormat="false" customHeight="false" hidden="false" ht="12.75" outlineLevel="0" r="54">
      <c r="A54" s="123" t="n">
        <v>0.0045499</v>
      </c>
      <c r="B54" s="123" t="n">
        <v>0.453842</v>
      </c>
      <c r="C54" s="124" t="n">
        <v>0.0630162</v>
      </c>
      <c r="D54" s="125" t="n">
        <f aca="false">IF(CouplingMode="AC",B54-(A$11-A$10)*SUM(B$9:B54)/0.21,B54)</f>
        <v>0.453842</v>
      </c>
      <c r="E54" s="126" t="n">
        <f aca="false">IF(C54&gt;0,C54/RefCellCal,0.00001)</f>
        <v>5.98786609731744</v>
      </c>
      <c r="F54" s="126" t="n">
        <f aca="false">E54-BiasLight</f>
        <v>5.98786609731744</v>
      </c>
      <c r="G54" s="127" t="n">
        <f aca="false">F54*0.038*OptConst/1.602E-019</f>
        <v>9.94239938755579E+017</v>
      </c>
      <c r="H54" s="128" t="e">
        <f aca="false">calcconductance(B54,Dark_Voltage,A_cal,B_cal,C_cal)</f>
        <v>#NAME?</v>
      </c>
      <c r="I54" s="127" t="n">
        <f aca="false">IF(MobilityModel=DK,calcdeltan(H54,SampleDoping,Thickness,AreaFrac),calcdeltandl(H54,AreaFrac,Thickness,SampleType,SampleDoping,Temperature))</f>
        <v>2931046234871820</v>
      </c>
      <c r="J54" s="127" t="str">
        <f aca="false">IF(AND(AND(I54&gt;=FitRangeMin,I54&lt;=FitRangeMax),A54&gt;TimeofMaxCD),I54,"")</f>
        <v/>
      </c>
      <c r="K54" s="127" t="n">
        <f aca="false">IF(I54-BiasPtCD=0,0.00001,I54-BiasPtCD)</f>
        <v>2931046234871820</v>
      </c>
      <c r="L54" s="129" t="n">
        <f aca="false">IF(ABS(SLOPE(K52:K56,A52:A56))&lt;1000000000000,-1000000000000,(SLOPE(K52:K56,A52:A56)))</f>
        <v>-1.89694628729994E+018</v>
      </c>
      <c r="M54" s="73" t="str">
        <f aca="false">IF(E54&gt;0.85*BiasLight,IF( E54&lt;1.15*BiasLight,E54,""),"")</f>
        <v/>
      </c>
      <c r="N54" s="73" t="str">
        <f aca="false">IF(E54&gt;0.85*BiasLight,IF(E54&lt;1.15*BiasLight,I54,""),"")</f>
        <v/>
      </c>
      <c r="O54" s="129" t="n">
        <f aca="false">I54-Traps</f>
        <v>2931046234871820</v>
      </c>
      <c r="P54" s="127" t="e">
        <f aca="false">calclifetime(AnalysisMode,K54,Thickness,G54,L54)</f>
        <v>#NAME?</v>
      </c>
      <c r="Q54" s="129" t="str">
        <f aca="false">IF($J54="","",P54)</f>
        <v/>
      </c>
      <c r="R54" s="130" t="str">
        <f aca="false">IF(Q54="","",1/Q54)</f>
        <v/>
      </c>
      <c r="S54" s="131" t="n">
        <f aca="false">IF(AND(E54&gt;0.95*BiasLight,E54&lt;1.05*BiasLight),"",IF(AugerModel="Sinton",calclifetimeauger(Auger_Coefficient,I54,P54),calclifetimerichter(SampleType,I54,SampleDoping,P54)))</f>
        <v>17939.557952781</v>
      </c>
      <c r="T54" s="78" t="str">
        <f aca="false">IF($J54="","",S54)</f>
        <v/>
      </c>
      <c r="U54" s="131" t="n">
        <f aca="false">FitInterceptAuger+FitSlopeAuger*(I54+Traps)</f>
        <v>12005.2315572836</v>
      </c>
      <c r="V54" s="130" t="str">
        <f aca="false">IF(AugerModel="Sinton","",IF(SampleType="n-type",n_intr_boltzmann(SampleDoping,0,K54,Temperature+273.15),n_intr_boltzmann(0,SampleDoping,K54,Temperature+273.15)))</f>
        <v/>
      </c>
      <c r="W54" s="130" t="str">
        <f aca="false">IF(V54="","",IF(T54="","",(V54^2)*T54))</f>
        <v/>
      </c>
      <c r="X54" s="125" t="n">
        <f aca="false">IF(AND(A54&gt;TimeofMaxCD,I54&gt;Traps),IF(AugerModel="Sinton",calcimpliedv(SampleDoping,O54),calcimpliedvrichter(O54,SampleDoping,V54)),"")</f>
        <v>0.674371406662413</v>
      </c>
      <c r="Y54" s="132" t="e">
        <f aca="false">IF(OR(P54="",P54&lt;0,A54&lt;=TimeofMaxCD),"",(O54*Thickness*1.602E-019/(0.038*OptConst*P54)))</f>
        <v>#NAME?</v>
      </c>
      <c r="Z54" s="77" t="str">
        <f aca="false">IF(C54&gt;0.6,O54,"")</f>
        <v/>
      </c>
      <c r="AE54" s="130" t="e">
        <f aca="false">H54/(K54*AreaFrac*Thickness*1.602E-019)</f>
        <v>#NAME?</v>
      </c>
    </row>
    <row collapsed="false" customFormat="false" customHeight="false" hidden="false" ht="12.75" outlineLevel="0" r="55">
      <c r="A55" s="123" t="n">
        <v>0.0046499</v>
      </c>
      <c r="B55" s="123" t="n">
        <v>0.427294</v>
      </c>
      <c r="C55" s="124" t="n">
        <v>0.0599537</v>
      </c>
      <c r="D55" s="125" t="n">
        <f aca="false">IF(CouplingMode="AC",B55-(A$11-A$10)*SUM(B$9:B55)/0.21,B55)</f>
        <v>0.427294</v>
      </c>
      <c r="E55" s="126" t="n">
        <f aca="false">IF(C55&gt;0,C55/RefCellCal,0.00001)</f>
        <v>5.69686410222674</v>
      </c>
      <c r="F55" s="126" t="n">
        <f aca="false">E55-BiasLight</f>
        <v>5.69686410222674</v>
      </c>
      <c r="G55" s="127" t="n">
        <f aca="false">F55*0.038*OptConst/1.602E-019</f>
        <v>9.45921255425913E+017</v>
      </c>
      <c r="H55" s="128" t="e">
        <f aca="false">calcconductance(B55,Dark_Voltage,A_cal,B_cal,C_cal)</f>
        <v>#NAME?</v>
      </c>
      <c r="I55" s="127" t="n">
        <f aca="false">IF(MobilityModel=DK,calcdeltan(H55,SampleDoping,Thickness,AreaFrac),calcdeltandl(H55,AreaFrac,Thickness,SampleType,SampleDoping,Temperature))</f>
        <v>2748983842134610</v>
      </c>
      <c r="J55" s="127" t="str">
        <f aca="false">IF(AND(AND(I55&gt;=FitRangeMin,I55&lt;=FitRangeMax),A55&gt;TimeofMaxCD),I55,"")</f>
        <v/>
      </c>
      <c r="K55" s="127" t="n">
        <f aca="false">IF(I55-BiasPtCD=0,0.00001,I55-BiasPtCD)</f>
        <v>2748983842134610</v>
      </c>
      <c r="L55" s="129" t="n">
        <f aca="false">IF(ABS(SLOPE(K53:K57,A53:A57))&lt;1000000000000,-1000000000000,(SLOPE(K53:K57,A53:A57)))</f>
        <v>-1.77984005528672E+018</v>
      </c>
      <c r="M55" s="73" t="str">
        <f aca="false">IF(E55&gt;0.85*BiasLight,IF( E55&lt;1.15*BiasLight,E55,""),"")</f>
        <v/>
      </c>
      <c r="N55" s="73" t="str">
        <f aca="false">IF(E55&gt;0.85*BiasLight,IF(E55&lt;1.15*BiasLight,I55,""),"")</f>
        <v/>
      </c>
      <c r="O55" s="129" t="n">
        <f aca="false">I55-Traps</f>
        <v>2748983842134610</v>
      </c>
      <c r="P55" s="127" t="e">
        <f aca="false">calclifetime(AnalysisMode,K55,Thickness,G55,L55)</f>
        <v>#NAME?</v>
      </c>
      <c r="Q55" s="129" t="str">
        <f aca="false">IF($J55="","",P55)</f>
        <v/>
      </c>
      <c r="R55" s="130" t="str">
        <f aca="false">IF(Q55="","",1/Q55)</f>
        <v/>
      </c>
      <c r="S55" s="131" t="n">
        <f aca="false">IF(AND(E55&gt;0.95*BiasLight,E55&lt;1.05*BiasLight),"",IF(AugerModel="Sinton",calclifetimeauger(Auger_Coefficient,I55,P55),calclifetimerichter(SampleType,I55,SampleDoping,P55)))</f>
        <v>18190.9559722004</v>
      </c>
      <c r="T55" s="78" t="str">
        <f aca="false">IF($J55="","",S55)</f>
        <v/>
      </c>
      <c r="U55" s="131" t="n">
        <f aca="false">FitInterceptAuger+FitSlopeAuger*(I55+Traps)</f>
        <v>13064.1607022888</v>
      </c>
      <c r="V55" s="130" t="str">
        <f aca="false">IF(AugerModel="Sinton","",IF(SampleType="n-type",n_intr_boltzmann(SampleDoping,0,K55,Temperature+273.15),n_intr_boltzmann(0,SampleDoping,K55,Temperature+273.15)))</f>
        <v/>
      </c>
      <c r="W55" s="130" t="str">
        <f aca="false">IF(V55="","",IF(T55="","",(V55^2)*T55))</f>
        <v/>
      </c>
      <c r="X55" s="125" t="n">
        <f aca="false">IF(AND(A55&gt;TimeofMaxCD,I55&gt;Traps),IF(AugerModel="Sinton",calcimpliedv(SampleDoping,O55),calcimpliedvrichter(O55,SampleDoping,V55)),"")</f>
        <v>0.671976304778702</v>
      </c>
      <c r="Y55" s="132" t="e">
        <f aca="false">IF(OR(P55="",P55&lt;0,A55&lt;=TimeofMaxCD),"",(O55*Thickness*1.602E-019/(0.038*OptConst*P55)))</f>
        <v>#NAME?</v>
      </c>
      <c r="Z55" s="77" t="str">
        <f aca="false">IF(C55&gt;0.6,O55,"")</f>
        <v/>
      </c>
      <c r="AE55" s="130" t="e">
        <f aca="false">H55/(K55*AreaFrac*Thickness*1.602E-019)</f>
        <v>#NAME?</v>
      </c>
    </row>
    <row collapsed="false" customFormat="false" customHeight="false" hidden="false" ht="12.75" outlineLevel="0" r="56">
      <c r="A56" s="123" t="n">
        <v>0.0047499</v>
      </c>
      <c r="B56" s="123" t="n">
        <v>0.401713</v>
      </c>
      <c r="C56" s="124" t="n">
        <v>0.057023</v>
      </c>
      <c r="D56" s="125" t="n">
        <f aca="false">IF(CouplingMode="AC",B56-(A$11-A$10)*SUM(B$9:B56)/0.21,B56)</f>
        <v>0.401713</v>
      </c>
      <c r="E56" s="126" t="n">
        <f aca="false">IF(C56&gt;0,C56/RefCellCal,0.00001)</f>
        <v>5.41838588279414</v>
      </c>
      <c r="F56" s="126" t="n">
        <f aca="false">E56-BiasLight</f>
        <v>5.41838588279414</v>
      </c>
      <c r="G56" s="127" t="n">
        <f aca="false">F56*0.038*OptConst/1.602E-019</f>
        <v>8.99682050451462E+017</v>
      </c>
      <c r="H56" s="128" t="e">
        <f aca="false">calcconductance(B56,Dark_Voltage,A_cal,B_cal,C_cal)</f>
        <v>#NAME?</v>
      </c>
      <c r="I56" s="127" t="n">
        <f aca="false">IF(MobilityModel=DK,calcdeltan(H56,SampleDoping,Thickness,AreaFrac),calcdeltandl(H56,AreaFrac,Thickness,SampleType,SampleDoping,Temperature))</f>
        <v>2574693173309650</v>
      </c>
      <c r="J56" s="127" t="str">
        <f aca="false">IF(AND(AND(I56&gt;=FitRangeMin,I56&lt;=FitRangeMax),A56&gt;TimeofMaxCD),I56,"")</f>
        <v/>
      </c>
      <c r="K56" s="127" t="n">
        <f aca="false">IF(I56-BiasPtCD=0,0.00001,I56-BiasPtCD)</f>
        <v>2574693173309650</v>
      </c>
      <c r="L56" s="129" t="n">
        <f aca="false">IF(ABS(SLOPE(K54:K58,A54:A58))&lt;1000000000000,-1000000000000,(SLOPE(K54:K58,A54:A58)))</f>
        <v>-1.6640306906224E+018</v>
      </c>
      <c r="M56" s="73" t="str">
        <f aca="false">IF(E56&gt;0.85*BiasLight,IF( E56&lt;1.15*BiasLight,E56,""),"")</f>
        <v/>
      </c>
      <c r="N56" s="73" t="str">
        <f aca="false">IF(E56&gt;0.85*BiasLight,IF(E56&lt;1.15*BiasLight,I56,""),"")</f>
        <v/>
      </c>
      <c r="O56" s="129" t="n">
        <f aca="false">I56-Traps</f>
        <v>2574693173309650</v>
      </c>
      <c r="P56" s="127" t="e">
        <f aca="false">calclifetime(AnalysisMode,K56,Thickness,G56,L56)</f>
        <v>#NAME?</v>
      </c>
      <c r="Q56" s="129" t="str">
        <f aca="false">IF($J56="","",P56)</f>
        <v/>
      </c>
      <c r="R56" s="130" t="str">
        <f aca="false">IF(Q56="","",1/Q56)</f>
        <v/>
      </c>
      <c r="S56" s="131" t="n">
        <f aca="false">IF(AND(E56&gt;0.95*BiasLight,E56&lt;1.05*BiasLight),"",IF(AugerModel="Sinton",calclifetimeauger(Auger_Coefficient,I56,P56),calclifetimerichter(SampleType,I56,SampleDoping,P56)))</f>
        <v>18463.4985397179</v>
      </c>
      <c r="T56" s="78" t="str">
        <f aca="false">IF($J56="","",S56)</f>
        <v/>
      </c>
      <c r="U56" s="131" t="n">
        <f aca="false">FitInterceptAuger+FitSlopeAuger*(I56+Traps)</f>
        <v>14077.8871844381</v>
      </c>
      <c r="V56" s="130" t="str">
        <f aca="false">IF(AugerModel="Sinton","",IF(SampleType="n-type",n_intr_boltzmann(SampleDoping,0,K56,Temperature+273.15),n_intr_boltzmann(0,SampleDoping,K56,Temperature+273.15)))</f>
        <v/>
      </c>
      <c r="W56" s="130" t="str">
        <f aca="false">IF(V56="","",IF(T56="","",(V56^2)*T56))</f>
        <v/>
      </c>
      <c r="X56" s="125" t="n">
        <f aca="false">IF(AND(A56&gt;TimeofMaxCD,I56&gt;Traps),IF(AugerModel="Sinton",calcimpliedv(SampleDoping,O56),calcimpliedvrichter(O56,SampleDoping,V56)),"")</f>
        <v>0.669556869386586</v>
      </c>
      <c r="Y56" s="132" t="e">
        <f aca="false">IF(OR(P56="",P56&lt;0,A56&lt;=TimeofMaxCD),"",(O56*Thickness*1.602E-019/(0.038*OptConst*P56)))</f>
        <v>#NAME?</v>
      </c>
      <c r="Z56" s="77" t="str">
        <f aca="false">IF(C56&gt;0.6,O56,"")</f>
        <v/>
      </c>
      <c r="AE56" s="130" t="e">
        <f aca="false">H56/(K56*AreaFrac*Thickness*1.602E-019)</f>
        <v>#NAME?</v>
      </c>
    </row>
    <row collapsed="false" customFormat="false" customHeight="false" hidden="false" ht="12.75" outlineLevel="0" r="57">
      <c r="A57" s="123" t="n">
        <v>0.0048499</v>
      </c>
      <c r="B57" s="123" t="n">
        <v>0.37811</v>
      </c>
      <c r="C57" s="124" t="n">
        <v>0.0542799</v>
      </c>
      <c r="D57" s="125" t="n">
        <f aca="false">IF(CouplingMode="AC",B57-(A$11-A$10)*SUM(B$9:B57)/0.21,B57)</f>
        <v>0.37811</v>
      </c>
      <c r="E57" s="126" t="n">
        <f aca="false">IF(C57&gt;0,C57/RefCellCal,0.00001)</f>
        <v>5.15773361414653</v>
      </c>
      <c r="F57" s="126" t="n">
        <f aca="false">E57-BiasLight</f>
        <v>5.15773361414653</v>
      </c>
      <c r="G57" s="127" t="n">
        <f aca="false">F57*0.038*OptConst/1.602E-019</f>
        <v>8.56402709964405E+017</v>
      </c>
      <c r="H57" s="128" t="e">
        <f aca="false">calcconductance(B57,Dark_Voltage,A_cal,B_cal,C_cal)</f>
        <v>#NAME?</v>
      </c>
      <c r="I57" s="127" t="n">
        <f aca="false">IF(MobilityModel=DK,calcdeltan(H57,SampleDoping,Thickness,AreaFrac),calcdeltandl(H57,AreaFrac,Thickness,SampleType,SampleDoping,Temperature))</f>
        <v>2414878703535610</v>
      </c>
      <c r="J57" s="127" t="str">
        <f aca="false">IF(AND(AND(I57&gt;=FitRangeMin,I57&lt;=FitRangeMax),A57&gt;TimeofMaxCD),I57,"")</f>
        <v/>
      </c>
      <c r="K57" s="127" t="n">
        <f aca="false">IF(I57-BiasPtCD=0,0.00001,I57-BiasPtCD)</f>
        <v>2414878703535610</v>
      </c>
      <c r="L57" s="129" t="n">
        <f aca="false">IF(ABS(SLOPE(K55:K59,A55:A59))&lt;1000000000000,-1000000000000,(SLOPE(K55:K59,A55:A59)))</f>
        <v>-1.55463452189013E+018</v>
      </c>
      <c r="M57" s="73" t="str">
        <f aca="false">IF(E57&gt;0.85*BiasLight,IF( E57&lt;1.15*BiasLight,E57,""),"")</f>
        <v/>
      </c>
      <c r="N57" s="73" t="str">
        <f aca="false">IF(E57&gt;0.85*BiasLight,IF(E57&lt;1.15*BiasLight,I57,""),"")</f>
        <v/>
      </c>
      <c r="O57" s="129" t="n">
        <f aca="false">I57-Traps</f>
        <v>2414878703535610</v>
      </c>
      <c r="P57" s="127" t="e">
        <f aca="false">calclifetime(AnalysisMode,K57,Thickness,G57,L57)</f>
        <v>#NAME?</v>
      </c>
      <c r="Q57" s="129" t="str">
        <f aca="false">IF($J57="","",P57)</f>
        <v/>
      </c>
      <c r="R57" s="130" t="str">
        <f aca="false">IF(Q57="","",1/Q57)</f>
        <v/>
      </c>
      <c r="S57" s="131" t="n">
        <f aca="false">IF(AND(E57&gt;0.95*BiasLight,E57&lt;1.05*BiasLight),"",IF(AugerModel="Sinton",calclifetimeauger(Auger_Coefficient,I57,P57),calclifetimerichter(SampleType,I57,SampleDoping,P57)))</f>
        <v>18727.7617655081</v>
      </c>
      <c r="T57" s="78" t="str">
        <f aca="false">IF($J57="","",S57)</f>
        <v/>
      </c>
      <c r="U57" s="131" t="n">
        <f aca="false">FitInterceptAuger+FitSlopeAuger*(I57+Traps)</f>
        <v>15007.4157778668</v>
      </c>
      <c r="V57" s="130" t="str">
        <f aca="false">IF(AugerModel="Sinton","",IF(SampleType="n-type",n_intr_boltzmann(SampleDoping,0,K57,Temperature+273.15),n_intr_boltzmann(0,SampleDoping,K57,Temperature+273.15)))</f>
        <v/>
      </c>
      <c r="W57" s="130" t="str">
        <f aca="false">IF(V57="","",IF(T57="","",(V57^2)*T57))</f>
        <v/>
      </c>
      <c r="X57" s="125" t="n">
        <f aca="false">IF(AND(A57&gt;TimeofMaxCD,I57&gt;Traps),IF(AugerModel="Sinton",calcimpliedv(SampleDoping,O57),calcimpliedvrichter(O57,SampleDoping,V57)),"")</f>
        <v>0.667216008971517</v>
      </c>
      <c r="Y57" s="132" t="e">
        <f aca="false">IF(OR(P57="",P57&lt;0,A57&lt;=TimeofMaxCD),"",(O57*Thickness*1.602E-019/(0.038*OptConst*P57)))</f>
        <v>#NAME?</v>
      </c>
      <c r="Z57" s="77" t="str">
        <f aca="false">IF(C57&gt;0.6,O57,"")</f>
        <v/>
      </c>
      <c r="AE57" s="130" t="e">
        <f aca="false">H57/(K57*AreaFrac*Thickness*1.602E-019)</f>
        <v>#NAME?</v>
      </c>
    </row>
    <row collapsed="false" customFormat="false" customHeight="false" hidden="false" ht="12.75" outlineLevel="0" r="58">
      <c r="A58" s="123" t="n">
        <v>0.0049499</v>
      </c>
      <c r="B58" s="123" t="n">
        <v>0.356005</v>
      </c>
      <c r="C58" s="124" t="n">
        <v>0.051691</v>
      </c>
      <c r="D58" s="125" t="n">
        <f aca="false">IF(CouplingMode="AC",B58-(A$11-A$10)*SUM(B$9:B58)/0.21,B58)</f>
        <v>0.356005</v>
      </c>
      <c r="E58" s="126" t="n">
        <f aca="false">IF(C58&gt;0,C58/RefCellCal,0.00001)</f>
        <v>4.91173359289255</v>
      </c>
      <c r="F58" s="126" t="n">
        <f aca="false">E58-BiasLight</f>
        <v>4.91173359289255</v>
      </c>
      <c r="G58" s="127" t="n">
        <f aca="false">F58*0.038*OptConst/1.602E-019</f>
        <v>8.15556264487777E+017</v>
      </c>
      <c r="H58" s="128" t="e">
        <f aca="false">calcconductance(B58,Dark_Voltage,A_cal,B_cal,C_cal)</f>
        <v>#NAME?</v>
      </c>
      <c r="I58" s="127" t="n">
        <f aca="false">IF(MobilityModel=DK,calcdeltan(H58,SampleDoping,Thickness,AreaFrac),calcdeltandl(H58,AreaFrac,Thickness,SampleType,SampleDoping,Temperature))</f>
        <v>2266083458860130</v>
      </c>
      <c r="J58" s="127" t="str">
        <f aca="false">IF(AND(AND(I58&gt;=FitRangeMin,I58&lt;=FitRangeMax),A58&gt;TimeofMaxCD),I58,"")</f>
        <v/>
      </c>
      <c r="K58" s="127" t="n">
        <f aca="false">IF(I58-BiasPtCD=0,0.00001,I58-BiasPtCD)</f>
        <v>2266083458860130</v>
      </c>
      <c r="L58" s="129" t="n">
        <f aca="false">IF(ABS(SLOPE(K56:K60,A56:A60))&lt;1000000000000,-1000000000000,(SLOPE(K56:K60,A56:A60)))</f>
        <v>-1.45836487071395E+018</v>
      </c>
      <c r="M58" s="73" t="str">
        <f aca="false">IF(E58&gt;0.85*BiasLight,IF( E58&lt;1.15*BiasLight,E58,""),"")</f>
        <v/>
      </c>
      <c r="N58" s="73" t="str">
        <f aca="false">IF(E58&gt;0.85*BiasLight,IF(E58&lt;1.15*BiasLight,I58,""),"")</f>
        <v/>
      </c>
      <c r="O58" s="129" t="n">
        <f aca="false">I58-Traps</f>
        <v>2266083458860130</v>
      </c>
      <c r="P58" s="127" t="e">
        <f aca="false">calclifetime(AnalysisMode,K58,Thickness,G58,L58)</f>
        <v>#NAME?</v>
      </c>
      <c r="Q58" s="129" t="str">
        <f aca="false">IF($J58="","",P58)</f>
        <v/>
      </c>
      <c r="R58" s="130" t="str">
        <f aca="false">IF(Q58="","",1/Q58)</f>
        <v/>
      </c>
      <c r="S58" s="131" t="n">
        <f aca="false">IF(AND(E58&gt;0.95*BiasLight,E58&lt;1.05*BiasLight),"",IF(AugerModel="Sinton",calclifetimeauger(Auger_Coefficient,I58,P58),calclifetimerichter(SampleType,I58,SampleDoping,P58)))</f>
        <v>18997.1209443676</v>
      </c>
      <c r="T58" s="78" t="str">
        <f aca="false">IF($J58="","",S58)</f>
        <v/>
      </c>
      <c r="U58" s="131" t="n">
        <f aca="false">FitInterceptAuger+FitSlopeAuger*(I58+Traps)</f>
        <v>15872.8532735305</v>
      </c>
      <c r="V58" s="130" t="str">
        <f aca="false">IF(AugerModel="Sinton","",IF(SampleType="n-type",n_intr_boltzmann(SampleDoping,0,K58,Temperature+273.15),n_intr_boltzmann(0,SampleDoping,K58,Temperature+273.15)))</f>
        <v/>
      </c>
      <c r="W58" s="130" t="str">
        <f aca="false">IF(V58="","",IF(T58="","",(V58^2)*T58))</f>
        <v/>
      </c>
      <c r="X58" s="125" t="n">
        <f aca="false">IF(AND(A58&gt;TimeofMaxCD,I58&gt;Traps),IF(AugerModel="Sinton",calcimpliedv(SampleDoping,O58),calcimpliedvrichter(O58,SampleDoping,V58)),"")</f>
        <v>0.664918176769155</v>
      </c>
      <c r="Y58" s="132" t="e">
        <f aca="false">IF(OR(P58="",P58&lt;0,A58&lt;=TimeofMaxCD),"",(O58*Thickness*1.602E-019/(0.038*OptConst*P58)))</f>
        <v>#NAME?</v>
      </c>
      <c r="Z58" s="77" t="str">
        <f aca="false">IF(C58&gt;0.6,O58,"")</f>
        <v/>
      </c>
      <c r="AE58" s="130" t="e">
        <f aca="false">H58/(K58*AreaFrac*Thickness*1.602E-019)</f>
        <v>#NAME?</v>
      </c>
    </row>
    <row collapsed="false" customFormat="false" customHeight="false" hidden="false" ht="12.75" outlineLevel="0" r="59">
      <c r="A59" s="123" t="n">
        <v>0.0050499</v>
      </c>
      <c r="B59" s="123" t="n">
        <v>0.335073</v>
      </c>
      <c r="C59" s="124" t="n">
        <v>0.0491881</v>
      </c>
      <c r="D59" s="125" t="n">
        <f aca="false">IF(CouplingMode="AC",B59-(A$11-A$10)*SUM(B$9:B59)/0.21,B59)</f>
        <v>0.335073</v>
      </c>
      <c r="E59" s="126" t="n">
        <f aca="false">IF(C59&gt;0,C59/RefCellCal,0.00001)</f>
        <v>4.67390538276602</v>
      </c>
      <c r="F59" s="126" t="n">
        <f aca="false">E59-BiasLight</f>
        <v>4.67390538276602</v>
      </c>
      <c r="G59" s="127" t="n">
        <f aca="false">F59*0.038*OptConst/1.602E-019</f>
        <v>7.76066686526692E+017</v>
      </c>
      <c r="H59" s="128" t="e">
        <f aca="false">calcconductance(B59,Dark_Voltage,A_cal,B_cal,C_cal)</f>
        <v>#NAME?</v>
      </c>
      <c r="I59" s="127" t="n">
        <f aca="false">IF(MobilityModel=DK,calcdeltan(H59,SampleDoping,Thickness,AreaFrac),calcdeltandl(H59,AreaFrac,Thickness,SampleType,SampleDoping,Temperature))</f>
        <v>2125971438414310</v>
      </c>
      <c r="J59" s="127" t="str">
        <f aca="false">IF(AND(AND(I59&gt;=FitRangeMin,I59&lt;=FitRangeMax),A59&gt;TimeofMaxCD),I59,"")</f>
        <v/>
      </c>
      <c r="K59" s="127" t="n">
        <f aca="false">IF(I59-BiasPtCD=0,0.00001,I59-BiasPtCD)</f>
        <v>2125971438414310</v>
      </c>
      <c r="L59" s="129" t="n">
        <f aca="false">IF(ABS(SLOPE(K57:K61,A57:A61))&lt;1000000000000,-1000000000000,(SLOPE(K57:K61,A57:A61)))</f>
        <v>-1.37628227504977E+018</v>
      </c>
      <c r="M59" s="73" t="str">
        <f aca="false">IF(E59&gt;0.85*BiasLight,IF( E59&lt;1.15*BiasLight,E59,""),"")</f>
        <v/>
      </c>
      <c r="N59" s="73" t="str">
        <f aca="false">IF(E59&gt;0.85*BiasLight,IF(E59&lt;1.15*BiasLight,I59,""),"")</f>
        <v/>
      </c>
      <c r="O59" s="129" t="n">
        <f aca="false">I59-Traps</f>
        <v>2125971438414310</v>
      </c>
      <c r="P59" s="127" t="e">
        <f aca="false">calclifetime(AnalysisMode,K59,Thickness,G59,L59)</f>
        <v>#NAME?</v>
      </c>
      <c r="Q59" s="129" t="str">
        <f aca="false">IF($J59="","",P59)</f>
        <v/>
      </c>
      <c r="R59" s="130" t="str">
        <f aca="false">IF(Q59="","",1/Q59)</f>
        <v/>
      </c>
      <c r="S59" s="131" t="n">
        <f aca="false">IF(AND(E59&gt;0.95*BiasLight,E59&lt;1.05*BiasLight),"",IF(AugerModel="Sinton",calclifetimeauger(Auger_Coefficient,I59,P59),calclifetimerichter(SampleType,I59,SampleDoping,P59)))</f>
        <v>19264.4030492721</v>
      </c>
      <c r="T59" s="78" t="str">
        <f aca="false">IF($J59="","",S59)</f>
        <v/>
      </c>
      <c r="U59" s="131" t="n">
        <f aca="false">FitInterceptAuger+FitSlopeAuger*(I59+Traps)</f>
        <v>16687.786548794</v>
      </c>
      <c r="V59" s="130" t="str">
        <f aca="false">IF(AugerModel="Sinton","",IF(SampleType="n-type",n_intr_boltzmann(SampleDoping,0,K59,Temperature+273.15),n_intr_boltzmann(0,SampleDoping,K59,Temperature+273.15)))</f>
        <v/>
      </c>
      <c r="W59" s="130" t="str">
        <f aca="false">IF(V59="","",IF(T59="","",(V59^2)*T59))</f>
        <v/>
      </c>
      <c r="X59" s="125" t="n">
        <f aca="false">IF(AND(A59&gt;TimeofMaxCD,I59&gt;Traps),IF(AugerModel="Sinton",calcimpliedv(SampleDoping,O59),calcimpliedvrichter(O59,SampleDoping,V59)),"")</f>
        <v>0.662637145000226</v>
      </c>
      <c r="Y59" s="132" t="e">
        <f aca="false">IF(OR(P59="",P59&lt;0,A59&lt;=TimeofMaxCD),"",(O59*Thickness*1.602E-019/(0.038*OptConst*P59)))</f>
        <v>#NAME?</v>
      </c>
      <c r="Z59" s="77" t="str">
        <f aca="false">IF(C59&gt;0.6,O59,"")</f>
        <v/>
      </c>
      <c r="AE59" s="130" t="e">
        <f aca="false">H59/(K59*AreaFrac*Thickness*1.602E-019)</f>
        <v>#NAME?</v>
      </c>
    </row>
    <row collapsed="false" customFormat="false" customHeight="false" hidden="false" ht="12.75" outlineLevel="0" r="60">
      <c r="A60" s="123" t="n">
        <v>0.0051499</v>
      </c>
      <c r="B60" s="123" t="n">
        <v>0.314643</v>
      </c>
      <c r="C60" s="124" t="n">
        <v>0.0468551</v>
      </c>
      <c r="D60" s="125" t="n">
        <f aca="false">IF(CouplingMode="AC",B60-(A$11-A$10)*SUM(B$9:B60)/0.21,B60)</f>
        <v>0.314643</v>
      </c>
      <c r="E60" s="126" t="n">
        <f aca="false">IF(C60&gt;0,C60/RefCellCal,0.00001)</f>
        <v>4.45222125066916</v>
      </c>
      <c r="F60" s="126" t="n">
        <f aca="false">E60-BiasLight</f>
        <v>4.45222125066916</v>
      </c>
      <c r="G60" s="127" t="n">
        <f aca="false">F60*0.038*OptConst/1.602E-019</f>
        <v>7.39257710785267E+017</v>
      </c>
      <c r="H60" s="128" t="e">
        <f aca="false">calcconductance(B60,Dark_Voltage,A_cal,B_cal,C_cal)</f>
        <v>#NAME?</v>
      </c>
      <c r="I60" s="127" t="n">
        <f aca="false">IF(MobilityModel=DK,calcdeltan(H60,SampleDoping,Thickness,AreaFrac),calcdeltandl(H60,AreaFrac,Thickness,SampleType,SampleDoping,Temperature))</f>
        <v>1989964370513320</v>
      </c>
      <c r="J60" s="127" t="str">
        <f aca="false">IF(AND(AND(I60&gt;=FitRangeMin,I60&lt;=FitRangeMax),A60&gt;TimeofMaxCD),I60,"")</f>
        <v/>
      </c>
      <c r="K60" s="127" t="n">
        <f aca="false">IF(I60-BiasPtCD=0,0.00001,I60-BiasPtCD)</f>
        <v>1989964370513320</v>
      </c>
      <c r="L60" s="129" t="n">
        <f aca="false">IF(ABS(SLOPE(K58:K62,A58:A62))&lt;1000000000000,-1000000000000,(SLOPE(K58:K62,A58:A62)))</f>
        <v>-1.29958898150128E+018</v>
      </c>
      <c r="M60" s="73" t="str">
        <f aca="false">IF(E60&gt;0.85*BiasLight,IF( E60&lt;1.15*BiasLight,E60,""),"")</f>
        <v/>
      </c>
      <c r="N60" s="73" t="str">
        <f aca="false">IF(E60&gt;0.85*BiasLight,IF(E60&lt;1.15*BiasLight,I60,""),"")</f>
        <v/>
      </c>
      <c r="O60" s="129" t="n">
        <f aca="false">I60-Traps</f>
        <v>1989964370513320</v>
      </c>
      <c r="P60" s="127" t="e">
        <f aca="false">calclifetime(AnalysisMode,K60,Thickness,G60,L60)</f>
        <v>#NAME?</v>
      </c>
      <c r="Q60" s="129" t="str">
        <f aca="false">IF($J60="","",P60)</f>
        <v/>
      </c>
      <c r="R60" s="130" t="str">
        <f aca="false">IF(Q60="","",1/Q60)</f>
        <v/>
      </c>
      <c r="S60" s="131" t="n">
        <f aca="false">IF(AND(E60&gt;0.95*BiasLight,E60&lt;1.05*BiasLight),"",IF(AugerModel="Sinton",calclifetimeauger(Auger_Coefficient,I60,P60),calclifetimerichter(SampleType,I60,SampleDoping,P60)))</f>
        <v>19600.2192852592</v>
      </c>
      <c r="T60" s="78" t="str">
        <f aca="false">IF($J60="","",S60)</f>
        <v/>
      </c>
      <c r="U60" s="131" t="n">
        <f aca="false">FitInterceptAuger+FitSlopeAuger*(I60+Traps)</f>
        <v>17478.8441964594</v>
      </c>
      <c r="V60" s="130" t="str">
        <f aca="false">IF(AugerModel="Sinton","",IF(SampleType="n-type",n_intr_boltzmann(SampleDoping,0,K60,Temperature+273.15),n_intr_boltzmann(0,SampleDoping,K60,Temperature+273.15)))</f>
        <v/>
      </c>
      <c r="W60" s="130" t="str">
        <f aca="false">IF(V60="","",IF(T60="","",(V60^2)*T60))</f>
        <v/>
      </c>
      <c r="X60" s="125" t="n">
        <f aca="false">IF(AND(A60&gt;TimeofMaxCD,I60&gt;Traps),IF(AugerModel="Sinton",calcimpliedv(SampleDoping,O60),calcimpliedvrichter(O60,SampleDoping,V60)),"")</f>
        <v>0.660300425105849</v>
      </c>
      <c r="Y60" s="132" t="e">
        <f aca="false">IF(OR(P60="",P60&lt;0,A60&lt;=TimeofMaxCD),"",(O60*Thickness*1.602E-019/(0.038*OptConst*P60)))</f>
        <v>#NAME?</v>
      </c>
      <c r="Z60" s="77" t="str">
        <f aca="false">IF(C60&gt;0.6,O60,"")</f>
        <v/>
      </c>
      <c r="AE60" s="130" t="e">
        <f aca="false">H60/(K60*AreaFrac*Thickness*1.602E-019)</f>
        <v>#NAME?</v>
      </c>
    </row>
    <row collapsed="false" customFormat="false" customHeight="false" hidden="false" ht="12.75" outlineLevel="0" r="61">
      <c r="A61" s="123" t="n">
        <v>0.0052499</v>
      </c>
      <c r="B61" s="123" t="n">
        <v>0.295742</v>
      </c>
      <c r="C61" s="124" t="n">
        <v>0.0446197</v>
      </c>
      <c r="D61" s="125" t="n">
        <f aca="false">IF(CouplingMode="AC",B61-(A$11-A$10)*SUM(B$9:B61)/0.21,B61)</f>
        <v>0.295742</v>
      </c>
      <c r="E61" s="126" t="n">
        <f aca="false">IF(C61&gt;0,C61/RefCellCal,0.00001)</f>
        <v>4.23981117399137</v>
      </c>
      <c r="F61" s="126" t="n">
        <f aca="false">E61-BiasLight</f>
        <v>4.23981117399137</v>
      </c>
      <c r="G61" s="127" t="n">
        <f aca="false">F61*0.038*OptConst/1.602E-019</f>
        <v>7.03988621898692E+017</v>
      </c>
      <c r="H61" s="128" t="e">
        <f aca="false">calcconductance(B61,Dark_Voltage,A_cal,B_cal,C_cal)</f>
        <v>#NAME?</v>
      </c>
      <c r="I61" s="127" t="n">
        <f aca="false">IF(MobilityModel=DK,calcdeltan(H61,SampleDoping,Thickness,AreaFrac),calcdeltandl(H61,AreaFrac,Thickness,SampleType,SampleDoping,Temperature))</f>
        <v>1864797110184120</v>
      </c>
      <c r="J61" s="127" t="str">
        <f aca="false">IF(AND(AND(I61&gt;=FitRangeMin,I61&lt;=FitRangeMax),A61&gt;TimeofMaxCD),I61,"")</f>
        <v/>
      </c>
      <c r="K61" s="127" t="n">
        <f aca="false">IF(I61-BiasPtCD=0,0.00001,I61-BiasPtCD)</f>
        <v>1864797110184120</v>
      </c>
      <c r="L61" s="129" t="n">
        <f aca="false">IF(ABS(SLOPE(K59:K63,A59:A63))&lt;1000000000000,-1000000000000,(SLOPE(K59:K63,A59:A63)))</f>
        <v>-1.21819249923646E+018</v>
      </c>
      <c r="M61" s="73" t="str">
        <f aca="false">IF(E61&gt;0.85*BiasLight,IF( E61&lt;1.15*BiasLight,E61,""),"")</f>
        <v/>
      </c>
      <c r="N61" s="73" t="str">
        <f aca="false">IF(E61&gt;0.85*BiasLight,IF(E61&lt;1.15*BiasLight,I61,""),"")</f>
        <v/>
      </c>
      <c r="O61" s="129" t="n">
        <f aca="false">I61-Traps</f>
        <v>1864797110184120</v>
      </c>
      <c r="P61" s="127" t="e">
        <f aca="false">calclifetime(AnalysisMode,K61,Thickness,G61,L61)</f>
        <v>#NAME?</v>
      </c>
      <c r="Q61" s="129" t="str">
        <f aca="false">IF($J61="","",P61)</f>
        <v/>
      </c>
      <c r="R61" s="130" t="str">
        <f aca="false">IF(Q61="","",1/Q61)</f>
        <v/>
      </c>
      <c r="S61" s="131" t="n">
        <f aca="false">IF(AND(E61&gt;0.95*BiasLight,E61&lt;1.05*BiasLight),"",IF(AugerModel="Sinton",calclifetimeauger(Auger_Coefficient,I61,P61),calclifetimerichter(SampleType,I61,SampleDoping,P61)))</f>
        <v>19908.4470933919</v>
      </c>
      <c r="T61" s="78" t="str">
        <f aca="false">IF($J61="","",S61)</f>
        <v/>
      </c>
      <c r="U61" s="131" t="n">
        <f aca="false">FitInterceptAuger+FitSlopeAuger*(I61+Traps)</f>
        <v>18206.8542921762</v>
      </c>
      <c r="V61" s="130" t="str">
        <f aca="false">IF(AugerModel="Sinton","",IF(SampleType="n-type",n_intr_boltzmann(SampleDoping,0,K61,Temperature+273.15),n_intr_boltzmann(0,SampleDoping,K61,Temperature+273.15)))</f>
        <v/>
      </c>
      <c r="W61" s="130" t="str">
        <f aca="false">IF(V61="","",IF(T61="","",(V61^2)*T61))</f>
        <v/>
      </c>
      <c r="X61" s="125" t="n">
        <f aca="false">IF(AND(A61&gt;TimeofMaxCD,I61&gt;Traps),IF(AugerModel="Sinton",calcimpliedv(SampleDoping,O61),calcimpliedvrichter(O61,SampleDoping,V61)),"")</f>
        <v>0.658029708666231</v>
      </c>
      <c r="Y61" s="132" t="e">
        <f aca="false">IF(OR(P61="",P61&lt;0,A61&lt;=TimeofMaxCD),"",(O61*Thickness*1.602E-019/(0.038*OptConst*P61)))</f>
        <v>#NAME?</v>
      </c>
      <c r="Z61" s="77" t="str">
        <f aca="false">IF(C61&gt;0.6,O61,"")</f>
        <v/>
      </c>
      <c r="AE61" s="130" t="e">
        <f aca="false">H61/(K61*AreaFrac*Thickness*1.602E-019)</f>
        <v>#NAME?</v>
      </c>
    </row>
    <row collapsed="false" customFormat="false" customHeight="false" hidden="false" ht="12.75" outlineLevel="0" r="62">
      <c r="A62" s="123" t="n">
        <v>0.0053499</v>
      </c>
      <c r="B62" s="123" t="n">
        <v>0.277846</v>
      </c>
      <c r="C62" s="124" t="n">
        <v>0.0424703</v>
      </c>
      <c r="D62" s="125" t="n">
        <f aca="false">IF(CouplingMode="AC",B62-(A$11-A$10)*SUM(B$9:B62)/0.21,B62)</f>
        <v>0.277846</v>
      </c>
      <c r="E62" s="126" t="n">
        <f aca="false">IF(C62&gt;0,C62/RefCellCal,0.00001)</f>
        <v>4.03557290844102</v>
      </c>
      <c r="F62" s="126" t="n">
        <f aca="false">E62-BiasLight</f>
        <v>4.03557290844102</v>
      </c>
      <c r="G62" s="127" t="n">
        <f aca="false">F62*0.038*OptConst/1.602E-019</f>
        <v>6.70076400527659E+017</v>
      </c>
      <c r="H62" s="128" t="e">
        <f aca="false">calcconductance(B62,Dark_Voltage,A_cal,B_cal,C_cal)</f>
        <v>#NAME?</v>
      </c>
      <c r="I62" s="127" t="n">
        <f aca="false">IF(MobilityModel=DK,calcdeltan(H62,SampleDoping,Thickness,AreaFrac),calcdeltandl(H62,AreaFrac,Thickness,SampleType,SampleDoping,Temperature))</f>
        <v>1746876132224580</v>
      </c>
      <c r="J62" s="127" t="str">
        <f aca="false">IF(AND(AND(I62&gt;=FitRangeMin,I62&lt;=FitRangeMax),A62&gt;TimeofMaxCD),I62,"")</f>
        <v/>
      </c>
      <c r="K62" s="127" t="n">
        <f aca="false">IF(I62-BiasPtCD=0,0.00001,I62-BiasPtCD)</f>
        <v>1746876132224580</v>
      </c>
      <c r="L62" s="129" t="n">
        <f aca="false">IF(ABS(SLOPE(K60:K64,A60:A64))&lt;1000000000000,-1000000000000,(SLOPE(K60:K64,A60:A64)))</f>
        <v>-1.13532363780046E+018</v>
      </c>
      <c r="M62" s="73" t="str">
        <f aca="false">IF(E62&gt;0.85*BiasLight,IF( E62&lt;1.15*BiasLight,E62,""),"")</f>
        <v/>
      </c>
      <c r="N62" s="73" t="str">
        <f aca="false">IF(E62&gt;0.85*BiasLight,IF(E62&lt;1.15*BiasLight,I62,""),"")</f>
        <v/>
      </c>
      <c r="O62" s="129" t="n">
        <f aca="false">I62-Traps</f>
        <v>1746876132224580</v>
      </c>
      <c r="P62" s="127" t="e">
        <f aca="false">calclifetime(AnalysisMode,K62,Thickness,G62,L62)</f>
        <v>#NAME?</v>
      </c>
      <c r="Q62" s="129" t="str">
        <f aca="false">IF($J62="","",P62)</f>
        <v/>
      </c>
      <c r="R62" s="130" t="str">
        <f aca="false">IF(Q62="","",1/Q62)</f>
        <v/>
      </c>
      <c r="S62" s="131" t="n">
        <f aca="false">IF(AND(E62&gt;0.95*BiasLight,E62&lt;1.05*BiasLight),"",IF(AugerModel="Sinton",calclifetimeauger(Auger_Coefficient,I62,P62),calclifetimerichter(SampleType,I62,SampleDoping,P62)))</f>
        <v>20215.5410090328</v>
      </c>
      <c r="T62" s="78" t="str">
        <f aca="false">IF($J62="","",S62)</f>
        <v/>
      </c>
      <c r="U62" s="131" t="n">
        <f aca="false">FitInterceptAuger+FitSlopeAuger*(I62+Traps)</f>
        <v>18892.7178496716</v>
      </c>
      <c r="V62" s="130" t="str">
        <f aca="false">IF(AugerModel="Sinton","",IF(SampleType="n-type",n_intr_boltzmann(SampleDoping,0,K62,Temperature+273.15),n_intr_boltzmann(0,SampleDoping,K62,Temperature+273.15)))</f>
        <v/>
      </c>
      <c r="W62" s="130" t="str">
        <f aca="false">IF(V62="","",IF(T62="","",(V62^2)*T62))</f>
        <v/>
      </c>
      <c r="X62" s="125" t="n">
        <f aca="false">IF(AND(A62&gt;TimeofMaxCD,I62&gt;Traps),IF(AugerModel="Sinton",calcimpliedv(SampleDoping,O62),calcimpliedvrichter(O62,SampleDoping,V62)),"")</f>
        <v>0.655771423332952</v>
      </c>
      <c r="Y62" s="132" t="e">
        <f aca="false">IF(OR(P62="",P62&lt;0,A62&lt;=TimeofMaxCD),"",(O62*Thickness*1.602E-019/(0.038*OptConst*P62)))</f>
        <v>#NAME?</v>
      </c>
      <c r="Z62" s="77" t="str">
        <f aca="false">IF(C62&gt;0.6,O62,"")</f>
        <v/>
      </c>
      <c r="AE62" s="130" t="e">
        <f aca="false">H62/(K62*AreaFrac*Thickness*1.602E-019)</f>
        <v>#NAME?</v>
      </c>
    </row>
    <row collapsed="false" customFormat="false" customHeight="false" hidden="false" ht="12.75" outlineLevel="0" r="63">
      <c r="A63" s="123" t="n">
        <v>0.0054499</v>
      </c>
      <c r="B63" s="123" t="n">
        <v>0.261308</v>
      </c>
      <c r="C63" s="124" t="n">
        <v>0.0404811</v>
      </c>
      <c r="D63" s="125" t="n">
        <f aca="false">IF(CouplingMode="AC",B63-(A$11-A$10)*SUM(B$9:B63)/0.21,B63)</f>
        <v>0.261308</v>
      </c>
      <c r="E63" s="126" t="n">
        <f aca="false">IF(C63&gt;0,C63/RefCellCal,0.00001)</f>
        <v>3.84655701664202</v>
      </c>
      <c r="F63" s="126" t="n">
        <f aca="false">E63-BiasLight</f>
        <v>3.84655701664202</v>
      </c>
      <c r="G63" s="127" t="n">
        <f aca="false">F63*0.038*OptConst/1.602E-019</f>
        <v>6.38691739342558E+017</v>
      </c>
      <c r="H63" s="128" t="e">
        <f aca="false">calcconductance(B63,Dark_Voltage,A_cal,B_cal,C_cal)</f>
        <v>#NAME?</v>
      </c>
      <c r="I63" s="127" t="n">
        <f aca="false">IF(MobilityModel=DK,calcdeltan(H63,SampleDoping,Thickness,AreaFrac),calcdeltandl(H63,AreaFrac,Thickness,SampleType,SampleDoping,Temperature))</f>
        <v>1638419307940450</v>
      </c>
      <c r="J63" s="127" t="str">
        <f aca="false">IF(AND(AND(I63&gt;=FitRangeMin,I63&lt;=FitRangeMax),A63&gt;TimeofMaxCD),I63,"")</f>
        <v/>
      </c>
      <c r="K63" s="127" t="n">
        <f aca="false">IF(I63-BiasPtCD=0,0.00001,I63-BiasPtCD)</f>
        <v>1638419307940450</v>
      </c>
      <c r="L63" s="129" t="n">
        <f aca="false">IF(ABS(SLOPE(K61:K65,A61:A65))&lt;1000000000000,-1000000000000,(SLOPE(K61:K65,A61:A65)))</f>
        <v>-1.06132499728408E+018</v>
      </c>
      <c r="M63" s="73" t="str">
        <f aca="false">IF(E63&gt;0.85*BiasLight,IF( E63&lt;1.15*BiasLight,E63,""),"")</f>
        <v/>
      </c>
      <c r="N63" s="73" t="str">
        <f aca="false">IF(E63&gt;0.85*BiasLight,IF(E63&lt;1.15*BiasLight,I63,""),"")</f>
        <v/>
      </c>
      <c r="O63" s="129" t="n">
        <f aca="false">I63-Traps</f>
        <v>1638419307940450</v>
      </c>
      <c r="P63" s="127" t="e">
        <f aca="false">calclifetime(AnalysisMode,K63,Thickness,G63,L63)</f>
        <v>#NAME?</v>
      </c>
      <c r="Q63" s="129" t="str">
        <f aca="false">IF($J63="","",P63)</f>
        <v/>
      </c>
      <c r="R63" s="130" t="str">
        <f aca="false">IF(Q63="","",1/Q63)</f>
        <v/>
      </c>
      <c r="S63" s="131" t="n">
        <f aca="false">IF(AND(E63&gt;0.95*BiasLight,E63&lt;1.05*BiasLight),"",IF(AugerModel="Sinton",calclifetimeauger(Auger_Coefficient,I63,P63),calclifetimerichter(SampleType,I63,SampleDoping,P63)))</f>
        <v>20532.1904171238</v>
      </c>
      <c r="T63" s="78" t="str">
        <f aca="false">IF($J63="","",S63)</f>
        <v/>
      </c>
      <c r="U63" s="131" t="n">
        <f aca="false">FitInterceptAuger+FitSlopeAuger*(I63+Traps)</f>
        <v>19523.5350683321</v>
      </c>
      <c r="V63" s="130" t="str">
        <f aca="false">IF(AugerModel="Sinton","",IF(SampleType="n-type",n_intr_boltzmann(SampleDoping,0,K63,Temperature+273.15),n_intr_boltzmann(0,SampleDoping,K63,Temperature+273.15)))</f>
        <v/>
      </c>
      <c r="W63" s="130" t="str">
        <f aca="false">IF(V63="","",IF(T63="","",(V63^2)*T63))</f>
        <v/>
      </c>
      <c r="X63" s="125" t="n">
        <f aca="false">IF(AND(A63&gt;TimeofMaxCD,I63&gt;Traps),IF(AugerModel="Sinton",calcimpliedv(SampleDoping,O63),calcimpliedvrichter(O63,SampleDoping,V63)),"")</f>
        <v>0.653579374543954</v>
      </c>
      <c r="Y63" s="132" t="e">
        <f aca="false">IF(OR(P63="",P63&lt;0,A63&lt;=TimeofMaxCD),"",(O63*Thickness*1.602E-019/(0.038*OptConst*P63)))</f>
        <v>#NAME?</v>
      </c>
      <c r="Z63" s="77" t="str">
        <f aca="false">IF(C63&gt;0.6,O63,"")</f>
        <v/>
      </c>
      <c r="AE63" s="130" t="e">
        <f aca="false">H63/(K63*AreaFrac*Thickness*1.602E-019)</f>
        <v>#NAME?</v>
      </c>
    </row>
    <row collapsed="false" customFormat="false" customHeight="false" hidden="false" ht="12.75" outlineLevel="0" r="64">
      <c r="A64" s="123" t="n">
        <v>0.0055499</v>
      </c>
      <c r="B64" s="123" t="n">
        <v>0.245542</v>
      </c>
      <c r="C64" s="124" t="n">
        <v>0.0385719</v>
      </c>
      <c r="D64" s="125" t="n">
        <f aca="false">IF(CouplingMode="AC",B64-(A$11-A$10)*SUM(B$9:B64)/0.21,B64)</f>
        <v>0.245542</v>
      </c>
      <c r="E64" s="126" t="n">
        <f aca="false">IF(C64&gt;0,C64/RefCellCal,0.00001)</f>
        <v>3.66514280961274</v>
      </c>
      <c r="F64" s="126" t="n">
        <f aca="false">E64-BiasLight</f>
        <v>3.66514280961274</v>
      </c>
      <c r="G64" s="127" t="n">
        <f aca="false">F64*0.038*OptConst/1.602E-019</f>
        <v>6.08569280497497E+017</v>
      </c>
      <c r="H64" s="128" t="e">
        <f aca="false">calcconductance(B64,Dark_Voltage,A_cal,B_cal,C_cal)</f>
        <v>#NAME?</v>
      </c>
      <c r="I64" s="127" t="n">
        <f aca="false">IF(MobilityModel=DK,calcdeltan(H64,SampleDoping,Thickness,AreaFrac),calcdeltandl(H64,AreaFrac,Thickness,SampleType,SampleDoping,Temperature))</f>
        <v>1535491452734930</v>
      </c>
      <c r="J64" s="127" t="str">
        <f aca="false">IF(AND(AND(I64&gt;=FitRangeMin,I64&lt;=FitRangeMax),A64&gt;TimeofMaxCD),I64,"")</f>
        <v/>
      </c>
      <c r="K64" s="127" t="n">
        <f aca="false">IF(I64-BiasPtCD=0,0.00001,I64-BiasPtCD)</f>
        <v>1535491452734930</v>
      </c>
      <c r="L64" s="129" t="n">
        <f aca="false">IF(ABS(SLOPE(K62:K66,A62:A66))&lt;1000000000000,-1000000000000,(SLOPE(K62:K66,A62:A66)))</f>
        <v>-9.90974395125304E+017</v>
      </c>
      <c r="M64" s="73" t="str">
        <f aca="false">IF(E64&gt;0.85*BiasLight,IF( E64&lt;1.15*BiasLight,E64,""),"")</f>
        <v/>
      </c>
      <c r="N64" s="73" t="str">
        <f aca="false">IF(E64&gt;0.85*BiasLight,IF(E64&lt;1.15*BiasLight,I64,""),"")</f>
        <v/>
      </c>
      <c r="O64" s="129" t="n">
        <f aca="false">I64-Traps</f>
        <v>1535491452734930</v>
      </c>
      <c r="P64" s="127" t="e">
        <f aca="false">calclifetime(AnalysisMode,K64,Thickness,G64,L64)</f>
        <v>#NAME?</v>
      </c>
      <c r="Q64" s="129" t="str">
        <f aca="false">IF($J64="","",P64)</f>
        <v/>
      </c>
      <c r="R64" s="130" t="str">
        <f aca="false">IF(Q64="","",1/Q64)</f>
        <v/>
      </c>
      <c r="S64" s="131" t="n">
        <f aca="false">IF(AND(E64&gt;0.95*BiasLight,E64&lt;1.05*BiasLight),"",IF(AugerModel="Sinton",calclifetimeauger(Auger_Coefficient,I64,P64),calclifetimerichter(SampleType,I64,SampleDoping,P64)))</f>
        <v>20862.64808521</v>
      </c>
      <c r="T64" s="78" t="str">
        <f aca="false">IF($J64="","",S64)</f>
        <v/>
      </c>
      <c r="U64" s="131" t="n">
        <f aca="false">FitInterceptAuger+FitSlopeAuger*(I64+Traps)</f>
        <v>20122.1941547658</v>
      </c>
      <c r="V64" s="130" t="str">
        <f aca="false">IF(AugerModel="Sinton","",IF(SampleType="n-type",n_intr_boltzmann(SampleDoping,0,K64,Temperature+273.15),n_intr_boltzmann(0,SampleDoping,K64,Temperature+273.15)))</f>
        <v/>
      </c>
      <c r="W64" s="130" t="str">
        <f aca="false">IF(V64="","",IF(T64="","",(V64^2)*T64))</f>
        <v/>
      </c>
      <c r="X64" s="125" t="n">
        <f aca="false">IF(AND(A64&gt;TimeofMaxCD,I64&gt;Traps),IF(AugerModel="Sinton",calcimpliedv(SampleDoping,O64),calcimpliedvrichter(O64,SampleDoping,V64)),"")</f>
        <v>0.651384048594085</v>
      </c>
      <c r="Y64" s="132" t="e">
        <f aca="false">IF(OR(P64="",P64&lt;0,A64&lt;=TimeofMaxCD),"",(O64*Thickness*1.602E-019/(0.038*OptConst*P64)))</f>
        <v>#NAME?</v>
      </c>
      <c r="Z64" s="77" t="str">
        <f aca="false">IF(C64&gt;0.6,O64,"")</f>
        <v/>
      </c>
      <c r="AE64" s="130" t="e">
        <f aca="false">H64/(K64*AreaFrac*Thickness*1.602E-019)</f>
        <v>#NAME?</v>
      </c>
    </row>
    <row collapsed="false" customFormat="false" customHeight="false" hidden="false" ht="12.75" outlineLevel="0" r="65">
      <c r="A65" s="123" t="n">
        <v>0.0056499</v>
      </c>
      <c r="B65" s="123" t="n">
        <v>0.230825</v>
      </c>
      <c r="C65" s="124" t="n">
        <v>0.0367467</v>
      </c>
      <c r="D65" s="125" t="n">
        <f aca="false">IF(CouplingMode="AC",B65-(A$11-A$10)*SUM(B$9:B65)/0.21,B65)</f>
        <v>0.230825</v>
      </c>
      <c r="E65" s="126" t="n">
        <f aca="false">IF(C65&gt;0,C65/RefCellCal,0.00001)</f>
        <v>3.49171037159166</v>
      </c>
      <c r="F65" s="126" t="n">
        <f aca="false">E65-BiasLight</f>
        <v>3.49171037159166</v>
      </c>
      <c r="G65" s="127" t="n">
        <f aca="false">F65*0.038*OptConst/1.602E-019</f>
        <v>5.79772134109478E+017</v>
      </c>
      <c r="H65" s="128" t="e">
        <f aca="false">calcconductance(B65,Dark_Voltage,A_cal,B_cal,C_cal)</f>
        <v>#NAME?</v>
      </c>
      <c r="I65" s="127" t="n">
        <f aca="false">IF(MobilityModel=DK,calcdeltan(H65,SampleDoping,Thickness,AreaFrac),calcdeltandl(H65,AreaFrac,Thickness,SampleType,SampleDoping,Temperature))</f>
        <v>1439826951286910</v>
      </c>
      <c r="J65" s="127" t="str">
        <f aca="false">IF(AND(AND(I65&gt;=FitRangeMin,I65&lt;=FitRangeMax),A65&gt;TimeofMaxCD),I65,"")</f>
        <v/>
      </c>
      <c r="K65" s="127" t="n">
        <f aca="false">IF(I65-BiasPtCD=0,0.00001,I65-BiasPtCD)</f>
        <v>1439826951286910</v>
      </c>
      <c r="L65" s="129" t="n">
        <f aca="false">IF(ABS(SLOPE(K63:K67,A63:A67))&lt;1000000000000,-1000000000000,(SLOPE(K63:K67,A63:A67)))</f>
        <v>-9.33619393695188E+017</v>
      </c>
      <c r="M65" s="73" t="str">
        <f aca="false">IF(E65&gt;0.85*BiasLight,IF( E65&lt;1.15*BiasLight,E65,""),"")</f>
        <v/>
      </c>
      <c r="N65" s="73" t="str">
        <f aca="false">IF(E65&gt;0.85*BiasLight,IF(E65&lt;1.15*BiasLight,I65,""),"")</f>
        <v/>
      </c>
      <c r="O65" s="129" t="n">
        <f aca="false">I65-Traps</f>
        <v>1439826951286910</v>
      </c>
      <c r="P65" s="127" t="e">
        <f aca="false">calclifetime(AnalysisMode,K65,Thickness,G65,L65)</f>
        <v>#NAME?</v>
      </c>
      <c r="Q65" s="129" t="str">
        <f aca="false">IF($J65="","",P65)</f>
        <v/>
      </c>
      <c r="R65" s="130" t="str">
        <f aca="false">IF(Q65="","",1/Q65)</f>
        <v/>
      </c>
      <c r="S65" s="131" t="n">
        <f aca="false">IF(AND(E65&gt;0.95*BiasLight,E65&lt;1.05*BiasLight),"",IF(AugerModel="Sinton",calclifetimeauger(Auger_Coefficient,I65,P65),calclifetimerichter(SampleType,I65,SampleDoping,P65)))</f>
        <v>21189.2653792299</v>
      </c>
      <c r="T65" s="78" t="str">
        <f aca="false">IF($J65="","",S65)</f>
        <v/>
      </c>
      <c r="U65" s="131" t="n">
        <f aca="false">FitInterceptAuger+FitSlopeAuger*(I65+Traps)</f>
        <v>20678.6074106979</v>
      </c>
      <c r="V65" s="130" t="str">
        <f aca="false">IF(AugerModel="Sinton","",IF(SampleType="n-type",n_intr_boltzmann(SampleDoping,0,K65,Temperature+273.15),n_intr_boltzmann(0,SampleDoping,K65,Temperature+273.15)))</f>
        <v/>
      </c>
      <c r="W65" s="130" t="str">
        <f aca="false">IF(V65="","",IF(T65="","",(V65^2)*T65))</f>
        <v/>
      </c>
      <c r="X65" s="125" t="n">
        <f aca="false">IF(AND(A65&gt;TimeofMaxCD,I65&gt;Traps),IF(AugerModel="Sinton",calcimpliedv(SampleDoping,O65),calcimpliedvrichter(O65,SampleDoping,V65)),"")</f>
        <v>0.649230303664754</v>
      </c>
      <c r="Y65" s="132" t="e">
        <f aca="false">IF(OR(P65="",P65&lt;0,A65&lt;=TimeofMaxCD),"",(O65*Thickness*1.602E-019/(0.038*OptConst*P65)))</f>
        <v>#NAME?</v>
      </c>
      <c r="Z65" s="77" t="str">
        <f aca="false">IF(C65&gt;0.6,O65,"")</f>
        <v/>
      </c>
      <c r="AE65" s="130" t="e">
        <f aca="false">H65/(K65*AreaFrac*Thickness*1.602E-019)</f>
        <v>#NAME?</v>
      </c>
    </row>
    <row collapsed="false" customFormat="false" customHeight="false" hidden="false" ht="12.75" outlineLevel="0" r="66">
      <c r="A66" s="123" t="n">
        <v>0.0057499</v>
      </c>
      <c r="B66" s="123" t="n">
        <v>0.217055</v>
      </c>
      <c r="C66" s="124" t="n">
        <v>0.0350064</v>
      </c>
      <c r="D66" s="125" t="n">
        <f aca="false">IF(CouplingMode="AC",B66-(A$11-A$10)*SUM(B$9:B66)/0.21,B66)</f>
        <v>0.217055</v>
      </c>
      <c r="E66" s="126" t="n">
        <f aca="false">IF(C66&gt;0,C66/RefCellCal,0.00001)</f>
        <v>3.32634522153245</v>
      </c>
      <c r="F66" s="126" t="n">
        <f aca="false">E66-BiasLight</f>
        <v>3.32634522153245</v>
      </c>
      <c r="G66" s="127" t="n">
        <f aca="false">F66*0.038*OptConst/1.602E-019</f>
        <v>5.52314499954826E+017</v>
      </c>
      <c r="H66" s="128" t="e">
        <f aca="false">calcconductance(B66,Dark_Voltage,A_cal,B_cal,C_cal)</f>
        <v>#NAME?</v>
      </c>
      <c r="I66" s="127" t="n">
        <f aca="false">IF(MobilityModel=DK,calcdeltan(H66,SampleDoping,Thickness,AreaFrac),calcdeltandl(H66,AreaFrac,Thickness,SampleType,SampleDoping,Temperature))</f>
        <v>1350685112988700</v>
      </c>
      <c r="J66" s="127" t="str">
        <f aca="false">IF(AND(AND(I66&gt;=FitRangeMin,I66&lt;=FitRangeMax),A66&gt;TimeofMaxCD),I66,"")</f>
        <v/>
      </c>
      <c r="K66" s="127" t="n">
        <f aca="false">IF(I66-BiasPtCD=0,0.00001,I66-BiasPtCD)</f>
        <v>1350685112988700</v>
      </c>
      <c r="L66" s="129" t="n">
        <f aca="false">IF(ABS(SLOPE(K64:K68,A64:A68))&lt;1000000000000,-1000000000000,(SLOPE(K64:K68,A64:A68)))</f>
        <v>-8.78475135735787E+017</v>
      </c>
      <c r="M66" s="73" t="str">
        <f aca="false">IF(E66&gt;0.85*BiasLight,IF( E66&lt;1.15*BiasLight,E66,""),"")</f>
        <v/>
      </c>
      <c r="N66" s="73" t="str">
        <f aca="false">IF(E66&gt;0.85*BiasLight,IF(E66&lt;1.15*BiasLight,I66,""),"")</f>
        <v/>
      </c>
      <c r="O66" s="129" t="n">
        <f aca="false">I66-Traps</f>
        <v>1350685112988700</v>
      </c>
      <c r="P66" s="127" t="e">
        <f aca="false">calclifetime(AnalysisMode,K66,Thickness,G66,L66)</f>
        <v>#NAME?</v>
      </c>
      <c r="Q66" s="129" t="str">
        <f aca="false">IF($J66="","",P66)</f>
        <v/>
      </c>
      <c r="R66" s="130" t="str">
        <f aca="false">IF(Q66="","",1/Q66)</f>
        <v/>
      </c>
      <c r="S66" s="131" t="n">
        <f aca="false">IF(AND(E66&gt;0.95*BiasLight,E66&lt;1.05*BiasLight),"",IF(AugerModel="Sinton",calclifetimeauger(Auger_Coefficient,I66,P66),calclifetimerichter(SampleType,I66,SampleDoping,P66)))</f>
        <v>21510.3399265703</v>
      </c>
      <c r="T66" s="78" t="str">
        <f aca="false">IF($J66="","",S66)</f>
        <v/>
      </c>
      <c r="U66" s="131" t="n">
        <f aca="false">FitInterceptAuger+FitSlopeAuger*(I66+Traps)</f>
        <v>21197.0829134864</v>
      </c>
      <c r="V66" s="130" t="str">
        <f aca="false">IF(AugerModel="Sinton","",IF(SampleType="n-type",n_intr_boltzmann(SampleDoping,0,K66,Temperature+273.15),n_intr_boltzmann(0,SampleDoping,K66,Temperature+273.15)))</f>
        <v/>
      </c>
      <c r="W66" s="130" t="str">
        <f aca="false">IF(V66="","",IF(T66="","",(V66^2)*T66))</f>
        <v/>
      </c>
      <c r="X66" s="125" t="n">
        <f aca="false">IF(AND(A66&gt;TimeofMaxCD,I66&gt;Traps),IF(AugerModel="Sinton",calcimpliedv(SampleDoping,O66),calcimpliedvrichter(O66,SampleDoping,V66)),"")</f>
        <v>0.647112464808991</v>
      </c>
      <c r="Y66" s="132" t="e">
        <f aca="false">IF(OR(P66="",P66&lt;0,A66&lt;=TimeofMaxCD),"",(O66*Thickness*1.602E-019/(0.038*OptConst*P66)))</f>
        <v>#NAME?</v>
      </c>
      <c r="Z66" s="77" t="str">
        <f aca="false">IF(C66&gt;0.6,O66,"")</f>
        <v/>
      </c>
      <c r="AE66" s="130" t="e">
        <f aca="false">H66/(K66*AreaFrac*Thickness*1.602E-019)</f>
        <v>#NAME?</v>
      </c>
    </row>
    <row collapsed="false" customFormat="false" customHeight="false" hidden="false" ht="12.75" outlineLevel="0" r="67">
      <c r="A67" s="123" t="n">
        <v>0.0058499</v>
      </c>
      <c r="B67" s="123" t="n">
        <v>0.203613</v>
      </c>
      <c r="C67" s="124" t="n">
        <v>0.0333033</v>
      </c>
      <c r="D67" s="125" t="n">
        <f aca="false">IF(CouplingMode="AC",B67-(A$11-A$10)*SUM(B$9:B67)/0.21,B67)</f>
        <v>0.203613</v>
      </c>
      <c r="E67" s="126" t="n">
        <f aca="false">IF(C67&gt;0,C67/RefCellCal,0.00001)</f>
        <v>3.16451485489115</v>
      </c>
      <c r="F67" s="126" t="n">
        <f aca="false">E67-BiasLight</f>
        <v>3.16451485489115</v>
      </c>
      <c r="G67" s="127" t="n">
        <f aca="false">F67*0.038*OptConst/1.602E-019</f>
        <v>5.25443789888294E+017</v>
      </c>
      <c r="H67" s="128" t="e">
        <f aca="false">calcconductance(B67,Dark_Voltage,A_cal,B_cal,C_cal)</f>
        <v>#NAME?</v>
      </c>
      <c r="I67" s="127" t="n">
        <f aca="false">IF(MobilityModel=DK,calcdeltan(H67,SampleDoping,Thickness,AreaFrac),calcdeltandl(H67,AreaFrac,Thickness,SampleType,SampleDoping,Temperature))</f>
        <v>1264012780965970</v>
      </c>
      <c r="J67" s="127" t="inlineStr">
        <f aca="false">IF(AND(AND(I67&gt;=FitRangeMin,I67&lt;=FitRangeMax),A67&gt;TimeofMaxCD),I67,"")</f>
        <is>
          <t/>
        </is>
      </c>
      <c r="K67" s="127" t="n">
        <f aca="false">IF(I67-BiasPtCD=0,0.00001,I67-BiasPtCD)</f>
        <v>1264012780965970</v>
      </c>
      <c r="L67" s="129" t="n">
        <f aca="false">IF(ABS(SLOPE(K65:K69,A65:A69))&lt;1000000000000,-1000000000000,(SLOPE(K65:K69,A65:A69)))</f>
        <v>-8.25602346975897E+017</v>
      </c>
      <c r="M67" s="73" t="str">
        <f aca="false">IF(E67&gt;0.85*BiasLight,IF( E67&lt;1.15*BiasLight,E67,""),"")</f>
        <v/>
      </c>
      <c r="N67" s="73" t="str">
        <f aca="false">IF(E67&gt;0.85*BiasLight,IF(E67&lt;1.15*BiasLight,I67,""),"")</f>
        <v/>
      </c>
      <c r="O67" s="129" t="n">
        <f aca="false">I67-Traps</f>
        <v>1264012780965970</v>
      </c>
      <c r="P67" s="127" t="e">
        <f aca="false">calclifetime(AnalysisMode,K67,Thickness,G67,L67)</f>
        <v>#NAME?</v>
      </c>
      <c r="Q67" s="129" t="e">
        <f aca="false">IF($J67="","",P67)</f>
        <v>#NAME?</v>
      </c>
      <c r="R67" s="130" t="e">
        <f aca="false">IF(Q67="","",1/Q67)</f>
        <v>#NAME?</v>
      </c>
      <c r="S67" s="131" t="n">
        <f aca="false">IF(AND(E67&gt;0.95*BiasLight,E67&lt;1.05*BiasLight),"",IF(AugerModel="Sinton",calclifetimeauger(Auger_Coefficient,I67,P67),calclifetimerichter(SampleType,I67,SampleDoping,P67)))</f>
        <v>21859.4360267986</v>
      </c>
      <c r="T67" s="78" t="n">
        <f aca="false">IF($J67="","",S67)</f>
        <v>21859.4360267986</v>
      </c>
      <c r="U67" s="131" t="n">
        <f aca="false">FitInterceptAuger+FitSlopeAuger*(I67+Traps)</f>
        <v>21701.1950316706</v>
      </c>
      <c r="V67" s="130" t="str">
        <f aca="false">IF(AugerModel="Sinton","",IF(SampleType="n-type",n_intr_boltzmann(SampleDoping,0,K67,Temperature+273.15),n_intr_boltzmann(0,SampleDoping,K67,Temperature+273.15)))</f>
        <v/>
      </c>
      <c r="W67" s="130" t="str">
        <f aca="false">IF(V67="","",IF(T67="","",(V67^2)*T67))</f>
        <v/>
      </c>
      <c r="X67" s="125" t="n">
        <f aca="false">IF(AND(A67&gt;TimeofMaxCD,I67&gt;Traps),IF(AugerModel="Sinton",calcimpliedv(SampleDoping,O67),calcimpliedvrichter(O67,SampleDoping,V67)),"")</f>
        <v>0.644937297722941</v>
      </c>
      <c r="Y67" s="132" t="e">
        <f aca="false">IF(OR(P67="",P67&lt;0,A67&lt;=TimeofMaxCD),"",(O67*Thickness*1.602E-019/(0.038*OptConst*P67)))</f>
        <v>#NAME?</v>
      </c>
      <c r="Z67" s="77" t="str">
        <f aca="false">IF(C67&gt;0.6,O67,"")</f>
        <v/>
      </c>
      <c r="AE67" s="130" t="e">
        <f aca="false">H67/(K67*AreaFrac*Thickness*1.602E-019)</f>
        <v>#NAME?</v>
      </c>
    </row>
    <row collapsed="false" customFormat="false" customHeight="false" hidden="false" ht="12.75" outlineLevel="0" r="68">
      <c r="A68" s="123" t="n">
        <v>0.0059499</v>
      </c>
      <c r="B68" s="123" t="n">
        <v>0.191181</v>
      </c>
      <c r="C68" s="124" t="n">
        <v>0.0317389</v>
      </c>
      <c r="D68" s="125" t="n">
        <f aca="false">IF(CouplingMode="AC",B68-(A$11-A$10)*SUM(B$9:B68)/0.21,B68)</f>
        <v>0.191181</v>
      </c>
      <c r="E68" s="126" t="n">
        <f aca="false">IF(C68&gt;0,C68/RefCellCal,0.00001)</f>
        <v>3.01586390921935</v>
      </c>
      <c r="F68" s="126" t="n">
        <f aca="false">E68-BiasLight</f>
        <v>3.01586390921935</v>
      </c>
      <c r="G68" s="127" t="n">
        <f aca="false">F68*0.038*OptConst/1.602E-019</f>
        <v>5.00761423128806E+017</v>
      </c>
      <c r="H68" s="128" t="e">
        <f aca="false">calcconductance(B68,Dark_Voltage,A_cal,B_cal,C_cal)</f>
        <v>#NAME?</v>
      </c>
      <c r="I68" s="127" t="n">
        <f aca="false">IF(MobilityModel=DK,calcdeltan(H68,SampleDoping,Thickness,AreaFrac),calcdeltandl(H68,AreaFrac,Thickness,SampleType,SampleDoping,Temperature))</f>
        <v>1184160970027500</v>
      </c>
      <c r="J68" s="127" t="inlineStr">
        <f aca="false">IF(AND(AND(I68&gt;=FitRangeMin,I68&lt;=FitRangeMax),A68&gt;TimeofMaxCD),I68,"")</f>
        <is>
          <t/>
        </is>
      </c>
      <c r="K68" s="127" t="n">
        <f aca="false">IF(I68-BiasPtCD=0,0.00001,I68-BiasPtCD)</f>
        <v>1184160970027500</v>
      </c>
      <c r="L68" s="129" t="n">
        <f aca="false">IF(ABS(SLOPE(K66:K70,A66:A70))&lt;1000000000000,-1000000000000,(SLOPE(K66:K70,A66:A70)))</f>
        <v>-7.808120128846E+017</v>
      </c>
      <c r="M68" s="73" t="str">
        <f aca="false">IF(E68&gt;0.85*BiasLight,IF( E68&lt;1.15*BiasLight,E68,""),"")</f>
        <v/>
      </c>
      <c r="N68" s="73" t="str">
        <f aca="false">IF(E68&gt;0.85*BiasLight,IF(E68&lt;1.15*BiasLight,I68,""),"")</f>
        <v/>
      </c>
      <c r="O68" s="129" t="n">
        <f aca="false">I68-Traps</f>
        <v>1184160970027500</v>
      </c>
      <c r="P68" s="127" t="e">
        <f aca="false">calclifetime(AnalysisMode,K68,Thickness,G68,L68)</f>
        <v>#NAME?</v>
      </c>
      <c r="Q68" s="129" t="e">
        <f aca="false">IF($J68="","",P68)</f>
        <v>#NAME?</v>
      </c>
      <c r="R68" s="130" t="e">
        <f aca="false">IF(Q68="","",1/Q68)</f>
        <v>#NAME?</v>
      </c>
      <c r="S68" s="131" t="n">
        <f aca="false">IF(AND(E68&gt;0.95*BiasLight,E68&lt;1.05*BiasLight),"",IF(AugerModel="Sinton",calclifetimeauger(Auger_Coefficient,I68,P68),calclifetimerichter(SampleType,I68,SampleDoping,P68)))</f>
        <v>22232.7103256428</v>
      </c>
      <c r="T68" s="78" t="n">
        <f aca="false">IF($J68="","",S68)</f>
        <v>22232.7103256428</v>
      </c>
      <c r="U68" s="131" t="n">
        <f aca="false">FitInterceptAuger+FitSlopeAuger*(I68+Traps)</f>
        <v>22165.6369661795</v>
      </c>
      <c r="V68" s="130" t="str">
        <f aca="false">IF(AugerModel="Sinton","",IF(SampleType="n-type",n_intr_boltzmann(SampleDoping,0,K68,Temperature+273.15),n_intr_boltzmann(0,SampleDoping,K68,Temperature+273.15)))</f>
        <v/>
      </c>
      <c r="W68" s="130" t="str">
        <f aca="false">IF(V68="","",IF(T68="","",(V68^2)*T68))</f>
        <v/>
      </c>
      <c r="X68" s="125" t="n">
        <f aca="false">IF(AND(A68&gt;TimeofMaxCD,I68&gt;Traps),IF(AugerModel="Sinton",calcimpliedv(SampleDoping,O68),calcimpliedvrichter(O68,SampleDoping,V68)),"")</f>
        <v>0.642818759321177</v>
      </c>
      <c r="Y68" s="132" t="e">
        <f aca="false">IF(OR(P68="",P68&lt;0,A68&lt;=TimeofMaxCD),"",(O68*Thickness*1.602E-019/(0.038*OptConst*P68)))</f>
        <v>#NAME?</v>
      </c>
      <c r="Z68" s="77" t="str">
        <f aca="false">IF(C68&gt;0.6,O68,"")</f>
        <v/>
      </c>
      <c r="AE68" s="130" t="e">
        <f aca="false">H68/(K68*AreaFrac*Thickness*1.602E-019)</f>
        <v>#NAME?</v>
      </c>
    </row>
    <row collapsed="false" customFormat="false" customHeight="false" hidden="false" ht="12.75" outlineLevel="0" r="69">
      <c r="A69" s="123" t="n">
        <v>0.0060499</v>
      </c>
      <c r="B69" s="123" t="n">
        <v>0.179638</v>
      </c>
      <c r="C69" s="124" t="n">
        <v>0.030234</v>
      </c>
      <c r="D69" s="125" t="n">
        <f aca="false">IF(CouplingMode="AC",B69-(A$11-A$10)*SUM(B$9:B69)/0.21,B69)</f>
        <v>0.179638</v>
      </c>
      <c r="E69" s="126" t="n">
        <f aca="false">IF(C69&gt;0,C69/RefCellCal,0.00001)</f>
        <v>2.87286671659502</v>
      </c>
      <c r="F69" s="126" t="n">
        <f aca="false">E69-BiasLight</f>
        <v>2.87286671659502</v>
      </c>
      <c r="G69" s="127" t="n">
        <f aca="false">F69*0.038*OptConst/1.602E-019</f>
        <v>4.77017819359723E+017</v>
      </c>
      <c r="H69" s="128" t="e">
        <f aca="false">calcconductance(B69,Dark_Voltage,A_cal,B_cal,C_cal)</f>
        <v>#NAME?</v>
      </c>
      <c r="I69" s="127" t="n">
        <f aca="false">IF(MobilityModel=DK,calcdeltan(H69,SampleDoping,Thickness,AreaFrac),calcdeltandl(H69,AreaFrac,Thickness,SampleType,SampleDoping,Temperature))</f>
        <v>1110287849279560</v>
      </c>
      <c r="J69" s="127" t="inlineStr">
        <f aca="false">IF(AND(AND(I69&gt;=FitRangeMin,I69&lt;=FitRangeMax),A69&gt;TimeofMaxCD),I69,"")</f>
        <is>
          <t/>
        </is>
      </c>
      <c r="K69" s="127" t="n">
        <f aca="false">IF(I69-BiasPtCD=0,0.00001,I69-BiasPtCD)</f>
        <v>1110287849279560</v>
      </c>
      <c r="L69" s="129" t="n">
        <f aca="false">IF(ABS(SLOPE(K67:K71,A67:A71))&lt;1000000000000,-1000000000000,(SLOPE(K67:K71,A67:A71)))</f>
        <v>-7.19499900992525E+017</v>
      </c>
      <c r="M69" s="73" t="str">
        <f aca="false">IF(E69&gt;0.85*BiasLight,IF( E69&lt;1.15*BiasLight,E69,""),"")</f>
        <v/>
      </c>
      <c r="N69" s="73" t="str">
        <f aca="false">IF(E69&gt;0.85*BiasLight,IF(E69&lt;1.15*BiasLight,I69,""),"")</f>
        <v/>
      </c>
      <c r="O69" s="129" t="n">
        <f aca="false">I69-Traps</f>
        <v>1110287849279560</v>
      </c>
      <c r="P69" s="127" t="e">
        <f aca="false">calclifetime(AnalysisMode,K69,Thickness,G69,L69)</f>
        <v>#NAME?</v>
      </c>
      <c r="Q69" s="129" t="e">
        <f aca="false">IF($J69="","",P69)</f>
        <v>#NAME?</v>
      </c>
      <c r="R69" s="130" t="e">
        <f aca="false">IF(Q69="","",1/Q69)</f>
        <v>#NAME?</v>
      </c>
      <c r="S69" s="131" t="n">
        <f aca="false">IF(AND(E69&gt;0.95*BiasLight,E69&lt;1.05*BiasLight),"",IF(AugerModel="Sinton",calclifetimeauger(Auger_Coefficient,I69,P69),calclifetimerichter(SampleType,I69,SampleDoping,P69)))</f>
        <v>22566.1045719032</v>
      </c>
      <c r="T69" s="78" t="n">
        <f aca="false">IF($J69="","",S69)</f>
        <v>22566.1045719032</v>
      </c>
      <c r="U69" s="131" t="n">
        <f aca="false">FitInterceptAuger+FitSlopeAuger*(I69+Traps)</f>
        <v>22595.3050564225</v>
      </c>
      <c r="V69" s="130" t="str">
        <f aca="false">IF(AugerModel="Sinton","",IF(SampleType="n-type",n_intr_boltzmann(SampleDoping,0,K69,Temperature+273.15),n_intr_boltzmann(0,SampleDoping,K69,Temperature+273.15)))</f>
        <v/>
      </c>
      <c r="W69" s="130" t="str">
        <f aca="false">IF(V69="","",IF(T69="","",(V69^2)*T69))</f>
        <v/>
      </c>
      <c r="X69" s="125" t="n">
        <f aca="false">IF(AND(A69&gt;TimeofMaxCD,I69&gt;Traps),IF(AugerModel="Sinton",calcimpliedv(SampleDoping,O69),calcimpliedvrichter(O69,SampleDoping,V69)),"")</f>
        <v>0.640748058244217</v>
      </c>
      <c r="Y69" s="132" t="e">
        <f aca="false">IF(OR(P69="",P69&lt;0,A69&lt;=TimeofMaxCD),"",(O69*Thickness*1.602E-019/(0.038*OptConst*P69)))</f>
        <v>#NAME?</v>
      </c>
      <c r="Z69" s="77" t="str">
        <f aca="false">IF(C69&gt;0.6,O69,"")</f>
        <v/>
      </c>
      <c r="AE69" s="130" t="e">
        <f aca="false">H69/(K69*AreaFrac*Thickness*1.602E-019)</f>
        <v>#NAME?</v>
      </c>
    </row>
    <row collapsed="false" customFormat="false" customHeight="false" hidden="false" ht="12.75" outlineLevel="0" r="70">
      <c r="A70" s="123" t="n">
        <v>0.0061499</v>
      </c>
      <c r="B70" s="123" t="n">
        <v>0.168168</v>
      </c>
      <c r="C70" s="124" t="n">
        <v>0.0287896</v>
      </c>
      <c r="D70" s="125" t="n">
        <f aca="false">IF(CouplingMode="AC",B70-(A$11-A$10)*SUM(B$9:B70)/0.21,B70)</f>
        <v>0.168168</v>
      </c>
      <c r="E70" s="126" t="n">
        <f aca="false">IF(C70&gt;0,C70/RefCellCal,0.00001)</f>
        <v>2.7356182980778</v>
      </c>
      <c r="F70" s="126" t="n">
        <f aca="false">E70-BiasLight</f>
        <v>2.7356182980778</v>
      </c>
      <c r="G70" s="127" t="n">
        <f aca="false">F70*0.038*OptConst/1.602E-019</f>
        <v>4.54228756110296E+017</v>
      </c>
      <c r="H70" s="128" t="e">
        <f aca="false">calcconductance(B70,Dark_Voltage,A_cal,B_cal,C_cal)</f>
        <v>#NAME?</v>
      </c>
      <c r="I70" s="127" t="n">
        <f aca="false">IF(MobilityModel=DK,calcdeltan(H70,SampleDoping,Thickness,AreaFrac),calcdeltandl(H70,AreaFrac,Thickness,SampleType,SampleDoping,Temperature))</f>
        <v>1037141572389610</v>
      </c>
      <c r="J70" s="127" t="inlineStr">
        <f aca="false">IF(AND(AND(I70&gt;=FitRangeMin,I70&lt;=FitRangeMax),A70&gt;TimeofMaxCD),I70,"")</f>
        <is>
          <t/>
        </is>
      </c>
      <c r="K70" s="127" t="n">
        <f aca="false">IF(I70-BiasPtCD=0,0.00001,I70-BiasPtCD)</f>
        <v>1037141572389610</v>
      </c>
      <c r="L70" s="129" t="n">
        <f aca="false">IF(ABS(SLOPE(K68:K72,A68:A72))&lt;1000000000000,-1000000000000,(SLOPE(K68:K72,A68:A72)))</f>
        <v>-6.67031042214688E+017</v>
      </c>
      <c r="M70" s="73" t="str">
        <f aca="false">IF(E70&gt;0.85*BiasLight,IF( E70&lt;1.15*BiasLight,E70,""),"")</f>
        <v/>
      </c>
      <c r="N70" s="73" t="str">
        <f aca="false">IF(E70&gt;0.85*BiasLight,IF(E70&lt;1.15*BiasLight,I70,""),"")</f>
        <v/>
      </c>
      <c r="O70" s="129" t="n">
        <f aca="false">I70-Traps</f>
        <v>1037141572389610</v>
      </c>
      <c r="P70" s="127" t="e">
        <f aca="false">calclifetime(AnalysisMode,K70,Thickness,G70,L70)</f>
        <v>#NAME?</v>
      </c>
      <c r="Q70" s="129" t="e">
        <f aca="false">IF($J70="","",P70)</f>
        <v>#NAME?</v>
      </c>
      <c r="R70" s="130" t="e">
        <f aca="false">IF(Q70="","",1/Q70)</f>
        <v>#NAME?</v>
      </c>
      <c r="S70" s="131" t="n">
        <f aca="false">IF(AND(E70&gt;0.95*BiasLight,E70&lt;1.05*BiasLight),"",IF(AugerModel="Sinton",calclifetimeauger(Auger_Coefficient,I70,P70),calclifetimerichter(SampleType,I70,SampleDoping,P70)))</f>
        <v>22986.3658859518</v>
      </c>
      <c r="T70" s="78" t="n">
        <f aca="false">IF($J70="","",S70)</f>
        <v>22986.3658859518</v>
      </c>
      <c r="U70" s="131" t="n">
        <f aca="false">FitInterceptAuger+FitSlopeAuger*(I70+Traps)</f>
        <v>23020.7456061312</v>
      </c>
      <c r="V70" s="130" t="str">
        <f aca="false">IF(AugerModel="Sinton","",IF(SampleType="n-type",n_intr_boltzmann(SampleDoping,0,K70,Temperature+273.15),n_intr_boltzmann(0,SampleDoping,K70,Temperature+273.15)))</f>
        <v/>
      </c>
      <c r="W70" s="130" t="str">
        <f aca="false">IF(V70="","",IF(T70="","",(V70^2)*T70))</f>
        <v/>
      </c>
      <c r="X70" s="125" t="n">
        <f aca="false">IF(AND(A70&gt;TimeofMaxCD,I70&gt;Traps),IF(AugerModel="Sinton",calcimpliedv(SampleDoping,O70),calcimpliedvrichter(O70,SampleDoping,V70)),"")</f>
        <v>0.638578737359539</v>
      </c>
      <c r="Y70" s="132" t="e">
        <f aca="false">IF(OR(P70="",P70&lt;0,A70&lt;=TimeofMaxCD),"",(O70*Thickness*1.602E-019/(0.038*OptConst*P70)))</f>
        <v>#NAME?</v>
      </c>
      <c r="Z70" s="77" t="str">
        <f aca="false">IF(C70&gt;0.6,O70,"")</f>
        <v/>
      </c>
      <c r="AE70" s="130" t="e">
        <f aca="false">H70/(K70*AreaFrac*Thickness*1.602E-019)</f>
        <v>#NAME?</v>
      </c>
    </row>
    <row collapsed="false" customFormat="false" customHeight="false" hidden="false" ht="12.75" outlineLevel="0" r="71">
      <c r="A71" s="123" t="n">
        <v>0.0062499</v>
      </c>
      <c r="B71" s="123" t="n">
        <v>0.158828</v>
      </c>
      <c r="C71" s="124" t="n">
        <v>0.0273893</v>
      </c>
      <c r="D71" s="125" t="n">
        <f aca="false">IF(CouplingMode="AC",B71-(A$11-A$10)*SUM(B$9:B71)/0.21,B71)</f>
        <v>0.158828</v>
      </c>
      <c r="E71" s="126" t="n">
        <f aca="false">IF(C71&gt;0,C71/RefCellCal,0.00001)</f>
        <v>2.60256030828987</v>
      </c>
      <c r="F71" s="126" t="n">
        <f aca="false">E71-BiasLight</f>
        <v>2.60256030828987</v>
      </c>
      <c r="G71" s="127" t="n">
        <f aca="false">F71*0.038*OptConst/1.602E-019</f>
        <v>4.32135481900816E+017</v>
      </c>
      <c r="H71" s="128" t="e">
        <f aca="false">calcconductance(B71,Dark_Voltage,A_cal,B_cal,C_cal)</f>
        <v>#NAME?</v>
      </c>
      <c r="I71" s="127" t="n">
        <f aca="false">IF(MobilityModel=DK,calcdeltan(H71,SampleDoping,Thickness,AreaFrac),calcdeltandl(H71,AreaFrac,Thickness,SampleType,SampleDoping,Temperature))</f>
        <v>977772529288657</v>
      </c>
      <c r="J71" s="127" t="inlineStr">
        <f aca="false">IF(AND(AND(I71&gt;=FitRangeMin,I71&lt;=FitRangeMax),A71&gt;TimeofMaxCD),I71,"")</f>
        <is>
          <t/>
        </is>
      </c>
      <c r="K71" s="127" t="n">
        <f aca="false">IF(I71-BiasPtCD=0,0.00001,I71-BiasPtCD)</f>
        <v>977772529288657</v>
      </c>
      <c r="L71" s="129" t="n">
        <f aca="false">IF(ABS(SLOPE(K69:K73,A69:A73))&lt;1000000000000,-1000000000000,(SLOPE(K69:K73,A69:A73)))</f>
        <v>-6.23800955948463E+017</v>
      </c>
      <c r="M71" s="73" t="str">
        <f aca="false">IF(E71&gt;0.85*BiasLight,IF( E71&lt;1.15*BiasLight,E71,""),"")</f>
        <v/>
      </c>
      <c r="N71" s="73" t="str">
        <f aca="false">IF(E71&gt;0.85*BiasLight,IF(E71&lt;1.15*BiasLight,I71,""),"")</f>
        <v/>
      </c>
      <c r="O71" s="129" t="n">
        <f aca="false">I71-Traps</f>
        <v>977772529288657</v>
      </c>
      <c r="P71" s="127" t="e">
        <f aca="false">calclifetime(AnalysisMode,K71,Thickness,G71,L71)</f>
        <v>#NAME?</v>
      </c>
      <c r="Q71" s="129" t="e">
        <f aca="false">IF($J71="","",P71)</f>
        <v>#NAME?</v>
      </c>
      <c r="R71" s="130" t="e">
        <f aca="false">IF(Q71="","",1/Q71)</f>
        <v>#NAME?</v>
      </c>
      <c r="S71" s="131" t="n">
        <f aca="false">IF(AND(E71&gt;0.95*BiasLight,E71&lt;1.05*BiasLight),"",IF(AugerModel="Sinton",calclifetimeauger(Auger_Coefficient,I71,P71),calclifetimerichter(SampleType,I71,SampleDoping,P71)))</f>
        <v>23185.3290984385</v>
      </c>
      <c r="T71" s="78" t="n">
        <f aca="false">IF($J71="","",S71)</f>
        <v>23185.3290984385</v>
      </c>
      <c r="U71" s="131" t="n">
        <f aca="false">FitInterceptAuger+FitSlopeAuger*(I71+Traps)</f>
        <v>23366.0536574287</v>
      </c>
      <c r="V71" s="130" t="str">
        <f aca="false">IF(AugerModel="Sinton","",IF(SampleType="n-type",n_intr_boltzmann(SampleDoping,0,K71,Temperature+273.15),n_intr_boltzmann(0,SampleDoping,K71,Temperature+273.15)))</f>
        <v/>
      </c>
      <c r="W71" s="130" t="str">
        <f aca="false">IF(V71="","",IF(T71="","",(V71^2)*T71))</f>
        <v/>
      </c>
      <c r="X71" s="125" t="n">
        <f aca="false">IF(AND(A71&gt;TimeofMaxCD,I71&gt;Traps),IF(AugerModel="Sinton",calcimpliedv(SampleDoping,O71),calcimpliedvrichter(O71,SampleDoping,V71)),"")</f>
        <v>0.636719616900712</v>
      </c>
      <c r="Y71" s="132" t="e">
        <f aca="false">IF(OR(P71="",P71&lt;0,A71&lt;=TimeofMaxCD),"",(O71*Thickness*1.602E-019/(0.038*OptConst*P71)))</f>
        <v>#NAME?</v>
      </c>
      <c r="Z71" s="77" t="str">
        <f aca="false">IF(C71&gt;0.6,O71,"")</f>
        <v/>
      </c>
      <c r="AE71" s="130" t="e">
        <f aca="false">H71/(K71*AreaFrac*Thickness*1.602E-019)</f>
        <v>#NAME?</v>
      </c>
    </row>
    <row collapsed="false" customFormat="false" customHeight="false" hidden="false" ht="12.75" outlineLevel="0" r="72">
      <c r="A72" s="123" t="n">
        <v>0.0063499</v>
      </c>
      <c r="B72" s="123" t="n">
        <v>0.149223</v>
      </c>
      <c r="C72" s="124" t="n">
        <v>0.0260895</v>
      </c>
      <c r="D72" s="125" t="n">
        <f aca="false">IF(CouplingMode="AC",B72-(A$11-A$10)*SUM(B$9:B72)/0.21,B72)</f>
        <v>0.149223</v>
      </c>
      <c r="E72" s="126" t="n">
        <f aca="false">IF(C72&gt;0,C72/RefCellCal,0.00001)</f>
        <v>2.47905193499391</v>
      </c>
      <c r="F72" s="126" t="n">
        <f aca="false">E72-BiasLight</f>
        <v>2.47905193499391</v>
      </c>
      <c r="G72" s="127" t="n">
        <f aca="false">F72*0.038*OptConst/1.602E-019</f>
        <v>4.11627849381011E+017</v>
      </c>
      <c r="H72" s="128" t="e">
        <f aca="false">calcconductance(B72,Dark_Voltage,A_cal,B_cal,C_cal)</f>
        <v>#NAME?</v>
      </c>
      <c r="I72" s="127" t="n">
        <f aca="false">IF(MobilityModel=DK,calcdeltan(H72,SampleDoping,Thickness,AreaFrac),calcdeltandl(H72,AreaFrac,Thickness,SampleType,SampleDoping,Temperature))</f>
        <v>916903108915604</v>
      </c>
      <c r="J72" s="127" t="inlineStr">
        <f aca="false">IF(AND(AND(I72&gt;=FitRangeMin,I72&lt;=FitRangeMax),A72&gt;TimeofMaxCD),I72,"")</f>
        <is>
          <t/>
        </is>
      </c>
      <c r="K72" s="127" t="n">
        <f aca="false">IF(I72-BiasPtCD=0,0.00001,I72-BiasPtCD)</f>
        <v>916903108915604</v>
      </c>
      <c r="L72" s="129" t="n">
        <f aca="false">IF(ABS(SLOPE(K70:K74,A70:A74))&lt;1000000000000,-1000000000000,(SLOPE(K70:K74,A70:A74)))</f>
        <v>-5.81612957034085E+017</v>
      </c>
      <c r="M72" s="73" t="str">
        <f aca="false">IF(E72&gt;0.85*BiasLight,IF( E72&lt;1.15*BiasLight,E72,""),"")</f>
        <v/>
      </c>
      <c r="N72" s="73" t="str">
        <f aca="false">IF(E72&gt;0.85*BiasLight,IF(E72&lt;1.15*BiasLight,I72,""),"")</f>
        <v/>
      </c>
      <c r="O72" s="129" t="n">
        <f aca="false">I72-Traps</f>
        <v>916903108915604</v>
      </c>
      <c r="P72" s="127" t="e">
        <f aca="false">calclifetime(AnalysisMode,K72,Thickness,G72,L72)</f>
        <v>#NAME?</v>
      </c>
      <c r="Q72" s="129" t="e">
        <f aca="false">IF($J72="","",P72)</f>
        <v>#NAME?</v>
      </c>
      <c r="R72" s="130" t="e">
        <f aca="false">IF(Q72="","",1/Q72)</f>
        <v>#NAME?</v>
      </c>
      <c r="S72" s="131" t="n">
        <f aca="false">IF(AND(E72&gt;0.95*BiasLight,E72&lt;1.05*BiasLight),"",IF(AugerModel="Sinton",calclifetimeauger(Auger_Coefficient,I72,P72),calclifetimerichter(SampleType,I72,SampleDoping,P72)))</f>
        <v>23537.6606553246</v>
      </c>
      <c r="T72" s="78" t="n">
        <f aca="false">IF($J72="","",S72)</f>
        <v>23537.6606553246</v>
      </c>
      <c r="U72" s="131" t="n">
        <f aca="false">FitInterceptAuger+FitSlopeAuger*(I72+Traps)</f>
        <v>23720.0883501708</v>
      </c>
      <c r="V72" s="130" t="str">
        <f aca="false">IF(AugerModel="Sinton","",IF(SampleType="n-type",n_intr_boltzmann(SampleDoping,0,K72,Temperature+273.15),n_intr_boltzmann(0,SampleDoping,K72,Temperature+273.15)))</f>
        <v/>
      </c>
      <c r="W72" s="130" t="str">
        <f aca="false">IF(V72="","",IF(T72="","",(V72^2)*T72))</f>
        <v/>
      </c>
      <c r="X72" s="125" t="n">
        <f aca="false">IF(AND(A72&gt;TimeofMaxCD,I72&gt;Traps),IF(AugerModel="Sinton",calcimpliedv(SampleDoping,O72),calcimpliedvrichter(O72,SampleDoping,V72)),"")</f>
        <v>0.634710021111386</v>
      </c>
      <c r="Y72" s="132" t="e">
        <f aca="false">IF(OR(P72="",P72&lt;0,A72&lt;=TimeofMaxCD),"",(O72*Thickness*1.602E-019/(0.038*OptConst*P72)))</f>
        <v>#NAME?</v>
      </c>
      <c r="Z72" s="77" t="str">
        <f aca="false">IF(C72&gt;0.6,O72,"")</f>
        <v/>
      </c>
      <c r="AE72" s="130" t="e">
        <f aca="false">H72/(K72*AreaFrac*Thickness*1.602E-019)</f>
        <v>#NAME?</v>
      </c>
    </row>
    <row collapsed="false" customFormat="false" customHeight="false" hidden="false" ht="12.75" outlineLevel="0" r="73">
      <c r="A73" s="123" t="n">
        <v>0.0064499</v>
      </c>
      <c r="B73" s="123" t="n">
        <v>0.13998</v>
      </c>
      <c r="C73" s="124" t="n">
        <v>0.0248883</v>
      </c>
      <c r="D73" s="125" t="n">
        <f aca="false">IF(CouplingMode="AC",B73-(A$11-A$10)*SUM(B$9:B73)/0.21,B73)</f>
        <v>0.13998</v>
      </c>
      <c r="E73" s="126" t="n">
        <f aca="false">IF(C73&gt;0,C73/RefCellCal,0.00001)</f>
        <v>2.36491263817662</v>
      </c>
      <c r="F73" s="126" t="n">
        <f aca="false">E73-BiasLight</f>
        <v>2.36491263817662</v>
      </c>
      <c r="G73" s="127" t="n">
        <f aca="false">F73*0.038*OptConst/1.602E-019</f>
        <v>3.92675881245307E+017</v>
      </c>
      <c r="H73" s="128" t="e">
        <f aca="false">calcconductance(B73,Dark_Voltage,A_cal,B_cal,C_cal)</f>
        <v>#NAME?</v>
      </c>
      <c r="I73" s="127" t="n">
        <f aca="false">IF(MobilityModel=DK,calcdeltan(H73,SampleDoping,Thickness,AreaFrac),calcdeltandl(H73,AreaFrac,Thickness,SampleType,SampleDoping,Temperature))</f>
        <v>858506603042325</v>
      </c>
      <c r="J73" s="127" t="inlineStr">
        <f aca="false">IF(AND(AND(I73&gt;=FitRangeMin,I73&lt;=FitRangeMax),A73&gt;TimeofMaxCD),I73,"")</f>
        <is>
          <t/>
        </is>
      </c>
      <c r="K73" s="127" t="n">
        <f aca="false">IF(I73-BiasPtCD=0,0.00001,I73-BiasPtCD)</f>
        <v>858506603042325</v>
      </c>
      <c r="L73" s="129" t="n">
        <f aca="false">IF(ABS(SLOPE(K71:K75,A71:A75))&lt;1000000000000,-1000000000000,(SLOPE(K71:K75,A71:A75)))</f>
        <v>-5.54721594570152E+017</v>
      </c>
      <c r="M73" s="73" t="str">
        <f aca="false">IF(E73&gt;0.85*BiasLight,IF( E73&lt;1.15*BiasLight,E73,""),"")</f>
        <v/>
      </c>
      <c r="N73" s="73" t="str">
        <f aca="false">IF(E73&gt;0.85*BiasLight,IF(E73&lt;1.15*BiasLight,I73,""),"")</f>
        <v/>
      </c>
      <c r="O73" s="129" t="n">
        <f aca="false">I73-Traps</f>
        <v>858506603042325</v>
      </c>
      <c r="P73" s="127" t="e">
        <f aca="false">calclifetime(AnalysisMode,K73,Thickness,G73,L73)</f>
        <v>#NAME?</v>
      </c>
      <c r="Q73" s="129" t="e">
        <f aca="false">IF($J73="","",P73)</f>
        <v>#NAME?</v>
      </c>
      <c r="R73" s="130" t="e">
        <f aca="false">IF(Q73="","",1/Q73)</f>
        <v>#NAME?</v>
      </c>
      <c r="S73" s="131" t="n">
        <f aca="false">IF(AND(E73&gt;0.95*BiasLight,E73&lt;1.05*BiasLight),"",IF(AugerModel="Sinton",calclifetimeauger(Auger_Coefficient,I73,P73),calclifetimerichter(SampleType,I73,SampleDoping,P73)))</f>
        <v>23981.3589046398</v>
      </c>
      <c r="T73" s="78" t="n">
        <f aca="false">IF($J73="","",S73)</f>
        <v>23981.3589046398</v>
      </c>
      <c r="U73" s="131" t="n">
        <f aca="false">FitInterceptAuger+FitSlopeAuger*(I73+Traps)</f>
        <v>24059.73983506</v>
      </c>
      <c r="V73" s="130" t="str">
        <f aca="false">IF(AugerModel="Sinton","",IF(SampleType="n-type",n_intr_boltzmann(SampleDoping,0,K73,Temperature+273.15),n_intr_boltzmann(0,SampleDoping,K73,Temperature+273.15)))</f>
        <v/>
      </c>
      <c r="W73" s="130" t="str">
        <f aca="false">IF(V73="","",IF(T73="","",(V73^2)*T73))</f>
        <v/>
      </c>
      <c r="X73" s="125" t="n">
        <f aca="false">IF(AND(A73&gt;TimeofMaxCD,I73&gt;Traps),IF(AugerModel="Sinton",calcimpliedv(SampleDoping,O73),calcimpliedvrichter(O73,SampleDoping,V73)),"")</f>
        <v>0.632670859384287</v>
      </c>
      <c r="Y73" s="132" t="e">
        <f aca="false">IF(OR(P73="",P73&lt;0,A73&lt;=TimeofMaxCD),"",(O73*Thickness*1.602E-019/(0.038*OptConst*P73)))</f>
        <v>#NAME?</v>
      </c>
      <c r="Z73" s="77" t="str">
        <f aca="false">IF(C73&gt;0.6,O73,"")</f>
        <v/>
      </c>
      <c r="AE73" s="130" t="e">
        <f aca="false">H73/(K73*AreaFrac*Thickness*1.602E-019)</f>
        <v>#NAME?</v>
      </c>
    </row>
    <row collapsed="false" customFormat="false" customHeight="false" hidden="false" ht="12.75" outlineLevel="0" r="74">
      <c r="A74" s="123" t="n">
        <v>0.0065499</v>
      </c>
      <c r="B74" s="123" t="n">
        <v>0.13164</v>
      </c>
      <c r="C74" s="124" t="n">
        <v>0.0237311</v>
      </c>
      <c r="D74" s="125" t="n">
        <f aca="false">IF(CouplingMode="AC",B74-(A$11-A$10)*SUM(B$9:B74)/0.21,B74)</f>
        <v>0.13164</v>
      </c>
      <c r="E74" s="126" t="n">
        <f aca="false">IF(C74&gt;0,C74/RefCellCal,0.00001)</f>
        <v>2.25495426798267</v>
      </c>
      <c r="F74" s="126" t="n">
        <f aca="false">E74-BiasLight</f>
        <v>2.25495426798267</v>
      </c>
      <c r="G74" s="127" t="n">
        <f aca="false">F74*0.038*OptConst/1.602E-019</f>
        <v>3.74418124396624E+017</v>
      </c>
      <c r="H74" s="128" t="e">
        <f aca="false">calcconductance(B74,Dark_Voltage,A_cal,B_cal,C_cal)</f>
        <v>#NAME?</v>
      </c>
      <c r="I74" s="127" t="n">
        <f aca="false">IF(MobilityModel=DK,calcdeltan(H74,SampleDoping,Thickness,AreaFrac),calcdeltandl(H74,AreaFrac,Thickness,SampleType,SampleDoping,Temperature))</f>
        <v>805968056995729</v>
      </c>
      <c r="J74" s="127" t="inlineStr">
        <f aca="false">IF(AND(AND(I74&gt;=FitRangeMin,I74&lt;=FitRangeMax),A74&gt;TimeofMaxCD),I74,"")</f>
        <is>
          <t/>
        </is>
      </c>
      <c r="K74" s="127" t="n">
        <f aca="false">IF(I74-BiasPtCD=0,0.00001,I74-BiasPtCD)</f>
        <v>805968056995729</v>
      </c>
      <c r="L74" s="129" t="n">
        <f aca="false">IF(ABS(SLOPE(K72:K76,A72:A76))&lt;1000000000000,-1000000000000,(SLOPE(K72:K76,A72:A76)))</f>
        <v>-5.20499231120804E+017</v>
      </c>
      <c r="M74" s="73" t="str">
        <f aca="false">IF(E74&gt;0.85*BiasLight,IF( E74&lt;1.15*BiasLight,E74,""),"")</f>
        <v/>
      </c>
      <c r="N74" s="73" t="str">
        <f aca="false">IF(E74&gt;0.85*BiasLight,IF(E74&lt;1.15*BiasLight,I74,""),"")</f>
        <v/>
      </c>
      <c r="O74" s="129" t="n">
        <f aca="false">I74-Traps</f>
        <v>805968056995729</v>
      </c>
      <c r="P74" s="127" t="e">
        <f aca="false">calclifetime(AnalysisMode,K74,Thickness,G74,L74)</f>
        <v>#NAME?</v>
      </c>
      <c r="Q74" s="129" t="e">
        <f aca="false">IF($J74="","",P74)</f>
        <v>#NAME?</v>
      </c>
      <c r="R74" s="130" t="e">
        <f aca="false">IF(Q74="","",1/Q74)</f>
        <v>#NAME?</v>
      </c>
      <c r="S74" s="131" t="n">
        <f aca="false">IF(AND(E74&gt;0.95*BiasLight,E74&lt;1.05*BiasLight),"",IF(AugerModel="Sinton",calclifetimeauger(Auger_Coefficient,I74,P74),calclifetimerichter(SampleType,I74,SampleDoping,P74)))</f>
        <v>24346.6170992677</v>
      </c>
      <c r="T74" s="78" t="n">
        <f aca="false">IF($J74="","",S74)</f>
        <v>24346.6170992677</v>
      </c>
      <c r="U74" s="131" t="n">
        <f aca="false">FitInterceptAuger+FitSlopeAuger*(I74+Traps)</f>
        <v>24365.3196794666</v>
      </c>
      <c r="V74" s="130" t="str">
        <f aca="false">IF(AugerModel="Sinton","",IF(SampleType="n-type",n_intr_boltzmann(SampleDoping,0,K74,Temperature+273.15),n_intr_boltzmann(0,SampleDoping,K74,Temperature+273.15)))</f>
        <v/>
      </c>
      <c r="W74" s="130" t="str">
        <f aca="false">IF(V74="","",IF(T74="","",(V74^2)*T74))</f>
        <v/>
      </c>
      <c r="X74" s="125" t="n">
        <f aca="false">IF(AND(A74&gt;TimeofMaxCD,I74&gt;Traps),IF(AugerModel="Sinton",calcimpliedv(SampleDoping,O74),calcimpliedvrichter(O74,SampleDoping,V74)),"")</f>
        <v>0.630730833080499</v>
      </c>
      <c r="Y74" s="132" t="e">
        <f aca="false">IF(OR(P74="",P74&lt;0,A74&lt;=TimeofMaxCD),"",(O74*Thickness*1.602E-019/(0.038*OptConst*P74)))</f>
        <v>#NAME?</v>
      </c>
      <c r="Z74" s="77" t="str">
        <f aca="false">IF(C74&gt;0.6,O74,"")</f>
        <v/>
      </c>
      <c r="AE74" s="130" t="e">
        <f aca="false">H74/(K74*AreaFrac*Thickness*1.602E-019)</f>
        <v>#NAME?</v>
      </c>
    </row>
    <row collapsed="false" customFormat="false" customHeight="false" hidden="false" ht="12.75" outlineLevel="0" r="75">
      <c r="A75" s="123" t="n">
        <v>0.0066499</v>
      </c>
      <c r="B75" s="123" t="n">
        <v>0.123667</v>
      </c>
      <c r="C75" s="124" t="n">
        <v>0.0226139</v>
      </c>
      <c r="D75" s="125" t="n">
        <f aca="false">IF(CouplingMode="AC",B75-(A$11-A$10)*SUM(B$9:B75)/0.21,B75)</f>
        <v>0.123667</v>
      </c>
      <c r="E75" s="126" t="n">
        <f aca="false">IF(C75&gt;0,C75/RefCellCal,0.00001)</f>
        <v>2.14879674017359</v>
      </c>
      <c r="F75" s="126" t="n">
        <f aca="false">E75-BiasLight</f>
        <v>2.14879674017359</v>
      </c>
      <c r="G75" s="127" t="n">
        <f aca="false">F75*0.038*OptConst/1.602E-019</f>
        <v>3.56791468717961E+017</v>
      </c>
      <c r="H75" s="128" t="e">
        <f aca="false">calcconductance(B75,Dark_Voltage,A_cal,B_cal,C_cal)</f>
        <v>#NAME?</v>
      </c>
      <c r="I75" s="127" t="n">
        <f aca="false">IF(MobilityModel=DK,calcdeltan(H75,SampleDoping,Thickness,AreaFrac),calcdeltandl(H75,AreaFrac,Thickness,SampleType,SampleDoping,Temperature))</f>
        <v>755879257963519</v>
      </c>
      <c r="J75" s="127" t="inlineStr">
        <f aca="false">IF(AND(AND(I75&gt;=FitRangeMin,I75&lt;=FitRangeMax),A75&gt;TimeofMaxCD),I75,"")</f>
        <is>
          <t/>
        </is>
      </c>
      <c r="K75" s="127" t="n">
        <f aca="false">IF(I75-BiasPtCD=0,0.00001,I75-BiasPtCD)</f>
        <v>755879257963519</v>
      </c>
      <c r="L75" s="129" t="n">
        <f aca="false">IF(ABS(SLOPE(K73:K77,A73:A77))&lt;1000000000000,-1000000000000,(SLOPE(K73:K77,A73:A77)))</f>
        <v>-4.92013960376322E+017</v>
      </c>
      <c r="M75" s="73" t="str">
        <f aca="false">IF(E75&gt;0.85*BiasLight,IF( E75&lt;1.15*BiasLight,E75,""),"")</f>
        <v/>
      </c>
      <c r="N75" s="73" t="str">
        <f aca="false">IF(E75&gt;0.85*BiasLight,IF(E75&lt;1.15*BiasLight,I75,""),"")</f>
        <v/>
      </c>
      <c r="O75" s="129" t="n">
        <f aca="false">I75-Traps</f>
        <v>755879257963519</v>
      </c>
      <c r="P75" s="127" t="e">
        <f aca="false">calclifetime(AnalysisMode,K75,Thickness,G75,L75)</f>
        <v>#NAME?</v>
      </c>
      <c r="Q75" s="129" t="e">
        <f aca="false">IF($J75="","",P75)</f>
        <v>#NAME?</v>
      </c>
      <c r="R75" s="130" t="e">
        <f aca="false">IF(Q75="","",1/Q75)</f>
        <v>#NAME?</v>
      </c>
      <c r="S75" s="131" t="n">
        <f aca="false">IF(AND(E75&gt;0.95*BiasLight,E75&lt;1.05*BiasLight),"",IF(AugerModel="Sinton",calclifetimeauger(Auger_Coefficient,I75,P75),calclifetimerichter(SampleType,I75,SampleDoping,P75)))</f>
        <v>24732.7112304865</v>
      </c>
      <c r="T75" s="78" t="n">
        <f aca="false">IF($J75="","",S75)</f>
        <v>24732.7112304865</v>
      </c>
      <c r="U75" s="131" t="n">
        <f aca="false">FitInterceptAuger+FitSlopeAuger*(I75+Traps)</f>
        <v>24656.6510650212</v>
      </c>
      <c r="V75" s="130" t="str">
        <f aca="false">IF(AugerModel="Sinton","",IF(SampleType="n-type",n_intr_boltzmann(SampleDoping,0,K75,Temperature+273.15),n_intr_boltzmann(0,SampleDoping,K75,Temperature+273.15)))</f>
        <v/>
      </c>
      <c r="W75" s="130" t="str">
        <f aca="false">IF(V75="","",IF(T75="","",(V75^2)*T75))</f>
        <v/>
      </c>
      <c r="X75" s="125" t="n">
        <f aca="false">IF(AND(A75&gt;TimeofMaxCD,I75&gt;Traps),IF(AugerModel="Sinton",calcimpliedv(SampleDoping,O75),calcimpliedvrichter(O75,SampleDoping,V75)),"")</f>
        <v>0.628775914154363</v>
      </c>
      <c r="Y75" s="132" t="e">
        <f aca="false">IF(OR(P75="",P75&lt;0,A75&lt;=TimeofMaxCD),"",(O75*Thickness*1.602E-019/(0.038*OptConst*P75)))</f>
        <v>#NAME?</v>
      </c>
      <c r="Z75" s="77" t="str">
        <f aca="false">IF(C75&gt;0.6,O75,"")</f>
        <v/>
      </c>
      <c r="AE75" s="130" t="e">
        <f aca="false">H75/(K75*AreaFrac*Thickness*1.602E-019)</f>
        <v>#NAME?</v>
      </c>
    </row>
    <row collapsed="false" customFormat="false" customHeight="false" hidden="false" ht="12.75" outlineLevel="0" r="76">
      <c r="A76" s="123" t="n">
        <v>0.0067499</v>
      </c>
      <c r="B76" s="123" t="n">
        <v>0.11602</v>
      </c>
      <c r="C76" s="124" t="n">
        <v>0.0215494</v>
      </c>
      <c r="D76" s="125" t="n">
        <f aca="false">IF(CouplingMode="AC",B76-(A$11-A$10)*SUM(B$9:B76)/0.21,B76)</f>
        <v>0.11602</v>
      </c>
      <c r="E76" s="126" t="n">
        <f aca="false">IF(C76&gt;0,C76/RefCellCal,0.00001)</f>
        <v>2.04764682220655</v>
      </c>
      <c r="F76" s="126" t="n">
        <f aca="false">E76-BiasLight</f>
        <v>2.04764682220655</v>
      </c>
      <c r="G76" s="127" t="n">
        <f aca="false">F76*0.038*OptConst/1.602E-019</f>
        <v>3.399962888308E+017</v>
      </c>
      <c r="H76" s="128" t="e">
        <f aca="false">calcconductance(B76,Dark_Voltage,A_cal,B_cal,C_cal)</f>
        <v>#NAME?</v>
      </c>
      <c r="I76" s="127" t="n">
        <f aca="false">IF(MobilityModel=DK,calcdeltan(H76,SampleDoping,Thickness,AreaFrac),calcdeltandl(H76,AreaFrac,Thickness,SampleType,SampleDoping,Temperature))</f>
        <v>707967165894605</v>
      </c>
      <c r="J76" s="127" t="inlineStr">
        <f aca="false">IF(AND(AND(I76&gt;=FitRangeMin,I76&lt;=FitRangeMax),A76&gt;TimeofMaxCD),I76,"")</f>
        <is>
          <t/>
        </is>
      </c>
      <c r="K76" s="127" t="n">
        <f aca="false">IF(I76-BiasPtCD=0,0.00001,I76-BiasPtCD)</f>
        <v>707967165894605</v>
      </c>
      <c r="L76" s="129" t="n">
        <f aca="false">IF(ABS(SLOPE(K74:K78,A74:A78))&lt;1000000000000,-1000000000000,(SLOPE(K74:K78,A74:A78)))</f>
        <v>-4.64710155179358E+017</v>
      </c>
      <c r="M76" s="73" t="str">
        <f aca="false">IF(E76&gt;0.85*BiasLight,IF( E76&lt;1.15*BiasLight,E76,""),"")</f>
        <v/>
      </c>
      <c r="N76" s="73" t="str">
        <f aca="false">IF(E76&gt;0.85*BiasLight,IF(E76&lt;1.15*BiasLight,I76,""),"")</f>
        <v/>
      </c>
      <c r="O76" s="129" t="n">
        <f aca="false">I76-Traps</f>
        <v>707967165894605</v>
      </c>
      <c r="P76" s="127" t="e">
        <f aca="false">calclifetime(AnalysisMode,K76,Thickness,G76,L76)</f>
        <v>#NAME?</v>
      </c>
      <c r="Q76" s="129" t="e">
        <f aca="false">IF($J76="","",P76)</f>
        <v>#NAME?</v>
      </c>
      <c r="R76" s="130" t="e">
        <f aca="false">IF(Q76="","",1/Q76)</f>
        <v>#NAME?</v>
      </c>
      <c r="S76" s="131" t="n">
        <f aca="false">IF(AND(E76&gt;0.95*BiasLight,E76&lt;1.05*BiasLight),"",IF(AugerModel="Sinton",calclifetimeauger(Auger_Coefficient,I76,P76),calclifetimerichter(SampleType,I76,SampleDoping,P76)))</f>
        <v>25157.7635231457</v>
      </c>
      <c r="T76" s="78" t="n">
        <f aca="false">IF($J76="","",S76)</f>
        <v>25157.7635231457</v>
      </c>
      <c r="U76" s="131" t="n">
        <f aca="false">FitInterceptAuger+FitSlopeAuger*(I76+Traps)</f>
        <v>24935.3220740482</v>
      </c>
      <c r="V76" s="130" t="str">
        <f aca="false">IF(AugerModel="Sinton","",IF(SampleType="n-type",n_intr_boltzmann(SampleDoping,0,K76,Temperature+273.15),n_intr_boltzmann(0,SampleDoping,K76,Temperature+273.15)))</f>
        <v/>
      </c>
      <c r="W76" s="130" t="str">
        <f aca="false">IF(V76="","",IF(T76="","",(V76^2)*T76))</f>
        <v/>
      </c>
      <c r="X76" s="125" t="n">
        <f aca="false">IF(AND(A76&gt;TimeofMaxCD,I76&gt;Traps),IF(AugerModel="Sinton",calcimpliedv(SampleDoping,O76),calcimpliedvrichter(O76,SampleDoping,V76)),"")</f>
        <v>0.626796905830995</v>
      </c>
      <c r="Y76" s="132" t="e">
        <f aca="false">IF(OR(P76="",P76&lt;0,A76&lt;=TimeofMaxCD),"",(O76*Thickness*1.602E-019/(0.038*OptConst*P76)))</f>
        <v>#NAME?</v>
      </c>
      <c r="Z76" s="77" t="str">
        <f aca="false">IF(C76&gt;0.6,O76,"")</f>
        <v/>
      </c>
      <c r="AE76" s="130" t="e">
        <f aca="false">H76/(K76*AreaFrac*Thickness*1.602E-019)</f>
        <v>#NAME?</v>
      </c>
    </row>
    <row collapsed="false" customFormat="false" customHeight="false" hidden="false" ht="12.75" outlineLevel="0" r="77">
      <c r="A77" s="123" t="n">
        <v>0.0068499</v>
      </c>
      <c r="B77" s="123" t="n">
        <v>0.108584</v>
      </c>
      <c r="C77" s="124" t="n">
        <v>0.020484</v>
      </c>
      <c r="D77" s="125" t="n">
        <f aca="false">IF(CouplingMode="AC",B77-(A$11-A$10)*SUM(B$9:B77)/0.21,B77)</f>
        <v>0.108584</v>
      </c>
      <c r="E77" s="126" t="n">
        <f aca="false">IF(C77&gt;0,C77/RefCellCal,0.00001)</f>
        <v>1.94641138528585</v>
      </c>
      <c r="F77" s="126" t="n">
        <f aca="false">E77-BiasLight</f>
        <v>1.94641138528585</v>
      </c>
      <c r="G77" s="127" t="n">
        <f aca="false">F77*0.038*OptConst/1.602E-019</f>
        <v>3.23186909167314E+017</v>
      </c>
      <c r="H77" s="128" t="e">
        <f aca="false">calcconductance(B77,Dark_Voltage,A_cal,B_cal,C_cal)</f>
        <v>#NAME?</v>
      </c>
      <c r="I77" s="127" t="n">
        <f aca="false">IF(MobilityModel=DK,calcdeltan(H77,SampleDoping,Thickness,AreaFrac),calcdeltandl(H77,AreaFrac,Thickness,SampleType,SampleDoping,Temperature))</f>
        <v>661500068404725</v>
      </c>
      <c r="J77" s="127" t="str">
        <f aca="false">IF(AND(AND(I77&gt;=FitRangeMin,I77&lt;=FitRangeMax),A77&gt;TimeofMaxCD),I77,"")</f>
        <v/>
      </c>
      <c r="K77" s="127" t="n">
        <f aca="false">IF(I77-BiasPtCD=0,0.00001,I77-BiasPtCD)</f>
        <v>661500068404725</v>
      </c>
      <c r="L77" s="129" t="n">
        <f aca="false">IF(ABS(SLOPE(K75:K79,A75:A79))&lt;1000000000000,-1000000000000,(SLOPE(K75:K79,A75:A79)))</f>
        <v>-4.34322488002541E+017</v>
      </c>
      <c r="M77" s="73" t="str">
        <f aca="false">IF(E77&gt;0.85*BiasLight,IF( E77&lt;1.15*BiasLight,E77,""),"")</f>
        <v/>
      </c>
      <c r="N77" s="73" t="str">
        <f aca="false">IF(E77&gt;0.85*BiasLight,IF(E77&lt;1.15*BiasLight,I77,""),"")</f>
        <v/>
      </c>
      <c r="O77" s="129" t="n">
        <f aca="false">I77-Traps</f>
        <v>661500068404725</v>
      </c>
      <c r="P77" s="127" t="e">
        <f aca="false">calclifetime(AnalysisMode,K77,Thickness,G77,L77)</f>
        <v>#NAME?</v>
      </c>
      <c r="Q77" s="129" t="str">
        <f aca="false">IF($J77="","",P77)</f>
        <v/>
      </c>
      <c r="R77" s="130" t="str">
        <f aca="false">IF(Q77="","",1/Q77)</f>
        <v/>
      </c>
      <c r="S77" s="131" t="n">
        <f aca="false">IF(AND(E77&gt;0.95*BiasLight,E77&lt;1.05*BiasLight),"",IF(AugerModel="Sinton",calclifetimeauger(Auger_Coefficient,I77,P77),calclifetimerichter(SampleType,I77,SampleDoping,P77)))</f>
        <v>25582.7184458386</v>
      </c>
      <c r="T77" s="78" t="str">
        <f aca="false">IF($J77="","",S77)</f>
        <v/>
      </c>
      <c r="U77" s="131" t="n">
        <f aca="false">FitInterceptAuger+FitSlopeAuger*(I77+Traps)</f>
        <v>25205.588563882</v>
      </c>
      <c r="V77" s="130" t="str">
        <f aca="false">IF(AugerModel="Sinton","",IF(SampleType="n-type",n_intr_boltzmann(SampleDoping,0,K77,Temperature+273.15),n_intr_boltzmann(0,SampleDoping,K77,Temperature+273.15)))</f>
        <v/>
      </c>
      <c r="W77" s="130" t="str">
        <f aca="false">IF(V77="","",IF(T77="","",(V77^2)*T77))</f>
        <v/>
      </c>
      <c r="X77" s="125" t="n">
        <f aca="false">IF(AND(A77&gt;TimeofMaxCD,I77&gt;Traps),IF(AugerModel="Sinton",calcimpliedv(SampleDoping,O77),calcimpliedvrichter(O77,SampleDoping,V77)),"")</f>
        <v>0.624761784346958</v>
      </c>
      <c r="Y77" s="132" t="e">
        <f aca="false">IF(OR(P77="",P77&lt;0,A77&lt;=TimeofMaxCD),"",(O77*Thickness*1.602E-019/(0.038*OptConst*P77)))</f>
        <v>#NAME?</v>
      </c>
      <c r="Z77" s="77" t="str">
        <f aca="false">IF(C77&gt;0.6,O77,"")</f>
        <v/>
      </c>
      <c r="AE77" s="130" t="e">
        <f aca="false">H77/(K77*AreaFrac*Thickness*1.602E-019)</f>
        <v>#NAME?</v>
      </c>
    </row>
    <row collapsed="false" customFormat="false" customHeight="false" hidden="false" ht="12.75" outlineLevel="0" r="78">
      <c r="A78" s="123" t="n">
        <v>0.0069499</v>
      </c>
      <c r="B78" s="123" t="n">
        <v>0.102055</v>
      </c>
      <c r="C78" s="124" t="n">
        <v>0.0195338</v>
      </c>
      <c r="D78" s="125" t="n">
        <f aca="false">IF(CouplingMode="AC",B78-(A$11-A$10)*SUM(B$9:B78)/0.21,B78)</f>
        <v>0.102055</v>
      </c>
      <c r="E78" s="126" t="n">
        <f aca="false">IF(C78&gt;0,C78/RefCellCal,0.00001)</f>
        <v>1.85612237443355</v>
      </c>
      <c r="F78" s="126" t="n">
        <f aca="false">E78-BiasLight</f>
        <v>1.85612237443355</v>
      </c>
      <c r="G78" s="127" t="n">
        <f aca="false">F78*0.038*OptConst/1.602E-019</f>
        <v>3.08195100873486E+017</v>
      </c>
      <c r="H78" s="128" t="e">
        <f aca="false">calcconductance(B78,Dark_Voltage,A_cal,B_cal,C_cal)</f>
        <v>#NAME?</v>
      </c>
      <c r="I78" s="127" t="n">
        <f aca="false">IF(MobilityModel=DK,calcdeltan(H78,SampleDoping,Thickness,AreaFrac),calcdeltandl(H78,AreaFrac,Thickness,SampleType,SampleDoping,Temperature))</f>
        <v>620802574185446</v>
      </c>
      <c r="J78" s="127" t="str">
        <f aca="false">IF(AND(AND(I78&gt;=FitRangeMin,I78&lt;=FitRangeMax),A78&gt;TimeofMaxCD),I78,"")</f>
        <v/>
      </c>
      <c r="K78" s="127" t="n">
        <f aca="false">IF(I78-BiasPtCD=0,0.00001,I78-BiasPtCD)</f>
        <v>620802574185446</v>
      </c>
      <c r="L78" s="129" t="n">
        <f aca="false">IF(ABS(SLOPE(K76:K80,A76:A80))&lt;1000000000000,-1000000000000,(SLOPE(K76:K80,A76:A80)))</f>
        <v>-4.05122860965843E+017</v>
      </c>
      <c r="M78" s="73" t="str">
        <f aca="false">IF(E78&gt;0.85*BiasLight,IF( E78&lt;1.15*BiasLight,E78,""),"")</f>
        <v/>
      </c>
      <c r="N78" s="73" t="str">
        <f aca="false">IF(E78&gt;0.85*BiasLight,IF(E78&lt;1.15*BiasLight,I78,""),"")</f>
        <v/>
      </c>
      <c r="O78" s="129" t="n">
        <f aca="false">I78-Traps</f>
        <v>620802574185446</v>
      </c>
      <c r="P78" s="127" t="e">
        <f aca="false">calclifetime(AnalysisMode,K78,Thickness,G78,L78)</f>
        <v>#NAME?</v>
      </c>
      <c r="Q78" s="129" t="str">
        <f aca="false">IF($J78="","",P78)</f>
        <v/>
      </c>
      <c r="R78" s="130" t="str">
        <f aca="false">IF(Q78="","",1/Q78)</f>
        <v/>
      </c>
      <c r="S78" s="131" t="n">
        <f aca="false">IF(AND(E78&gt;0.95*BiasLight,E78&lt;1.05*BiasLight),"",IF(AugerModel="Sinton",calclifetimeauger(Auger_Coefficient,I78,P78),calclifetimerichter(SampleType,I78,SampleDoping,P78)))</f>
        <v>25980.8290256617</v>
      </c>
      <c r="T78" s="78" t="str">
        <f aca="false">IF($J78="","",S78)</f>
        <v/>
      </c>
      <c r="U78" s="131" t="n">
        <f aca="false">FitInterceptAuger+FitSlopeAuger*(I78+Traps)</f>
        <v>25442.2973213005</v>
      </c>
      <c r="V78" s="130" t="str">
        <f aca="false">IF(AugerModel="Sinton","",IF(SampleType="n-type",n_intr_boltzmann(SampleDoping,0,K78,Temperature+273.15),n_intr_boltzmann(0,SampleDoping,K78,Temperature+273.15)))</f>
        <v/>
      </c>
      <c r="W78" s="130" t="str">
        <f aca="false">IF(V78="","",IF(T78="","",(V78^2)*T78))</f>
        <v/>
      </c>
      <c r="X78" s="125" t="n">
        <f aca="false">IF(AND(A78&gt;TimeofMaxCD,I78&gt;Traps),IF(AugerModel="Sinton",calcimpliedv(SampleDoping,O78),calcimpliedvrichter(O78,SampleDoping,V78)),"")</f>
        <v>0.622872864080212</v>
      </c>
      <c r="Y78" s="132" t="e">
        <f aca="false">IF(OR(P78="",P78&lt;0,A78&lt;=TimeofMaxCD),"",(O78*Thickness*1.602E-019/(0.038*OptConst*P78)))</f>
        <v>#NAME?</v>
      </c>
      <c r="Z78" s="77" t="str">
        <f aca="false">IF(C78&gt;0.6,O78,"")</f>
        <v/>
      </c>
      <c r="AE78" s="130" t="e">
        <f aca="false">H78/(K78*AreaFrac*Thickness*1.602E-019)</f>
        <v>#NAME?</v>
      </c>
    </row>
    <row collapsed="false" customFormat="false" customHeight="false" hidden="false" ht="12.75" outlineLevel="0" r="79">
      <c r="A79" s="123" t="n">
        <v>0.0070499</v>
      </c>
      <c r="B79" s="123" t="n">
        <v>0.0958638</v>
      </c>
      <c r="C79" s="124" t="n">
        <v>0.0186246</v>
      </c>
      <c r="D79" s="125" t="n">
        <f aca="false">IF(CouplingMode="AC",B79-(A$11-A$10)*SUM(B$9:B79)/0.21,B79)</f>
        <v>0.0958638</v>
      </c>
      <c r="E79" s="126" t="n">
        <f aca="false">IF(C79&gt;0,C79/RefCellCal,0.00001)</f>
        <v>1.76972922702572</v>
      </c>
      <c r="F79" s="126" t="n">
        <f aca="false">E79-BiasLight</f>
        <v>1.76972922702572</v>
      </c>
      <c r="G79" s="127" t="n">
        <f aca="false">F79*0.038*OptConst/1.602E-019</f>
        <v>2.93850171278928E+017</v>
      </c>
      <c r="H79" s="128" t="e">
        <f aca="false">calcconductance(B79,Dark_Voltage,A_cal,B_cal,C_cal)</f>
        <v>#NAME?</v>
      </c>
      <c r="I79" s="127" t="n">
        <f aca="false">IF(MobilityModel=DK,calcdeltan(H79,SampleDoping,Thickness,AreaFrac),calcdeltandl(H79,AreaFrac,Thickness,SampleType,SampleDoping,Temperature))</f>
        <v>582300309816828</v>
      </c>
      <c r="J79" s="127" t="str">
        <f aca="false">IF(AND(AND(I79&gt;=FitRangeMin,I79&lt;=FitRangeMax),A79&gt;TimeofMaxCD),I79,"")</f>
        <v/>
      </c>
      <c r="K79" s="127" t="n">
        <f aca="false">IF(I79-BiasPtCD=0,0.00001,I79-BiasPtCD)</f>
        <v>582300309816828</v>
      </c>
      <c r="L79" s="129" t="n">
        <f aca="false">IF(ABS(SLOPE(K77:K81,A77:A81))&lt;1000000000000,-1000000000000,(SLOPE(K77:K81,A77:A81)))</f>
        <v>-3.78494652622049E+017</v>
      </c>
      <c r="M79" s="73" t="str">
        <f aca="false">IF(E79&gt;0.85*BiasLight,IF( E79&lt;1.15*BiasLight,E79,""),"")</f>
        <v/>
      </c>
      <c r="N79" s="73" t="str">
        <f aca="false">IF(E79&gt;0.85*BiasLight,IF(E79&lt;1.15*BiasLight,I79,""),"")</f>
        <v/>
      </c>
      <c r="O79" s="129" t="n">
        <f aca="false">I79-Traps</f>
        <v>582300309816828</v>
      </c>
      <c r="P79" s="127" t="e">
        <f aca="false">calclifetime(AnalysisMode,K79,Thickness,G79,L79)</f>
        <v>#NAME?</v>
      </c>
      <c r="Q79" s="129" t="str">
        <f aca="false">IF($J79="","",P79)</f>
        <v/>
      </c>
      <c r="R79" s="130" t="str">
        <f aca="false">IF(Q79="","",1/Q79)</f>
        <v/>
      </c>
      <c r="S79" s="131" t="n">
        <f aca="false">IF(AND(E79&gt;0.95*BiasLight,E79&lt;1.05*BiasLight),"",IF(AugerModel="Sinton",calclifetimeauger(Auger_Coefficient,I79,P79),calclifetimerichter(SampleType,I79,SampleDoping,P79)))</f>
        <v>26396.2122570136</v>
      </c>
      <c r="T79" s="78" t="str">
        <f aca="false">IF($J79="","",S79)</f>
        <v/>
      </c>
      <c r="U79" s="131" t="n">
        <f aca="false">FitInterceptAuger+FitSlopeAuger*(I79+Traps)</f>
        <v>25666.2379675573</v>
      </c>
      <c r="V79" s="130" t="str">
        <f aca="false">IF(AugerModel="Sinton","",IF(SampleType="n-type",n_intr_boltzmann(SampleDoping,0,K79,Temperature+273.15),n_intr_boltzmann(0,SampleDoping,K79,Temperature+273.15)))</f>
        <v/>
      </c>
      <c r="W79" s="130" t="str">
        <f aca="false">IF(V79="","",IF(T79="","",(V79^2)*T79))</f>
        <v/>
      </c>
      <c r="X79" s="125" t="n">
        <f aca="false">IF(AND(A79&gt;TimeofMaxCD,I79&gt;Traps),IF(AugerModel="Sinton",calcimpliedv(SampleDoping,O79),calcimpliedvrichter(O79,SampleDoping,V79)),"")</f>
        <v>0.620981829304968</v>
      </c>
      <c r="Y79" s="132" t="e">
        <f aca="false">IF(OR(P79="",P79&lt;0,A79&lt;=TimeofMaxCD),"",(O79*Thickness*1.602E-019/(0.038*OptConst*P79)))</f>
        <v>#NAME?</v>
      </c>
      <c r="Z79" s="77" t="str">
        <f aca="false">IF(C79&gt;0.6,O79,"")</f>
        <v/>
      </c>
      <c r="AE79" s="130" t="e">
        <f aca="false">H79/(K79*AreaFrac*Thickness*1.602E-019)</f>
        <v>#NAME?</v>
      </c>
    </row>
    <row collapsed="false" customFormat="false" customHeight="false" hidden="false" ht="12.75" outlineLevel="0" r="80">
      <c r="A80" s="123" t="n">
        <v>0.0071499</v>
      </c>
      <c r="B80" s="123" t="n">
        <v>0.0898531</v>
      </c>
      <c r="C80" s="124" t="n">
        <v>0.017733</v>
      </c>
      <c r="D80" s="125" t="n">
        <f aca="false">IF(CouplingMode="AC",B80-(A$11-A$10)*SUM(B$9:B80)/0.21,B80)</f>
        <v>0.0898531</v>
      </c>
      <c r="E80" s="126" t="n">
        <f aca="false">IF(C80&gt;0,C80/RefCellCal,0.00001)</f>
        <v>1.68500845026723</v>
      </c>
      <c r="F80" s="126" t="n">
        <f aca="false">E80-BiasLight</f>
        <v>1.68500845026723</v>
      </c>
      <c r="G80" s="127" t="n">
        <f aca="false">F80*0.038*OptConst/1.602E-019</f>
        <v>2.79782926199179E+017</v>
      </c>
      <c r="H80" s="128" t="e">
        <f aca="false">calcconductance(B80,Dark_Voltage,A_cal,B_cal,C_cal)</f>
        <v>#NAME?</v>
      </c>
      <c r="I80" s="127" t="n">
        <f aca="false">IF(MobilityModel=DK,calcdeltan(H80,SampleDoping,Thickness,AreaFrac),calcdeltandl(H80,AreaFrac,Thickness,SampleType,SampleDoping,Temperature))</f>
        <v>545005614705633</v>
      </c>
      <c r="J80" s="127" t="str">
        <f aca="false">IF(AND(AND(I80&gt;=FitRangeMin,I80&lt;=FitRangeMax),A80&gt;TimeofMaxCD),I80,"")</f>
        <v/>
      </c>
      <c r="K80" s="127" t="n">
        <f aca="false">IF(I80-BiasPtCD=0,0.00001,I80-BiasPtCD)</f>
        <v>545005614705633</v>
      </c>
      <c r="L80" s="129" t="n">
        <f aca="false">IF(ABS(SLOPE(K78:K82,A78:A82))&lt;1000000000000,-1000000000000,(SLOPE(K78:K82,A78:A82)))</f>
        <v>-3.55655006778442E+017</v>
      </c>
      <c r="M80" s="73" t="str">
        <f aca="false">IF(E80&gt;0.85*BiasLight,IF( E80&lt;1.15*BiasLight,E80,""),"")</f>
        <v/>
      </c>
      <c r="N80" s="73" t="str">
        <f aca="false">IF(E80&gt;0.85*BiasLight,IF(E80&lt;1.15*BiasLight,I80,""),"")</f>
        <v/>
      </c>
      <c r="O80" s="129" t="n">
        <f aca="false">I80-Traps</f>
        <v>545005614705633</v>
      </c>
      <c r="P80" s="127" t="e">
        <f aca="false">calclifetime(AnalysisMode,K80,Thickness,G80,L80)</f>
        <v>#NAME?</v>
      </c>
      <c r="Q80" s="129" t="str">
        <f aca="false">IF($J80="","",P80)</f>
        <v/>
      </c>
      <c r="R80" s="130" t="str">
        <f aca="false">IF(Q80="","",1/Q80)</f>
        <v/>
      </c>
      <c r="S80" s="131" t="n">
        <f aca="false">IF(AND(E80&gt;0.95*BiasLight,E80&lt;1.05*BiasLight),"",IF(AugerModel="Sinton",calclifetimeauger(Auger_Coefficient,I80,P80),calclifetimerichter(SampleType,I80,SampleDoping,P80)))</f>
        <v>26843.8067003263</v>
      </c>
      <c r="T80" s="78" t="str">
        <f aca="false">IF($J80="","",S80)</f>
        <v/>
      </c>
      <c r="U80" s="131" t="n">
        <f aca="false">FitInterceptAuger+FitSlopeAuger*(I80+Traps)</f>
        <v>25883.1550310627</v>
      </c>
      <c r="V80" s="130" t="str">
        <f aca="false">IF(AugerModel="Sinton","",IF(SampleType="n-type",n_intr_boltzmann(SampleDoping,0,K80,Temperature+273.15),n_intr_boltzmann(0,SampleDoping,K80,Temperature+273.15)))</f>
        <v/>
      </c>
      <c r="W80" s="130" t="str">
        <f aca="false">IF(V80="","",IF(T80="","",(V80^2)*T80))</f>
        <v/>
      </c>
      <c r="X80" s="125" t="n">
        <f aca="false">IF(AND(A80&gt;TimeofMaxCD,I80&gt;Traps),IF(AugerModel="Sinton",calcimpliedv(SampleDoping,O80),calcimpliedvrichter(O80,SampleDoping,V80)),"")</f>
        <v>0.619040667136321</v>
      </c>
      <c r="Y80" s="132" t="e">
        <f aca="false">IF(OR(P80="",P80&lt;0,A80&lt;=TimeofMaxCD),"",(O80*Thickness*1.602E-019/(0.038*OptConst*P80)))</f>
        <v>#NAME?</v>
      </c>
      <c r="Z80" s="77" t="str">
        <f aca="false">IF(C80&gt;0.6,O80,"")</f>
        <v/>
      </c>
      <c r="AE80" s="130" t="e">
        <f aca="false">H80/(K80*AreaFrac*Thickness*1.602E-019)</f>
        <v>#NAME?</v>
      </c>
    </row>
    <row collapsed="false" customFormat="false" customHeight="false" hidden="false" ht="12.75" outlineLevel="0" r="81">
      <c r="A81" s="123" t="n">
        <v>0.0072499</v>
      </c>
      <c r="B81" s="123" t="n">
        <v>0.0842232</v>
      </c>
      <c r="C81" s="124" t="n">
        <v>0.0169049</v>
      </c>
      <c r="D81" s="125" t="n">
        <f aca="false">IF(CouplingMode="AC",B81-(A$11-A$10)*SUM(B$9:B81)/0.21,B81)</f>
        <v>0.0842232</v>
      </c>
      <c r="E81" s="126" t="n">
        <f aca="false">IF(C81&gt;0,C81/RefCellCal,0.00001)</f>
        <v>1.60632151079471</v>
      </c>
      <c r="F81" s="126" t="n">
        <f aca="false">E81-BiasLight</f>
        <v>1.60632151079471</v>
      </c>
      <c r="G81" s="127" t="n">
        <f aca="false">F81*0.038*OptConst/1.602E-019</f>
        <v>2.66717554226837E+017</v>
      </c>
      <c r="H81" s="128" t="e">
        <f aca="false">calcconductance(B81,Dark_Voltage,A_cal,B_cal,C_cal)</f>
        <v>#NAME?</v>
      </c>
      <c r="I81" s="127" t="n">
        <f aca="false">IF(MobilityModel=DK,calcdeltan(H81,SampleDoping,Thickness,AreaFrac),calcdeltandl(H81,AreaFrac,Thickness,SampleType,SampleDoping,Temperature))</f>
        <v>510151221833608</v>
      </c>
      <c r="J81" s="127" t="str">
        <f aca="false">IF(AND(AND(I81&gt;=FitRangeMin,I81&lt;=FitRangeMax),A81&gt;TimeofMaxCD),I81,"")</f>
        <v/>
      </c>
      <c r="K81" s="127" t="n">
        <f aca="false">IF(I81-BiasPtCD=0,0.00001,I81-BiasPtCD)</f>
        <v>510151221833608</v>
      </c>
      <c r="L81" s="129" t="n">
        <f aca="false">IF(ABS(SLOPE(K79:K83,A79:A83))&lt;1000000000000,-1000000000000,(SLOPE(K79:K83,A79:A83)))</f>
        <v>-3.35557978818713E+017</v>
      </c>
      <c r="M81" s="73" t="str">
        <f aca="false">IF(E81&gt;0.85*BiasLight,IF( E81&lt;1.15*BiasLight,E81,""),"")</f>
        <v/>
      </c>
      <c r="N81" s="73" t="str">
        <f aca="false">IF(E81&gt;0.85*BiasLight,IF(E81&lt;1.15*BiasLight,I81,""),"")</f>
        <v/>
      </c>
      <c r="O81" s="129" t="n">
        <f aca="false">I81-Traps</f>
        <v>510151221833608</v>
      </c>
      <c r="P81" s="127" t="e">
        <f aca="false">calclifetime(AnalysisMode,K81,Thickness,G81,L81)</f>
        <v>#NAME?</v>
      </c>
      <c r="Q81" s="129" t="str">
        <f aca="false">IF($J81="","",P81)</f>
        <v/>
      </c>
      <c r="R81" s="130" t="str">
        <f aca="false">IF(Q81="","",1/Q81)</f>
        <v/>
      </c>
      <c r="S81" s="131" t="n">
        <f aca="false">IF(AND(E81&gt;0.95*BiasLight,E81&lt;1.05*BiasLight),"",IF(AugerModel="Sinton",calclifetimeauger(Auger_Coefficient,I81,P81),calclifetimerichter(SampleType,I81,SampleDoping,P81)))</f>
        <v>27331.8488056707</v>
      </c>
      <c r="T81" s="78" t="str">
        <f aca="false">IF($J81="","",S81)</f>
        <v/>
      </c>
      <c r="U81" s="131" t="n">
        <f aca="false">FitInterceptAuger+FitSlopeAuger*(I81+Traps)</f>
        <v>26085.878569344</v>
      </c>
      <c r="V81" s="130" t="str">
        <f aca="false">IF(AugerModel="Sinton","",IF(SampleType="n-type",n_intr_boltzmann(SampleDoping,0,K81,Temperature+273.15),n_intr_boltzmann(0,SampleDoping,K81,Temperature+273.15)))</f>
        <v/>
      </c>
      <c r="W81" s="130" t="str">
        <f aca="false">IF(V81="","",IF(T81="","",(V81^2)*T81))</f>
        <v/>
      </c>
      <c r="X81" s="125" t="n">
        <f aca="false">IF(AND(A81&gt;TimeofMaxCD,I81&gt;Traps),IF(AugerModel="Sinton",calcimpliedv(SampleDoping,O81),calcimpliedvrichter(O81,SampleDoping,V81)),"")</f>
        <v>0.617115801971526</v>
      </c>
      <c r="Y81" s="132" t="e">
        <f aca="false">IF(OR(P81="",P81&lt;0,A81&lt;=TimeofMaxCD),"",(O81*Thickness*1.602E-019/(0.038*OptConst*P81)))</f>
        <v>#NAME?</v>
      </c>
      <c r="Z81" s="77" t="str">
        <f aca="false">IF(C81&gt;0.6,O81,"")</f>
        <v/>
      </c>
      <c r="AE81" s="130" t="e">
        <f aca="false">H81/(K81*AreaFrac*Thickness*1.602E-019)</f>
        <v>#NAME?</v>
      </c>
    </row>
    <row collapsed="false" customFormat="false" customHeight="false" hidden="false" ht="12.75" outlineLevel="0" r="82">
      <c r="A82" s="123" t="n">
        <v>0.0073499</v>
      </c>
      <c r="B82" s="123" t="n">
        <v>0.079189</v>
      </c>
      <c r="C82" s="124" t="n">
        <v>0.0161012</v>
      </c>
      <c r="D82" s="125" t="n">
        <f aca="false">IF(CouplingMode="AC",B82-(A$11-A$10)*SUM(B$9:B82)/0.21,B82)</f>
        <v>0.079189</v>
      </c>
      <c r="E82" s="126" t="n">
        <f aca="false">IF(C82&gt;0,C82/RefCellCal,0.00001)</f>
        <v>1.52995308517695</v>
      </c>
      <c r="F82" s="126" t="n">
        <f aca="false">E82-BiasLight</f>
        <v>1.52995308517695</v>
      </c>
      <c r="G82" s="127" t="n">
        <f aca="false">F82*0.038*OptConst/1.602E-019</f>
        <v>2.54037153968207E+017</v>
      </c>
      <c r="H82" s="128" t="e">
        <f aca="false">calcconductance(B82,Dark_Voltage,A_cal,B_cal,C_cal)</f>
        <v>#NAME?</v>
      </c>
      <c r="I82" s="127" t="n">
        <f aca="false">IF(MobilityModel=DK,calcdeltan(H82,SampleDoping,Thickness,AreaFrac),calcdeltandl(H82,AreaFrac,Thickness,SampleType,SampleDoping,Temperature))</f>
        <v>479049614787835</v>
      </c>
      <c r="J82" s="127" t="str">
        <f aca="false">IF(AND(AND(I82&gt;=FitRangeMin,I82&lt;=FitRangeMax),A82&gt;TimeofMaxCD),I82,"")</f>
        <v/>
      </c>
      <c r="K82" s="127" t="n">
        <f aca="false">IF(I82-BiasPtCD=0,0.00001,I82-BiasPtCD)</f>
        <v>479049614787835</v>
      </c>
      <c r="L82" s="129" t="n">
        <f aca="false">IF(ABS(SLOPE(K80:K84,A80:A84))&lt;1000000000000,-1000000000000,(SLOPE(K80:K84,A80:A84)))</f>
        <v>-3.08746455531708E+017</v>
      </c>
      <c r="M82" s="73" t="str">
        <f aca="false">IF(E82&gt;0.85*BiasLight,IF( E82&lt;1.15*BiasLight,E82,""),"")</f>
        <v/>
      </c>
      <c r="N82" s="73" t="str">
        <f aca="false">IF(E82&gt;0.85*BiasLight,IF(E82&lt;1.15*BiasLight,I82,""),"")</f>
        <v/>
      </c>
      <c r="O82" s="129" t="n">
        <f aca="false">I82-Traps</f>
        <v>479049614787835</v>
      </c>
      <c r="P82" s="127" t="e">
        <f aca="false">calclifetime(AnalysisMode,K82,Thickness,G82,L82)</f>
        <v>#NAME?</v>
      </c>
      <c r="Q82" s="129" t="str">
        <f aca="false">IF($J82="","",P82)</f>
        <v/>
      </c>
      <c r="R82" s="130" t="str">
        <f aca="false">IF(Q82="","",1/Q82)</f>
        <v/>
      </c>
      <c r="S82" s="131" t="n">
        <f aca="false">IF(AND(E82&gt;0.95*BiasLight,E82&lt;1.05*BiasLight),"",IF(AugerModel="Sinton",calclifetimeauger(Auger_Coefficient,I82,P82),calclifetimerichter(SampleType,I82,SampleDoping,P82)))</f>
        <v>27699.9351123319</v>
      </c>
      <c r="T82" s="78" t="str">
        <f aca="false">IF($J82="","",S82)</f>
        <v/>
      </c>
      <c r="U82" s="131" t="n">
        <f aca="false">FitInterceptAuger+FitSlopeAuger*(I82+Traps)</f>
        <v>26266.7747866358</v>
      </c>
      <c r="V82" s="130" t="str">
        <f aca="false">IF(AugerModel="Sinton","",IF(SampleType="n-type",n_intr_boltzmann(SampleDoping,0,K82,Temperature+273.15),n_intr_boltzmann(0,SampleDoping,K82,Temperature+273.15)))</f>
        <v/>
      </c>
      <c r="W82" s="130" t="str">
        <f aca="false">IF(V82="","",IF(T82="","",(V82^2)*T82))</f>
        <v/>
      </c>
      <c r="X82" s="125" t="n">
        <f aca="false">IF(AND(A82&gt;TimeofMaxCD,I82&gt;Traps),IF(AugerModel="Sinton",calcimpliedv(SampleDoping,O82),calcimpliedvrichter(O82,SampleDoping,V82)),"")</f>
        <v>0.615295519530558</v>
      </c>
      <c r="Y82" s="132" t="e">
        <f aca="false">IF(OR(P82="",P82&lt;0,A82&lt;=TimeofMaxCD),"",(O82*Thickness*1.602E-019/(0.038*OptConst*P82)))</f>
        <v>#NAME?</v>
      </c>
      <c r="Z82" s="77" t="str">
        <f aca="false">IF(C82&gt;0.6,O82,"")</f>
        <v/>
      </c>
      <c r="AE82" s="130" t="e">
        <f aca="false">H82/(K82*AreaFrac*Thickness*1.602E-019)</f>
        <v>#NAME?</v>
      </c>
    </row>
    <row collapsed="false" customFormat="false" customHeight="false" hidden="false" ht="12.75" outlineLevel="0" r="83">
      <c r="A83" s="123" t="n">
        <v>0.0074499</v>
      </c>
      <c r="B83" s="123" t="n">
        <v>0.0740718</v>
      </c>
      <c r="C83" s="124" t="n">
        <v>0.0153551</v>
      </c>
      <c r="D83" s="125" t="n">
        <f aca="false">IF(CouplingMode="AC",B83-(A$11-A$10)*SUM(B$9:B83)/0.21,B83)</f>
        <v>0.0740718</v>
      </c>
      <c r="E83" s="126" t="n">
        <f aca="false">IF(C83&gt;0,C83/RefCellCal,0.00001)</f>
        <v>1.45905787259338</v>
      </c>
      <c r="F83" s="126" t="n">
        <f aca="false">E83-BiasLight</f>
        <v>1.45905787259338</v>
      </c>
      <c r="G83" s="127" t="n">
        <f aca="false">F83*0.038*OptConst/1.602E-019</f>
        <v>2.42265539394406E+017</v>
      </c>
      <c r="H83" s="128" t="e">
        <f aca="false">calcconductance(B83,Dark_Voltage,A_cal,B_cal,C_cal)</f>
        <v>#NAME?</v>
      </c>
      <c r="I83" s="127" t="n">
        <f aca="false">IF(MobilityModel=DK,calcdeltan(H83,SampleDoping,Thickness,AreaFrac),calcdeltandl(H83,AreaFrac,Thickness,SampleType,SampleDoping,Temperature))</f>
        <v>447499320366370</v>
      </c>
      <c r="J83" s="127" t="str">
        <f aca="false">IF(AND(AND(I83&gt;=FitRangeMin,I83&lt;=FitRangeMax),A83&gt;TimeofMaxCD),I83,"")</f>
        <v/>
      </c>
      <c r="K83" s="127" t="n">
        <f aca="false">IF(I83-BiasPtCD=0,0.00001,I83-BiasPtCD)</f>
        <v>447499320366370</v>
      </c>
      <c r="L83" s="129" t="n">
        <f aca="false">IF(ABS(SLOPE(K81:K85,A81:A85))&lt;1000000000000,-1000000000000,(SLOPE(K81:K85,A81:A85)))</f>
        <v>-2.86268596286986E+017</v>
      </c>
      <c r="M83" s="73" t="str">
        <f aca="false">IF(E83&gt;0.85*BiasLight,IF( E83&lt;1.15*BiasLight,E83,""),"")</f>
        <v/>
      </c>
      <c r="N83" s="73" t="str">
        <f aca="false">IF(E83&gt;0.85*BiasLight,IF(E83&lt;1.15*BiasLight,I83,""),"")</f>
        <v/>
      </c>
      <c r="O83" s="129" t="n">
        <f aca="false">I83-Traps</f>
        <v>447499320366370</v>
      </c>
      <c r="P83" s="127" t="e">
        <f aca="false">calclifetime(AnalysisMode,K83,Thickness,G83,L83)</f>
        <v>#NAME?</v>
      </c>
      <c r="Q83" s="129" t="str">
        <f aca="false">IF($J83="","",P83)</f>
        <v/>
      </c>
      <c r="R83" s="130" t="str">
        <f aca="false">IF(Q83="","",1/Q83)</f>
        <v/>
      </c>
      <c r="S83" s="131" t="n">
        <f aca="false">IF(AND(E83&gt;0.95*BiasLight,E83&lt;1.05*BiasLight),"",IF(AugerModel="Sinton",calclifetimeauger(Auger_Coefficient,I83,P83),calclifetimerichter(SampleType,I83,SampleDoping,P83)))</f>
        <v>28260.6161950187</v>
      </c>
      <c r="T83" s="78" t="str">
        <f aca="false">IF($J83="","",S83)</f>
        <v/>
      </c>
      <c r="U83" s="131" t="n">
        <f aca="false">FitInterceptAuger+FitSlopeAuger*(I83+Traps)</f>
        <v>26450.2807034487</v>
      </c>
      <c r="V83" s="130" t="str">
        <f aca="false">IF(AugerModel="Sinton","",IF(SampleType="n-type",n_intr_boltzmann(SampleDoping,0,K83,Temperature+273.15),n_intr_boltzmann(0,SampleDoping,K83,Temperature+273.15)))</f>
        <v/>
      </c>
      <c r="W83" s="130" t="str">
        <f aca="false">IF(V83="","",IF(T83="","",(V83^2)*T83))</f>
        <v/>
      </c>
      <c r="X83" s="125" t="n">
        <f aca="false">IF(AND(A83&gt;TimeofMaxCD,I83&gt;Traps),IF(AugerModel="Sinton",calcimpliedv(SampleDoping,O83),calcimpliedvrichter(O83,SampleDoping,V83)),"")</f>
        <v>0.613336356893383</v>
      </c>
      <c r="Y83" s="132" t="e">
        <f aca="false">IF(OR(P83="",P83&lt;0,A83&lt;=TimeofMaxCD),"",(O83*Thickness*1.602E-019/(0.038*OptConst*P83)))</f>
        <v>#NAME?</v>
      </c>
      <c r="Z83" s="77" t="str">
        <f aca="false">IF(C83&gt;0.6,O83,"")</f>
        <v/>
      </c>
      <c r="AE83" s="130" t="e">
        <f aca="false">H83/(K83*AreaFrac*Thickness*1.602E-019)</f>
        <v>#NAME?</v>
      </c>
    </row>
    <row collapsed="false" customFormat="false" customHeight="false" hidden="false" ht="12.75" outlineLevel="0" r="84">
      <c r="A84" s="123" t="n">
        <v>0.0075499</v>
      </c>
      <c r="B84" s="123" t="n">
        <v>0.0699214</v>
      </c>
      <c r="C84" s="124" t="n">
        <v>0.0146227</v>
      </c>
      <c r="D84" s="125" t="n">
        <f aca="false">IF(CouplingMode="AC",B84-(A$11-A$10)*SUM(B$9:B84)/0.21,B84)</f>
        <v>0.0699214</v>
      </c>
      <c r="E84" s="126" t="n">
        <f aca="false">IF(C84&gt;0,C84/RefCellCal,0.00001)</f>
        <v>1.38946444852663</v>
      </c>
      <c r="F84" s="126" t="n">
        <f aca="false">E84-BiasLight</f>
        <v>1.38946444852663</v>
      </c>
      <c r="G84" s="127" t="n">
        <f aca="false">F84*0.038*OptConst/1.602E-019</f>
        <v>2.30710076971338E+017</v>
      </c>
      <c r="H84" s="128" t="e">
        <f aca="false">calcconductance(B84,Dark_Voltage,A_cal,B_cal,C_cal)</f>
        <v>#NAME?</v>
      </c>
      <c r="I84" s="127" t="n">
        <f aca="false">IF(MobilityModel=DK,calcdeltan(H84,SampleDoping,Thickness,AreaFrac),calcdeltandl(H84,AreaFrac,Thickness,SampleType,SampleDoping,Temperature))</f>
        <v>421958337673398</v>
      </c>
      <c r="J84" s="127" t="str">
        <f aca="false">IF(AND(AND(I84&gt;=FitRangeMin,I84&lt;=FitRangeMax),A84&gt;TimeofMaxCD),I84,"")</f>
        <v/>
      </c>
      <c r="K84" s="127" t="n">
        <f aca="false">IF(I84-BiasPtCD=0,0.00001,I84-BiasPtCD)</f>
        <v>421958337673398</v>
      </c>
      <c r="L84" s="129" t="n">
        <f aca="false">IF(ABS(SLOPE(K82:K86,A82:A86))&lt;1000000000000,-1000000000000,(SLOPE(K82:K86,A82:A86)))</f>
        <v>-2.7076710360303E+017</v>
      </c>
      <c r="M84" s="73" t="str">
        <f aca="false">IF(E84&gt;0.85*BiasLight,IF( E84&lt;1.15*BiasLight,E84,""),"")</f>
        <v/>
      </c>
      <c r="N84" s="73" t="str">
        <f aca="false">IF(E84&gt;0.85*BiasLight,IF(E84&lt;1.15*BiasLight,I84,""),"")</f>
        <v/>
      </c>
      <c r="O84" s="129" t="n">
        <f aca="false">I84-Traps</f>
        <v>421958337673398</v>
      </c>
      <c r="P84" s="127" t="e">
        <f aca="false">calclifetime(AnalysisMode,K84,Thickness,G84,L84)</f>
        <v>#NAME?</v>
      </c>
      <c r="Q84" s="129" t="str">
        <f aca="false">IF($J84="","",P84)</f>
        <v/>
      </c>
      <c r="R84" s="130" t="str">
        <f aca="false">IF(Q84="","",1/Q84)</f>
        <v/>
      </c>
      <c r="S84" s="131" t="n">
        <f aca="false">IF(AND(E84&gt;0.95*BiasLight,E84&lt;1.05*BiasLight),"",IF(AugerModel="Sinton",calclifetimeauger(Auger_Coefficient,I84,P84),calclifetimerichter(SampleType,I84,SampleDoping,P84)))</f>
        <v>28537.3308417018</v>
      </c>
      <c r="T84" s="78" t="str">
        <f aca="false">IF($J84="","",S84)</f>
        <v/>
      </c>
      <c r="U84" s="131" t="n">
        <f aca="false">FitInterceptAuger+FitSlopeAuger*(I84+Traps)</f>
        <v>26598.8346720033</v>
      </c>
      <c r="V84" s="130" t="str">
        <f aca="false">IF(AugerModel="Sinton","",IF(SampleType="n-type",n_intr_boltzmann(SampleDoping,0,K84,Temperature+273.15),n_intr_boltzmann(0,SampleDoping,K84,Temperature+273.15)))</f>
        <v/>
      </c>
      <c r="W84" s="130" t="str">
        <f aca="false">IF(V84="","",IF(T84="","",(V84^2)*T84))</f>
        <v/>
      </c>
      <c r="X84" s="125" t="n">
        <f aca="false">IF(AND(A84&gt;TimeofMaxCD,I84&gt;Traps),IF(AugerModel="Sinton",calcimpliedv(SampleDoping,O84),calcimpliedvrichter(O84,SampleDoping,V84)),"")</f>
        <v>0.611656211110195</v>
      </c>
      <c r="Y84" s="132" t="e">
        <f aca="false">IF(OR(P84="",P84&lt;0,A84&lt;=TimeofMaxCD),"",(O84*Thickness*1.602E-019/(0.038*OptConst*P84)))</f>
        <v>#NAME?</v>
      </c>
      <c r="Z84" s="77" t="str">
        <f aca="false">IF(C84&gt;0.6,O84,"")</f>
        <v/>
      </c>
      <c r="AE84" s="130" t="e">
        <f aca="false">H84/(K84*AreaFrac*Thickness*1.602E-019)</f>
        <v>#NAME?</v>
      </c>
    </row>
    <row collapsed="false" customFormat="false" customHeight="false" hidden="false" ht="12.75" outlineLevel="0" r="85">
      <c r="A85" s="123" t="n">
        <v>0.0076499</v>
      </c>
      <c r="B85" s="123" t="n">
        <v>0.0656245</v>
      </c>
      <c r="C85" s="124" t="n">
        <v>0.0139381</v>
      </c>
      <c r="D85" s="125" t="n">
        <f aca="false">IF(CouplingMode="AC",B85-(A$11-A$10)*SUM(B$9:B85)/0.21,B85)</f>
        <v>0.0656245</v>
      </c>
      <c r="E85" s="126" t="n">
        <f aca="false">IF(C85&gt;0,C85/RefCellCal,0.00001)</f>
        <v>1.32441303110978</v>
      </c>
      <c r="F85" s="126" t="n">
        <f aca="false">E85-BiasLight</f>
        <v>1.32441303110978</v>
      </c>
      <c r="G85" s="127" t="n">
        <f aca="false">F85*0.038*OptConst/1.602E-019</f>
        <v>2.19908780446443E+017</v>
      </c>
      <c r="H85" s="128" t="e">
        <f aca="false">calcconductance(B85,Dark_Voltage,A_cal,B_cal,C_cal)</f>
        <v>#NAME?</v>
      </c>
      <c r="I85" s="127" t="n">
        <f aca="false">IF(MobilityModel=DK,calcdeltan(H85,SampleDoping,Thickness,AreaFrac),calcdeltandl(H85,AreaFrac,Thickness,SampleType,SampleDoping,Temperature))</f>
        <v>395562562247333</v>
      </c>
      <c r="J85" s="127" t="str">
        <f aca="false">IF(AND(AND(I85&gt;=FitRangeMin,I85&lt;=FitRangeMax),A85&gt;TimeofMaxCD),I85,"")</f>
        <v/>
      </c>
      <c r="K85" s="127" t="n">
        <f aca="false">IF(I85-BiasPtCD=0,0.00001,I85-BiasPtCD)</f>
        <v>395562562247333</v>
      </c>
      <c r="L85" s="129" t="n">
        <f aca="false">IF(ABS(SLOPE(K83:K87,A83:A87))&lt;1000000000000,-1000000000000,(SLOPE(K83:K87,A83:A87)))</f>
        <v>-2.53781319536222E+017</v>
      </c>
      <c r="M85" s="73" t="str">
        <f aca="false">IF(E85&gt;0.85*BiasLight,IF( E85&lt;1.15*BiasLight,E85,""),"")</f>
        <v/>
      </c>
      <c r="N85" s="73" t="str">
        <f aca="false">IF(E85&gt;0.85*BiasLight,IF(E85&lt;1.15*BiasLight,I85,""),"")</f>
        <v/>
      </c>
      <c r="O85" s="129" t="n">
        <f aca="false">I85-Traps</f>
        <v>395562562247333</v>
      </c>
      <c r="P85" s="127" t="e">
        <f aca="false">calclifetime(AnalysisMode,K85,Thickness,G85,L85)</f>
        <v>#NAME?</v>
      </c>
      <c r="Q85" s="129" t="str">
        <f aca="false">IF($J85="","",P85)</f>
        <v/>
      </c>
      <c r="R85" s="130" t="str">
        <f aca="false">IF(Q85="","",1/Q85)</f>
        <v/>
      </c>
      <c r="S85" s="131" t="n">
        <f aca="false">IF(AND(E85&gt;0.95*BiasLight,E85&lt;1.05*BiasLight),"",IF(AugerModel="Sinton",calclifetimeauger(Auger_Coefficient,I85,P85),calclifetimerichter(SampleType,I85,SampleDoping,P85)))</f>
        <v>29005.5617197081</v>
      </c>
      <c r="T85" s="78" t="str">
        <f aca="false">IF($J85="","",S85)</f>
        <v/>
      </c>
      <c r="U85" s="131" t="n">
        <f aca="false">FitInterceptAuger+FitSlopeAuger*(I85+Traps)</f>
        <v>26752.3603698887</v>
      </c>
      <c r="V85" s="130" t="str">
        <f aca="false">IF(AugerModel="Sinton","",IF(SampleType="n-type",n_intr_boltzmann(SampleDoping,0,K85,Temperature+273.15),n_intr_boltzmann(0,SampleDoping,K85,Temperature+273.15)))</f>
        <v/>
      </c>
      <c r="W85" s="130" t="str">
        <f aca="false">IF(V85="","",IF(T85="","",(V85^2)*T85))</f>
        <v/>
      </c>
      <c r="X85" s="125" t="n">
        <f aca="false">IF(AND(A85&gt;TimeofMaxCD,I85&gt;Traps),IF(AugerModel="Sinton",calcimpliedv(SampleDoping,O85),calcimpliedvrichter(O85,SampleDoping,V85)),"")</f>
        <v>0.609819415626259</v>
      </c>
      <c r="Y85" s="132" t="e">
        <f aca="false">IF(OR(P85="",P85&lt;0,A85&lt;=TimeofMaxCD),"",(O85*Thickness*1.602E-019/(0.038*OptConst*P85)))</f>
        <v>#NAME?</v>
      </c>
      <c r="Z85" s="77" t="str">
        <f aca="false">IF(C85&gt;0.6,O85,"")</f>
        <v/>
      </c>
      <c r="AE85" s="130" t="e">
        <f aca="false">H85/(K85*AreaFrac*Thickness*1.602E-019)</f>
        <v>#NAME?</v>
      </c>
    </row>
    <row collapsed="false" customFormat="false" customHeight="false" hidden="false" ht="12.75" outlineLevel="0" r="86">
      <c r="A86" s="123" t="n">
        <v>0.0077499</v>
      </c>
      <c r="B86" s="123" t="n">
        <v>0.061396</v>
      </c>
      <c r="C86" s="124" t="n">
        <v>0.0132633</v>
      </c>
      <c r="D86" s="125" t="n">
        <f aca="false">IF(CouplingMode="AC",B86-(A$11-A$10)*SUM(B$9:B86)/0.21,B86)</f>
        <v>0.061396</v>
      </c>
      <c r="E86" s="126" t="n">
        <f aca="false">IF(C86&gt;0,C86/RefCellCal,0.00001)</f>
        <v>1.26029282007722</v>
      </c>
      <c r="F86" s="126" t="n">
        <f aca="false">E86-BiasLight</f>
        <v>1.26029282007722</v>
      </c>
      <c r="G86" s="127" t="n">
        <f aca="false">F86*0.038*OptConst/1.602E-019</f>
        <v>2.09262103708203E+017</v>
      </c>
      <c r="H86" s="128" t="e">
        <f aca="false">calcconductance(B86,Dark_Voltage,A_cal,B_cal,C_cal)</f>
        <v>#NAME?</v>
      </c>
      <c r="I86" s="127" t="n">
        <f aca="false">IF(MobilityModel=DK,calcdeltan(H86,SampleDoping,Thickness,AreaFrac),calcdeltandl(H86,AreaFrac,Thickness,SampleType,SampleDoping,Temperature))</f>
        <v>369634442045838</v>
      </c>
      <c r="J86" s="127" t="str">
        <f aca="false">IF(AND(AND(I86&gt;=FitRangeMin,I86&lt;=FitRangeMax),A86&gt;TimeofMaxCD),I86,"")</f>
        <v/>
      </c>
      <c r="K86" s="127" t="n">
        <f aca="false">IF(I86-BiasPtCD=0,0.00001,I86-BiasPtCD)</f>
        <v>369634442045838</v>
      </c>
      <c r="L86" s="129" t="n">
        <f aca="false">IF(ABS(SLOPE(K84:K88,A84:A88))&lt;1000000000000,-1000000000000,(SLOPE(K84:K88,A84:A88)))</f>
        <v>-2.44639693969131E+017</v>
      </c>
      <c r="M86" s="73" t="str">
        <f aca="false">IF(E86&gt;0.85*BiasLight,IF( E86&lt;1.15*BiasLight,E86,""),"")</f>
        <v/>
      </c>
      <c r="N86" s="73" t="str">
        <f aca="false">IF(E86&gt;0.85*BiasLight,IF(E86&lt;1.15*BiasLight,I86,""),"")</f>
        <v/>
      </c>
      <c r="O86" s="129" t="n">
        <f aca="false">I86-Traps</f>
        <v>369634442045838</v>
      </c>
      <c r="P86" s="127" t="e">
        <f aca="false">calclifetime(AnalysisMode,K86,Thickness,G86,L86)</f>
        <v>#NAME?</v>
      </c>
      <c r="Q86" s="129" t="str">
        <f aca="false">IF($J86="","",P86)</f>
        <v/>
      </c>
      <c r="R86" s="130" t="str">
        <f aca="false">IF(Q86="","",1/Q86)</f>
        <v/>
      </c>
      <c r="S86" s="131" t="n">
        <f aca="false">IF(AND(E86&gt;0.95*BiasLight,E86&lt;1.05*BiasLight),"",IF(AugerModel="Sinton",calclifetimeauger(Auger_Coefficient,I86,P86),calclifetimerichter(SampleType,I86,SampleDoping,P86)))</f>
        <v>29545.9312255005</v>
      </c>
      <c r="T86" s="78" t="str">
        <f aca="false">IF($J86="","",S86)</f>
        <v/>
      </c>
      <c r="U86" s="131" t="n">
        <f aca="false">FitInterceptAuger+FitSlopeAuger*(I86+Traps)</f>
        <v>26903.1660455902</v>
      </c>
      <c r="V86" s="130" t="str">
        <f aca="false">IF(AugerModel="Sinton","",IF(SampleType="n-type",n_intr_boltzmann(SampleDoping,0,K86,Temperature+273.15),n_intr_boltzmann(0,SampleDoping,K86,Temperature+273.15)))</f>
        <v/>
      </c>
      <c r="W86" s="130" t="str">
        <f aca="false">IF(V86="","",IF(T86="","",(V86^2)*T86))</f>
        <v/>
      </c>
      <c r="X86" s="125" t="n">
        <f aca="false">IF(AND(A86&gt;TimeofMaxCD,I86&gt;Traps),IF(AugerModel="Sinton",calcimpliedv(SampleDoping,O86),calcimpliedvrichter(O86,SampleDoping,V86)),"")</f>
        <v>0.607902435659934</v>
      </c>
      <c r="Y86" s="132" t="e">
        <f aca="false">IF(OR(P86="",P86&lt;0,A86&lt;=TimeofMaxCD),"",(O86*Thickness*1.602E-019/(0.038*OptConst*P86)))</f>
        <v>#NAME?</v>
      </c>
      <c r="Z86" s="77" t="str">
        <f aca="false">IF(C86&gt;0.6,O86,"")</f>
        <v/>
      </c>
      <c r="AE86" s="130" t="e">
        <f aca="false">H86/(K86*AreaFrac*Thickness*1.602E-019)</f>
        <v>#NAME?</v>
      </c>
    </row>
    <row collapsed="false" customFormat="false" customHeight="false" hidden="false" ht="12.75" outlineLevel="0" r="87">
      <c r="A87" s="123" t="n">
        <v>0.0078499</v>
      </c>
      <c r="B87" s="123" t="n">
        <v>0.0576607</v>
      </c>
      <c r="C87" s="124" t="n">
        <v>0.0126383</v>
      </c>
      <c r="D87" s="125" t="n">
        <f aca="false">IF(CouplingMode="AC",B87-(A$11-A$10)*SUM(B$9:B87)/0.21,B87)</f>
        <v>0.0576607</v>
      </c>
      <c r="E87" s="126" t="n">
        <f aca="false">IF(C87&gt;0,C87/RefCellCal,0.00001)</f>
        <v>1.20090465781382</v>
      </c>
      <c r="F87" s="126" t="n">
        <f aca="false">E87-BiasLight</f>
        <v>1.20090465781382</v>
      </c>
      <c r="G87" s="127" t="n">
        <f aca="false">F87*0.038*OptConst/1.602E-019</f>
        <v>1.99401147926639E+017</v>
      </c>
      <c r="H87" s="128" t="e">
        <f aca="false">calcconductance(B87,Dark_Voltage,A_cal,B_cal,C_cal)</f>
        <v>#NAME?</v>
      </c>
      <c r="I87" s="127" t="n">
        <f aca="false">IF(MobilityModel=DK,calcdeltan(H87,SampleDoping,Thickness,AreaFrac),calcdeltandl(H87,AreaFrac,Thickness,SampleType,SampleDoping,Temperature))</f>
        <v>346770608412039</v>
      </c>
      <c r="J87" s="127" t="str">
        <f aca="false">IF(AND(AND(I87&gt;=FitRangeMin,I87&lt;=FitRangeMax),A87&gt;TimeofMaxCD),I87,"")</f>
        <v/>
      </c>
      <c r="K87" s="127" t="n">
        <f aca="false">IF(I87-BiasPtCD=0,0.00001,I87-BiasPtCD)</f>
        <v>346770608412039</v>
      </c>
      <c r="L87" s="129" t="n">
        <f aca="false">IF(ABS(SLOPE(K85:K89,A85:A89))&lt;1000000000000,-1000000000000,(SLOPE(K85:K89,A85:A89)))</f>
        <v>-2.33157670573659E+017</v>
      </c>
      <c r="M87" s="73" t="str">
        <f aca="false">IF(E87&gt;0.85*BiasLight,IF( E87&lt;1.15*BiasLight,E87,""),"")</f>
        <v/>
      </c>
      <c r="N87" s="73" t="str">
        <f aca="false">IF(E87&gt;0.85*BiasLight,IF(E87&lt;1.15*BiasLight,I87,""),"")</f>
        <v/>
      </c>
      <c r="O87" s="129" t="n">
        <f aca="false">I87-Traps</f>
        <v>346770608412039</v>
      </c>
      <c r="P87" s="127" t="e">
        <f aca="false">calclifetime(AnalysisMode,K87,Thickness,G87,L87)</f>
        <v>#NAME?</v>
      </c>
      <c r="Q87" s="129" t="str">
        <f aca="false">IF($J87="","",P87)</f>
        <v/>
      </c>
      <c r="R87" s="130" t="str">
        <f aca="false">IF(Q87="","",1/Q87)</f>
        <v/>
      </c>
      <c r="S87" s="131" t="n">
        <f aca="false">IF(AND(E87&gt;0.95*BiasLight,E87&lt;1.05*BiasLight),"",IF(AugerModel="Sinton",calclifetimeauger(Auger_Coefficient,I87,P87),calclifetimerichter(SampleType,I87,SampleDoping,P87)))</f>
        <v>30010.0878016675</v>
      </c>
      <c r="T87" s="78" t="str">
        <f aca="false">IF($J87="","",S87)</f>
        <v/>
      </c>
      <c r="U87" s="131" t="n">
        <f aca="false">FitInterceptAuger+FitSlopeAuger*(I87+Traps)</f>
        <v>27036.1489172166</v>
      </c>
      <c r="V87" s="130" t="str">
        <f aca="false">IF(AugerModel="Sinton","",IF(SampleType="n-type",n_intr_boltzmann(SampleDoping,0,K87,Temperature+273.15),n_intr_boltzmann(0,SampleDoping,K87,Temperature+273.15)))</f>
        <v/>
      </c>
      <c r="W87" s="130" t="str">
        <f aca="false">IF(V87="","",IF(T87="","",(V87^2)*T87))</f>
        <v/>
      </c>
      <c r="X87" s="125" t="n">
        <f aca="false">IF(AND(A87&gt;TimeofMaxCD,I87&gt;Traps),IF(AugerModel="Sinton",calcimpliedv(SampleDoping,O87),calcimpliedvrichter(O87,SampleDoping,V87)),"")</f>
        <v>0.60610648499772</v>
      </c>
      <c r="Y87" s="132" t="e">
        <f aca="false">IF(OR(P87="",P87&lt;0,A87&lt;=TimeofMaxCD),"",(O87*Thickness*1.602E-019/(0.038*OptConst*P87)))</f>
        <v>#NAME?</v>
      </c>
      <c r="Z87" s="77" t="str">
        <f aca="false">IF(C87&gt;0.6,O87,"")</f>
        <v/>
      </c>
      <c r="AE87" s="130" t="e">
        <f aca="false">H87/(K87*AreaFrac*Thickness*1.602E-019)</f>
        <v>#NAME?</v>
      </c>
    </row>
    <row collapsed="false" customFormat="false" customHeight="false" hidden="false" ht="12.75" outlineLevel="0" r="88">
      <c r="A88" s="123" t="n">
        <v>0.0079499</v>
      </c>
      <c r="B88" s="123" t="n">
        <v>0.05394</v>
      </c>
      <c r="C88" s="124" t="n">
        <v>0.0120211</v>
      </c>
      <c r="D88" s="125" t="n">
        <f aca="false">IF(CouplingMode="AC",B88-(A$11-A$10)*SUM(B$9:B88)/0.21,B88)</f>
        <v>0.05394</v>
      </c>
      <c r="E88" s="126" t="n">
        <f aca="false">IF(C88&gt;0,C88/RefCellCal,0.00001)</f>
        <v>1.14225765981545</v>
      </c>
      <c r="F88" s="126" t="n">
        <f aca="false">E88-BiasLight</f>
        <v>1.14225765981545</v>
      </c>
      <c r="G88" s="127" t="n">
        <f aca="false">F88*0.038*OptConst/1.602E-019</f>
        <v>1.89663256873228E+017</v>
      </c>
      <c r="H88" s="128" t="e">
        <f aca="false">calcconductance(B88,Dark_Voltage,A_cal,B_cal,C_cal)</f>
        <v>#NAME?</v>
      </c>
      <c r="I88" s="127" t="n">
        <f aca="false">IF(MobilityModel=DK,calcdeltan(H88,SampleDoping,Thickness,AreaFrac),calcdeltandl(H88,AreaFrac,Thickness,SampleType,SampleDoping,Temperature))</f>
        <v>324034467606480</v>
      </c>
      <c r="J88" s="127" t="str">
        <f aca="false">IF(AND(AND(I88&gt;=FitRangeMin,I88&lt;=FitRangeMax),A88&gt;TimeofMaxCD),I88,"")</f>
        <v/>
      </c>
      <c r="K88" s="127" t="n">
        <f aca="false">IF(I88-BiasPtCD=0,0.00001,I88-BiasPtCD)</f>
        <v>324034467606480</v>
      </c>
      <c r="L88" s="129" t="n">
        <f aca="false">IF(ABS(SLOPE(K86:K90,A86:A90))&lt;1000000000000,-1000000000000,(SLOPE(K86:K90,A86:A90)))</f>
        <v>-2.15662942282146E+017</v>
      </c>
      <c r="M88" s="73" t="str">
        <f aca="false">IF(E88&gt;0.85*BiasLight,IF( E88&lt;1.15*BiasLight,E88,""),"")</f>
        <v/>
      </c>
      <c r="N88" s="73" t="str">
        <f aca="false">IF(E88&gt;0.85*BiasLight,IF(E88&lt;1.15*BiasLight,I88,""),"")</f>
        <v/>
      </c>
      <c r="O88" s="129" t="n">
        <f aca="false">I88-Traps</f>
        <v>324034467606480</v>
      </c>
      <c r="P88" s="127" t="e">
        <f aca="false">calclifetime(AnalysisMode,K88,Thickness,G88,L88)</f>
        <v>#NAME?</v>
      </c>
      <c r="Q88" s="129" t="str">
        <f aca="false">IF($J88="","",P88)</f>
        <v/>
      </c>
      <c r="R88" s="130" t="str">
        <f aca="false">IF(Q88="","",1/Q88)</f>
        <v/>
      </c>
      <c r="S88" s="131" t="n">
        <f aca="false">IF(AND(E88&gt;0.95*BiasLight,E88&lt;1.05*BiasLight),"",IF(AugerModel="Sinton",calclifetimeauger(Auger_Coefficient,I88,P88),calclifetimerichter(SampleType,I88,SampleDoping,P88)))</f>
        <v>30528.5524601331</v>
      </c>
      <c r="T88" s="78" t="str">
        <f aca="false">IF($J88="","",S88)</f>
        <v/>
      </c>
      <c r="U88" s="131" t="n">
        <f aca="false">FitInterceptAuger+FitSlopeAuger*(I88+Traps)</f>
        <v>27168.3890892916</v>
      </c>
      <c r="V88" s="130" t="str">
        <f aca="false">IF(AugerModel="Sinton","",IF(SampleType="n-type",n_intr_boltzmann(SampleDoping,0,K88,Temperature+273.15),n_intr_boltzmann(0,SampleDoping,K88,Temperature+273.15)))</f>
        <v/>
      </c>
      <c r="W88" s="130" t="str">
        <f aca="false">IF(V88="","",IF(T88="","",(V88^2)*T88))</f>
        <v/>
      </c>
      <c r="X88" s="125" t="n">
        <f aca="false">IF(AND(A88&gt;TimeofMaxCD,I88&gt;Traps),IF(AugerModel="Sinton",calcimpliedv(SampleDoping,O88),calcimpliedvrichter(O88,SampleDoping,V88)),"")</f>
        <v>0.604208664660955</v>
      </c>
      <c r="Y88" s="132" t="e">
        <f aca="false">IF(OR(P88="",P88&lt;0,A88&lt;=TimeofMaxCD),"",(O88*Thickness*1.602E-019/(0.038*OptConst*P88)))</f>
        <v>#NAME?</v>
      </c>
      <c r="Z88" s="77" t="str">
        <f aca="false">IF(C88&gt;0.6,O88,"")</f>
        <v/>
      </c>
      <c r="AE88" s="130" t="e">
        <f aca="false">H88/(K88*AreaFrac*Thickness*1.602E-019)</f>
        <v>#NAME?</v>
      </c>
    </row>
    <row collapsed="false" customFormat="false" customHeight="false" hidden="false" ht="12.75" outlineLevel="0" r="89">
      <c r="A89" s="123" t="n">
        <v>0.0080499</v>
      </c>
      <c r="B89" s="123" t="n">
        <v>0.0502925</v>
      </c>
      <c r="C89" s="124" t="n">
        <v>0.0114391</v>
      </c>
      <c r="D89" s="125" t="n">
        <f aca="false">IF(CouplingMode="AC",B89-(A$11-A$10)*SUM(B$9:B89)/0.21,B89)</f>
        <v>0.0502925</v>
      </c>
      <c r="E89" s="126" t="n">
        <f aca="false">IF(C89&gt;0,C89/RefCellCal,0.00001)</f>
        <v>1.08695540311577</v>
      </c>
      <c r="F89" s="126" t="n">
        <f aca="false">E89-BiasLight</f>
        <v>1.08695540311577</v>
      </c>
      <c r="G89" s="127" t="n">
        <f aca="false">F89*0.038*OptConst/1.602E-019</f>
        <v>1.80480734849435E+017</v>
      </c>
      <c r="H89" s="128" t="e">
        <f aca="false">calcconductance(B89,Dark_Voltage,A_cal,B_cal,C_cal)</f>
        <v>#NAME?</v>
      </c>
      <c r="I89" s="127" t="n">
        <f aca="false">IF(MobilityModel=DK,calcdeltan(H89,SampleDoping,Thickness,AreaFrac),calcdeltandl(H89,AreaFrac,Thickness,SampleType,SampleDoping,Temperature))</f>
        <v>301783714180183</v>
      </c>
      <c r="J89" s="127" t="str">
        <f aca="false">IF(AND(AND(I89&gt;=FitRangeMin,I89&lt;=FitRangeMax),A89&gt;TimeofMaxCD),I89,"")</f>
        <v/>
      </c>
      <c r="K89" s="127" t="n">
        <f aca="false">IF(I89-BiasPtCD=0,0.00001,I89-BiasPtCD)</f>
        <v>301783714180183</v>
      </c>
      <c r="L89" s="129" t="n">
        <f aca="false">IF(ABS(SLOPE(K87:K91,A87:A91))&lt;1000000000000,-1000000000000,(SLOPE(K87:K91,A87:A91)))</f>
        <v>-2.04003345367674E+017</v>
      </c>
      <c r="M89" s="73" t="str">
        <f aca="false">IF(E89&gt;0.85*BiasLight,IF( E89&lt;1.15*BiasLight,E89,""),"")</f>
        <v/>
      </c>
      <c r="N89" s="73" t="str">
        <f aca="false">IF(E89&gt;0.85*BiasLight,IF(E89&lt;1.15*BiasLight,I89,""),"")</f>
        <v/>
      </c>
      <c r="O89" s="129" t="n">
        <f aca="false">I89-Traps</f>
        <v>301783714180183</v>
      </c>
      <c r="P89" s="127" t="e">
        <f aca="false">calclifetime(AnalysisMode,K89,Thickness,G89,L89)</f>
        <v>#NAME?</v>
      </c>
      <c r="Q89" s="129" t="str">
        <f aca="false">IF($J89="","",P89)</f>
        <v/>
      </c>
      <c r="R89" s="130" t="str">
        <f aca="false">IF(Q89="","",1/Q89)</f>
        <v/>
      </c>
      <c r="S89" s="131" t="n">
        <f aca="false">IF(AND(E89&gt;0.95*BiasLight,E89&lt;1.05*BiasLight),"",IF(AugerModel="Sinton",calclifetimeauger(Auger_Coefficient,I89,P89),calclifetimerichter(SampleType,I89,SampleDoping,P89)))</f>
        <v>31188.424147861</v>
      </c>
      <c r="T89" s="78" t="str">
        <f aca="false">IF($J89="","",S89)</f>
        <v/>
      </c>
      <c r="U89" s="131" t="n">
        <f aca="false">FitInterceptAuger+FitSlopeAuger*(I89+Traps)</f>
        <v>27297.8061036853</v>
      </c>
      <c r="V89" s="130" t="str">
        <f aca="false">IF(AugerModel="Sinton","",IF(SampleType="n-type",n_intr_boltzmann(SampleDoping,0,K89,Temperature+273.15),n_intr_boltzmann(0,SampleDoping,K89,Temperature+273.15)))</f>
        <v/>
      </c>
      <c r="W89" s="130" t="str">
        <f aca="false">IF(V89="","",IF(T89="","",(V89^2)*T89))</f>
        <v/>
      </c>
      <c r="X89" s="125" t="n">
        <f aca="false">IF(AND(A89&gt;TimeofMaxCD,I89&gt;Traps),IF(AugerModel="Sinton",calcimpliedv(SampleDoping,O89),calcimpliedvrichter(O89,SampleDoping,V89)),"")</f>
        <v>0.602227811574057</v>
      </c>
      <c r="Y89" s="132" t="e">
        <f aca="false">IF(OR(P89="",P89&lt;0,A89&lt;=TimeofMaxCD),"",(O89*Thickness*1.602E-019/(0.038*OptConst*P89)))</f>
        <v>#NAME?</v>
      </c>
      <c r="Z89" s="77" t="str">
        <f aca="false">IF(C89&gt;0.6,O89,"")</f>
        <v/>
      </c>
      <c r="AE89" s="130" t="e">
        <f aca="false">H89/(K89*AreaFrac*Thickness*1.602E-019)</f>
        <v>#NAME?</v>
      </c>
    </row>
    <row collapsed="false" customFormat="false" customHeight="false" hidden="false" ht="12.75" outlineLevel="0" r="90">
      <c r="A90" s="123" t="n">
        <v>0.0081499</v>
      </c>
      <c r="B90" s="123" t="n">
        <v>0.0474214</v>
      </c>
      <c r="C90" s="124" t="n">
        <v>0.0109049</v>
      </c>
      <c r="D90" s="125" t="n">
        <f aca="false">IF(CouplingMode="AC",B90-(A$11-A$10)*SUM(B$9:B90)/0.21,B90)</f>
        <v>0.0474214</v>
      </c>
      <c r="E90" s="126" t="n">
        <f aca="false">IF(C90&gt;0,C90/RefCellCal,0.00001)</f>
        <v>1.03619515306599</v>
      </c>
      <c r="F90" s="126" t="n">
        <f aca="false">E90-BiasLight</f>
        <v>1.03619515306599</v>
      </c>
      <c r="G90" s="127" t="n">
        <f aca="false">F90*0.038*OptConst/1.602E-019</f>
        <v>1.72052378723816E+017</v>
      </c>
      <c r="H90" s="128" t="e">
        <f aca="false">calcconductance(B90,Dark_Voltage,A_cal,B_cal,C_cal)</f>
        <v>#NAME?</v>
      </c>
      <c r="I90" s="127" t="n">
        <f aca="false">IF(MobilityModel=DK,calcdeltan(H90,SampleDoping,Thickness,AreaFrac),calcdeltandl(H90,AreaFrac,Thickness,SampleType,SampleDoping,Temperature))</f>
        <v>284296418020692</v>
      </c>
      <c r="J90" s="127" t="str">
        <f aca="false">IF(AND(AND(I90&gt;=FitRangeMin,I90&lt;=FitRangeMax),A90&gt;TimeofMaxCD),I90,"")</f>
        <v/>
      </c>
      <c r="K90" s="127" t="n">
        <f aca="false">IF(I90-BiasPtCD=0,0.00001,I90-BiasPtCD)</f>
        <v>284296418020692</v>
      </c>
      <c r="L90" s="129" t="n">
        <f aca="false">IF(ABS(SLOPE(K88:K92,A88:A92))&lt;1000000000000,-1000000000000,(SLOPE(K88:K92,A88:A92)))</f>
        <v>-1.87666409587738E+017</v>
      </c>
      <c r="M90" s="73" t="str">
        <f aca="false">IF(E90&gt;0.85*BiasLight,IF( E90&lt;1.15*BiasLight,E90,""),"")</f>
        <v/>
      </c>
      <c r="N90" s="73" t="str">
        <f aca="false">IF(E90&gt;0.85*BiasLight,IF(E90&lt;1.15*BiasLight,I90,""),"")</f>
        <v/>
      </c>
      <c r="O90" s="129" t="n">
        <f aca="false">I90-Traps</f>
        <v>284296418020692</v>
      </c>
      <c r="P90" s="127" t="e">
        <f aca="false">calclifetime(AnalysisMode,K90,Thickness,G90,L90)</f>
        <v>#NAME?</v>
      </c>
      <c r="Q90" s="129" t="str">
        <f aca="false">IF($J90="","",P90)</f>
        <v/>
      </c>
      <c r="R90" s="130" t="str">
        <f aca="false">IF(Q90="","",1/Q90)</f>
        <v/>
      </c>
      <c r="S90" s="131" t="n">
        <f aca="false">IF(AND(E90&gt;0.95*BiasLight,E90&lt;1.05*BiasLight),"",IF(AugerModel="Sinton",calclifetimeauger(Auger_Coefficient,I90,P90),calclifetimerichter(SampleType,I90,SampleDoping,P90)))</f>
        <v>31536.8407252838</v>
      </c>
      <c r="T90" s="78" t="str">
        <f aca="false">IF($J90="","",S90)</f>
        <v/>
      </c>
      <c r="U90" s="131" t="n">
        <f aca="false">FitInterceptAuger+FitSlopeAuger*(I90+Traps)</f>
        <v>27399.5174307321</v>
      </c>
      <c r="V90" s="130" t="str">
        <f aca="false">IF(AugerModel="Sinton","",IF(SampleType="n-type",n_intr_boltzmann(SampleDoping,0,K90,Temperature+273.15),n_intr_boltzmann(0,SampleDoping,K90,Temperature+273.15)))</f>
        <v/>
      </c>
      <c r="W90" s="130" t="str">
        <f aca="false">IF(V90="","",IF(T90="","",(V90^2)*T90))</f>
        <v/>
      </c>
      <c r="X90" s="125" t="n">
        <f aca="false">IF(AND(A90&gt;TimeofMaxCD,I90&gt;Traps),IF(AugerModel="Sinton",calcimpliedv(SampleDoping,O90),calcimpliedvrichter(O90,SampleDoping,V90)),"")</f>
        <v>0.600573180009253</v>
      </c>
      <c r="Y90" s="132" t="e">
        <f aca="false">IF(OR(P90="",P90&lt;0,A90&lt;=TimeofMaxCD),"",(O90*Thickness*1.602E-019/(0.038*OptConst*P90)))</f>
        <v>#NAME?</v>
      </c>
      <c r="Z90" s="77" t="str">
        <f aca="false">IF(C90&gt;0.6,O90,"")</f>
        <v/>
      </c>
      <c r="AE90" s="130" t="e">
        <f aca="false">H90/(K90*AreaFrac*Thickness*1.602E-019)</f>
        <v>#NAME?</v>
      </c>
    </row>
    <row collapsed="false" customFormat="false" customHeight="false" hidden="false" ht="12.75" outlineLevel="0" r="91">
      <c r="A91" s="123" t="n">
        <v>0.0082499</v>
      </c>
      <c r="B91" s="123" t="n">
        <v>0.044189</v>
      </c>
      <c r="C91" s="124" t="n">
        <v>0.010358</v>
      </c>
      <c r="D91" s="125" t="n">
        <f aca="false">IF(CouplingMode="AC",B91-(A$11-A$10)*SUM(B$9:B91)/0.21,B91)</f>
        <v>0.044189</v>
      </c>
      <c r="E91" s="126" t="n">
        <f aca="false">IF(C91&gt;0,C91/RefCellCal,0.00001)</f>
        <v>0.984228135559015</v>
      </c>
      <c r="F91" s="126" t="n">
        <f aca="false">E91-BiasLight</f>
        <v>0.984228135559015</v>
      </c>
      <c r="G91" s="127" t="n">
        <f aca="false">F91*0.038*OptConst/1.602E-019</f>
        <v>1.63423647976715E+017</v>
      </c>
      <c r="H91" s="128" t="e">
        <f aca="false">calcconductance(B91,Dark_Voltage,A_cal,B_cal,C_cal)</f>
        <v>#NAME?</v>
      </c>
      <c r="I91" s="127" t="n">
        <f aca="false">IF(MobilityModel=DK,calcdeltan(H91,SampleDoping,Thickness,AreaFrac),calcdeltandl(H91,AreaFrac,Thickness,SampleType,SampleDoping,Temperature))</f>
        <v>264637960521096</v>
      </c>
      <c r="J91" s="127" t="str">
        <f aca="false">IF(AND(AND(I91&gt;=FitRangeMin,I91&lt;=FitRangeMax),A91&gt;TimeofMaxCD),I91,"")</f>
        <v/>
      </c>
      <c r="K91" s="127" t="n">
        <f aca="false">IF(I91-BiasPtCD=0,0.00001,I91-BiasPtCD)</f>
        <v>264637960521096</v>
      </c>
      <c r="L91" s="129" t="n">
        <f aca="false">IF(ABS(SLOPE(K89:K93,A89:A93))&lt;1000000000000,-1000000000000,(SLOPE(K89:K93,A89:A93)))</f>
        <v>-1.70503658216412E+017</v>
      </c>
      <c r="M91" s="73" t="str">
        <f aca="false">IF(E91&gt;0.85*BiasLight,IF( E91&lt;1.15*BiasLight,E91,""),"")</f>
        <v/>
      </c>
      <c r="N91" s="73" t="str">
        <f aca="false">IF(E91&gt;0.85*BiasLight,IF(E91&lt;1.15*BiasLight,I91,""),"")</f>
        <v/>
      </c>
      <c r="O91" s="129" t="n">
        <f aca="false">I91-Traps</f>
        <v>264637960521096</v>
      </c>
      <c r="P91" s="127" t="e">
        <f aca="false">calclifetime(AnalysisMode,K91,Thickness,G91,L91)</f>
        <v>#NAME?</v>
      </c>
      <c r="Q91" s="129" t="str">
        <f aca="false">IF($J91="","",P91)</f>
        <v/>
      </c>
      <c r="R91" s="130" t="str">
        <f aca="false">IF(Q91="","",1/Q91)</f>
        <v/>
      </c>
      <c r="S91" s="131" t="n">
        <f aca="false">IF(AND(E91&gt;0.95*BiasLight,E91&lt;1.05*BiasLight),"",IF(AugerModel="Sinton",calclifetimeauger(Auger_Coefficient,I91,P91),calclifetimerichter(SampleType,I91,SampleDoping,P91)))</f>
        <v>32151.1475497567</v>
      </c>
      <c r="T91" s="78" t="str">
        <f aca="false">IF($J91="","",S91)</f>
        <v/>
      </c>
      <c r="U91" s="131" t="n">
        <f aca="false">FitInterceptAuger+FitSlopeAuger*(I91+Traps)</f>
        <v>27513.8568793091</v>
      </c>
      <c r="V91" s="130" t="str">
        <f aca="false">IF(AugerModel="Sinton","",IF(SampleType="n-type",n_intr_boltzmann(SampleDoping,0,K91,Temperature+273.15),n_intr_boltzmann(0,SampleDoping,K91,Temperature+273.15)))</f>
        <v/>
      </c>
      <c r="W91" s="130" t="str">
        <f aca="false">IF(V91="","",IF(T91="","",(V91^2)*T91))</f>
        <v/>
      </c>
      <c r="X91" s="125" t="n">
        <f aca="false">IF(AND(A91&gt;TimeofMaxCD,I91&gt;Traps),IF(AugerModel="Sinton",calcimpliedv(SampleDoping,O91),calcimpliedvrichter(O91,SampleDoping,V91)),"")</f>
        <v>0.5985955338659</v>
      </c>
      <c r="Y91" s="132" t="e">
        <f aca="false">IF(OR(P91="",P91&lt;0,A91&lt;=TimeofMaxCD),"",(O91*Thickness*1.602E-019/(0.038*OptConst*P91)))</f>
        <v>#NAME?</v>
      </c>
      <c r="Z91" s="77" t="str">
        <f aca="false">IF(C91&gt;0.6,O91,"")</f>
        <v/>
      </c>
      <c r="AE91" s="130" t="e">
        <f aca="false">H91/(K91*AreaFrac*Thickness*1.602E-019)</f>
        <v>#NAME?</v>
      </c>
    </row>
    <row collapsed="false" customFormat="false" customHeight="false" hidden="false" ht="12.75" outlineLevel="0" r="92">
      <c r="A92" s="123" t="n">
        <v>0.0083499</v>
      </c>
      <c r="B92" s="123" t="n">
        <v>0.0415767</v>
      </c>
      <c r="C92" s="124" t="n">
        <v>0.00988047</v>
      </c>
      <c r="D92" s="125" t="n">
        <f aca="false">IF(CouplingMode="AC",B92-(A$11-A$10)*SUM(B$9:B92)/0.21,B92)</f>
        <v>0.0415767</v>
      </c>
      <c r="E92" s="126" t="n">
        <f aca="false">IF(C92&gt;0,C92/RefCellCal,0.00001)</f>
        <v>0.938852728957982</v>
      </c>
      <c r="F92" s="126" t="n">
        <f aca="false">E92-BiasLight</f>
        <v>0.938852728957982</v>
      </c>
      <c r="G92" s="127" t="n">
        <f aca="false">F92*0.038*OptConst/1.602E-019</f>
        <v>1.55889404433722E+017</v>
      </c>
      <c r="H92" s="128" t="e">
        <f aca="false">calcconductance(B92,Dark_Voltage,A_cal,B_cal,C_cal)</f>
        <v>#NAME?</v>
      </c>
      <c r="I92" s="127" t="n">
        <f aca="false">IF(MobilityModel=DK,calcdeltan(H92,SampleDoping,Thickness,AreaFrac),calcdeltandl(H92,AreaFrac,Thickness,SampleType,SampleDoping,Temperature))</f>
        <v>248774139642155</v>
      </c>
      <c r="J92" s="127" t="str">
        <f aca="false">IF(AND(AND(I92&gt;=FitRangeMin,I92&lt;=FitRangeMax),A92&gt;TimeofMaxCD),I92,"")</f>
        <v/>
      </c>
      <c r="K92" s="127" t="n">
        <f aca="false">IF(I92-BiasPtCD=0,0.00001,I92-BiasPtCD)</f>
        <v>248774139642155</v>
      </c>
      <c r="L92" s="129" t="n">
        <f aca="false">IF(ABS(SLOPE(K90:K94,A90:A94))&lt;1000000000000,-1000000000000,(SLOPE(K90:K94,A90:A94)))</f>
        <v>-1.61524033722603E+017</v>
      </c>
      <c r="M92" s="73" t="str">
        <f aca="false">IF(E92&gt;0.85*BiasLight,IF( E92&lt;1.15*BiasLight,E92,""),"")</f>
        <v/>
      </c>
      <c r="N92" s="73" t="str">
        <f aca="false">IF(E92&gt;0.85*BiasLight,IF(E92&lt;1.15*BiasLight,I92,""),"")</f>
        <v/>
      </c>
      <c r="O92" s="129" t="n">
        <f aca="false">I92-Traps</f>
        <v>248774139642155</v>
      </c>
      <c r="P92" s="127" t="e">
        <f aca="false">calclifetime(AnalysisMode,K92,Thickness,G92,L92)</f>
        <v>#NAME?</v>
      </c>
      <c r="Q92" s="129" t="str">
        <f aca="false">IF($J92="","",P92)</f>
        <v/>
      </c>
      <c r="R92" s="130" t="str">
        <f aca="false">IF(Q92="","",1/Q92)</f>
        <v/>
      </c>
      <c r="S92" s="131" t="n">
        <f aca="false">IF(AND(E92&gt;0.95*BiasLight,E92&lt;1.05*BiasLight),"",IF(AugerModel="Sinton",calclifetimeauger(Auger_Coefficient,I92,P92),calclifetimerichter(SampleType,I92,SampleDoping,P92)))</f>
        <v>32620.1088670776</v>
      </c>
      <c r="T92" s="78" t="str">
        <f aca="false">IF($J92="","",S92)</f>
        <v/>
      </c>
      <c r="U92" s="131" t="n">
        <f aca="false">FitInterceptAuger+FitSlopeAuger*(I92+Traps)</f>
        <v>27606.1255902015</v>
      </c>
      <c r="V92" s="130" t="str">
        <f aca="false">IF(AugerModel="Sinton","",IF(SampleType="n-type",n_intr_boltzmann(SampleDoping,0,K92,Temperature+273.15),n_intr_boltzmann(0,SampleDoping,K92,Temperature+273.15)))</f>
        <v/>
      </c>
      <c r="W92" s="130" t="str">
        <f aca="false">IF(V92="","",IF(T92="","",(V92^2)*T92))</f>
        <v/>
      </c>
      <c r="X92" s="125" t="n">
        <f aca="false">IF(AND(A92&gt;TimeofMaxCD,I92&gt;Traps),IF(AugerModel="Sinton",calcimpliedv(SampleDoping,O92),calcimpliedvrichter(O92,SampleDoping,V92)),"")</f>
        <v>0.596896490579657</v>
      </c>
      <c r="Y92" s="132" t="e">
        <f aca="false">IF(OR(P92="",P92&lt;0,A92&lt;=TimeofMaxCD),"",(O92*Thickness*1.602E-019/(0.038*OptConst*P92)))</f>
        <v>#NAME?</v>
      </c>
      <c r="Z92" s="77" t="str">
        <f aca="false">IF(C92&gt;0.6,O92,"")</f>
        <v/>
      </c>
      <c r="AE92" s="130" t="e">
        <f aca="false">H92/(K92*AreaFrac*Thickness*1.602E-019)</f>
        <v>#NAME?</v>
      </c>
    </row>
    <row collapsed="false" customFormat="false" customHeight="false" hidden="false" ht="12.75" outlineLevel="0" r="93">
      <c r="A93" s="123" t="n">
        <v>0.0084499</v>
      </c>
      <c r="B93" s="123" t="n">
        <v>0.039189</v>
      </c>
      <c r="C93" s="124" t="n">
        <v>0.00940977</v>
      </c>
      <c r="D93" s="125" t="n">
        <f aca="false">IF(CouplingMode="AC",B93-(A$11-A$10)*SUM(B$9:B93)/0.21,B93)</f>
        <v>0.039189</v>
      </c>
      <c r="E93" s="126" t="n">
        <f aca="false">IF(C93&gt;0,C93/RefCellCal,0.00001)</f>
        <v>0.894126316194164</v>
      </c>
      <c r="F93" s="126" t="n">
        <f aca="false">E93-BiasLight</f>
        <v>0.894126316194164</v>
      </c>
      <c r="G93" s="127" t="n">
        <f aca="false">F93*0.038*OptConst/1.602E-019</f>
        <v>1.4846292141551E+017</v>
      </c>
      <c r="H93" s="128" t="e">
        <f aca="false">calcconductance(B93,Dark_Voltage,A_cal,B_cal,C_cal)</f>
        <v>#NAME?</v>
      </c>
      <c r="I93" s="127" t="n">
        <f aca="false">IF(MobilityModel=DK,calcdeltan(H93,SampleDoping,Thickness,AreaFrac),calcdeltandl(H93,AreaFrac,Thickness,SampleType,SampleDoping,Temperature))</f>
        <v>234293024261246</v>
      </c>
      <c r="J93" s="127" t="str">
        <f aca="false">IF(AND(AND(I93&gt;=FitRangeMin,I93&lt;=FitRangeMax),A93&gt;TimeofMaxCD),I93,"")</f>
        <v/>
      </c>
      <c r="K93" s="127" t="n">
        <f aca="false">IF(I93-BiasPtCD=0,0.00001,I93-BiasPtCD)</f>
        <v>234293024261246</v>
      </c>
      <c r="L93" s="129" t="n">
        <f aca="false">IF(ABS(SLOPE(K91:K95,A91:A95))&lt;1000000000000,-1000000000000,(SLOPE(K91:K95,A91:A95)))</f>
        <v>-1.50105710991148E+017</v>
      </c>
      <c r="M93" s="73" t="str">
        <f aca="false">IF(E93&gt;0.85*BiasLight,IF( E93&lt;1.15*BiasLight,E93,""),"")</f>
        <v/>
      </c>
      <c r="N93" s="73" t="str">
        <f aca="false">IF(E93&gt;0.85*BiasLight,IF(E93&lt;1.15*BiasLight,I93,""),"")</f>
        <v/>
      </c>
      <c r="O93" s="129" t="n">
        <f aca="false">I93-Traps</f>
        <v>234293024261246</v>
      </c>
      <c r="P93" s="127" t="e">
        <f aca="false">calclifetime(AnalysisMode,K93,Thickness,G93,L93)</f>
        <v>#NAME?</v>
      </c>
      <c r="Q93" s="129" t="str">
        <f aca="false">IF($J93="","",P93)</f>
        <v/>
      </c>
      <c r="R93" s="130" t="str">
        <f aca="false">IF(Q93="","",1/Q93)</f>
        <v/>
      </c>
      <c r="S93" s="131" t="n">
        <f aca="false">IF(AND(E93&gt;0.95*BiasLight,E93&lt;1.05*BiasLight),"",IF(AugerModel="Sinton",calclifetimeauger(Auger_Coefficient,I93,P93),calclifetimerichter(SampleType,I93,SampleDoping,P93)))</f>
        <v>32970.3508401679</v>
      </c>
      <c r="T93" s="78" t="str">
        <f aca="false">IF($J93="","",S93)</f>
        <v/>
      </c>
      <c r="U93" s="131" t="n">
        <f aca="false">FitInterceptAuger+FitSlopeAuger*(I93+Traps)</f>
        <v>27690.3520737629</v>
      </c>
      <c r="V93" s="130" t="str">
        <f aca="false">IF(AugerModel="Sinton","",IF(SampleType="n-type",n_intr_boltzmann(SampleDoping,0,K93,Temperature+273.15),n_intr_boltzmann(0,SampleDoping,K93,Temperature+273.15)))</f>
        <v/>
      </c>
      <c r="W93" s="130" t="str">
        <f aca="false">IF(V93="","",IF(T93="","",(V93^2)*T93))</f>
        <v/>
      </c>
      <c r="X93" s="125" t="n">
        <f aca="false">IF(AND(A93&gt;TimeofMaxCD,I93&gt;Traps),IF(AugerModel="Sinton",calcimpliedv(SampleDoping,O93),calcimpliedvrichter(O93,SampleDoping,V93)),"")</f>
        <v>0.595254082164136</v>
      </c>
      <c r="Y93" s="132" t="e">
        <f aca="false">IF(OR(P93="",P93&lt;0,A93&lt;=TimeofMaxCD),"",(O93*Thickness*1.602E-019/(0.038*OptConst*P93)))</f>
        <v>#NAME?</v>
      </c>
      <c r="Z93" s="77" t="str">
        <f aca="false">IF(C93&gt;0.6,O93,"")</f>
        <v/>
      </c>
      <c r="AE93" s="130" t="e">
        <f aca="false">H93/(K93*AreaFrac*Thickness*1.602E-019)</f>
        <v>#NAME?</v>
      </c>
    </row>
    <row collapsed="false" customFormat="false" customHeight="false" hidden="false" ht="12.75" outlineLevel="0" r="94">
      <c r="A94" s="123" t="n">
        <v>0.0085499</v>
      </c>
      <c r="B94" s="123" t="n">
        <v>0.0366157</v>
      </c>
      <c r="C94" s="124" t="n">
        <v>0.00892442</v>
      </c>
      <c r="D94" s="125" t="n">
        <f aca="false">IF(CouplingMode="AC",B94-(A$11-A$10)*SUM(B$9:B94)/0.21,B94)</f>
        <v>0.0366157</v>
      </c>
      <c r="E94" s="126" t="n">
        <f aca="false">IF(C94&gt;0,C94/RefCellCal,0.00001)</f>
        <v>0.848007844906892</v>
      </c>
      <c r="F94" s="126" t="n">
        <f aca="false">E94-BiasLight</f>
        <v>0.848007844906892</v>
      </c>
      <c r="G94" s="127" t="n">
        <f aca="false">F94*0.038*OptConst/1.602E-019</f>
        <v>1.40805297593779E+017</v>
      </c>
      <c r="H94" s="128" t="e">
        <f aca="false">calcconductance(B94,Dark_Voltage,A_cal,B_cal,C_cal)</f>
        <v>#NAME?</v>
      </c>
      <c r="I94" s="127" t="n">
        <f aca="false">IF(MobilityModel=DK,calcdeltan(H94,SampleDoping,Thickness,AreaFrac),calcdeltandl(H94,AreaFrac,Thickness,SampleType,SampleDoping,Temperature))</f>
        <v>218706869289316</v>
      </c>
      <c r="J94" s="127" t="str">
        <f aca="false">IF(AND(AND(I94&gt;=FitRangeMin,I94&lt;=FitRangeMax),A94&gt;TimeofMaxCD),I94,"")</f>
        <v/>
      </c>
      <c r="K94" s="127" t="n">
        <f aca="false">IF(I94-BiasPtCD=0,0.00001,I94-BiasPtCD)</f>
        <v>218706869289316</v>
      </c>
      <c r="L94" s="129" t="n">
        <f aca="false">IF(ABS(SLOPE(K92:K96,A92:A96))&lt;1000000000000,-1000000000000,(SLOPE(K92:K96,A92:A96)))</f>
        <v>-1.41643336145281E+017</v>
      </c>
      <c r="M94" s="73" t="str">
        <f aca="false">IF(E94&gt;0.85*BiasLight,IF( E94&lt;1.15*BiasLight,E94,""),"")</f>
        <v/>
      </c>
      <c r="N94" s="73" t="str">
        <f aca="false">IF(E94&gt;0.85*BiasLight,IF(E94&lt;1.15*BiasLight,I94,""),"")</f>
        <v/>
      </c>
      <c r="O94" s="129" t="n">
        <f aca="false">I94-Traps</f>
        <v>218706869289316</v>
      </c>
      <c r="P94" s="127" t="e">
        <f aca="false">calclifetime(AnalysisMode,K94,Thickness,G94,L94)</f>
        <v>#NAME?</v>
      </c>
      <c r="Q94" s="129" t="str">
        <f aca="false">IF($J94="","",P94)</f>
        <v/>
      </c>
      <c r="R94" s="130" t="str">
        <f aca="false">IF(Q94="","",1/Q94)</f>
        <v/>
      </c>
      <c r="S94" s="131" t="n">
        <f aca="false">IF(AND(E94&gt;0.95*BiasLight,E94&lt;1.05*BiasLight),"",IF(AugerModel="Sinton",calclifetimeauger(Auger_Coefficient,I94,P94),calclifetimerichter(SampleType,I94,SampleDoping,P94)))</f>
        <v>33494.9229025665</v>
      </c>
      <c r="T94" s="78" t="str">
        <f aca="false">IF($J94="","",S94)</f>
        <v/>
      </c>
      <c r="U94" s="131" t="n">
        <f aca="false">FitInterceptAuger+FitSlopeAuger*(I94+Traps)</f>
        <v>27781.0057969739</v>
      </c>
      <c r="V94" s="130" t="str">
        <f aca="false">IF(AugerModel="Sinton","",IF(SampleType="n-type",n_intr_boltzmann(SampleDoping,0,K94,Temperature+273.15),n_intr_boltzmann(0,SampleDoping,K94,Temperature+273.15)))</f>
        <v/>
      </c>
      <c r="W94" s="130" t="str">
        <f aca="false">IF(V94="","",IF(T94="","",(V94^2)*T94))</f>
        <v/>
      </c>
      <c r="X94" s="125" t="n">
        <f aca="false">IF(AND(A94&gt;TimeofMaxCD,I94&gt;Traps),IF(AugerModel="Sinton",calcimpliedv(SampleDoping,O94),calcimpliedvrichter(O94,SampleDoping,V94)),"")</f>
        <v>0.593375657542457</v>
      </c>
      <c r="Y94" s="132" t="e">
        <f aca="false">IF(OR(P94="",P94&lt;0,A94&lt;=TimeofMaxCD),"",(O94*Thickness*1.602E-019/(0.038*OptConst*P94)))</f>
        <v>#NAME?</v>
      </c>
      <c r="Z94" s="77" t="str">
        <f aca="false">IF(C94&gt;0.6,O94,"")</f>
        <v/>
      </c>
      <c r="AE94" s="130" t="e">
        <f aca="false">H94/(K94*AreaFrac*Thickness*1.602E-019)</f>
        <v>#NAME?</v>
      </c>
    </row>
    <row collapsed="false" customFormat="false" customHeight="false" hidden="false" ht="12.75" outlineLevel="0" r="95">
      <c r="A95" s="123" t="n">
        <v>0.0086499</v>
      </c>
      <c r="B95" s="123" t="n">
        <v>0.0342866</v>
      </c>
      <c r="C95" s="124" t="n">
        <v>0.00851524</v>
      </c>
      <c r="D95" s="125" t="n">
        <f aca="false">IF(CouplingMode="AC",B95-(A$11-A$10)*SUM(B$9:B95)/0.21,B95)</f>
        <v>0.0342866</v>
      </c>
      <c r="E95" s="126" t="n">
        <f aca="false">IF(C95&gt;0,C95/RefCellCal,0.00001)</f>
        <v>0.809127127730985</v>
      </c>
      <c r="F95" s="126" t="n">
        <f aca="false">E95-BiasLight</f>
        <v>0.809127127730985</v>
      </c>
      <c r="G95" s="127" t="n">
        <f aca="false">F95*0.038*OptConst/1.602E-019</f>
        <v>1.34349448175058E+017</v>
      </c>
      <c r="H95" s="128" t="e">
        <f aca="false">calcconductance(B95,Dark_Voltage,A_cal,B_cal,C_cal)</f>
        <v>#NAME?</v>
      </c>
      <c r="I95" s="127" t="n">
        <f aca="false">IF(MobilityModel=DK,calcdeltan(H95,SampleDoping,Thickness,AreaFrac),calcdeltandl(H95,AreaFrac,Thickness,SampleType,SampleDoping,Temperature))</f>
        <v>204618740201941</v>
      </c>
      <c r="J95" s="127" t="str">
        <f aca="false">IF(AND(AND(I95&gt;=FitRangeMin,I95&lt;=FitRangeMax),A95&gt;TimeofMaxCD),I95,"")</f>
        <v/>
      </c>
      <c r="K95" s="127" t="n">
        <f aca="false">IF(I95-BiasPtCD=0,0.00001,I95-BiasPtCD)</f>
        <v>204618740201941</v>
      </c>
      <c r="L95" s="129" t="n">
        <f aca="false">IF(ABS(SLOPE(K93:K97,A93:A97))&lt;1000000000000,-1000000000000,(SLOPE(K93:K97,A93:A97)))</f>
        <v>-1.32731563161703E+017</v>
      </c>
      <c r="M95" s="73" t="str">
        <f aca="false">IF(E95&gt;0.85*BiasLight,IF( E95&lt;1.15*BiasLight,E95,""),"")</f>
        <v/>
      </c>
      <c r="N95" s="73" t="str">
        <f aca="false">IF(E95&gt;0.85*BiasLight,IF(E95&lt;1.15*BiasLight,I95,""),"")</f>
        <v/>
      </c>
      <c r="O95" s="129" t="n">
        <f aca="false">I95-Traps</f>
        <v>204618740201941</v>
      </c>
      <c r="P95" s="127" t="e">
        <f aca="false">calclifetime(AnalysisMode,K95,Thickness,G95,L95)</f>
        <v>#NAME?</v>
      </c>
      <c r="Q95" s="129" t="str">
        <f aca="false">IF($J95="","",P95)</f>
        <v/>
      </c>
      <c r="R95" s="130" t="str">
        <f aca="false">IF(Q95="","",1/Q95)</f>
        <v/>
      </c>
      <c r="S95" s="131" t="n">
        <f aca="false">IF(AND(E95&gt;0.95*BiasLight,E95&lt;1.05*BiasLight),"",IF(AugerModel="Sinton",calclifetimeauger(Auger_Coefficient,I95,P95),calclifetimerichter(SampleType,I95,SampleDoping,P95)))</f>
        <v>34147.8059008804</v>
      </c>
      <c r="T95" s="78" t="str">
        <f aca="false">IF($J95="","",S95)</f>
        <v/>
      </c>
      <c r="U95" s="131" t="n">
        <f aca="false">FitInterceptAuger+FitSlopeAuger*(I95+Traps)</f>
        <v>27862.9465551114</v>
      </c>
      <c r="V95" s="130" t="str">
        <f aca="false">IF(AugerModel="Sinton","",IF(SampleType="n-type",n_intr_boltzmann(SampleDoping,0,K95,Temperature+273.15),n_intr_boltzmann(0,SampleDoping,K95,Temperature+273.15)))</f>
        <v/>
      </c>
      <c r="W95" s="130" t="str">
        <f aca="false">IF(V95="","",IF(T95="","",(V95^2)*T95))</f>
        <v/>
      </c>
      <c r="X95" s="125" t="n">
        <f aca="false">IF(AND(A95&gt;TimeofMaxCD,I95&gt;Traps),IF(AugerModel="Sinton",calcimpliedv(SampleDoping,O95),calcimpliedvrichter(O95,SampleDoping,V95)),"")</f>
        <v>0.591565356651786</v>
      </c>
      <c r="Y95" s="132" t="e">
        <f aca="false">IF(OR(P95="",P95&lt;0,A95&lt;=TimeofMaxCD),"",(O95*Thickness*1.602E-019/(0.038*OptConst*P95)))</f>
        <v>#NAME?</v>
      </c>
      <c r="Z95" s="77" t="str">
        <f aca="false">IF(C95&gt;0.6,O95,"")</f>
        <v/>
      </c>
      <c r="AE95" s="130" t="e">
        <f aca="false">H95/(K95*AreaFrac*Thickness*1.602E-019)</f>
        <v>#NAME?</v>
      </c>
    </row>
    <row collapsed="false" customFormat="false" customHeight="false" hidden="false" ht="12.75" outlineLevel="0" r="96">
      <c r="A96" s="123" t="n">
        <v>0.0087499</v>
      </c>
      <c r="B96" s="123" t="n">
        <v>0.0323286</v>
      </c>
      <c r="C96" s="124" t="n">
        <v>0.00809238</v>
      </c>
      <c r="D96" s="125" t="n">
        <f aca="false">IF(CouplingMode="AC",B96-(A$11-A$10)*SUM(B$9:B96)/0.21,B96)</f>
        <v>0.0323286</v>
      </c>
      <c r="E96" s="126" t="n">
        <f aca="false">IF(C96&gt;0,C96/RefCellCal,0.00001)</f>
        <v>0.768946522459457</v>
      </c>
      <c r="F96" s="126" t="n">
        <f aca="false">E96-BiasLight</f>
        <v>0.768946522459457</v>
      </c>
      <c r="G96" s="127" t="n">
        <f aca="false">F96*0.038*OptConst/1.602E-019</f>
        <v>1.2767776215619E+017</v>
      </c>
      <c r="H96" s="128" t="e">
        <f aca="false">calcconductance(B96,Dark_Voltage,A_cal,B_cal,C_cal)</f>
        <v>#NAME?</v>
      </c>
      <c r="I96" s="127" t="n">
        <f aca="false">IF(MobilityModel=DK,calcdeltan(H96,SampleDoping,Thickness,AreaFrac),calcdeltandl(H96,AreaFrac,Thickness,SampleType,SampleDoping,Temperature))</f>
        <v>192789613599167</v>
      </c>
      <c r="J96" s="127" t="str">
        <f aca="false">IF(AND(AND(I96&gt;=FitRangeMin,I96&lt;=FitRangeMax),A96&gt;TimeofMaxCD),I96,"")</f>
        <v/>
      </c>
      <c r="K96" s="127" t="n">
        <f aca="false">IF(I96-BiasPtCD=0,0.00001,I96-BiasPtCD)</f>
        <v>192789613599167</v>
      </c>
      <c r="L96" s="129" t="n">
        <f aca="false">IF(ABS(SLOPE(K94:K98,A94:A98))&lt;1000000000000,-1000000000000,(SLOPE(K94:K98,A94:A98)))</f>
        <v>-1.23155508137745E+017</v>
      </c>
      <c r="M96" s="73" t="str">
        <f aca="false">IF(E96&gt;0.85*BiasLight,IF( E96&lt;1.15*BiasLight,E96,""),"")</f>
        <v/>
      </c>
      <c r="N96" s="73" t="str">
        <f aca="false">IF(E96&gt;0.85*BiasLight,IF(E96&lt;1.15*BiasLight,I96,""),"")</f>
        <v/>
      </c>
      <c r="O96" s="129" t="n">
        <f aca="false">I96-Traps</f>
        <v>192789613599167</v>
      </c>
      <c r="P96" s="127" t="e">
        <f aca="false">calclifetime(AnalysisMode,K96,Thickness,G96,L96)</f>
        <v>#NAME?</v>
      </c>
      <c r="Q96" s="129" t="str">
        <f aca="false">IF($J96="","",P96)</f>
        <v/>
      </c>
      <c r="R96" s="130" t="str">
        <f aca="false">IF(Q96="","",1/Q96)</f>
        <v/>
      </c>
      <c r="S96" s="131" t="n">
        <f aca="false">IF(AND(E96&gt;0.95*BiasLight,E96&lt;1.05*BiasLight),"",IF(AugerModel="Sinton",calclifetimeauger(Auger_Coefficient,I96,P96),calclifetimerichter(SampleType,I96,SampleDoping,P96)))</f>
        <v>34427.7631349382</v>
      </c>
      <c r="T96" s="78" t="str">
        <f aca="false">IF($J96="","",S96)</f>
        <v/>
      </c>
      <c r="U96" s="131" t="n">
        <f aca="false">FitInterceptAuger+FitSlopeAuger*(I96+Traps)</f>
        <v>27931.7482814389</v>
      </c>
      <c r="V96" s="130" t="str">
        <f aca="false">IF(AugerModel="Sinton","",IF(SampleType="n-type",n_intr_boltzmann(SampleDoping,0,K96,Temperature+273.15),n_intr_boltzmann(0,SampleDoping,K96,Temperature+273.15)))</f>
        <v/>
      </c>
      <c r="W96" s="130" t="str">
        <f aca="false">IF(V96="","",IF(T96="","",(V96^2)*T96))</f>
        <v/>
      </c>
      <c r="X96" s="125" t="n">
        <f aca="false">IF(AND(A96&gt;TimeofMaxCD,I96&gt;Traps),IF(AugerModel="Sinton",calcimpliedv(SampleDoping,O96),calcimpliedvrichter(O96,SampleDoping,V96)),"")</f>
        <v>0.589951480032786</v>
      </c>
      <c r="Y96" s="132" t="e">
        <f aca="false">IF(OR(P96="",P96&lt;0,A96&lt;=TimeofMaxCD),"",(O96*Thickness*1.602E-019/(0.038*OptConst*P96)))</f>
        <v>#NAME?</v>
      </c>
      <c r="Z96" s="77" t="str">
        <f aca="false">IF(C96&gt;0.6,O96,"")</f>
        <v/>
      </c>
      <c r="AE96" s="130" t="e">
        <f aca="false">H96/(K96*AreaFrac*Thickness*1.602E-019)</f>
        <v>#NAME?</v>
      </c>
    </row>
    <row collapsed="false" customFormat="false" customHeight="false" hidden="false" ht="12.75" outlineLevel="0" r="97">
      <c r="A97" s="123" t="n">
        <v>0.0088499</v>
      </c>
      <c r="B97" s="123" t="n">
        <v>0.030356</v>
      </c>
      <c r="C97" s="124" t="n">
        <v>0.00770371</v>
      </c>
      <c r="D97" s="125" t="n">
        <f aca="false">IF(CouplingMode="AC",B97-(A$11-A$10)*SUM(B$9:B97)/0.21,B97)</f>
        <v>0.030356</v>
      </c>
      <c r="E97" s="126" t="n">
        <f aca="false">IF(C97&gt;0,C97/RefCellCal,0.00001)</f>
        <v>0.732014687216387</v>
      </c>
      <c r="F97" s="126" t="n">
        <f aca="false">E97-BiasLight</f>
        <v>0.732014687216387</v>
      </c>
      <c r="G97" s="127" t="n">
        <f aca="false">F97*0.038*OptConst/1.602E-019</f>
        <v>1.21545509862396E+017</v>
      </c>
      <c r="H97" s="128" t="e">
        <f aca="false">calcconductance(B97,Dark_Voltage,A_cal,B_cal,C_cal)</f>
        <v>#NAME?</v>
      </c>
      <c r="I97" s="127" t="n">
        <f aca="false">IF(MobilityModel=DK,calcdeltan(H97,SampleDoping,Thickness,AreaFrac),calcdeltandl(H97,AreaFrac,Thickness,SampleType,SampleDoping,Temperature))</f>
        <v>180885870525469</v>
      </c>
      <c r="J97" s="127" t="str">
        <f aca="false">IF(AND(AND(I97&gt;=FitRangeMin,I97&lt;=FitRangeMax),A97&gt;TimeofMaxCD),I97,"")</f>
        <v/>
      </c>
      <c r="K97" s="127" t="n">
        <f aca="false">IF(I97-BiasPtCD=0,0.00001,I97-BiasPtCD)</f>
        <v>180885870525469</v>
      </c>
      <c r="L97" s="129" t="n">
        <f aca="false">IF(ABS(SLOPE(K95:K99,A95:A99))&lt;1000000000000,-1000000000000,(SLOPE(K95:K99,A95:A99)))</f>
        <v>-1.14149375008325E+017</v>
      </c>
      <c r="M97" s="73" t="str">
        <f aca="false">IF(E97&gt;0.85*BiasLight,IF( E97&lt;1.15*BiasLight,E97,""),"")</f>
        <v/>
      </c>
      <c r="N97" s="73" t="str">
        <f aca="false">IF(E97&gt;0.85*BiasLight,IF(E97&lt;1.15*BiasLight,I97,""),"")</f>
        <v/>
      </c>
      <c r="O97" s="129" t="n">
        <f aca="false">I97-Traps</f>
        <v>180885870525469</v>
      </c>
      <c r="P97" s="127" t="e">
        <f aca="false">calclifetime(AnalysisMode,K97,Thickness,G97,L97)</f>
        <v>#NAME?</v>
      </c>
      <c r="Q97" s="129" t="str">
        <f aca="false">IF($J97="","",P97)</f>
        <v/>
      </c>
      <c r="R97" s="130" t="str">
        <f aca="false">IF(Q97="","",1/Q97)</f>
        <v/>
      </c>
      <c r="S97" s="131" t="n">
        <f aca="false">IF(AND(E97&gt;0.95*BiasLight,E97&lt;1.05*BiasLight),"",IF(AugerModel="Sinton",calclifetimeauger(Auger_Coefficient,I97,P97),calclifetimerichter(SampleType,I97,SampleDoping,P97)))</f>
        <v>34913.9546139905</v>
      </c>
      <c r="T97" s="78" t="str">
        <f aca="false">IF($J97="","",S97)</f>
        <v/>
      </c>
      <c r="U97" s="131" t="n">
        <f aca="false">FitInterceptAuger+FitSlopeAuger*(I97+Traps)</f>
        <v>28000.9839994029</v>
      </c>
      <c r="V97" s="130" t="str">
        <f aca="false">IF(AugerModel="Sinton","",IF(SampleType="n-type",n_intr_boltzmann(SampleDoping,0,K97,Temperature+273.15),n_intr_boltzmann(0,SampleDoping,K97,Temperature+273.15)))</f>
        <v/>
      </c>
      <c r="W97" s="130" t="str">
        <f aca="false">IF(V97="","",IF(T97="","",(V97^2)*T97))</f>
        <v/>
      </c>
      <c r="X97" s="125" t="n">
        <f aca="false">IF(AND(A97&gt;TimeofMaxCD,I97&gt;Traps),IF(AugerModel="Sinton",calcimpliedv(SampleDoping,O97),calcimpliedvrichter(O97,SampleDoping,V97)),"")</f>
        <v>0.588229300073819</v>
      </c>
      <c r="Y97" s="132" t="e">
        <f aca="false">IF(OR(P97="",P97&lt;0,A97&lt;=TimeofMaxCD),"",(O97*Thickness*1.602E-019/(0.038*OptConst*P97)))</f>
        <v>#NAME?</v>
      </c>
      <c r="Z97" s="77" t="str">
        <f aca="false">IF(C97&gt;0.6,O97,"")</f>
        <v/>
      </c>
      <c r="AE97" s="130" t="e">
        <f aca="false">H97/(K97*AreaFrac*Thickness*1.602E-019)</f>
        <v>#NAME?</v>
      </c>
    </row>
    <row collapsed="false" customFormat="false" customHeight="false" hidden="false" ht="12.75" outlineLevel="0" r="98">
      <c r="A98" s="123" t="n">
        <v>0.0089499</v>
      </c>
      <c r="B98" s="123" t="n">
        <v>0.0283833</v>
      </c>
      <c r="C98" s="124" t="n">
        <v>0.00730234</v>
      </c>
      <c r="D98" s="125" t="n">
        <f aca="false">IF(CouplingMode="AC",B98-(A$11-A$10)*SUM(B$9:B98)/0.21,B98)</f>
        <v>0.0283833</v>
      </c>
      <c r="E98" s="126" t="n">
        <f aca="false">IF(C98&gt;0,C98/RefCellCal,0.00001)</f>
        <v>0.693876084516124</v>
      </c>
      <c r="F98" s="126" t="n">
        <f aca="false">E98-BiasLight</f>
        <v>0.693876084516124</v>
      </c>
      <c r="G98" s="127" t="n">
        <f aca="false">F98*0.038*OptConst/1.602E-019</f>
        <v>1.15212882947122E+017</v>
      </c>
      <c r="H98" s="128" t="e">
        <f aca="false">calcconductance(B98,Dark_Voltage,A_cal,B_cal,C_cal)</f>
        <v>#NAME?</v>
      </c>
      <c r="I98" s="127" t="n">
        <f aca="false">IF(MobilityModel=DK,calcdeltan(H98,SampleDoping,Thickness,AreaFrac),calcdeltandl(H98,AreaFrac,Thickness,SampleType,SampleDoping,Temperature))</f>
        <v>168995550058679</v>
      </c>
      <c r="J98" s="127" t="str">
        <f aca="false">IF(AND(AND(I98&gt;=FitRangeMin,I98&lt;=FitRangeMax),A98&gt;TimeofMaxCD),I98,"")</f>
        <v/>
      </c>
      <c r="K98" s="127" t="n">
        <f aca="false">IF(I98-BiasPtCD=0,0.00001,I98-BiasPtCD)</f>
        <v>168995550058679</v>
      </c>
      <c r="L98" s="129" t="n">
        <f aca="false">IF(ABS(SLOPE(K96:K100,A96:A100))&lt;1000000000000,-1000000000000,(SLOPE(K96:K100,A96:A100)))</f>
        <v>-1.03944077932647E+017</v>
      </c>
      <c r="M98" s="73" t="str">
        <f aca="false">IF(E98&gt;0.85*BiasLight,IF( E98&lt;1.15*BiasLight,E98,""),"")</f>
        <v/>
      </c>
      <c r="N98" s="73" t="str">
        <f aca="false">IF(E98&gt;0.85*BiasLight,IF(E98&lt;1.15*BiasLight,I98,""),"")</f>
        <v/>
      </c>
      <c r="O98" s="129" t="n">
        <f aca="false">I98-Traps</f>
        <v>168995550058679</v>
      </c>
      <c r="P98" s="127" t="e">
        <f aca="false">calclifetime(AnalysisMode,K98,Thickness,G98,L98)</f>
        <v>#NAME?</v>
      </c>
      <c r="Q98" s="129" t="str">
        <f aca="false">IF($J98="","",P98)</f>
        <v/>
      </c>
      <c r="R98" s="130" t="str">
        <f aca="false">IF(Q98="","",1/Q98)</f>
        <v/>
      </c>
      <c r="S98" s="131" t="n">
        <f aca="false">IF(AND(E98&gt;0.95*BiasLight,E98&lt;1.05*BiasLight),"",IF(AugerModel="Sinton",calclifetimeauger(Auger_Coefficient,I98,P98),calclifetimerichter(SampleType,I98,SampleDoping,P98)))</f>
        <v>35398.2360932826</v>
      </c>
      <c r="T98" s="78" t="str">
        <f aca="false">IF($J98="","",S98)</f>
        <v/>
      </c>
      <c r="U98" s="131" t="n">
        <f aca="false">FitInterceptAuger+FitSlopeAuger*(I98+Traps)</f>
        <v>28070.141647484</v>
      </c>
      <c r="V98" s="130" t="str">
        <f aca="false">IF(AugerModel="Sinton","",IF(SampleType="n-type",n_intr_boltzmann(SampleDoping,0,K98,Temperature+273.15),n_intr_boltzmann(0,SampleDoping,K98,Temperature+273.15)))</f>
        <v/>
      </c>
      <c r="W98" s="130" t="str">
        <f aca="false">IF(V98="","",IF(T98="","",(V98^2)*T98))</f>
        <v/>
      </c>
      <c r="X98" s="125" t="n">
        <f aca="false">IF(AND(A98&gt;TimeofMaxCD,I98&gt;Traps),IF(AugerModel="Sinton",calcimpliedv(SampleDoping,O98),calcimpliedvrichter(O98,SampleDoping,V98)),"")</f>
        <v>0.586397478282406</v>
      </c>
      <c r="Y98" s="132" t="e">
        <f aca="false">IF(OR(P98="",P98&lt;0,A98&lt;=TimeofMaxCD),"",(O98*Thickness*1.602E-019/(0.038*OptConst*P98)))</f>
        <v>#NAME?</v>
      </c>
      <c r="Z98" s="77" t="str">
        <f aca="false">IF(C98&gt;0.6,O98,"")</f>
        <v/>
      </c>
      <c r="AE98" s="130" t="e">
        <f aca="false">H98/(K98*AreaFrac*Thickness*1.602E-019)</f>
        <v>#NAME?</v>
      </c>
    </row>
    <row collapsed="false" customFormat="false" customHeight="false" hidden="false" ht="12.75" outlineLevel="0" r="99">
      <c r="A99" s="123" t="n">
        <v>0.0090499</v>
      </c>
      <c r="B99" s="123" t="n">
        <v>0.0267964</v>
      </c>
      <c r="C99" s="124" t="n">
        <v>0.00694981</v>
      </c>
      <c r="D99" s="125" t="n">
        <f aca="false">IF(CouplingMode="AC",B99-(A$11-A$10)*SUM(B$9:B99)/0.21,B99)</f>
        <v>0.0267964</v>
      </c>
      <c r="E99" s="126" t="n">
        <f aca="false">IF(C99&gt;0,C99/RefCellCal,0.00001)</f>
        <v>0.660378310367774</v>
      </c>
      <c r="F99" s="126" t="n">
        <f aca="false">E99-BiasLight</f>
        <v>0.660378310367774</v>
      </c>
      <c r="G99" s="127" t="n">
        <f aca="false">F99*0.038*OptConst/1.602E-019</f>
        <v>1.09650830560442E+017</v>
      </c>
      <c r="H99" s="128" t="e">
        <f aca="false">calcconductance(B99,Dark_Voltage,A_cal,B_cal,C_cal)</f>
        <v>#NAME?</v>
      </c>
      <c r="I99" s="127" t="n">
        <f aca="false">IF(MobilityModel=DK,calcdeltan(H99,SampleDoping,Thickness,AreaFrac),calcdeltandl(H99,AreaFrac,Thickness,SampleType,SampleDoping,Temperature))</f>
        <v>159441084468022</v>
      </c>
      <c r="J99" s="127" t="str">
        <f aca="false">IF(AND(AND(I99&gt;=FitRangeMin,I99&lt;=FitRangeMax),A99&gt;TimeofMaxCD),I99,"")</f>
        <v/>
      </c>
      <c r="K99" s="127" t="n">
        <f aca="false">IF(I99-BiasPtCD=0,0.00001,I99-BiasPtCD)</f>
        <v>159441084468022</v>
      </c>
      <c r="L99" s="129" t="n">
        <f aca="false">IF(ABS(SLOPE(K97:K101,A97:A101))&lt;1000000000000,-1000000000000,(SLOPE(K97:K101,A97:A101)))</f>
        <v>-98387147577081100</v>
      </c>
      <c r="M99" s="73" t="str">
        <f aca="false">IF(E99&gt;0.85*BiasLight,IF( E99&lt;1.15*BiasLight,E99,""),"")</f>
        <v/>
      </c>
      <c r="N99" s="73" t="str">
        <f aca="false">IF(E99&gt;0.85*BiasLight,IF(E99&lt;1.15*BiasLight,I99,""),"")</f>
        <v/>
      </c>
      <c r="O99" s="129" t="n">
        <f aca="false">I99-Traps</f>
        <v>159441084468022</v>
      </c>
      <c r="P99" s="127" t="e">
        <f aca="false">calclifetime(AnalysisMode,K99,Thickness,G99,L99)</f>
        <v>#NAME?</v>
      </c>
      <c r="Q99" s="129" t="str">
        <f aca="false">IF($J99="","",P99)</f>
        <v/>
      </c>
      <c r="R99" s="130" t="str">
        <f aca="false">IF(Q99="","",1/Q99)</f>
        <v/>
      </c>
      <c r="S99" s="131" t="n">
        <f aca="false">IF(AND(E99&gt;0.95*BiasLight,E99&lt;1.05*BiasLight),"",IF(AugerModel="Sinton",calclifetimeauger(Auger_Coefficient,I99,P99),calclifetimerichter(SampleType,I99,SampleDoping,P99)))</f>
        <v>35704.7906996645</v>
      </c>
      <c r="T99" s="78" t="str">
        <f aca="false">IF($J99="","",S99)</f>
        <v/>
      </c>
      <c r="U99" s="131" t="n">
        <f aca="false">FitInterceptAuger+FitSlopeAuger*(I99+Traps)</f>
        <v>28125.713267338</v>
      </c>
      <c r="V99" s="130" t="str">
        <f aca="false">IF(AugerModel="Sinton","",IF(SampleType="n-type",n_intr_boltzmann(SampleDoping,0,K99,Temperature+273.15),n_intr_boltzmann(0,SampleDoping,K99,Temperature+273.15)))</f>
        <v/>
      </c>
      <c r="W99" s="130" t="str">
        <f aca="false">IF(V99="","",IF(T99="","",(V99^2)*T99))</f>
        <v/>
      </c>
      <c r="X99" s="125" t="n">
        <f aca="false">IF(AND(A99&gt;TimeofMaxCD,I99&gt;Traps),IF(AugerModel="Sinton",calcimpliedv(SampleDoping,O99),calcimpliedvrichter(O99,SampleDoping,V99)),"")</f>
        <v>0.584833820654435</v>
      </c>
      <c r="Y99" s="132" t="e">
        <f aca="false">IF(OR(P99="",P99&lt;0,A99&lt;=TimeofMaxCD),"",(O99*Thickness*1.602E-019/(0.038*OptConst*P99)))</f>
        <v>#NAME?</v>
      </c>
      <c r="Z99" s="77" t="str">
        <f aca="false">IF(C99&gt;0.6,O99,"")</f>
        <v/>
      </c>
      <c r="AE99" s="130" t="e">
        <f aca="false">H99/(K99*AreaFrac*Thickness*1.602E-019)</f>
        <v>#NAME?</v>
      </c>
    </row>
    <row collapsed="false" customFormat="false" customHeight="false" hidden="false" ht="12.75" outlineLevel="0" r="100">
      <c r="A100" s="123" t="n">
        <v>0.0091499</v>
      </c>
      <c r="B100" s="123" t="n">
        <v>0.0254829</v>
      </c>
      <c r="C100" s="124" t="n">
        <v>0.00660899</v>
      </c>
      <c r="D100" s="125" t="n">
        <f aca="false">IF(CouplingMode="AC",B100-(A$11-A$10)*SUM(B$9:B100)/0.21,B100)</f>
        <v>0.0254829</v>
      </c>
      <c r="E100" s="126" t="n">
        <f aca="false">IF(C100&gt;0,C100/RefCellCal,0.00001)</f>
        <v>0.62799323282759</v>
      </c>
      <c r="F100" s="126" t="n">
        <f aca="false">E100-BiasLight</f>
        <v>0.62799323282759</v>
      </c>
      <c r="G100" s="127" t="n">
        <f aca="false">F100*0.038*OptConst/1.602E-019</f>
        <v>1.04273533041285E+017</v>
      </c>
      <c r="H100" s="128" t="e">
        <f aca="false">calcconductance(B100,Dark_Voltage,A_cal,B_cal,C_cal)</f>
        <v>#NAME?</v>
      </c>
      <c r="I100" s="127" t="n">
        <f aca="false">IF(MobilityModel=DK,calcdeltan(H100,SampleDoping,Thickness,AreaFrac),calcdeltandl(H100,AreaFrac,Thickness,SampleType,SampleDoping,Temperature))</f>
        <v>151539967661566</v>
      </c>
      <c r="J100" s="127" t="str">
        <f aca="false">IF(AND(AND(I100&gt;=FitRangeMin,I100&lt;=FitRangeMax),A100&gt;TimeofMaxCD),I100,"")</f>
        <v/>
      </c>
      <c r="K100" s="127" t="n">
        <f aca="false">IF(I100-BiasPtCD=0,0.00001,I100-BiasPtCD)</f>
        <v>151539967661566</v>
      </c>
      <c r="L100" s="129" t="n">
        <f aca="false">IF(ABS(SLOPE(K98:K102,A98:A102))&lt;1000000000000,-1000000000000,(SLOPE(K98:K102,A98:A102)))</f>
        <v>-90593483024124000</v>
      </c>
      <c r="M100" s="73" t="str">
        <f aca="false">IF(E100&gt;0.85*BiasLight,IF( E100&lt;1.15*BiasLight,E100,""),"")</f>
        <v/>
      </c>
      <c r="N100" s="73" t="str">
        <f aca="false">IF(E100&gt;0.85*BiasLight,IF(E100&lt;1.15*BiasLight,I100,""),"")</f>
        <v/>
      </c>
      <c r="O100" s="129" t="n">
        <f aca="false">I100-Traps</f>
        <v>151539967661566</v>
      </c>
      <c r="P100" s="127" t="e">
        <f aca="false">calclifetime(AnalysisMode,K100,Thickness,G100,L100)</f>
        <v>#NAME?</v>
      </c>
      <c r="Q100" s="129" t="str">
        <f aca="false">IF($J100="","",P100)</f>
        <v/>
      </c>
      <c r="R100" s="130" t="str">
        <f aca="false">IF(Q100="","",1/Q100)</f>
        <v/>
      </c>
      <c r="S100" s="131" t="n">
        <f aca="false">IF(AND(E100&gt;0.95*BiasLight,E100&lt;1.05*BiasLight),"",IF(AugerModel="Sinton",calclifetimeauger(Auger_Coefficient,I100,P100),calclifetimerichter(SampleType,I100,SampleDoping,P100)))</f>
        <v>35704.5471638802</v>
      </c>
      <c r="T100" s="78" t="str">
        <f aca="false">IF($J100="","",S100)</f>
        <v/>
      </c>
      <c r="U100" s="131" t="n">
        <f aca="false">FitInterceptAuger+FitSlopeAuger*(I100+Traps)</f>
        <v>28171.6685178357</v>
      </c>
      <c r="V100" s="130" t="str">
        <f aca="false">IF(AugerModel="Sinton","",IF(SampleType="n-type",n_intr_boltzmann(SampleDoping,0,K100,Temperature+273.15),n_intr_boltzmann(0,SampleDoping,K100,Temperature+273.15)))</f>
        <v/>
      </c>
      <c r="W100" s="130" t="str">
        <f aca="false">IF(V100="","",IF(T100="","",(V100^2)*T100))</f>
        <v/>
      </c>
      <c r="X100" s="125" t="n">
        <f aca="false">IF(AND(A100&gt;TimeofMaxCD,I100&gt;Traps),IF(AugerModel="Sinton",calcimpliedv(SampleDoping,O100),calcimpliedvrichter(O100,SampleDoping,V100)),"")</f>
        <v>0.583471295350553</v>
      </c>
      <c r="Y100" s="132" t="e">
        <f aca="false">IF(OR(P100="",P100&lt;0,A100&lt;=TimeofMaxCD),"",(O100*Thickness*1.602E-019/(0.038*OptConst*P100)))</f>
        <v>#NAME?</v>
      </c>
      <c r="Z100" s="77" t="str">
        <f aca="false">IF(C100&gt;0.6,O100,"")</f>
        <v/>
      </c>
      <c r="AE100" s="130" t="e">
        <f aca="false">H100/(K100*AreaFrac*Thickness*1.602E-019)</f>
        <v>#NAME?</v>
      </c>
    </row>
    <row collapsed="false" customFormat="false" customHeight="false" hidden="false" ht="12.75" outlineLevel="0" r="101">
      <c r="A101" s="123" t="n">
        <v>0.0092499</v>
      </c>
      <c r="B101" s="123" t="n">
        <v>0.0236324</v>
      </c>
      <c r="C101" s="124" t="n">
        <v>0.0062916</v>
      </c>
      <c r="D101" s="125" t="n">
        <f aca="false">IF(CouplingMode="AC",B101-(A$11-A$10)*SUM(B$9:B101)/0.21,B101)</f>
        <v>0.0236324</v>
      </c>
      <c r="E101" s="126" t="n">
        <f aca="false">IF(C101&gt;0,C101/RefCellCal,0.00001)</f>
        <v>0.597834498714337</v>
      </c>
      <c r="F101" s="126" t="n">
        <f aca="false">E101-BiasLight</f>
        <v>0.597834498714337</v>
      </c>
      <c r="G101" s="127" t="n">
        <f aca="false">F101*0.038*OptConst/1.602E-019</f>
        <v>99265903032467900</v>
      </c>
      <c r="H101" s="128" t="e">
        <f aca="false">calcconductance(B101,Dark_Voltage,A_cal,B_cal,C_cal)</f>
        <v>#NAME?</v>
      </c>
      <c r="I101" s="127" t="n">
        <f aca="false">IF(MobilityModel=DK,calcdeltan(H101,SampleDoping,Thickness,AreaFrac),calcdeltandl(H101,AreaFrac,Thickness,SampleType,SampleDoping,Temperature))</f>
        <v>140420087935485</v>
      </c>
      <c r="J101" s="127" t="str">
        <f aca="false">IF(AND(AND(I101&gt;=FitRangeMin,I101&lt;=FitRangeMax),A101&gt;TimeofMaxCD),I101,"")</f>
        <v/>
      </c>
      <c r="K101" s="127" t="n">
        <f aca="false">IF(I101-BiasPtCD=0,0.00001,I101-BiasPtCD)</f>
        <v>140420087935485</v>
      </c>
      <c r="L101" s="129" t="n">
        <f aca="false">IF(ABS(SLOPE(K99:K103,A99:A103))&lt;1000000000000,-1000000000000,(SLOPE(K99:K103,A99:A103)))</f>
        <v>-93047680892956000</v>
      </c>
      <c r="M101" s="73" t="str">
        <f aca="false">IF(E101&gt;0.85*BiasLight,IF( E101&lt;1.15*BiasLight,E101,""),"")</f>
        <v/>
      </c>
      <c r="N101" s="73" t="str">
        <f aca="false">IF(E101&gt;0.85*BiasLight,IF(E101&lt;1.15*BiasLight,I101,""),"")</f>
        <v/>
      </c>
      <c r="O101" s="129" t="n">
        <f aca="false">I101-Traps</f>
        <v>140420087935485</v>
      </c>
      <c r="P101" s="127" t="e">
        <f aca="false">calclifetime(AnalysisMode,K101,Thickness,G101,L101)</f>
        <v>#NAME?</v>
      </c>
      <c r="Q101" s="129" t="str">
        <f aca="false">IF($J101="","",P101)</f>
        <v/>
      </c>
      <c r="R101" s="130" t="str">
        <f aca="false">IF(Q101="","",1/Q101)</f>
        <v/>
      </c>
      <c r="S101" s="131" t="n">
        <f aca="false">IF(AND(E101&gt;0.95*BiasLight,E101&lt;1.05*BiasLight),"",IF(AugerModel="Sinton",calclifetimeauger(Auger_Coefficient,I101,P101),calclifetimerichter(SampleType,I101,SampleDoping,P101)))</f>
        <v>36730.0010273966</v>
      </c>
      <c r="T101" s="78" t="str">
        <f aca="false">IF($J101="","",S101)</f>
        <v/>
      </c>
      <c r="U101" s="131" t="n">
        <f aca="false">FitInterceptAuger+FitSlopeAuger*(I101+Traps)</f>
        <v>28236.3450529172</v>
      </c>
      <c r="V101" s="130" t="str">
        <f aca="false">IF(AugerModel="Sinton","",IF(SampleType="n-type",n_intr_boltzmann(SampleDoping,0,K101,Temperature+273.15),n_intr_boltzmann(0,SampleDoping,K101,Temperature+273.15)))</f>
        <v/>
      </c>
      <c r="W101" s="130" t="str">
        <f aca="false">IF(V101="","",IF(T101="","",(V101^2)*T101))</f>
        <v/>
      </c>
      <c r="X101" s="125" t="n">
        <f aca="false">IF(AND(A101&gt;TimeofMaxCD,I101&gt;Traps),IF(AugerModel="Sinton",calcimpliedv(SampleDoping,O101),calcimpliedvrichter(O101,SampleDoping,V101)),"")</f>
        <v>0.581433244933607</v>
      </c>
      <c r="Y101" s="132" t="e">
        <f aca="false">IF(OR(P101="",P101&lt;0,A101&lt;=TimeofMaxCD),"",(O101*Thickness*1.602E-019/(0.038*OptConst*P101)))</f>
        <v>#NAME?</v>
      </c>
      <c r="Z101" s="77" t="str">
        <f aca="false">IF(C101&gt;0.6,O101,"")</f>
        <v/>
      </c>
      <c r="AE101" s="130" t="e">
        <f aca="false">H101/(K101*AreaFrac*Thickness*1.602E-019)</f>
        <v>#NAME?</v>
      </c>
    </row>
    <row collapsed="false" customFormat="false" customHeight="false" hidden="false" ht="12.75" outlineLevel="0" r="102">
      <c r="A102" s="123" t="n">
        <v>0.0093499</v>
      </c>
      <c r="B102" s="123" t="n">
        <v>0.0224312</v>
      </c>
      <c r="C102" s="124" t="n">
        <v>0.0059293</v>
      </c>
      <c r="D102" s="125" t="n">
        <f aca="false">IF(CouplingMode="AC",B102-(A$11-A$10)*SUM(B$9:B102)/0.21,B102)</f>
        <v>0.0224312</v>
      </c>
      <c r="E102" s="126" t="n">
        <f aca="false">IF(C102&gt;0,C102/RefCellCal,0.00001)</f>
        <v>0.563408368813484</v>
      </c>
      <c r="F102" s="126" t="n">
        <f aca="false">E102-BiasLight</f>
        <v>0.563408368813484</v>
      </c>
      <c r="G102" s="127" t="n">
        <f aca="false">F102*0.038*OptConst/1.602E-019</f>
        <v>93549704185010500</v>
      </c>
      <c r="H102" s="128" t="e">
        <f aca="false">calcconductance(B102,Dark_Voltage,A_cal,B_cal,C_cal)</f>
        <v>#NAME?</v>
      </c>
      <c r="I102" s="127" t="n">
        <f aca="false">IF(MobilityModel=DK,calcdeltan(H102,SampleDoping,Thickness,AreaFrac),calcdeltandl(H102,AreaFrac,Thickness,SampleType,SampleDoping,Temperature))</f>
        <v>133209306812886</v>
      </c>
      <c r="J102" s="127" t="str">
        <f aca="false">IF(AND(AND(I102&gt;=FitRangeMin,I102&lt;=FitRangeMax),A102&gt;TimeofMaxCD),I102,"")</f>
        <v/>
      </c>
      <c r="K102" s="127" t="n">
        <f aca="false">IF(I102-BiasPtCD=0,0.00001,I102-BiasPtCD)</f>
        <v>133209306812886</v>
      </c>
      <c r="L102" s="129" t="n">
        <f aca="false">IF(ABS(SLOPE(K100:K104,A100:A104))&lt;1000000000000,-1000000000000,(SLOPE(K100:K104,A100:A104)))</f>
        <v>-93805332765556900</v>
      </c>
      <c r="M102" s="73" t="str">
        <f aca="false">IF(E102&gt;0.85*BiasLight,IF( E102&lt;1.15*BiasLight,E102,""),"")</f>
        <v/>
      </c>
      <c r="N102" s="73" t="str">
        <f aca="false">IF(E102&gt;0.85*BiasLight,IF(E102&lt;1.15*BiasLight,I102,""),"")</f>
        <v/>
      </c>
      <c r="O102" s="129" t="n">
        <f aca="false">I102-Traps</f>
        <v>133209306812886</v>
      </c>
      <c r="P102" s="127" t="e">
        <f aca="false">calclifetime(AnalysisMode,K102,Thickness,G102,L102)</f>
        <v>#NAME?</v>
      </c>
      <c r="Q102" s="129" t="str">
        <f aca="false">IF($J102="","",P102)</f>
        <v/>
      </c>
      <c r="R102" s="130" t="str">
        <f aca="false">IF(Q102="","",1/Q102)</f>
        <v/>
      </c>
      <c r="S102" s="131" t="n">
        <f aca="false">IF(AND(E102&gt;0.95*BiasLight,E102&lt;1.05*BiasLight),"",IF(AugerModel="Sinton",calclifetimeauger(Auger_Coefficient,I102,P102),calclifetimerichter(SampleType,I102,SampleDoping,P102)))</f>
        <v>36534.5756721721</v>
      </c>
      <c r="T102" s="78" t="str">
        <f aca="false">IF($J102="","",S102)</f>
        <v/>
      </c>
      <c r="U102" s="131" t="n">
        <f aca="false">FitInterceptAuger+FitSlopeAuger*(I102+Traps)</f>
        <v>28278.2851053035</v>
      </c>
      <c r="V102" s="130" t="str">
        <f aca="false">IF(AugerModel="Sinton","",IF(SampleType="n-type",n_intr_boltzmann(SampleDoping,0,K102,Temperature+273.15),n_intr_boltzmann(0,SampleDoping,K102,Temperature+273.15)))</f>
        <v/>
      </c>
      <c r="W102" s="130" t="str">
        <f aca="false">IF(V102="","",IF(T102="","",(V102^2)*T102))</f>
        <v/>
      </c>
      <c r="X102" s="125" t="n">
        <f aca="false">IF(AND(A102&gt;TimeofMaxCD,I102&gt;Traps),IF(AugerModel="Sinton",calcimpliedv(SampleDoping,O102),calcimpliedvrichter(O102,SampleDoping,V102)),"")</f>
        <v>0.580026810496789</v>
      </c>
      <c r="Y102" s="132" t="e">
        <f aca="false">IF(OR(P102="",P102&lt;0,A102&lt;=TimeofMaxCD),"",(O102*Thickness*1.602E-019/(0.038*OptConst*P102)))</f>
        <v>#NAME?</v>
      </c>
      <c r="Z102" s="77" t="str">
        <f aca="false">IF(C102&gt;0.6,O102,"")</f>
        <v/>
      </c>
      <c r="AE102" s="130" t="e">
        <f aca="false">H102/(K102*AreaFrac*Thickness*1.602E-019)</f>
        <v>#NAME?</v>
      </c>
    </row>
    <row collapsed="false" customFormat="false" customHeight="false" hidden="false" ht="12.75" outlineLevel="0" r="103">
      <c r="A103" s="123" t="n">
        <v>0.0094499</v>
      </c>
      <c r="B103" s="123" t="n">
        <v>0.0205757</v>
      </c>
      <c r="C103" s="124" t="n">
        <v>0.00565977</v>
      </c>
      <c r="D103" s="125" t="n">
        <f aca="false">IF(CouplingMode="AC",B103-(A$11-A$10)*SUM(B$9:B103)/0.21,B103)</f>
        <v>0.0205757</v>
      </c>
      <c r="E103" s="126" t="n">
        <f aca="false">IF(C103&gt;0,C103/RefCellCal,0.00001)</f>
        <v>0.537797342613714</v>
      </c>
      <c r="F103" s="126" t="n">
        <f aca="false">E103-BiasLight</f>
        <v>0.537797342613714</v>
      </c>
      <c r="G103" s="127" t="n">
        <f aca="false">F103*0.038*OptConst/1.602E-019</f>
        <v>89297186726122300</v>
      </c>
      <c r="H103" s="128" t="e">
        <f aca="false">calcconductance(B103,Dark_Voltage,A_cal,B_cal,C_cal)</f>
        <v>#NAME?</v>
      </c>
      <c r="I103" s="127" t="n">
        <f aca="false">IF(MobilityModel=DK,calcdeltan(H103,SampleDoping,Thickness,AreaFrac),calcdeltandl(H103,AreaFrac,Thickness,SampleType,SampleDoping,Temperature))</f>
        <v>122082574445884</v>
      </c>
      <c r="J103" s="127" t="str">
        <f aca="false">IF(AND(AND(I103&gt;=FitRangeMin,I103&lt;=FitRangeMax),A103&gt;TimeofMaxCD),I103,"")</f>
        <v/>
      </c>
      <c r="K103" s="127" t="n">
        <f aca="false">IF(I103-BiasPtCD=0,0.00001,I103-BiasPtCD)</f>
        <v>122082574445884</v>
      </c>
      <c r="L103" s="129" t="n">
        <f aca="false">IF(ABS(SLOPE(K101:K105,A101:A105))&lt;1000000000000,-1000000000000,(SLOPE(K101:K105,A101:A105)))</f>
        <v>-89985396059668300</v>
      </c>
      <c r="M103" s="73" t="str">
        <f aca="false">IF(E103&gt;0.85*BiasLight,IF( E103&lt;1.15*BiasLight,E103,""),"")</f>
        <v/>
      </c>
      <c r="N103" s="73" t="str">
        <f aca="false">IF(E103&gt;0.85*BiasLight,IF(E103&lt;1.15*BiasLight,I103,""),"")</f>
        <v/>
      </c>
      <c r="O103" s="129" t="n">
        <f aca="false">I103-Traps</f>
        <v>122082574445884</v>
      </c>
      <c r="P103" s="127" t="e">
        <f aca="false">calclifetime(AnalysisMode,K103,Thickness,G103,L103)</f>
        <v>#NAME?</v>
      </c>
      <c r="Q103" s="129" t="str">
        <f aca="false">IF($J103="","",P103)</f>
        <v/>
      </c>
      <c r="R103" s="130" t="str">
        <f aca="false">IF(Q103="","",1/Q103)</f>
        <v/>
      </c>
      <c r="S103" s="131" t="n">
        <f aca="false">IF(AND(E103&gt;0.95*BiasLight,E103&lt;1.05*BiasLight),"",IF(AugerModel="Sinton",calclifetimeauger(Auger_Coefficient,I103,P103),calclifetimerichter(SampleType,I103,SampleDoping,P103)))</f>
        <v>38055.892180458</v>
      </c>
      <c r="T103" s="78" t="str">
        <f aca="false">IF($J103="","",S103)</f>
        <v/>
      </c>
      <c r="U103" s="131" t="n">
        <f aca="false">FitInterceptAuger+FitSlopeAuger*(I103+Traps)</f>
        <v>28343.0014973873</v>
      </c>
      <c r="V103" s="130" t="str">
        <f aca="false">IF(AugerModel="Sinton","",IF(SampleType="n-type",n_intr_boltzmann(SampleDoping,0,K103,Temperature+273.15),n_intr_boltzmann(0,SampleDoping,K103,Temperature+273.15)))</f>
        <v/>
      </c>
      <c r="W103" s="130" t="str">
        <f aca="false">IF(V103="","",IF(T103="","",(V103^2)*T103))</f>
        <v/>
      </c>
      <c r="X103" s="125" t="n">
        <f aca="false">IF(AND(A103&gt;TimeofMaxCD,I103&gt;Traps),IF(AugerModel="Sinton",calcimpliedv(SampleDoping,O103),calcimpliedvrichter(O103,SampleDoping,V103)),"")</f>
        <v>0.577705368325761</v>
      </c>
      <c r="Y103" s="132" t="e">
        <f aca="false">IF(OR(P103="",P103&lt;0,A103&lt;=TimeofMaxCD),"",(O103*Thickness*1.602E-019/(0.038*OptConst*P103)))</f>
        <v>#NAME?</v>
      </c>
      <c r="Z103" s="77" t="str">
        <f aca="false">IF(C103&gt;0.6,O103,"")</f>
        <v/>
      </c>
      <c r="AE103" s="130" t="e">
        <f aca="false">H103/(K103*AreaFrac*Thickness*1.602E-019)</f>
        <v>#NAME?</v>
      </c>
    </row>
    <row collapsed="false" customFormat="false" customHeight="false" hidden="false" ht="12.75" outlineLevel="0" r="104">
      <c r="A104" s="123" t="n">
        <v>0.0095499</v>
      </c>
      <c r="B104" s="123" t="n">
        <v>0.0191939</v>
      </c>
      <c r="C104" s="124" t="n">
        <v>0.00538145</v>
      </c>
      <c r="D104" s="125" t="n">
        <f aca="false">IF(CouplingMode="AC",B104-(A$11-A$10)*SUM(B$9:B104)/0.21,B104)</f>
        <v>0.0191939</v>
      </c>
      <c r="E104" s="126" t="n">
        <f aca="false">IF(C104&gt;0,C104/RefCellCal,0.00001)</f>
        <v>0.511351081299871</v>
      </c>
      <c r="F104" s="126" t="n">
        <f aca="false">E104-BiasLight</f>
        <v>0.511351081299871</v>
      </c>
      <c r="G104" s="127" t="n">
        <f aca="false">F104*0.038*OptConst/1.602E-019</f>
        <v>84905984785122100</v>
      </c>
      <c r="H104" s="128" t="e">
        <f aca="false">calcconductance(B104,Dark_Voltage,A_cal,B_cal,C_cal)</f>
        <v>#NAME?</v>
      </c>
      <c r="I104" s="127" t="n">
        <f aca="false">IF(MobilityModel=DK,calcdeltan(H104,SampleDoping,Thickness,AreaFrac),calcdeltandl(H104,AreaFrac,Thickness,SampleType,SampleDoping,Temperature))</f>
        <v>113806058023588</v>
      </c>
      <c r="J104" s="127" t="str">
        <f aca="false">IF(AND(AND(I104&gt;=FitRangeMin,I104&lt;=FitRangeMax),A104&gt;TimeofMaxCD),I104,"")</f>
        <v/>
      </c>
      <c r="K104" s="127" t="n">
        <f aca="false">IF(I104-BiasPtCD=0,0.00001,I104-BiasPtCD)</f>
        <v>113806058023588</v>
      </c>
      <c r="L104" s="129" t="n">
        <f aca="false">IF(ABS(SLOPE(K102:K106,A102:A106))&lt;1000000000000,-1000000000000,(SLOPE(K102:K106,A102:A106)))</f>
        <v>-82747331554248400</v>
      </c>
      <c r="M104" s="73" t="str">
        <f aca="false">IF(E104&gt;0.85*BiasLight,IF( E104&lt;1.15*BiasLight,E104,""),"")</f>
        <v/>
      </c>
      <c r="N104" s="73" t="str">
        <f aca="false">IF(E104&gt;0.85*BiasLight,IF(E104&lt;1.15*BiasLight,I104,""),"")</f>
        <v/>
      </c>
      <c r="O104" s="129" t="n">
        <f aca="false">I104-Traps</f>
        <v>113806058023588</v>
      </c>
      <c r="P104" s="127" t="e">
        <f aca="false">calclifetime(AnalysisMode,K104,Thickness,G104,L104)</f>
        <v>#NAME?</v>
      </c>
      <c r="Q104" s="129" t="str">
        <f aca="false">IF($J104="","",P104)</f>
        <v/>
      </c>
      <c r="R104" s="130" t="str">
        <f aca="false">IF(Q104="","",1/Q104)</f>
        <v/>
      </c>
      <c r="S104" s="131" t="n">
        <f aca="false">IF(AND(E104&gt;0.95*BiasLight,E104&lt;1.05*BiasLight),"",IF(AugerModel="Sinton",calclifetimeauger(Auger_Coefficient,I104,P104),calclifetimerichter(SampleType,I104,SampleDoping,P104)))</f>
        <v>38791.2819460606</v>
      </c>
      <c r="T104" s="78" t="str">
        <f aca="false">IF($J104="","",S104)</f>
        <v/>
      </c>
      <c r="U104" s="131" t="n">
        <f aca="false">FitInterceptAuger+FitSlopeAuger*(I104+Traps)</f>
        <v>28391.1401839492</v>
      </c>
      <c r="V104" s="130" t="str">
        <f aca="false">IF(AugerModel="Sinton","",IF(SampleType="n-type",n_intr_boltzmann(SampleDoping,0,K104,Temperature+273.15),n_intr_boltzmann(0,SampleDoping,K104,Temperature+273.15)))</f>
        <v/>
      </c>
      <c r="W104" s="130" t="str">
        <f aca="false">IF(V104="","",IF(T104="","",(V104^2)*T104))</f>
        <v/>
      </c>
      <c r="X104" s="125" t="n">
        <f aca="false">IF(AND(A104&gt;TimeofMaxCD,I104&gt;Traps),IF(AugerModel="Sinton",calcimpliedv(SampleDoping,O104),calcimpliedvrichter(O104,SampleDoping,V104)),"")</f>
        <v>0.575841719842809</v>
      </c>
      <c r="Y104" s="132" t="e">
        <f aca="false">IF(OR(P104="",P104&lt;0,A104&lt;=TimeofMaxCD),"",(O104*Thickness*1.602E-019/(0.038*OptConst*P104)))</f>
        <v>#NAME?</v>
      </c>
      <c r="Z104" s="77" t="str">
        <f aca="false">IF(C104&gt;0.6,O104,"")</f>
        <v/>
      </c>
      <c r="AE104" s="130" t="e">
        <f aca="false">H104/(K104*AreaFrac*Thickness*1.602E-019)</f>
        <v>#NAME?</v>
      </c>
    </row>
    <row collapsed="false" customFormat="false" customHeight="false" hidden="false" ht="12.75" outlineLevel="0" r="105">
      <c r="A105" s="123" t="n">
        <v>0.0096499</v>
      </c>
      <c r="B105" s="123" t="n">
        <v>0.0177437</v>
      </c>
      <c r="C105" s="124" t="n">
        <v>0.00508555</v>
      </c>
      <c r="D105" s="125" t="n">
        <f aca="false">IF(CouplingMode="AC",B105-(A$11-A$10)*SUM(B$9:B105)/0.21,B105)</f>
        <v>0.0177437</v>
      </c>
      <c r="E105" s="126" t="n">
        <f aca="false">IF(C105&gt;0,C105/RefCellCal,0.00001)</f>
        <v>0.483234349757883</v>
      </c>
      <c r="F105" s="126" t="n">
        <f aca="false">E105-BiasLight</f>
        <v>0.483234349757883</v>
      </c>
      <c r="G105" s="127" t="n">
        <f aca="false">F105*0.038*OptConst/1.602E-019</f>
        <v>80237413879898100</v>
      </c>
      <c r="H105" s="128" t="e">
        <f aca="false">calcconductance(B105,Dark_Voltage,A_cal,B_cal,C_cal)</f>
        <v>#NAME?</v>
      </c>
      <c r="I105" s="127" t="n">
        <f aca="false">IF(MobilityModel=DK,calcdeltan(H105,SampleDoping,Thickness,AreaFrac),calcdeltandl(H105,AreaFrac,Thickness,SampleType,SampleDoping,Temperature))</f>
        <v>105129014300300</v>
      </c>
      <c r="J105" s="127" t="str">
        <f aca="false">IF(AND(AND(I105&gt;=FitRangeMin,I105&lt;=FitRangeMax),A105&gt;TimeofMaxCD),I105,"")</f>
        <v/>
      </c>
      <c r="K105" s="127" t="n">
        <f aca="false">IF(I105-BiasPtCD=0,0.00001,I105-BiasPtCD)</f>
        <v>105129014300300</v>
      </c>
      <c r="L105" s="129" t="n">
        <f aca="false">IF(ABS(SLOPE(K103:K107,A103:A107))&lt;1000000000000,-1000000000000,(SLOPE(K103:K107,A103:A107)))</f>
        <v>-71850064175388900</v>
      </c>
      <c r="M105" s="73" t="str">
        <f aca="false">IF(E105&gt;0.85*BiasLight,IF( E105&lt;1.15*BiasLight,E105,""),"")</f>
        <v/>
      </c>
      <c r="N105" s="73" t="str">
        <f aca="false">IF(E105&gt;0.85*BiasLight,IF(E105&lt;1.15*BiasLight,I105,""),"")</f>
        <v/>
      </c>
      <c r="O105" s="129" t="n">
        <f aca="false">I105-Traps</f>
        <v>105129014300300</v>
      </c>
      <c r="P105" s="127" t="e">
        <f aca="false">calclifetime(AnalysisMode,K105,Thickness,G105,L105)</f>
        <v>#NAME?</v>
      </c>
      <c r="Q105" s="129" t="str">
        <f aca="false">IF($J105="","",P105)</f>
        <v/>
      </c>
      <c r="R105" s="130" t="str">
        <f aca="false">IF(Q105="","",1/Q105)</f>
        <v/>
      </c>
      <c r="S105" s="131" t="n">
        <f aca="false">IF(AND(E105&gt;0.95*BiasLight,E105&lt;1.05*BiasLight),"",IF(AugerModel="Sinton",calclifetimeauger(Auger_Coefficient,I105,P105),calclifetimerichter(SampleType,I105,SampleDoping,P105)))</f>
        <v>39623.6354851003</v>
      </c>
      <c r="T105" s="78" t="str">
        <f aca="false">IF($J105="","",S105)</f>
        <v/>
      </c>
      <c r="U105" s="131" t="n">
        <f aca="false">FitInterceptAuger+FitSlopeAuger*(I105+Traps)</f>
        <v>28441.6084566821</v>
      </c>
      <c r="V105" s="130" t="str">
        <f aca="false">IF(AugerModel="Sinton","",IF(SampleType="n-type",n_intr_boltzmann(SampleDoping,0,K105,Temperature+273.15),n_intr_boltzmann(0,SampleDoping,K105,Temperature+273.15)))</f>
        <v/>
      </c>
      <c r="W105" s="130" t="str">
        <f aca="false">IF(V105="","",IF(T105="","",(V105^2)*T105))</f>
        <v/>
      </c>
      <c r="X105" s="125" t="n">
        <f aca="false">IF(AND(A105&gt;TimeofMaxCD,I105&gt;Traps),IF(AugerModel="Sinton",calcimpliedv(SampleDoping,O105),calcimpliedvrichter(O105,SampleDoping,V105)),"")</f>
        <v>0.573741086732689</v>
      </c>
      <c r="Y105" s="132" t="e">
        <f aca="false">IF(OR(P105="",P105&lt;0,A105&lt;=TimeofMaxCD),"",(O105*Thickness*1.602E-019/(0.038*OptConst*P105)))</f>
        <v>#NAME?</v>
      </c>
      <c r="Z105" s="77" t="str">
        <f aca="false">IF(C105&gt;0.6,O105,"")</f>
        <v/>
      </c>
      <c r="AE105" s="130" t="e">
        <f aca="false">H105/(K105*AreaFrac*Thickness*1.602E-019)</f>
        <v>#NAME?</v>
      </c>
    </row>
    <row collapsed="false" customFormat="false" customHeight="false" hidden="false" ht="12.75" outlineLevel="0" r="106">
      <c r="A106" s="123" t="n">
        <v>0.0097499</v>
      </c>
      <c r="B106" s="123" t="n">
        <v>0.016938</v>
      </c>
      <c r="C106" s="124" t="n">
        <v>0.00481406</v>
      </c>
      <c r="D106" s="125" t="n">
        <f aca="false">IF(CouplingMode="AC",B106-(A$11-A$10)*SUM(B$9:B106)/0.21,B106)</f>
        <v>0.016938</v>
      </c>
      <c r="E106" s="126" t="n">
        <f aca="false">IF(C106&gt;0,C106/RefCellCal,0.00001)</f>
        <v>0.457437082281254</v>
      </c>
      <c r="F106" s="126" t="n">
        <f aca="false">E106-BiasLight</f>
        <v>0.457437082281254</v>
      </c>
      <c r="G106" s="127" t="n">
        <f aca="false">F106*0.038*OptConst/1.602E-019</f>
        <v>75953972463678900</v>
      </c>
      <c r="H106" s="128" t="e">
        <f aca="false">calcconductance(B106,Dark_Voltage,A_cal,B_cal,C_cal)</f>
        <v>#NAME?</v>
      </c>
      <c r="I106" s="127" t="n">
        <f aca="false">IF(MobilityModel=DK,calcdeltan(H106,SampleDoping,Thickness,AreaFrac),calcdeltandl(H106,AreaFrac,Thickness,SampleType,SampleDoping,Temperature))</f>
        <v>100312421108554</v>
      </c>
      <c r="J106" s="127" t="str">
        <f aca="false">IF(AND(AND(I106&gt;=FitRangeMin,I106&lt;=FitRangeMax),A106&gt;TimeofMaxCD),I106,"")</f>
        <v/>
      </c>
      <c r="K106" s="127" t="n">
        <f aca="false">IF(I106-BiasPtCD=0,0.00001,I106-BiasPtCD)</f>
        <v>100312421108554</v>
      </c>
      <c r="L106" s="129" t="n">
        <f aca="false">IF(ABS(SLOPE(K104:K108,A104:A108))&lt;1000000000000,-1000000000000,(SLOPE(K104:K108,A104:A108)))</f>
        <v>-70402258211527000</v>
      </c>
      <c r="M106" s="73" t="str">
        <f aca="false">IF(E106&gt;0.85*BiasLight,IF( E106&lt;1.15*BiasLight,E106,""),"")</f>
        <v/>
      </c>
      <c r="N106" s="73" t="str">
        <f aca="false">IF(E106&gt;0.85*BiasLight,IF(E106&lt;1.15*BiasLight,I106,""),"")</f>
        <v/>
      </c>
      <c r="O106" s="129" t="n">
        <f aca="false">I106-Traps</f>
        <v>100312421108554</v>
      </c>
      <c r="P106" s="127" t="e">
        <f aca="false">calclifetime(AnalysisMode,K106,Thickness,G106,L106)</f>
        <v>#NAME?</v>
      </c>
      <c r="Q106" s="129" t="str">
        <f aca="false">IF($J106="","",P106)</f>
        <v/>
      </c>
      <c r="R106" s="130" t="str">
        <f aca="false">IF(Q106="","",1/Q106)</f>
        <v/>
      </c>
      <c r="S106" s="131" t="n">
        <f aca="false">IF(AND(E106&gt;0.95*BiasLight,E106&lt;1.05*BiasLight),"",IF(AugerModel="Sinton",calclifetimeauger(Auger_Coefficient,I106,P106),calclifetimerichter(SampleType,I106,SampleDoping,P106)))</f>
        <v>39333.1475376596</v>
      </c>
      <c r="T106" s="78" t="str">
        <f aca="false">IF($J106="","",S106)</f>
        <v/>
      </c>
      <c r="U106" s="131" t="n">
        <f aca="false">FitInterceptAuger+FitSlopeAuger*(I106+Traps)</f>
        <v>28469.6231984071</v>
      </c>
      <c r="V106" s="130" t="str">
        <f aca="false">IF(AugerModel="Sinton","",IF(SampleType="n-type",n_intr_boltzmann(SampleDoping,0,K106,Temperature+273.15),n_intr_boltzmann(0,SampleDoping,K106,Temperature+273.15)))</f>
        <v/>
      </c>
      <c r="W106" s="130" t="str">
        <f aca="false">IF(V106="","",IF(T106="","",(V106^2)*T106))</f>
        <v/>
      </c>
      <c r="X106" s="125" t="n">
        <f aca="false">IF(AND(A106&gt;TimeofMaxCD,I106&gt;Traps),IF(AugerModel="Sinton",calcimpliedv(SampleDoping,O106),calcimpliedvrichter(O106,SampleDoping,V106)),"")</f>
        <v>0.572501094098604</v>
      </c>
      <c r="Y106" s="132" t="e">
        <f aca="false">IF(OR(P106="",P106&lt;0,A106&lt;=TimeofMaxCD),"",(O106*Thickness*1.602E-019/(0.038*OptConst*P106)))</f>
        <v>#NAME?</v>
      </c>
      <c r="Z106" s="77" t="str">
        <f aca="false">IF(C106&gt;0.6,O106,"")</f>
        <v/>
      </c>
      <c r="AE106" s="130" t="e">
        <f aca="false">H106/(K106*AreaFrac*Thickness*1.602E-019)</f>
        <v>#NAME?</v>
      </c>
    </row>
    <row collapsed="false" customFormat="false" customHeight="false" hidden="false" ht="12.75" outlineLevel="0" r="107">
      <c r="A107" s="123" t="n">
        <v>0.0098499</v>
      </c>
      <c r="B107" s="123" t="n">
        <v>0.0156978</v>
      </c>
      <c r="C107" s="124" t="n">
        <v>0.00456602</v>
      </c>
      <c r="D107" s="125" t="n">
        <f aca="false">IF(CouplingMode="AC",B107-(A$11-A$10)*SUM(B$9:B107)/0.21,B107)</f>
        <v>0.0156978</v>
      </c>
      <c r="E107" s="126" t="n">
        <f aca="false">IF(C107&gt;0,C107/RefCellCal,0.00001)</f>
        <v>0.433868058652749</v>
      </c>
      <c r="F107" s="126" t="n">
        <f aca="false">E107-BiasLight</f>
        <v>0.433868058652749</v>
      </c>
      <c r="G107" s="127" t="n">
        <f aca="false">F107*0.038*OptConst/1.602E-019</f>
        <v>72040514108384100</v>
      </c>
      <c r="H107" s="128" t="e">
        <f aca="false">calcconductance(B107,Dark_Voltage,A_cal,B_cal,C_cal)</f>
        <v>#NAME?</v>
      </c>
      <c r="I107" s="127" t="n">
        <f aca="false">IF(MobilityModel=DK,calcdeltan(H107,SampleDoping,Thickness,AreaFrac),calcdeltandl(H107,AreaFrac,Thickness,SampleType,SampleDoping,Temperature))</f>
        <v>92904360815706.8</v>
      </c>
      <c r="J107" s="127" t="str">
        <f aca="false">IF(AND(AND(I107&gt;=FitRangeMin,I107&lt;=FitRangeMax),A107&gt;TimeofMaxCD),I107,"")</f>
        <v/>
      </c>
      <c r="K107" s="127" t="n">
        <f aca="false">IF(I107-BiasPtCD=0,0.00001,I107-BiasPtCD)</f>
        <v>92904360815706.8</v>
      </c>
      <c r="L107" s="129" t="n">
        <f aca="false">IF(ABS(SLOPE(K105:K109,A105:A109))&lt;1000000000000,-1000000000000,(SLOPE(K105:K109,A105:A109)))</f>
        <v>-63638419305812900</v>
      </c>
      <c r="M107" s="73" t="str">
        <f aca="false">IF(E107&gt;0.85*BiasLight,IF( E107&lt;1.15*BiasLight,E107,""),"")</f>
        <v/>
      </c>
      <c r="N107" s="73" t="str">
        <f aca="false">IF(E107&gt;0.85*BiasLight,IF(E107&lt;1.15*BiasLight,I107,""),"")</f>
        <v/>
      </c>
      <c r="O107" s="129" t="n">
        <f aca="false">I107-Traps</f>
        <v>92904360815706.8</v>
      </c>
      <c r="P107" s="127" t="e">
        <f aca="false">calclifetime(AnalysisMode,K107,Thickness,G107,L107)</f>
        <v>#NAME?</v>
      </c>
      <c r="Q107" s="129" t="str">
        <f aca="false">IF($J107="","",P107)</f>
        <v/>
      </c>
      <c r="R107" s="130" t="str">
        <f aca="false">IF(Q107="","",1/Q107)</f>
        <v/>
      </c>
      <c r="S107" s="131" t="n">
        <f aca="false">IF(AND(E107&gt;0.95*BiasLight,E107&lt;1.05*BiasLight),"",IF(AugerModel="Sinton",calclifetimeauger(Auger_Coefficient,I107,P107),calclifetimerichter(SampleType,I107,SampleDoping,P107)))</f>
        <v>40247.5566212323</v>
      </c>
      <c r="T107" s="78" t="str">
        <f aca="false">IF($J107="","",S107)</f>
        <v/>
      </c>
      <c r="U107" s="131" t="n">
        <f aca="false">FitInterceptAuger+FitSlopeAuger*(I107+Traps)</f>
        <v>28512.7106852522</v>
      </c>
      <c r="V107" s="130" t="str">
        <f aca="false">IF(AugerModel="Sinton","",IF(SampleType="n-type",n_intr_boltzmann(SampleDoping,0,K107,Temperature+273.15),n_intr_boltzmann(0,SampleDoping,K107,Temperature+273.15)))</f>
        <v/>
      </c>
      <c r="W107" s="130" t="str">
        <f aca="false">IF(V107="","",IF(T107="","",(V107^2)*T107))</f>
        <v/>
      </c>
      <c r="X107" s="125" t="n">
        <f aca="false">IF(AND(A107&gt;TimeofMaxCD,I107&gt;Traps),IF(AugerModel="Sinton",calcimpliedv(SampleDoping,O107),calcimpliedvrichter(O107,SampleDoping,V107)),"")</f>
        <v>0.570476008576418</v>
      </c>
      <c r="Y107" s="132" t="e">
        <f aca="false">IF(OR(P107="",P107&lt;0,A107&lt;=TimeofMaxCD),"",(O107*Thickness*1.602E-019/(0.038*OptConst*P107)))</f>
        <v>#NAME?</v>
      </c>
      <c r="Z107" s="77" t="str">
        <f aca="false">IF(C107&gt;0.6,O107,"")</f>
        <v/>
      </c>
      <c r="AE107" s="130" t="e">
        <f aca="false">H107/(K107*AreaFrac*Thickness*1.602E-019)</f>
        <v>#NAME?</v>
      </c>
    </row>
    <row collapsed="false" customFormat="false" customHeight="false" hidden="false" ht="12.75" outlineLevel="0" r="108">
      <c r="A108" s="123" t="n">
        <v>0.0099499</v>
      </c>
      <c r="B108" s="123" t="n">
        <v>0.0143257</v>
      </c>
      <c r="C108" s="124" t="n">
        <v>0.00433067</v>
      </c>
      <c r="D108" s="125" t="n">
        <f aca="false">IF(CouplingMode="AC",B108-(A$11-A$10)*SUM(B$9:B108)/0.21,B108)</f>
        <v>0.0143257</v>
      </c>
      <c r="E108" s="126" t="n">
        <f aca="false">IF(C108&gt;0,C108/RefCellCal,0.00001)</f>
        <v>0.41150485227084</v>
      </c>
      <c r="F108" s="126" t="n">
        <f aca="false">E108-BiasLight</f>
        <v>0.41150485227084</v>
      </c>
      <c r="G108" s="127" t="n">
        <f aca="false">F108*0.038*OptConst/1.602E-019</f>
        <v>68327272599278000</v>
      </c>
      <c r="H108" s="128" t="e">
        <f aca="false">calcconductance(B108,Dark_Voltage,A_cal,B_cal,C_cal)</f>
        <v>#NAME?</v>
      </c>
      <c r="I108" s="127" t="n">
        <f aca="false">IF(MobilityModel=DK,calcdeltan(H108,SampleDoping,Thickness,AreaFrac),calcdeltandl(H108,AreaFrac,Thickness,SampleType,SampleDoping,Temperature))</f>
        <v>84717255660120.9</v>
      </c>
      <c r="J108" s="127" t="str">
        <f aca="false">IF(AND(AND(I108&gt;=FitRangeMin,I108&lt;=FitRangeMax),A108&gt;TimeofMaxCD),I108,"")</f>
        <v/>
      </c>
      <c r="K108" s="127" t="n">
        <f aca="false">IF(I108-BiasPtCD=0,0.00001,I108-BiasPtCD)</f>
        <v>84717255660120.9</v>
      </c>
      <c r="L108" s="129" t="n">
        <f aca="false">IF(ABS(SLOPE(K106:K110,A106:A110))&lt;1000000000000,-1000000000000,(SLOPE(K106:K110,A106:A110)))</f>
        <v>-65040893794153600</v>
      </c>
      <c r="M108" s="73" t="str">
        <f aca="false">IF(E108&gt;0.85*BiasLight,IF( E108&lt;1.15*BiasLight,E108,""),"")</f>
        <v/>
      </c>
      <c r="N108" s="73" t="str">
        <f aca="false">IF(E108&gt;0.85*BiasLight,IF(E108&lt;1.15*BiasLight,I108,""),"")</f>
        <v/>
      </c>
      <c r="O108" s="129" t="n">
        <f aca="false">I108-Traps</f>
        <v>84717255660120.9</v>
      </c>
      <c r="P108" s="127" t="e">
        <f aca="false">calclifetime(AnalysisMode,K108,Thickness,G108,L108)</f>
        <v>#NAME?</v>
      </c>
      <c r="Q108" s="129" t="str">
        <f aca="false">IF($J108="","",P108)</f>
        <v/>
      </c>
      <c r="R108" s="130" t="str">
        <f aca="false">IF(Q108="","",1/Q108)</f>
        <v/>
      </c>
      <c r="S108" s="131" t="n">
        <f aca="false">IF(AND(E108&gt;0.95*BiasLight,E108&lt;1.05*BiasLight),"",IF(AugerModel="Sinton",calclifetimeauger(Auger_Coefficient,I108,P108),calclifetimerichter(SampleType,I108,SampleDoping,P108)))</f>
        <v>41917.377912132</v>
      </c>
      <c r="T108" s="78" t="str">
        <f aca="false">IF($J108="","",S108)</f>
        <v/>
      </c>
      <c r="U108" s="131" t="n">
        <f aca="false">FitInterceptAuger+FitSlopeAuger*(I108+Traps)</f>
        <v>28560.3293292354</v>
      </c>
      <c r="V108" s="130" t="str">
        <f aca="false">IF(AugerModel="Sinton","",IF(SampleType="n-type",n_intr_boltzmann(SampleDoping,0,K108,Temperature+273.15),n_intr_boltzmann(0,SampleDoping,K108,Temperature+273.15)))</f>
        <v/>
      </c>
      <c r="W108" s="130" t="str">
        <f aca="false">IF(V108="","",IF(T108="","",(V108^2)*T108))</f>
        <v/>
      </c>
      <c r="X108" s="125" t="n">
        <f aca="false">IF(AND(A108&gt;TimeofMaxCD,I108&gt;Traps),IF(AugerModel="Sinton",calcimpliedv(SampleDoping,O108),calcimpliedvrichter(O108,SampleDoping,V108)),"")</f>
        <v>0.568046066883023</v>
      </c>
      <c r="Y108" s="132" t="e">
        <f aca="false">IF(OR(P108="",P108&lt;0,A108&lt;=TimeofMaxCD),"",(O108*Thickness*1.602E-019/(0.038*OptConst*P108)))</f>
        <v>#NAME?</v>
      </c>
      <c r="Z108" s="77" t="str">
        <f aca="false">IF(C108&gt;0.6,O108,"")</f>
        <v/>
      </c>
      <c r="AE108" s="130" t="e">
        <f aca="false">H108/(K108*AreaFrac*Thickness*1.602E-019)</f>
        <v>#NAME?</v>
      </c>
    </row>
    <row collapsed="false" customFormat="false" customHeight="false" hidden="false" ht="12.75" outlineLevel="0" r="109">
      <c r="A109" s="123" t="n">
        <v>0.0100499</v>
      </c>
      <c r="B109" s="123" t="n">
        <v>0.0137202</v>
      </c>
      <c r="C109" s="124" t="n">
        <v>0.00409727</v>
      </c>
      <c r="D109" s="125" t="n">
        <f aca="false">IF(CouplingMode="AC",B109-(A$11-A$10)*SUM(B$9:B109)/0.21,B109)</f>
        <v>0.0137202</v>
      </c>
      <c r="E109" s="126" t="n">
        <f aca="false">IF(C109&gt;0,C109/RefCellCal,0.00001)</f>
        <v>0.389326936955193</v>
      </c>
      <c r="F109" s="126" t="n">
        <f aca="false">E109-BiasLight</f>
        <v>0.389326936955193</v>
      </c>
      <c r="G109" s="127" t="n">
        <f aca="false">F109*0.038*OptConst/1.602E-019</f>
        <v>64644797272210500</v>
      </c>
      <c r="H109" s="128" t="e">
        <f aca="false">calcconductance(B109,Dark_Voltage,A_cal,B_cal,C_cal)</f>
        <v>#NAME?</v>
      </c>
      <c r="I109" s="127" t="n">
        <f aca="false">IF(MobilityModel=DK,calcdeltan(H109,SampleDoping,Thickness,AreaFrac),calcdeltandl(H109,AreaFrac,Thickness,SampleType,SampleDoping,Temperature))</f>
        <v>81107387371609.9</v>
      </c>
      <c r="J109" s="127" t="str">
        <f aca="false">IF(AND(AND(I109&gt;=FitRangeMin,I109&lt;=FitRangeMax),A109&gt;TimeofMaxCD),I109,"")</f>
        <v/>
      </c>
      <c r="K109" s="127" t="n">
        <f aca="false">IF(I109-BiasPtCD=0,0.00001,I109-BiasPtCD)</f>
        <v>81107387371609.9</v>
      </c>
      <c r="L109" s="129" t="n">
        <f aca="false">IF(ABS(SLOPE(K107:K111,A107:A111))&lt;1000000000000,-1000000000000,(SLOPE(K107:K111,A107:A111)))</f>
        <v>-55324600046583700</v>
      </c>
      <c r="M109" s="73" t="str">
        <f aca="false">IF(E109&gt;0.85*BiasLight,IF( E109&lt;1.15*BiasLight,E109,""),"")</f>
        <v/>
      </c>
      <c r="N109" s="73" t="str">
        <f aca="false">IF(E109&gt;0.85*BiasLight,IF(E109&lt;1.15*BiasLight,I109,""),"")</f>
        <v/>
      </c>
      <c r="O109" s="129" t="n">
        <f aca="false">I109-Traps</f>
        <v>81107387371609.9</v>
      </c>
      <c r="P109" s="127" t="e">
        <f aca="false">calclifetime(AnalysisMode,K109,Thickness,G109,L109)</f>
        <v>#NAME?</v>
      </c>
      <c r="Q109" s="129" t="str">
        <f aca="false">IF($J109="","",P109)</f>
        <v/>
      </c>
      <c r="R109" s="130" t="str">
        <f aca="false">IF(Q109="","",1/Q109)</f>
        <v/>
      </c>
      <c r="S109" s="131" t="n">
        <f aca="false">IF(AND(E109&gt;0.95*BiasLight,E109&lt;1.05*BiasLight),"",IF(AugerModel="Sinton",calclifetimeauger(Auger_Coefficient,I109,P109),calclifetimerichter(SampleType,I109,SampleDoping,P109)))</f>
        <v>41346.7597154372</v>
      </c>
      <c r="T109" s="78" t="str">
        <f aca="false">IF($J109="","",S109)</f>
        <v/>
      </c>
      <c r="U109" s="131" t="n">
        <f aca="false">FitInterceptAuger+FitSlopeAuger*(I109+Traps)</f>
        <v>28581.3253992247</v>
      </c>
      <c r="V109" s="130" t="str">
        <f aca="false">IF(AugerModel="Sinton","",IF(SampleType="n-type",n_intr_boltzmann(SampleDoping,0,K109,Temperature+273.15),n_intr_boltzmann(0,SampleDoping,K109,Temperature+273.15)))</f>
        <v/>
      </c>
      <c r="W109" s="130" t="str">
        <f aca="false">IF(V109="","",IF(T109="","",(V109^2)*T109))</f>
        <v/>
      </c>
      <c r="X109" s="125" t="n">
        <f aca="false">IF(AND(A109&gt;TimeofMaxCD,I109&gt;Traps),IF(AugerModel="Sinton",calcimpliedv(SampleDoping,O109),calcimpliedvrichter(O109,SampleDoping,V109)),"")</f>
        <v>0.566900886458206</v>
      </c>
      <c r="Y109" s="132" t="e">
        <f aca="false">IF(OR(P109="",P109&lt;0,A109&lt;=TimeofMaxCD),"",(O109*Thickness*1.602E-019/(0.038*OptConst*P109)))</f>
        <v>#NAME?</v>
      </c>
      <c r="Z109" s="77" t="str">
        <f aca="false">IF(C109&gt;0.6,O109,"")</f>
        <v/>
      </c>
      <c r="AE109" s="130" t="e">
        <f aca="false">H109/(K109*AreaFrac*Thickness*1.602E-019)</f>
        <v>#NAME?</v>
      </c>
    </row>
    <row collapsed="false" customFormat="false" customHeight="false" hidden="false" ht="12.75" outlineLevel="0" r="110">
      <c r="A110" s="123" t="n">
        <v>0.0101499</v>
      </c>
      <c r="B110" s="123" t="n">
        <v>0.0124751</v>
      </c>
      <c r="C110" s="124" t="n">
        <v>0.00388047</v>
      </c>
      <c r="D110" s="125" t="n">
        <f aca="false">IF(CouplingMode="AC",B110-(A$11-A$10)*SUM(B$9:B110)/0.21,B110)</f>
        <v>0.0124751</v>
      </c>
      <c r="E110" s="126" t="n">
        <f aca="false">IF(C110&gt;0,C110/RefCellCal,0.00001)</f>
        <v>0.368726371229261</v>
      </c>
      <c r="F110" s="126" t="n">
        <f aca="false">E110-BiasLight</f>
        <v>0.368726371229261</v>
      </c>
      <c r="G110" s="127" t="n">
        <f aca="false">F110*0.038*OptConst/1.602E-019</f>
        <v>61224228930701400</v>
      </c>
      <c r="H110" s="128" t="e">
        <f aca="false">calcconductance(B110,Dark_Voltage,A_cal,B_cal,C_cal)</f>
        <v>#NAME?</v>
      </c>
      <c r="I110" s="127" t="n">
        <f aca="false">IF(MobilityModel=DK,calcdeltan(H110,SampleDoping,Thickness,AreaFrac),calcdeltandl(H110,AreaFrac,Thickness,SampleType,SampleDoping,Temperature))</f>
        <v>73690460933525.9</v>
      </c>
      <c r="J110" s="127" t="str">
        <f aca="false">IF(AND(AND(I110&gt;=FitRangeMin,I110&lt;=FitRangeMax),A110&gt;TimeofMaxCD),I110,"")</f>
        <v/>
      </c>
      <c r="K110" s="127" t="n">
        <f aca="false">IF(I110-BiasPtCD=0,0.00001,I110-BiasPtCD)</f>
        <v>73690460933525.9</v>
      </c>
      <c r="L110" s="129" t="n">
        <f aca="false">IF(ABS(SLOPE(K108:K112,A108:A112))&lt;1000000000000,-1000000000000,(SLOPE(K108:K112,A108:A112)))</f>
        <v>-40367639485091300</v>
      </c>
      <c r="M110" s="73" t="str">
        <f aca="false">IF(E110&gt;0.85*BiasLight,IF( E110&lt;1.15*BiasLight,E110,""),"")</f>
        <v/>
      </c>
      <c r="N110" s="73" t="str">
        <f aca="false">IF(E110&gt;0.85*BiasLight,IF(E110&lt;1.15*BiasLight,I110,""),"")</f>
        <v/>
      </c>
      <c r="O110" s="129" t="n">
        <f aca="false">I110-Traps</f>
        <v>73690460933525.9</v>
      </c>
      <c r="P110" s="127" t="e">
        <f aca="false">calclifetime(AnalysisMode,K110,Thickness,G110,L110)</f>
        <v>#NAME?</v>
      </c>
      <c r="Q110" s="129" t="str">
        <f aca="false">IF($J110="","",P110)</f>
        <v/>
      </c>
      <c r="R110" s="130" t="str">
        <f aca="false">IF(Q110="","",1/Q110)</f>
        <v/>
      </c>
      <c r="S110" s="131" t="n">
        <f aca="false">IF(AND(E110&gt;0.95*BiasLight,E110&lt;1.05*BiasLight),"",IF(AugerModel="Sinton",calclifetimeauger(Auger_Coefficient,I110,P110),calclifetimerichter(SampleType,I110,SampleDoping,P110)))</f>
        <v>42937.0651867553</v>
      </c>
      <c r="T110" s="78" t="str">
        <f aca="false">IF($J110="","",S110)</f>
        <v/>
      </c>
      <c r="U110" s="131" t="n">
        <f aca="false">FitInterceptAuger+FitSlopeAuger*(I110+Traps)</f>
        <v>28624.4644542133</v>
      </c>
      <c r="V110" s="130" t="str">
        <f aca="false">IF(AugerModel="Sinton","",IF(SampleType="n-type",n_intr_boltzmann(SampleDoping,0,K110,Temperature+273.15),n_intr_boltzmann(0,SampleDoping,K110,Temperature+273.15)))</f>
        <v/>
      </c>
      <c r="W110" s="130" t="str">
        <f aca="false">IF(V110="","",IF(T110="","",(V110^2)*T110))</f>
        <v/>
      </c>
      <c r="X110" s="125" t="n">
        <f aca="false">IF(AND(A110&gt;TimeofMaxCD,I110&gt;Traps),IF(AugerModel="Sinton",calcimpliedv(SampleDoping,O110),calcimpliedvrichter(O110,SampleDoping,V110)),"")</f>
        <v>0.564382658814793</v>
      </c>
      <c r="Y110" s="132" t="e">
        <f aca="false">IF(OR(P110="",P110&lt;0,A110&lt;=TimeofMaxCD),"",(O110*Thickness*1.602E-019/(0.038*OptConst*P110)))</f>
        <v>#NAME?</v>
      </c>
      <c r="Z110" s="77" t="str">
        <f aca="false">IF(C110&gt;0.6,O110,"")</f>
        <v/>
      </c>
      <c r="AE110" s="130" t="e">
        <f aca="false">H110/(K110*AreaFrac*Thickness*1.602E-019)</f>
        <v>#NAME?</v>
      </c>
    </row>
    <row collapsed="false" customFormat="false" customHeight="false" hidden="false" ht="12.75" outlineLevel="0" r="111">
      <c r="A111" s="123" t="n">
        <v>0.0102499</v>
      </c>
      <c r="B111" s="123" t="n">
        <v>0.011982</v>
      </c>
      <c r="C111" s="124" t="n">
        <v>0.00368223</v>
      </c>
      <c r="D111" s="125" t="n">
        <f aca="false">IF(CouplingMode="AC",B111-(A$11-A$10)*SUM(B$9:B111)/0.21,B111)</f>
        <v>0.011982</v>
      </c>
      <c r="E111" s="126" t="n">
        <f aca="false">IF(C111&gt;0,C111/RefCellCal,0.00001)</f>
        <v>0.349889396369905</v>
      </c>
      <c r="F111" s="126" t="n">
        <f aca="false">E111-BiasLight</f>
        <v>0.349889396369905</v>
      </c>
      <c r="G111" s="127" t="n">
        <f aca="false">F111*0.038*OptConst/1.602E-019</f>
        <v>58096491532081600</v>
      </c>
      <c r="H111" s="128" t="e">
        <f aca="false">calcconductance(B111,Dark_Voltage,A_cal,B_cal,C_cal)</f>
        <v>#NAME?</v>
      </c>
      <c r="I111" s="127" t="n">
        <f aca="false">IF(MobilityModel=DK,calcdeltan(H111,SampleDoping,Thickness,AreaFrac),calcdeltandl(H111,AreaFrac,Thickness,SampleType,SampleDoping,Temperature))</f>
        <v>70755458155712.5</v>
      </c>
      <c r="J111" s="127" t="str">
        <f aca="false">IF(AND(AND(I111&gt;=FitRangeMin,I111&lt;=FitRangeMax),A111&gt;TimeofMaxCD),I111,"")</f>
        <v/>
      </c>
      <c r="K111" s="127" t="n">
        <f aca="false">IF(I111-BiasPtCD=0,0.00001,I111-BiasPtCD)</f>
        <v>70755458155712.5</v>
      </c>
      <c r="L111" s="129" t="n">
        <f aca="false">IF(ABS(SLOPE(K109:K113,A109:A113))&lt;1000000000000,-1000000000000,(SLOPE(K109:K113,A109:A113)))</f>
        <v>-37869552061374200</v>
      </c>
      <c r="M111" s="73" t="str">
        <f aca="false">IF(E111&gt;0.85*BiasLight,IF( E111&lt;1.15*BiasLight,E111,""),"")</f>
        <v/>
      </c>
      <c r="N111" s="73" t="str">
        <f aca="false">IF(E111&gt;0.85*BiasLight,IF(E111&lt;1.15*BiasLight,I111,""),"")</f>
        <v/>
      </c>
      <c r="O111" s="129" t="n">
        <f aca="false">I111-Traps</f>
        <v>70755458155712.5</v>
      </c>
      <c r="P111" s="127" t="e">
        <f aca="false">calclifetime(AnalysisMode,K111,Thickness,G111,L111)</f>
        <v>#NAME?</v>
      </c>
      <c r="Q111" s="129" t="str">
        <f aca="false">IF($J111="","",P111)</f>
        <v/>
      </c>
      <c r="R111" s="130" t="str">
        <f aca="false">IF(Q111="","",1/Q111)</f>
        <v/>
      </c>
      <c r="S111" s="131" t="n">
        <f aca="false">IF(AND(E111&gt;0.95*BiasLight,E111&lt;1.05*BiasLight),"",IF(AugerModel="Sinton",calclifetimeauger(Auger_Coefficient,I111,P111),calclifetimerichter(SampleType,I111,SampleDoping,P111)))</f>
        <v>42427.4784322789</v>
      </c>
      <c r="T111" s="78" t="str">
        <f aca="false">IF($J111="","",S111)</f>
        <v/>
      </c>
      <c r="U111" s="131" t="n">
        <f aca="false">FitInterceptAuger+FitSlopeAuger*(I111+Traps)</f>
        <v>28641.5353052297</v>
      </c>
      <c r="V111" s="130" t="str">
        <f aca="false">IF(AugerModel="Sinton","",IF(SampleType="n-type",n_intr_boltzmann(SampleDoping,0,K111,Temperature+273.15),n_intr_boltzmann(0,SampleDoping,K111,Temperature+273.15)))</f>
        <v/>
      </c>
      <c r="W111" s="130" t="str">
        <f aca="false">IF(V111="","",IF(T111="","",(V111^2)*T111))</f>
        <v/>
      </c>
      <c r="X111" s="125" t="n">
        <f aca="false">IF(AND(A111&gt;TimeofMaxCD,I111&gt;Traps),IF(AugerModel="Sinton",calcimpliedv(SampleDoping,O111),calcimpliedvrichter(O111,SampleDoping,V111)),"")</f>
        <v>0.56331690868121</v>
      </c>
      <c r="Y111" s="132" t="e">
        <f aca="false">IF(OR(P111="",P111&lt;0,A111&lt;=TimeofMaxCD),"",(O111*Thickness*1.602E-019/(0.038*OptConst*P111)))</f>
        <v>#NAME?</v>
      </c>
      <c r="Z111" s="77" t="str">
        <f aca="false">IF(C111&gt;0.6,O111,"")</f>
        <v/>
      </c>
      <c r="AE111" s="130" t="e">
        <f aca="false">H111/(K111*AreaFrac*Thickness*1.602E-019)</f>
        <v>#NAME?</v>
      </c>
    </row>
    <row collapsed="false" customFormat="false" customHeight="false" hidden="false" ht="12.75" outlineLevel="0" r="112">
      <c r="A112" s="123" t="n">
        <v>0.0103499</v>
      </c>
      <c r="B112" s="123" t="n">
        <v>0.0118062</v>
      </c>
      <c r="C112" s="124" t="n">
        <v>0.00348301</v>
      </c>
      <c r="D112" s="125" t="n">
        <f aca="false">IF(CouplingMode="AC",B112-(A$11-A$10)*SUM(B$9:B112)/0.21,B112)</f>
        <v>0.0118062</v>
      </c>
      <c r="E112" s="126" t="n">
        <f aca="false">IF(C112&gt;0,C112/RefCellCal,0.00001)</f>
        <v>0.330959300872119</v>
      </c>
      <c r="F112" s="126" t="n">
        <f aca="false">E112-BiasLight</f>
        <v>0.330959300872119</v>
      </c>
      <c r="G112" s="127" t="n">
        <f aca="false">F112*0.038*OptConst/1.602E-019</f>
        <v>54953292154796200</v>
      </c>
      <c r="H112" s="128" t="e">
        <f aca="false">calcconductance(B112,Dark_Voltage,A_cal,B_cal,C_cal)</f>
        <v>#NAME?</v>
      </c>
      <c r="I112" s="127" t="n">
        <f aca="false">IF(MobilityModel=DK,calcdeltan(H112,SampleDoping,Thickness,AreaFrac),calcdeltandl(H112,AreaFrac,Thickness,SampleType,SampleDoping,Temperature))</f>
        <v>69709400525524</v>
      </c>
      <c r="J112" s="127" t="str">
        <f aca="false">IF(AND(AND(I112&gt;=FitRangeMin,I112&lt;=FitRangeMax),A112&gt;TimeofMaxCD),I112,"")</f>
        <v/>
      </c>
      <c r="K112" s="127" t="n">
        <f aca="false">IF(I112-BiasPtCD=0,0.00001,I112-BiasPtCD)</f>
        <v>69709400525524</v>
      </c>
      <c r="L112" s="129" t="n">
        <f aca="false">IF(ABS(SLOPE(K110:K114,A110:A114))&lt;1000000000000,-1000000000000,(SLOPE(K110:K114,A110:A114)))</f>
        <v>-34873771950924200</v>
      </c>
      <c r="M112" s="73" t="str">
        <f aca="false">IF(E112&gt;0.85*BiasLight,IF( E112&lt;1.15*BiasLight,E112,""),"")</f>
        <v/>
      </c>
      <c r="N112" s="73" t="str">
        <f aca="false">IF(E112&gt;0.85*BiasLight,IF(E112&lt;1.15*BiasLight,I112,""),"")</f>
        <v/>
      </c>
      <c r="O112" s="129" t="n">
        <f aca="false">I112-Traps</f>
        <v>69709400525524</v>
      </c>
      <c r="P112" s="127" t="e">
        <f aca="false">calclifetime(AnalysisMode,K112,Thickness,G112,L112)</f>
        <v>#NAME?</v>
      </c>
      <c r="Q112" s="129" t="str">
        <f aca="false">IF($J112="","",P112)</f>
        <v/>
      </c>
      <c r="R112" s="130" t="str">
        <f aca="false">IF(Q112="","",1/Q112)</f>
        <v/>
      </c>
      <c r="S112" s="131" t="n">
        <f aca="false">IF(AND(E112&gt;0.95*BiasLight,E112&lt;1.05*BiasLight),"",IF(AugerModel="Sinton",calclifetimeauger(Auger_Coefficient,I112,P112),calclifetimerichter(SampleType,I112,SampleDoping,P112)))</f>
        <v>40720.6572411457</v>
      </c>
      <c r="T112" s="78" t="str">
        <f aca="false">IF($J112="","",S112)</f>
        <v/>
      </c>
      <c r="U112" s="131" t="n">
        <f aca="false">FitInterceptAuger+FitSlopeAuger*(I112+Traps)</f>
        <v>28647.6194882139</v>
      </c>
      <c r="V112" s="130" t="str">
        <f aca="false">IF(AugerModel="Sinton","",IF(SampleType="n-type",n_intr_boltzmann(SampleDoping,0,K112,Temperature+273.15),n_intr_boltzmann(0,SampleDoping,K112,Temperature+273.15)))</f>
        <v/>
      </c>
      <c r="W112" s="130" t="str">
        <f aca="false">IF(V112="","",IF(T112="","",(V112^2)*T112))</f>
        <v/>
      </c>
      <c r="X112" s="125" t="n">
        <f aca="false">IF(AND(A112&gt;TimeofMaxCD,I112&gt;Traps),IF(AugerModel="Sinton",calcimpliedv(SampleDoping,O112),calcimpliedvrichter(O112,SampleDoping,V112)),"")</f>
        <v>0.562926561158334</v>
      </c>
      <c r="Y112" s="132" t="e">
        <f aca="false">IF(OR(P112="",P112&lt;0,A112&lt;=TimeofMaxCD),"",(O112*Thickness*1.602E-019/(0.038*OptConst*P112)))</f>
        <v>#NAME?</v>
      </c>
      <c r="Z112" s="77" t="str">
        <f aca="false">IF(C112&gt;0.6,O112,"")</f>
        <v/>
      </c>
      <c r="AE112" s="130" t="e">
        <f aca="false">H112/(K112*AreaFrac*Thickness*1.602E-019)</f>
        <v>#NAME?</v>
      </c>
    </row>
    <row collapsed="false" customFormat="false" customHeight="false" hidden="false" ht="12.75" outlineLevel="0" r="113">
      <c r="A113" s="123" t="n">
        <v>0.0104499</v>
      </c>
      <c r="B113" s="123" t="n">
        <v>0.0108736</v>
      </c>
      <c r="C113" s="124" t="n">
        <v>0.00327988</v>
      </c>
      <c r="D113" s="125" t="n">
        <f aca="false">IF(CouplingMode="AC",B113-(A$11-A$10)*SUM(B$9:B113)/0.21,B113)</f>
        <v>0.0108736</v>
      </c>
      <c r="E113" s="126" t="n">
        <f aca="false">IF(C113&gt;0,C113/RefCellCal,0.00001)</f>
        <v>0.311657673031213</v>
      </c>
      <c r="F113" s="126" t="n">
        <f aca="false">E113-BiasLight</f>
        <v>0.311657673031213</v>
      </c>
      <c r="G113" s="127" t="n">
        <f aca="false">F113*0.038*OptConst/1.602E-019</f>
        <v>51748402638141500</v>
      </c>
      <c r="H113" s="128" t="e">
        <f aca="false">calcconductance(B113,Dark_Voltage,A_cal,B_cal,C_cal)</f>
        <v>#NAME?</v>
      </c>
      <c r="I113" s="127" t="n">
        <f aca="false">IF(MobilityModel=DK,calcdeltan(H113,SampleDoping,Thickness,AreaFrac),calcdeltandl(H113,AreaFrac,Thickness,SampleType,SampleDoping,Temperature))</f>
        <v>64163141544923.7</v>
      </c>
      <c r="J113" s="127" t="str">
        <f aca="false">IF(AND(AND(I113&gt;=FitRangeMin,I113&lt;=FitRangeMax),A113&gt;TimeofMaxCD),I113,"")</f>
        <v/>
      </c>
      <c r="K113" s="127" t="n">
        <f aca="false">IF(I113-BiasPtCD=0,0.00001,I113-BiasPtCD)</f>
        <v>64163141544923.7</v>
      </c>
      <c r="L113" s="129" t="n">
        <f aca="false">IF(ABS(SLOPE(K111:K115,A111:A115))&lt;1000000000000,-1000000000000,(SLOPE(K111:K115,A111:A115)))</f>
        <v>-38891931922191200</v>
      </c>
      <c r="M113" s="73" t="str">
        <f aca="false">IF(E113&gt;0.85*BiasLight,IF( E113&lt;1.15*BiasLight,E113,""),"")</f>
        <v/>
      </c>
      <c r="N113" s="73" t="str">
        <f aca="false">IF(E113&gt;0.85*BiasLight,IF(E113&lt;1.15*BiasLight,I113,""),"")</f>
        <v/>
      </c>
      <c r="O113" s="129" t="n">
        <f aca="false">I113-Traps</f>
        <v>64163141544923.7</v>
      </c>
      <c r="P113" s="127" t="e">
        <f aca="false">calclifetime(AnalysisMode,K113,Thickness,G113,L113)</f>
        <v>#NAME?</v>
      </c>
      <c r="Q113" s="129" t="str">
        <f aca="false">IF($J113="","",P113)</f>
        <v/>
      </c>
      <c r="R113" s="130" t="str">
        <f aca="false">IF(Q113="","",1/Q113)</f>
        <v/>
      </c>
      <c r="S113" s="131" t="n">
        <f aca="false">IF(AND(E113&gt;0.95*BiasLight,E113&lt;1.05*BiasLight),"",IF(AugerModel="Sinton",calclifetimeauger(Auger_Coefficient,I113,P113),calclifetimerichter(SampleType,I113,SampleDoping,P113)))</f>
        <v>41754.7528583226</v>
      </c>
      <c r="T113" s="78" t="str">
        <f aca="false">IF($J113="","",S113)</f>
        <v/>
      </c>
      <c r="U113" s="131" t="n">
        <f aca="false">FitInterceptAuger+FitSlopeAuger*(I113+Traps)</f>
        <v>28679.8781836644</v>
      </c>
      <c r="V113" s="130" t="str">
        <f aca="false">IF(AugerModel="Sinton","",IF(SampleType="n-type",n_intr_boltzmann(SampleDoping,0,K113,Temperature+273.15),n_intr_boltzmann(0,SampleDoping,K113,Temperature+273.15)))</f>
        <v/>
      </c>
      <c r="W113" s="130" t="str">
        <f aca="false">IF(V113="","",IF(T113="","",(V113^2)*T113))</f>
        <v/>
      </c>
      <c r="X113" s="125" t="n">
        <f aca="false">IF(AND(A113&gt;TimeofMaxCD,I113&gt;Traps),IF(AugerModel="Sinton",calcimpliedv(SampleDoping,O113),calcimpliedvrichter(O113,SampleDoping,V113)),"")</f>
        <v>0.560755793623277</v>
      </c>
      <c r="Y113" s="132" t="e">
        <f aca="false">IF(OR(P113="",P113&lt;0,A113&lt;=TimeofMaxCD),"",(O113*Thickness*1.602E-019/(0.038*OptConst*P113)))</f>
        <v>#NAME?</v>
      </c>
      <c r="Z113" s="77" t="str">
        <f aca="false">IF(C113&gt;0.6,O113,"")</f>
        <v/>
      </c>
      <c r="AE113" s="130" t="e">
        <f aca="false">H113/(K113*AreaFrac*Thickness*1.602E-019)</f>
        <v>#NAME?</v>
      </c>
    </row>
    <row collapsed="false" customFormat="false" customHeight="false" hidden="false" ht="12.75" outlineLevel="0" r="114">
      <c r="A114" s="123" t="n">
        <v>0.0105499</v>
      </c>
      <c r="B114" s="123" t="n">
        <v>0.0100972</v>
      </c>
      <c r="C114" s="124" t="n">
        <v>0.00309141</v>
      </c>
      <c r="D114" s="125" t="n">
        <f aca="false">IF(CouplingMode="AC",B114-(A$11-A$10)*SUM(B$9:B114)/0.21,B114)</f>
        <v>0.0100972</v>
      </c>
      <c r="E114" s="126" t="n">
        <f aca="false">IF(C114&gt;0,C114/RefCellCal,0.00001)</f>
        <v>0.293749053924357</v>
      </c>
      <c r="F114" s="126" t="n">
        <f aca="false">E114-BiasLight</f>
        <v>0.293749053924357</v>
      </c>
      <c r="G114" s="127" t="n">
        <f aca="false">F114*0.038*OptConst/1.602E-019</f>
        <v>48774811700299100</v>
      </c>
      <c r="H114" s="128" t="e">
        <f aca="false">calcconductance(B114,Dark_Voltage,A_cal,B_cal,C_cal)</f>
        <v>#NAME?</v>
      </c>
      <c r="I114" s="127" t="n">
        <f aca="false">IF(MobilityModel=DK,calcdeltan(H114,SampleDoping,Thickness,AreaFrac),calcdeltandl(H114,AreaFrac,Thickness,SampleType,SampleDoping,Temperature))</f>
        <v>59549733263458.2</v>
      </c>
      <c r="J114" s="127" t="str">
        <f aca="false">IF(AND(AND(I114&gt;=FitRangeMin,I114&lt;=FitRangeMax),A114&gt;TimeofMaxCD),I114,"")</f>
        <v/>
      </c>
      <c r="K114" s="127" t="n">
        <f aca="false">IF(I114-BiasPtCD=0,0.00001,I114-BiasPtCD)</f>
        <v>59549733263458.2</v>
      </c>
      <c r="L114" s="129" t="n">
        <f aca="false">IF(ABS(SLOPE(K112:K116,A112:A116))&lt;1000000000000,-1000000000000,(SLOPE(K112:K116,A112:A116)))</f>
        <v>-38992820473774200</v>
      </c>
      <c r="M114" s="73" t="str">
        <f aca="false">IF(E114&gt;0.85*BiasLight,IF( E114&lt;1.15*BiasLight,E114,""),"")</f>
        <v/>
      </c>
      <c r="N114" s="73" t="str">
        <f aca="false">IF(E114&gt;0.85*BiasLight,IF(E114&lt;1.15*BiasLight,I114,""),"")</f>
        <v/>
      </c>
      <c r="O114" s="129" t="n">
        <f aca="false">I114-Traps</f>
        <v>59549733263458.2</v>
      </c>
      <c r="P114" s="127" t="e">
        <f aca="false">calclifetime(AnalysisMode,K114,Thickness,G114,L114)</f>
        <v>#NAME?</v>
      </c>
      <c r="Q114" s="129" t="str">
        <f aca="false">IF($J114="","",P114)</f>
        <v/>
      </c>
      <c r="R114" s="130" t="str">
        <f aca="false">IF(Q114="","",1/Q114)</f>
        <v/>
      </c>
      <c r="S114" s="131" t="n">
        <f aca="false">IF(AND(E114&gt;0.95*BiasLight,E114&lt;1.05*BiasLight),"",IF(AugerModel="Sinton",calclifetimeauger(Auger_Coefficient,I114,P114),calclifetimerichter(SampleType,I114,SampleDoping,P114)))</f>
        <v>42443.5699783791</v>
      </c>
      <c r="T114" s="78" t="str">
        <f aca="false">IF($J114="","",S114)</f>
        <v/>
      </c>
      <c r="U114" s="131" t="n">
        <f aca="false">FitInterceptAuger+FitSlopeAuger*(I114+Traps)</f>
        <v>28706.7111413862</v>
      </c>
      <c r="V114" s="130" t="str">
        <f aca="false">IF(AugerModel="Sinton","",IF(SampleType="n-type",n_intr_boltzmann(SampleDoping,0,K114,Temperature+273.15),n_intr_boltzmann(0,SampleDoping,K114,Temperature+273.15)))</f>
        <v/>
      </c>
      <c r="W114" s="130" t="str">
        <f aca="false">IF(V114="","",IF(T114="","",(V114^2)*T114))</f>
        <v/>
      </c>
      <c r="X114" s="125" t="n">
        <f aca="false">IF(AND(A114&gt;TimeofMaxCD,I114&gt;Traps),IF(AugerModel="Sinton",calcimpliedv(SampleDoping,O114),calcimpliedvrichter(O114,SampleDoping,V114)),"")</f>
        <v>0.558804804635982</v>
      </c>
      <c r="Y114" s="132" t="e">
        <f aca="false">IF(OR(P114="",P114&lt;0,A114&lt;=TimeofMaxCD),"",(O114*Thickness*1.602E-019/(0.038*OptConst*P114)))</f>
        <v>#NAME?</v>
      </c>
      <c r="Z114" s="77" t="str">
        <f aca="false">IF(C114&gt;0.6,O114,"")</f>
        <v/>
      </c>
      <c r="AE114" s="130" t="e">
        <f aca="false">H114/(K114*AreaFrac*Thickness*1.602E-019)</f>
        <v>#NAME?</v>
      </c>
    </row>
    <row collapsed="false" customFormat="false" customHeight="false" hidden="false" ht="12.75" outlineLevel="0" r="115">
      <c r="A115" s="123" t="n">
        <v>0.0106499</v>
      </c>
      <c r="B115" s="123" t="n">
        <v>0.00956497</v>
      </c>
      <c r="C115" s="124" t="n">
        <v>0.00294785</v>
      </c>
      <c r="D115" s="125" t="n">
        <f aca="false">IF(CouplingMode="AC",B115-(A$11-A$10)*SUM(B$9:B115)/0.21,B115)</f>
        <v>0.00956497</v>
      </c>
      <c r="E115" s="126" t="n">
        <f aca="false">IF(C115&gt;0,C115/RefCellCal,0.00001)</f>
        <v>0.280107830605102</v>
      </c>
      <c r="F115" s="126" t="n">
        <f aca="false">E115-BiasLight</f>
        <v>0.280107830605102</v>
      </c>
      <c r="G115" s="127" t="n">
        <f aca="false">F115*0.038*OptConst/1.602E-019</f>
        <v>46509789601096800</v>
      </c>
      <c r="H115" s="128" t="e">
        <f aca="false">calcconductance(B115,Dark_Voltage,A_cal,B_cal,C_cal)</f>
        <v>#NAME?</v>
      </c>
      <c r="I115" s="127" t="n">
        <f aca="false">IF(MobilityModel=DK,calcdeltan(H115,SampleDoping,Thickness,AreaFrac),calcdeltandl(H115,AreaFrac,Thickness,SampleType,SampleDoping,Temperature))</f>
        <v>56389325825649.6</v>
      </c>
      <c r="J115" s="127" t="str">
        <f aca="false">IF(AND(AND(I115&gt;=FitRangeMin,I115&lt;=FitRangeMax),A115&gt;TimeofMaxCD),I115,"")</f>
        <v/>
      </c>
      <c r="K115" s="127" t="n">
        <f aca="false">IF(I115-BiasPtCD=0,0.00001,I115-BiasPtCD)</f>
        <v>56389325825649.6</v>
      </c>
      <c r="L115" s="129" t="n">
        <f aca="false">IF(ABS(SLOPE(K113:K117,A113:A117))&lt;1000000000000,-1000000000000,(SLOPE(K113:K117,A113:A117)))</f>
        <v>-42773115989738900</v>
      </c>
      <c r="M115" s="73" t="str">
        <f aca="false">IF(E115&gt;0.85*BiasLight,IF( E115&lt;1.15*BiasLight,E115,""),"")</f>
        <v/>
      </c>
      <c r="N115" s="73" t="str">
        <f aca="false">IF(E115&gt;0.85*BiasLight,IF(E115&lt;1.15*BiasLight,I115,""),"")</f>
        <v/>
      </c>
      <c r="O115" s="129" t="n">
        <f aca="false">I115-Traps</f>
        <v>56389325825649.6</v>
      </c>
      <c r="P115" s="127" t="e">
        <f aca="false">calclifetime(AnalysisMode,K115,Thickness,G115,L115)</f>
        <v>#NAME?</v>
      </c>
      <c r="Q115" s="129" t="str">
        <f aca="false">IF($J115="","",P115)</f>
        <v/>
      </c>
      <c r="R115" s="130" t="str">
        <f aca="false">IF(Q115="","",1/Q115)</f>
        <v/>
      </c>
      <c r="S115" s="131" t="n">
        <f aca="false">IF(AND(E115&gt;0.95*BiasLight,E115&lt;1.05*BiasLight),"",IF(AugerModel="Sinton",calclifetimeauger(Auger_Coefficient,I115,P115),calclifetimerichter(SampleType,I115,SampleDoping,P115)))</f>
        <v>42840.0452037559</v>
      </c>
      <c r="T115" s="78" t="str">
        <f aca="false">IF($J115="","",S115)</f>
        <v/>
      </c>
      <c r="U115" s="131" t="n">
        <f aca="false">FitInterceptAuger+FitSlopeAuger*(I115+Traps)</f>
        <v>28725.0930130934</v>
      </c>
      <c r="V115" s="130" t="str">
        <f aca="false">IF(AugerModel="Sinton","",IF(SampleType="n-type",n_intr_boltzmann(SampleDoping,0,K115,Temperature+273.15),n_intr_boltzmann(0,SampleDoping,K115,Temperature+273.15)))</f>
        <v/>
      </c>
      <c r="W115" s="130" t="str">
        <f aca="false">IF(V115="","",IF(T115="","",(V115^2)*T115))</f>
        <v/>
      </c>
      <c r="X115" s="125" t="n">
        <f aca="false">IF(AND(A115&gt;TimeofMaxCD,I115&gt;Traps),IF(AugerModel="Sinton",calcimpliedv(SampleDoping,O115),calcimpliedvrichter(O115,SampleDoping,V115)),"")</f>
        <v>0.557380509810953</v>
      </c>
      <c r="Y115" s="132" t="e">
        <f aca="false">IF(OR(P115="",P115&lt;0,A115&lt;=TimeofMaxCD),"",(O115*Thickness*1.602E-019/(0.038*OptConst*P115)))</f>
        <v>#NAME?</v>
      </c>
      <c r="Z115" s="77" t="str">
        <f aca="false">IF(C115&gt;0.6,O115,"")</f>
        <v/>
      </c>
      <c r="AE115" s="130" t="e">
        <f aca="false">H115/(K115*AreaFrac*Thickness*1.602E-019)</f>
        <v>#NAME?</v>
      </c>
    </row>
    <row collapsed="false" customFormat="false" customHeight="false" hidden="false" ht="12.75" outlineLevel="0" r="116">
      <c r="A116" s="123" t="n">
        <v>0.0107499</v>
      </c>
      <c r="B116" s="123" t="n">
        <v>0.00917923</v>
      </c>
      <c r="C116" s="124" t="n">
        <v>0.00275742</v>
      </c>
      <c r="D116" s="125" t="n">
        <f aca="false">IF(CouplingMode="AC",B116-(A$11-A$10)*SUM(B$9:B116)/0.21,B116)</f>
        <v>0.00917923</v>
      </c>
      <c r="E116" s="126" t="n">
        <f aca="false">IF(C116&gt;0,C116/RefCellCal,0.00001)</f>
        <v>0.262012970221388</v>
      </c>
      <c r="F116" s="126" t="n">
        <f aca="false">E116-BiasLight</f>
        <v>0.262012970221388</v>
      </c>
      <c r="G116" s="127" t="n">
        <f aca="false">F116*0.038*OptConst/1.602E-019</f>
        <v>43505274705923400</v>
      </c>
      <c r="H116" s="128" t="e">
        <f aca="false">calcconductance(B116,Dark_Voltage,A_cal,B_cal,C_cal)</f>
        <v>#NAME?</v>
      </c>
      <c r="I116" s="127" t="n">
        <f aca="false">IF(MobilityModel=DK,calcdeltan(H116,SampleDoping,Thickness,AreaFrac),calcdeltandl(H116,AreaFrac,Thickness,SampleType,SampleDoping,Temperature))</f>
        <v>54099898148273.9</v>
      </c>
      <c r="J116" s="127" t="str">
        <f aca="false">IF(AND(AND(I116&gt;=FitRangeMin,I116&lt;=FitRangeMax),A116&gt;TimeofMaxCD),I116,"")</f>
        <v/>
      </c>
      <c r="K116" s="127" t="n">
        <f aca="false">IF(I116-BiasPtCD=0,0.00001,I116-BiasPtCD)</f>
        <v>54099898148273.9</v>
      </c>
      <c r="L116" s="129" t="n">
        <f aca="false">IF(ABS(SLOPE(K114:K118,A114:A118))&lt;1000000000000,-1000000000000,(SLOPE(K114:K118,A114:A118)))</f>
        <v>-42107839866229400</v>
      </c>
      <c r="M116" s="73" t="str">
        <f aca="false">IF(E116&gt;0.85*BiasLight,IF( E116&lt;1.15*BiasLight,E116,""),"")</f>
        <v/>
      </c>
      <c r="N116" s="73" t="str">
        <f aca="false">IF(E116&gt;0.85*BiasLight,IF(E116&lt;1.15*BiasLight,I116,""),"")</f>
        <v/>
      </c>
      <c r="O116" s="129" t="n">
        <f aca="false">I116-Traps</f>
        <v>54099898148273.9</v>
      </c>
      <c r="P116" s="127" t="e">
        <f aca="false">calclifetime(AnalysisMode,K116,Thickness,G116,L116)</f>
        <v>#NAME?</v>
      </c>
      <c r="Q116" s="129" t="str">
        <f aca="false">IF($J116="","",P116)</f>
        <v/>
      </c>
      <c r="R116" s="130" t="str">
        <f aca="false">IF(Q116="","",1/Q116)</f>
        <v/>
      </c>
      <c r="S116" s="131" t="n">
        <f aca="false">IF(AND(E116&gt;0.95*BiasLight,E116&lt;1.05*BiasLight),"",IF(AugerModel="Sinton",calclifetimeauger(Auger_Coefficient,I116,P116),calclifetimerichter(SampleType,I116,SampleDoping,P116)))</f>
        <v>41807.1849890529</v>
      </c>
      <c r="T116" s="78" t="str">
        <f aca="false">IF($J116="","",S116)</f>
        <v/>
      </c>
      <c r="U116" s="131" t="n">
        <f aca="false">FitInterceptAuger+FitSlopeAuger*(I116+Traps)</f>
        <v>28738.4090068937</v>
      </c>
      <c r="V116" s="130" t="str">
        <f aca="false">IF(AugerModel="Sinton","",IF(SampleType="n-type",n_intr_boltzmann(SampleDoping,0,K116,Temperature+273.15),n_intr_boltzmann(0,SampleDoping,K116,Temperature+273.15)))</f>
        <v/>
      </c>
      <c r="W116" s="130" t="str">
        <f aca="false">IF(V116="","",IF(T116="","",(V116^2)*T116))</f>
        <v/>
      </c>
      <c r="X116" s="125" t="n">
        <f aca="false">IF(AND(A116&gt;TimeofMaxCD,I116&gt;Traps),IF(AugerModel="Sinton",calcimpliedv(SampleDoping,O116),calcimpliedvrichter(O116,SampleDoping,V116)),"")</f>
        <v>0.556298779192935</v>
      </c>
      <c r="Y116" s="132" t="e">
        <f aca="false">IF(OR(P116="",P116&lt;0,A116&lt;=TimeofMaxCD),"",(O116*Thickness*1.602E-019/(0.038*OptConst*P116)))</f>
        <v>#NAME?</v>
      </c>
      <c r="Z116" s="77" t="str">
        <f aca="false">IF(C116&gt;0.6,O116,"")</f>
        <v/>
      </c>
      <c r="AE116" s="130" t="e">
        <f aca="false">H116/(K116*AreaFrac*Thickness*1.602E-019)</f>
        <v>#NAME?</v>
      </c>
    </row>
    <row collapsed="false" customFormat="false" customHeight="false" hidden="false" ht="12.75" outlineLevel="0" r="117">
      <c r="A117" s="123" t="n">
        <v>0.0108499</v>
      </c>
      <c r="B117" s="123" t="n">
        <v>0.00772903</v>
      </c>
      <c r="C117" s="124" t="n">
        <v>0.00261875</v>
      </c>
      <c r="D117" s="125" t="n">
        <f aca="false">IF(CouplingMode="AC",B117-(A$11-A$10)*SUM(B$9:B117)/0.21,B117)</f>
        <v>0.00772903</v>
      </c>
      <c r="E117" s="126" t="n">
        <f aca="false">IF(C117&gt;0,C117/RefCellCal,0.00001)</f>
        <v>0.248836399883681</v>
      </c>
      <c r="F117" s="126" t="n">
        <f aca="false">E117-BiasLight</f>
        <v>0.248836399883681</v>
      </c>
      <c r="G117" s="127" t="n">
        <f aca="false">F117*0.038*OptConst/1.602E-019</f>
        <v>41317404724756100</v>
      </c>
      <c r="H117" s="128" t="e">
        <f aca="false">calcconductance(B117,Dark_Voltage,A_cal,B_cal,C_cal)</f>
        <v>#NAME?</v>
      </c>
      <c r="I117" s="127" t="n">
        <f aca="false">IF(MobilityModel=DK,calcdeltan(H117,SampleDoping,Thickness,AreaFrac),calcdeltandl(H117,AreaFrac,Thickness,SampleType,SampleDoping,Temperature))</f>
        <v>45501501107646.4</v>
      </c>
      <c r="J117" s="127" t="str">
        <f aca="false">IF(AND(AND(I117&gt;=FitRangeMin,I117&lt;=FitRangeMax),A117&gt;TimeofMaxCD),I117,"")</f>
        <v/>
      </c>
      <c r="K117" s="127" t="n">
        <f aca="false">IF(I117-BiasPtCD=0,0.00001,I117-BiasPtCD)</f>
        <v>45501501107646.4</v>
      </c>
      <c r="L117" s="129" t="n">
        <f aca="false">IF(ABS(SLOPE(K115:K119,A115:A119))&lt;1000000000000,-1000000000000,(SLOPE(K115:K119,A115:A119)))</f>
        <v>-39338222050848700</v>
      </c>
      <c r="M117" s="73" t="str">
        <f aca="false">IF(E117&gt;0.85*BiasLight,IF( E117&lt;1.15*BiasLight,E117,""),"")</f>
        <v/>
      </c>
      <c r="N117" s="73" t="str">
        <f aca="false">IF(E117&gt;0.85*BiasLight,IF(E117&lt;1.15*BiasLight,I117,""),"")</f>
        <v/>
      </c>
      <c r="O117" s="129" t="n">
        <f aca="false">I117-Traps</f>
        <v>45501501107646.4</v>
      </c>
      <c r="P117" s="127" t="e">
        <f aca="false">calclifetime(AnalysisMode,K117,Thickness,G117,L117)</f>
        <v>#NAME?</v>
      </c>
      <c r="Q117" s="129" t="str">
        <f aca="false">IF($J117="","",P117)</f>
        <v/>
      </c>
      <c r="R117" s="130" t="str">
        <f aca="false">IF(Q117="","",1/Q117)</f>
        <v/>
      </c>
      <c r="S117" s="131" t="n">
        <f aca="false">IF(AND(E117&gt;0.95*BiasLight,E117&lt;1.05*BiasLight),"",IF(AugerModel="Sinton",calclifetimeauger(Auger_Coefficient,I117,P117),calclifetimerichter(SampleType,I117,SampleDoping,P117)))</f>
        <v>47193.3643220489</v>
      </c>
      <c r="T117" s="78" t="str">
        <f aca="false">IF($J117="","",S117)</f>
        <v/>
      </c>
      <c r="U117" s="131" t="n">
        <f aca="false">FitInterceptAuger+FitSlopeAuger*(I117+Traps)</f>
        <v>28788.4198470774</v>
      </c>
      <c r="V117" s="130" t="str">
        <f aca="false">IF(AugerModel="Sinton","",IF(SampleType="n-type",n_intr_boltzmann(SampleDoping,0,K117,Temperature+273.15),n_intr_boltzmann(0,SampleDoping,K117,Temperature+273.15)))</f>
        <v/>
      </c>
      <c r="W117" s="130" t="str">
        <f aca="false">IF(V117="","",IF(T117="","",(V117^2)*T117))</f>
        <v/>
      </c>
      <c r="X117" s="125" t="n">
        <f aca="false">IF(AND(A117&gt;TimeofMaxCD,I117&gt;Traps),IF(AugerModel="Sinton",calcimpliedv(SampleDoping,O117),calcimpliedvrichter(O117,SampleDoping,V117)),"")</f>
        <v>0.551788444342218</v>
      </c>
      <c r="Y117" s="132" t="e">
        <f aca="false">IF(OR(P117="",P117&lt;0,A117&lt;=TimeofMaxCD),"",(O117*Thickness*1.602E-019/(0.038*OptConst*P117)))</f>
        <v>#NAME?</v>
      </c>
      <c r="Z117" s="77" t="str">
        <f aca="false">IF(C117&gt;0.6,O117,"")</f>
        <v/>
      </c>
      <c r="AE117" s="130" t="e">
        <f aca="false">H117/(K117*AreaFrac*Thickness*1.602E-019)</f>
        <v>#NAME?</v>
      </c>
    </row>
    <row collapsed="false" customFormat="false" customHeight="false" hidden="false" ht="12.75" outlineLevel="0" r="118">
      <c r="A118" s="123" t="n">
        <v>0.0109499</v>
      </c>
      <c r="B118" s="123" t="n">
        <v>0.00746536</v>
      </c>
      <c r="C118" s="124" t="n">
        <v>0.0024752</v>
      </c>
      <c r="D118" s="125" t="n">
        <f aca="false">IF(CouplingMode="AC",B118-(A$11-A$10)*SUM(B$9:B118)/0.21,B118)</f>
        <v>0.00746536</v>
      </c>
      <c r="E118" s="126" t="n">
        <f aca="false">IF(C118&gt;0,C118/RefCellCal,0.00001)</f>
        <v>0.235196126775022</v>
      </c>
      <c r="F118" s="126" t="n">
        <f aca="false">E118-BiasLight</f>
        <v>0.235196126775022</v>
      </c>
      <c r="G118" s="127" t="n">
        <f aca="false">F118*0.038*OptConst/1.602E-019</f>
        <v>39052540400846300</v>
      </c>
      <c r="H118" s="128" t="e">
        <f aca="false">calcconductance(B118,Dark_Voltage,A_cal,B_cal,C_cal)</f>
        <v>#NAME?</v>
      </c>
      <c r="I118" s="127" t="n">
        <f aca="false">IF(MobilityModel=DK,calcdeltan(H118,SampleDoping,Thickness,AreaFrac),calcdeltandl(H118,AreaFrac,Thickness,SampleType,SampleDoping,Temperature))</f>
        <v>43939725689345.2</v>
      </c>
      <c r="J118" s="127" t="str">
        <f aca="false">IF(AND(AND(I118&gt;=FitRangeMin,I118&lt;=FitRangeMax),A118&gt;TimeofMaxCD),I118,"")</f>
        <v/>
      </c>
      <c r="K118" s="127" t="n">
        <f aca="false">IF(I118-BiasPtCD=0,0.00001,I118-BiasPtCD)</f>
        <v>43939725689345.2</v>
      </c>
      <c r="L118" s="129" t="n">
        <f aca="false">IF(ABS(SLOPE(K116:K120,A116:A120))&lt;1000000000000,-1000000000000,(SLOPE(K116:K120,A116:A120)))</f>
        <v>-29861159801824400</v>
      </c>
      <c r="M118" s="73" t="str">
        <f aca="false">IF(E118&gt;0.85*BiasLight,IF( E118&lt;1.15*BiasLight,E118,""),"")</f>
        <v/>
      </c>
      <c r="N118" s="73" t="str">
        <f aca="false">IF(E118&gt;0.85*BiasLight,IF(E118&lt;1.15*BiasLight,I118,""),"")</f>
        <v/>
      </c>
      <c r="O118" s="129" t="n">
        <f aca="false">I118-Traps</f>
        <v>43939725689345.2</v>
      </c>
      <c r="P118" s="127" t="e">
        <f aca="false">calclifetime(AnalysisMode,K118,Thickness,G118,L118)</f>
        <v>#NAME?</v>
      </c>
      <c r="Q118" s="129" t="str">
        <f aca="false">IF($J118="","",P118)</f>
        <v/>
      </c>
      <c r="R118" s="130" t="str">
        <f aca="false">IF(Q118="","",1/Q118)</f>
        <v/>
      </c>
      <c r="S118" s="131" t="n">
        <f aca="false">IF(AND(E118&gt;0.95*BiasLight,E118&lt;1.05*BiasLight),"",IF(AugerModel="Sinton",calclifetimeauger(Auger_Coefficient,I118,P118),calclifetimerichter(SampleType,I118,SampleDoping,P118)))</f>
        <v>46025.2661643422</v>
      </c>
      <c r="T118" s="78" t="str">
        <f aca="false">IF($J118="","",S118)</f>
        <v/>
      </c>
      <c r="U118" s="131" t="n">
        <f aca="false">FitInterceptAuger+FitSlopeAuger*(I118+Traps)</f>
        <v>28797.5035984416</v>
      </c>
      <c r="V118" s="130" t="str">
        <f aca="false">IF(AugerModel="Sinton","",IF(SampleType="n-type",n_intr_boltzmann(SampleDoping,0,K118,Temperature+273.15),n_intr_boltzmann(0,SampleDoping,K118,Temperature+273.15)))</f>
        <v/>
      </c>
      <c r="W118" s="130" t="str">
        <f aca="false">IF(V118="","",IF(T118="","",(V118^2)*T118))</f>
        <v/>
      </c>
      <c r="X118" s="125" t="n">
        <f aca="false">IF(AND(A118&gt;TimeofMaxCD,I118&gt;Traps),IF(AugerModel="Sinton",calcimpliedv(SampleDoping,O118),calcimpliedvrichter(O118,SampleDoping,V118)),"")</f>
        <v>0.550879590088872</v>
      </c>
      <c r="Y118" s="132" t="e">
        <f aca="false">IF(OR(P118="",P118&lt;0,A118&lt;=TimeofMaxCD),"",(O118*Thickness*1.602E-019/(0.038*OptConst*P118)))</f>
        <v>#NAME?</v>
      </c>
      <c r="Z118" s="77" t="str">
        <f aca="false">IF(C118&gt;0.6,O118,"")</f>
        <v/>
      </c>
      <c r="AE118" s="130" t="e">
        <f aca="false">H118/(K118*AreaFrac*Thickness*1.602E-019)</f>
        <v>#NAME?</v>
      </c>
    </row>
    <row collapsed="false" customFormat="false" customHeight="false" hidden="false" ht="12.75" outlineLevel="0" r="119">
      <c r="A119" s="123" t="n">
        <v>0.0110499</v>
      </c>
      <c r="B119" s="123" t="n">
        <v>0.00710403</v>
      </c>
      <c r="C119" s="124" t="n">
        <v>0.00230918</v>
      </c>
      <c r="D119" s="125" t="n">
        <f aca="false">IF(CouplingMode="AC",B119-(A$11-A$10)*SUM(B$9:B119)/0.21,B119)</f>
        <v>0.00710403</v>
      </c>
      <c r="E119" s="126" t="n">
        <f aca="false">IF(C119&gt;0,C119/RefCellCal,0.00001)</f>
        <v>0.219420730456668</v>
      </c>
      <c r="F119" s="126" t="n">
        <f aca="false">E119-BiasLight</f>
        <v>0.219420730456668</v>
      </c>
      <c r="G119" s="127" t="n">
        <f aca="false">F119*0.038*OptConst/1.602E-019</f>
        <v>36433154994677700</v>
      </c>
      <c r="H119" s="128" t="e">
        <f aca="false">calcconductance(B119,Dark_Voltage,A_cal,B_cal,C_cal)</f>
        <v>#NAME?</v>
      </c>
      <c r="I119" s="127" t="n">
        <f aca="false">IF(MobilityModel=DK,calcdeltan(H119,SampleDoping,Thickness,AreaFrac),calcdeltandl(H119,AreaFrac,Thickness,SampleType,SampleDoping,Temperature))</f>
        <v>41800301029689.8</v>
      </c>
      <c r="J119" s="127" t="str">
        <f aca="false">IF(AND(AND(I119&gt;=FitRangeMin,I119&lt;=FitRangeMax),A119&gt;TimeofMaxCD),I119,"")</f>
        <v/>
      </c>
      <c r="K119" s="127" t="n">
        <f aca="false">IF(I119-BiasPtCD=0,0.00001,I119-BiasPtCD)</f>
        <v>41800301029689.8</v>
      </c>
      <c r="L119" s="129" t="n">
        <f aca="false">IF(ABS(SLOPE(K117:K121,A117:A121))&lt;1000000000000,-1000000000000,(SLOPE(K117:K121,A117:A121)))</f>
        <v>-17776579650934200</v>
      </c>
      <c r="M119" s="73" t="str">
        <f aca="false">IF(E119&gt;0.85*BiasLight,IF( E119&lt;1.15*BiasLight,E119,""),"")</f>
        <v/>
      </c>
      <c r="N119" s="73" t="str">
        <f aca="false">IF(E119&gt;0.85*BiasLight,IF(E119&lt;1.15*BiasLight,I119,""),"")</f>
        <v/>
      </c>
      <c r="O119" s="129" t="n">
        <f aca="false">I119-Traps</f>
        <v>41800301029689.8</v>
      </c>
      <c r="P119" s="127" t="e">
        <f aca="false">calclifetime(AnalysisMode,K119,Thickness,G119,L119)</f>
        <v>#NAME?</v>
      </c>
      <c r="Q119" s="129" t="str">
        <f aca="false">IF($J119="","",P119)</f>
        <v/>
      </c>
      <c r="R119" s="130" t="str">
        <f aca="false">IF(Q119="","",1/Q119)</f>
        <v/>
      </c>
      <c r="S119" s="131" t="n">
        <f aca="false">IF(AND(E119&gt;0.95*BiasLight,E119&lt;1.05*BiasLight),"",IF(AugerModel="Sinton",calclifetimeauger(Auger_Coefficient,I119,P119),calclifetimerichter(SampleType,I119,SampleDoping,P119)))</f>
        <v>44894.674217343</v>
      </c>
      <c r="T119" s="78" t="str">
        <f aca="false">IF($J119="","",S119)</f>
        <v/>
      </c>
      <c r="U119" s="131" t="n">
        <f aca="false">FitInterceptAuger+FitSlopeAuger*(I119+Traps)</f>
        <v>28809.9471299781</v>
      </c>
      <c r="V119" s="130" t="str">
        <f aca="false">IF(AugerModel="Sinton","",IF(SampleType="n-type",n_intr_boltzmann(SampleDoping,0,K119,Temperature+273.15),n_intr_boltzmann(0,SampleDoping,K119,Temperature+273.15)))</f>
        <v/>
      </c>
      <c r="W119" s="130" t="str">
        <f aca="false">IF(V119="","",IF(T119="","",(V119^2)*T119))</f>
        <v/>
      </c>
      <c r="X119" s="125" t="n">
        <f aca="false">IF(AND(A119&gt;TimeofMaxCD,I119&gt;Traps),IF(AugerModel="Sinton",calcimpliedv(SampleDoping,O119),calcimpliedvrichter(O119,SampleDoping,V119)),"")</f>
        <v>0.549581377577428</v>
      </c>
      <c r="Y119" s="132" t="e">
        <f aca="false">IF(OR(P119="",P119&lt;0,A119&lt;=TimeofMaxCD),"",(O119*Thickness*1.602E-019/(0.038*OptConst*P119)))</f>
        <v>#NAME?</v>
      </c>
      <c r="Z119" s="77" t="str">
        <f aca="false">IF(C119&gt;0.6,O119,"")</f>
        <v/>
      </c>
      <c r="AE119" s="130" t="e">
        <f aca="false">H119/(K119*AreaFrac*Thickness*1.602E-019)</f>
        <v>#NAME?</v>
      </c>
    </row>
    <row collapsed="false" customFormat="false" customHeight="false" hidden="false" ht="12.75" outlineLevel="0" r="120">
      <c r="A120" s="123" t="n">
        <v>0.0111499</v>
      </c>
      <c r="B120" s="123" t="n">
        <v>0.00697219</v>
      </c>
      <c r="C120" s="124" t="n">
        <v>0.00218125</v>
      </c>
      <c r="D120" s="125" t="n">
        <f aca="false">IF(CouplingMode="AC",B120-(A$11-A$10)*SUM(B$9:B120)/0.21,B120)</f>
        <v>0.00697219</v>
      </c>
      <c r="E120" s="126" t="n">
        <f aca="false">IF(C120&gt;0,C120/RefCellCal,0.00001)</f>
        <v>0.207264686299295</v>
      </c>
      <c r="F120" s="126" t="n">
        <f aca="false">E120-BiasLight</f>
        <v>0.207264686299295</v>
      </c>
      <c r="G120" s="127" t="n">
        <f aca="false">F120*0.038*OptConst/1.602E-019</f>
        <v>34414735677660800</v>
      </c>
      <c r="H120" s="128" t="e">
        <f aca="false">calcconductance(B120,Dark_Voltage,A_cal,B_cal,C_cal)</f>
        <v>#NAME?</v>
      </c>
      <c r="I120" s="127" t="n">
        <f aca="false">IF(MobilityModel=DK,calcdeltan(H120,SampleDoping,Thickness,AreaFrac),calcdeltandl(H120,AreaFrac,Thickness,SampleType,SampleDoping,Temperature))</f>
        <v>41019918286339.9</v>
      </c>
      <c r="J120" s="127" t="str">
        <f aca="false">IF(AND(AND(I120&gt;=FitRangeMin,I120&lt;=FitRangeMax),A120&gt;TimeofMaxCD),I120,"")</f>
        <v/>
      </c>
      <c r="K120" s="127" t="n">
        <f aca="false">IF(I120-BiasPtCD=0,0.00001,I120-BiasPtCD)</f>
        <v>41019918286339.9</v>
      </c>
      <c r="L120" s="129" t="n">
        <f aca="false">IF(ABS(SLOPE(K118:K122,A118:A122))&lt;1000000000000,-1000000000000,(SLOPE(K118:K122,A118:A122)))</f>
        <v>-24986188250041600</v>
      </c>
      <c r="M120" s="73" t="str">
        <f aca="false">IF(E120&gt;0.85*BiasLight,IF( E120&lt;1.15*BiasLight,E120,""),"")</f>
        <v/>
      </c>
      <c r="N120" s="73" t="str">
        <f aca="false">IF(E120&gt;0.85*BiasLight,IF(E120&lt;1.15*BiasLight,I120,""),"")</f>
        <v/>
      </c>
      <c r="O120" s="129" t="n">
        <f aca="false">I120-Traps</f>
        <v>41019918286339.9</v>
      </c>
      <c r="P120" s="127" t="e">
        <f aca="false">calclifetime(AnalysisMode,K120,Thickness,G120,L120)</f>
        <v>#NAME?</v>
      </c>
      <c r="Q120" s="129" t="str">
        <f aca="false">IF($J120="","",P120)</f>
        <v/>
      </c>
      <c r="R120" s="130" t="str">
        <f aca="false">IF(Q120="","",1/Q120)</f>
        <v/>
      </c>
      <c r="S120" s="131" t="n">
        <f aca="false">IF(AND(E120&gt;0.95*BiasLight,E120&lt;1.05*BiasLight),"",IF(AugerModel="Sinton",calclifetimeauger(Auger_Coefficient,I120,P120),calclifetimerichter(SampleType,I120,SampleDoping,P120)))</f>
        <v>43414.0293100617</v>
      </c>
      <c r="T120" s="78" t="str">
        <f aca="false">IF($J120="","",S120)</f>
        <v/>
      </c>
      <c r="U120" s="131" t="n">
        <f aca="false">FitInterceptAuger+FitSlopeAuger*(I120+Traps)</f>
        <v>28814.4860686286</v>
      </c>
      <c r="V120" s="130" t="str">
        <f aca="false">IF(AugerModel="Sinton","",IF(SampleType="n-type",n_intr_boltzmann(SampleDoping,0,K120,Temperature+273.15),n_intr_boltzmann(0,SampleDoping,K120,Temperature+273.15)))</f>
        <v/>
      </c>
      <c r="W120" s="130" t="str">
        <f aca="false">IF(V120="","",IF(T120="","",(V120^2)*T120))</f>
        <v/>
      </c>
      <c r="X120" s="125" t="n">
        <f aca="false">IF(AND(A120&gt;TimeofMaxCD,I120&gt;Traps),IF(AugerModel="Sinton",calcimpliedv(SampleDoping,O120),calcimpliedvrichter(O120,SampleDoping,V120)),"")</f>
        <v>0.549091431348798</v>
      </c>
      <c r="Y120" s="132" t="e">
        <f aca="false">IF(OR(P120="",P120&lt;0,A120&lt;=TimeofMaxCD),"",(O120*Thickness*1.602E-019/(0.038*OptConst*P120)))</f>
        <v>#NAME?</v>
      </c>
      <c r="Z120" s="77" t="str">
        <f aca="false">IF(C120&gt;0.6,O120,"")</f>
        <v/>
      </c>
      <c r="AE120" s="130" t="e">
        <f aca="false">H120/(K120*AreaFrac*Thickness*1.602E-019)</f>
        <v>#NAME?</v>
      </c>
    </row>
    <row collapsed="false" customFormat="false" customHeight="false" hidden="false" ht="12.75" outlineLevel="0" r="121">
      <c r="A121" s="123" t="n">
        <v>0.0112499</v>
      </c>
      <c r="B121" s="123" t="n">
        <v>0.00647415</v>
      </c>
      <c r="C121" s="124" t="n">
        <v>0.00206699</v>
      </c>
      <c r="D121" s="125" t="n">
        <f aca="false">IF(CouplingMode="AC",B121-(A$11-A$10)*SUM(B$9:B121)/0.21,B121)</f>
        <v>0.00647415</v>
      </c>
      <c r="E121" s="126" t="n">
        <f aca="false">IF(C121&gt;0,C121/RefCellCal,0.00001)</f>
        <v>0.196407580026948</v>
      </c>
      <c r="F121" s="126" t="n">
        <f aca="false">E121-BiasLight</f>
        <v>0.196407580026948</v>
      </c>
      <c r="G121" s="127" t="n">
        <f aca="false">F121*0.038*OptConst/1.602E-019</f>
        <v>32611995185498300</v>
      </c>
      <c r="H121" s="128" t="e">
        <f aca="false">calcconductance(B121,Dark_Voltage,A_cal,B_cal,C_cal)</f>
        <v>#NAME?</v>
      </c>
      <c r="I121" s="127" t="n">
        <f aca="false">IF(MobilityModel=DK,calcdeltan(H121,SampleDoping,Thickness,AreaFrac),calcdeltandl(H121,AreaFrac,Thickness,SampleType,SampleDoping,Temperature))</f>
        <v>38073114983681.9</v>
      </c>
      <c r="J121" s="127" t="str">
        <f aca="false">IF(AND(AND(I121&gt;=FitRangeMin,I121&lt;=FitRangeMax),A121&gt;TimeofMaxCD),I121,"")</f>
        <v/>
      </c>
      <c r="K121" s="127" t="n">
        <f aca="false">IF(I121-BiasPtCD=0,0.00001,I121-BiasPtCD)</f>
        <v>38073114983681.9</v>
      </c>
      <c r="L121" s="129" t="n">
        <f aca="false">IF(ABS(SLOPE(K119:K123,A119:A123))&lt;1000000000000,-1000000000000,(SLOPE(K119:K123,A119:A123)))</f>
        <v>-26016780042381400</v>
      </c>
      <c r="M121" s="73" t="str">
        <f aca="false">IF(E121&gt;0.85*BiasLight,IF( E121&lt;1.15*BiasLight,E121,""),"")</f>
        <v/>
      </c>
      <c r="N121" s="73" t="str">
        <f aca="false">IF(E121&gt;0.85*BiasLight,IF(E121&lt;1.15*BiasLight,I121,""),"")</f>
        <v/>
      </c>
      <c r="O121" s="129" t="n">
        <f aca="false">I121-Traps</f>
        <v>38073114983681.9</v>
      </c>
      <c r="P121" s="127" t="e">
        <f aca="false">calclifetime(AnalysisMode,K121,Thickness,G121,L121)</f>
        <v>#NAME?</v>
      </c>
      <c r="Q121" s="129" t="str">
        <f aca="false">IF($J121="","",P121)</f>
        <v/>
      </c>
      <c r="R121" s="130" t="str">
        <f aca="false">IF(Q121="","",1/Q121)</f>
        <v/>
      </c>
      <c r="S121" s="131" t="n">
        <f aca="false">IF(AND(E121&gt;0.95*BiasLight,E121&lt;1.05*BiasLight),"",IF(AugerModel="Sinton",calclifetimeauger(Auger_Coefficient,I121,P121),calclifetimerichter(SampleType,I121,SampleDoping,P121)))</f>
        <v>44385.4933996055</v>
      </c>
      <c r="T121" s="78" t="str">
        <f aca="false">IF($J121="","",S121)</f>
        <v/>
      </c>
      <c r="U121" s="131" t="n">
        <f aca="false">FitInterceptAuger+FitSlopeAuger*(I121+Traps)</f>
        <v>28831.6255550149</v>
      </c>
      <c r="V121" s="130" t="str">
        <f aca="false">IF(AugerModel="Sinton","",IF(SampleType="n-type",n_intr_boltzmann(SampleDoping,0,K121,Temperature+273.15),n_intr_boltzmann(0,SampleDoping,K121,Temperature+273.15)))</f>
        <v/>
      </c>
      <c r="W121" s="130" t="str">
        <f aca="false">IF(V121="","",IF(T121="","",(V121^2)*T121))</f>
        <v/>
      </c>
      <c r="X121" s="125" t="n">
        <f aca="false">IF(AND(A121&gt;TimeofMaxCD,I121&gt;Traps),IF(AugerModel="Sinton",calcimpliedv(SampleDoping,O121),calcimpliedvrichter(O121,SampleDoping,V121)),"")</f>
        <v>0.547154351896642</v>
      </c>
      <c r="Y121" s="132" t="e">
        <f aca="false">IF(OR(P121="",P121&lt;0,A121&lt;=TimeofMaxCD),"",(O121*Thickness*1.602E-019/(0.038*OptConst*P121)))</f>
        <v>#NAME?</v>
      </c>
      <c r="Z121" s="77" t="str">
        <f aca="false">IF(C121&gt;0.6,O121,"")</f>
        <v/>
      </c>
      <c r="AE121" s="130" t="e">
        <f aca="false">H121/(K121*AreaFrac*Thickness*1.602E-019)</f>
        <v>#NAME?</v>
      </c>
    </row>
    <row collapsed="false" customFormat="false" customHeight="false" hidden="false" ht="12.75" outlineLevel="0" r="122">
      <c r="A122" s="123" t="n">
        <v>0.0113499</v>
      </c>
      <c r="B122" s="123" t="n">
        <v>0.00566848</v>
      </c>
      <c r="C122" s="124" t="n">
        <v>0.0019332</v>
      </c>
      <c r="D122" s="125" t="n">
        <f aca="false">IF(CouplingMode="AC",B122-(A$11-A$10)*SUM(B$9:B122)/0.21,B122)</f>
        <v>0.00566848</v>
      </c>
      <c r="E122" s="126" t="n">
        <f aca="false">IF(C122&gt;0,C122/RefCellCal,0.00001)</f>
        <v>0.183694712460194</v>
      </c>
      <c r="F122" s="126" t="n">
        <f aca="false">E122-BiasLight</f>
        <v>0.183694712460194</v>
      </c>
      <c r="G122" s="127" t="n">
        <f aca="false">F122*0.038*OptConst/1.602E-019</f>
        <v>30501119547073400</v>
      </c>
      <c r="H122" s="128" t="e">
        <f aca="false">calcconductance(B122,Dark_Voltage,A_cal,B_cal,C_cal)</f>
        <v>#NAME?</v>
      </c>
      <c r="I122" s="127" t="n">
        <f aca="false">IF(MobilityModel=DK,calcdeltan(H122,SampleDoping,Thickness,AreaFrac),calcdeltandl(H122,AreaFrac,Thickness,SampleType,SampleDoping,Temperature))</f>
        <v>33310224587328.3</v>
      </c>
      <c r="J122" s="127" t="str">
        <f aca="false">IF(AND(AND(I122&gt;=FitRangeMin,I122&lt;=FitRangeMax),A122&gt;TimeofMaxCD),I122,"")</f>
        <v/>
      </c>
      <c r="K122" s="127" t="n">
        <f aca="false">IF(I122-BiasPtCD=0,0.00001,I122-BiasPtCD)</f>
        <v>33310224587328.3</v>
      </c>
      <c r="L122" s="129" t="n">
        <f aca="false">IF(ABS(SLOPE(K120:K124,A120:A124))&lt;1000000000000,-1000000000000,(SLOPE(K120:K124,A120:A124)))</f>
        <v>-29092645247113600</v>
      </c>
      <c r="M122" s="73" t="str">
        <f aca="false">IF(E122&gt;0.85*BiasLight,IF( E122&lt;1.15*BiasLight,E122,""),"")</f>
        <v/>
      </c>
      <c r="N122" s="73" t="str">
        <f aca="false">IF(E122&gt;0.85*BiasLight,IF(E122&lt;1.15*BiasLight,I122,""),"")</f>
        <v/>
      </c>
      <c r="O122" s="129" t="n">
        <f aca="false">I122-Traps</f>
        <v>33310224587328.3</v>
      </c>
      <c r="P122" s="127" t="e">
        <f aca="false">calclifetime(AnalysisMode,K122,Thickness,G122,L122)</f>
        <v>#NAME?</v>
      </c>
      <c r="Q122" s="129" t="str">
        <f aca="false">IF($J122="","",P122)</f>
        <v/>
      </c>
      <c r="R122" s="130" t="str">
        <f aca="false">IF(Q122="","",1/Q122)</f>
        <v/>
      </c>
      <c r="S122" s="131" t="n">
        <f aca="false">IF(AND(E122&gt;0.95*BiasLight,E122&lt;1.05*BiasLight),"",IF(AugerModel="Sinton",calclifetimeauger(Auger_Coefficient,I122,P122),calclifetimerichter(SampleType,I122,SampleDoping,P122)))</f>
        <v>47591.157737937</v>
      </c>
      <c r="T122" s="78" t="str">
        <f aca="false">IF($J122="","",S122)</f>
        <v/>
      </c>
      <c r="U122" s="131" t="n">
        <f aca="false">FitInterceptAuger+FitSlopeAuger*(I122+Traps)</f>
        <v>28859.3279452743</v>
      </c>
      <c r="V122" s="130" t="str">
        <f aca="false">IF(AugerModel="Sinton","",IF(SampleType="n-type",n_intr_boltzmann(SampleDoping,0,K122,Temperature+273.15),n_intr_boltzmann(0,SampleDoping,K122,Temperature+273.15)))</f>
        <v/>
      </c>
      <c r="W122" s="130" t="str">
        <f aca="false">IF(V122="","",IF(T122="","",(V122^2)*T122))</f>
        <v/>
      </c>
      <c r="X122" s="125" t="n">
        <f aca="false">IF(AND(A122&gt;TimeofMaxCD,I122&gt;Traps),IF(AugerModel="Sinton",calcimpliedv(SampleDoping,O122),calcimpliedvrichter(O122,SampleDoping,V122)),"")</f>
        <v>0.543685591481101</v>
      </c>
      <c r="Y122" s="132" t="e">
        <f aca="false">IF(OR(P122="",P122&lt;0,A122&lt;=TimeofMaxCD),"",(O122*Thickness*1.602E-019/(0.038*OptConst*P122)))</f>
        <v>#NAME?</v>
      </c>
      <c r="Z122" s="77" t="str">
        <f aca="false">IF(C122&gt;0.6,O122,"")</f>
        <v/>
      </c>
      <c r="AE122" s="130" t="e">
        <f aca="false">H122/(K122*AreaFrac*Thickness*1.602E-019)</f>
        <v>#NAME?</v>
      </c>
    </row>
    <row collapsed="false" customFormat="false" customHeight="false" hidden="false" ht="12.75" outlineLevel="0" r="123">
      <c r="A123" s="123" t="n">
        <v>0.0114499</v>
      </c>
      <c r="B123" s="123" t="n">
        <v>0.00555618</v>
      </c>
      <c r="C123" s="124" t="n">
        <v>0.00180625</v>
      </c>
      <c r="D123" s="125" t="n">
        <f aca="false">IF(CouplingMode="AC",B123-(A$11-A$10)*SUM(B$9:B123)/0.21,B123)</f>
        <v>0.00555618</v>
      </c>
      <c r="E123" s="126" t="n">
        <f aca="false">IF(C123&gt;0,C123/RefCellCal,0.00001)</f>
        <v>0.17163178894125</v>
      </c>
      <c r="F123" s="126" t="n">
        <f aca="false">E123-BiasLight</f>
        <v>0.17163178894125</v>
      </c>
      <c r="G123" s="127" t="n">
        <f aca="false">F123*0.038*OptConst/1.602E-019</f>
        <v>28498162208722000</v>
      </c>
      <c r="H123" s="128" t="e">
        <f aca="false">calcconductance(B123,Dark_Voltage,A_cal,B_cal,C_cal)</f>
        <v>#NAME?</v>
      </c>
      <c r="I123" s="127" t="n">
        <f aca="false">IF(MobilityModel=DK,calcdeltan(H123,SampleDoping,Thickness,AreaFrac),calcdeltandl(H123,AreaFrac,Thickness,SampleType,SampleDoping,Temperature))</f>
        <v>32646757858004.8</v>
      </c>
      <c r="J123" s="127" t="str">
        <f aca="false">IF(AND(AND(I123&gt;=FitRangeMin,I123&lt;=FitRangeMax),A123&gt;TimeofMaxCD),I123,"")</f>
        <v/>
      </c>
      <c r="K123" s="127" t="n">
        <f aca="false">IF(I123-BiasPtCD=0,0.00001,I123-BiasPtCD)</f>
        <v>32646757858004.8</v>
      </c>
      <c r="L123" s="129" t="n">
        <f aca="false">IF(ABS(SLOPE(K121:K125,A121:A125))&lt;1000000000000,-1000000000000,(SLOPE(K121:K125,A121:A125)))</f>
        <v>-25584292243519200</v>
      </c>
      <c r="M123" s="73" t="str">
        <f aca="false">IF(E123&gt;0.85*BiasLight,IF( E123&lt;1.15*BiasLight,E123,""),"")</f>
        <v/>
      </c>
      <c r="N123" s="73" t="str">
        <f aca="false">IF(E123&gt;0.85*BiasLight,IF(E123&lt;1.15*BiasLight,I123,""),"")</f>
        <v/>
      </c>
      <c r="O123" s="129" t="n">
        <f aca="false">I123-Traps</f>
        <v>32646757858004.8</v>
      </c>
      <c r="P123" s="127" t="e">
        <f aca="false">calclifetime(AnalysisMode,K123,Thickness,G123,L123)</f>
        <v>#NAME?</v>
      </c>
      <c r="Q123" s="129" t="str">
        <f aca="false">IF($J123="","",P123)</f>
        <v/>
      </c>
      <c r="R123" s="130" t="str">
        <f aca="false">IF(Q123="","",1/Q123)</f>
        <v/>
      </c>
      <c r="S123" s="131" t="n">
        <f aca="false">IF(AND(E123&gt;0.95*BiasLight,E123&lt;1.05*BiasLight),"",IF(AugerModel="Sinton",calclifetimeauger(Auger_Coefficient,I123,P123),calclifetimerichter(SampleType,I123,SampleDoping,P123)))</f>
        <v>45320.6443564971</v>
      </c>
      <c r="T123" s="78" t="str">
        <f aca="false">IF($J123="","",S123)</f>
        <v/>
      </c>
      <c r="U123" s="131" t="n">
        <f aca="false">FitInterceptAuger+FitSlopeAuger*(I123+Traps)</f>
        <v>28863.1868655371</v>
      </c>
      <c r="V123" s="130" t="str">
        <f aca="false">IF(AugerModel="Sinton","",IF(SampleType="n-type",n_intr_boltzmann(SampleDoping,0,K123,Temperature+273.15),n_intr_boltzmann(0,SampleDoping,K123,Temperature+273.15)))</f>
        <v/>
      </c>
      <c r="W123" s="130" t="str">
        <f aca="false">IF(V123="","",IF(T123="","",(V123^2)*T123))</f>
        <v/>
      </c>
      <c r="X123" s="125" t="n">
        <f aca="false">IF(AND(A123&gt;TimeofMaxCD,I123&gt;Traps),IF(AugerModel="Sinton",calcimpliedv(SampleDoping,O123),calcimpliedvrichter(O123,SampleDoping,V123)),"")</f>
        <v>0.543163796880667</v>
      </c>
      <c r="Y123" s="132" t="e">
        <f aca="false">IF(OR(P123="",P123&lt;0,A123&lt;=TimeofMaxCD),"",(O123*Thickness*1.602E-019/(0.038*OptConst*P123)))</f>
        <v>#NAME?</v>
      </c>
      <c r="Z123" s="77" t="str">
        <f aca="false">IF(C123&gt;0.6,O123,"")</f>
        <v/>
      </c>
      <c r="AE123" s="130" t="e">
        <f aca="false">H123/(K123*AreaFrac*Thickness*1.602E-019)</f>
        <v>#NAME?</v>
      </c>
    </row>
    <row collapsed="false" customFormat="false" customHeight="false" hidden="false" ht="12.75" outlineLevel="0" r="124">
      <c r="A124" s="123" t="n">
        <v>0.0115499</v>
      </c>
      <c r="B124" s="123" t="n">
        <v>0.00497024</v>
      </c>
      <c r="C124" s="124" t="n">
        <v>0.00171445</v>
      </c>
      <c r="D124" s="125" t="n">
        <f aca="false">IF(CouplingMode="AC",B124-(A$11-A$10)*SUM(B$9:B124)/0.21,B124)</f>
        <v>0.00497024</v>
      </c>
      <c r="E124" s="126" t="n">
        <f aca="false">IF(C124&gt;0,C124/RefCellCal,0.00001)</f>
        <v>0.162908855668001</v>
      </c>
      <c r="F124" s="126" t="n">
        <f aca="false">E124-BiasLight</f>
        <v>0.162908855668001</v>
      </c>
      <c r="G124" s="127" t="n">
        <f aca="false">F124*0.038*OptConst/1.602E-019</f>
        <v>27049785023525700</v>
      </c>
      <c r="H124" s="128" t="e">
        <f aca="false">calcconductance(B124,Dark_Voltage,A_cal,B_cal,C_cal)</f>
        <v>#NAME?</v>
      </c>
      <c r="I124" s="127" t="n">
        <f aca="false">IF(MobilityModel=DK,calcdeltan(H124,SampleDoping,Thickness,AreaFrac),calcdeltandl(H124,AreaFrac,Thickness,SampleType,SampleDoping,Temperature))</f>
        <v>29186774225621.7</v>
      </c>
      <c r="J124" s="127" t="str">
        <f aca="false">IF(AND(AND(I124&gt;=FitRangeMin,I124&lt;=FitRangeMax),A124&gt;TimeofMaxCD),I124,"")</f>
        <v/>
      </c>
      <c r="K124" s="127" t="n">
        <f aca="false">IF(I124-BiasPtCD=0,0.00001,I124-BiasPtCD)</f>
        <v>29186774225621.7</v>
      </c>
      <c r="L124" s="129" t="n">
        <f aca="false">IF(ABS(SLOPE(K122:K126,A122:A126))&lt;1000000000000,-1000000000000,(SLOPE(K122:K126,A122:A126)))</f>
        <v>-19024968600666100</v>
      </c>
      <c r="M124" s="73" t="str">
        <f aca="false">IF(E124&gt;0.85*BiasLight,IF( E124&lt;1.15*BiasLight,E124,""),"")</f>
        <v/>
      </c>
      <c r="N124" s="73" t="str">
        <f aca="false">IF(E124&gt;0.85*BiasLight,IF(E124&lt;1.15*BiasLight,I124,""),"")</f>
        <v/>
      </c>
      <c r="O124" s="129" t="n">
        <f aca="false">I124-Traps</f>
        <v>29186774225621.7</v>
      </c>
      <c r="P124" s="127" t="e">
        <f aca="false">calclifetime(AnalysisMode,K124,Thickness,G124,L124)</f>
        <v>#NAME?</v>
      </c>
      <c r="Q124" s="129" t="str">
        <f aca="false">IF($J124="","",P124)</f>
        <v/>
      </c>
      <c r="R124" s="130" t="str">
        <f aca="false">IF(Q124="","",1/Q124)</f>
        <v/>
      </c>
      <c r="S124" s="131" t="n">
        <f aca="false">IF(AND(E124&gt;0.95*BiasLight,E124&lt;1.05*BiasLight),"",IF(AugerModel="Sinton",calclifetimeauger(Auger_Coefficient,I124,P124),calclifetimerichter(SampleType,I124,SampleDoping,P124)))</f>
        <v>47936.6438079437</v>
      </c>
      <c r="T124" s="78" t="str">
        <f aca="false">IF($J124="","",S124)</f>
        <v/>
      </c>
      <c r="U124" s="131" t="n">
        <f aca="false">FitInterceptAuger+FitSlopeAuger*(I124+Traps)</f>
        <v>28883.311161689</v>
      </c>
      <c r="V124" s="130" t="str">
        <f aca="false">IF(AugerModel="Sinton","",IF(SampleType="n-type",n_intr_boltzmann(SampleDoping,0,K124,Temperature+273.15),n_intr_boltzmann(0,SampleDoping,K124,Temperature+273.15)))</f>
        <v/>
      </c>
      <c r="W124" s="130" t="str">
        <f aca="false">IF(V124="","",IF(T124="","",(V124^2)*T124))</f>
        <v/>
      </c>
      <c r="X124" s="125" t="n">
        <f aca="false">IF(AND(A124&gt;TimeofMaxCD,I124&gt;Traps),IF(AugerModel="Sinton",calcimpliedv(SampleDoping,O124),calcimpliedvrichter(O124,SampleDoping,V124)),"")</f>
        <v>0.540259963809592</v>
      </c>
      <c r="Y124" s="132" t="e">
        <f aca="false">IF(OR(P124="",P124&lt;0,A124&lt;=TimeofMaxCD),"",(O124*Thickness*1.602E-019/(0.038*OptConst*P124)))</f>
        <v>#NAME?</v>
      </c>
      <c r="Z124" s="77" t="str">
        <f aca="false">IF(C124&gt;0.6,O124,"")</f>
        <v/>
      </c>
      <c r="AE124" s="130" t="e">
        <f aca="false">H124/(K124*AreaFrac*Thickness*1.602E-019)</f>
        <v>#NAME?</v>
      </c>
    </row>
    <row collapsed="false" customFormat="false" customHeight="false" hidden="false" ht="12.75" outlineLevel="0" r="125">
      <c r="A125" s="123" t="n">
        <v>0.0116499</v>
      </c>
      <c r="B125" s="123" t="n">
        <v>0.00465774</v>
      </c>
      <c r="C125" s="124" t="n">
        <v>0.00159727</v>
      </c>
      <c r="D125" s="125" t="n">
        <f aca="false">IF(CouplingMode="AC",B125-(A$11-A$10)*SUM(B$9:B125)/0.21,B125)</f>
        <v>0.00465774</v>
      </c>
      <c r="E125" s="126" t="n">
        <f aca="false">IF(C125&gt;0,C125/RefCellCal,0.00001)</f>
        <v>0.151774287901559</v>
      </c>
      <c r="F125" s="126" t="n">
        <f aca="false">E125-BiasLight</f>
        <v>0.151774287901559</v>
      </c>
      <c r="G125" s="127" t="n">
        <f aca="false">F125*0.038*OptConst/1.602E-019</f>
        <v>25200974145951700</v>
      </c>
      <c r="H125" s="128" t="e">
        <f aca="false">calcconductance(B125,Dark_Voltage,A_cal,B_cal,C_cal)</f>
        <v>#NAME?</v>
      </c>
      <c r="I125" s="127" t="n">
        <f aca="false">IF(MobilityModel=DK,calcdeltan(H125,SampleDoping,Thickness,AreaFrac),calcdeltandl(H125,AreaFrac,Thickness,SampleType,SampleDoping,Temperature))</f>
        <v>27342694042775.6</v>
      </c>
      <c r="J125" s="127" t="str">
        <f aca="false">IF(AND(AND(I125&gt;=FitRangeMin,I125&lt;=FitRangeMax),A125&gt;TimeofMaxCD),I125,"")</f>
        <v/>
      </c>
      <c r="K125" s="127" t="n">
        <f aca="false">IF(I125-BiasPtCD=0,0.00001,I125-BiasPtCD)</f>
        <v>27342694042775.6</v>
      </c>
      <c r="L125" s="129" t="n">
        <f aca="false">IF(ABS(SLOPE(K123:K127,A123:A127))&lt;1000000000000,-1000000000000,(SLOPE(K123:K127,A123:A127)))</f>
        <v>-14266832434880300</v>
      </c>
      <c r="M125" s="73" t="str">
        <f aca="false">IF(E125&gt;0.85*BiasLight,IF( E125&lt;1.15*BiasLight,E125,""),"")</f>
        <v/>
      </c>
      <c r="N125" s="73" t="str">
        <f aca="false">IF(E125&gt;0.85*BiasLight,IF(E125&lt;1.15*BiasLight,I125,""),"")</f>
        <v/>
      </c>
      <c r="O125" s="129" t="n">
        <f aca="false">I125-Traps</f>
        <v>27342694042775.6</v>
      </c>
      <c r="P125" s="127" t="e">
        <f aca="false">calclifetime(AnalysisMode,K125,Thickness,G125,L125)</f>
        <v>#NAME?</v>
      </c>
      <c r="Q125" s="129" t="str">
        <f aca="false">IF($J125="","",P125)</f>
        <v/>
      </c>
      <c r="R125" s="130" t="str">
        <f aca="false">IF(Q125="","",1/Q125)</f>
        <v/>
      </c>
      <c r="S125" s="131" t="n">
        <f aca="false">IF(AND(E125&gt;0.95*BiasLight,E125&lt;1.05*BiasLight),"",IF(AugerModel="Sinton",calclifetimeauger(Auger_Coefficient,I125,P125),calclifetimerichter(SampleType,I125,SampleDoping,P125)))</f>
        <v>47545.8191320019</v>
      </c>
      <c r="T125" s="78" t="str">
        <f aca="false">IF($J125="","",S125)</f>
        <v/>
      </c>
      <c r="U125" s="131" t="n">
        <f aca="false">FitInterceptAuger+FitSlopeAuger*(I125+Traps)</f>
        <v>28894.0368817127</v>
      </c>
      <c r="V125" s="130" t="str">
        <f aca="false">IF(AugerModel="Sinton","",IF(SampleType="n-type",n_intr_boltzmann(SampleDoping,0,K125,Temperature+273.15),n_intr_boltzmann(0,SampleDoping,K125,Temperature+273.15)))</f>
        <v/>
      </c>
      <c r="W125" s="130" t="str">
        <f aca="false">IF(V125="","",IF(T125="","",(V125^2)*T125))</f>
        <v/>
      </c>
      <c r="X125" s="125" t="n">
        <f aca="false">IF(AND(A125&gt;TimeofMaxCD,I125&gt;Traps),IF(AugerModel="Sinton",calcimpliedv(SampleDoping,O125),calcimpliedvrichter(O125,SampleDoping,V125)),"")</f>
        <v>0.538569518928607</v>
      </c>
      <c r="Y125" s="132" t="e">
        <f aca="false">IF(OR(P125="",P125&lt;0,A125&lt;=TimeofMaxCD),"",(O125*Thickness*1.602E-019/(0.038*OptConst*P125)))</f>
        <v>#NAME?</v>
      </c>
      <c r="Z125" s="77" t="str">
        <f aca="false">IF(C125&gt;0.6,O125,"")</f>
        <v/>
      </c>
      <c r="AE125" s="130" t="e">
        <f aca="false">H125/(K125*AreaFrac*Thickness*1.602E-019)</f>
        <v>#NAME?</v>
      </c>
    </row>
    <row collapsed="false" customFormat="false" customHeight="false" hidden="false" ht="12.75" outlineLevel="0" r="126">
      <c r="A126" s="123" t="n">
        <v>0.0117499</v>
      </c>
      <c r="B126" s="123" t="n">
        <v>0.00450637</v>
      </c>
      <c r="C126" s="124" t="n">
        <v>0.00154063</v>
      </c>
      <c r="D126" s="125" t="n">
        <f aca="false">IF(CouplingMode="AC",B126-(A$11-A$10)*SUM(B$9:B126)/0.21,B126)</f>
        <v>0.00450637</v>
      </c>
      <c r="E126" s="126" t="n">
        <f aca="false">IF(C126&gt;0,C126/RefCellCal,0.00001)</f>
        <v>0.1463922950846</v>
      </c>
      <c r="F126" s="126" t="n">
        <f aca="false">E126-BiasLight</f>
        <v>0.1463922950846</v>
      </c>
      <c r="G126" s="127" t="n">
        <f aca="false">F126*0.038*OptConst/1.602E-019</f>
        <v>24307334889203200</v>
      </c>
      <c r="H126" s="128" t="e">
        <f aca="false">calcconductance(B126,Dark_Voltage,A_cal,B_cal,C_cal)</f>
        <v>#NAME?</v>
      </c>
      <c r="I126" s="127" t="n">
        <f aca="false">IF(MobilityModel=DK,calcdeltan(H126,SampleDoping,Thickness,AreaFrac),calcdeltandl(H126,AreaFrac,Thickness,SampleType,SampleDoping,Temperature))</f>
        <v>26449772194609.8</v>
      </c>
      <c r="J126" s="127" t="str">
        <f aca="false">IF(AND(AND(I126&gt;=FitRangeMin,I126&lt;=FitRangeMax),A126&gt;TimeofMaxCD),I126,"")</f>
        <v/>
      </c>
      <c r="K126" s="127" t="n">
        <f aca="false">IF(I126-BiasPtCD=0,0.00001,I126-BiasPtCD)</f>
        <v>26449772194609.8</v>
      </c>
      <c r="L126" s="129" t="n">
        <f aca="false">IF(ABS(SLOPE(K124:K128,A124:A128))&lt;1000000000000,-1000000000000,(SLOPE(K124:K128,A124:A128)))</f>
        <v>-6568416348872310</v>
      </c>
      <c r="M126" s="73" t="str">
        <f aca="false">IF(E126&gt;0.85*BiasLight,IF( E126&lt;1.15*BiasLight,E126,""),"")</f>
        <v/>
      </c>
      <c r="N126" s="73" t="str">
        <f aca="false">IF(E126&gt;0.85*BiasLight,IF(E126&lt;1.15*BiasLight,I126,""),"")</f>
        <v/>
      </c>
      <c r="O126" s="129" t="n">
        <f aca="false">I126-Traps</f>
        <v>26449772194609.8</v>
      </c>
      <c r="P126" s="127" t="e">
        <f aca="false">calclifetime(AnalysisMode,K126,Thickness,G126,L126)</f>
        <v>#NAME?</v>
      </c>
      <c r="Q126" s="129" t="str">
        <f aca="false">IF($J126="","",P126)</f>
        <v/>
      </c>
      <c r="R126" s="130" t="str">
        <f aca="false">IF(Q126="","",1/Q126)</f>
        <v/>
      </c>
      <c r="S126" s="131" t="n">
        <f aca="false">IF(AND(E126&gt;0.95*BiasLight,E126&lt;1.05*BiasLight),"",IF(AugerModel="Sinton",calclifetimeauger(Auger_Coefficient,I126,P126),calclifetimerichter(SampleType,I126,SampleDoping,P126)))</f>
        <v>47136.0782946411</v>
      </c>
      <c r="T126" s="78" t="str">
        <f aca="false">IF($J126="","",S126)</f>
        <v/>
      </c>
      <c r="U126" s="131" t="n">
        <f aca="false">FitInterceptAuger+FitSlopeAuger*(I126+Traps)</f>
        <v>28899.2303813422</v>
      </c>
      <c r="V126" s="130" t="str">
        <f aca="false">IF(AugerModel="Sinton","",IF(SampleType="n-type",n_intr_boltzmann(SampleDoping,0,K126,Temperature+273.15),n_intr_boltzmann(0,SampleDoping,K126,Temperature+273.15)))</f>
        <v/>
      </c>
      <c r="W126" s="130" t="str">
        <f aca="false">IF(V126="","",IF(T126="","",(V126^2)*T126))</f>
        <v/>
      </c>
      <c r="X126" s="125" t="n">
        <f aca="false">IF(AND(A126&gt;TimeofMaxCD,I126&gt;Traps),IF(AugerModel="Sinton",calcimpliedv(SampleDoping,O126),calcimpliedvrichter(O126,SampleDoping,V126)),"")</f>
        <v>0.537709901949714</v>
      </c>
      <c r="Y126" s="132" t="e">
        <f aca="false">IF(OR(P126="",P126&lt;0,A126&lt;=TimeofMaxCD),"",(O126*Thickness*1.602E-019/(0.038*OptConst*P126)))</f>
        <v>#NAME?</v>
      </c>
      <c r="Z126" s="77" t="str">
        <f aca="false">IF(C126&gt;0.6,O126,"")</f>
        <v/>
      </c>
      <c r="AE126" s="130" t="e">
        <f aca="false">H126/(K126*AreaFrac*Thickness*1.602E-019)</f>
        <v>#NAME?</v>
      </c>
    </row>
    <row collapsed="false" customFormat="false" customHeight="false" hidden="false" ht="12.75" outlineLevel="0" r="127">
      <c r="A127" s="123" t="n">
        <v>0.0118499</v>
      </c>
      <c r="B127" s="123" t="n">
        <v>0.00457962</v>
      </c>
      <c r="C127" s="124" t="n">
        <v>0.00142149</v>
      </c>
      <c r="D127" s="125" t="n">
        <f aca="false">IF(CouplingMode="AC",B127-(A$11-A$10)*SUM(B$9:B127)/0.21,B127)</f>
        <v>0.00457962</v>
      </c>
      <c r="E127" s="126" t="n">
        <f aca="false">IF(C127&gt;0,C127/RefCellCal,0.00001)</f>
        <v>0.1350714860413</v>
      </c>
      <c r="F127" s="126" t="n">
        <f aca="false">E127-BiasLight</f>
        <v>0.1350714860413</v>
      </c>
      <c r="G127" s="127" t="n">
        <f aca="false">F127*0.038*OptConst/1.602E-019</f>
        <v>22427600054298200</v>
      </c>
      <c r="H127" s="128" t="e">
        <f aca="false">calcconductance(B127,Dark_Voltage,A_cal,B_cal,C_cal)</f>
        <v>#NAME?</v>
      </c>
      <c r="I127" s="127" t="n">
        <f aca="false">IF(MobilityModel=DK,calcdeltan(H127,SampleDoping,Thickness,AreaFrac),calcdeltandl(H127,AreaFrac,Thickness,SampleType,SampleDoping,Temperature))</f>
        <v>26881842656070.6</v>
      </c>
      <c r="J127" s="127" t="str">
        <f aca="false">IF(AND(AND(I127&gt;=FitRangeMin,I127&lt;=FitRangeMax),A127&gt;TimeofMaxCD),I127,"")</f>
        <v/>
      </c>
      <c r="K127" s="127" t="n">
        <f aca="false">IF(I127-BiasPtCD=0,0.00001,I127-BiasPtCD)</f>
        <v>26881842656070.6</v>
      </c>
      <c r="L127" s="129" t="n">
        <f aca="false">IF(ABS(SLOPE(K125:K129,A125:A129))&lt;1000000000000,-1000000000000,(SLOPE(K125:K129,A125:A129)))</f>
        <v>-3081665769732480</v>
      </c>
      <c r="M127" s="73" t="str">
        <f aca="false">IF(E127&gt;0.85*BiasLight,IF( E127&lt;1.15*BiasLight,E127,""),"")</f>
        <v/>
      </c>
      <c r="N127" s="73" t="str">
        <f aca="false">IF(E127&gt;0.85*BiasLight,IF(E127&lt;1.15*BiasLight,I127,""),"")</f>
        <v/>
      </c>
      <c r="O127" s="129" t="n">
        <f aca="false">I127-Traps</f>
        <v>26881842656070.6</v>
      </c>
      <c r="P127" s="127" t="e">
        <f aca="false">calclifetime(AnalysisMode,K127,Thickness,G127,L127)</f>
        <v>#NAME?</v>
      </c>
      <c r="Q127" s="129" t="str">
        <f aca="false">IF($J127="","",P127)</f>
        <v/>
      </c>
      <c r="R127" s="130" t="str">
        <f aca="false">IF(Q127="","",1/Q127)</f>
        <v/>
      </c>
      <c r="S127" s="131" t="n">
        <f aca="false">IF(AND(E127&gt;0.95*BiasLight,E127&lt;1.05*BiasLight),"",IF(AugerModel="Sinton",calclifetimeauger(Auger_Coefficient,I127,P127),calclifetimerichter(SampleType,I127,SampleDoping,P127)))</f>
        <v>42681.1121951383</v>
      </c>
      <c r="T127" s="78" t="str">
        <f aca="false">IF($J127="","",S127)</f>
        <v/>
      </c>
      <c r="U127" s="131" t="n">
        <f aca="false">FitInterceptAuger+FitSlopeAuger*(I127+Traps)</f>
        <v>28896.7173307476</v>
      </c>
      <c r="V127" s="130" t="str">
        <f aca="false">IF(AugerModel="Sinton","",IF(SampleType="n-type",n_intr_boltzmann(SampleDoping,0,K127,Temperature+273.15),n_intr_boltzmann(0,SampleDoping,K127,Temperature+273.15)))</f>
        <v/>
      </c>
      <c r="W127" s="130" t="str">
        <f aca="false">IF(V127="","",IF(T127="","",(V127^2)*T127))</f>
        <v/>
      </c>
      <c r="X127" s="125" t="n">
        <f aca="false">IF(AND(A127&gt;TimeofMaxCD,I127&gt;Traps),IF(AugerModel="Sinton",calcimpliedv(SampleDoping,O127),calcimpliedvrichter(O127,SampleDoping,V127)),"")</f>
        <v>0.538129394316395</v>
      </c>
      <c r="Y127" s="132" t="e">
        <f aca="false">IF(OR(P127="",P127&lt;0,A127&lt;=TimeofMaxCD),"",(O127*Thickness*1.602E-019/(0.038*OptConst*P127)))</f>
        <v>#NAME?</v>
      </c>
      <c r="Z127" s="77" t="str">
        <f aca="false">IF(C127&gt;0.6,O127,"")</f>
        <v/>
      </c>
      <c r="AE127" s="130" t="e">
        <f aca="false">H127/(K127*AreaFrac*Thickness*1.602E-019)</f>
        <v>#NAME?</v>
      </c>
    </row>
    <row collapsed="false" customFormat="false" customHeight="false" hidden="false" ht="12.75" outlineLevel="0" r="128">
      <c r="A128" s="123" t="n">
        <v>0.0119499</v>
      </c>
      <c r="B128" s="123" t="n">
        <v>0.00445266</v>
      </c>
      <c r="C128" s="124" t="n">
        <v>0.00133457</v>
      </c>
      <c r="D128" s="125" t="n">
        <f aca="false">IF(CouplingMode="AC",B128-(A$11-A$10)*SUM(B$9:B128)/0.21,B128)</f>
        <v>0.00445266</v>
      </c>
      <c r="E128" s="126" t="n">
        <f aca="false">IF(C128&gt;0,C128/RefCellCal,0.00001)</f>
        <v>0.126812255539003</v>
      </c>
      <c r="F128" s="126" t="n">
        <f aca="false">E128-BiasLight</f>
        <v>0.126812255539003</v>
      </c>
      <c r="G128" s="127" t="n">
        <f aca="false">F128*0.038*OptConst/1.602E-019</f>
        <v>21056217211844500</v>
      </c>
      <c r="H128" s="128" t="e">
        <f aca="false">calcconductance(B128,Dark_Voltage,A_cal,B_cal,C_cal)</f>
        <v>#NAME?</v>
      </c>
      <c r="I128" s="127" t="n">
        <f aca="false">IF(MobilityModel=DK,calcdeltan(H128,SampleDoping,Thickness,AreaFrac),calcdeltandl(H128,AreaFrac,Thickness,SampleType,SampleDoping,Temperature))</f>
        <v>26132991744538</v>
      </c>
      <c r="J128" s="127" t="str">
        <f aca="false">IF(AND(AND(I128&gt;=FitRangeMin,I128&lt;=FitRangeMax),A128&gt;TimeofMaxCD),I128,"")</f>
        <v/>
      </c>
      <c r="K128" s="127" t="n">
        <f aca="false">IF(I128-BiasPtCD=0,0.00001,I128-BiasPtCD)</f>
        <v>26132991744538</v>
      </c>
      <c r="L128" s="129" t="n">
        <f aca="false">IF(ABS(SLOPE(K126:K130,A126:A130))&lt;1000000000000,-1000000000000,(SLOPE(K126:K130,A126:A130)))</f>
        <v>-3916103222712080</v>
      </c>
      <c r="M128" s="73" t="str">
        <f aca="false">IF(E128&gt;0.85*BiasLight,IF( E128&lt;1.15*BiasLight,E128,""),"")</f>
        <v/>
      </c>
      <c r="N128" s="73" t="str">
        <f aca="false">IF(E128&gt;0.85*BiasLight,IF(E128&lt;1.15*BiasLight,I128,""),"")</f>
        <v/>
      </c>
      <c r="O128" s="129" t="n">
        <f aca="false">I128-Traps</f>
        <v>26132991744538</v>
      </c>
      <c r="P128" s="127" t="e">
        <f aca="false">calclifetime(AnalysisMode,K128,Thickness,G128,L128)</f>
        <v>#NAME?</v>
      </c>
      <c r="Q128" s="129" t="str">
        <f aca="false">IF($J128="","",P128)</f>
        <v/>
      </c>
      <c r="R128" s="130" t="str">
        <f aca="false">IF(Q128="","",1/Q128)</f>
        <v/>
      </c>
      <c r="S128" s="131" t="n">
        <f aca="false">IF(AND(E128&gt;0.95*BiasLight,E128&lt;1.05*BiasLight),"",IF(AugerModel="Sinton",calclifetimeauger(Auger_Coefficient,I128,P128),calclifetimerichter(SampleType,I128,SampleDoping,P128)))</f>
        <v>41258.6848325384</v>
      </c>
      <c r="T128" s="78" t="str">
        <f aca="false">IF($J128="","",S128)</f>
        <v/>
      </c>
      <c r="U128" s="131" t="n">
        <f aca="false">FitInterceptAuger+FitSlopeAuger*(I128+Traps)</f>
        <v>28901.0728708652</v>
      </c>
      <c r="V128" s="130" t="str">
        <f aca="false">IF(AugerModel="Sinton","",IF(SampleType="n-type",n_intr_boltzmann(SampleDoping,0,K128,Temperature+273.15),n_intr_boltzmann(0,SampleDoping,K128,Temperature+273.15)))</f>
        <v/>
      </c>
      <c r="W128" s="130" t="str">
        <f aca="false">IF(V128="","",IF(T128="","",(V128^2)*T128))</f>
        <v/>
      </c>
      <c r="X128" s="125" t="n">
        <f aca="false">IF(AND(A128&gt;TimeofMaxCD,I128&gt;Traps),IF(AugerModel="Sinton",calcimpliedv(SampleDoping,O128),calcimpliedvrichter(O128,SampleDoping,V128)),"")</f>
        <v>0.537397999738031</v>
      </c>
      <c r="Y128" s="132" t="e">
        <f aca="false">IF(OR(P128="",P128&lt;0,A128&lt;=TimeofMaxCD),"",(O128*Thickness*1.602E-019/(0.038*OptConst*P128)))</f>
        <v>#NAME?</v>
      </c>
      <c r="Z128" s="77" t="str">
        <f aca="false">IF(C128&gt;0.6,O128,"")</f>
        <v/>
      </c>
      <c r="AE128" s="130" t="e">
        <f aca="false">H128/(K128*AreaFrac*Thickness*1.602E-019)</f>
        <v>#NAME?</v>
      </c>
    </row>
    <row collapsed="false" customFormat="false" customHeight="false" hidden="false" ht="12.75" outlineLevel="0" r="129">
      <c r="A129" s="123" t="n">
        <v>0.0120499</v>
      </c>
      <c r="B129" s="123" t="n">
        <v>0.00442337</v>
      </c>
      <c r="C129" s="124" t="n">
        <v>0.00123594</v>
      </c>
      <c r="D129" s="125" t="n">
        <f aca="false">IF(CouplingMode="AC",B129-(A$11-A$10)*SUM(B$9:B129)/0.21,B129)</f>
        <v>0.00442337</v>
      </c>
      <c r="E129" s="126" t="n">
        <f aca="false">IF(C129&gt;0,C129/RefCellCal,0.00001)</f>
        <v>0.117440328428539</v>
      </c>
      <c r="F129" s="126" t="n">
        <f aca="false">E129-BiasLight</f>
        <v>0.117440328428539</v>
      </c>
      <c r="G129" s="127" t="n">
        <f aca="false">F129*0.038*OptConst/1.602E-019</f>
        <v>19500079501867300</v>
      </c>
      <c r="H129" s="128" t="e">
        <f aca="false">calcconductance(B129,Dark_Voltage,A_cal,B_cal,C_cal)</f>
        <v>#NAME?</v>
      </c>
      <c r="I129" s="127" t="n">
        <f aca="false">IF(MobilityModel=DK,calcdeltan(H129,SampleDoping,Thickness,AreaFrac),calcdeltandl(H129,AreaFrac,Thickness,SampleType,SampleDoping,Temperature))</f>
        <v>25960251382945.2</v>
      </c>
      <c r="J129" s="127" t="str">
        <f aca="false">IF(AND(AND(I129&gt;=FitRangeMin,I129&lt;=FitRangeMax),A129&gt;TimeofMaxCD),I129,"")</f>
        <v/>
      </c>
      <c r="K129" s="127" t="n">
        <f aca="false">IF(I129-BiasPtCD=0,0.00001,I129-BiasPtCD)</f>
        <v>25960251382945.2</v>
      </c>
      <c r="L129" s="129" t="n">
        <f aca="false">IF(ABS(SLOPE(K127:K131,A127:A131))&lt;1000000000000,-1000000000000,(SLOPE(K127:K131,A127:A131)))</f>
        <v>-14820225570968400</v>
      </c>
      <c r="M129" s="73" t="str">
        <f aca="false">IF(E129&gt;0.85*BiasLight,IF( E129&lt;1.15*BiasLight,E129,""),"")</f>
        <v/>
      </c>
      <c r="N129" s="73" t="str">
        <f aca="false">IF(E129&gt;0.85*BiasLight,IF(E129&lt;1.15*BiasLight,I129,""),"")</f>
        <v/>
      </c>
      <c r="O129" s="129" t="n">
        <f aca="false">I129-Traps</f>
        <v>25960251382945.2</v>
      </c>
      <c r="P129" s="127" t="e">
        <f aca="false">calclifetime(AnalysisMode,K129,Thickness,G129,L129)</f>
        <v>#NAME?</v>
      </c>
      <c r="Q129" s="129" t="str">
        <f aca="false">IF($J129="","",P129)</f>
        <v/>
      </c>
      <c r="R129" s="130" t="str">
        <f aca="false">IF(Q129="","",1/Q129)</f>
        <v/>
      </c>
      <c r="S129" s="131" t="n">
        <f aca="false">IF(AND(E129&gt;0.95*BiasLight,E129&lt;1.05*BiasLight),"",IF(AugerModel="Sinton",calclifetimeauger(Auger_Coefficient,I129,P129),calclifetimerichter(SampleType,I129,SampleDoping,P129)))</f>
        <v>38894.9319879527</v>
      </c>
      <c r="T129" s="78" t="str">
        <f aca="false">IF($J129="","",S129)</f>
        <v/>
      </c>
      <c r="U129" s="131" t="n">
        <f aca="false">FitInterceptAuger+FitSlopeAuger*(I129+Traps)</f>
        <v>28902.0775802984</v>
      </c>
      <c r="V129" s="130" t="str">
        <f aca="false">IF(AugerModel="Sinton","",IF(SampleType="n-type",n_intr_boltzmann(SampleDoping,0,K129,Temperature+273.15),n_intr_boltzmann(0,SampleDoping,K129,Temperature+273.15)))</f>
        <v/>
      </c>
      <c r="W129" s="130" t="str">
        <f aca="false">IF(V129="","",IF(T129="","",(V129^2)*T129))</f>
        <v/>
      </c>
      <c r="X129" s="125" t="n">
        <f aca="false">IF(AND(A129&gt;TimeofMaxCD,I129&gt;Traps),IF(AugerModel="Sinton",calcimpliedv(SampleDoping,O129),calcimpliedvrichter(O129,SampleDoping,V129)),"")</f>
        <v>0.5372263346919</v>
      </c>
      <c r="Y129" s="132" t="e">
        <f aca="false">IF(OR(P129="",P129&lt;0,A129&lt;=TimeofMaxCD),"",(O129*Thickness*1.602E-019/(0.038*OptConst*P129)))</f>
        <v>#NAME?</v>
      </c>
      <c r="Z129" s="77" t="str">
        <f aca="false">IF(C129&gt;0.6,O129,"")</f>
        <v/>
      </c>
      <c r="AE129" s="130" t="e">
        <f aca="false">H129/(K129*AreaFrac*Thickness*1.602E-019)</f>
        <v>#NAME?</v>
      </c>
    </row>
    <row collapsed="false" customFormat="false" customHeight="false" hidden="false" ht="12.75" outlineLevel="0" r="130">
      <c r="A130" s="123" t="n">
        <v>0.0121499</v>
      </c>
      <c r="B130" s="123" t="n">
        <v>0.00425247</v>
      </c>
      <c r="C130" s="124" t="n">
        <v>0.00116367</v>
      </c>
      <c r="D130" s="125" t="n">
        <f aca="false">IF(CouplingMode="AC",B130-(A$11-A$10)*SUM(B$9:B130)/0.21,B130)</f>
        <v>0.00425247</v>
      </c>
      <c r="E130" s="126" t="n">
        <f aca="false">IF(C130&gt;0,C130/RefCellCal,0.00001)</f>
        <v>0.110573156449697</v>
      </c>
      <c r="F130" s="126" t="n">
        <f aca="false">E130-BiasLight</f>
        <v>0.110573156449697</v>
      </c>
      <c r="G130" s="127" t="n">
        <f aca="false">F130*0.038*OptConst/1.602E-019</f>
        <v>18359837462933400</v>
      </c>
      <c r="H130" s="128" t="e">
        <f aca="false">calcconductance(B130,Dark_Voltage,A_cal,B_cal,C_cal)</f>
        <v>#NAME?</v>
      </c>
      <c r="I130" s="127" t="n">
        <f aca="false">IF(MobilityModel=DK,calcdeltan(H130,SampleDoping,Thickness,AreaFrac),calcdeltandl(H130,AreaFrac,Thickness,SampleType,SampleDoping,Temperature))</f>
        <v>24952516219816.5</v>
      </c>
      <c r="J130" s="127" t="str">
        <f aca="false">IF(AND(AND(I130&gt;=FitRangeMin,I130&lt;=FitRangeMax),A130&gt;TimeofMaxCD),I130,"")</f>
        <v/>
      </c>
      <c r="K130" s="127" t="n">
        <f aca="false">IF(I130-BiasPtCD=0,0.00001,I130-BiasPtCD)</f>
        <v>24952516219816.5</v>
      </c>
      <c r="L130" s="129" t="n">
        <f aca="false">IF(ABS(SLOPE(K128:K132,A128:A132))&lt;1000000000000,-1000000000000,(SLOPE(K128:K132,A128:A132)))</f>
        <v>-18500234256191700</v>
      </c>
      <c r="M130" s="73" t="str">
        <f aca="false">IF(E130&gt;0.85*BiasLight,IF( E130&lt;1.15*BiasLight,E130,""),"")</f>
        <v/>
      </c>
      <c r="N130" s="73" t="str">
        <f aca="false">IF(E130&gt;0.85*BiasLight,IF(E130&lt;1.15*BiasLight,I130,""),"")</f>
        <v/>
      </c>
      <c r="O130" s="129" t="n">
        <f aca="false">I130-Traps</f>
        <v>24952516219816.5</v>
      </c>
      <c r="P130" s="127" t="e">
        <f aca="false">calclifetime(AnalysisMode,K130,Thickness,G130,L130)</f>
        <v>#NAME?</v>
      </c>
      <c r="Q130" s="129" t="str">
        <f aca="false">IF($J130="","",P130)</f>
        <v/>
      </c>
      <c r="R130" s="130" t="str">
        <f aca="false">IF(Q130="","",1/Q130)</f>
        <v/>
      </c>
      <c r="S130" s="131" t="n">
        <f aca="false">IF(AND(E130&gt;0.95*BiasLight,E130&lt;1.05*BiasLight),"",IF(AugerModel="Sinton",calclifetimeauger(Auger_Coefficient,I130,P130),calclifetimerichter(SampleType,I130,SampleDoping,P130)))</f>
        <v>38281.7749208662</v>
      </c>
      <c r="T130" s="78" t="str">
        <f aca="false">IF($J130="","",S130)</f>
        <v/>
      </c>
      <c r="U130" s="131" t="n">
        <f aca="false">FitInterceptAuger+FitSlopeAuger*(I130+Traps)</f>
        <v>28907.9388683911</v>
      </c>
      <c r="V130" s="130" t="str">
        <f aca="false">IF(AugerModel="Sinton","",IF(SampleType="n-type",n_intr_boltzmann(SampleDoping,0,K130,Temperature+273.15),n_intr_boltzmann(0,SampleDoping,K130,Temperature+273.15)))</f>
        <v/>
      </c>
      <c r="W130" s="130" t="str">
        <f aca="false">IF(V130="","",IF(T130="","",(V130^2)*T130))</f>
        <v/>
      </c>
      <c r="X130" s="125" t="n">
        <f aca="false">IF(AND(A130&gt;TimeofMaxCD,I130&gt;Traps),IF(AugerModel="Sinton",calcimpliedv(SampleDoping,O130),calcimpliedvrichter(O130,SampleDoping,V130)),"")</f>
        <v>0.536201696557797</v>
      </c>
      <c r="Y130" s="132" t="e">
        <f aca="false">IF(OR(P130="",P130&lt;0,A130&lt;=TimeofMaxCD),"",(O130*Thickness*1.602E-019/(0.038*OptConst*P130)))</f>
        <v>#NAME?</v>
      </c>
      <c r="Z130" s="77" t="str">
        <f aca="false">IF(C130&gt;0.6,O130,"")</f>
        <v/>
      </c>
      <c r="AE130" s="130" t="e">
        <f aca="false">H130/(K130*AreaFrac*Thickness*1.602E-019)</f>
        <v>#NAME?</v>
      </c>
    </row>
    <row collapsed="false" customFormat="false" customHeight="false" hidden="false" ht="12.75" outlineLevel="0" r="131">
      <c r="A131" s="123" t="n">
        <v>0.0122499</v>
      </c>
      <c r="B131" s="123" t="n">
        <v>0.00342239</v>
      </c>
      <c r="C131" s="124" t="n">
        <v>0.00109238</v>
      </c>
      <c r="D131" s="125" t="n">
        <f aca="false">IF(CouplingMode="AC",B131-(A$11-A$10)*SUM(B$9:B131)/0.21,B131)</f>
        <v>0.00342239</v>
      </c>
      <c r="E131" s="126" t="n">
        <f aca="false">IF(C131&gt;0,C131/RefCellCal,0.00001)</f>
        <v>0.103799105109283</v>
      </c>
      <c r="F131" s="126" t="n">
        <f aca="false">E131-BiasLight</f>
        <v>0.103799105109283</v>
      </c>
      <c r="G131" s="127" t="n">
        <f aca="false">F131*0.038*OptConst/1.602E-019</f>
        <v>17235057402665000</v>
      </c>
      <c r="H131" s="128" t="e">
        <f aca="false">calcconductance(B131,Dark_Voltage,A_cal,B_cal,C_cal)</f>
        <v>#NAME?</v>
      </c>
      <c r="I131" s="127" t="n">
        <f aca="false">IF(MobilityModel=DK,calcdeltan(H131,SampleDoping,Thickness,AreaFrac),calcdeltandl(H131,AreaFrac,Thickness,SampleType,SampleDoping,Temperature))</f>
        <v>20061967632947.2</v>
      </c>
      <c r="J131" s="127" t="str">
        <f aca="false">IF(AND(AND(I131&gt;=FitRangeMin,I131&lt;=FitRangeMax),A131&gt;TimeofMaxCD),I131,"")</f>
        <v/>
      </c>
      <c r="K131" s="127" t="n">
        <f aca="false">IF(I131-BiasPtCD=0,0.00001,I131-BiasPtCD)</f>
        <v>20061967632947.2</v>
      </c>
      <c r="L131" s="129" t="n">
        <f aca="false">IF(ABS(SLOPE(K129:K133,A129:A133))&lt;1000000000000,-1000000000000,(SLOPE(K129:K133,A129:A133)))</f>
        <v>-24673813042401300</v>
      </c>
      <c r="M131" s="73" t="str">
        <f aca="false">IF(E131&gt;0.85*BiasLight,IF( E131&lt;1.15*BiasLight,E131,""),"")</f>
        <v/>
      </c>
      <c r="N131" s="73" t="str">
        <f aca="false">IF(E131&gt;0.85*BiasLight,IF(E131&lt;1.15*BiasLight,I131,""),"")</f>
        <v/>
      </c>
      <c r="O131" s="129" t="n">
        <f aca="false">I131-Traps</f>
        <v>20061967632947.2</v>
      </c>
      <c r="P131" s="127" t="e">
        <f aca="false">calclifetime(AnalysisMode,K131,Thickness,G131,L131)</f>
        <v>#NAME?</v>
      </c>
      <c r="Q131" s="129" t="str">
        <f aca="false">IF($J131="","",P131)</f>
        <v/>
      </c>
      <c r="R131" s="130" t="str">
        <f aca="false">IF(Q131="","",1/Q131)</f>
        <v/>
      </c>
      <c r="S131" s="131" t="n">
        <f aca="false">IF(AND(E131&gt;0.95*BiasLight,E131&lt;1.05*BiasLight),"",IF(AugerModel="Sinton",calclifetimeauger(Auger_Coefficient,I131,P131),calclifetimerichter(SampleType,I131,SampleDoping,P131)))</f>
        <v>45061.0568005912</v>
      </c>
      <c r="T131" s="78" t="str">
        <f aca="false">IF($J131="","",S131)</f>
        <v/>
      </c>
      <c r="U131" s="131" t="n">
        <f aca="false">FitInterceptAuger+FitSlopeAuger*(I131+Traps)</f>
        <v>28936.3837567387</v>
      </c>
      <c r="V131" s="130" t="str">
        <f aca="false">IF(AugerModel="Sinton","",IF(SampleType="n-type",n_intr_boltzmann(SampleDoping,0,K131,Temperature+273.15),n_intr_boltzmann(0,SampleDoping,K131,Temperature+273.15)))</f>
        <v/>
      </c>
      <c r="W131" s="130" t="str">
        <f aca="false">IF(V131="","",IF(T131="","",(V131^2)*T131))</f>
        <v/>
      </c>
      <c r="X131" s="125" t="n">
        <f aca="false">IF(AND(A131&gt;TimeofMaxCD,I131&gt;Traps),IF(AugerModel="Sinton",calcimpliedv(SampleDoping,O131),calcimpliedvrichter(O131,SampleDoping,V131)),"")</f>
        <v>0.530560918041221</v>
      </c>
      <c r="Y131" s="132" t="e">
        <f aca="false">IF(OR(P131="",P131&lt;0,A131&lt;=TimeofMaxCD),"",(O131*Thickness*1.602E-019/(0.038*OptConst*P131)))</f>
        <v>#NAME?</v>
      </c>
      <c r="Z131" s="77" t="str">
        <f aca="false">IF(C131&gt;0.6,O131,"")</f>
        <v/>
      </c>
      <c r="AE131" s="130" t="e">
        <f aca="false">H131/(K131*AreaFrac*Thickness*1.602E-019)</f>
        <v>#NAME?</v>
      </c>
    </row>
    <row collapsed="false" customFormat="false" customHeight="false" hidden="false" ht="12.75" outlineLevel="0" r="132">
      <c r="A132" s="123" t="n">
        <v>0.0123499</v>
      </c>
      <c r="B132" s="123" t="n">
        <v>0.00338333</v>
      </c>
      <c r="C132" s="124" t="n">
        <v>0.00101231</v>
      </c>
      <c r="D132" s="125" t="n">
        <f aca="false">IF(CouplingMode="AC",B132-(A$11-A$10)*SUM(B$9:B132)/0.21,B132)</f>
        <v>0.00338333</v>
      </c>
      <c r="E132" s="126" t="n">
        <f aca="false">IF(C132&gt;0,C132/RefCellCal,0.00001)</f>
        <v>0.0961907688653935</v>
      </c>
      <c r="F132" s="126" t="n">
        <f aca="false">E132-BiasLight</f>
        <v>0.0961907688653935</v>
      </c>
      <c r="G132" s="127" t="n">
        <f aca="false">F132*0.038*OptConst/1.602E-019</f>
        <v>15971750635577200</v>
      </c>
      <c r="H132" s="128" t="e">
        <f aca="false">calcconductance(B132,Dark_Voltage,A_cal,B_cal,C_cal)</f>
        <v>#NAME?</v>
      </c>
      <c r="I132" s="127" t="n">
        <f aca="false">IF(MobilityModel=DK,calcdeltan(H132,SampleDoping,Thickness,AreaFrac),calcdeltandl(H132,AreaFrac,Thickness,SampleType,SampleDoping,Temperature))</f>
        <v>19832016491441.1</v>
      </c>
      <c r="J132" s="127" t="str">
        <f aca="false">IF(AND(AND(I132&gt;=FitRangeMin,I132&lt;=FitRangeMax),A132&gt;TimeofMaxCD),I132,"")</f>
        <v/>
      </c>
      <c r="K132" s="127" t="n">
        <f aca="false">IF(I132-BiasPtCD=0,0.00001,I132-BiasPtCD)</f>
        <v>19832016491441.1</v>
      </c>
      <c r="L132" s="129"/>
      <c r="M132" s="73" t="str">
        <f aca="false">IF(E132&gt;0.85*BiasLight,IF( E132&lt;1.15*BiasLight,E132,""),"")</f>
        <v/>
      </c>
      <c r="N132" s="73" t="str">
        <f aca="false">IF(E132&gt;0.85*BiasLight,IF(E132&lt;1.15*BiasLight,I132,""),"")</f>
        <v/>
      </c>
      <c r="O132" s="129" t="n">
        <f aca="false">I132-Traps</f>
        <v>19832016491441.1</v>
      </c>
      <c r="P132" s="127"/>
      <c r="Q132" s="129" t="str">
        <f aca="false">IF($J132="","",P132)</f>
        <v/>
      </c>
      <c r="R132" s="130" t="str">
        <f aca="false">IF(Q132="","",1/Q132)</f>
        <v/>
      </c>
      <c r="S132" s="78"/>
      <c r="T132" s="78" t="str">
        <f aca="false">IF($J132="","",S132)</f>
        <v/>
      </c>
      <c r="U132" s="131" t="n">
        <f aca="false">FitInterceptAuger+FitSlopeAuger*(I132+Traps)</f>
        <v>28937.7212211211</v>
      </c>
      <c r="V132" s="130" t="str">
        <f aca="false">IF(AugerModel="Sinton","",IF(SampleType="n-type",n_intr_boltzmann(SampleDoping,0,K132,Temperature+273.15),n_intr_boltzmann(0,SampleDoping,K132,Temperature+273.15)))</f>
        <v/>
      </c>
      <c r="W132" s="130" t="str">
        <f aca="false">IF(V132="","",IF(T132="","",(V132^2)*T132))</f>
        <v/>
      </c>
      <c r="X132" s="125" t="n">
        <f aca="false">IF(AND(A132&gt;TimeofMaxCD,I132&gt;Traps),IF(AugerModel="Sinton",calcimpliedv(SampleDoping,O132),calcimpliedvrichter(O132,SampleDoping,V132)),"")</f>
        <v>0.530263038412212</v>
      </c>
      <c r="Y132" s="132" t="str">
        <f aca="false">IF(OR(P132="",P132&lt;0,A132&lt;=TimeofMaxCD),"",(O132*Thickness*1.602E-019/(0.038*OptConst*P132)))</f>
        <v/>
      </c>
      <c r="Z132" s="77" t="str">
        <f aca="false">IF(C132&gt;0.6,O132,"")</f>
        <v/>
      </c>
      <c r="AE132" s="130" t="e">
        <f aca="false">H132/(K132*AreaFrac*Thickness*1.602E-019)</f>
        <v>#NAME?</v>
      </c>
    </row>
    <row collapsed="false" customFormat="false" customHeight="false" hidden="false" ht="12.75" outlineLevel="0" r="133">
      <c r="A133" s="123" t="n">
        <v>0.0124499</v>
      </c>
      <c r="B133" s="123" t="n">
        <v>0.00276321</v>
      </c>
      <c r="C133" s="124" t="n">
        <v>0.00093711</v>
      </c>
      <c r="D133" s="125" t="n">
        <f aca="false">IF(CouplingMode="AC",B133-(A$11-A$10)*SUM(B$9:B133)/0.21,B133)</f>
        <v>0.00276321</v>
      </c>
      <c r="E133" s="126" t="n">
        <f aca="false">IF(C133&gt;0,C133/RefCellCal,0.00001)</f>
        <v>0.0890451851818603</v>
      </c>
      <c r="F133" s="126" t="n">
        <f aca="false">E133-BiasLight</f>
        <v>0.0890451851818603</v>
      </c>
      <c r="G133" s="127" t="n">
        <f aca="false">F133*0.038*OptConst/1.602E-019</f>
        <v>14785280435939300</v>
      </c>
      <c r="H133" s="128" t="e">
        <f aca="false">calcconductance(B133,Dark_Voltage,A_cal,B_cal,C_cal)</f>
        <v>#NAME?</v>
      </c>
      <c r="I133" s="127" t="n">
        <f aca="false">IF(MobilityModel=DK,calcdeltan(H133,SampleDoping,Thickness,AreaFrac),calcdeltandl(H133,AreaFrac,Thickness,SampleType,SampleDoping,Temperature))</f>
        <v>16183594725932.2</v>
      </c>
      <c r="J133" s="127" t="str">
        <f aca="false">IF(AND(AND(I133&gt;=FitRangeMin,I133&lt;=FitRangeMax),A133&gt;TimeofMaxCD),I133,"")</f>
        <v/>
      </c>
      <c r="K133" s="127" t="n">
        <f aca="false">IF(I133-BiasPtCD=0,0.00001,I133-BiasPtCD)</f>
        <v>16183594725932.2</v>
      </c>
      <c r="L133" s="129"/>
      <c r="M133" s="73" t="str">
        <f aca="false">IF(E133&gt;0.85*BiasLight,IF( E133&lt;1.15*BiasLight,E133,""),"")</f>
        <v/>
      </c>
      <c r="N133" s="73" t="str">
        <f aca="false">IF(E133&gt;0.85*BiasLight,IF(E133&lt;1.15*BiasLight,I133,""),"")</f>
        <v/>
      </c>
      <c r="O133" s="129" t="n">
        <f aca="false">I133-Traps</f>
        <v>16183594725932.2</v>
      </c>
      <c r="P133" s="127"/>
      <c r="Q133" s="129" t="str">
        <f aca="false">IF($J133="","",P133)</f>
        <v/>
      </c>
      <c r="R133" s="130" t="str">
        <f aca="false">IF(Q133="","",1/Q133)</f>
        <v/>
      </c>
      <c r="S133" s="78"/>
      <c r="T133" s="78" t="str">
        <f aca="false">IF($J133="","",S133)</f>
        <v/>
      </c>
      <c r="U133" s="131" t="n">
        <f aca="false">FitInterceptAuger+FitSlopeAuger*(I133+Traps)</f>
        <v>28958.9415296246</v>
      </c>
      <c r="V133" s="130" t="str">
        <f aca="false">IF(AugerModel="Sinton","",IF(SampleType="n-type",n_intr_boltzmann(SampleDoping,0,K133,Temperature+273.15),n_intr_boltzmann(0,SampleDoping,K133,Temperature+273.15)))</f>
        <v/>
      </c>
      <c r="W133" s="130" t="str">
        <f aca="false">IF(V133="","",IF(T133="","",(V133^2)*T133))</f>
        <v/>
      </c>
      <c r="X133" s="125" t="n">
        <f aca="false">IF(AND(A133&gt;TimeofMaxCD,I133&gt;Traps),IF(AugerModel="Sinton",calcimpliedv(SampleDoping,O133),calcimpliedvrichter(O133,SampleDoping,V133)),"")</f>
        <v>0.525012980558445</v>
      </c>
      <c r="Y133" s="132" t="str">
        <f aca="false">IF(OR(P133="",P133&lt;0,A133&lt;=TimeofMaxCD),"",(O133*Thickness*1.602E-019/(0.038*OptConst*P133)))</f>
        <v/>
      </c>
      <c r="Z133" s="77" t="str">
        <f aca="false">IF(C133&gt;0.6,O133,"")</f>
        <v/>
      </c>
      <c r="AE133" s="130" t="e">
        <f aca="false">H133/(K133*AreaFrac*Thickness*1.602E-019)</f>
        <v>#NAME?</v>
      </c>
    </row>
    <row collapsed="false" customFormat="false" customHeight="false" hidden="false" ht="12.75" outlineLevel="0" r="134">
      <c r="A134" s="135" t="s">
        <v>118</v>
      </c>
      <c r="B134" s="136" t="s">
        <v>119</v>
      </c>
      <c r="C134" s="137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7" t="str">
        <f aca="false">IF(M134="","",1/M134)</f>
        <v/>
      </c>
      <c r="O134" s="78"/>
      <c r="R134" s="78"/>
      <c r="S134" s="78"/>
      <c r="T134" s="78"/>
      <c r="U134" s="78"/>
      <c r="V134" s="130"/>
      <c r="W134" s="130" t="str">
        <f aca="false">IF(V134="","",IF(T134="","",(V134^2)*T134))</f>
        <v/>
      </c>
      <c r="Z134" s="138"/>
      <c r="AE134" s="130"/>
    </row>
    <row collapsed="false" customFormat="false" customHeight="false" hidden="false" ht="12.75" outlineLevel="0" r="135">
      <c r="A135" s="135"/>
      <c r="B135" s="139"/>
      <c r="C135" s="140"/>
      <c r="D135" s="78"/>
      <c r="E135" s="78"/>
      <c r="F135" s="78"/>
      <c r="G135" s="73"/>
      <c r="H135" s="73"/>
      <c r="I135" s="78"/>
      <c r="J135" s="78"/>
      <c r="K135" s="78"/>
      <c r="L135" s="78"/>
      <c r="M135" s="78"/>
      <c r="N135" s="78"/>
      <c r="O135" s="78"/>
      <c r="R135" s="78"/>
      <c r="S135" s="78"/>
      <c r="T135" s="78"/>
      <c r="U135" s="73"/>
      <c r="V135" s="78"/>
      <c r="W135" s="78"/>
      <c r="X135" s="78"/>
      <c r="Y135" s="78"/>
    </row>
    <row collapsed="false" customFormat="false" customHeight="false" hidden="false" ht="12.75" outlineLevel="0" r="136">
      <c r="A136" s="135" t="s">
        <v>120</v>
      </c>
      <c r="B136" s="139" t="s">
        <v>121</v>
      </c>
      <c r="C136" s="141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R136" s="78"/>
      <c r="S136" s="78"/>
      <c r="T136" s="78"/>
      <c r="U136" s="73"/>
      <c r="V136" s="78"/>
      <c r="W136" s="78"/>
      <c r="X136" s="78"/>
      <c r="Y136" s="78"/>
    </row>
    <row collapsed="false" customFormat="false" customHeight="false" hidden="false" ht="12.75" outlineLevel="0" r="137">
      <c r="A137" s="135"/>
      <c r="B137" s="139"/>
      <c r="C137" s="141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R137" s="78"/>
      <c r="S137" s="78"/>
      <c r="T137" s="78"/>
      <c r="U137" s="73"/>
      <c r="V137" s="78"/>
      <c r="W137" s="78"/>
      <c r="X137" s="78"/>
      <c r="Y137" s="78"/>
    </row>
    <row collapsed="false" customFormat="false" customHeight="false" hidden="false" ht="12.75" outlineLevel="0" r="138">
      <c r="A138" s="135" t="s">
        <v>122</v>
      </c>
      <c r="B138" s="139" t="n">
        <v>5</v>
      </c>
      <c r="C138" s="141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R138" s="78"/>
      <c r="S138" s="78"/>
      <c r="T138" s="78"/>
      <c r="U138" s="73"/>
      <c r="V138" s="78"/>
      <c r="W138" s="78"/>
      <c r="X138" s="78"/>
      <c r="Y138" s="78"/>
    </row>
    <row collapsed="false" customFormat="false" customHeight="false" hidden="false" ht="12.75" outlineLevel="0" r="139">
      <c r="A139" s="142"/>
      <c r="B139" s="139"/>
      <c r="C139" s="139"/>
      <c r="D139" s="143"/>
      <c r="E139" s="143"/>
      <c r="F139" s="143"/>
      <c r="G139" s="143"/>
      <c r="H139" s="143"/>
      <c r="I139" s="143"/>
      <c r="J139" s="143"/>
      <c r="K139" s="143"/>
      <c r="L139" s="143"/>
      <c r="M139" s="78"/>
      <c r="N139" s="143"/>
      <c r="O139" s="78"/>
      <c r="P139" s="143"/>
      <c r="Q139" s="143"/>
      <c r="R139" s="143"/>
      <c r="S139" s="143"/>
      <c r="T139" s="143"/>
      <c r="U139" s="143"/>
      <c r="V139" s="143" t="str">
        <f aca="false">IF(User!S6="","",User!S6)</f>
        <v/>
      </c>
      <c r="W139" s="78"/>
    </row>
    <row collapsed="false" customFormat="false" customHeight="false" hidden="false" ht="12.75" outlineLevel="0" r="140">
      <c r="A140" s="135" t="s">
        <v>123</v>
      </c>
      <c r="B140" s="144" t="n">
        <v>5</v>
      </c>
      <c r="C140" s="145"/>
      <c r="D140" s="78"/>
      <c r="E140" s="78"/>
      <c r="F140" s="146"/>
      <c r="G140" s="146"/>
      <c r="H140" s="146"/>
      <c r="I140" s="146"/>
      <c r="J140" s="147"/>
      <c r="K140" s="146"/>
      <c r="L140" s="146"/>
      <c r="M140" s="78"/>
      <c r="N140" s="146"/>
      <c r="O140" s="78"/>
      <c r="P140" s="146"/>
      <c r="Q140" s="146"/>
      <c r="R140" s="146"/>
      <c r="S140" s="146"/>
      <c r="T140" s="78"/>
      <c r="U140" s="78"/>
      <c r="V140" s="78"/>
      <c r="W140" s="78"/>
    </row>
    <row collapsed="false" customFormat="false" customHeight="false" hidden="false" ht="12.75" outlineLevel="0" r="141">
      <c r="A141" s="148"/>
      <c r="B141" s="139"/>
      <c r="C141" s="140"/>
      <c r="D141" s="149"/>
      <c r="E141" s="132"/>
      <c r="F141" s="149"/>
      <c r="G141" s="78"/>
      <c r="H141" s="78"/>
      <c r="I141" s="78"/>
      <c r="J141" s="150"/>
      <c r="K141" s="132"/>
      <c r="L141" s="150"/>
      <c r="N141" s="130"/>
      <c r="P141" s="78"/>
      <c r="Q141" s="132"/>
      <c r="R141" s="130"/>
    </row>
    <row collapsed="false" customFormat="false" customHeight="false" hidden="false" ht="12.75" outlineLevel="0" r="142">
      <c r="A142" s="135" t="s">
        <v>124</v>
      </c>
      <c r="B142" s="139" t="n">
        <v>10</v>
      </c>
      <c r="C142" s="140"/>
      <c r="D142" s="78"/>
      <c r="E142" s="78"/>
      <c r="F142" s="78"/>
      <c r="G142" s="78"/>
      <c r="H142" s="78"/>
      <c r="I142" s="78"/>
      <c r="J142" s="78"/>
      <c r="K142" s="78"/>
      <c r="L142" s="78"/>
      <c r="P142" s="78"/>
      <c r="Q142" s="78"/>
    </row>
    <row collapsed="false" customFormat="false" customHeight="false" hidden="false" ht="12.75" outlineLevel="0" r="143">
      <c r="A143" s="151"/>
      <c r="B143" s="152"/>
      <c r="C143" s="153"/>
    </row>
    <row collapsed="false" customFormat="false" customHeight="false" hidden="false" ht="12.75" outlineLevel="0" r="144">
      <c r="A144" s="151" t="s">
        <v>125</v>
      </c>
      <c r="B144" s="152" t="n">
        <v>20</v>
      </c>
      <c r="C144" s="153"/>
    </row>
    <row collapsed="false" customFormat="false" customHeight="false" hidden="false" ht="12.75" outlineLevel="0" r="145">
      <c r="A145" s="151"/>
      <c r="B145" s="152"/>
      <c r="C145" s="153"/>
    </row>
    <row collapsed="false" customFormat="false" customHeight="false" hidden="false" ht="12.75" outlineLevel="0" r="146">
      <c r="A146" s="151" t="s">
        <v>126</v>
      </c>
      <c r="B146" s="152" t="n">
        <v>1</v>
      </c>
      <c r="C146" s="153"/>
    </row>
    <row collapsed="false" customFormat="false" customHeight="false" hidden="false" ht="12.75" outlineLevel="0" r="147">
      <c r="A147" s="151"/>
      <c r="B147" s="152"/>
      <c r="C147" s="153"/>
    </row>
    <row collapsed="false" customFormat="false" customHeight="false" hidden="false" ht="12.75" outlineLevel="0" r="148">
      <c r="A148" s="151" t="s">
        <v>127</v>
      </c>
      <c r="B148" s="152" t="n">
        <v>1</v>
      </c>
      <c r="C148" s="153"/>
    </row>
    <row collapsed="false" customFormat="false" customHeight="false" hidden="false" ht="12.75" outlineLevel="0" r="149">
      <c r="A149" s="151"/>
      <c r="B149" s="152"/>
      <c r="C149" s="153"/>
    </row>
    <row collapsed="false" customFormat="false" customHeight="false" hidden="false" ht="12.75" outlineLevel="0" r="150">
      <c r="A150" s="151" t="s">
        <v>128</v>
      </c>
      <c r="B150" s="154" t="n">
        <v>3.90599</v>
      </c>
      <c r="C150" s="153"/>
    </row>
    <row collapsed="false" customFormat="false" customHeight="false" hidden="false" ht="12.75" outlineLevel="0" r="151">
      <c r="A151" s="151"/>
      <c r="B151" s="152"/>
      <c r="C151" s="153"/>
    </row>
    <row collapsed="false" customFormat="false" customHeight="false" hidden="false" ht="12.75" outlineLevel="0" r="152">
      <c r="A152" s="151" t="s">
        <v>129</v>
      </c>
      <c r="B152" s="152" t="n">
        <v>0.628311</v>
      </c>
      <c r="C152" s="153"/>
    </row>
    <row collapsed="false" customFormat="false" customHeight="false" hidden="false" ht="12.75" outlineLevel="0" r="153">
      <c r="A153" s="151"/>
      <c r="B153" s="152"/>
      <c r="C153" s="153"/>
    </row>
    <row collapsed="false" customFormat="false" customHeight="false" hidden="false" ht="12.75" outlineLevel="0" r="154">
      <c r="A154" s="151" t="s">
        <v>130</v>
      </c>
      <c r="B154" s="152" t="n">
        <v>125</v>
      </c>
      <c r="C154" s="153"/>
    </row>
    <row collapsed="false" customFormat="false" customHeight="false" hidden="false" ht="12.75" outlineLevel="0" r="155">
      <c r="A155" s="151"/>
      <c r="B155" s="152"/>
      <c r="C155" s="153"/>
    </row>
    <row collapsed="false" customFormat="false" customHeight="false" hidden="false" ht="12.75" outlineLevel="0" r="156">
      <c r="A156" s="151" t="s">
        <v>131</v>
      </c>
      <c r="B156" s="152" t="n">
        <v>12500</v>
      </c>
      <c r="C156" s="153"/>
    </row>
    <row collapsed="false" customFormat="false" customHeight="false" hidden="false" ht="12.75" outlineLevel="0" r="157">
      <c r="A157" s="151"/>
      <c r="B157" s="152"/>
      <c r="C157" s="153"/>
    </row>
    <row collapsed="false" customFormat="false" customHeight="false" hidden="false" ht="12.75" outlineLevel="0" r="158">
      <c r="A158" s="151" t="s">
        <v>132</v>
      </c>
      <c r="B158" s="152" t="n">
        <v>0.2</v>
      </c>
      <c r="C158" s="153"/>
    </row>
    <row collapsed="false" customFormat="false" customHeight="false" hidden="false" ht="12.75" outlineLevel="0" r="159">
      <c r="A159" s="151"/>
      <c r="B159" s="152"/>
      <c r="C159" s="153"/>
    </row>
    <row collapsed="false" customFormat="false" customHeight="false" hidden="false" ht="12.75" outlineLevel="0" r="160">
      <c r="A160" s="151" t="s">
        <v>133</v>
      </c>
      <c r="B160" s="152" t="n">
        <v>0.02</v>
      </c>
      <c r="C160" s="153"/>
    </row>
    <row collapsed="false" customFormat="false" customHeight="false" hidden="false" ht="12.75" outlineLevel="0" r="161">
      <c r="A161" s="151"/>
      <c r="B161" s="152"/>
      <c r="C161" s="153"/>
    </row>
    <row collapsed="false" customFormat="false" customHeight="false" hidden="false" ht="12.75" outlineLevel="0" r="162">
      <c r="A162" s="151" t="s">
        <v>134</v>
      </c>
      <c r="B162" s="152" t="n">
        <v>1000</v>
      </c>
      <c r="C162" s="153"/>
    </row>
    <row collapsed="false" customFormat="false" customHeight="false" hidden="false" ht="12.75" outlineLevel="0" r="163">
      <c r="A163" s="151"/>
      <c r="B163" s="152"/>
      <c r="C163" s="153"/>
    </row>
    <row collapsed="false" customFormat="false" customHeight="false" hidden="false" ht="12.75" outlineLevel="0" r="164">
      <c r="A164" s="151" t="s">
        <v>135</v>
      </c>
      <c r="B164" s="152" t="n">
        <v>0.05</v>
      </c>
      <c r="C164" s="153"/>
    </row>
    <row collapsed="false" customFormat="false" customHeight="false" hidden="false" ht="12.75" outlineLevel="0" r="165">
      <c r="A165" s="151"/>
      <c r="B165" s="152"/>
      <c r="C165" s="153"/>
    </row>
    <row collapsed="false" customFormat="false" customHeight="false" hidden="false" ht="12.75" outlineLevel="0" r="166">
      <c r="A166" s="151" t="s">
        <v>136</v>
      </c>
      <c r="B166" s="152" t="n">
        <v>-0.534245</v>
      </c>
      <c r="C166" s="153"/>
    </row>
    <row collapsed="false" customFormat="false" customHeight="false" hidden="false" ht="12.75" outlineLevel="0" r="167">
      <c r="A167" s="151"/>
      <c r="B167" s="152"/>
      <c r="C167" s="153"/>
    </row>
    <row collapsed="false" customFormat="false" customHeight="false" hidden="false" ht="12.75" outlineLevel="0" r="168">
      <c r="A168" s="151" t="s">
        <v>137</v>
      </c>
      <c r="B168" s="152" t="s">
        <v>119</v>
      </c>
      <c r="C168" s="153"/>
    </row>
    <row collapsed="false" customFormat="false" customHeight="false" hidden="false" ht="12.75" outlineLevel="0" r="169">
      <c r="A169" s="151"/>
      <c r="B169" s="152"/>
      <c r="C169" s="153"/>
    </row>
    <row collapsed="false" customFormat="false" customHeight="false" hidden="false" ht="12.75" outlineLevel="0" r="170">
      <c r="A170" s="151" t="s">
        <v>138</v>
      </c>
      <c r="B170" s="152" t="s">
        <v>119</v>
      </c>
      <c r="C170" s="153"/>
    </row>
    <row collapsed="false" customFormat="false" customHeight="false" hidden="false" ht="12.75" outlineLevel="0" r="171">
      <c r="A171" s="151"/>
      <c r="B171" s="152"/>
      <c r="C171" s="153"/>
    </row>
    <row collapsed="false" customFormat="false" customHeight="false" hidden="false" ht="12.75" outlineLevel="0" r="172">
      <c r="A172" s="151" t="s">
        <v>139</v>
      </c>
      <c r="B172" s="152" t="s">
        <v>121</v>
      </c>
      <c r="C172" s="153"/>
    </row>
    <row collapsed="false" customFormat="false" customHeight="false" hidden="false" ht="12.75" outlineLevel="0" r="173">
      <c r="A173" s="151"/>
      <c r="B173" s="152"/>
      <c r="C173" s="153"/>
    </row>
    <row collapsed="false" customFormat="false" customHeight="false" hidden="false" ht="12.75" outlineLevel="0" r="174">
      <c r="A174" s="151" t="s">
        <v>140</v>
      </c>
      <c r="B174" s="152" t="n">
        <v>20000</v>
      </c>
      <c r="C174" s="153"/>
    </row>
    <row collapsed="false" customFormat="false" customHeight="false" hidden="false" ht="12.75" outlineLevel="0" r="175">
      <c r="A175" s="151"/>
      <c r="B175" s="152"/>
      <c r="C175" s="153"/>
    </row>
    <row collapsed="false" customFormat="false" customHeight="false" hidden="false" ht="12.75" outlineLevel="0" r="176">
      <c r="A176" s="151" t="s">
        <v>141</v>
      </c>
      <c r="B176" s="152" t="n">
        <v>6</v>
      </c>
      <c r="C176" s="153"/>
    </row>
    <row collapsed="false" customFormat="false" customHeight="false" hidden="false" ht="12.75" outlineLevel="0" r="177">
      <c r="A177" s="151"/>
      <c r="B177" s="152"/>
      <c r="C177" s="153"/>
    </row>
    <row collapsed="false" customFormat="false" customHeight="false" hidden="false" ht="12.75" outlineLevel="0" r="178">
      <c r="A178" s="151" t="s">
        <v>142</v>
      </c>
      <c r="B178" s="152" t="n">
        <v>1</v>
      </c>
      <c r="C178" s="153"/>
    </row>
    <row collapsed="false" customFormat="false" customHeight="false" hidden="false" ht="12.75" outlineLevel="0" r="179">
      <c r="A179" s="151"/>
      <c r="B179" s="152"/>
      <c r="C179" s="153"/>
    </row>
    <row collapsed="false" customFormat="false" customHeight="false" hidden="false" ht="12.75" outlineLevel="0" r="180">
      <c r="A180" s="151" t="s">
        <v>143</v>
      </c>
      <c r="B180" s="152" t="n">
        <v>20</v>
      </c>
      <c r="C180" s="153"/>
    </row>
    <row collapsed="false" customFormat="false" customHeight="false" hidden="false" ht="12.75" outlineLevel="0" r="181">
      <c r="A181" s="151"/>
      <c r="B181" s="152"/>
      <c r="C181" s="153"/>
    </row>
    <row collapsed="false" customFormat="false" customHeight="false" hidden="false" ht="12.75" outlineLevel="0" r="182">
      <c r="A182" s="151" t="s">
        <v>144</v>
      </c>
      <c r="B182" s="152" t="n">
        <v>1</v>
      </c>
      <c r="C182" s="153"/>
    </row>
    <row collapsed="false" customFormat="false" customHeight="false" hidden="false" ht="12.75" outlineLevel="0" r="183">
      <c r="A183" s="151"/>
      <c r="B183" s="152"/>
      <c r="C183" s="153"/>
    </row>
    <row collapsed="false" customFormat="false" customHeight="false" hidden="false" ht="12.75" outlineLevel="0" r="184">
      <c r="A184" s="151" t="s">
        <v>145</v>
      </c>
      <c r="B184" s="152" t="s">
        <v>121</v>
      </c>
      <c r="C184" s="153"/>
    </row>
    <row collapsed="false" customFormat="false" customHeight="false" hidden="false" ht="12.75" outlineLevel="0" r="185">
      <c r="A185" s="151"/>
      <c r="B185" s="152"/>
      <c r="C185" s="153"/>
    </row>
    <row collapsed="false" customFormat="false" customHeight="false" hidden="false" ht="12.75" outlineLevel="0" r="186">
      <c r="A186" s="151" t="s">
        <v>146</v>
      </c>
      <c r="B186" s="152"/>
      <c r="C186" s="153"/>
    </row>
    <row collapsed="false" customFormat="false" customHeight="false" hidden="false" ht="12.75" outlineLevel="0" r="187">
      <c r="A187" s="151" t="s">
        <v>147</v>
      </c>
      <c r="B187" s="152" t="n">
        <v>1</v>
      </c>
      <c r="C187" s="153"/>
    </row>
    <row collapsed="false" customFormat="false" customHeight="false" hidden="false" ht="12.75" outlineLevel="0" r="188">
      <c r="A188" s="151"/>
      <c r="B188" s="152"/>
      <c r="C188" s="153"/>
    </row>
    <row collapsed="false" customFormat="false" customHeight="false" hidden="false" ht="12.75" outlineLevel="0" r="189">
      <c r="A189" s="151" t="s">
        <v>148</v>
      </c>
      <c r="B189" s="152" t="n">
        <v>1</v>
      </c>
      <c r="C189" s="153"/>
    </row>
    <row collapsed="false" customFormat="false" customHeight="false" hidden="false" ht="12.75" outlineLevel="0" r="190">
      <c r="A190" s="151"/>
      <c r="B190" s="152"/>
      <c r="C190" s="153"/>
    </row>
    <row collapsed="false" customFormat="false" customHeight="false" hidden="false" ht="12.75" outlineLevel="0" r="191">
      <c r="A191" s="151" t="s">
        <v>149</v>
      </c>
      <c r="B191" s="152" t="n">
        <v>1</v>
      </c>
      <c r="C191" s="153"/>
    </row>
    <row collapsed="false" customFormat="false" customHeight="false" hidden="false" ht="12.75" outlineLevel="0" r="192">
      <c r="A192" s="151"/>
      <c r="B192" s="152"/>
      <c r="C192" s="153"/>
    </row>
    <row collapsed="false" customFormat="false" customHeight="false" hidden="false" ht="12.75" outlineLevel="0" r="193">
      <c r="A193" s="151" t="s">
        <v>150</v>
      </c>
      <c r="B193" s="152" t="n">
        <v>1</v>
      </c>
      <c r="C193" s="153"/>
    </row>
    <row collapsed="false" customFormat="false" customHeight="false" hidden="false" ht="12.75" outlineLevel="0" r="194">
      <c r="A194" s="151"/>
      <c r="B194" s="152"/>
      <c r="C194" s="153"/>
    </row>
    <row collapsed="false" customFormat="false" customHeight="false" hidden="false" ht="12.75" outlineLevel="0" r="195">
      <c r="A195" s="151" t="s">
        <v>151</v>
      </c>
      <c r="B195" s="152" t="n">
        <v>1</v>
      </c>
      <c r="C195" s="153"/>
    </row>
    <row collapsed="false" customFormat="false" customHeight="false" hidden="false" ht="12.75" outlineLevel="0" r="196">
      <c r="A196" s="151"/>
      <c r="B196" s="152"/>
      <c r="C196" s="153"/>
    </row>
    <row collapsed="false" customFormat="false" customHeight="false" hidden="false" ht="12.75" outlineLevel="0" r="197">
      <c r="A197" s="151" t="s">
        <v>152</v>
      </c>
      <c r="B197" s="152" t="n">
        <v>1</v>
      </c>
      <c r="C197" s="153"/>
    </row>
    <row collapsed="false" customFormat="false" customHeight="false" hidden="false" ht="12.75" outlineLevel="0" r="198">
      <c r="A198" s="151"/>
      <c r="B198" s="152"/>
      <c r="C198" s="153"/>
    </row>
    <row collapsed="false" customFormat="false" customHeight="false" hidden="false" ht="12.75" outlineLevel="0" r="199">
      <c r="A199" s="151" t="s">
        <v>153</v>
      </c>
      <c r="B199" s="152" t="n">
        <v>1</v>
      </c>
      <c r="C199" s="153"/>
    </row>
    <row collapsed="false" customFormat="false" customHeight="false" hidden="false" ht="12.75" outlineLevel="0" r="200">
      <c r="A200" s="151"/>
      <c r="B200" s="152"/>
      <c r="C200" s="152"/>
      <c r="D200" s="138"/>
      <c r="E200" s="138"/>
      <c r="F200" s="138"/>
      <c r="G200" s="138"/>
      <c r="H200" s="138"/>
      <c r="I200" s="138"/>
      <c r="J200" s="138"/>
      <c r="K200" s="138"/>
      <c r="L200" s="138"/>
      <c r="N200" s="138"/>
      <c r="P200" s="138"/>
      <c r="Q200" s="138"/>
      <c r="R200" s="138"/>
      <c r="S200" s="138"/>
    </row>
    <row collapsed="false" customFormat="false" customHeight="false" hidden="false" ht="12.75" outlineLevel="0" r="201">
      <c r="A201" s="151" t="s">
        <v>154</v>
      </c>
      <c r="B201" s="152" t="n">
        <v>1</v>
      </c>
      <c r="C201" s="153"/>
    </row>
    <row collapsed="false" customFormat="false" customHeight="false" hidden="false" ht="12.75" outlineLevel="0" r="202">
      <c r="A202" s="151"/>
      <c r="B202" s="152"/>
      <c r="C202" s="153"/>
    </row>
    <row collapsed="false" customFormat="false" customHeight="false" hidden="false" ht="12.75" outlineLevel="0" r="203">
      <c r="A203" s="151" t="s">
        <v>155</v>
      </c>
      <c r="B203" s="152" t="n">
        <v>1</v>
      </c>
      <c r="C203" s="153"/>
    </row>
    <row collapsed="false" customFormat="false" customHeight="false" hidden="false" ht="12.75" outlineLevel="0" r="204">
      <c r="A204" s="151"/>
      <c r="B204" s="152"/>
      <c r="C204" s="153"/>
    </row>
    <row collapsed="false" customFormat="false" customHeight="false" hidden="false" ht="12.75" outlineLevel="0" r="205">
      <c r="A205" s="151" t="s">
        <v>156</v>
      </c>
      <c r="B205" s="152" t="s">
        <v>121</v>
      </c>
      <c r="C205" s="153"/>
    </row>
    <row collapsed="false" customFormat="false" customHeight="false" hidden="false" ht="12.75" outlineLevel="0" r="206">
      <c r="A206" s="151"/>
      <c r="B206" s="152"/>
      <c r="C206" s="153"/>
    </row>
    <row collapsed="false" customFormat="false" customHeight="false" hidden="false" ht="12.75" outlineLevel="0" r="207">
      <c r="A207" s="151" t="s">
        <v>157</v>
      </c>
      <c r="B207" s="152" t="n">
        <v>1</v>
      </c>
      <c r="C207" s="153"/>
    </row>
    <row collapsed="false" customFormat="false" customHeight="false" hidden="false" ht="12.75" outlineLevel="0" r="208">
      <c r="A208" s="151"/>
      <c r="B208" s="152"/>
      <c r="C208" s="153"/>
    </row>
    <row collapsed="false" customFormat="false" customHeight="false" hidden="false" ht="12.75" outlineLevel="0" r="209">
      <c r="A209" s="151" t="s">
        <v>158</v>
      </c>
      <c r="B209" s="152" t="n">
        <v>1</v>
      </c>
      <c r="C209" s="153"/>
    </row>
    <row collapsed="false" customFormat="false" customHeight="false" hidden="false" ht="12.75" outlineLevel="0" r="210">
      <c r="A210" s="151"/>
      <c r="B210" s="152"/>
      <c r="C210" s="153"/>
    </row>
    <row collapsed="false" customFormat="false" customHeight="false" hidden="false" ht="12.75" outlineLevel="0" r="211">
      <c r="A211" s="151" t="s">
        <v>159</v>
      </c>
      <c r="B211" s="152" t="n">
        <v>1</v>
      </c>
      <c r="C211" s="153"/>
    </row>
    <row collapsed="false" customFormat="false" customHeight="false" hidden="false" ht="12.75" outlineLevel="0" r="212">
      <c r="A212" s="151"/>
      <c r="B212" s="152"/>
      <c r="C212" s="153"/>
    </row>
    <row collapsed="false" customFormat="false" customHeight="false" hidden="false" ht="12.75" outlineLevel="0" r="213">
      <c r="A213" s="151" t="s">
        <v>160</v>
      </c>
      <c r="B213" s="152" t="n">
        <v>1</v>
      </c>
      <c r="C213" s="153"/>
    </row>
    <row collapsed="false" customFormat="false" customHeight="false" hidden="false" ht="12.75" outlineLevel="0" r="214">
      <c r="A214" s="151"/>
      <c r="B214" s="152"/>
      <c r="C214" s="153"/>
    </row>
    <row collapsed="false" customFormat="false" customHeight="false" hidden="false" ht="12.75" outlineLevel="0" r="215">
      <c r="A215" s="151" t="s">
        <v>161</v>
      </c>
      <c r="B215" s="152" t="n">
        <v>1</v>
      </c>
      <c r="C215" s="153"/>
    </row>
    <row collapsed="false" customFormat="false" customHeight="false" hidden="false" ht="12.75" outlineLevel="0" r="216">
      <c r="A216" s="151"/>
      <c r="B216" s="152"/>
      <c r="C216" s="153"/>
    </row>
    <row collapsed="false" customFormat="false" customHeight="false" hidden="false" ht="12.75" outlineLevel="0" r="217">
      <c r="A217" s="151" t="s">
        <v>162</v>
      </c>
      <c r="B217" s="152" t="n">
        <v>1</v>
      </c>
      <c r="C217" s="153"/>
    </row>
    <row collapsed="false" customFormat="false" customHeight="false" hidden="false" ht="12.75" outlineLevel="0" r="218">
      <c r="A218" s="151"/>
      <c r="B218" s="152"/>
      <c r="C218" s="153"/>
    </row>
    <row collapsed="false" customFormat="false" customHeight="false" hidden="false" ht="12.75" outlineLevel="0" r="219">
      <c r="A219" s="151" t="s">
        <v>163</v>
      </c>
      <c r="B219" s="152" t="n">
        <v>1</v>
      </c>
      <c r="C219" s="153"/>
    </row>
    <row collapsed="false" customFormat="false" customHeight="false" hidden="false" ht="12.75" outlineLevel="0" r="220">
      <c r="A220" s="151"/>
      <c r="B220" s="152"/>
      <c r="C220" s="153"/>
    </row>
    <row collapsed="false" customFormat="false" customHeight="false" hidden="false" ht="12.75" outlineLevel="0" r="221">
      <c r="A221" s="151" t="s">
        <v>164</v>
      </c>
      <c r="B221" s="152" t="n">
        <v>1</v>
      </c>
      <c r="C221" s="153"/>
    </row>
    <row collapsed="false" customFormat="false" customHeight="false" hidden="false" ht="12.75" outlineLevel="0" r="222">
      <c r="A222" s="151"/>
      <c r="B222" s="152"/>
      <c r="C222" s="153"/>
    </row>
    <row collapsed="false" customFormat="false" customHeight="false" hidden="false" ht="12.75" outlineLevel="0" r="223">
      <c r="A223" s="151" t="s">
        <v>165</v>
      </c>
      <c r="B223" s="152" t="n">
        <v>1</v>
      </c>
      <c r="C223" s="153"/>
    </row>
    <row collapsed="false" customFormat="false" customHeight="false" hidden="false" ht="12.75" outlineLevel="0" r="224">
      <c r="A224" s="151"/>
      <c r="B224" s="152"/>
      <c r="C224" s="153"/>
    </row>
    <row collapsed="false" customFormat="false" customHeight="false" hidden="false" ht="12.75" outlineLevel="0" r="225">
      <c r="A225" s="151" t="s">
        <v>166</v>
      </c>
      <c r="B225" s="152" t="n">
        <v>1</v>
      </c>
      <c r="C225" s="153"/>
    </row>
    <row collapsed="false" customFormat="false" customHeight="false" hidden="false" ht="12.75" outlineLevel="0" r="226">
      <c r="A226" s="151"/>
      <c r="B226" s="152"/>
      <c r="C226" s="153"/>
    </row>
    <row collapsed="false" customFormat="false" customHeight="false" hidden="false" ht="12.75" outlineLevel="0" r="227">
      <c r="A227" s="151" t="s">
        <v>167</v>
      </c>
      <c r="B227" s="152" t="n">
        <v>1</v>
      </c>
      <c r="C227" s="153"/>
    </row>
    <row collapsed="false" customFormat="false" customHeight="false" hidden="false" ht="12.75" outlineLevel="0" r="228">
      <c r="A228" s="151"/>
      <c r="B228" s="152"/>
      <c r="C228" s="153"/>
    </row>
    <row collapsed="false" customFormat="false" customHeight="false" hidden="false" ht="12.75" outlineLevel="0" r="229">
      <c r="A229" s="151" t="s">
        <v>168</v>
      </c>
      <c r="B229" s="152" t="n">
        <v>1</v>
      </c>
      <c r="C229" s="153"/>
    </row>
    <row collapsed="false" customFormat="false" customHeight="false" hidden="false" ht="12.75" outlineLevel="0" r="230">
      <c r="A230" s="151"/>
      <c r="B230" s="152"/>
      <c r="C230" s="153"/>
    </row>
    <row collapsed="false" customFormat="false" customHeight="false" hidden="false" ht="12.75" outlineLevel="0" r="231">
      <c r="A231" s="151" t="s">
        <v>169</v>
      </c>
      <c r="B231" s="152" t="n">
        <v>1</v>
      </c>
      <c r="C231" s="153"/>
    </row>
    <row collapsed="false" customFormat="false" customHeight="false" hidden="false" ht="12.75" outlineLevel="0" r="232">
      <c r="A232" s="151"/>
      <c r="B232" s="152"/>
      <c r="C232" s="153"/>
    </row>
    <row collapsed="false" customFormat="false" customHeight="false" hidden="false" ht="12.75" outlineLevel="0" r="233">
      <c r="A233" s="151" t="s">
        <v>170</v>
      </c>
      <c r="B233" s="152" t="n">
        <v>1</v>
      </c>
      <c r="C233" s="153"/>
    </row>
    <row collapsed="false" customFormat="false" customHeight="false" hidden="false" ht="12.75" outlineLevel="0" r="234">
      <c r="A234" s="151"/>
      <c r="B234" s="152"/>
      <c r="C234" s="153"/>
    </row>
    <row collapsed="false" customFormat="false" customHeight="false" hidden="false" ht="12.75" outlineLevel="0" r="235">
      <c r="A235" s="151" t="s">
        <v>171</v>
      </c>
      <c r="B235" s="152" t="n">
        <v>1</v>
      </c>
      <c r="C235" s="153"/>
    </row>
    <row collapsed="false" customFormat="false" customHeight="false" hidden="false" ht="12.75" outlineLevel="0" r="236">
      <c r="A236" s="151"/>
      <c r="B236" s="152"/>
      <c r="C236" s="153"/>
    </row>
    <row collapsed="false" customFormat="false" customHeight="false" hidden="false" ht="12.75" outlineLevel="0" r="237">
      <c r="A237" s="151" t="s">
        <v>172</v>
      </c>
      <c r="B237" s="152" t="n">
        <v>1</v>
      </c>
      <c r="C237" s="153"/>
    </row>
    <row collapsed="false" customFormat="false" customHeight="false" hidden="false" ht="12.75" outlineLevel="0" r="238">
      <c r="A238" s="151"/>
      <c r="B238" s="152"/>
      <c r="C238" s="153"/>
    </row>
    <row collapsed="false" customFormat="false" customHeight="false" hidden="false" ht="12.75" outlineLevel="0" r="239">
      <c r="A239" s="151" t="s">
        <v>173</v>
      </c>
      <c r="B239" s="152" t="n">
        <v>1</v>
      </c>
      <c r="C239" s="153"/>
    </row>
    <row collapsed="false" customFormat="false" customHeight="false" hidden="false" ht="12.75" outlineLevel="0" r="240">
      <c r="A240" s="151"/>
      <c r="B240" s="152"/>
      <c r="C240" s="153"/>
    </row>
    <row collapsed="false" customFormat="false" customHeight="false" hidden="false" ht="12.75" outlineLevel="0" r="241">
      <c r="A241" s="151" t="s">
        <v>174</v>
      </c>
      <c r="B241" s="152" t="n">
        <v>1</v>
      </c>
      <c r="C241" s="153"/>
    </row>
    <row collapsed="false" customFormat="false" customHeight="false" hidden="false" ht="12.75" outlineLevel="0" r="242">
      <c r="A242" s="151"/>
      <c r="B242" s="152"/>
      <c r="C242" s="153"/>
    </row>
    <row collapsed="false" customFormat="false" customHeight="false" hidden="false" ht="12.75" outlineLevel="0" r="243">
      <c r="A243" s="151" t="s">
        <v>175</v>
      </c>
      <c r="B243" s="152" t="n">
        <v>1</v>
      </c>
      <c r="C243" s="153"/>
    </row>
    <row collapsed="false" customFormat="false" customHeight="false" hidden="false" ht="12.75" outlineLevel="0" r="244">
      <c r="A244" s="151"/>
      <c r="B244" s="152"/>
      <c r="C244" s="153"/>
    </row>
    <row collapsed="false" customFormat="false" customHeight="false" hidden="false" ht="12.75" outlineLevel="0" r="245">
      <c r="A245" s="151" t="s">
        <v>176</v>
      </c>
      <c r="B245" s="152" t="n">
        <v>1</v>
      </c>
      <c r="C245" s="153"/>
    </row>
    <row collapsed="false" customFormat="false" customHeight="false" hidden="false" ht="12.75" outlineLevel="0" r="246">
      <c r="A246" s="151"/>
      <c r="B246" s="152"/>
      <c r="C246" s="153"/>
    </row>
    <row collapsed="false" customFormat="false" customHeight="false" hidden="false" ht="12.75" outlineLevel="0" r="247">
      <c r="A247" s="151" t="s">
        <v>177</v>
      </c>
      <c r="B247" s="152" t="n">
        <v>1</v>
      </c>
      <c r="C247" s="153"/>
    </row>
    <row collapsed="false" customFormat="false" customHeight="false" hidden="false" ht="12.75" outlineLevel="0" r="248">
      <c r="A248" s="151"/>
      <c r="B248" s="152"/>
      <c r="C248" s="153"/>
    </row>
    <row collapsed="false" customFormat="false" customHeight="false" hidden="false" ht="12.75" outlineLevel="0" r="249">
      <c r="A249" s="151" t="s">
        <v>178</v>
      </c>
      <c r="B249" s="152" t="n">
        <v>1</v>
      </c>
      <c r="C249" s="153"/>
    </row>
    <row collapsed="false" customFormat="false" customHeight="false" hidden="false" ht="12.75" outlineLevel="0" r="250">
      <c r="A250" s="151"/>
      <c r="B250" s="152"/>
      <c r="C250" s="153"/>
    </row>
    <row collapsed="false" customFormat="false" customHeight="false" hidden="false" ht="12.75" outlineLevel="0" r="251">
      <c r="A251" s="151" t="s">
        <v>179</v>
      </c>
      <c r="B251" s="152" t="n">
        <v>1</v>
      </c>
      <c r="C251" s="153"/>
    </row>
    <row collapsed="false" customFormat="false" customHeight="false" hidden="false" ht="12.75" outlineLevel="0" r="252">
      <c r="A252" s="151"/>
      <c r="B252" s="152"/>
      <c r="C252" s="153"/>
    </row>
    <row collapsed="false" customFormat="false" customHeight="false" hidden="false" ht="12.75" outlineLevel="0" r="253">
      <c r="A253" s="151" t="s">
        <v>180</v>
      </c>
      <c r="B253" s="152" t="n">
        <v>1</v>
      </c>
      <c r="C253" s="153"/>
    </row>
    <row collapsed="false" customFormat="false" customHeight="false" hidden="false" ht="12.75" outlineLevel="0" r="254">
      <c r="A254" s="151"/>
      <c r="B254" s="152"/>
      <c r="C254" s="153"/>
    </row>
    <row collapsed="false" customFormat="false" customHeight="false" hidden="false" ht="12.75" outlineLevel="0" r="255">
      <c r="A255" s="151" t="s">
        <v>181</v>
      </c>
      <c r="B255" s="152" t="n">
        <v>1</v>
      </c>
      <c r="C255" s="153"/>
    </row>
    <row collapsed="false" customFormat="false" customHeight="false" hidden="false" ht="12.75" outlineLevel="0" r="256">
      <c r="A256" s="151"/>
      <c r="B256" s="152"/>
      <c r="C256" s="153"/>
    </row>
    <row collapsed="false" customFormat="false" customHeight="false" hidden="false" ht="12.75" outlineLevel="0" r="257">
      <c r="A257" s="151" t="s">
        <v>182</v>
      </c>
      <c r="B257" s="152" t="n">
        <v>1</v>
      </c>
      <c r="C257" s="153"/>
    </row>
    <row collapsed="false" customFormat="false" customHeight="false" hidden="false" ht="12.75" outlineLevel="0" r="258">
      <c r="A258" s="151"/>
      <c r="B258" s="152"/>
      <c r="C258" s="153"/>
    </row>
    <row collapsed="false" customFormat="false" customHeight="false" hidden="false" ht="12.75" outlineLevel="0" r="259">
      <c r="A259" s="151" t="s">
        <v>183</v>
      </c>
      <c r="B259" s="152" t="n">
        <v>1</v>
      </c>
      <c r="C259" s="153"/>
    </row>
    <row collapsed="false" customFormat="false" customHeight="false" hidden="false" ht="12.75" outlineLevel="0" r="260">
      <c r="A260" s="151"/>
      <c r="B260" s="152"/>
      <c r="C260" s="153"/>
    </row>
    <row collapsed="false" customFormat="false" customHeight="false" hidden="false" ht="12.75" outlineLevel="0" r="261">
      <c r="A261" s="151" t="s">
        <v>184</v>
      </c>
      <c r="B261" s="152" t="n">
        <v>1</v>
      </c>
      <c r="C261" s="153"/>
    </row>
    <row collapsed="false" customFormat="false" customHeight="false" hidden="false" ht="12.75" outlineLevel="0" r="262">
      <c r="A262" s="151"/>
      <c r="B262" s="152"/>
      <c r="C262" s="153"/>
    </row>
    <row collapsed="false" customFormat="false" customHeight="false" hidden="false" ht="12.75" outlineLevel="0" r="263">
      <c r="A263" s="151" t="s">
        <v>185</v>
      </c>
      <c r="B263" s="152" t="n">
        <v>1</v>
      </c>
      <c r="C263" s="153"/>
    </row>
    <row collapsed="false" customFormat="false" customHeight="false" hidden="false" ht="12.75" outlineLevel="0" r="264">
      <c r="A264" s="151"/>
      <c r="B264" s="152"/>
      <c r="C264" s="153"/>
    </row>
    <row collapsed="false" customFormat="false" customHeight="false" hidden="false" ht="12.75" outlineLevel="0" r="265">
      <c r="A265" s="151" t="s">
        <v>186</v>
      </c>
      <c r="B265" s="152" t="n">
        <v>1</v>
      </c>
      <c r="C265" s="153"/>
    </row>
    <row collapsed="false" customFormat="false" customHeight="false" hidden="false" ht="12.75" outlineLevel="0" r="266">
      <c r="A266" s="151"/>
      <c r="B266" s="152"/>
      <c r="C266" s="153"/>
    </row>
    <row collapsed="false" customFormat="false" customHeight="false" hidden="false" ht="12.75" outlineLevel="0" r="267">
      <c r="A267" s="151" t="s">
        <v>187</v>
      </c>
      <c r="B267" s="152"/>
      <c r="C267" s="153"/>
    </row>
    <row collapsed="false" customFormat="false" customHeight="false" hidden="false" ht="12.75" outlineLevel="0" r="268">
      <c r="A268" s="151" t="s">
        <v>188</v>
      </c>
      <c r="B268" s="152" t="s">
        <v>121</v>
      </c>
      <c r="C268" s="153"/>
    </row>
    <row collapsed="false" customFormat="false" customHeight="false" hidden="false" ht="12.75" outlineLevel="0" r="269">
      <c r="A269" s="151"/>
      <c r="B269" s="152"/>
      <c r="C269" s="153"/>
    </row>
    <row collapsed="false" customFormat="false" customHeight="false" hidden="false" ht="12.75" outlineLevel="0" r="270">
      <c r="A270" s="151" t="s">
        <v>189</v>
      </c>
      <c r="B270" s="152" t="s">
        <v>190</v>
      </c>
      <c r="C270" s="153"/>
    </row>
    <row collapsed="false" customFormat="false" customHeight="false" hidden="false" ht="12.75" outlineLevel="0" r="271">
      <c r="A271" s="151"/>
      <c r="B271" s="152"/>
      <c r="C271" s="153"/>
    </row>
    <row collapsed="false" customFormat="false" customHeight="false" hidden="false" ht="12.75" outlineLevel="0" r="272">
      <c r="A272" s="151" t="s">
        <v>191</v>
      </c>
      <c r="B272" s="152" t="s">
        <v>190</v>
      </c>
      <c r="C272" s="153"/>
    </row>
    <row collapsed="false" customFormat="false" customHeight="false" hidden="false" ht="12.75" outlineLevel="0" r="273">
      <c r="A273" s="151"/>
      <c r="B273" s="152"/>
      <c r="C273" s="153"/>
    </row>
    <row collapsed="false" customFormat="false" customHeight="false" hidden="false" ht="12.75" outlineLevel="0" r="274">
      <c r="A274" s="151" t="s">
        <v>192</v>
      </c>
      <c r="B274" s="152" t="s">
        <v>121</v>
      </c>
      <c r="C274" s="153"/>
    </row>
    <row collapsed="false" customFormat="false" customHeight="false" hidden="false" ht="12.75" outlineLevel="0" r="275">
      <c r="A275" s="151"/>
      <c r="B275" s="152"/>
      <c r="C275" s="153"/>
    </row>
    <row collapsed="false" customFormat="false" customHeight="false" hidden="false" ht="12.75" outlineLevel="0" r="276">
      <c r="A276" s="151" t="s">
        <v>193</v>
      </c>
      <c r="B276" s="152" t="s">
        <v>190</v>
      </c>
      <c r="C276" s="153"/>
    </row>
    <row collapsed="false" customFormat="false" customHeight="false" hidden="false" ht="12.75" outlineLevel="0" r="277">
      <c r="A277" s="151"/>
      <c r="B277" s="152"/>
      <c r="C277" s="153"/>
    </row>
    <row collapsed="false" customFormat="false" customHeight="false" hidden="false" ht="12.75" outlineLevel="0" r="278">
      <c r="A278" s="151" t="s">
        <v>194</v>
      </c>
      <c r="B278" s="152" t="s">
        <v>121</v>
      </c>
      <c r="C278" s="153"/>
    </row>
    <row collapsed="false" customFormat="false" customHeight="false" hidden="false" ht="12.75" outlineLevel="0" r="279">
      <c r="A279" s="151"/>
      <c r="B279" s="152"/>
      <c r="C279" s="153"/>
    </row>
    <row collapsed="false" customFormat="false" customHeight="false" hidden="false" ht="12.75" outlineLevel="0" r="280">
      <c r="A280" s="151" t="s">
        <v>195</v>
      </c>
      <c r="B280" s="152" t="s">
        <v>190</v>
      </c>
      <c r="C280" s="153"/>
    </row>
    <row collapsed="false" customFormat="false" customHeight="false" hidden="false" ht="12.75" outlineLevel="0" r="281">
      <c r="A281" s="151"/>
      <c r="B281" s="152"/>
      <c r="C281" s="153"/>
    </row>
    <row collapsed="false" customFormat="false" customHeight="false" hidden="false" ht="12.75" outlineLevel="0" r="282">
      <c r="A282" s="151" t="s">
        <v>196</v>
      </c>
      <c r="B282" s="152" t="n">
        <v>1</v>
      </c>
      <c r="C282" s="153"/>
    </row>
    <row collapsed="false" customFormat="false" customHeight="false" hidden="false" ht="12.75" outlineLevel="0" r="283">
      <c r="A283" s="151"/>
      <c r="B283" s="152"/>
      <c r="C283" s="153"/>
    </row>
    <row collapsed="false" customFormat="false" customHeight="false" hidden="false" ht="12.75" outlineLevel="0" r="284">
      <c r="A284" s="151" t="s">
        <v>197</v>
      </c>
      <c r="B284" s="152" t="n">
        <v>1</v>
      </c>
      <c r="C284" s="153"/>
    </row>
    <row collapsed="false" customFormat="false" customHeight="false" hidden="false" ht="12.75" outlineLevel="0" r="285">
      <c r="A285" s="151"/>
      <c r="B285" s="152"/>
      <c r="C285" s="153"/>
    </row>
    <row collapsed="false" customFormat="false" customHeight="false" hidden="false" ht="12.75" outlineLevel="0" r="286">
      <c r="A286" s="151" t="s">
        <v>198</v>
      </c>
      <c r="B286" s="152" t="n">
        <v>1</v>
      </c>
      <c r="C286" s="153"/>
    </row>
    <row collapsed="false" customFormat="false" customHeight="false" hidden="false" ht="12.75" outlineLevel="0" r="287">
      <c r="A287" s="151"/>
      <c r="B287" s="152"/>
      <c r="C287" s="153"/>
    </row>
    <row collapsed="false" customFormat="false" customHeight="false" hidden="false" ht="12.75" outlineLevel="0" r="288">
      <c r="A288" s="151" t="s">
        <v>199</v>
      </c>
      <c r="B288" s="152" t="s">
        <v>190</v>
      </c>
      <c r="C288" s="153"/>
    </row>
    <row collapsed="false" customFormat="false" customHeight="false" hidden="false" ht="12.75" outlineLevel="0" r="289">
      <c r="A289" s="151"/>
      <c r="B289" s="152"/>
      <c r="C289" s="153"/>
    </row>
    <row collapsed="false" customFormat="false" customHeight="false" hidden="false" ht="12.75" outlineLevel="0" r="290">
      <c r="A290" s="151" t="s">
        <v>200</v>
      </c>
      <c r="B290" s="152" t="s">
        <v>190</v>
      </c>
      <c r="C290" s="153"/>
    </row>
    <row collapsed="false" customFormat="false" customHeight="false" hidden="false" ht="12.75" outlineLevel="0" r="291">
      <c r="A291" s="151"/>
      <c r="B291" s="152"/>
      <c r="C291" s="153"/>
    </row>
    <row collapsed="false" customFormat="false" customHeight="false" hidden="false" ht="12.75" outlineLevel="0" r="292">
      <c r="A292" s="151" t="s">
        <v>201</v>
      </c>
      <c r="B292" s="152" t="n">
        <v>1</v>
      </c>
      <c r="C292" s="153"/>
    </row>
    <row collapsed="false" customFormat="false" customHeight="false" hidden="false" ht="12.75" outlineLevel="0" r="293">
      <c r="A293" s="151"/>
      <c r="B293" s="152"/>
      <c r="C293" s="153"/>
    </row>
    <row collapsed="false" customFormat="false" customHeight="false" hidden="false" ht="12.75" outlineLevel="0" r="294">
      <c r="A294" s="151" t="s">
        <v>202</v>
      </c>
      <c r="B294" s="152" t="n">
        <v>1</v>
      </c>
      <c r="C294" s="153"/>
    </row>
    <row collapsed="false" customFormat="false" customHeight="false" hidden="false" ht="12.75" outlineLevel="0" r="295">
      <c r="A295" s="151"/>
      <c r="B295" s="152"/>
      <c r="C295" s="153"/>
    </row>
    <row collapsed="false" customFormat="false" customHeight="false" hidden="false" ht="12.75" outlineLevel="0" r="296">
      <c r="A296" s="151" t="s">
        <v>203</v>
      </c>
      <c r="B296" s="152" t="s">
        <v>190</v>
      </c>
      <c r="C296" s="153"/>
    </row>
    <row collapsed="false" customFormat="false" customHeight="false" hidden="false" ht="12.75" outlineLevel="0" r="297">
      <c r="A297" s="151"/>
      <c r="B297" s="152"/>
      <c r="C297" s="153"/>
    </row>
    <row collapsed="false" customFormat="false" customHeight="false" hidden="false" ht="12.75" outlineLevel="0" r="298">
      <c r="A298" s="151" t="s">
        <v>204</v>
      </c>
      <c r="B298" s="152" t="s">
        <v>190</v>
      </c>
      <c r="C298" s="153"/>
    </row>
    <row collapsed="false" customFormat="false" customHeight="false" hidden="false" ht="12.75" outlineLevel="0" r="299">
      <c r="A299" s="151"/>
      <c r="B299" s="152"/>
      <c r="C299" s="153"/>
    </row>
    <row collapsed="false" customFormat="false" customHeight="false" hidden="false" ht="12.75" outlineLevel="0" r="300">
      <c r="A300" s="151" t="s">
        <v>205</v>
      </c>
      <c r="B300" s="152"/>
      <c r="C300" s="153"/>
    </row>
    <row collapsed="false" customFormat="false" customHeight="false" hidden="false" ht="12.75" outlineLevel="0" r="301">
      <c r="A301" s="151" t="s">
        <v>206</v>
      </c>
      <c r="B301" s="152" t="n">
        <v>1</v>
      </c>
      <c r="C301" s="153"/>
    </row>
    <row collapsed="false" customFormat="false" customHeight="false" hidden="false" ht="12.75" outlineLevel="0" r="302">
      <c r="A302" s="151"/>
      <c r="B302" s="152"/>
      <c r="C302" s="153"/>
    </row>
    <row collapsed="false" customFormat="false" customHeight="false" hidden="false" ht="12.75" outlineLevel="0" r="303">
      <c r="A303" s="151" t="s">
        <v>207</v>
      </c>
      <c r="B303" s="152" t="n">
        <v>1</v>
      </c>
      <c r="C303" s="153"/>
    </row>
    <row collapsed="false" customFormat="false" customHeight="false" hidden="false" ht="12.75" outlineLevel="0" r="304">
      <c r="A304" s="151"/>
      <c r="B304" s="152"/>
      <c r="C304" s="153"/>
    </row>
    <row collapsed="false" customFormat="false" customHeight="false" hidden="false" ht="12.75" outlineLevel="0" r="305">
      <c r="A305" s="151" t="s">
        <v>208</v>
      </c>
      <c r="B305" s="152" t="n">
        <v>1</v>
      </c>
      <c r="C305" s="153"/>
    </row>
    <row collapsed="false" customFormat="false" customHeight="false" hidden="false" ht="12.75" outlineLevel="0" r="306">
      <c r="A306" s="151"/>
      <c r="B306" s="152"/>
      <c r="C306" s="153"/>
    </row>
    <row collapsed="false" customFormat="false" customHeight="false" hidden="false" ht="12.75" outlineLevel="0" r="307">
      <c r="A307" s="151" t="s">
        <v>209</v>
      </c>
      <c r="B307" s="152" t="n">
        <v>1</v>
      </c>
      <c r="C307" s="153"/>
    </row>
    <row collapsed="false" customFormat="false" customHeight="false" hidden="false" ht="12.75" outlineLevel="0" r="308">
      <c r="A308" s="151"/>
      <c r="B308" s="152"/>
      <c r="C308" s="153"/>
    </row>
    <row collapsed="false" customFormat="false" customHeight="false" hidden="false" ht="12.75" outlineLevel="0" r="309">
      <c r="A309" s="151" t="s">
        <v>210</v>
      </c>
      <c r="B309" s="152" t="n">
        <v>1</v>
      </c>
      <c r="C309" s="153"/>
    </row>
    <row collapsed="false" customFormat="false" customHeight="false" hidden="false" ht="12.75" outlineLevel="0" r="310">
      <c r="A310" s="151"/>
      <c r="B310" s="152"/>
      <c r="C310" s="153"/>
    </row>
    <row collapsed="false" customFormat="false" customHeight="false" hidden="false" ht="12.75" outlineLevel="0" r="311">
      <c r="A311" s="151" t="s">
        <v>211</v>
      </c>
      <c r="B311" s="152" t="n">
        <v>1</v>
      </c>
      <c r="C311" s="153"/>
    </row>
    <row collapsed="false" customFormat="false" customHeight="false" hidden="false" ht="12.75" outlineLevel="0" r="312">
      <c r="A312" s="151"/>
      <c r="B312" s="152"/>
      <c r="C312" s="153"/>
    </row>
    <row collapsed="false" customFormat="false" customHeight="false" hidden="false" ht="12.75" outlineLevel="0" r="313">
      <c r="A313" s="151" t="s">
        <v>212</v>
      </c>
      <c r="B313" s="152" t="n">
        <v>1</v>
      </c>
      <c r="C313" s="153"/>
    </row>
    <row collapsed="false" customFormat="false" customHeight="false" hidden="false" ht="12.75" outlineLevel="0" r="314">
      <c r="A314" s="151"/>
      <c r="B314" s="152"/>
      <c r="C314" s="153"/>
    </row>
    <row collapsed="false" customFormat="false" customHeight="false" hidden="false" ht="12.75" outlineLevel="0" r="315">
      <c r="A315" s="151" t="s">
        <v>213</v>
      </c>
      <c r="B315" s="152" t="n">
        <v>1</v>
      </c>
      <c r="C315" s="153"/>
    </row>
    <row collapsed="false" customFormat="false" customHeight="false" hidden="false" ht="12.75" outlineLevel="0" r="316">
      <c r="A316" s="151"/>
      <c r="B316" s="152"/>
      <c r="C316" s="153"/>
    </row>
    <row collapsed="false" customFormat="false" customHeight="false" hidden="false" ht="12.75" outlineLevel="0" r="317">
      <c r="A317" s="151"/>
      <c r="B317" s="152"/>
      <c r="C317" s="153"/>
    </row>
    <row collapsed="false" customFormat="false" customHeight="false" hidden="false" ht="12.75" outlineLevel="0" r="318">
      <c r="A318" s="151"/>
      <c r="B318" s="152"/>
      <c r="C318" s="153"/>
    </row>
    <row collapsed="false" customFormat="false" customHeight="false" hidden="false" ht="12.75" outlineLevel="0" r="319">
      <c r="A319" s="151" t="s">
        <v>208</v>
      </c>
      <c r="B319" s="152" t="n">
        <v>1</v>
      </c>
      <c r="C319" s="153"/>
    </row>
    <row collapsed="false" customFormat="false" customHeight="false" hidden="false" ht="12.75" outlineLevel="0" r="320">
      <c r="A320" s="151"/>
      <c r="B320" s="152"/>
      <c r="C320" s="153"/>
    </row>
    <row collapsed="false" customFormat="false" customHeight="false" hidden="false" ht="12.75" outlineLevel="0" r="321">
      <c r="A321" s="151" t="s">
        <v>209</v>
      </c>
      <c r="B321" s="152" t="n">
        <v>1</v>
      </c>
      <c r="C321" s="153"/>
    </row>
    <row collapsed="false" customFormat="false" customHeight="false" hidden="false" ht="12.75" outlineLevel="0" r="322">
      <c r="A322" s="151"/>
      <c r="B322" s="152"/>
      <c r="C322" s="153"/>
    </row>
    <row collapsed="false" customFormat="false" customHeight="false" hidden="false" ht="12.75" outlineLevel="0" r="323">
      <c r="A323" s="151" t="s">
        <v>210</v>
      </c>
      <c r="B323" s="152" t="n">
        <v>1</v>
      </c>
      <c r="C323" s="153"/>
    </row>
    <row collapsed="false" customFormat="false" customHeight="false" hidden="false" ht="12.75" outlineLevel="0" r="324">
      <c r="A324" s="151"/>
      <c r="B324" s="152"/>
      <c r="C324" s="153"/>
    </row>
    <row collapsed="false" customFormat="false" customHeight="false" hidden="false" ht="12.75" outlineLevel="0" r="325">
      <c r="A325" s="151" t="s">
        <v>211</v>
      </c>
      <c r="B325" s="152" t="n">
        <v>1</v>
      </c>
      <c r="C325" s="153"/>
    </row>
    <row collapsed="false" customFormat="false" customHeight="false" hidden="false" ht="12.75" outlineLevel="0" r="326">
      <c r="A326" s="151"/>
      <c r="B326" s="152"/>
      <c r="C326" s="153"/>
    </row>
    <row collapsed="false" customFormat="false" customHeight="false" hidden="false" ht="12.75" outlineLevel="0" r="327">
      <c r="A327" s="151" t="s">
        <v>212</v>
      </c>
      <c r="B327" s="152" t="n">
        <v>1</v>
      </c>
      <c r="C327" s="153"/>
    </row>
  </sheetData>
  <mergeCells count="1">
    <mergeCell ref="M1:O1"/>
  </mergeCells>
  <printOptions headings="false" gridLines="true" gridLinesSet="true" horizontalCentered="false" verticalCentered="false"/>
  <pageMargins left="0.2" right="0.220138888888889" top="0.809722222222222" bottom="1" header="0.5" footer="0.5"/>
  <pageSetup blackAndWhite="false" cellComments="none" copies="1" draft="false" firstPageNumber="0" fitToHeight="1" fitToWidth="1" horizontalDpi="300" orientation="landscape" pageOrder="downThenOver" paperSize="1" scale="100" useFirstPageNumber="false" usePrinterDefaults="false" verticalDpi="300"/>
  <headerFooter differentFirst="false" differentOddEven="false">
    <oddHeader>&amp;C&amp;F</oddHeader>
    <oddFooter>&amp;CPage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P31"/>
  <sheetViews>
    <sheetView colorId="64" defaultGridColor="true" rightToLeft="false" showFormulas="false" showGridLines="true" showOutlineSymbols="true" showRowColHeaders="true" showZeros="true" tabSelected="false" topLeftCell="A7" view="normal" windowProtection="false" workbookViewId="0" zoomScale="100" zoomScaleNormal="100" zoomScalePageLayoutView="100">
      <selection activeCell="C18" activeCellId="0" pane="topLeft" sqref="C18"/>
    </sheetView>
  </sheetViews>
  <sheetFormatPr defaultRowHeight="15"/>
  <cols>
    <col collapsed="false" hidden="false" max="1" min="1" style="155" width="9.14285714285714"/>
    <col collapsed="false" hidden="false" max="2" min="2" style="155" width="27.1428571428571"/>
    <col collapsed="false" hidden="false" max="3" min="3" style="155" width="13.5714285714286"/>
    <col collapsed="false" hidden="false" max="6" min="4" style="155" width="9.14285714285714"/>
    <col collapsed="false" hidden="false" max="7" min="7" style="155" width="11.7091836734694"/>
    <col collapsed="false" hidden="false" max="8" min="8" style="155" width="9.85204081632653"/>
    <col collapsed="false" hidden="false" max="14" min="9" style="155" width="9.14285714285714"/>
    <col collapsed="false" hidden="false" max="15" min="15" style="155" width="19.9948979591837"/>
    <col collapsed="false" hidden="false" max="16" min="16" style="155" width="9.14285714285714"/>
    <col collapsed="false" hidden="false" max="17" min="17" style="155" width="17.2857142857143"/>
    <col collapsed="false" hidden="false" max="1025" min="18" style="155" width="9.14285714285714"/>
  </cols>
  <sheetData>
    <row collapsed="false" customFormat="false" customHeight="true" hidden="false" ht="15" outlineLevel="0" r="2">
      <c r="B2" s="156" t="s">
        <v>55</v>
      </c>
      <c r="E2" s="157" t="s">
        <v>214</v>
      </c>
    </row>
    <row collapsed="false" customFormat="false" customHeight="true" hidden="false" ht="15" outlineLevel="0" r="3">
      <c r="B3" s="158" t="s">
        <v>215</v>
      </c>
      <c r="C3" s="159" t="s">
        <v>216</v>
      </c>
      <c r="E3" s="160" t="s">
        <v>217</v>
      </c>
      <c r="O3" s="160" t="s">
        <v>218</v>
      </c>
    </row>
    <row collapsed="false" customFormat="false" customHeight="true" hidden="false" ht="15" outlineLevel="0" r="4">
      <c r="B4" s="158" t="s">
        <v>219</v>
      </c>
      <c r="C4" s="159" t="s">
        <v>220</v>
      </c>
      <c r="E4" s="161" t="b">
        <f aca="false">TRUE()</f>
        <v>1</v>
      </c>
      <c r="F4" s="162" t="s">
        <v>221</v>
      </c>
      <c r="G4" s="162"/>
      <c r="H4" s="162"/>
      <c r="I4" s="162"/>
      <c r="J4" s="162"/>
      <c r="K4" s="162"/>
      <c r="L4" s="162"/>
      <c r="M4" s="162"/>
      <c r="O4" s="163" t="n">
        <v>-0.72663</v>
      </c>
      <c r="P4" s="164"/>
    </row>
    <row collapsed="false" customFormat="false" customHeight="true" hidden="false" ht="15" outlineLevel="0" r="5">
      <c r="B5" s="165" t="s">
        <v>222</v>
      </c>
      <c r="C5" s="166" t="n">
        <v>0.0105239828305832</v>
      </c>
      <c r="E5" s="161" t="b">
        <f aca="false">FALSE()</f>
        <v>0</v>
      </c>
      <c r="F5" s="162" t="s">
        <v>223</v>
      </c>
      <c r="G5" s="162"/>
      <c r="H5" s="162"/>
      <c r="I5" s="162"/>
      <c r="J5" s="162"/>
      <c r="K5" s="162"/>
      <c r="L5" s="162"/>
      <c r="M5" s="162"/>
      <c r="O5" s="163" t="n">
        <v>-0.726573</v>
      </c>
      <c r="P5" s="164"/>
    </row>
    <row collapsed="false" customFormat="false" customHeight="true" hidden="false" ht="15" outlineLevel="0" r="6">
      <c r="B6" s="165" t="s">
        <v>224</v>
      </c>
      <c r="C6" s="167" t="n">
        <v>0.000443551880113473</v>
      </c>
      <c r="E6" s="161" t="b">
        <f aca="false">FALSE()</f>
        <v>0</v>
      </c>
      <c r="F6" s="162" t="s">
        <v>225</v>
      </c>
      <c r="G6" s="162"/>
      <c r="H6" s="162"/>
      <c r="I6" s="162"/>
      <c r="J6" s="162"/>
      <c r="K6" s="162"/>
      <c r="L6" s="162"/>
      <c r="M6" s="162"/>
      <c r="O6" s="163" t="n">
        <v>-0.726688</v>
      </c>
      <c r="P6" s="164"/>
    </row>
    <row collapsed="false" customFormat="false" customHeight="true" hidden="false" ht="15" outlineLevel="0" r="7">
      <c r="B7" s="168" t="s">
        <v>226</v>
      </c>
      <c r="C7" s="167" t="n">
        <v>0.0295761853104531</v>
      </c>
      <c r="E7" s="169" t="b">
        <f aca="false">TRUE()</f>
        <v>1</v>
      </c>
      <c r="F7" s="170" t="s">
        <v>227</v>
      </c>
      <c r="G7" s="170"/>
      <c r="H7" s="170"/>
      <c r="I7" s="170"/>
      <c r="J7" s="170"/>
      <c r="K7" s="170"/>
      <c r="L7" s="170"/>
      <c r="M7" s="170"/>
      <c r="O7" s="163" t="n">
        <v>-0.726781</v>
      </c>
      <c r="P7" s="164"/>
    </row>
    <row collapsed="false" customFormat="false" customHeight="true" hidden="false" ht="15" outlineLevel="0" r="8">
      <c r="B8" s="158" t="s">
        <v>228</v>
      </c>
      <c r="C8" s="167" t="n">
        <v>0.0667268997107474</v>
      </c>
      <c r="E8" s="171"/>
      <c r="F8" s="172"/>
      <c r="G8" s="172"/>
      <c r="H8" s="172"/>
      <c r="I8" s="172"/>
      <c r="J8" s="172"/>
      <c r="K8" s="172"/>
      <c r="L8" s="172"/>
      <c r="M8" s="172"/>
      <c r="O8" s="163" t="n">
        <v>-0.726693</v>
      </c>
      <c r="P8" s="164"/>
    </row>
    <row collapsed="false" customFormat="false" customHeight="true" hidden="false" ht="15" outlineLevel="0" r="9">
      <c r="B9" s="158" t="s">
        <v>229</v>
      </c>
      <c r="C9" s="173" t="n">
        <f aca="false">Air_Voltage-C8</f>
        <v>-0.793374099710747</v>
      </c>
      <c r="D9" s="83"/>
      <c r="E9" s="174"/>
      <c r="O9" s="163" t="n">
        <v>-0.726571</v>
      </c>
      <c r="P9" s="164"/>
    </row>
    <row collapsed="false" customFormat="false" customHeight="true" hidden="false" ht="15" outlineLevel="0" r="10">
      <c r="B10" s="158" t="s">
        <v>230</v>
      </c>
      <c r="C10" s="173" t="n">
        <f aca="false">AVERAGE(O4:O13)</f>
        <v>-0.7266472</v>
      </c>
      <c r="E10" s="156" t="s">
        <v>231</v>
      </c>
      <c r="O10" s="163" t="n">
        <v>-0.72658</v>
      </c>
      <c r="P10" s="164"/>
    </row>
    <row collapsed="false" customFormat="false" customHeight="true" hidden="false" ht="15" outlineLevel="0" r="11">
      <c r="E11" s="161" t="b">
        <f aca="false">TRUE()</f>
        <v>1</v>
      </c>
      <c r="F11" s="175" t="s">
        <v>232</v>
      </c>
      <c r="G11" s="175"/>
      <c r="H11" s="175"/>
      <c r="I11" s="175"/>
      <c r="J11" s="175"/>
      <c r="K11" s="175"/>
      <c r="L11" s="175"/>
      <c r="M11" s="175"/>
      <c r="O11" s="163" t="n">
        <v>-0.726728</v>
      </c>
      <c r="P11" s="164"/>
    </row>
    <row collapsed="false" customFormat="false" customHeight="true" hidden="false" ht="15" outlineLevel="0" r="12">
      <c r="B12" s="156" t="s">
        <v>233</v>
      </c>
      <c r="E12" s="174" t="str">
        <f aca="false">IF(OR(E7,E11),"","Warning no data will be saved after a measurement!!! Neither to summary or as a full sheet")</f>
        <v/>
      </c>
      <c r="O12" s="163" t="n">
        <v>-0.72664</v>
      </c>
      <c r="P12" s="164"/>
    </row>
    <row collapsed="false" customFormat="false" customHeight="true" hidden="false" ht="15" outlineLevel="0" r="13">
      <c r="B13" s="165" t="s">
        <v>234</v>
      </c>
      <c r="C13" s="166" t="n">
        <v>1.66E-030</v>
      </c>
      <c r="E13" s="176" t="s">
        <v>235</v>
      </c>
      <c r="F13" s="177"/>
      <c r="G13" s="177"/>
      <c r="H13" s="177"/>
      <c r="I13" s="177"/>
      <c r="J13" s="177"/>
      <c r="K13" s="177"/>
      <c r="L13" s="177"/>
      <c r="M13" s="177"/>
      <c r="O13" s="163" t="n">
        <v>-0.726588</v>
      </c>
      <c r="P13" s="164"/>
    </row>
    <row collapsed="false" customFormat="false" customHeight="true" hidden="false" ht="15" outlineLevel="0" r="14">
      <c r="B14" s="178" t="s">
        <v>236</v>
      </c>
      <c r="C14" s="159" t="s">
        <v>237</v>
      </c>
      <c r="E14" s="179" t="b">
        <f aca="false">TRUE()</f>
        <v>1</v>
      </c>
      <c r="F14" s="180" t="s">
        <v>238</v>
      </c>
      <c r="G14" s="180"/>
      <c r="H14" s="180"/>
      <c r="I14" s="180"/>
      <c r="J14" s="180"/>
      <c r="K14" s="180"/>
      <c r="L14" s="180"/>
      <c r="M14" s="180"/>
      <c r="O14" s="160" t="s">
        <v>239</v>
      </c>
    </row>
    <row collapsed="false" customFormat="false" customHeight="true" hidden="false" ht="15" outlineLevel="0" r="15">
      <c r="B15" s="165" t="s">
        <v>240</v>
      </c>
      <c r="C15" s="159" t="n">
        <v>1</v>
      </c>
      <c r="E15" s="181"/>
      <c r="F15" s="172"/>
      <c r="G15" s="172"/>
      <c r="H15" s="172"/>
      <c r="I15" s="172"/>
      <c r="J15" s="172"/>
      <c r="K15" s="172"/>
      <c r="L15" s="172"/>
      <c r="M15" s="172"/>
      <c r="O15" s="182" t="n">
        <f aca="false">STDEV(O4:O13)</f>
        <v>7.29334552101456E-005</v>
      </c>
    </row>
    <row collapsed="false" customFormat="false" customHeight="true" hidden="false" ht="15" outlineLevel="0" r="16">
      <c r="B16" s="165" t="s">
        <v>241</v>
      </c>
      <c r="C16" s="183" t="n">
        <v>0.3</v>
      </c>
      <c r="E16" s="176" t="s">
        <v>242</v>
      </c>
      <c r="F16" s="184"/>
      <c r="G16" s="184"/>
      <c r="H16" s="184"/>
      <c r="I16" s="184"/>
      <c r="J16" s="184"/>
      <c r="K16" s="184"/>
      <c r="L16" s="184"/>
      <c r="M16" s="184"/>
      <c r="O16" s="160" t="s">
        <v>243</v>
      </c>
    </row>
    <row collapsed="false" customFormat="false" customHeight="true" hidden="false" ht="15" outlineLevel="0" r="17">
      <c r="B17" s="165" t="s">
        <v>244</v>
      </c>
      <c r="C17" s="165" t="s">
        <v>245</v>
      </c>
      <c r="E17" s="161" t="b">
        <f aca="false">TRUE()</f>
        <v>1</v>
      </c>
      <c r="F17" s="175" t="s">
        <v>246</v>
      </c>
      <c r="G17" s="175"/>
      <c r="H17" s="175"/>
      <c r="I17" s="175"/>
      <c r="J17" s="175"/>
      <c r="K17" s="175"/>
      <c r="L17" s="175"/>
      <c r="M17" s="175"/>
      <c r="O17" s="185" t="n">
        <v>42055.719224537</v>
      </c>
    </row>
    <row collapsed="false" customFormat="false" customHeight="true" hidden="false" ht="27.75" outlineLevel="0" r="18">
      <c r="B18" s="165" t="s">
        <v>51</v>
      </c>
      <c r="C18" s="186" t="s">
        <v>247</v>
      </c>
      <c r="O18" s="187"/>
    </row>
    <row collapsed="false" customFormat="false" customHeight="true" hidden="false" ht="15" outlineLevel="0" r="19">
      <c r="E19" s="156" t="s">
        <v>248</v>
      </c>
    </row>
    <row collapsed="false" customFormat="false" customHeight="true" hidden="false" ht="15" outlineLevel="0" r="20">
      <c r="B20" s="188"/>
      <c r="E20" s="158" t="n">
        <v>1</v>
      </c>
      <c r="F20" s="189" t="s">
        <v>249</v>
      </c>
      <c r="G20" s="189"/>
      <c r="H20" s="189"/>
      <c r="I20" s="189"/>
      <c r="J20" s="189"/>
      <c r="K20" s="189"/>
      <c r="L20" s="189"/>
      <c r="M20" s="189"/>
    </row>
    <row collapsed="false" customFormat="false" customHeight="true" hidden="false" ht="15" outlineLevel="0" r="21">
      <c r="E21" s="158" t="n">
        <f aca="false">6</f>
        <v>6</v>
      </c>
      <c r="F21" s="175" t="s">
        <v>250</v>
      </c>
      <c r="G21" s="175"/>
      <c r="H21" s="175"/>
      <c r="I21" s="175"/>
      <c r="J21" s="175"/>
      <c r="K21" s="175"/>
      <c r="L21" s="175"/>
      <c r="M21" s="175"/>
    </row>
    <row collapsed="false" customFormat="false" customHeight="true" hidden="false" ht="15" outlineLevel="0" r="22">
      <c r="B22" s="156" t="s">
        <v>251</v>
      </c>
      <c r="E22" s="190" t="n">
        <v>0.3</v>
      </c>
      <c r="F22" s="170" t="s">
        <v>252</v>
      </c>
      <c r="G22" s="170"/>
      <c r="H22" s="170"/>
      <c r="I22" s="170"/>
      <c r="J22" s="170"/>
      <c r="K22" s="170"/>
      <c r="L22" s="170"/>
      <c r="M22" s="170"/>
    </row>
    <row collapsed="false" customFormat="false" customHeight="true" hidden="false" ht="15" outlineLevel="0" r="23">
      <c r="B23" s="175" t="s">
        <v>253</v>
      </c>
      <c r="C23" s="191" t="b">
        <f aca="false">FALSE()</f>
        <v>0</v>
      </c>
      <c r="E23" s="158" t="n">
        <v>5</v>
      </c>
      <c r="F23" s="175" t="s">
        <v>254</v>
      </c>
      <c r="G23" s="175"/>
      <c r="H23" s="175"/>
      <c r="I23" s="175"/>
      <c r="J23" s="175"/>
      <c r="K23" s="175"/>
      <c r="L23" s="175"/>
      <c r="M23" s="175"/>
    </row>
    <row collapsed="false" customFormat="false" customHeight="true" hidden="false" ht="15" outlineLevel="0" r="24">
      <c r="B24" s="175" t="s">
        <v>255</v>
      </c>
      <c r="C24" s="158" t="n">
        <v>1</v>
      </c>
    </row>
    <row collapsed="false" customFormat="false" customHeight="true" hidden="false" ht="15" outlineLevel="0" r="25">
      <c r="B25" s="175" t="s">
        <v>256</v>
      </c>
      <c r="C25" s="158" t="n">
        <v>20</v>
      </c>
      <c r="E25" s="156" t="s">
        <v>257</v>
      </c>
      <c r="K25" s="174"/>
    </row>
    <row collapsed="false" customFormat="false" customHeight="true" hidden="false" ht="15" outlineLevel="0" r="26">
      <c r="B26" s="175" t="s">
        <v>258</v>
      </c>
      <c r="C26" s="158" t="e">
        <f aca="false">passfail(MeasuredLifetimeAuger,MinTauLimit,MaxTauLimit,TF_PassFail)</f>
        <v>#NAME?</v>
      </c>
      <c r="E26" s="158" t="n">
        <v>1</v>
      </c>
      <c r="F26" s="175" t="s">
        <v>259</v>
      </c>
      <c r="G26" s="175"/>
      <c r="H26" s="175"/>
      <c r="I26" s="175"/>
      <c r="J26" s="175"/>
      <c r="K26" s="175"/>
      <c r="L26" s="175"/>
      <c r="M26" s="175"/>
    </row>
    <row collapsed="false" customFormat="false" customHeight="true" hidden="false" ht="15" outlineLevel="0" r="28">
      <c r="E28" s="156" t="s">
        <v>260</v>
      </c>
      <c r="K28" s="174"/>
    </row>
    <row collapsed="false" customFormat="false" customHeight="true" hidden="false" ht="15" outlineLevel="0" r="29">
      <c r="C29" s="192"/>
      <c r="E29" s="159" t="n">
        <v>12500</v>
      </c>
      <c r="F29" s="193" t="s">
        <v>261</v>
      </c>
      <c r="G29" s="193"/>
      <c r="H29" s="193"/>
      <c r="I29" s="193"/>
      <c r="J29" s="193"/>
      <c r="K29" s="193"/>
      <c r="L29" s="193"/>
      <c r="M29" s="193"/>
    </row>
    <row collapsed="false" customFormat="false" customHeight="true" hidden="false" ht="15" outlineLevel="0" r="30">
      <c r="C30" s="192"/>
      <c r="E30" s="159" t="n">
        <v>100000</v>
      </c>
      <c r="F30" s="193" t="s">
        <v>262</v>
      </c>
      <c r="G30" s="193"/>
      <c r="H30" s="193"/>
      <c r="I30" s="193"/>
      <c r="J30" s="193"/>
      <c r="K30" s="193"/>
      <c r="L30" s="193"/>
      <c r="M30" s="193"/>
    </row>
    <row collapsed="false" customFormat="false" customHeight="true" hidden="false" ht="15" outlineLevel="0" r="31">
      <c r="C31" s="192"/>
      <c r="E31" s="159" t="n">
        <v>3</v>
      </c>
      <c r="F31" s="194" t="s">
        <v>263</v>
      </c>
      <c r="G31" s="195"/>
      <c r="H31" s="195"/>
      <c r="I31" s="195"/>
      <c r="J31" s="195"/>
      <c r="K31" s="195"/>
      <c r="L31" s="195"/>
      <c r="M31" s="196"/>
    </row>
  </sheetData>
  <mergeCells count="15">
    <mergeCell ref="F4:M4"/>
    <mergeCell ref="F5:M5"/>
    <mergeCell ref="F6:M6"/>
    <mergeCell ref="F7:M7"/>
    <mergeCell ref="F8:M8"/>
    <mergeCell ref="F11:M11"/>
    <mergeCell ref="F14:M14"/>
    <mergeCell ref="F17:M17"/>
    <mergeCell ref="F20:M20"/>
    <mergeCell ref="F21:M21"/>
    <mergeCell ref="F22:M22"/>
    <mergeCell ref="F23:M23"/>
    <mergeCell ref="F26:M26"/>
    <mergeCell ref="F29:M29"/>
    <mergeCell ref="F30:M30"/>
  </mergeCells>
  <dataValidations count="4">
    <dataValidation allowBlank="true" operator="between" showDropDown="false" showErrorMessage="true" showInputMessage="true" sqref="E4:E7 E11 E14 E17 C23" type="list">
      <formula1>TF_List</formula1>
      <formula2>0</formula2>
    </dataValidation>
    <dataValidation allowBlank="true" operator="between" showDropDown="false" showErrorMessage="true" showInputMessage="true" sqref="E26" type="list">
      <formula1>VRangeList</formula1>
      <formula2>0</formula2>
    </dataValidation>
    <dataValidation allowBlank="true" operator="between" showDropDown="false" showErrorMessage="true" showInputMessage="true" sqref="C17" type="list">
      <formula1>AugerModelList</formula1>
      <formula2>0</formula2>
    </dataValidation>
    <dataValidation allowBlank="true" operator="between" showDropDown="false" showErrorMessage="true" showInputMessage="true" sqref="C18" type="list">
      <formula1>MobilityModelList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0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100">
      <selection activeCell="A1" activeCellId="0" pane="topLeft" sqref="A1"/>
    </sheetView>
  </sheetViews>
  <sheetFormatPr defaultRowHeight="12.75"/>
  <cols>
    <col collapsed="false" hidden="false" max="1" min="1" style="197" width="9.28571428571429"/>
    <col collapsed="false" hidden="false" max="2" min="2" style="197" width="12.1377551020408"/>
    <col collapsed="false" hidden="false" max="3" min="3" style="197" width="11.9948979591837"/>
    <col collapsed="false" hidden="false" max="4" min="4" style="197" width="10.8520408163265"/>
    <col collapsed="false" hidden="false" max="5" min="5" style="197" width="11.4183673469388"/>
    <col collapsed="false" hidden="false" max="6" min="6" style="197" width="11.7091836734694"/>
    <col collapsed="false" hidden="false" max="7" min="7" style="197" width="13.4285714285714"/>
    <col collapsed="false" hidden="false" max="8" min="8" style="197" width="9.28571428571429"/>
    <col collapsed="false" hidden="false" max="9" min="9" style="197" width="11.1428571428571"/>
    <col collapsed="false" hidden="false" max="12" min="10" style="197" width="9.14285714285714"/>
    <col collapsed="false" hidden="false" max="13" min="13" style="197" width="10.4234693877551"/>
    <col collapsed="false" hidden="false" max="14" min="14" style="198" width="11.1428571428571"/>
    <col collapsed="false" hidden="false" max="16" min="15" style="197" width="9.14285714285714"/>
    <col collapsed="false" hidden="false" max="17" min="17" style="197" width="9.28571428571429"/>
    <col collapsed="false" hidden="false" max="18" min="18" style="197" width="12.2857142857143"/>
    <col collapsed="false" hidden="false" max="19" min="19" style="197" width="9.28571428571429"/>
    <col collapsed="false" hidden="false" max="20" min="20" style="197" width="10.5765306122449"/>
    <col collapsed="false" hidden="false" max="21" min="21" style="197" width="11.5714285714286"/>
    <col collapsed="false" hidden="false" max="22" min="22" style="197" width="11.9948979591837"/>
    <col collapsed="false" hidden="false" max="23" min="23" style="197" width="13.1377551020408"/>
    <col collapsed="false" hidden="false" max="24" min="24" style="197" width="11.2857142857143"/>
    <col collapsed="false" hidden="false" max="25" min="25" style="197" width="12.1377551020408"/>
    <col collapsed="false" hidden="false" max="26" min="26" style="197" width="13.1377551020408"/>
    <col collapsed="false" hidden="false" max="1025" min="27" style="197" width="9.14285714285714"/>
  </cols>
  <sheetData>
    <row collapsed="false" customFormat="true" customHeight="true" hidden="false" ht="27" outlineLevel="0" r="1" s="206">
      <c r="A1" s="199" t="s">
        <v>8</v>
      </c>
      <c r="B1" s="200" t="s">
        <v>264</v>
      </c>
      <c r="C1" s="201" t="s">
        <v>265</v>
      </c>
      <c r="D1" s="201" t="s">
        <v>266</v>
      </c>
      <c r="E1" s="202" t="s">
        <v>267</v>
      </c>
      <c r="F1" s="202" t="s">
        <v>268</v>
      </c>
      <c r="G1" s="202" t="s">
        <v>12</v>
      </c>
      <c r="H1" s="202" t="s">
        <v>269</v>
      </c>
      <c r="I1" s="202" t="s">
        <v>270</v>
      </c>
      <c r="J1" s="202" t="s">
        <v>15</v>
      </c>
      <c r="K1" s="202" t="s">
        <v>271</v>
      </c>
      <c r="L1" s="202" t="s">
        <v>272</v>
      </c>
      <c r="M1" s="202" t="s">
        <v>273</v>
      </c>
      <c r="N1" s="203" t="s">
        <v>274</v>
      </c>
      <c r="O1" s="202" t="s">
        <v>275</v>
      </c>
      <c r="P1" s="203" t="s">
        <v>276</v>
      </c>
      <c r="Q1" s="202" t="s">
        <v>277</v>
      </c>
      <c r="R1" s="202" t="s">
        <v>278</v>
      </c>
      <c r="S1" s="202" t="s">
        <v>279</v>
      </c>
      <c r="T1" s="203" t="s">
        <v>280</v>
      </c>
      <c r="U1" s="204" t="s">
        <v>281</v>
      </c>
      <c r="V1" s="202" t="s">
        <v>282</v>
      </c>
      <c r="W1" s="202" t="s">
        <v>283</v>
      </c>
      <c r="X1" s="202" t="s">
        <v>284</v>
      </c>
      <c r="Y1" s="202" t="s">
        <v>285</v>
      </c>
      <c r="Z1" s="205" t="s">
        <v>286</v>
      </c>
    </row>
    <row collapsed="false" customFormat="false" customHeight="true" hidden="false" ht="21.75" outlineLevel="0" r="2">
      <c r="A2" s="207" t="str">
        <f aca="false">SampleNameUserSheet</f>
        <v>Fe_1102_01-34</v>
      </c>
      <c r="B2" s="208" t="n">
        <f aca="false">MeasDate</f>
        <v>42055</v>
      </c>
      <c r="C2" s="209" t="n">
        <f aca="false">MeasTime</f>
        <v>0.728009259259259</v>
      </c>
      <c r="D2" s="100" t="n">
        <f aca="false">Temperature</f>
        <v>35.519899</v>
      </c>
      <c r="E2" s="210" t="n">
        <f aca="false">Thickness</f>
        <v>0.0196</v>
      </c>
      <c r="F2" s="210" t="n">
        <f aca="false">SampleDoping</f>
        <v>3416264639614550</v>
      </c>
      <c r="G2" s="210" t="n">
        <f aca="false">OptConst</f>
        <v>0.7</v>
      </c>
      <c r="H2" s="106" t="n">
        <f aca="false">SpecMCD</f>
        <v>1000000000000000</v>
      </c>
      <c r="I2" s="210" t="n">
        <f aca="false">BiasLight</f>
        <v>0</v>
      </c>
      <c r="J2" s="210" t="str">
        <f aca="false">AnalysisMode</f>
        <v>Generalized (1/1)</v>
      </c>
      <c r="K2" s="100" t="n">
        <f aca="false">MeasuredLifetime</f>
        <v>43.0320669794761</v>
      </c>
      <c r="L2" s="106" t="n">
        <f aca="false">Jo</f>
        <v>-1.35089339166214E-012</v>
      </c>
      <c r="M2" s="211" t="n">
        <f aca="false">TauFitIntercept</f>
        <v>20.4402487831731</v>
      </c>
      <c r="N2" s="211" t="n">
        <f aca="false">SheetResistance</f>
        <v>129.974213129331</v>
      </c>
      <c r="O2" s="211" t="n">
        <f aca="false">MeasuredResistivity</f>
        <v>2.5474945773349</v>
      </c>
      <c r="P2" s="211" t="n">
        <f aca="false">CorrectedSheetRho</f>
        <v>163.045863364606</v>
      </c>
      <c r="Q2" s="211" t="n">
        <f aca="false">CorrectedResistivity</f>
        <v>3.19569892194628</v>
      </c>
      <c r="R2" s="100" t="n">
        <f aca="false">MaxSuns</f>
        <v>59.3781850521482</v>
      </c>
      <c r="S2" s="106" t="n">
        <f aca="false">Traps</f>
        <v>0</v>
      </c>
      <c r="T2" s="106" t="n">
        <f aca="false">MaxApparentCD</f>
        <v>36427160437229200</v>
      </c>
      <c r="U2" s="212" t="e">
        <f aca="false">ImpliedVoc1sun</f>
        <v>#N/A</v>
      </c>
      <c r="V2" s="106" t="n">
        <f aca="false">RefCellCal</f>
        <v>0.0105239828305832</v>
      </c>
      <c r="W2" s="213" t="n">
        <f aca="false">A_cal</f>
        <v>0.000443551880113473</v>
      </c>
      <c r="X2" s="213" t="n">
        <f aca="false">B_cal</f>
        <v>0.0295761853104531</v>
      </c>
      <c r="Y2" s="210" t="n">
        <f aca="false">C_cal</f>
        <v>-0.793374099710747</v>
      </c>
      <c r="Z2" s="214" t="str">
        <f aca="false">InstrumentSN</f>
        <v>14-127027</v>
      </c>
    </row>
    <row collapsed="false" customFormat="false" customHeight="false" hidden="false" ht="12.75" outlineLevel="0" r="4">
      <c r="A4" s="215" t="s">
        <v>287</v>
      </c>
      <c r="G4" s="216"/>
    </row>
    <row collapsed="false" customFormat="false" customHeight="false" hidden="false" ht="12.75" outlineLevel="0" r="5">
      <c r="A5" s="215" t="s">
        <v>288</v>
      </c>
      <c r="N5" s="217"/>
    </row>
    <row collapsed="false" customFormat="false" customHeight="false" hidden="false" ht="12.75" outlineLevel="0" r="6">
      <c r="A6" s="215" t="s">
        <v>289</v>
      </c>
    </row>
    <row collapsed="false" customFormat="false" customHeight="false" hidden="false" ht="12.75" outlineLevel="0" r="8">
      <c r="A8" s="217" t="s">
        <v>290</v>
      </c>
    </row>
    <row collapsed="false" customFormat="false" customHeight="false" hidden="false" ht="12.75" outlineLevel="0" r="9">
      <c r="A9" s="217" t="s">
        <v>291</v>
      </c>
    </row>
    <row collapsed="false" customFormat="true" customHeight="false" hidden="false" ht="12.75" outlineLevel="0" r="10" s="218">
      <c r="A10" s="218" t="s">
        <v>292</v>
      </c>
      <c r="B10" s="218" t="s">
        <v>16</v>
      </c>
      <c r="C10" s="218" t="s">
        <v>17</v>
      </c>
      <c r="D10" s="218" t="s">
        <v>52</v>
      </c>
      <c r="E10" s="218" t="s">
        <v>293</v>
      </c>
      <c r="F10" s="218" t="s">
        <v>294</v>
      </c>
      <c r="G10" s="218" t="s">
        <v>295</v>
      </c>
      <c r="H10" s="218" t="s">
        <v>296</v>
      </c>
      <c r="I10" s="218" t="s">
        <v>297</v>
      </c>
      <c r="J10" s="218" t="s">
        <v>298</v>
      </c>
      <c r="K10" s="218" t="s">
        <v>45</v>
      </c>
      <c r="L10" s="218" t="s">
        <v>299</v>
      </c>
      <c r="M10" s="218" t="s">
        <v>300</v>
      </c>
      <c r="N10" s="218" t="s">
        <v>301</v>
      </c>
      <c r="O10" s="218" t="s">
        <v>302</v>
      </c>
      <c r="P10" s="218" t="s">
        <v>303</v>
      </c>
      <c r="Q10" s="218" t="s">
        <v>304</v>
      </c>
      <c r="R10" s="218" t="s">
        <v>305</v>
      </c>
      <c r="S10" s="218" t="s">
        <v>279</v>
      </c>
      <c r="T10" s="219" t="s">
        <v>306</v>
      </c>
      <c r="U10" s="218" t="s">
        <v>307</v>
      </c>
      <c r="V10" s="218" t="s">
        <v>308</v>
      </c>
      <c r="W10" s="218" t="s">
        <v>309</v>
      </c>
      <c r="X10" s="218" t="s">
        <v>310</v>
      </c>
      <c r="Y10" s="218" t="s">
        <v>311</v>
      </c>
      <c r="Z10" s="218" t="s">
        <v>312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CX328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100">
      <selection activeCell="A9" activeCellId="0" pane="topLeft" sqref="A9"/>
    </sheetView>
  </sheetViews>
  <sheetFormatPr defaultRowHeight="12.75"/>
  <cols>
    <col collapsed="false" hidden="false" max="1025" min="1" style="220" width="9.14285714285714"/>
  </cols>
  <sheetData>
    <row collapsed="false" customFormat="false" customHeight="false" hidden="false" ht="12.75" outlineLevel="0" r="8">
      <c r="A8" s="44" t="s">
        <v>313</v>
      </c>
      <c r="B8" s="44" t="n">
        <v>200.348922</v>
      </c>
      <c r="C8" s="221"/>
      <c r="D8" s="44" t="s">
        <v>314</v>
      </c>
      <c r="E8" s="44" t="n">
        <v>195.412711</v>
      </c>
      <c r="F8" s="221"/>
      <c r="G8" s="44" t="s">
        <v>315</v>
      </c>
      <c r="H8" s="44" t="n">
        <v>190.321525</v>
      </c>
      <c r="I8" s="221"/>
      <c r="J8" s="44" t="s">
        <v>316</v>
      </c>
      <c r="K8" s="44" t="n">
        <v>185.429364</v>
      </c>
      <c r="L8" s="221"/>
      <c r="M8" s="221" t="s">
        <v>317</v>
      </c>
      <c r="N8" s="44" t="n">
        <v>180.436118</v>
      </c>
      <c r="O8" s="221"/>
      <c r="P8" s="221" t="s">
        <v>318</v>
      </c>
      <c r="Q8" s="44" t="n">
        <v>175.448897</v>
      </c>
      <c r="R8" s="221"/>
      <c r="S8" s="44" t="s">
        <v>319</v>
      </c>
      <c r="T8" s="44" t="n">
        <v>170.392095</v>
      </c>
      <c r="U8" s="221"/>
      <c r="V8" s="44" t="s">
        <v>320</v>
      </c>
      <c r="W8" s="44" t="n">
        <v>165.25377</v>
      </c>
      <c r="X8" s="221"/>
      <c r="Y8" s="44" t="s">
        <v>321</v>
      </c>
      <c r="Z8" s="44" t="n">
        <v>160.411916</v>
      </c>
      <c r="AA8" s="221"/>
      <c r="AB8" s="44" t="s">
        <v>322</v>
      </c>
      <c r="AC8" s="44" t="n">
        <v>155.428744</v>
      </c>
      <c r="AD8" s="221"/>
      <c r="AE8" s="44" t="s">
        <v>323</v>
      </c>
      <c r="AF8" s="44" t="n">
        <v>150.357891</v>
      </c>
      <c r="AG8" s="221"/>
      <c r="AH8" s="44" t="s">
        <v>324</v>
      </c>
      <c r="AI8" s="44" t="n">
        <v>145.399049</v>
      </c>
      <c r="AJ8" s="221"/>
      <c r="AK8" s="44" t="s">
        <v>325</v>
      </c>
      <c r="AL8" s="44" t="n">
        <v>140.343755</v>
      </c>
      <c r="AM8" s="221"/>
      <c r="AN8" s="44" t="s">
        <v>326</v>
      </c>
      <c r="AO8" s="44" t="n">
        <v>135.435757</v>
      </c>
      <c r="AP8" s="221"/>
      <c r="AQ8" s="44" t="s">
        <v>327</v>
      </c>
      <c r="AR8" s="44" t="n">
        <v>130.383193</v>
      </c>
      <c r="AS8" s="221"/>
      <c r="AT8" s="44" t="s">
        <v>328</v>
      </c>
      <c r="AU8" s="44" t="n">
        <v>125.35296</v>
      </c>
      <c r="AV8" s="221"/>
      <c r="AW8" s="44" t="s">
        <v>329</v>
      </c>
      <c r="AX8" s="44" t="n">
        <v>120.373137</v>
      </c>
      <c r="AY8" s="221"/>
      <c r="AZ8" s="44" t="s">
        <v>330</v>
      </c>
      <c r="BA8" s="44" t="n">
        <v>115.436861</v>
      </c>
      <c r="BB8" s="221"/>
      <c r="BC8" s="44" t="s">
        <v>331</v>
      </c>
      <c r="BD8" s="44" t="n">
        <v>110.392978</v>
      </c>
      <c r="BE8" s="221"/>
      <c r="BF8" s="44" t="s">
        <v>332</v>
      </c>
      <c r="BG8" s="44" t="n">
        <v>105.458159</v>
      </c>
      <c r="BH8" s="221"/>
      <c r="BI8" s="44" t="s">
        <v>333</v>
      </c>
      <c r="BJ8" s="44" t="n">
        <v>100.424889</v>
      </c>
      <c r="BK8" s="221"/>
      <c r="BL8" s="44" t="s">
        <v>334</v>
      </c>
      <c r="BM8" s="44" t="n">
        <v>95.42637</v>
      </c>
      <c r="BN8" s="221"/>
      <c r="BO8" s="44" t="s">
        <v>335</v>
      </c>
      <c r="BP8" s="44" t="n">
        <v>90.472025</v>
      </c>
      <c r="BQ8" s="221"/>
      <c r="BR8" s="44" t="s">
        <v>336</v>
      </c>
      <c r="BS8" s="44" t="n">
        <v>85.476457</v>
      </c>
      <c r="BT8" s="221"/>
      <c r="BU8" s="44" t="s">
        <v>337</v>
      </c>
      <c r="BV8" s="44" t="n">
        <v>80.460472</v>
      </c>
      <c r="BW8" s="221"/>
      <c r="BX8" s="44" t="s">
        <v>338</v>
      </c>
      <c r="BY8" s="44" t="n">
        <v>75.449436</v>
      </c>
      <c r="BZ8" s="221"/>
      <c r="CA8" s="44" t="s">
        <v>339</v>
      </c>
      <c r="CB8" s="44" t="n">
        <v>70.474222</v>
      </c>
      <c r="CD8" s="44" t="s">
        <v>340</v>
      </c>
      <c r="CE8" s="44" t="n">
        <v>65.475212</v>
      </c>
      <c r="CG8" s="44" t="s">
        <v>341</v>
      </c>
      <c r="CH8" s="44" t="n">
        <v>60.496978</v>
      </c>
      <c r="CJ8" s="44" t="s">
        <v>342</v>
      </c>
      <c r="CK8" s="44" t="n">
        <v>55.474804</v>
      </c>
      <c r="CM8" s="44" t="s">
        <v>343</v>
      </c>
      <c r="CN8" s="44" t="n">
        <v>50.479481</v>
      </c>
      <c r="CP8" s="44" t="s">
        <v>344</v>
      </c>
      <c r="CQ8" s="44" t="n">
        <v>45.494013</v>
      </c>
      <c r="CS8" s="44" t="s">
        <v>345</v>
      </c>
      <c r="CT8" s="44" t="n">
        <v>40.478262</v>
      </c>
      <c r="CV8" s="44" t="s">
        <v>23</v>
      </c>
      <c r="CW8" s="44" t="n">
        <v>35.519899</v>
      </c>
    </row>
    <row collapsed="false" customFormat="false" customHeight="false" hidden="false" ht="12.75" outlineLevel="0" r="9">
      <c r="A9" s="44" t="s">
        <v>87</v>
      </c>
      <c r="B9" s="44" t="s">
        <v>88</v>
      </c>
      <c r="C9" s="44" t="s">
        <v>89</v>
      </c>
      <c r="D9" s="44" t="s">
        <v>87</v>
      </c>
      <c r="E9" s="44" t="s">
        <v>88</v>
      </c>
      <c r="F9" s="44" t="s">
        <v>89</v>
      </c>
      <c r="G9" s="44" t="s">
        <v>87</v>
      </c>
      <c r="H9" s="44" t="s">
        <v>88</v>
      </c>
      <c r="I9" s="44" t="s">
        <v>89</v>
      </c>
      <c r="J9" s="44" t="s">
        <v>87</v>
      </c>
      <c r="K9" s="44" t="s">
        <v>88</v>
      </c>
      <c r="L9" s="44" t="s">
        <v>89</v>
      </c>
      <c r="M9" s="44" t="s">
        <v>87</v>
      </c>
      <c r="N9" s="44" t="s">
        <v>88</v>
      </c>
      <c r="O9" s="44" t="s">
        <v>89</v>
      </c>
      <c r="P9" s="44" t="s">
        <v>87</v>
      </c>
      <c r="Q9" s="44" t="s">
        <v>88</v>
      </c>
      <c r="R9" s="44" t="s">
        <v>89</v>
      </c>
      <c r="S9" s="44" t="s">
        <v>87</v>
      </c>
      <c r="T9" s="44" t="s">
        <v>88</v>
      </c>
      <c r="U9" s="44" t="s">
        <v>89</v>
      </c>
      <c r="V9" s="44" t="s">
        <v>87</v>
      </c>
      <c r="W9" s="44" t="s">
        <v>88</v>
      </c>
      <c r="X9" s="44" t="s">
        <v>89</v>
      </c>
      <c r="Y9" s="44" t="s">
        <v>87</v>
      </c>
      <c r="Z9" s="44" t="s">
        <v>88</v>
      </c>
      <c r="AA9" s="44" t="s">
        <v>89</v>
      </c>
      <c r="AB9" s="44" t="s">
        <v>87</v>
      </c>
      <c r="AC9" s="44" t="s">
        <v>88</v>
      </c>
      <c r="AD9" s="44" t="s">
        <v>89</v>
      </c>
      <c r="AE9" s="44" t="s">
        <v>87</v>
      </c>
      <c r="AF9" s="44" t="s">
        <v>88</v>
      </c>
      <c r="AG9" s="44" t="s">
        <v>89</v>
      </c>
      <c r="AH9" s="44" t="s">
        <v>87</v>
      </c>
      <c r="AI9" s="44" t="s">
        <v>88</v>
      </c>
      <c r="AJ9" s="44" t="s">
        <v>89</v>
      </c>
      <c r="AK9" s="44" t="s">
        <v>87</v>
      </c>
      <c r="AL9" s="44" t="s">
        <v>88</v>
      </c>
      <c r="AM9" s="44" t="s">
        <v>89</v>
      </c>
      <c r="AN9" s="44" t="s">
        <v>87</v>
      </c>
      <c r="AO9" s="44" t="s">
        <v>88</v>
      </c>
      <c r="AP9" s="44" t="s">
        <v>89</v>
      </c>
      <c r="AQ9" s="44" t="s">
        <v>87</v>
      </c>
      <c r="AR9" s="44" t="s">
        <v>88</v>
      </c>
      <c r="AS9" s="44" t="s">
        <v>89</v>
      </c>
      <c r="AT9" s="44" t="s">
        <v>87</v>
      </c>
      <c r="AU9" s="44" t="s">
        <v>88</v>
      </c>
      <c r="AV9" s="44" t="s">
        <v>89</v>
      </c>
      <c r="AW9" s="44" t="s">
        <v>87</v>
      </c>
      <c r="AX9" s="44" t="s">
        <v>88</v>
      </c>
      <c r="AY9" s="44" t="s">
        <v>89</v>
      </c>
      <c r="AZ9" s="44" t="s">
        <v>87</v>
      </c>
      <c r="BA9" s="44" t="s">
        <v>88</v>
      </c>
      <c r="BB9" s="44" t="s">
        <v>89</v>
      </c>
      <c r="BC9" s="44" t="s">
        <v>87</v>
      </c>
      <c r="BD9" s="44" t="s">
        <v>88</v>
      </c>
      <c r="BE9" s="44" t="s">
        <v>89</v>
      </c>
      <c r="BF9" s="44" t="s">
        <v>87</v>
      </c>
      <c r="BG9" s="44" t="s">
        <v>88</v>
      </c>
      <c r="BH9" s="44" t="s">
        <v>89</v>
      </c>
      <c r="BI9" s="44" t="s">
        <v>87</v>
      </c>
      <c r="BJ9" s="44" t="s">
        <v>88</v>
      </c>
      <c r="BK9" s="44" t="s">
        <v>89</v>
      </c>
      <c r="BL9" s="44" t="s">
        <v>87</v>
      </c>
      <c r="BM9" s="44" t="s">
        <v>88</v>
      </c>
      <c r="BN9" s="44" t="s">
        <v>89</v>
      </c>
      <c r="BO9" s="44" t="s">
        <v>87</v>
      </c>
      <c r="BP9" s="44" t="s">
        <v>88</v>
      </c>
      <c r="BQ9" s="44" t="s">
        <v>89</v>
      </c>
      <c r="BR9" s="44" t="s">
        <v>87</v>
      </c>
      <c r="BS9" s="44" t="s">
        <v>88</v>
      </c>
      <c r="BT9" s="44" t="s">
        <v>89</v>
      </c>
      <c r="BU9" s="44" t="s">
        <v>87</v>
      </c>
      <c r="BV9" s="44" t="s">
        <v>88</v>
      </c>
      <c r="BW9" s="44" t="s">
        <v>89</v>
      </c>
      <c r="BX9" s="44" t="s">
        <v>87</v>
      </c>
      <c r="BY9" s="44" t="s">
        <v>88</v>
      </c>
      <c r="BZ9" s="44" t="s">
        <v>89</v>
      </c>
      <c r="CA9" s="44" t="s">
        <v>87</v>
      </c>
      <c r="CB9" s="44" t="s">
        <v>88</v>
      </c>
      <c r="CC9" s="44" t="s">
        <v>89</v>
      </c>
      <c r="CD9" s="44" t="s">
        <v>87</v>
      </c>
      <c r="CE9" s="44" t="s">
        <v>88</v>
      </c>
      <c r="CF9" s="44" t="s">
        <v>89</v>
      </c>
      <c r="CG9" s="44" t="s">
        <v>87</v>
      </c>
      <c r="CH9" s="44" t="s">
        <v>88</v>
      </c>
      <c r="CI9" s="44" t="s">
        <v>89</v>
      </c>
      <c r="CJ9" s="44" t="s">
        <v>87</v>
      </c>
      <c r="CK9" s="44" t="s">
        <v>88</v>
      </c>
      <c r="CL9" s="44" t="s">
        <v>89</v>
      </c>
      <c r="CM9" s="44" t="s">
        <v>87</v>
      </c>
      <c r="CN9" s="44" t="s">
        <v>88</v>
      </c>
      <c r="CO9" s="44" t="s">
        <v>89</v>
      </c>
      <c r="CP9" s="44" t="s">
        <v>87</v>
      </c>
      <c r="CQ9" s="44" t="s">
        <v>88</v>
      </c>
      <c r="CR9" s="44" t="s">
        <v>89</v>
      </c>
      <c r="CS9" s="44" t="s">
        <v>87</v>
      </c>
      <c r="CT9" s="44" t="s">
        <v>88</v>
      </c>
      <c r="CU9" s="44" t="s">
        <v>89</v>
      </c>
      <c r="CV9" s="44" t="s">
        <v>87</v>
      </c>
      <c r="CW9" s="44" t="s">
        <v>88</v>
      </c>
      <c r="CX9" s="44" t="s">
        <v>89</v>
      </c>
    </row>
    <row collapsed="false" customFormat="false" customHeight="false" hidden="false" ht="12.75" outlineLevel="0" r="10">
      <c r="A10" s="44" t="n">
        <v>4.99E-005</v>
      </c>
      <c r="B10" s="44" t="n">
        <v>0.611406</v>
      </c>
      <c r="C10" s="44" t="n">
        <v>0.362709</v>
      </c>
      <c r="D10" s="44" t="n">
        <v>4.99E-005</v>
      </c>
      <c r="E10" s="44" t="n">
        <v>0.169618</v>
      </c>
      <c r="F10" s="44" t="n">
        <v>0.157862</v>
      </c>
      <c r="G10" s="44" t="n">
        <v>4.99E-005</v>
      </c>
      <c r="H10" s="44" t="n">
        <v>0.644682</v>
      </c>
      <c r="I10" s="44" t="n">
        <v>0.365</v>
      </c>
      <c r="J10" s="44" t="n">
        <v>4.99E-005</v>
      </c>
      <c r="K10" s="44" t="n">
        <v>0.643903</v>
      </c>
      <c r="L10" s="44" t="n">
        <v>0.360599</v>
      </c>
      <c r="M10" s="44" t="n">
        <v>4.99E-005</v>
      </c>
      <c r="N10" s="44" t="n">
        <v>0.678962</v>
      </c>
      <c r="O10" s="44" t="n">
        <v>0.370414</v>
      </c>
      <c r="P10" s="44" t="n">
        <v>4.99E-005</v>
      </c>
      <c r="Q10" s="44" t="n">
        <v>0.186451</v>
      </c>
      <c r="R10" s="44" t="n">
        <v>0.161396</v>
      </c>
      <c r="S10" s="44" t="n">
        <v>4.99E-005</v>
      </c>
      <c r="T10" s="44" t="n">
        <v>0.162984</v>
      </c>
      <c r="U10" s="44" t="n">
        <v>0.142436</v>
      </c>
      <c r="V10" s="44" t="n">
        <v>4.99E-005</v>
      </c>
      <c r="W10" s="44" t="n">
        <v>0.681943</v>
      </c>
      <c r="X10" s="44" t="n">
        <v>0.35594</v>
      </c>
      <c r="Y10" s="44" t="n">
        <v>4.99E-005</v>
      </c>
      <c r="Z10" s="44" t="n">
        <v>0.187523</v>
      </c>
      <c r="AA10" s="44" t="n">
        <v>0.155076</v>
      </c>
      <c r="AB10" s="44" t="n">
        <v>4.99E-005</v>
      </c>
      <c r="AC10" s="44" t="n">
        <v>0.696397</v>
      </c>
      <c r="AD10" s="44" t="n">
        <v>0.352204</v>
      </c>
      <c r="AE10" s="44" t="n">
        <v>4.99E-005</v>
      </c>
      <c r="AF10" s="44" t="n">
        <v>0.190696</v>
      </c>
      <c r="AG10" s="44" t="n">
        <v>0.154434</v>
      </c>
      <c r="AH10" s="44" t="n">
        <v>4.99E-005</v>
      </c>
      <c r="AI10" s="44" t="n">
        <v>0.726704</v>
      </c>
      <c r="AJ10" s="44" t="n">
        <v>0.361031</v>
      </c>
      <c r="AK10" s="44" t="n">
        <v>4.99E-005</v>
      </c>
      <c r="AL10" s="44" t="n">
        <v>0.738448</v>
      </c>
      <c r="AM10" s="44" t="n">
        <v>0.361264</v>
      </c>
      <c r="AN10" s="44" t="n">
        <v>4.99E-005</v>
      </c>
      <c r="AO10" s="44" t="n">
        <v>0.200443</v>
      </c>
      <c r="AP10" s="44" t="n">
        <v>0.156125</v>
      </c>
      <c r="AQ10" s="44" t="n">
        <v>4.99E-005</v>
      </c>
      <c r="AR10" s="44" t="n">
        <v>0.777609</v>
      </c>
      <c r="AS10" s="44" t="n">
        <v>0.368467</v>
      </c>
      <c r="AT10" s="44" t="n">
        <v>4.99E-005</v>
      </c>
      <c r="AU10" s="44" t="n">
        <v>0.747393</v>
      </c>
      <c r="AV10" s="44" t="n">
        <v>0.34731</v>
      </c>
      <c r="AW10" s="44" t="n">
        <v>4.99E-005</v>
      </c>
      <c r="AX10" s="44" t="n">
        <v>0.75323</v>
      </c>
      <c r="AY10" s="44" t="n">
        <v>0.346058</v>
      </c>
      <c r="AZ10" s="44" t="n">
        <v>4.99E-005</v>
      </c>
      <c r="BA10" s="44" t="n">
        <v>0.204332</v>
      </c>
      <c r="BB10" s="44" t="n">
        <v>0.151694</v>
      </c>
      <c r="BC10" s="44" t="n">
        <v>4.99E-005</v>
      </c>
      <c r="BD10" s="44" t="n">
        <v>0.805453</v>
      </c>
      <c r="BE10" s="44" t="n">
        <v>0.362426</v>
      </c>
      <c r="BF10" s="44" t="n">
        <v>4.99E-005</v>
      </c>
      <c r="BG10" s="44" t="n">
        <v>0.815204</v>
      </c>
      <c r="BH10" s="44" t="n">
        <v>0.361531</v>
      </c>
      <c r="BI10" s="44" t="n">
        <v>4.99E-005</v>
      </c>
      <c r="BJ10" s="44" t="n">
        <v>0.226823</v>
      </c>
      <c r="BK10" s="44" t="n">
        <v>0.156785</v>
      </c>
      <c r="BL10" s="44" t="n">
        <v>4.99E-005</v>
      </c>
      <c r="BM10" s="44" t="n">
        <v>0.243154</v>
      </c>
      <c r="BN10" s="44" t="n">
        <v>0.164111</v>
      </c>
      <c r="BO10" s="44" t="n">
        <v>4.99E-005</v>
      </c>
      <c r="BP10" s="44" t="n">
        <v>0.840784</v>
      </c>
      <c r="BQ10" s="44" t="n">
        <v>0.356095</v>
      </c>
      <c r="BR10" s="44" t="n">
        <v>4.99E-005</v>
      </c>
      <c r="BS10" s="44" t="n">
        <v>0.187808</v>
      </c>
      <c r="BT10" s="44" t="n">
        <v>0.133784</v>
      </c>
      <c r="BU10" s="44" t="n">
        <v>4.99E-005</v>
      </c>
      <c r="BV10" s="44" t="n">
        <v>0.254943</v>
      </c>
      <c r="BW10" s="44" t="n">
        <v>0.165574</v>
      </c>
      <c r="BX10" s="44" t="n">
        <v>4.99E-005</v>
      </c>
      <c r="BY10" s="44" t="n">
        <v>0.246927</v>
      </c>
      <c r="BZ10" s="44" t="n">
        <v>0.157941</v>
      </c>
      <c r="CA10" s="44" t="n">
        <v>4.99E-005</v>
      </c>
      <c r="CB10" s="44" t="n">
        <v>0.90964</v>
      </c>
      <c r="CC10" s="44" t="n">
        <v>0.358139</v>
      </c>
      <c r="CD10" s="44" t="n">
        <v>4.99E-005</v>
      </c>
      <c r="CE10" s="44" t="n">
        <v>0.926675</v>
      </c>
      <c r="CF10" s="44" t="n">
        <v>0.36038</v>
      </c>
      <c r="CG10" s="44" t="n">
        <v>4.99E-005</v>
      </c>
      <c r="CH10" s="44" t="n">
        <v>0.972939</v>
      </c>
      <c r="CI10" s="44" t="n">
        <v>0.372297</v>
      </c>
      <c r="CJ10" s="44" t="n">
        <v>4.99E-005</v>
      </c>
      <c r="CK10" s="44" t="n">
        <v>0.236082</v>
      </c>
      <c r="CL10" s="44" t="n">
        <v>0.145369</v>
      </c>
      <c r="CM10" s="44" t="n">
        <v>4.99E-005</v>
      </c>
      <c r="CN10" s="44" t="n">
        <v>0.268622</v>
      </c>
      <c r="CO10" s="44" t="n">
        <v>0.156375</v>
      </c>
      <c r="CP10" s="44" t="n">
        <v>4.99E-005</v>
      </c>
      <c r="CQ10" s="44" t="n">
        <v>1.00772</v>
      </c>
      <c r="CR10" s="44" t="n">
        <v>0.364547</v>
      </c>
      <c r="CS10" s="44" t="n">
        <v>4.99E-005</v>
      </c>
      <c r="CT10" s="44" t="n">
        <v>0.282777</v>
      </c>
      <c r="CU10" s="44" t="n">
        <v>0.160329</v>
      </c>
      <c r="CV10" s="44" t="n">
        <v>4.99E-005</v>
      </c>
      <c r="CW10" s="44" t="n">
        <v>1.02528</v>
      </c>
      <c r="CX10" s="44" t="n">
        <v>0.36129</v>
      </c>
    </row>
    <row collapsed="false" customFormat="false" customHeight="false" hidden="false" ht="12.75" outlineLevel="0" r="11">
      <c r="A11" s="44" t="n">
        <v>0.0001499</v>
      </c>
      <c r="B11" s="44" t="n">
        <v>1.88258</v>
      </c>
      <c r="C11" s="44" t="n">
        <v>0.538111</v>
      </c>
      <c r="D11" s="44" t="n">
        <v>0.0001499</v>
      </c>
      <c r="E11" s="44" t="n">
        <v>1.44931</v>
      </c>
      <c r="F11" s="44" t="n">
        <v>0.512252</v>
      </c>
      <c r="G11" s="44" t="n">
        <v>0.0001499</v>
      </c>
      <c r="H11" s="44" t="n">
        <v>2.01131</v>
      </c>
      <c r="I11" s="44" t="n">
        <v>0.557986</v>
      </c>
      <c r="J11" s="44" t="n">
        <v>0.0001499</v>
      </c>
      <c r="K11" s="44" t="n">
        <v>1.99316</v>
      </c>
      <c r="L11" s="44" t="n">
        <v>0.547175</v>
      </c>
      <c r="M11" s="44" t="n">
        <v>0.0001499</v>
      </c>
      <c r="N11" s="44" t="n">
        <v>2.08149</v>
      </c>
      <c r="O11" s="44" t="n">
        <v>0.555216</v>
      </c>
      <c r="P11" s="44" t="n">
        <v>0.0001499</v>
      </c>
      <c r="Q11" s="44" t="n">
        <v>1.59502</v>
      </c>
      <c r="R11" s="44" t="n">
        <v>0.521049</v>
      </c>
      <c r="S11" s="44" t="n">
        <v>0.0001499</v>
      </c>
      <c r="T11" s="44" t="n">
        <v>1.53447</v>
      </c>
      <c r="U11" s="44" t="n">
        <v>0.503079</v>
      </c>
      <c r="V11" s="44" t="n">
        <v>0.0001499</v>
      </c>
      <c r="W11" s="44" t="n">
        <v>2.10372</v>
      </c>
      <c r="X11" s="44" t="n">
        <v>0.538473</v>
      </c>
      <c r="Y11" s="44" t="n">
        <v>0.0001499</v>
      </c>
      <c r="Z11" s="44" t="n">
        <v>1.62269</v>
      </c>
      <c r="AA11" s="44" t="n">
        <v>0.514278</v>
      </c>
      <c r="AB11" s="44" t="n">
        <v>0.0001499</v>
      </c>
      <c r="AC11" s="44" t="n">
        <v>2.14021</v>
      </c>
      <c r="AD11" s="44" t="n">
        <v>0.5406</v>
      </c>
      <c r="AE11" s="44" t="n">
        <v>0.0001499</v>
      </c>
      <c r="AF11" s="44" t="n">
        <v>1.64913</v>
      </c>
      <c r="AG11" s="44" t="n">
        <v>0.511217</v>
      </c>
      <c r="AH11" s="44" t="n">
        <v>0.0001499</v>
      </c>
      <c r="AI11" s="44" t="n">
        <v>2.19992</v>
      </c>
      <c r="AJ11" s="44" t="n">
        <v>0.538864</v>
      </c>
      <c r="AK11" s="44" t="n">
        <v>0.0001499</v>
      </c>
      <c r="AL11" s="44" t="n">
        <v>2.21814</v>
      </c>
      <c r="AM11" s="44" t="n">
        <v>0.535527</v>
      </c>
      <c r="AN11" s="44" t="n">
        <v>0.0001499</v>
      </c>
      <c r="AO11" s="44" t="n">
        <v>1.74646</v>
      </c>
      <c r="AP11" s="44" t="n">
        <v>0.525557</v>
      </c>
      <c r="AQ11" s="44" t="n">
        <v>0.0001499</v>
      </c>
      <c r="AR11" s="44" t="n">
        <v>2.33877</v>
      </c>
      <c r="AS11" s="44" t="n">
        <v>0.553478</v>
      </c>
      <c r="AT11" s="44" t="n">
        <v>0.0001499</v>
      </c>
      <c r="AU11" s="44" t="n">
        <v>2.23235</v>
      </c>
      <c r="AV11" s="44" t="n">
        <v>0.524797</v>
      </c>
      <c r="AW11" s="44" t="n">
        <v>0.0001499</v>
      </c>
      <c r="AX11" s="44" t="n">
        <v>2.25385</v>
      </c>
      <c r="AY11" s="44" t="n">
        <v>0.521832</v>
      </c>
      <c r="AZ11" s="44" t="n">
        <v>0.0001499</v>
      </c>
      <c r="BA11" s="44" t="n">
        <v>1.80087</v>
      </c>
      <c r="BB11" s="44" t="n">
        <v>0.517124</v>
      </c>
      <c r="BC11" s="44" t="n">
        <v>0.0001499</v>
      </c>
      <c r="BD11" s="44" t="n">
        <v>2.39692</v>
      </c>
      <c r="BE11" s="44" t="n">
        <v>0.547352</v>
      </c>
      <c r="BF11" s="44" t="n">
        <v>0.0001499</v>
      </c>
      <c r="BG11" s="44" t="n">
        <v>2.40514</v>
      </c>
      <c r="BH11" s="44" t="n">
        <v>0.541903</v>
      </c>
      <c r="BI11" s="44" t="n">
        <v>0.0001499</v>
      </c>
      <c r="BJ11" s="44" t="n">
        <v>1.88755</v>
      </c>
      <c r="BK11" s="44" t="n">
        <v>0.516941</v>
      </c>
      <c r="BL11" s="44" t="n">
        <v>0.0001499</v>
      </c>
      <c r="BM11" s="44" t="n">
        <v>1.94497</v>
      </c>
      <c r="BN11" s="44" t="n">
        <v>0.519887</v>
      </c>
      <c r="BO11" s="44" t="n">
        <v>0.0001499</v>
      </c>
      <c r="BP11" s="44" t="n">
        <v>2.52146</v>
      </c>
      <c r="BQ11" s="44" t="n">
        <v>0.550614</v>
      </c>
      <c r="BR11" s="44" t="n">
        <v>0.0001499</v>
      </c>
      <c r="BS11" s="44" t="n">
        <v>1.84349</v>
      </c>
      <c r="BT11" s="44" t="n">
        <v>0.497123</v>
      </c>
      <c r="BU11" s="44" t="n">
        <v>0.0001499</v>
      </c>
      <c r="BV11" s="44" t="n">
        <v>2.07935</v>
      </c>
      <c r="BW11" s="44" t="n">
        <v>0.5334</v>
      </c>
      <c r="BX11" s="44" t="n">
        <v>0.0001499</v>
      </c>
      <c r="BY11" s="44" t="n">
        <v>2.02403</v>
      </c>
      <c r="BZ11" s="44" t="n">
        <v>0.513719</v>
      </c>
      <c r="CA11" s="44" t="n">
        <v>0.0001499</v>
      </c>
      <c r="CB11" s="44" t="n">
        <v>2.60159</v>
      </c>
      <c r="CC11" s="44" t="n">
        <v>0.536778</v>
      </c>
      <c r="CD11" s="44" t="n">
        <v>0.0001499</v>
      </c>
      <c r="CE11" s="44" t="n">
        <v>2.69883</v>
      </c>
      <c r="CF11" s="44" t="n">
        <v>0.548495</v>
      </c>
      <c r="CG11" s="44" t="n">
        <v>0.0001499</v>
      </c>
      <c r="CH11" s="44" t="n">
        <v>2.78669</v>
      </c>
      <c r="CI11" s="44" t="n">
        <v>0.559446</v>
      </c>
      <c r="CJ11" s="44" t="n">
        <v>0.0001499</v>
      </c>
      <c r="CK11" s="44" t="n">
        <v>2.0917</v>
      </c>
      <c r="CL11" s="44" t="n">
        <v>0.512453</v>
      </c>
      <c r="CM11" s="44" t="n">
        <v>0.0001499</v>
      </c>
      <c r="CN11" s="44" t="n">
        <v>2.15747</v>
      </c>
      <c r="CO11" s="44" t="n">
        <v>0.51197</v>
      </c>
      <c r="CP11" s="44" t="n">
        <v>0.0001499</v>
      </c>
      <c r="CQ11" s="44" t="n">
        <v>2.80836</v>
      </c>
      <c r="CR11" s="44" t="n">
        <v>0.540074</v>
      </c>
      <c r="CS11" s="44" t="n">
        <v>0.0001499</v>
      </c>
      <c r="CT11" s="44" t="n">
        <v>2.26242</v>
      </c>
      <c r="CU11" s="44" t="n">
        <v>0.520405</v>
      </c>
      <c r="CV11" s="44" t="n">
        <v>0.0001499</v>
      </c>
      <c r="CW11" s="44" t="n">
        <v>2.85829</v>
      </c>
      <c r="CX11" s="44" t="n">
        <v>0.541885</v>
      </c>
    </row>
    <row collapsed="false" customFormat="false" customHeight="false" hidden="false" ht="12.75" outlineLevel="0" r="12">
      <c r="A12" s="44" t="n">
        <v>0.0002499</v>
      </c>
      <c r="B12" s="44" t="n">
        <v>2.4673</v>
      </c>
      <c r="C12" s="44" t="n">
        <v>0.599071</v>
      </c>
      <c r="D12" s="44" t="n">
        <v>0.0002499</v>
      </c>
      <c r="E12" s="44" t="n">
        <v>2.35045</v>
      </c>
      <c r="F12" s="44" t="n">
        <v>0.585682</v>
      </c>
      <c r="G12" s="44" t="n">
        <v>0.0002499</v>
      </c>
      <c r="H12" s="44" t="n">
        <v>2.61952</v>
      </c>
      <c r="I12" s="44" t="n">
        <v>0.611497</v>
      </c>
      <c r="J12" s="44" t="n">
        <v>0.0002499</v>
      </c>
      <c r="K12" s="44" t="n">
        <v>2.59809</v>
      </c>
      <c r="L12" s="44" t="n">
        <v>0.601104</v>
      </c>
      <c r="M12" s="44" t="n">
        <v>0.0002499</v>
      </c>
      <c r="N12" s="44" t="n">
        <v>2.70517</v>
      </c>
      <c r="O12" s="44" t="n">
        <v>0.610292</v>
      </c>
      <c r="P12" s="44" t="n">
        <v>0.0002499</v>
      </c>
      <c r="Q12" s="44" t="n">
        <v>2.52038</v>
      </c>
      <c r="R12" s="44" t="n">
        <v>0.582097</v>
      </c>
      <c r="S12" s="44" t="n">
        <v>0.0002499</v>
      </c>
      <c r="T12" s="44" t="n">
        <v>2.51674</v>
      </c>
      <c r="U12" s="44" t="n">
        <v>0.576451</v>
      </c>
      <c r="V12" s="44" t="n">
        <v>0.0002499</v>
      </c>
      <c r="W12" s="44" t="n">
        <v>2.73066</v>
      </c>
      <c r="X12" s="44" t="n">
        <v>0.59221</v>
      </c>
      <c r="Y12" s="44" t="n">
        <v>0.0002499</v>
      </c>
      <c r="Z12" s="44" t="n">
        <v>2.57828</v>
      </c>
      <c r="AA12" s="44" t="n">
        <v>0.575935</v>
      </c>
      <c r="AB12" s="44" t="n">
        <v>0.0002499</v>
      </c>
      <c r="AC12" s="44" t="n">
        <v>2.81372</v>
      </c>
      <c r="AD12" s="44" t="n">
        <v>0.601465</v>
      </c>
      <c r="AE12" s="44" t="n">
        <v>0.0002499</v>
      </c>
      <c r="AF12" s="44" t="n">
        <v>2.60718</v>
      </c>
      <c r="AG12" s="44" t="n">
        <v>0.572959</v>
      </c>
      <c r="AH12" s="44" t="n">
        <v>0.0002499</v>
      </c>
      <c r="AI12" s="44" t="n">
        <v>2.84488</v>
      </c>
      <c r="AJ12" s="44" t="n">
        <v>0.5956</v>
      </c>
      <c r="AK12" s="44" t="n">
        <v>0.0002499</v>
      </c>
      <c r="AL12" s="44" t="n">
        <v>2.85364</v>
      </c>
      <c r="AM12" s="44" t="n">
        <v>0.591769</v>
      </c>
      <c r="AN12" s="44" t="n">
        <v>0.0002499</v>
      </c>
      <c r="AO12" s="44" t="n">
        <v>2.75841</v>
      </c>
      <c r="AP12" s="44" t="n">
        <v>0.588923</v>
      </c>
      <c r="AQ12" s="44" t="n">
        <v>0.0002499</v>
      </c>
      <c r="AR12" s="44" t="n">
        <v>3.00574</v>
      </c>
      <c r="AS12" s="44" t="n">
        <v>0.609235</v>
      </c>
      <c r="AT12" s="44" t="n">
        <v>0.0002499</v>
      </c>
      <c r="AU12" s="44" t="n">
        <v>2.90715</v>
      </c>
      <c r="AV12" s="44" t="n">
        <v>0.589223</v>
      </c>
      <c r="AW12" s="44" t="n">
        <v>0.0002499</v>
      </c>
      <c r="AX12" s="44" t="n">
        <v>2.9243</v>
      </c>
      <c r="AY12" s="44" t="n">
        <v>0.587182</v>
      </c>
      <c r="AZ12" s="44" t="n">
        <v>0.0002499</v>
      </c>
      <c r="BA12" s="44" t="n">
        <v>2.83171</v>
      </c>
      <c r="BB12" s="44" t="n">
        <v>0.582746</v>
      </c>
      <c r="BC12" s="44" t="n">
        <v>0.0002499</v>
      </c>
      <c r="BD12" s="44" t="n">
        <v>3.09006</v>
      </c>
      <c r="BE12" s="44" t="n">
        <v>0.605617</v>
      </c>
      <c r="BF12" s="44" t="n">
        <v>0.0002499</v>
      </c>
      <c r="BG12" s="44" t="n">
        <v>3.10376</v>
      </c>
      <c r="BH12" s="44" t="n">
        <v>0.602245</v>
      </c>
      <c r="BI12" s="44" t="n">
        <v>0.0002499</v>
      </c>
      <c r="BJ12" s="44" t="n">
        <v>2.89235</v>
      </c>
      <c r="BK12" s="44" t="n">
        <v>0.573413</v>
      </c>
      <c r="BL12" s="44" t="n">
        <v>0.0002499</v>
      </c>
      <c r="BM12" s="44" t="n">
        <v>2.98299</v>
      </c>
      <c r="BN12" s="44" t="n">
        <v>0.586362</v>
      </c>
      <c r="BO12" s="44" t="n">
        <v>0.0002499</v>
      </c>
      <c r="BP12" s="44" t="n">
        <v>3.20806</v>
      </c>
      <c r="BQ12" s="44" t="n">
        <v>0.597627</v>
      </c>
      <c r="BR12" s="44" t="n">
        <v>0.0002499</v>
      </c>
      <c r="BS12" s="44" t="n">
        <v>2.91253</v>
      </c>
      <c r="BT12" s="44" t="n">
        <v>0.565395</v>
      </c>
      <c r="BU12" s="44" t="n">
        <v>0.0002499</v>
      </c>
      <c r="BV12" s="44" t="n">
        <v>3.14076</v>
      </c>
      <c r="BW12" s="44" t="n">
        <v>0.593816</v>
      </c>
      <c r="BX12" s="44" t="n">
        <v>0.0002499</v>
      </c>
      <c r="BY12" s="44" t="n">
        <v>3.08823</v>
      </c>
      <c r="BZ12" s="44" t="n">
        <v>0.581396</v>
      </c>
      <c r="CA12" s="44" t="n">
        <v>0.0002499</v>
      </c>
      <c r="CB12" s="44" t="n">
        <v>3.32177</v>
      </c>
      <c r="CC12" s="44" t="n">
        <v>0.59842</v>
      </c>
      <c r="CD12" s="44" t="n">
        <v>0.0002499</v>
      </c>
      <c r="CE12" s="44" t="n">
        <v>3.38144</v>
      </c>
      <c r="CF12" s="44" t="n">
        <v>0.598052</v>
      </c>
      <c r="CG12" s="44" t="n">
        <v>0.0002499</v>
      </c>
      <c r="CH12" s="44" t="n">
        <v>3.50942</v>
      </c>
      <c r="CI12" s="44" t="n">
        <v>0.61307</v>
      </c>
      <c r="CJ12" s="44" t="n">
        <v>0.0002499</v>
      </c>
      <c r="CK12" s="44" t="n">
        <v>3.19096</v>
      </c>
      <c r="CL12" s="44" t="n">
        <v>0.575584</v>
      </c>
      <c r="CM12" s="44" t="n">
        <v>0.0002499</v>
      </c>
      <c r="CN12" s="44" t="n">
        <v>3.26983</v>
      </c>
      <c r="CO12" s="44" t="n">
        <v>0.58319</v>
      </c>
      <c r="CP12" s="44" t="n">
        <v>0.0002499</v>
      </c>
      <c r="CQ12" s="44" t="n">
        <v>3.54603</v>
      </c>
      <c r="CR12" s="44" t="n">
        <v>0.60401</v>
      </c>
      <c r="CS12" s="44" t="n">
        <v>0.0002499</v>
      </c>
      <c r="CT12" s="44" t="n">
        <v>3.36642</v>
      </c>
      <c r="CU12" s="44" t="n">
        <v>0.587301</v>
      </c>
      <c r="CV12" s="44" t="n">
        <v>0.0002499</v>
      </c>
      <c r="CW12" s="44" t="n">
        <v>3.62985</v>
      </c>
      <c r="CX12" s="44" t="n">
        <v>0.609492</v>
      </c>
    </row>
    <row collapsed="false" customFormat="false" customHeight="false" hidden="false" ht="12.75" outlineLevel="0" r="13">
      <c r="A13" s="44" t="n">
        <v>0.0003499</v>
      </c>
      <c r="B13" s="44" t="n">
        <v>2.6763</v>
      </c>
      <c r="C13" s="44" t="n">
        <v>0.619875</v>
      </c>
      <c r="D13" s="44" t="n">
        <v>0.0003499</v>
      </c>
      <c r="E13" s="44" t="n">
        <v>2.70617</v>
      </c>
      <c r="F13" s="44" t="n">
        <v>0.622797</v>
      </c>
      <c r="G13" s="44" t="n">
        <v>0.0003499</v>
      </c>
      <c r="H13" s="44" t="n">
        <v>2.82767</v>
      </c>
      <c r="I13" s="44" t="n">
        <v>0.632003</v>
      </c>
      <c r="J13" s="44" t="n">
        <v>0.0003499</v>
      </c>
      <c r="K13" s="44" t="n">
        <v>2.81217</v>
      </c>
      <c r="L13" s="44" t="n">
        <v>0.6209</v>
      </c>
      <c r="M13" s="44" t="n">
        <v>0.0003499</v>
      </c>
      <c r="N13" s="44" t="n">
        <v>2.90543</v>
      </c>
      <c r="O13" s="44" t="n">
        <v>0.627884</v>
      </c>
      <c r="P13" s="44" t="n">
        <v>0.0003499</v>
      </c>
      <c r="Q13" s="44" t="n">
        <v>2.89646</v>
      </c>
      <c r="R13" s="44" t="n">
        <v>0.621355</v>
      </c>
      <c r="S13" s="44" t="n">
        <v>0.0003499</v>
      </c>
      <c r="T13" s="44" t="n">
        <v>2.94381</v>
      </c>
      <c r="U13" s="44" t="n">
        <v>0.623044</v>
      </c>
      <c r="V13" s="44" t="n">
        <v>0.0003499</v>
      </c>
      <c r="W13" s="44" t="n">
        <v>2.97933</v>
      </c>
      <c r="X13" s="44" t="n">
        <v>0.616132</v>
      </c>
      <c r="Y13" s="44" t="n">
        <v>0.0003499</v>
      </c>
      <c r="Z13" s="44" t="n">
        <v>2.97648</v>
      </c>
      <c r="AA13" s="44" t="n">
        <v>0.618192</v>
      </c>
      <c r="AB13" s="44" t="n">
        <v>0.0003499</v>
      </c>
      <c r="AC13" s="44" t="n">
        <v>3.06681</v>
      </c>
      <c r="AD13" s="44" t="n">
        <v>0.624413</v>
      </c>
      <c r="AE13" s="44" t="n">
        <v>0.0003499</v>
      </c>
      <c r="AF13" s="44" t="n">
        <v>3.01744</v>
      </c>
      <c r="AG13" s="44" t="n">
        <v>0.61709</v>
      </c>
      <c r="AH13" s="44" t="n">
        <v>0.0003499</v>
      </c>
      <c r="AI13" s="44" t="n">
        <v>3.09541</v>
      </c>
      <c r="AJ13" s="44" t="n">
        <v>0.61809</v>
      </c>
      <c r="AK13" s="44" t="n">
        <v>0.0003499</v>
      </c>
      <c r="AL13" s="44" t="n">
        <v>3.11072</v>
      </c>
      <c r="AM13" s="44" t="n">
        <v>0.615565</v>
      </c>
      <c r="AN13" s="44" t="n">
        <v>0.0003499</v>
      </c>
      <c r="AO13" s="44" t="n">
        <v>3.16674</v>
      </c>
      <c r="AP13" s="44" t="n">
        <v>0.627151</v>
      </c>
      <c r="AQ13" s="44" t="n">
        <v>0.0003499</v>
      </c>
      <c r="AR13" s="44" t="n">
        <v>3.25964</v>
      </c>
      <c r="AS13" s="44" t="n">
        <v>0.631746</v>
      </c>
      <c r="AT13" s="44" t="n">
        <v>0.0003499</v>
      </c>
      <c r="AU13" s="44" t="n">
        <v>3.18644</v>
      </c>
      <c r="AV13" s="44" t="n">
        <v>0.614767</v>
      </c>
      <c r="AW13" s="44" t="n">
        <v>0.0003499</v>
      </c>
      <c r="AX13" s="44" t="n">
        <v>3.21639</v>
      </c>
      <c r="AY13" s="44" t="n">
        <v>0.614841</v>
      </c>
      <c r="AZ13" s="44" t="n">
        <v>0.0003499</v>
      </c>
      <c r="BA13" s="44" t="n">
        <v>3.27699</v>
      </c>
      <c r="BB13" s="44" t="n">
        <v>0.625868</v>
      </c>
      <c r="BC13" s="44" t="n">
        <v>0.0003499</v>
      </c>
      <c r="BD13" s="44" t="n">
        <v>3.35863</v>
      </c>
      <c r="BE13" s="44" t="n">
        <v>0.627418</v>
      </c>
      <c r="BF13" s="44" t="n">
        <v>0.0003499</v>
      </c>
      <c r="BG13" s="44" t="n">
        <v>3.35133</v>
      </c>
      <c r="BH13" s="44" t="n">
        <v>0.620024</v>
      </c>
      <c r="BI13" s="44" t="n">
        <v>0.0003499</v>
      </c>
      <c r="BJ13" s="44" t="n">
        <v>3.31186</v>
      </c>
      <c r="BK13" s="44" t="n">
        <v>0.61494</v>
      </c>
      <c r="BL13" s="44" t="n">
        <v>0.0003499</v>
      </c>
      <c r="BM13" s="44" t="n">
        <v>3.41492</v>
      </c>
      <c r="BN13" s="44" t="n">
        <v>0.625968</v>
      </c>
      <c r="BO13" s="44" t="n">
        <v>0.0003499</v>
      </c>
      <c r="BP13" s="44" t="n">
        <v>3.44723</v>
      </c>
      <c r="BQ13" s="44" t="n">
        <v>0.618061</v>
      </c>
      <c r="BR13" s="44" t="n">
        <v>0.0003499</v>
      </c>
      <c r="BS13" s="44" t="n">
        <v>3.39936</v>
      </c>
      <c r="BT13" s="44" t="n">
        <v>0.615014</v>
      </c>
      <c r="BU13" s="44" t="n">
        <v>0.0003499</v>
      </c>
      <c r="BV13" s="44" t="n">
        <v>3.56237</v>
      </c>
      <c r="BW13" s="44" t="n">
        <v>0.630098</v>
      </c>
      <c r="BX13" s="44" t="n">
        <v>0.0003499</v>
      </c>
      <c r="BY13" s="44" t="n">
        <v>3.54552</v>
      </c>
      <c r="BZ13" s="44" t="n">
        <v>0.623044</v>
      </c>
      <c r="CA13" s="44" t="n">
        <v>0.0003499</v>
      </c>
      <c r="CB13" s="44" t="n">
        <v>3.60661</v>
      </c>
      <c r="CC13" s="44" t="n">
        <v>0.620839</v>
      </c>
      <c r="CD13" s="44" t="n">
        <v>0.0003499</v>
      </c>
      <c r="CE13" s="44" t="n">
        <v>3.61531</v>
      </c>
      <c r="CF13" s="44" t="n">
        <v>0.614697</v>
      </c>
      <c r="CG13" s="44" t="n">
        <v>0.0003499</v>
      </c>
      <c r="CH13" s="44" t="n">
        <v>3.76353</v>
      </c>
      <c r="CI13" s="44" t="n">
        <v>0.630805</v>
      </c>
      <c r="CJ13" s="44" t="n">
        <v>0.0003499</v>
      </c>
      <c r="CK13" s="44" t="n">
        <v>3.68022</v>
      </c>
      <c r="CL13" s="44" t="n">
        <v>0.621515</v>
      </c>
      <c r="CM13" s="44" t="n">
        <v>0.0003499</v>
      </c>
      <c r="CN13" s="44" t="n">
        <v>3.74506</v>
      </c>
      <c r="CO13" s="44" t="n">
        <v>0.624008</v>
      </c>
      <c r="CP13" s="44" t="n">
        <v>0.0003499</v>
      </c>
      <c r="CQ13" s="44" t="n">
        <v>3.82713</v>
      </c>
      <c r="CR13" s="44" t="n">
        <v>0.624264</v>
      </c>
      <c r="CS13" s="44" t="n">
        <v>0.0003499</v>
      </c>
      <c r="CT13" s="44" t="n">
        <v>3.84944</v>
      </c>
      <c r="CU13" s="44" t="n">
        <v>0.628842</v>
      </c>
      <c r="CV13" s="44" t="n">
        <v>0.0003499</v>
      </c>
      <c r="CW13" s="44" t="n">
        <v>3.89091</v>
      </c>
      <c r="CX13" s="44" t="n">
        <v>0.624895</v>
      </c>
    </row>
    <row collapsed="false" customFormat="false" customHeight="false" hidden="false" ht="12.75" outlineLevel="0" r="14">
      <c r="A14" s="44" t="n">
        <v>0.0004499</v>
      </c>
      <c r="B14" s="44" t="n">
        <v>2.67197</v>
      </c>
      <c r="C14" s="44" t="n">
        <v>0.607447</v>
      </c>
      <c r="D14" s="44" t="n">
        <v>0.0004499</v>
      </c>
      <c r="E14" s="44" t="n">
        <v>2.74569</v>
      </c>
      <c r="F14" s="44" t="n">
        <v>0.617395</v>
      </c>
      <c r="G14" s="44" t="n">
        <v>0.0004499</v>
      </c>
      <c r="H14" s="44" t="n">
        <v>2.82126</v>
      </c>
      <c r="I14" s="44" t="n">
        <v>0.622312</v>
      </c>
      <c r="J14" s="44" t="n">
        <v>0.0004499</v>
      </c>
      <c r="K14" s="44" t="n">
        <v>2.81159</v>
      </c>
      <c r="L14" s="44" t="n">
        <v>0.609583</v>
      </c>
      <c r="M14" s="44" t="n">
        <v>0.0004499</v>
      </c>
      <c r="N14" s="44" t="n">
        <v>2.89431</v>
      </c>
      <c r="O14" s="44" t="n">
        <v>0.616413</v>
      </c>
      <c r="P14" s="44" t="n">
        <v>0.0004499</v>
      </c>
      <c r="Q14" s="44" t="n">
        <v>2.95331</v>
      </c>
      <c r="R14" s="44" t="n">
        <v>0.619005</v>
      </c>
      <c r="S14" s="44" t="n">
        <v>0.0004499</v>
      </c>
      <c r="T14" s="44" t="n">
        <v>3.01748</v>
      </c>
      <c r="U14" s="44" t="n">
        <v>0.622336</v>
      </c>
      <c r="V14" s="44" t="n">
        <v>0.0004499</v>
      </c>
      <c r="W14" s="44" t="n">
        <v>2.98812</v>
      </c>
      <c r="X14" s="44" t="n">
        <v>0.605509</v>
      </c>
      <c r="Y14" s="44" t="n">
        <v>0.0004499</v>
      </c>
      <c r="Z14" s="44" t="n">
        <v>3.05061</v>
      </c>
      <c r="AA14" s="44" t="n">
        <v>0.617755</v>
      </c>
      <c r="AB14" s="44" t="n">
        <v>0.0004499</v>
      </c>
      <c r="AC14" s="44" t="n">
        <v>3.06807</v>
      </c>
      <c r="AD14" s="44" t="n">
        <v>0.613832</v>
      </c>
      <c r="AE14" s="44" t="n">
        <v>0.0004499</v>
      </c>
      <c r="AF14" s="44" t="n">
        <v>3.08534</v>
      </c>
      <c r="AG14" s="44" t="n">
        <v>0.61441</v>
      </c>
      <c r="AH14" s="44" t="n">
        <v>0.0004499</v>
      </c>
      <c r="AI14" s="44" t="n">
        <v>3.0975</v>
      </c>
      <c r="AJ14" s="44" t="n">
        <v>0.606993</v>
      </c>
      <c r="AK14" s="44" t="n">
        <v>0.0004499</v>
      </c>
      <c r="AL14" s="44" t="n">
        <v>3.1107</v>
      </c>
      <c r="AM14" s="44" t="n">
        <v>0.603176</v>
      </c>
      <c r="AN14" s="44" t="n">
        <v>0.0004499</v>
      </c>
      <c r="AO14" s="44" t="n">
        <v>3.22959</v>
      </c>
      <c r="AP14" s="44" t="n">
        <v>0.626337</v>
      </c>
      <c r="AQ14" s="44" t="n">
        <v>0.0004499</v>
      </c>
      <c r="AR14" s="44" t="n">
        <v>3.25402</v>
      </c>
      <c r="AS14" s="44" t="n">
        <v>0.622448</v>
      </c>
      <c r="AT14" s="44" t="n">
        <v>0.0004499</v>
      </c>
      <c r="AU14" s="44" t="n">
        <v>3.19273</v>
      </c>
      <c r="AV14" s="44" t="n">
        <v>0.603027</v>
      </c>
      <c r="AW14" s="44" t="n">
        <v>0.0004499</v>
      </c>
      <c r="AX14" s="44" t="n">
        <v>3.22183</v>
      </c>
      <c r="AY14" s="44" t="n">
        <v>0.602443</v>
      </c>
      <c r="AZ14" s="44" t="n">
        <v>0.0004499</v>
      </c>
      <c r="BA14" s="44" t="n">
        <v>3.33996</v>
      </c>
      <c r="BB14" s="44" t="n">
        <v>0.623729</v>
      </c>
      <c r="BC14" s="44" t="n">
        <v>0.0004499</v>
      </c>
      <c r="BD14" s="44" t="n">
        <v>3.34986</v>
      </c>
      <c r="BE14" s="44" t="n">
        <v>0.616874</v>
      </c>
      <c r="BF14" s="44" t="n">
        <v>0.0004499</v>
      </c>
      <c r="BG14" s="44" t="n">
        <v>3.33844</v>
      </c>
      <c r="BH14" s="44" t="n">
        <v>0.607357</v>
      </c>
      <c r="BI14" s="44" t="n">
        <v>0.0004499</v>
      </c>
      <c r="BJ14" s="44" t="n">
        <v>3.39181</v>
      </c>
      <c r="BK14" s="44" t="n">
        <v>0.614451</v>
      </c>
      <c r="BL14" s="44" t="n">
        <v>0.0004499</v>
      </c>
      <c r="BM14" s="44" t="n">
        <v>3.47261</v>
      </c>
      <c r="BN14" s="44" t="n">
        <v>0.623543</v>
      </c>
      <c r="BO14" s="44" t="n">
        <v>0.0004499</v>
      </c>
      <c r="BP14" s="44" t="n">
        <v>3.45154</v>
      </c>
      <c r="BQ14" s="44" t="n">
        <v>0.609229</v>
      </c>
      <c r="BR14" s="44" t="n">
        <v>0.0004499</v>
      </c>
      <c r="BS14" s="44" t="n">
        <v>3.4904</v>
      </c>
      <c r="BT14" s="44" t="n">
        <v>0.614244</v>
      </c>
      <c r="BU14" s="44" t="n">
        <v>0.0004499</v>
      </c>
      <c r="BV14" s="44" t="n">
        <v>3.61187</v>
      </c>
      <c r="BW14" s="44" t="n">
        <v>0.627542</v>
      </c>
      <c r="BX14" s="44" t="n">
        <v>0.0004499</v>
      </c>
      <c r="BY14" s="44" t="n">
        <v>3.59969</v>
      </c>
      <c r="BZ14" s="44" t="n">
        <v>0.618875</v>
      </c>
      <c r="CA14" s="44" t="n">
        <v>0.0004499</v>
      </c>
      <c r="CB14" s="44" t="n">
        <v>3.59656</v>
      </c>
      <c r="CC14" s="44" t="n">
        <v>0.608953</v>
      </c>
      <c r="CD14" s="44" t="n">
        <v>0.0004499</v>
      </c>
      <c r="CE14" s="44" t="n">
        <v>3.60336</v>
      </c>
      <c r="CF14" s="44" t="n">
        <v>0.601932</v>
      </c>
      <c r="CG14" s="44" t="n">
        <v>0.0004499</v>
      </c>
      <c r="CH14" s="44" t="n">
        <v>3.73359</v>
      </c>
      <c r="CI14" s="44" t="n">
        <v>0.618679</v>
      </c>
      <c r="CJ14" s="44" t="n">
        <v>0.0004499</v>
      </c>
      <c r="CK14" s="44" t="n">
        <v>3.75922</v>
      </c>
      <c r="CL14" s="44" t="n">
        <v>0.619747</v>
      </c>
      <c r="CM14" s="44" t="n">
        <v>0.0004499</v>
      </c>
      <c r="CN14" s="44" t="n">
        <v>3.79566</v>
      </c>
      <c r="CO14" s="44" t="n">
        <v>0.619187</v>
      </c>
      <c r="CP14" s="44" t="n">
        <v>0.0004499</v>
      </c>
      <c r="CQ14" s="44" t="n">
        <v>3.80326</v>
      </c>
      <c r="CR14" s="44" t="n">
        <v>0.611248</v>
      </c>
      <c r="CS14" s="44" t="n">
        <v>0.0004499</v>
      </c>
      <c r="CT14" s="44" t="n">
        <v>3.90032</v>
      </c>
      <c r="CU14" s="44" t="n">
        <v>0.624801</v>
      </c>
      <c r="CV14" s="44" t="n">
        <v>0.0004499</v>
      </c>
      <c r="CW14" s="44" t="n">
        <v>3.85429</v>
      </c>
      <c r="CX14" s="44" t="n">
        <v>0.609984</v>
      </c>
    </row>
    <row collapsed="false" customFormat="false" customHeight="false" hidden="false" ht="12.75" outlineLevel="0" r="15">
      <c r="A15" s="44" t="n">
        <v>0.0005499</v>
      </c>
      <c r="B15" s="44" t="n">
        <v>2.61397</v>
      </c>
      <c r="C15" s="44" t="n">
        <v>0.580073</v>
      </c>
      <c r="D15" s="44" t="n">
        <v>0.0005499</v>
      </c>
      <c r="E15" s="44" t="n">
        <v>2.69777</v>
      </c>
      <c r="F15" s="44" t="n">
        <v>0.595872</v>
      </c>
      <c r="G15" s="44" t="n">
        <v>0.0005499</v>
      </c>
      <c r="H15" s="44" t="n">
        <v>2.75878</v>
      </c>
      <c r="I15" s="44" t="n">
        <v>0.5985</v>
      </c>
      <c r="J15" s="44" t="n">
        <v>0.0005499</v>
      </c>
      <c r="K15" s="44" t="n">
        <v>2.75081</v>
      </c>
      <c r="L15" s="44" t="n">
        <v>0.583296</v>
      </c>
      <c r="M15" s="44" t="n">
        <v>0.0005499</v>
      </c>
      <c r="N15" s="44" t="n">
        <v>2.82997</v>
      </c>
      <c r="O15" s="44" t="n">
        <v>0.591499</v>
      </c>
      <c r="P15" s="44" t="n">
        <v>0.0005499</v>
      </c>
      <c r="Q15" s="44" t="n">
        <v>2.90517</v>
      </c>
      <c r="R15" s="44" t="n">
        <v>0.599</v>
      </c>
      <c r="S15" s="44" t="n">
        <v>0.0005499</v>
      </c>
      <c r="T15" s="44" t="n">
        <v>2.97099</v>
      </c>
      <c r="U15" s="44" t="n">
        <v>0.603294</v>
      </c>
      <c r="V15" s="44" t="n">
        <v>0.0005499</v>
      </c>
      <c r="W15" s="44" t="n">
        <v>2.9291</v>
      </c>
      <c r="X15" s="44" t="n">
        <v>0.580689</v>
      </c>
      <c r="Y15" s="44" t="n">
        <v>0.0005499</v>
      </c>
      <c r="Z15" s="44" t="n">
        <v>3.00301</v>
      </c>
      <c r="AA15" s="44" t="n">
        <v>0.597911</v>
      </c>
      <c r="AB15" s="44" t="n">
        <v>0.0005499</v>
      </c>
      <c r="AC15" s="44" t="n">
        <v>2.99961</v>
      </c>
      <c r="AD15" s="44" t="n">
        <v>0.588578</v>
      </c>
      <c r="AE15" s="44" t="n">
        <v>0.0005499</v>
      </c>
      <c r="AF15" s="44" t="n">
        <v>3.03701</v>
      </c>
      <c r="AG15" s="44" t="n">
        <v>0.593926</v>
      </c>
      <c r="AH15" s="44" t="n">
        <v>0.0005499</v>
      </c>
      <c r="AI15" s="44" t="n">
        <v>3.03236</v>
      </c>
      <c r="AJ15" s="44" t="n">
        <v>0.581453</v>
      </c>
      <c r="AK15" s="44" t="n">
        <v>0.0005499</v>
      </c>
      <c r="AL15" s="44" t="n">
        <v>3.04385</v>
      </c>
      <c r="AM15" s="44" t="n">
        <v>0.57717</v>
      </c>
      <c r="AN15" s="44" t="n">
        <v>0.0005499</v>
      </c>
      <c r="AO15" s="44" t="n">
        <v>3.17369</v>
      </c>
      <c r="AP15" s="44" t="n">
        <v>0.607952</v>
      </c>
      <c r="AQ15" s="44" t="n">
        <v>0.0005499</v>
      </c>
      <c r="AR15" s="44" t="n">
        <v>3.17991</v>
      </c>
      <c r="AS15" s="44" t="n">
        <v>0.599351</v>
      </c>
      <c r="AT15" s="44" t="n">
        <v>0.0005499</v>
      </c>
      <c r="AU15" s="44" t="n">
        <v>3.12282</v>
      </c>
      <c r="AV15" s="44" t="n">
        <v>0.576602</v>
      </c>
      <c r="AW15" s="44" t="n">
        <v>0.0005499</v>
      </c>
      <c r="AX15" s="44" t="n">
        <v>3.14919</v>
      </c>
      <c r="AY15" s="44" t="n">
        <v>0.575497</v>
      </c>
      <c r="AZ15" s="44" t="n">
        <v>0.0005499</v>
      </c>
      <c r="BA15" s="44" t="n">
        <v>3.27948</v>
      </c>
      <c r="BB15" s="44" t="n">
        <v>0.604333</v>
      </c>
      <c r="BC15" s="44" t="n">
        <v>0.0005499</v>
      </c>
      <c r="BD15" s="44" t="n">
        <v>3.27162</v>
      </c>
      <c r="BE15" s="44" t="n">
        <v>0.59246</v>
      </c>
      <c r="BF15" s="44" t="n">
        <v>0.0005499</v>
      </c>
      <c r="BG15" s="44" t="n">
        <v>3.25913</v>
      </c>
      <c r="BH15" s="44" t="n">
        <v>0.58078</v>
      </c>
      <c r="BI15" s="44" t="n">
        <v>0.0005499</v>
      </c>
      <c r="BJ15" s="44" t="n">
        <v>3.3331</v>
      </c>
      <c r="BK15" s="44" t="n">
        <v>0.593964</v>
      </c>
      <c r="BL15" s="44" t="n">
        <v>0.0005499</v>
      </c>
      <c r="BM15" s="44" t="n">
        <v>3.40849</v>
      </c>
      <c r="BN15" s="44" t="n">
        <v>0.604325</v>
      </c>
      <c r="BO15" s="44" t="n">
        <v>0.0005499</v>
      </c>
      <c r="BP15" s="44" t="n">
        <v>3.37343</v>
      </c>
      <c r="BQ15" s="44" t="n">
        <v>0.585308</v>
      </c>
      <c r="BR15" s="44" t="n">
        <v>0.0005499</v>
      </c>
      <c r="BS15" s="44" t="n">
        <v>3.42938</v>
      </c>
      <c r="BT15" s="44" t="n">
        <v>0.593629</v>
      </c>
      <c r="BU15" s="44" t="n">
        <v>0.0005499</v>
      </c>
      <c r="BV15" s="44" t="n">
        <v>3.54259</v>
      </c>
      <c r="BW15" s="44" t="n">
        <v>0.60894</v>
      </c>
      <c r="BX15" s="44" t="n">
        <v>0.0005499</v>
      </c>
      <c r="BY15" s="44" t="n">
        <v>3.52795</v>
      </c>
      <c r="BZ15" s="44" t="n">
        <v>0.597688</v>
      </c>
      <c r="CA15" s="44" t="n">
        <v>0.0005499</v>
      </c>
      <c r="CB15" s="44" t="n">
        <v>3.50412</v>
      </c>
      <c r="CC15" s="44" t="n">
        <v>0.581867</v>
      </c>
      <c r="CD15" s="44" t="n">
        <v>0.0005499</v>
      </c>
      <c r="CE15" s="44" t="n">
        <v>3.51183</v>
      </c>
      <c r="CF15" s="44" t="n">
        <v>0.574212</v>
      </c>
      <c r="CG15" s="44" t="n">
        <v>0.0005499</v>
      </c>
      <c r="CH15" s="44" t="n">
        <v>3.63512</v>
      </c>
      <c r="CI15" s="44" t="n">
        <v>0.593352</v>
      </c>
      <c r="CJ15" s="44" t="n">
        <v>0.0005499</v>
      </c>
      <c r="CK15" s="44" t="n">
        <v>3.6825</v>
      </c>
      <c r="CL15" s="44" t="n">
        <v>0.59827</v>
      </c>
      <c r="CM15" s="44" t="n">
        <v>0.0005499</v>
      </c>
      <c r="CN15" s="44" t="n">
        <v>3.71422</v>
      </c>
      <c r="CO15" s="44" t="n">
        <v>0.596789</v>
      </c>
      <c r="CP15" s="44" t="n">
        <v>0.0005499</v>
      </c>
      <c r="CQ15" s="44" t="n">
        <v>3.70371</v>
      </c>
      <c r="CR15" s="44" t="n">
        <v>0.58469</v>
      </c>
      <c r="CS15" s="44" t="n">
        <v>0.0005499</v>
      </c>
      <c r="CT15" s="44" t="n">
        <v>3.81244</v>
      </c>
      <c r="CU15" s="44" t="n">
        <v>0.603069</v>
      </c>
      <c r="CV15" s="44" t="n">
        <v>0.0005499</v>
      </c>
      <c r="CW15" s="44" t="n">
        <v>3.74956</v>
      </c>
      <c r="CX15" s="44" t="n">
        <v>0.582281</v>
      </c>
    </row>
    <row collapsed="false" customFormat="false" customHeight="false" hidden="false" ht="12.75" outlineLevel="0" r="16">
      <c r="A16" s="44" t="n">
        <v>0.0006499</v>
      </c>
      <c r="B16" s="44" t="n">
        <v>2.53953</v>
      </c>
      <c r="C16" s="44" t="n">
        <v>0.545707</v>
      </c>
      <c r="D16" s="44" t="n">
        <v>0.0006499</v>
      </c>
      <c r="E16" s="44" t="n">
        <v>2.62982</v>
      </c>
      <c r="F16" s="44" t="n">
        <v>0.564798</v>
      </c>
      <c r="G16" s="44" t="n">
        <v>0.0006499</v>
      </c>
      <c r="H16" s="44" t="n">
        <v>2.68154</v>
      </c>
      <c r="I16" s="44" t="n">
        <v>0.565278</v>
      </c>
      <c r="J16" s="44" t="n">
        <v>0.0006499</v>
      </c>
      <c r="K16" s="44" t="n">
        <v>2.67363</v>
      </c>
      <c r="L16" s="44" t="n">
        <v>0.549468</v>
      </c>
      <c r="M16" s="44" t="n">
        <v>0.0006499</v>
      </c>
      <c r="N16" s="44" t="n">
        <v>2.75187</v>
      </c>
      <c r="O16" s="44" t="n">
        <v>0.558187</v>
      </c>
      <c r="P16" s="44" t="n">
        <v>0.0006499</v>
      </c>
      <c r="Q16" s="44" t="n">
        <v>2.82961</v>
      </c>
      <c r="R16" s="44" t="n">
        <v>0.568149</v>
      </c>
      <c r="S16" s="44" t="n">
        <v>0.0006499</v>
      </c>
      <c r="T16" s="44" t="n">
        <v>2.89175</v>
      </c>
      <c r="U16" s="44" t="n">
        <v>0.571864</v>
      </c>
      <c r="V16" s="44" t="n">
        <v>0.0006499</v>
      </c>
      <c r="W16" s="44" t="n">
        <v>2.84952</v>
      </c>
      <c r="X16" s="44" t="n">
        <v>0.547721</v>
      </c>
      <c r="Y16" s="44" t="n">
        <v>0.0006499</v>
      </c>
      <c r="Z16" s="44" t="n">
        <v>2.92411</v>
      </c>
      <c r="AA16" s="44" t="n">
        <v>0.566593</v>
      </c>
      <c r="AB16" s="44" t="n">
        <v>0.0006499</v>
      </c>
      <c r="AC16" s="44" t="n">
        <v>2.9164</v>
      </c>
      <c r="AD16" s="44" t="n">
        <v>0.555244</v>
      </c>
      <c r="AE16" s="44" t="n">
        <v>0.0006499</v>
      </c>
      <c r="AF16" s="44" t="n">
        <v>2.95869</v>
      </c>
      <c r="AG16" s="44" t="n">
        <v>0.562898</v>
      </c>
      <c r="AH16" s="44" t="n">
        <v>0.0006499</v>
      </c>
      <c r="AI16" s="44" t="n">
        <v>2.94813</v>
      </c>
      <c r="AJ16" s="44" t="n">
        <v>0.548872</v>
      </c>
      <c r="AK16" s="44" t="n">
        <v>0.0006499</v>
      </c>
      <c r="AL16" s="44" t="n">
        <v>2.95787</v>
      </c>
      <c r="AM16" s="44" t="n">
        <v>0.544177</v>
      </c>
      <c r="AN16" s="44" t="n">
        <v>0.0006499</v>
      </c>
      <c r="AO16" s="44" t="n">
        <v>3.08816</v>
      </c>
      <c r="AP16" s="44" t="n">
        <v>0.578202</v>
      </c>
      <c r="AQ16" s="44" t="n">
        <v>0.0006499</v>
      </c>
      <c r="AR16" s="44" t="n">
        <v>3.08978</v>
      </c>
      <c r="AS16" s="44" t="n">
        <v>0.567245</v>
      </c>
      <c r="AT16" s="44" t="n">
        <v>0.0006499</v>
      </c>
      <c r="AU16" s="44" t="n">
        <v>3.03217</v>
      </c>
      <c r="AV16" s="44" t="n">
        <v>0.543402</v>
      </c>
      <c r="AW16" s="44" t="n">
        <v>0.0006499</v>
      </c>
      <c r="AX16" s="44" t="n">
        <v>3.0579</v>
      </c>
      <c r="AY16" s="44" t="n">
        <v>0.542678</v>
      </c>
      <c r="AZ16" s="44" t="n">
        <v>0.0006499</v>
      </c>
      <c r="BA16" s="44" t="n">
        <v>3.18883</v>
      </c>
      <c r="BB16" s="44" t="n">
        <v>0.574184</v>
      </c>
      <c r="BC16" s="44" t="n">
        <v>0.0006499</v>
      </c>
      <c r="BD16" s="44" t="n">
        <v>3.17282</v>
      </c>
      <c r="BE16" s="44" t="n">
        <v>0.559163</v>
      </c>
      <c r="BF16" s="44" t="n">
        <v>0.0006499</v>
      </c>
      <c r="BG16" s="44" t="n">
        <v>3.15905</v>
      </c>
      <c r="BH16" s="44" t="n">
        <v>0.547092</v>
      </c>
      <c r="BI16" s="44" t="n">
        <v>0.0006499</v>
      </c>
      <c r="BJ16" s="44" t="n">
        <v>3.2387</v>
      </c>
      <c r="BK16" s="44" t="n">
        <v>0.56266</v>
      </c>
      <c r="BL16" s="44" t="n">
        <v>0.0006499</v>
      </c>
      <c r="BM16" s="44" t="n">
        <v>3.30921</v>
      </c>
      <c r="BN16" s="44" t="n">
        <v>0.573434</v>
      </c>
      <c r="BO16" s="44" t="n">
        <v>0.0006499</v>
      </c>
      <c r="BP16" s="44" t="n">
        <v>3.27492</v>
      </c>
      <c r="BQ16" s="44" t="n">
        <v>0.553721</v>
      </c>
      <c r="BR16" s="44" t="n">
        <v>0.0006499</v>
      </c>
      <c r="BS16" s="44" t="n">
        <v>3.32873</v>
      </c>
      <c r="BT16" s="44" t="n">
        <v>0.561878</v>
      </c>
      <c r="BU16" s="44" t="n">
        <v>0.0006499</v>
      </c>
      <c r="BV16" s="44" t="n">
        <v>3.43943</v>
      </c>
      <c r="BW16" s="44" t="n">
        <v>0.579145</v>
      </c>
      <c r="BX16" s="44" t="n">
        <v>0.0006499</v>
      </c>
      <c r="BY16" s="44" t="n">
        <v>3.42214</v>
      </c>
      <c r="BZ16" s="44" t="n">
        <v>0.566175</v>
      </c>
      <c r="CA16" s="44" t="n">
        <v>0.0006499</v>
      </c>
      <c r="CB16" s="44" t="n">
        <v>3.39023</v>
      </c>
      <c r="CC16" s="44" t="n">
        <v>0.547789</v>
      </c>
      <c r="CD16" s="44" t="n">
        <v>0.0006499</v>
      </c>
      <c r="CE16" s="44" t="n">
        <v>3.39707</v>
      </c>
      <c r="CF16" s="44" t="n">
        <v>0.540952</v>
      </c>
      <c r="CG16" s="44" t="n">
        <v>0.0006499</v>
      </c>
      <c r="CH16" s="44" t="n">
        <v>3.51816</v>
      </c>
      <c r="CI16" s="44" t="n">
        <v>0.560173</v>
      </c>
      <c r="CJ16" s="44" t="n">
        <v>0.0006499</v>
      </c>
      <c r="CK16" s="44" t="n">
        <v>3.56805</v>
      </c>
      <c r="CL16" s="44" t="n">
        <v>0.566039</v>
      </c>
      <c r="CM16" s="44" t="n">
        <v>0.0006499</v>
      </c>
      <c r="CN16" s="44" t="n">
        <v>3.59319</v>
      </c>
      <c r="CO16" s="44" t="n">
        <v>0.563319</v>
      </c>
      <c r="CP16" s="44" t="n">
        <v>0.0006499</v>
      </c>
      <c r="CQ16" s="44" t="n">
        <v>3.58288</v>
      </c>
      <c r="CR16" s="44" t="n">
        <v>0.551636</v>
      </c>
      <c r="CS16" s="44" t="n">
        <v>0.0006499</v>
      </c>
      <c r="CT16" s="44" t="n">
        <v>3.68979</v>
      </c>
      <c r="CU16" s="44" t="n">
        <v>0.570801</v>
      </c>
      <c r="CV16" s="44" t="n">
        <v>0.0006499</v>
      </c>
      <c r="CW16" s="44" t="n">
        <v>3.62474</v>
      </c>
      <c r="CX16" s="44" t="n">
        <v>0.549475</v>
      </c>
    </row>
    <row collapsed="false" customFormat="false" customHeight="false" hidden="false" ht="12.75" outlineLevel="0" r="17">
      <c r="A17" s="44" t="n">
        <v>0.0007499</v>
      </c>
      <c r="B17" s="44" t="n">
        <v>2.46533</v>
      </c>
      <c r="C17" s="44" t="n">
        <v>0.513647</v>
      </c>
      <c r="D17" s="44" t="n">
        <v>0.0007499</v>
      </c>
      <c r="E17" s="44" t="n">
        <v>2.55615</v>
      </c>
      <c r="F17" s="44" t="n">
        <v>0.531664</v>
      </c>
      <c r="G17" s="44" t="n">
        <v>0.0007499</v>
      </c>
      <c r="H17" s="44" t="n">
        <v>2.60306</v>
      </c>
      <c r="I17" s="44" t="n">
        <v>0.530908</v>
      </c>
      <c r="J17" s="44" t="n">
        <v>0.0007499</v>
      </c>
      <c r="K17" s="44" t="n">
        <v>2.59593</v>
      </c>
      <c r="L17" s="44" t="n">
        <v>0.51698</v>
      </c>
      <c r="M17" s="44" t="n">
        <v>0.0007499</v>
      </c>
      <c r="N17" s="44" t="n">
        <v>2.67103</v>
      </c>
      <c r="O17" s="44" t="n">
        <v>0.524738</v>
      </c>
      <c r="P17" s="44" t="n">
        <v>0.0007499</v>
      </c>
      <c r="Q17" s="44" t="n">
        <v>2.75005</v>
      </c>
      <c r="R17" s="44" t="n">
        <v>0.535213</v>
      </c>
      <c r="S17" s="44" t="n">
        <v>0.0007499</v>
      </c>
      <c r="T17" s="44" t="n">
        <v>2.80727</v>
      </c>
      <c r="U17" s="44" t="n">
        <v>0.537642</v>
      </c>
      <c r="V17" s="44" t="n">
        <v>0.0007499</v>
      </c>
      <c r="W17" s="44" t="n">
        <v>2.76628</v>
      </c>
      <c r="X17" s="44" t="n">
        <v>0.515783</v>
      </c>
      <c r="Y17" s="44" t="n">
        <v>0.0007499</v>
      </c>
      <c r="Z17" s="44" t="n">
        <v>2.83816</v>
      </c>
      <c r="AA17" s="44" t="n">
        <v>0.53277</v>
      </c>
      <c r="AB17" s="44" t="n">
        <v>0.0007499</v>
      </c>
      <c r="AC17" s="44" t="n">
        <v>2.82784</v>
      </c>
      <c r="AD17" s="44" t="n">
        <v>0.52174</v>
      </c>
      <c r="AE17" s="44" t="n">
        <v>0.0007499</v>
      </c>
      <c r="AF17" s="44" t="n">
        <v>2.87277</v>
      </c>
      <c r="AG17" s="44" t="n">
        <v>0.529769</v>
      </c>
      <c r="AH17" s="44" t="n">
        <v>0.0007499</v>
      </c>
      <c r="AI17" s="44" t="n">
        <v>2.8588</v>
      </c>
      <c r="AJ17" s="44" t="n">
        <v>0.516345</v>
      </c>
      <c r="AK17" s="44" t="n">
        <v>0.0007499</v>
      </c>
      <c r="AL17" s="44" t="n">
        <v>2.86735</v>
      </c>
      <c r="AM17" s="44" t="n">
        <v>0.512137</v>
      </c>
      <c r="AN17" s="44" t="n">
        <v>0.0007499</v>
      </c>
      <c r="AO17" s="44" t="n">
        <v>2.99566</v>
      </c>
      <c r="AP17" s="44" t="n">
        <v>0.544165</v>
      </c>
      <c r="AQ17" s="44" t="n">
        <v>0.0007499</v>
      </c>
      <c r="AR17" s="44" t="n">
        <v>2.99456</v>
      </c>
      <c r="AS17" s="44" t="n">
        <v>0.533251</v>
      </c>
      <c r="AT17" s="44" t="n">
        <v>0.0007499</v>
      </c>
      <c r="AU17" s="44" t="n">
        <v>2.93768</v>
      </c>
      <c r="AV17" s="44" t="n">
        <v>0.511598</v>
      </c>
      <c r="AW17" s="44" t="n">
        <v>0.0007499</v>
      </c>
      <c r="AX17" s="44" t="n">
        <v>2.961</v>
      </c>
      <c r="AY17" s="44" t="n">
        <v>0.510379</v>
      </c>
      <c r="AZ17" s="44" t="n">
        <v>0.0007499</v>
      </c>
      <c r="BA17" s="44" t="n">
        <v>3.09187</v>
      </c>
      <c r="BB17" s="44" t="n">
        <v>0.540643</v>
      </c>
      <c r="BC17" s="44" t="n">
        <v>0.0007499</v>
      </c>
      <c r="BD17" s="44" t="n">
        <v>3.0713</v>
      </c>
      <c r="BE17" s="44" t="n">
        <v>0.525488</v>
      </c>
      <c r="BF17" s="44" t="n">
        <v>0.0007499</v>
      </c>
      <c r="BG17" s="44" t="n">
        <v>3.05603</v>
      </c>
      <c r="BH17" s="44" t="n">
        <v>0.514479</v>
      </c>
      <c r="BI17" s="44" t="n">
        <v>0.0007499</v>
      </c>
      <c r="BJ17" s="44" t="n">
        <v>3.13601</v>
      </c>
      <c r="BK17" s="44" t="n">
        <v>0.529634</v>
      </c>
      <c r="BL17" s="44" t="n">
        <v>0.0007499</v>
      </c>
      <c r="BM17" s="44" t="n">
        <v>3.2014</v>
      </c>
      <c r="BN17" s="44" t="n">
        <v>0.539115</v>
      </c>
      <c r="BO17" s="44" t="n">
        <v>0.0007499</v>
      </c>
      <c r="BP17" s="44" t="n">
        <v>3.16861</v>
      </c>
      <c r="BQ17" s="44" t="n">
        <v>0.521381</v>
      </c>
      <c r="BR17" s="44" t="n">
        <v>0.0007499</v>
      </c>
      <c r="BS17" s="44" t="n">
        <v>3.22013</v>
      </c>
      <c r="BT17" s="44" t="n">
        <v>0.528754</v>
      </c>
      <c r="BU17" s="44" t="n">
        <v>0.0007499</v>
      </c>
      <c r="BV17" s="44" t="n">
        <v>3.32945</v>
      </c>
      <c r="BW17" s="44" t="n">
        <v>0.545782</v>
      </c>
      <c r="BX17" s="44" t="n">
        <v>0.0007499</v>
      </c>
      <c r="BY17" s="44" t="n">
        <v>3.31057</v>
      </c>
      <c r="BZ17" s="44" t="n">
        <v>0.533279</v>
      </c>
      <c r="CA17" s="44" t="n">
        <v>0.0007499</v>
      </c>
      <c r="CB17" s="44" t="n">
        <v>3.27354</v>
      </c>
      <c r="CC17" s="44" t="n">
        <v>0.515451</v>
      </c>
      <c r="CD17" s="44" t="n">
        <v>0.0007499</v>
      </c>
      <c r="CE17" s="44" t="n">
        <v>3.28184</v>
      </c>
      <c r="CF17" s="44" t="n">
        <v>0.510364</v>
      </c>
      <c r="CG17" s="44" t="n">
        <v>0.0007499</v>
      </c>
      <c r="CH17" s="44" t="n">
        <v>3.39789</v>
      </c>
      <c r="CI17" s="44" t="n">
        <v>0.527389</v>
      </c>
      <c r="CJ17" s="44" t="n">
        <v>0.0007499</v>
      </c>
      <c r="CK17" s="44" t="n">
        <v>3.44569</v>
      </c>
      <c r="CL17" s="44" t="n">
        <v>0.532699</v>
      </c>
      <c r="CM17" s="44" t="n">
        <v>0.0007499</v>
      </c>
      <c r="CN17" s="44" t="n">
        <v>3.46642</v>
      </c>
      <c r="CO17" s="44" t="n">
        <v>0.529516</v>
      </c>
      <c r="CP17" s="44" t="n">
        <v>0.0007499</v>
      </c>
      <c r="CQ17" s="44" t="n">
        <v>3.45502</v>
      </c>
      <c r="CR17" s="44" t="n">
        <v>0.51903</v>
      </c>
      <c r="CS17" s="44" t="n">
        <v>0.0007499</v>
      </c>
      <c r="CT17" s="44" t="n">
        <v>3.55895</v>
      </c>
      <c r="CU17" s="44" t="n">
        <v>0.536753</v>
      </c>
      <c r="CV17" s="44" t="n">
        <v>0.0007499</v>
      </c>
      <c r="CW17" s="44" t="n">
        <v>3.49432</v>
      </c>
      <c r="CX17" s="44" t="n">
        <v>0.517407</v>
      </c>
    </row>
    <row collapsed="false" customFormat="false" customHeight="false" hidden="false" ht="12.75" outlineLevel="0" r="18">
      <c r="A18" s="44" t="n">
        <v>0.0008499</v>
      </c>
      <c r="B18" s="44" t="n">
        <v>2.38933</v>
      </c>
      <c r="C18" s="44" t="n">
        <v>0.483439</v>
      </c>
      <c r="D18" s="44" t="n">
        <v>0.0008499</v>
      </c>
      <c r="E18" s="44" t="n">
        <v>2.47921</v>
      </c>
      <c r="F18" s="44" t="n">
        <v>0.500067</v>
      </c>
      <c r="G18" s="44" t="n">
        <v>0.0008499</v>
      </c>
      <c r="H18" s="44" t="n">
        <v>2.52251</v>
      </c>
      <c r="I18" s="44" t="n">
        <v>0.498958</v>
      </c>
      <c r="J18" s="44" t="n">
        <v>0.0008499</v>
      </c>
      <c r="K18" s="44" t="n">
        <v>2.51622</v>
      </c>
      <c r="L18" s="44" t="n">
        <v>0.486571</v>
      </c>
      <c r="M18" s="44" t="n">
        <v>0.0008499</v>
      </c>
      <c r="N18" s="44" t="n">
        <v>2.58883</v>
      </c>
      <c r="O18" s="44" t="n">
        <v>0.493518</v>
      </c>
      <c r="P18" s="44" t="n">
        <v>0.0008499</v>
      </c>
      <c r="Q18" s="44" t="n">
        <v>2.66818</v>
      </c>
      <c r="R18" s="44" t="n">
        <v>0.503726</v>
      </c>
      <c r="S18" s="44" t="n">
        <v>0.0008499</v>
      </c>
      <c r="T18" s="44" t="n">
        <v>2.72086</v>
      </c>
      <c r="U18" s="44" t="n">
        <v>0.50505</v>
      </c>
      <c r="V18" s="44" t="n">
        <v>0.0008499</v>
      </c>
      <c r="W18" s="44" t="n">
        <v>2.68182</v>
      </c>
      <c r="X18" s="44" t="n">
        <v>0.486143</v>
      </c>
      <c r="Y18" s="44" t="n">
        <v>0.0008499</v>
      </c>
      <c r="Z18" s="44" t="n">
        <v>2.74936</v>
      </c>
      <c r="AA18" s="44" t="n">
        <v>0.500575</v>
      </c>
      <c r="AB18" s="44" t="n">
        <v>0.0008499</v>
      </c>
      <c r="AC18" s="44" t="n">
        <v>2.73813</v>
      </c>
      <c r="AD18" s="44" t="n">
        <v>0.490595</v>
      </c>
      <c r="AE18" s="44" t="n">
        <v>0.0008499</v>
      </c>
      <c r="AF18" s="44" t="n">
        <v>2.7828</v>
      </c>
      <c r="AG18" s="44" t="n">
        <v>0.498148</v>
      </c>
      <c r="AH18" s="44" t="n">
        <v>0.0008499</v>
      </c>
      <c r="AI18" s="44" t="n">
        <v>2.76781</v>
      </c>
      <c r="AJ18" s="44" t="n">
        <v>0.486119</v>
      </c>
      <c r="AK18" s="44" t="n">
        <v>0.0008499</v>
      </c>
      <c r="AL18" s="44" t="n">
        <v>2.77511</v>
      </c>
      <c r="AM18" s="44" t="n">
        <v>0.482325</v>
      </c>
      <c r="AN18" s="44" t="n">
        <v>0.0008499</v>
      </c>
      <c r="AO18" s="44" t="n">
        <v>2.90126</v>
      </c>
      <c r="AP18" s="44" t="n">
        <v>0.511862</v>
      </c>
      <c r="AQ18" s="44" t="n">
        <v>0.0008499</v>
      </c>
      <c r="AR18" s="44" t="n">
        <v>2.89666</v>
      </c>
      <c r="AS18" s="44" t="n">
        <v>0.500975</v>
      </c>
      <c r="AT18" s="44" t="n">
        <v>0.0008499</v>
      </c>
      <c r="AU18" s="44" t="n">
        <v>2.84084</v>
      </c>
      <c r="AV18" s="44" t="n">
        <v>0.481688</v>
      </c>
      <c r="AW18" s="44" t="n">
        <v>0.0008499</v>
      </c>
      <c r="AX18" s="44" t="n">
        <v>2.86107</v>
      </c>
      <c r="AY18" s="44" t="n">
        <v>0.480101</v>
      </c>
      <c r="AZ18" s="44" t="n">
        <v>0.0008499</v>
      </c>
      <c r="BA18" s="44" t="n">
        <v>2.99171</v>
      </c>
      <c r="BB18" s="44" t="n">
        <v>0.508606</v>
      </c>
      <c r="BC18" s="44" t="n">
        <v>0.0008499</v>
      </c>
      <c r="BD18" s="44" t="n">
        <v>2.96709</v>
      </c>
      <c r="BE18" s="44" t="n">
        <v>0.494262</v>
      </c>
      <c r="BF18" s="44" t="n">
        <v>0.0008499</v>
      </c>
      <c r="BG18" s="44" t="n">
        <v>2.95161</v>
      </c>
      <c r="BH18" s="44" t="n">
        <v>0.484706</v>
      </c>
      <c r="BI18" s="44" t="n">
        <v>0.0008499</v>
      </c>
      <c r="BJ18" s="44" t="n">
        <v>3.03039</v>
      </c>
      <c r="BK18" s="44" t="n">
        <v>0.498532</v>
      </c>
      <c r="BL18" s="44" t="n">
        <v>0.0008499</v>
      </c>
      <c r="BM18" s="44" t="n">
        <v>3.09263</v>
      </c>
      <c r="BN18" s="44" t="n">
        <v>0.506908</v>
      </c>
      <c r="BO18" s="44" t="n">
        <v>0.0008499</v>
      </c>
      <c r="BP18" s="44" t="n">
        <v>3.05814</v>
      </c>
      <c r="BQ18" s="44" t="n">
        <v>0.490476</v>
      </c>
      <c r="BR18" s="44" t="n">
        <v>0.0008499</v>
      </c>
      <c r="BS18" s="44" t="n">
        <v>3.1094</v>
      </c>
      <c r="BT18" s="44" t="n">
        <v>0.497574</v>
      </c>
      <c r="BU18" s="44" t="n">
        <v>0.0008499</v>
      </c>
      <c r="BV18" s="44" t="n">
        <v>3.21403</v>
      </c>
      <c r="BW18" s="44" t="n">
        <v>0.513133</v>
      </c>
      <c r="BX18" s="44" t="n">
        <v>0.0008499</v>
      </c>
      <c r="BY18" s="44" t="n">
        <v>3.1939</v>
      </c>
      <c r="BZ18" s="44" t="n">
        <v>0.501535</v>
      </c>
      <c r="CA18" s="44" t="n">
        <v>0.0008499</v>
      </c>
      <c r="CB18" s="44" t="n">
        <v>3.15534</v>
      </c>
      <c r="CC18" s="44" t="n">
        <v>0.485142</v>
      </c>
      <c r="CD18" s="44" t="n">
        <v>0.0008499</v>
      </c>
      <c r="CE18" s="44" t="n">
        <v>3.16306</v>
      </c>
      <c r="CF18" s="44" t="n">
        <v>0.480431</v>
      </c>
      <c r="CG18" s="44" t="n">
        <v>0.0008499</v>
      </c>
      <c r="CH18" s="44" t="n">
        <v>3.27482</v>
      </c>
      <c r="CI18" s="44" t="n">
        <v>0.496614</v>
      </c>
      <c r="CJ18" s="44" t="n">
        <v>0.0008499</v>
      </c>
      <c r="CK18" s="44" t="n">
        <v>3.32048</v>
      </c>
      <c r="CL18" s="44" t="n">
        <v>0.501326</v>
      </c>
      <c r="CM18" s="44" t="n">
        <v>0.0008499</v>
      </c>
      <c r="CN18" s="44" t="n">
        <v>3.33747</v>
      </c>
      <c r="CO18" s="44" t="n">
        <v>0.498237</v>
      </c>
      <c r="CP18" s="44" t="n">
        <v>0.0008499</v>
      </c>
      <c r="CQ18" s="44" t="n">
        <v>3.32445</v>
      </c>
      <c r="CR18" s="44" t="n">
        <v>0.488763</v>
      </c>
      <c r="CS18" s="44" t="n">
        <v>0.0008499</v>
      </c>
      <c r="CT18" s="44" t="n">
        <v>3.42554</v>
      </c>
      <c r="CU18" s="44" t="n">
        <v>0.504967</v>
      </c>
      <c r="CV18" s="44" t="n">
        <v>0.0008499</v>
      </c>
      <c r="CW18" s="44" t="n">
        <v>3.3584</v>
      </c>
      <c r="CX18" s="44" t="n">
        <v>0.486844</v>
      </c>
    </row>
    <row collapsed="false" customFormat="false" customHeight="false" hidden="false" ht="12.75" outlineLevel="0" r="19">
      <c r="A19" s="44" t="n">
        <v>0.0009499</v>
      </c>
      <c r="B19" s="44" t="n">
        <v>2.31335</v>
      </c>
      <c r="C19" s="44" t="n">
        <v>0.454789</v>
      </c>
      <c r="D19" s="44" t="n">
        <v>0.0009499</v>
      </c>
      <c r="E19" s="44" t="n">
        <v>2.40163</v>
      </c>
      <c r="F19" s="44" t="n">
        <v>0.470686</v>
      </c>
      <c r="G19" s="44" t="n">
        <v>0.0009499</v>
      </c>
      <c r="H19" s="44" t="n">
        <v>2.44162</v>
      </c>
      <c r="I19" s="44" t="n">
        <v>0.469195</v>
      </c>
      <c r="J19" s="44" t="n">
        <v>0.0009499</v>
      </c>
      <c r="K19" s="44" t="n">
        <v>2.43614</v>
      </c>
      <c r="L19" s="44" t="n">
        <v>0.458117</v>
      </c>
      <c r="M19" s="44" t="n">
        <v>0.0009499</v>
      </c>
      <c r="N19" s="44" t="n">
        <v>2.50681</v>
      </c>
      <c r="O19" s="44" t="n">
        <v>0.464844</v>
      </c>
      <c r="P19" s="44" t="n">
        <v>0.0009499</v>
      </c>
      <c r="Q19" s="44" t="n">
        <v>2.58497</v>
      </c>
      <c r="R19" s="44" t="n">
        <v>0.47423</v>
      </c>
      <c r="S19" s="44" t="n">
        <v>0.0009499</v>
      </c>
      <c r="T19" s="44" t="n">
        <v>2.63492</v>
      </c>
      <c r="U19" s="44" t="n">
        <v>0.475349</v>
      </c>
      <c r="V19" s="44" t="n">
        <v>0.0009499</v>
      </c>
      <c r="W19" s="44" t="n">
        <v>2.59805</v>
      </c>
      <c r="X19" s="44" t="n">
        <v>0.458373</v>
      </c>
      <c r="Y19" s="44" t="n">
        <v>0.0009499</v>
      </c>
      <c r="Z19" s="44" t="n">
        <v>2.66022</v>
      </c>
      <c r="AA19" s="44" t="n">
        <v>0.470973</v>
      </c>
      <c r="AB19" s="44" t="n">
        <v>0.0009499</v>
      </c>
      <c r="AC19" s="44" t="n">
        <v>2.64916</v>
      </c>
      <c r="AD19" s="44" t="n">
        <v>0.461684</v>
      </c>
      <c r="AE19" s="44" t="n">
        <v>0.0009499</v>
      </c>
      <c r="AF19" s="44" t="n">
        <v>2.69278</v>
      </c>
      <c r="AG19" s="44" t="n">
        <v>0.4689</v>
      </c>
      <c r="AH19" s="44" t="n">
        <v>0.0009499</v>
      </c>
      <c r="AI19" s="44" t="n">
        <v>2.67606</v>
      </c>
      <c r="AJ19" s="44" t="n">
        <v>0.457478</v>
      </c>
      <c r="AK19" s="44" t="n">
        <v>0.0009499</v>
      </c>
      <c r="AL19" s="44" t="n">
        <v>2.68382</v>
      </c>
      <c r="AM19" s="44" t="n">
        <v>0.454498</v>
      </c>
      <c r="AN19" s="44" t="n">
        <v>0.0009499</v>
      </c>
      <c r="AO19" s="44" t="n">
        <v>2.80653</v>
      </c>
      <c r="AP19" s="44" t="n">
        <v>0.481795</v>
      </c>
      <c r="AQ19" s="44" t="n">
        <v>0.0009499</v>
      </c>
      <c r="AR19" s="44" t="n">
        <v>2.79767</v>
      </c>
      <c r="AS19" s="44" t="n">
        <v>0.471219</v>
      </c>
      <c r="AT19" s="44" t="n">
        <v>0.0009499</v>
      </c>
      <c r="AU19" s="44" t="n">
        <v>2.74416</v>
      </c>
      <c r="AV19" s="44" t="n">
        <v>0.453627</v>
      </c>
      <c r="AW19" s="44" t="n">
        <v>0.0009499</v>
      </c>
      <c r="AX19" s="44" t="n">
        <v>2.76041</v>
      </c>
      <c r="AY19" s="44" t="n">
        <v>0.451591</v>
      </c>
      <c r="AZ19" s="44" t="n">
        <v>0.0009499</v>
      </c>
      <c r="BA19" s="44" t="n">
        <v>2.8902</v>
      </c>
      <c r="BB19" s="44" t="n">
        <v>0.478809</v>
      </c>
      <c r="BC19" s="44" t="n">
        <v>0.0009499</v>
      </c>
      <c r="BD19" s="44" t="n">
        <v>2.86315</v>
      </c>
      <c r="BE19" s="44" t="n">
        <v>0.46515</v>
      </c>
      <c r="BF19" s="44" t="n">
        <v>0.0009499</v>
      </c>
      <c r="BG19" s="44" t="n">
        <v>2.84833</v>
      </c>
      <c r="BH19" s="44" t="n">
        <v>0.456625</v>
      </c>
      <c r="BI19" s="44" t="n">
        <v>0.0009499</v>
      </c>
      <c r="BJ19" s="44" t="n">
        <v>2.92391</v>
      </c>
      <c r="BK19" s="44" t="n">
        <v>0.469416</v>
      </c>
      <c r="BL19" s="44" t="n">
        <v>0.0009499</v>
      </c>
      <c r="BM19" s="44" t="n">
        <v>2.98228</v>
      </c>
      <c r="BN19" s="44" t="n">
        <v>0.47685</v>
      </c>
      <c r="BO19" s="44" t="n">
        <v>0.0009499</v>
      </c>
      <c r="BP19" s="44" t="n">
        <v>2.94677</v>
      </c>
      <c r="BQ19" s="44" t="n">
        <v>0.461605</v>
      </c>
      <c r="BR19" s="44" t="n">
        <v>0.0009499</v>
      </c>
      <c r="BS19" s="44" t="n">
        <v>2.997</v>
      </c>
      <c r="BT19" s="44" t="n">
        <v>0.468843</v>
      </c>
      <c r="BU19" s="44" t="n">
        <v>0.0009499</v>
      </c>
      <c r="BV19" s="44" t="n">
        <v>3.09716</v>
      </c>
      <c r="BW19" s="44" t="n">
        <v>0.4828</v>
      </c>
      <c r="BX19" s="44" t="n">
        <v>0.0009499</v>
      </c>
      <c r="BY19" s="44" t="n">
        <v>3.07666</v>
      </c>
      <c r="BZ19" s="44" t="n">
        <v>0.472146</v>
      </c>
      <c r="CA19" s="44" t="n">
        <v>0.0009499</v>
      </c>
      <c r="CB19" s="44" t="n">
        <v>3.03591</v>
      </c>
      <c r="CC19" s="44" t="n">
        <v>0.456556</v>
      </c>
      <c r="CD19" s="44" t="n">
        <v>0.0009499</v>
      </c>
      <c r="CE19" s="44" t="n">
        <v>3.04219</v>
      </c>
      <c r="CF19" s="44" t="n">
        <v>0.452173</v>
      </c>
      <c r="CG19" s="44" t="n">
        <v>0.0009499</v>
      </c>
      <c r="CH19" s="44" t="n">
        <v>3.15117</v>
      </c>
      <c r="CI19" s="44" t="n">
        <v>0.46764</v>
      </c>
      <c r="CJ19" s="44" t="n">
        <v>0.0009499</v>
      </c>
      <c r="CK19" s="44" t="n">
        <v>3.19439</v>
      </c>
      <c r="CL19" s="44" t="n">
        <v>0.472079</v>
      </c>
      <c r="CM19" s="44" t="n">
        <v>0.0009499</v>
      </c>
      <c r="CN19" s="44" t="n">
        <v>3.20968</v>
      </c>
      <c r="CO19" s="44" t="n">
        <v>0.469172</v>
      </c>
      <c r="CP19" s="44" t="n">
        <v>0.0009499</v>
      </c>
      <c r="CQ19" s="44" t="n">
        <v>3.1945</v>
      </c>
      <c r="CR19" s="44" t="n">
        <v>0.460403</v>
      </c>
      <c r="CS19" s="44" t="n">
        <v>0.0009499</v>
      </c>
      <c r="CT19" s="44" t="n">
        <v>3.29107</v>
      </c>
      <c r="CU19" s="44" t="n">
        <v>0.475328</v>
      </c>
      <c r="CV19" s="44" t="n">
        <v>0.0009499</v>
      </c>
      <c r="CW19" s="44" t="n">
        <v>3.22163</v>
      </c>
      <c r="CX19" s="44" t="n">
        <v>0.458134</v>
      </c>
    </row>
    <row collapsed="false" customFormat="false" customHeight="false" hidden="false" ht="12.75" outlineLevel="0" r="20">
      <c r="A20" s="44" t="n">
        <v>0.0010499</v>
      </c>
      <c r="B20" s="44" t="n">
        <v>2.23662</v>
      </c>
      <c r="C20" s="44" t="n">
        <v>0.428124</v>
      </c>
      <c r="D20" s="44" t="n">
        <v>0.0010499</v>
      </c>
      <c r="E20" s="44" t="n">
        <v>2.32398</v>
      </c>
      <c r="F20" s="44" t="n">
        <v>0.443197</v>
      </c>
      <c r="G20" s="44" t="n">
        <v>0.0010499</v>
      </c>
      <c r="H20" s="44" t="n">
        <v>2.36082</v>
      </c>
      <c r="I20" s="44" t="n">
        <v>0.441309</v>
      </c>
      <c r="J20" s="44" t="n">
        <v>0.0010499</v>
      </c>
      <c r="K20" s="44" t="n">
        <v>2.35554</v>
      </c>
      <c r="L20" s="44" t="n">
        <v>0.43136</v>
      </c>
      <c r="M20" s="44" t="n">
        <v>0.0010499</v>
      </c>
      <c r="N20" s="44" t="n">
        <v>2.4243</v>
      </c>
      <c r="O20" s="44" t="n">
        <v>0.437605</v>
      </c>
      <c r="P20" s="44" t="n">
        <v>0.0010499</v>
      </c>
      <c r="Q20" s="44" t="n">
        <v>2.50048</v>
      </c>
      <c r="R20" s="44" t="n">
        <v>0.446313</v>
      </c>
      <c r="S20" s="44" t="n">
        <v>0.0010499</v>
      </c>
      <c r="T20" s="44" t="n">
        <v>2.54804</v>
      </c>
      <c r="U20" s="44" t="n">
        <v>0.447231</v>
      </c>
      <c r="V20" s="44" t="n">
        <v>0.0010499</v>
      </c>
      <c r="W20" s="44" t="n">
        <v>2.51291</v>
      </c>
      <c r="X20" s="44" t="n">
        <v>0.43204</v>
      </c>
      <c r="Y20" s="44" t="n">
        <v>0.0010499</v>
      </c>
      <c r="Z20" s="44" t="n">
        <v>2.57147</v>
      </c>
      <c r="AA20" s="44" t="n">
        <v>0.443092</v>
      </c>
      <c r="AB20" s="44" t="n">
        <v>0.0010499</v>
      </c>
      <c r="AC20" s="44" t="n">
        <v>2.55957</v>
      </c>
      <c r="AD20" s="44" t="n">
        <v>0.434449</v>
      </c>
      <c r="AE20" s="44" t="n">
        <v>0.0010499</v>
      </c>
      <c r="AF20" s="44" t="n">
        <v>2.6024</v>
      </c>
      <c r="AG20" s="44" t="n">
        <v>0.441404</v>
      </c>
      <c r="AH20" s="44" t="n">
        <v>0.0010499</v>
      </c>
      <c r="AI20" s="44" t="n">
        <v>2.58472</v>
      </c>
      <c r="AJ20" s="44" t="n">
        <v>0.430873</v>
      </c>
      <c r="AK20" s="44" t="n">
        <v>0.0010499</v>
      </c>
      <c r="AL20" s="44" t="n">
        <v>2.59297</v>
      </c>
      <c r="AM20" s="44" t="n">
        <v>0.428417</v>
      </c>
      <c r="AN20" s="44" t="n">
        <v>0.0010499</v>
      </c>
      <c r="AO20" s="44" t="n">
        <v>2.71074</v>
      </c>
      <c r="AP20" s="44" t="n">
        <v>0.453432</v>
      </c>
      <c r="AQ20" s="44" t="n">
        <v>0.0010499</v>
      </c>
      <c r="AR20" s="44" t="n">
        <v>2.69947</v>
      </c>
      <c r="AS20" s="44" t="n">
        <v>0.443413</v>
      </c>
      <c r="AT20" s="44" t="n">
        <v>0.0010499</v>
      </c>
      <c r="AU20" s="44" t="n">
        <v>2.64695</v>
      </c>
      <c r="AV20" s="44" t="n">
        <v>0.427205</v>
      </c>
      <c r="AW20" s="44" t="n">
        <v>0.0010499</v>
      </c>
      <c r="AX20" s="44" t="n">
        <v>2.66075</v>
      </c>
      <c r="AY20" s="44" t="n">
        <v>0.425101</v>
      </c>
      <c r="AZ20" s="44" t="n">
        <v>0.0010499</v>
      </c>
      <c r="BA20" s="44" t="n">
        <v>2.78852</v>
      </c>
      <c r="BB20" s="44" t="n">
        <v>0.450748</v>
      </c>
      <c r="BC20" s="44" t="n">
        <v>0.0010499</v>
      </c>
      <c r="BD20" s="44" t="n">
        <v>2.75873</v>
      </c>
      <c r="BE20" s="44" t="n">
        <v>0.437672</v>
      </c>
      <c r="BF20" s="44" t="n">
        <v>0.0010499</v>
      </c>
      <c r="BG20" s="44" t="n">
        <v>2.74441</v>
      </c>
      <c r="BH20" s="44" t="n">
        <v>0.430112</v>
      </c>
      <c r="BI20" s="44" t="n">
        <v>0.0010499</v>
      </c>
      <c r="BJ20" s="44" t="n">
        <v>2.81679</v>
      </c>
      <c r="BK20" s="44" t="n">
        <v>0.441918</v>
      </c>
      <c r="BL20" s="44" t="n">
        <v>0.0010499</v>
      </c>
      <c r="BM20" s="44" t="n">
        <v>2.87099</v>
      </c>
      <c r="BN20" s="44" t="n">
        <v>0.44838</v>
      </c>
      <c r="BO20" s="44" t="n">
        <v>0.0010499</v>
      </c>
      <c r="BP20" s="44" t="n">
        <v>2.83565</v>
      </c>
      <c r="BQ20" s="44" t="n">
        <v>0.434452</v>
      </c>
      <c r="BR20" s="44" t="n">
        <v>0.0010499</v>
      </c>
      <c r="BS20" s="44" t="n">
        <v>2.88696</v>
      </c>
      <c r="BT20" s="44" t="n">
        <v>0.441991</v>
      </c>
      <c r="BU20" s="44" t="n">
        <v>0.0010499</v>
      </c>
      <c r="BV20" s="44" t="n">
        <v>2.98014</v>
      </c>
      <c r="BW20" s="44" t="n">
        <v>0.454168</v>
      </c>
      <c r="BX20" s="44" t="n">
        <v>0.0010499</v>
      </c>
      <c r="BY20" s="44" t="n">
        <v>2.95915</v>
      </c>
      <c r="BZ20" s="44" t="n">
        <v>0.444447</v>
      </c>
      <c r="CA20" s="44" t="n">
        <v>0.0010499</v>
      </c>
      <c r="CB20" s="44" t="n">
        <v>2.9172</v>
      </c>
      <c r="CC20" s="44" t="n">
        <v>0.430041</v>
      </c>
      <c r="CD20" s="44" t="n">
        <v>0.0010499</v>
      </c>
      <c r="CE20" s="44" t="n">
        <v>2.92191</v>
      </c>
      <c r="CF20" s="44" t="n">
        <v>0.426068</v>
      </c>
      <c r="CG20" s="44" t="n">
        <v>0.0010499</v>
      </c>
      <c r="CH20" s="44" t="n">
        <v>3.0267</v>
      </c>
      <c r="CI20" s="44" t="n">
        <v>0.440074</v>
      </c>
      <c r="CJ20" s="44" t="n">
        <v>0.0010499</v>
      </c>
      <c r="CK20" s="44" t="n">
        <v>3.06883</v>
      </c>
      <c r="CL20" s="44" t="n">
        <v>0.444719</v>
      </c>
      <c r="CM20" s="44" t="n">
        <v>0.0010499</v>
      </c>
      <c r="CN20" s="44" t="n">
        <v>3.0814</v>
      </c>
      <c r="CO20" s="44" t="n">
        <v>0.44171</v>
      </c>
      <c r="CP20" s="44" t="n">
        <v>0.0010499</v>
      </c>
      <c r="CQ20" s="44" t="n">
        <v>3.06453</v>
      </c>
      <c r="CR20" s="44" t="n">
        <v>0.433657</v>
      </c>
      <c r="CS20" s="44" t="n">
        <v>0.0010499</v>
      </c>
      <c r="CT20" s="44" t="n">
        <v>3.15679</v>
      </c>
      <c r="CU20" s="44" t="n">
        <v>0.447527</v>
      </c>
      <c r="CV20" s="44" t="n">
        <v>0.0010499</v>
      </c>
      <c r="CW20" s="44" t="n">
        <v>3.08619</v>
      </c>
      <c r="CX20" s="44" t="n">
        <v>0.431353</v>
      </c>
    </row>
    <row collapsed="false" customFormat="false" customHeight="false" hidden="false" ht="12.75" outlineLevel="0" r="21">
      <c r="A21" s="44" t="n">
        <v>0.0011499</v>
      </c>
      <c r="B21" s="44" t="n">
        <v>2.16071</v>
      </c>
      <c r="C21" s="44" t="n">
        <v>0.403101</v>
      </c>
      <c r="D21" s="44" t="n">
        <v>0.0011499</v>
      </c>
      <c r="E21" s="44" t="n">
        <v>2.24663</v>
      </c>
      <c r="F21" s="44" t="n">
        <v>0.417294</v>
      </c>
      <c r="G21" s="44" t="n">
        <v>0.0011499</v>
      </c>
      <c r="H21" s="44" t="n">
        <v>2.28078</v>
      </c>
      <c r="I21" s="44" t="n">
        <v>0.415293</v>
      </c>
      <c r="J21" s="44" t="n">
        <v>0.0011499</v>
      </c>
      <c r="K21" s="44" t="n">
        <v>2.27585</v>
      </c>
      <c r="L21" s="44" t="n">
        <v>0.406179</v>
      </c>
      <c r="M21" s="44" t="n">
        <v>0.0011499</v>
      </c>
      <c r="N21" s="44" t="n">
        <v>2.34189</v>
      </c>
      <c r="O21" s="44" t="n">
        <v>0.412119</v>
      </c>
      <c r="P21" s="44" t="n">
        <v>0.0011499</v>
      </c>
      <c r="Q21" s="44" t="n">
        <v>2.41637</v>
      </c>
      <c r="R21" s="44" t="n">
        <v>0.420284</v>
      </c>
      <c r="S21" s="44" t="n">
        <v>0.0011499</v>
      </c>
      <c r="T21" s="44" t="n">
        <v>2.46205</v>
      </c>
      <c r="U21" s="44" t="n">
        <v>0.421204</v>
      </c>
      <c r="V21" s="44" t="n">
        <v>0.0011499</v>
      </c>
      <c r="W21" s="44" t="n">
        <v>2.42781</v>
      </c>
      <c r="X21" s="44" t="n">
        <v>0.407168</v>
      </c>
      <c r="Y21" s="44" t="n">
        <v>0.0011499</v>
      </c>
      <c r="Z21" s="44" t="n">
        <v>2.48275</v>
      </c>
      <c r="AA21" s="44" t="n">
        <v>0.41716</v>
      </c>
      <c r="AB21" s="44" t="n">
        <v>0.0011499</v>
      </c>
      <c r="AC21" s="44" t="n">
        <v>2.46973</v>
      </c>
      <c r="AD21" s="44" t="n">
        <v>0.409035</v>
      </c>
      <c r="AE21" s="44" t="n">
        <v>0.0011499</v>
      </c>
      <c r="AF21" s="44" t="n">
        <v>2.51174</v>
      </c>
      <c r="AG21" s="44" t="n">
        <v>0.41557</v>
      </c>
      <c r="AH21" s="44" t="n">
        <v>0.0011499</v>
      </c>
      <c r="AI21" s="44" t="n">
        <v>2.49341</v>
      </c>
      <c r="AJ21" s="44" t="n">
        <v>0.405726</v>
      </c>
      <c r="AK21" s="44" t="n">
        <v>0.0011499</v>
      </c>
      <c r="AL21" s="44" t="n">
        <v>2.5014</v>
      </c>
      <c r="AM21" s="44" t="n">
        <v>0.403625</v>
      </c>
      <c r="AN21" s="44" t="n">
        <v>0.0011499</v>
      </c>
      <c r="AO21" s="44" t="n">
        <v>2.61571</v>
      </c>
      <c r="AP21" s="44" t="n">
        <v>0.426976</v>
      </c>
      <c r="AQ21" s="44" t="n">
        <v>0.0011499</v>
      </c>
      <c r="AR21" s="44" t="n">
        <v>2.60314</v>
      </c>
      <c r="AS21" s="44" t="n">
        <v>0.417529</v>
      </c>
      <c r="AT21" s="44" t="n">
        <v>0.0011499</v>
      </c>
      <c r="AU21" s="44" t="n">
        <v>2.55133</v>
      </c>
      <c r="AV21" s="44" t="n">
        <v>0.402399</v>
      </c>
      <c r="AW21" s="44" t="n">
        <v>0.0011499</v>
      </c>
      <c r="AX21" s="44" t="n">
        <v>2.56194</v>
      </c>
      <c r="AY21" s="44" t="n">
        <v>0.400236</v>
      </c>
      <c r="AZ21" s="44" t="n">
        <v>0.0011499</v>
      </c>
      <c r="BA21" s="44" t="n">
        <v>2.68742</v>
      </c>
      <c r="BB21" s="44" t="n">
        <v>0.424513</v>
      </c>
      <c r="BC21" s="44" t="n">
        <v>0.0011499</v>
      </c>
      <c r="BD21" s="44" t="n">
        <v>2.65533</v>
      </c>
      <c r="BE21" s="44" t="n">
        <v>0.411977</v>
      </c>
      <c r="BF21" s="44" t="n">
        <v>0.0011499</v>
      </c>
      <c r="BG21" s="44" t="n">
        <v>2.64113</v>
      </c>
      <c r="BH21" s="44" t="n">
        <v>0.405174</v>
      </c>
      <c r="BI21" s="44" t="n">
        <v>0.0011499</v>
      </c>
      <c r="BJ21" s="44" t="n">
        <v>2.71062</v>
      </c>
      <c r="BK21" s="44" t="n">
        <v>0.416171</v>
      </c>
      <c r="BL21" s="44" t="n">
        <v>0.0011499</v>
      </c>
      <c r="BM21" s="44" t="n">
        <v>2.76096</v>
      </c>
      <c r="BN21" s="44" t="n">
        <v>0.421907</v>
      </c>
      <c r="BO21" s="44" t="n">
        <v>0.0011499</v>
      </c>
      <c r="BP21" s="44" t="n">
        <v>2.72511</v>
      </c>
      <c r="BQ21" s="44" t="n">
        <v>0.409054</v>
      </c>
      <c r="BR21" s="44" t="n">
        <v>0.0011499</v>
      </c>
      <c r="BS21" s="44" t="n">
        <v>2.77723</v>
      </c>
      <c r="BT21" s="44" t="n">
        <v>0.416628</v>
      </c>
      <c r="BU21" s="44" t="n">
        <v>0.0011499</v>
      </c>
      <c r="BV21" s="44" t="n">
        <v>2.86401</v>
      </c>
      <c r="BW21" s="44" t="n">
        <v>0.427572</v>
      </c>
      <c r="BX21" s="44" t="n">
        <v>0.0011499</v>
      </c>
      <c r="BY21" s="44" t="n">
        <v>2.84323</v>
      </c>
      <c r="BZ21" s="44" t="n">
        <v>0.418759</v>
      </c>
      <c r="CA21" s="44" t="n">
        <v>0.0011499</v>
      </c>
      <c r="CB21" s="44" t="n">
        <v>2.79994</v>
      </c>
      <c r="CC21" s="44" t="n">
        <v>0.405067</v>
      </c>
      <c r="CD21" s="44" t="n">
        <v>0.0011499</v>
      </c>
      <c r="CE21" s="44" t="n">
        <v>2.80378</v>
      </c>
      <c r="CF21" s="44" t="n">
        <v>0.401495</v>
      </c>
      <c r="CG21" s="44" t="n">
        <v>0.0011499</v>
      </c>
      <c r="CH21" s="44" t="n">
        <v>2.90319</v>
      </c>
      <c r="CI21" s="44" t="n">
        <v>0.414363</v>
      </c>
      <c r="CJ21" s="44" t="n">
        <v>0.0011499</v>
      </c>
      <c r="CK21" s="44" t="n">
        <v>2.9457</v>
      </c>
      <c r="CL21" s="44" t="n">
        <v>0.419254</v>
      </c>
      <c r="CM21" s="44" t="n">
        <v>0.0011499</v>
      </c>
      <c r="CN21" s="44" t="n">
        <v>2.95378</v>
      </c>
      <c r="CO21" s="44" t="n">
        <v>0.415904</v>
      </c>
      <c r="CP21" s="44" t="n">
        <v>0.0011499</v>
      </c>
      <c r="CQ21" s="44" t="n">
        <v>2.93631</v>
      </c>
      <c r="CR21" s="44" t="n">
        <v>0.408454</v>
      </c>
      <c r="CS21" s="44" t="n">
        <v>0.0011499</v>
      </c>
      <c r="CT21" s="44" t="n">
        <v>3.02467</v>
      </c>
      <c r="CU21" s="44" t="n">
        <v>0.421566</v>
      </c>
      <c r="CV21" s="44" t="n">
        <v>0.0011499</v>
      </c>
      <c r="CW21" s="44" t="n">
        <v>2.95279</v>
      </c>
      <c r="CX21" s="44" t="n">
        <v>0.406259</v>
      </c>
    </row>
    <row collapsed="false" customFormat="false" customHeight="false" hidden="false" ht="12.75" outlineLevel="0" r="22">
      <c r="A22" s="44" t="n">
        <v>0.0012499</v>
      </c>
      <c r="B22" s="44" t="n">
        <v>2.08527</v>
      </c>
      <c r="C22" s="44" t="n">
        <v>0.37953</v>
      </c>
      <c r="D22" s="44" t="n">
        <v>0.0012499</v>
      </c>
      <c r="E22" s="44" t="n">
        <v>2.16888</v>
      </c>
      <c r="F22" s="44" t="n">
        <v>0.392711</v>
      </c>
      <c r="G22" s="44" t="n">
        <v>0.0012499</v>
      </c>
      <c r="H22" s="44" t="n">
        <v>2.20109</v>
      </c>
      <c r="I22" s="44" t="n">
        <v>0.390939</v>
      </c>
      <c r="J22" s="44" t="n">
        <v>0.0012499</v>
      </c>
      <c r="K22" s="44" t="n">
        <v>2.19625</v>
      </c>
      <c r="L22" s="44" t="n">
        <v>0.382408</v>
      </c>
      <c r="M22" s="44" t="n">
        <v>0.0012499</v>
      </c>
      <c r="N22" s="44" t="n">
        <v>2.2605</v>
      </c>
      <c r="O22" s="44" t="n">
        <v>0.388045</v>
      </c>
      <c r="P22" s="44" t="n">
        <v>0.0012499</v>
      </c>
      <c r="Q22" s="44" t="n">
        <v>2.33255</v>
      </c>
      <c r="R22" s="44" t="n">
        <v>0.395664</v>
      </c>
      <c r="S22" s="44" t="n">
        <v>0.0012499</v>
      </c>
      <c r="T22" s="44" t="n">
        <v>2.37644</v>
      </c>
      <c r="U22" s="44" t="n">
        <v>0.396631</v>
      </c>
      <c r="V22" s="44" t="n">
        <v>0.0012499</v>
      </c>
      <c r="W22" s="44" t="n">
        <v>2.34304</v>
      </c>
      <c r="X22" s="44" t="n">
        <v>0.383679</v>
      </c>
      <c r="Y22" s="44" t="n">
        <v>0.0012499</v>
      </c>
      <c r="Z22" s="44" t="n">
        <v>2.39478</v>
      </c>
      <c r="AA22" s="44" t="n">
        <v>0.39268</v>
      </c>
      <c r="AB22" s="44" t="n">
        <v>0.0012499</v>
      </c>
      <c r="AC22" s="44" t="n">
        <v>2.38131</v>
      </c>
      <c r="AD22" s="44" t="n">
        <v>0.385248</v>
      </c>
      <c r="AE22" s="44" t="n">
        <v>0.0012499</v>
      </c>
      <c r="AF22" s="44" t="n">
        <v>2.4215</v>
      </c>
      <c r="AG22" s="44" t="n">
        <v>0.391245</v>
      </c>
      <c r="AH22" s="44" t="n">
        <v>0.0012499</v>
      </c>
      <c r="AI22" s="44" t="n">
        <v>2.40253</v>
      </c>
      <c r="AJ22" s="44" t="n">
        <v>0.382122</v>
      </c>
      <c r="AK22" s="44" t="n">
        <v>0.0012499</v>
      </c>
      <c r="AL22" s="44" t="n">
        <v>2.40978</v>
      </c>
      <c r="AM22" s="44" t="n">
        <v>0.380196</v>
      </c>
      <c r="AN22" s="44" t="n">
        <v>0.0012499</v>
      </c>
      <c r="AO22" s="44" t="n">
        <v>2.5209</v>
      </c>
      <c r="AP22" s="44" t="n">
        <v>0.402015</v>
      </c>
      <c r="AQ22" s="44" t="n">
        <v>0.0012499</v>
      </c>
      <c r="AR22" s="44" t="n">
        <v>2.50679</v>
      </c>
      <c r="AS22" s="44" t="n">
        <v>0.393148</v>
      </c>
      <c r="AT22" s="44" t="n">
        <v>0.0012499</v>
      </c>
      <c r="AU22" s="44" t="n">
        <v>2.45553</v>
      </c>
      <c r="AV22" s="44" t="n">
        <v>0.378975</v>
      </c>
      <c r="AW22" s="44" t="n">
        <v>0.0012499</v>
      </c>
      <c r="AX22" s="44" t="n">
        <v>2.46416</v>
      </c>
      <c r="AY22" s="44" t="n">
        <v>0.376997</v>
      </c>
      <c r="AZ22" s="44" t="n">
        <v>0.0012499</v>
      </c>
      <c r="BA22" s="44" t="n">
        <v>2.58679</v>
      </c>
      <c r="BB22" s="44" t="n">
        <v>0.399747</v>
      </c>
      <c r="BC22" s="44" t="n">
        <v>0.0012499</v>
      </c>
      <c r="BD22" s="44" t="n">
        <v>2.55317</v>
      </c>
      <c r="BE22" s="44" t="n">
        <v>0.387893</v>
      </c>
      <c r="BF22" s="44" t="n">
        <v>0.0012499</v>
      </c>
      <c r="BG22" s="44" t="n">
        <v>2.53928</v>
      </c>
      <c r="BH22" s="44" t="n">
        <v>0.381776</v>
      </c>
      <c r="BI22" s="44" t="n">
        <v>0.0012499</v>
      </c>
      <c r="BJ22" s="44" t="n">
        <v>2.60631</v>
      </c>
      <c r="BK22" s="44" t="n">
        <v>0.391907</v>
      </c>
      <c r="BL22" s="44" t="n">
        <v>0.0012499</v>
      </c>
      <c r="BM22" s="44" t="n">
        <v>2.6524</v>
      </c>
      <c r="BN22" s="44" t="n">
        <v>0.397094</v>
      </c>
      <c r="BO22" s="44" t="n">
        <v>0.0012499</v>
      </c>
      <c r="BP22" s="44" t="n">
        <v>2.61673</v>
      </c>
      <c r="BQ22" s="44" t="n">
        <v>0.385297</v>
      </c>
      <c r="BR22" s="44" t="n">
        <v>0.0012499</v>
      </c>
      <c r="BS22" s="44" t="n">
        <v>2.66842</v>
      </c>
      <c r="BT22" s="44" t="n">
        <v>0.392658</v>
      </c>
      <c r="BU22" s="44" t="n">
        <v>0.0012499</v>
      </c>
      <c r="BV22" s="44" t="n">
        <v>2.74888</v>
      </c>
      <c r="BW22" s="44" t="n">
        <v>0.402522</v>
      </c>
      <c r="BX22" s="44" t="n">
        <v>0.0012499</v>
      </c>
      <c r="BY22" s="44" t="n">
        <v>2.72917</v>
      </c>
      <c r="BZ22" s="44" t="n">
        <v>0.394591</v>
      </c>
      <c r="CA22" s="44" t="n">
        <v>0.0012499</v>
      </c>
      <c r="CB22" s="44" t="n">
        <v>2.6841</v>
      </c>
      <c r="CC22" s="44" t="n">
        <v>0.381507</v>
      </c>
      <c r="CD22" s="44" t="n">
        <v>0.0012499</v>
      </c>
      <c r="CE22" s="44" t="n">
        <v>2.68735</v>
      </c>
      <c r="CF22" s="44" t="n">
        <v>0.378386</v>
      </c>
      <c r="CG22" s="44" t="n">
        <v>0.0012499</v>
      </c>
      <c r="CH22" s="44" t="n">
        <v>2.7813</v>
      </c>
      <c r="CI22" s="44" t="n">
        <v>0.390193</v>
      </c>
      <c r="CJ22" s="44" t="n">
        <v>0.0012499</v>
      </c>
      <c r="CK22" s="44" t="n">
        <v>2.82355</v>
      </c>
      <c r="CL22" s="44" t="n">
        <v>0.394996</v>
      </c>
      <c r="CM22" s="44" t="n">
        <v>0.0012499</v>
      </c>
      <c r="CN22" s="44" t="n">
        <v>2.82739</v>
      </c>
      <c r="CO22" s="44" t="n">
        <v>0.391586</v>
      </c>
      <c r="CP22" s="44" t="n">
        <v>0.0012499</v>
      </c>
      <c r="CQ22" s="44" t="n">
        <v>2.8094</v>
      </c>
      <c r="CR22" s="44" t="n">
        <v>0.384711</v>
      </c>
      <c r="CS22" s="44" t="n">
        <v>0.0012499</v>
      </c>
      <c r="CT22" s="44" t="n">
        <v>2.89461</v>
      </c>
      <c r="CU22" s="44" t="n">
        <v>0.39705</v>
      </c>
      <c r="CV22" s="44" t="n">
        <v>0.0012499</v>
      </c>
      <c r="CW22" s="44" t="n">
        <v>2.82144</v>
      </c>
      <c r="CX22" s="44" t="n">
        <v>0.382572</v>
      </c>
    </row>
    <row collapsed="false" customFormat="false" customHeight="false" hidden="false" ht="12.75" outlineLevel="0" r="23">
      <c r="A23" s="44" t="n">
        <v>0.0013499</v>
      </c>
      <c r="B23" s="44" t="n">
        <v>2.01121</v>
      </c>
      <c r="C23" s="44" t="n">
        <v>0.357611</v>
      </c>
      <c r="D23" s="44" t="n">
        <v>0.0013499</v>
      </c>
      <c r="E23" s="44" t="n">
        <v>2.09207</v>
      </c>
      <c r="F23" s="44" t="n">
        <v>0.369776</v>
      </c>
      <c r="G23" s="44" t="n">
        <v>0.0013499</v>
      </c>
      <c r="H23" s="44" t="n">
        <v>2.12288</v>
      </c>
      <c r="I23" s="44" t="n">
        <v>0.368197</v>
      </c>
      <c r="J23" s="44" t="n">
        <v>0.0013499</v>
      </c>
      <c r="K23" s="44" t="n">
        <v>2.11748</v>
      </c>
      <c r="L23" s="44" t="n">
        <v>0.360302</v>
      </c>
      <c r="M23" s="44" t="n">
        <v>0.0013499</v>
      </c>
      <c r="N23" s="44" t="n">
        <v>2.17979</v>
      </c>
      <c r="O23" s="44" t="n">
        <v>0.365615</v>
      </c>
      <c r="P23" s="44" t="n">
        <v>0.0013499</v>
      </c>
      <c r="Q23" s="44" t="n">
        <v>2.24971</v>
      </c>
      <c r="R23" s="44" t="n">
        <v>0.372695</v>
      </c>
      <c r="S23" s="44" t="n">
        <v>0.0013499</v>
      </c>
      <c r="T23" s="44" t="n">
        <v>2.2929</v>
      </c>
      <c r="U23" s="44" t="n">
        <v>0.373681</v>
      </c>
      <c r="V23" s="44" t="n">
        <v>0.0013499</v>
      </c>
      <c r="W23" s="44" t="n">
        <v>2.25924</v>
      </c>
      <c r="X23" s="44" t="n">
        <v>0.361781</v>
      </c>
      <c r="Y23" s="44" t="n">
        <v>0.0013499</v>
      </c>
      <c r="Z23" s="44" t="n">
        <v>2.30811</v>
      </c>
      <c r="AA23" s="44" t="n">
        <v>0.369863</v>
      </c>
      <c r="AB23" s="44" t="n">
        <v>0.0013499</v>
      </c>
      <c r="AC23" s="44" t="n">
        <v>2.29506</v>
      </c>
      <c r="AD23" s="44" t="n">
        <v>0.36299</v>
      </c>
      <c r="AE23" s="44" t="n">
        <v>0.0013499</v>
      </c>
      <c r="AF23" s="44" t="n">
        <v>2.33296</v>
      </c>
      <c r="AG23" s="44" t="n">
        <v>0.36865</v>
      </c>
      <c r="AH23" s="44" t="n">
        <v>0.0013499</v>
      </c>
      <c r="AI23" s="44" t="n">
        <v>2.31343</v>
      </c>
      <c r="AJ23" s="44" t="n">
        <v>0.360045</v>
      </c>
      <c r="AK23" s="44" t="n">
        <v>0.0013499</v>
      </c>
      <c r="AL23" s="44" t="n">
        <v>2.32003</v>
      </c>
      <c r="AM23" s="44" t="n">
        <v>0.358462</v>
      </c>
      <c r="AN23" s="44" t="n">
        <v>0.0013499</v>
      </c>
      <c r="AO23" s="44" t="n">
        <v>2.42693</v>
      </c>
      <c r="AP23" s="44" t="n">
        <v>0.378592</v>
      </c>
      <c r="AQ23" s="44" t="n">
        <v>0.0013499</v>
      </c>
      <c r="AR23" s="44" t="n">
        <v>2.41214</v>
      </c>
      <c r="AS23" s="44" t="n">
        <v>0.370369</v>
      </c>
      <c r="AT23" s="44" t="n">
        <v>0.0013499</v>
      </c>
      <c r="AU23" s="44" t="n">
        <v>2.36113</v>
      </c>
      <c r="AV23" s="44" t="n">
        <v>0.357109</v>
      </c>
      <c r="AW23" s="44" t="n">
        <v>0.0013499</v>
      </c>
      <c r="AX23" s="44" t="n">
        <v>2.36879</v>
      </c>
      <c r="AY23" s="44" t="n">
        <v>0.355384</v>
      </c>
      <c r="AZ23" s="44" t="n">
        <v>0.0013499</v>
      </c>
      <c r="BA23" s="44" t="n">
        <v>2.48748</v>
      </c>
      <c r="BB23" s="44" t="n">
        <v>0.376518</v>
      </c>
      <c r="BC23" s="44" t="n">
        <v>0.0013499</v>
      </c>
      <c r="BD23" s="44" t="n">
        <v>2.4526</v>
      </c>
      <c r="BE23" s="44" t="n">
        <v>0.365486</v>
      </c>
      <c r="BF23" s="44" t="n">
        <v>0.0013499</v>
      </c>
      <c r="BG23" s="44" t="n">
        <v>2.43941</v>
      </c>
      <c r="BH23" s="44" t="n">
        <v>0.359954</v>
      </c>
      <c r="BI23" s="44" t="n">
        <v>0.0013499</v>
      </c>
      <c r="BJ23" s="44" t="n">
        <v>2.50238</v>
      </c>
      <c r="BK23" s="44" t="n">
        <v>0.369238</v>
      </c>
      <c r="BL23" s="44" t="n">
        <v>0.0013499</v>
      </c>
      <c r="BM23" s="44" t="n">
        <v>2.5465</v>
      </c>
      <c r="BN23" s="44" t="n">
        <v>0.374039</v>
      </c>
      <c r="BO23" s="44" t="n">
        <v>0.0013499</v>
      </c>
      <c r="BP23" s="44" t="n">
        <v>2.51046</v>
      </c>
      <c r="BQ23" s="44" t="n">
        <v>0.363147</v>
      </c>
      <c r="BR23" s="44" t="n">
        <v>0.0013499</v>
      </c>
      <c r="BS23" s="44" t="n">
        <v>2.56105</v>
      </c>
      <c r="BT23" s="44" t="n">
        <v>0.370133</v>
      </c>
      <c r="BU23" s="44" t="n">
        <v>0.0013499</v>
      </c>
      <c r="BV23" s="44" t="n">
        <v>2.6368</v>
      </c>
      <c r="BW23" s="44" t="n">
        <v>0.379065</v>
      </c>
      <c r="BX23" s="44" t="n">
        <v>0.0013499</v>
      </c>
      <c r="BY23" s="44" t="n">
        <v>2.61798</v>
      </c>
      <c r="BZ23" s="44" t="n">
        <v>0.371907</v>
      </c>
      <c r="CA23" s="44" t="n">
        <v>0.0013499</v>
      </c>
      <c r="CB23" s="44" t="n">
        <v>2.5713</v>
      </c>
      <c r="CC23" s="44" t="n">
        <v>0.359542</v>
      </c>
      <c r="CD23" s="44" t="n">
        <v>0.0013499</v>
      </c>
      <c r="CE23" s="44" t="n">
        <v>2.574</v>
      </c>
      <c r="CF23" s="44" t="n">
        <v>0.356825</v>
      </c>
      <c r="CG23" s="44" t="n">
        <v>0.0013499</v>
      </c>
      <c r="CH23" s="44" t="n">
        <v>2.66256</v>
      </c>
      <c r="CI23" s="44" t="n">
        <v>0.367741</v>
      </c>
      <c r="CJ23" s="44" t="n">
        <v>0.0013499</v>
      </c>
      <c r="CK23" s="44" t="n">
        <v>2.70322</v>
      </c>
      <c r="CL23" s="44" t="n">
        <v>0.372237</v>
      </c>
      <c r="CM23" s="44" t="n">
        <v>0.0013499</v>
      </c>
      <c r="CN23" s="44" t="n">
        <v>2.70409</v>
      </c>
      <c r="CO23" s="44" t="n">
        <v>0.368933</v>
      </c>
      <c r="CP23" s="44" t="n">
        <v>0.0013499</v>
      </c>
      <c r="CQ23" s="44" t="n">
        <v>2.68567</v>
      </c>
      <c r="CR23" s="44" t="n">
        <v>0.362557</v>
      </c>
      <c r="CS23" s="44" t="n">
        <v>0.0013499</v>
      </c>
      <c r="CT23" s="44" t="n">
        <v>2.7662</v>
      </c>
      <c r="CU23" s="44" t="n">
        <v>0.374044</v>
      </c>
      <c r="CV23" s="44" t="n">
        <v>0.0013499</v>
      </c>
      <c r="CW23" s="44" t="n">
        <v>2.69331</v>
      </c>
      <c r="CX23" s="44" t="n">
        <v>0.360458</v>
      </c>
    </row>
    <row collapsed="false" customFormat="false" customHeight="false" hidden="false" ht="12.75" outlineLevel="0" r="24">
      <c r="A24" s="44" t="n">
        <v>0.0014499</v>
      </c>
      <c r="B24" s="44" t="n">
        <v>1.93837</v>
      </c>
      <c r="C24" s="44" t="n">
        <v>0.33717</v>
      </c>
      <c r="D24" s="44" t="n">
        <v>0.0014499</v>
      </c>
      <c r="E24" s="44" t="n">
        <v>2.01606</v>
      </c>
      <c r="F24" s="44" t="n">
        <v>0.348393</v>
      </c>
      <c r="G24" s="44" t="n">
        <v>0.0014499</v>
      </c>
      <c r="H24" s="44" t="n">
        <v>2.0457</v>
      </c>
      <c r="I24" s="44" t="n">
        <v>0.346977</v>
      </c>
      <c r="J24" s="44" t="n">
        <v>0.0014499</v>
      </c>
      <c r="K24" s="44" t="n">
        <v>2.04048</v>
      </c>
      <c r="L24" s="44" t="n">
        <v>0.33967</v>
      </c>
      <c r="M24" s="44" t="n">
        <v>0.0014499</v>
      </c>
      <c r="N24" s="44" t="n">
        <v>2.09999</v>
      </c>
      <c r="O24" s="44" t="n">
        <v>0.344565</v>
      </c>
      <c r="P24" s="44" t="n">
        <v>0.0014499</v>
      </c>
      <c r="Q24" s="44" t="n">
        <v>2.16829</v>
      </c>
      <c r="R24" s="44" t="n">
        <v>0.351307</v>
      </c>
      <c r="S24" s="44" t="n">
        <v>0.0014499</v>
      </c>
      <c r="T24" s="44" t="n">
        <v>2.20942</v>
      </c>
      <c r="U24" s="44" t="n">
        <v>0.352154</v>
      </c>
      <c r="V24" s="44" t="n">
        <v>0.0014499</v>
      </c>
      <c r="W24" s="44" t="n">
        <v>2.17697</v>
      </c>
      <c r="X24" s="44" t="n">
        <v>0.341315</v>
      </c>
      <c r="Y24" s="44" t="n">
        <v>0.0014499</v>
      </c>
      <c r="Z24" s="44" t="n">
        <v>2.22288</v>
      </c>
      <c r="AA24" s="44" t="n">
        <v>0.348537</v>
      </c>
      <c r="AB24" s="44" t="n">
        <v>0.0014499</v>
      </c>
      <c r="AC24" s="44" t="n">
        <v>2.20936</v>
      </c>
      <c r="AD24" s="44" t="n">
        <v>0.342185</v>
      </c>
      <c r="AE24" s="44" t="n">
        <v>0.0014499</v>
      </c>
      <c r="AF24" s="44" t="n">
        <v>2.24614</v>
      </c>
      <c r="AG24" s="44" t="n">
        <v>0.347451</v>
      </c>
      <c r="AH24" s="44" t="n">
        <v>0.0014499</v>
      </c>
      <c r="AI24" s="44" t="n">
        <v>2.22594</v>
      </c>
      <c r="AJ24" s="44" t="n">
        <v>0.339489</v>
      </c>
      <c r="AK24" s="44" t="n">
        <v>0.0014499</v>
      </c>
      <c r="AL24" s="44" t="n">
        <v>2.23231</v>
      </c>
      <c r="AM24" s="44" t="n">
        <v>0.338133</v>
      </c>
      <c r="AN24" s="44" t="n">
        <v>0.0014499</v>
      </c>
      <c r="AO24" s="44" t="n">
        <v>2.33536</v>
      </c>
      <c r="AP24" s="44" t="n">
        <v>0.356855</v>
      </c>
      <c r="AQ24" s="44" t="n">
        <v>0.0014499</v>
      </c>
      <c r="AR24" s="44" t="n">
        <v>2.31953</v>
      </c>
      <c r="AS24" s="44" t="n">
        <v>0.349086</v>
      </c>
      <c r="AT24" s="44" t="n">
        <v>0.0014499</v>
      </c>
      <c r="AU24" s="44" t="n">
        <v>2.26883</v>
      </c>
      <c r="AV24" s="44" t="n">
        <v>0.336729</v>
      </c>
      <c r="AW24" s="44" t="n">
        <v>0.0014499</v>
      </c>
      <c r="AX24" s="44" t="n">
        <v>2.27553</v>
      </c>
      <c r="AY24" s="44" t="n">
        <v>0.335141</v>
      </c>
      <c r="AZ24" s="44" t="n">
        <v>0.0014499</v>
      </c>
      <c r="BA24" s="44" t="n">
        <v>2.38966</v>
      </c>
      <c r="BB24" s="44" t="n">
        <v>0.354808</v>
      </c>
      <c r="BC24" s="44" t="n">
        <v>0.0014499</v>
      </c>
      <c r="BD24" s="44" t="n">
        <v>2.35455</v>
      </c>
      <c r="BE24" s="44" t="n">
        <v>0.344522</v>
      </c>
      <c r="BF24" s="44" t="n">
        <v>0.0014499</v>
      </c>
      <c r="BG24" s="44" t="n">
        <v>2.34155</v>
      </c>
      <c r="BH24" s="44" t="n">
        <v>0.339537</v>
      </c>
      <c r="BI24" s="44" t="n">
        <v>0.0014499</v>
      </c>
      <c r="BJ24" s="44" t="n">
        <v>2.40097</v>
      </c>
      <c r="BK24" s="44" t="n">
        <v>0.348023</v>
      </c>
      <c r="BL24" s="44" t="n">
        <v>0.0014499</v>
      </c>
      <c r="BM24" s="44" t="n">
        <v>2.44205</v>
      </c>
      <c r="BN24" s="44" t="n">
        <v>0.352542</v>
      </c>
      <c r="BO24" s="44" t="n">
        <v>0.0014499</v>
      </c>
      <c r="BP24" s="44" t="n">
        <v>2.40683</v>
      </c>
      <c r="BQ24" s="44" t="n">
        <v>0.342413</v>
      </c>
      <c r="BR24" s="44" t="n">
        <v>0.0014499</v>
      </c>
      <c r="BS24" s="44" t="n">
        <v>2.45557</v>
      </c>
      <c r="BT24" s="44" t="n">
        <v>0.349089</v>
      </c>
      <c r="BU24" s="44" t="n">
        <v>0.0014499</v>
      </c>
      <c r="BV24" s="44" t="n">
        <v>2.52643</v>
      </c>
      <c r="BW24" s="44" t="n">
        <v>0.357142</v>
      </c>
      <c r="BX24" s="44" t="n">
        <v>0.0014499</v>
      </c>
      <c r="BY24" s="44" t="n">
        <v>2.50797</v>
      </c>
      <c r="BZ24" s="44" t="n">
        <v>0.350732</v>
      </c>
      <c r="CA24" s="44" t="n">
        <v>0.0014499</v>
      </c>
      <c r="CB24" s="44" t="n">
        <v>2.4607</v>
      </c>
      <c r="CC24" s="44" t="n">
        <v>0.339029</v>
      </c>
      <c r="CD24" s="44" t="n">
        <v>0.0014499</v>
      </c>
      <c r="CE24" s="44" t="n">
        <v>2.46343</v>
      </c>
      <c r="CF24" s="44" t="n">
        <v>0.336567</v>
      </c>
      <c r="CG24" s="44" t="n">
        <v>0.0014499</v>
      </c>
      <c r="CH24" s="44" t="n">
        <v>2.54692</v>
      </c>
      <c r="CI24" s="44" t="n">
        <v>0.346743</v>
      </c>
      <c r="CJ24" s="44" t="n">
        <v>0.0014499</v>
      </c>
      <c r="CK24" s="44" t="n">
        <v>2.58566</v>
      </c>
      <c r="CL24" s="44" t="n">
        <v>0.350928</v>
      </c>
      <c r="CM24" s="44" t="n">
        <v>0.0014499</v>
      </c>
      <c r="CN24" s="44" t="n">
        <v>2.58512</v>
      </c>
      <c r="CO24" s="44" t="n">
        <v>0.347829</v>
      </c>
      <c r="CP24" s="44" t="n">
        <v>0.0014499</v>
      </c>
      <c r="CQ24" s="44" t="n">
        <v>2.56486</v>
      </c>
      <c r="CR24" s="44" t="n">
        <v>0.341828</v>
      </c>
      <c r="CS24" s="44" t="n">
        <v>0.0014499</v>
      </c>
      <c r="CT24" s="44" t="n">
        <v>2.64191</v>
      </c>
      <c r="CU24" s="44" t="n">
        <v>0.352592</v>
      </c>
      <c r="CV24" s="44" t="n">
        <v>0.0014499</v>
      </c>
      <c r="CW24" s="44" t="n">
        <v>2.56927</v>
      </c>
      <c r="CX24" s="44" t="n">
        <v>0.339678</v>
      </c>
    </row>
    <row collapsed="false" customFormat="false" customHeight="false" hidden="false" ht="12.75" outlineLevel="0" r="25">
      <c r="A25" s="44" t="n">
        <v>0.0015499</v>
      </c>
      <c r="B25" s="44" t="n">
        <v>1.86707</v>
      </c>
      <c r="C25" s="44" t="n">
        <v>0.317988</v>
      </c>
      <c r="D25" s="44" t="n">
        <v>0.0015499</v>
      </c>
      <c r="E25" s="44" t="n">
        <v>1.94249</v>
      </c>
      <c r="F25" s="44" t="n">
        <v>0.328399</v>
      </c>
      <c r="G25" s="44" t="n">
        <v>0.0015499</v>
      </c>
      <c r="H25" s="44" t="n">
        <v>1.97038</v>
      </c>
      <c r="I25" s="44" t="n">
        <v>0.327021</v>
      </c>
      <c r="J25" s="44" t="n">
        <v>0.0015499</v>
      </c>
      <c r="K25" s="44" t="n">
        <v>1.96484</v>
      </c>
      <c r="L25" s="44" t="n">
        <v>0.320305</v>
      </c>
      <c r="M25" s="44" t="n">
        <v>0.0015499</v>
      </c>
      <c r="N25" s="44" t="n">
        <v>2.02245</v>
      </c>
      <c r="O25" s="44" t="n">
        <v>0.324853</v>
      </c>
      <c r="P25" s="44" t="n">
        <v>0.0015499</v>
      </c>
      <c r="Q25" s="44" t="n">
        <v>2.0888</v>
      </c>
      <c r="R25" s="44" t="n">
        <v>0.331241</v>
      </c>
      <c r="S25" s="44" t="n">
        <v>0.0015499</v>
      </c>
      <c r="T25" s="44" t="n">
        <v>2.12746</v>
      </c>
      <c r="U25" s="44" t="n">
        <v>0.331948</v>
      </c>
      <c r="V25" s="44" t="n">
        <v>0.0015499</v>
      </c>
      <c r="W25" s="44" t="n">
        <v>2.09626</v>
      </c>
      <c r="X25" s="44" t="n">
        <v>0.321984</v>
      </c>
      <c r="Y25" s="44" t="n">
        <v>0.0015499</v>
      </c>
      <c r="Z25" s="44" t="n">
        <v>2.13929</v>
      </c>
      <c r="AA25" s="44" t="n">
        <v>0.328589</v>
      </c>
      <c r="AB25" s="44" t="n">
        <v>0.0015499</v>
      </c>
      <c r="AC25" s="44" t="n">
        <v>2.12573</v>
      </c>
      <c r="AD25" s="44" t="n">
        <v>0.322603</v>
      </c>
      <c r="AE25" s="44" t="n">
        <v>0.0015499</v>
      </c>
      <c r="AF25" s="44" t="n">
        <v>2.16084</v>
      </c>
      <c r="AG25" s="44" t="n">
        <v>0.327547</v>
      </c>
      <c r="AH25" s="44" t="n">
        <v>0.0015499</v>
      </c>
      <c r="AI25" s="44" t="n">
        <v>2.1401</v>
      </c>
      <c r="AJ25" s="44" t="n">
        <v>0.320131</v>
      </c>
      <c r="AK25" s="44" t="n">
        <v>0.0015499</v>
      </c>
      <c r="AL25" s="44" t="n">
        <v>2.14622</v>
      </c>
      <c r="AM25" s="44" t="n">
        <v>0.319017</v>
      </c>
      <c r="AN25" s="44" t="n">
        <v>0.0015499</v>
      </c>
      <c r="AO25" s="44" t="n">
        <v>2.24571</v>
      </c>
      <c r="AP25" s="44" t="n">
        <v>0.336454</v>
      </c>
      <c r="AQ25" s="44" t="n">
        <v>0.0015499</v>
      </c>
      <c r="AR25" s="44" t="n">
        <v>2.22848</v>
      </c>
      <c r="AS25" s="44" t="n">
        <v>0.329075</v>
      </c>
      <c r="AT25" s="44" t="n">
        <v>0.0015499</v>
      </c>
      <c r="AU25" s="44" t="n">
        <v>2.17874</v>
      </c>
      <c r="AV25" s="44" t="n">
        <v>0.317617</v>
      </c>
      <c r="AW25" s="44" t="n">
        <v>0.0015499</v>
      </c>
      <c r="AX25" s="44" t="n">
        <v>2.18447</v>
      </c>
      <c r="AY25" s="44" t="n">
        <v>0.316111</v>
      </c>
      <c r="AZ25" s="44" t="n">
        <v>0.0015499</v>
      </c>
      <c r="BA25" s="44" t="n">
        <v>2.29478</v>
      </c>
      <c r="BB25" s="44" t="n">
        <v>0.334544</v>
      </c>
      <c r="BC25" s="44" t="n">
        <v>0.0015499</v>
      </c>
      <c r="BD25" s="44" t="n">
        <v>2.25913</v>
      </c>
      <c r="BE25" s="44" t="n">
        <v>0.324809</v>
      </c>
      <c r="BF25" s="44" t="n">
        <v>0.0015499</v>
      </c>
      <c r="BG25" s="44" t="n">
        <v>2.24616</v>
      </c>
      <c r="BH25" s="44" t="n">
        <v>0.32034</v>
      </c>
      <c r="BI25" s="44" t="n">
        <v>0.0015499</v>
      </c>
      <c r="BJ25" s="44" t="n">
        <v>2.30167</v>
      </c>
      <c r="BK25" s="44" t="n">
        <v>0.328105</v>
      </c>
      <c r="BL25" s="44" t="n">
        <v>0.0015499</v>
      </c>
      <c r="BM25" s="44" t="n">
        <v>2.34136</v>
      </c>
      <c r="BN25" s="44" t="n">
        <v>0.332408</v>
      </c>
      <c r="BO25" s="44" t="n">
        <v>0.0015499</v>
      </c>
      <c r="BP25" s="44" t="n">
        <v>2.30621</v>
      </c>
      <c r="BQ25" s="44" t="n">
        <v>0.322911</v>
      </c>
      <c r="BR25" s="44" t="n">
        <v>0.0015499</v>
      </c>
      <c r="BS25" s="44" t="n">
        <v>2.35272</v>
      </c>
      <c r="BT25" s="44" t="n">
        <v>0.329281</v>
      </c>
      <c r="BU25" s="44" t="n">
        <v>0.0015499</v>
      </c>
      <c r="BV25" s="44" t="n">
        <v>2.41855</v>
      </c>
      <c r="BW25" s="44" t="n">
        <v>0.336681</v>
      </c>
      <c r="BX25" s="44" t="n">
        <v>0.0015499</v>
      </c>
      <c r="BY25" s="44" t="n">
        <v>2.40118</v>
      </c>
      <c r="BZ25" s="44" t="n">
        <v>0.330838</v>
      </c>
      <c r="CA25" s="44" t="n">
        <v>0.0015499</v>
      </c>
      <c r="CB25" s="44" t="n">
        <v>2.35323</v>
      </c>
      <c r="CC25" s="44" t="n">
        <v>0.319701</v>
      </c>
      <c r="CD25" s="44" t="n">
        <v>0.0015499</v>
      </c>
      <c r="CE25" s="44" t="n">
        <v>2.35511</v>
      </c>
      <c r="CF25" s="44" t="n">
        <v>0.317426</v>
      </c>
      <c r="CG25" s="44" t="n">
        <v>0.0015499</v>
      </c>
      <c r="CH25" s="44" t="n">
        <v>2.43458</v>
      </c>
      <c r="CI25" s="44" t="n">
        <v>0.326951</v>
      </c>
      <c r="CJ25" s="44" t="n">
        <v>0.0015499</v>
      </c>
      <c r="CK25" s="44" t="n">
        <v>2.47083</v>
      </c>
      <c r="CL25" s="44" t="n">
        <v>0.330959</v>
      </c>
      <c r="CM25" s="44" t="n">
        <v>0.0015499</v>
      </c>
      <c r="CN25" s="44" t="n">
        <v>2.4681</v>
      </c>
      <c r="CO25" s="44" t="n">
        <v>0.327953</v>
      </c>
      <c r="CP25" s="44" t="n">
        <v>0.0015499</v>
      </c>
      <c r="CQ25" s="44" t="n">
        <v>2.44741</v>
      </c>
      <c r="CR25" s="44" t="n">
        <v>0.322394</v>
      </c>
      <c r="CS25" s="44" t="n">
        <v>0.0015499</v>
      </c>
      <c r="CT25" s="44" t="n">
        <v>2.52057</v>
      </c>
      <c r="CU25" s="44" t="n">
        <v>0.332434</v>
      </c>
      <c r="CV25" s="44" t="n">
        <v>0.0015499</v>
      </c>
      <c r="CW25" s="44" t="n">
        <v>2.44784</v>
      </c>
      <c r="CX25" s="44" t="n">
        <v>0.320235</v>
      </c>
    </row>
    <row collapsed="false" customFormat="false" customHeight="false" hidden="false" ht="12.75" outlineLevel="0" r="26">
      <c r="A26" s="44" t="n">
        <v>0.0016499</v>
      </c>
      <c r="B26" s="44" t="n">
        <v>1.79771</v>
      </c>
      <c r="C26" s="44" t="n">
        <v>0.299923</v>
      </c>
      <c r="D26" s="44" t="n">
        <v>0.0016499</v>
      </c>
      <c r="E26" s="44" t="n">
        <v>1.86989</v>
      </c>
      <c r="F26" s="44" t="n">
        <v>0.30963</v>
      </c>
      <c r="G26" s="44" t="n">
        <v>0.0016499</v>
      </c>
      <c r="H26" s="44" t="n">
        <v>1.89602</v>
      </c>
      <c r="I26" s="44" t="n">
        <v>0.308268</v>
      </c>
      <c r="J26" s="44" t="n">
        <v>0.0016499</v>
      </c>
      <c r="K26" s="44" t="n">
        <v>1.89062</v>
      </c>
      <c r="L26" s="44" t="n">
        <v>0.302019</v>
      </c>
      <c r="M26" s="44" t="n">
        <v>0.0016499</v>
      </c>
      <c r="N26" s="44" t="n">
        <v>1.94592</v>
      </c>
      <c r="O26" s="44" t="n">
        <v>0.306352</v>
      </c>
      <c r="P26" s="44" t="n">
        <v>0.0016499</v>
      </c>
      <c r="Q26" s="44" t="n">
        <v>2.01034</v>
      </c>
      <c r="R26" s="44" t="n">
        <v>0.312353</v>
      </c>
      <c r="S26" s="44" t="n">
        <v>0.0016499</v>
      </c>
      <c r="T26" s="44" t="n">
        <v>2.04762</v>
      </c>
      <c r="U26" s="44" t="n">
        <v>0.312971</v>
      </c>
      <c r="V26" s="44" t="n">
        <v>0.0016499</v>
      </c>
      <c r="W26" s="44" t="n">
        <v>2.01706</v>
      </c>
      <c r="X26" s="44" t="n">
        <v>0.303795</v>
      </c>
      <c r="Y26" s="44" t="n">
        <v>0.0016499</v>
      </c>
      <c r="Z26" s="44" t="n">
        <v>2.05747</v>
      </c>
      <c r="AA26" s="44" t="n">
        <v>0.309812</v>
      </c>
      <c r="AB26" s="44" t="n">
        <v>0.0016499</v>
      </c>
      <c r="AC26" s="44" t="n">
        <v>2.04334</v>
      </c>
      <c r="AD26" s="44" t="n">
        <v>0.304193</v>
      </c>
      <c r="AE26" s="44" t="n">
        <v>0.0016499</v>
      </c>
      <c r="AF26" s="44" t="n">
        <v>2.07684</v>
      </c>
      <c r="AG26" s="44" t="n">
        <v>0.308865</v>
      </c>
      <c r="AH26" s="44" t="n">
        <v>0.0016499</v>
      </c>
      <c r="AI26" s="44" t="n">
        <v>2.05584</v>
      </c>
      <c r="AJ26" s="44" t="n">
        <v>0.301987</v>
      </c>
      <c r="AK26" s="44" t="n">
        <v>0.0016499</v>
      </c>
      <c r="AL26" s="44" t="n">
        <v>2.06184</v>
      </c>
      <c r="AM26" s="44" t="n">
        <v>0.300949</v>
      </c>
      <c r="AN26" s="44" t="n">
        <v>0.0016499</v>
      </c>
      <c r="AO26" s="44" t="n">
        <v>2.15733</v>
      </c>
      <c r="AP26" s="44" t="n">
        <v>0.317297</v>
      </c>
      <c r="AQ26" s="44" t="n">
        <v>0.0016499</v>
      </c>
      <c r="AR26" s="44" t="n">
        <v>2.13953</v>
      </c>
      <c r="AS26" s="44" t="n">
        <v>0.310288</v>
      </c>
      <c r="AT26" s="44" t="n">
        <v>0.0016499</v>
      </c>
      <c r="AU26" s="44" t="n">
        <v>2.09006</v>
      </c>
      <c r="AV26" s="44" t="n">
        <v>0.299679</v>
      </c>
      <c r="AW26" s="44" t="n">
        <v>0.0016499</v>
      </c>
      <c r="AX26" s="44" t="n">
        <v>2.09534</v>
      </c>
      <c r="AY26" s="44" t="n">
        <v>0.298235</v>
      </c>
      <c r="AZ26" s="44" t="n">
        <v>0.0016499</v>
      </c>
      <c r="BA26" s="44" t="n">
        <v>2.20154</v>
      </c>
      <c r="BB26" s="44" t="n">
        <v>0.315552</v>
      </c>
      <c r="BC26" s="44" t="n">
        <v>0.0016499</v>
      </c>
      <c r="BD26" s="44" t="n">
        <v>2.16551</v>
      </c>
      <c r="BE26" s="44" t="n">
        <v>0.306274</v>
      </c>
      <c r="BF26" s="44" t="n">
        <v>0.0016499</v>
      </c>
      <c r="BG26" s="44" t="n">
        <v>2.15244</v>
      </c>
      <c r="BH26" s="44" t="n">
        <v>0.302191</v>
      </c>
      <c r="BI26" s="44" t="n">
        <v>0.0016499</v>
      </c>
      <c r="BJ26" s="44" t="n">
        <v>2.20494</v>
      </c>
      <c r="BK26" s="44" t="n">
        <v>0.309385</v>
      </c>
      <c r="BL26" s="44" t="n">
        <v>0.0016499</v>
      </c>
      <c r="BM26" s="44" t="n">
        <v>2.24235</v>
      </c>
      <c r="BN26" s="44" t="n">
        <v>0.313481</v>
      </c>
      <c r="BO26" s="44" t="n">
        <v>0.0016499</v>
      </c>
      <c r="BP26" s="44" t="n">
        <v>2.20699</v>
      </c>
      <c r="BQ26" s="44" t="n">
        <v>0.304585</v>
      </c>
      <c r="BR26" s="44" t="n">
        <v>0.0016499</v>
      </c>
      <c r="BS26" s="44" t="n">
        <v>2.2524</v>
      </c>
      <c r="BT26" s="44" t="n">
        <v>0.310633</v>
      </c>
      <c r="BU26" s="44" t="n">
        <v>0.0016499</v>
      </c>
      <c r="BV26" s="44" t="n">
        <v>2.31387</v>
      </c>
      <c r="BW26" s="44" t="n">
        <v>0.317399</v>
      </c>
      <c r="BX26" s="44" t="n">
        <v>0.0016499</v>
      </c>
      <c r="BY26" s="44" t="n">
        <v>2.29728</v>
      </c>
      <c r="BZ26" s="44" t="n">
        <v>0.312082</v>
      </c>
      <c r="CA26" s="44" t="n">
        <v>0.0016499</v>
      </c>
      <c r="CB26" s="44" t="n">
        <v>2.24887</v>
      </c>
      <c r="CC26" s="44" t="n">
        <v>0.301587</v>
      </c>
      <c r="CD26" s="44" t="n">
        <v>0.0016499</v>
      </c>
      <c r="CE26" s="44" t="n">
        <v>2.24881</v>
      </c>
      <c r="CF26" s="44" t="n">
        <v>0.299388</v>
      </c>
      <c r="CG26" s="44" t="n">
        <v>0.0016499</v>
      </c>
      <c r="CH26" s="44" t="n">
        <v>2.32507</v>
      </c>
      <c r="CI26" s="44" t="n">
        <v>0.308313</v>
      </c>
      <c r="CJ26" s="44" t="n">
        <v>0.0016499</v>
      </c>
      <c r="CK26" s="44" t="n">
        <v>2.35889</v>
      </c>
      <c r="CL26" s="44" t="n">
        <v>0.312219</v>
      </c>
      <c r="CM26" s="44" t="n">
        <v>0.0016499</v>
      </c>
      <c r="CN26" s="44" t="n">
        <v>2.35537</v>
      </c>
      <c r="CO26" s="44" t="n">
        <v>0.309308</v>
      </c>
      <c r="CP26" s="44" t="n">
        <v>0.0016499</v>
      </c>
      <c r="CQ26" s="44" t="n">
        <v>2.33395</v>
      </c>
      <c r="CR26" s="44" t="n">
        <v>0.304121</v>
      </c>
      <c r="CS26" s="44" t="n">
        <v>0.0016499</v>
      </c>
      <c r="CT26" s="44" t="n">
        <v>2.40311</v>
      </c>
      <c r="CU26" s="44" t="n">
        <v>0.313529</v>
      </c>
      <c r="CV26" s="44" t="n">
        <v>0.0016499</v>
      </c>
      <c r="CW26" s="44" t="n">
        <v>2.33057</v>
      </c>
      <c r="CX26" s="44" t="n">
        <v>0.301985</v>
      </c>
    </row>
    <row collapsed="false" customFormat="false" customHeight="false" hidden="false" ht="12.75" outlineLevel="0" r="27">
      <c r="A27" s="44" t="n">
        <v>0.0017499</v>
      </c>
      <c r="B27" s="44" t="n">
        <v>1.72903</v>
      </c>
      <c r="C27" s="44" t="n">
        <v>0.282925</v>
      </c>
      <c r="D27" s="44" t="n">
        <v>0.0017499</v>
      </c>
      <c r="E27" s="44" t="n">
        <v>1.79908</v>
      </c>
      <c r="F27" s="44" t="n">
        <v>0.292031</v>
      </c>
      <c r="G27" s="44" t="n">
        <v>0.0017499</v>
      </c>
      <c r="H27" s="44" t="n">
        <v>1.823</v>
      </c>
      <c r="I27" s="44" t="n">
        <v>0.290618</v>
      </c>
      <c r="J27" s="44" t="n">
        <v>0.0017499</v>
      </c>
      <c r="K27" s="44" t="n">
        <v>1.81774</v>
      </c>
      <c r="L27" s="44" t="n">
        <v>0.284856</v>
      </c>
      <c r="M27" s="44" t="n">
        <v>0.0017499</v>
      </c>
      <c r="N27" s="44" t="n">
        <v>1.87109</v>
      </c>
      <c r="O27" s="44" t="n">
        <v>0.289013</v>
      </c>
      <c r="P27" s="44" t="n">
        <v>0.0017499</v>
      </c>
      <c r="Q27" s="44" t="n">
        <v>1.93342</v>
      </c>
      <c r="R27" s="44" t="n">
        <v>0.294602</v>
      </c>
      <c r="S27" s="44" t="n">
        <v>0.0017499</v>
      </c>
      <c r="T27" s="44" t="n">
        <v>1.96853</v>
      </c>
      <c r="U27" s="44" t="n">
        <v>0.295164</v>
      </c>
      <c r="V27" s="44" t="n">
        <v>0.0017499</v>
      </c>
      <c r="W27" s="44" t="n">
        <v>1.93896</v>
      </c>
      <c r="X27" s="44" t="n">
        <v>0.286636</v>
      </c>
      <c r="Y27" s="44" t="n">
        <v>0.0017499</v>
      </c>
      <c r="Z27" s="44" t="n">
        <v>1.97689</v>
      </c>
      <c r="AA27" s="44" t="n">
        <v>0.292179</v>
      </c>
      <c r="AB27" s="44" t="n">
        <v>0.0017499</v>
      </c>
      <c r="AC27" s="44" t="n">
        <v>1.96258</v>
      </c>
      <c r="AD27" s="44" t="n">
        <v>0.286934</v>
      </c>
      <c r="AE27" s="44" t="n">
        <v>0.0017499</v>
      </c>
      <c r="AF27" s="44" t="n">
        <v>1.99403</v>
      </c>
      <c r="AG27" s="44" t="n">
        <v>0.2913</v>
      </c>
      <c r="AH27" s="44" t="n">
        <v>0.0017499</v>
      </c>
      <c r="AI27" s="44" t="n">
        <v>1.97381</v>
      </c>
      <c r="AJ27" s="44" t="n">
        <v>0.284951</v>
      </c>
      <c r="AK27" s="44" t="n">
        <v>0.0017499</v>
      </c>
      <c r="AL27" s="44" t="n">
        <v>1.97909</v>
      </c>
      <c r="AM27" s="44" t="n">
        <v>0.284014</v>
      </c>
      <c r="AN27" s="44" t="n">
        <v>0.0017499</v>
      </c>
      <c r="AO27" s="44" t="n">
        <v>2.07079</v>
      </c>
      <c r="AP27" s="44" t="n">
        <v>0.299257</v>
      </c>
      <c r="AQ27" s="44" t="n">
        <v>0.0017499</v>
      </c>
      <c r="AR27" s="44" t="n">
        <v>2.0524</v>
      </c>
      <c r="AS27" s="44" t="n">
        <v>0.292612</v>
      </c>
      <c r="AT27" s="44" t="n">
        <v>0.0017499</v>
      </c>
      <c r="AU27" s="44" t="n">
        <v>2.00406</v>
      </c>
      <c r="AV27" s="44" t="n">
        <v>0.2828</v>
      </c>
      <c r="AW27" s="44" t="n">
        <v>0.0017499</v>
      </c>
      <c r="AX27" s="44" t="n">
        <v>2.00797</v>
      </c>
      <c r="AY27" s="44" t="n">
        <v>0.28149</v>
      </c>
      <c r="AZ27" s="44" t="n">
        <v>0.0017499</v>
      </c>
      <c r="BA27" s="44" t="n">
        <v>2.11028</v>
      </c>
      <c r="BB27" s="44" t="n">
        <v>0.297663</v>
      </c>
      <c r="BC27" s="44" t="n">
        <v>0.0017499</v>
      </c>
      <c r="BD27" s="44" t="n">
        <v>2.07306</v>
      </c>
      <c r="BE27" s="44" t="n">
        <v>0.288879</v>
      </c>
      <c r="BF27" s="44" t="n">
        <v>0.0017499</v>
      </c>
      <c r="BG27" s="44" t="n">
        <v>2.06059</v>
      </c>
      <c r="BH27" s="44" t="n">
        <v>0.28514</v>
      </c>
      <c r="BI27" s="44" t="n">
        <v>0.0017499</v>
      </c>
      <c r="BJ27" s="44" t="n">
        <v>2.11004</v>
      </c>
      <c r="BK27" s="44" t="n">
        <v>0.291806</v>
      </c>
      <c r="BL27" s="44" t="n">
        <v>0.0017499</v>
      </c>
      <c r="BM27" s="44" t="n">
        <v>2.14576</v>
      </c>
      <c r="BN27" s="44" t="n">
        <v>0.295662</v>
      </c>
      <c r="BO27" s="44" t="n">
        <v>0.0017499</v>
      </c>
      <c r="BP27" s="44" t="n">
        <v>2.11084</v>
      </c>
      <c r="BQ27" s="44" t="n">
        <v>0.287374</v>
      </c>
      <c r="BR27" s="44" t="n">
        <v>0.0017499</v>
      </c>
      <c r="BS27" s="44" t="n">
        <v>2.15376</v>
      </c>
      <c r="BT27" s="44" t="n">
        <v>0.29306</v>
      </c>
      <c r="BU27" s="44" t="n">
        <v>0.0017499</v>
      </c>
      <c r="BV27" s="44" t="n">
        <v>2.21149</v>
      </c>
      <c r="BW27" s="44" t="n">
        <v>0.299307</v>
      </c>
      <c r="BX27" s="44" t="n">
        <v>0.0017499</v>
      </c>
      <c r="BY27" s="44" t="n">
        <v>2.19499</v>
      </c>
      <c r="BZ27" s="44" t="n">
        <v>0.294429</v>
      </c>
      <c r="CA27" s="44" t="n">
        <v>0.0017499</v>
      </c>
      <c r="CB27" s="44" t="n">
        <v>2.14661</v>
      </c>
      <c r="CC27" s="44" t="n">
        <v>0.284508</v>
      </c>
      <c r="CD27" s="44" t="n">
        <v>0.0017499</v>
      </c>
      <c r="CE27" s="44" t="n">
        <v>2.14616</v>
      </c>
      <c r="CF27" s="44" t="n">
        <v>0.282473</v>
      </c>
      <c r="CG27" s="44" t="n">
        <v>0.0017499</v>
      </c>
      <c r="CH27" s="44" t="n">
        <v>2.2177</v>
      </c>
      <c r="CI27" s="44" t="n">
        <v>0.290815</v>
      </c>
      <c r="CJ27" s="44" t="n">
        <v>0.0017499</v>
      </c>
      <c r="CK27" s="44" t="n">
        <v>2.25076</v>
      </c>
      <c r="CL27" s="44" t="n">
        <v>0.294545</v>
      </c>
      <c r="CM27" s="44" t="n">
        <v>0.0017499</v>
      </c>
      <c r="CN27" s="44" t="n">
        <v>2.24466</v>
      </c>
      <c r="CO27" s="44" t="n">
        <v>0.29171</v>
      </c>
      <c r="CP27" s="44" t="n">
        <v>0.0017499</v>
      </c>
      <c r="CQ27" s="44" t="n">
        <v>2.22353</v>
      </c>
      <c r="CR27" s="44" t="n">
        <v>0.28693</v>
      </c>
      <c r="CS27" s="44" t="n">
        <v>0.0017499</v>
      </c>
      <c r="CT27" s="44" t="n">
        <v>2.28952</v>
      </c>
      <c r="CU27" s="44" t="n">
        <v>0.295764</v>
      </c>
      <c r="CV27" s="44" t="n">
        <v>0.0017499</v>
      </c>
      <c r="CW27" s="44" t="n">
        <v>2.21684</v>
      </c>
      <c r="CX27" s="44" t="n">
        <v>0.284804</v>
      </c>
    </row>
    <row collapsed="false" customFormat="false" customHeight="false" hidden="false" ht="12.75" outlineLevel="0" r="28">
      <c r="A28" s="44" t="n">
        <v>0.0018499</v>
      </c>
      <c r="B28" s="44" t="n">
        <v>1.66203</v>
      </c>
      <c r="C28" s="44" t="n">
        <v>0.266909</v>
      </c>
      <c r="D28" s="44" t="n">
        <v>0.0018499</v>
      </c>
      <c r="E28" s="44" t="n">
        <v>1.72933</v>
      </c>
      <c r="F28" s="44" t="n">
        <v>0.275467</v>
      </c>
      <c r="G28" s="44" t="n">
        <v>0.0018499</v>
      </c>
      <c r="H28" s="44" t="n">
        <v>1.75201</v>
      </c>
      <c r="I28" s="44" t="n">
        <v>0.274045</v>
      </c>
      <c r="J28" s="44" t="n">
        <v>0.0018499</v>
      </c>
      <c r="K28" s="44" t="n">
        <v>1.74654</v>
      </c>
      <c r="L28" s="44" t="n">
        <v>0.268688</v>
      </c>
      <c r="M28" s="44" t="n">
        <v>0.0018499</v>
      </c>
      <c r="N28" s="44" t="n">
        <v>1.79802</v>
      </c>
      <c r="O28" s="44" t="n">
        <v>0.272639</v>
      </c>
      <c r="P28" s="44" t="n">
        <v>0.0018499</v>
      </c>
      <c r="Q28" s="44" t="n">
        <v>1.8578</v>
      </c>
      <c r="R28" s="44" t="n">
        <v>0.277904</v>
      </c>
      <c r="S28" s="44" t="n">
        <v>0.0018499</v>
      </c>
      <c r="T28" s="44" t="n">
        <v>1.89134</v>
      </c>
      <c r="U28" s="44" t="n">
        <v>0.278404</v>
      </c>
      <c r="V28" s="44" t="n">
        <v>0.0018499</v>
      </c>
      <c r="W28" s="44" t="n">
        <v>1.86239</v>
      </c>
      <c r="X28" s="44" t="n">
        <v>0.270474</v>
      </c>
      <c r="Y28" s="44" t="n">
        <v>0.0018499</v>
      </c>
      <c r="Z28" s="44" t="n">
        <v>1.89814</v>
      </c>
      <c r="AA28" s="44" t="n">
        <v>0.275613</v>
      </c>
      <c r="AB28" s="44" t="n">
        <v>0.0018499</v>
      </c>
      <c r="AC28" s="44" t="n">
        <v>1.88379</v>
      </c>
      <c r="AD28" s="44" t="n">
        <v>0.270693</v>
      </c>
      <c r="AE28" s="44" t="n">
        <v>0.0018499</v>
      </c>
      <c r="AF28" s="44" t="n">
        <v>1.91396</v>
      </c>
      <c r="AG28" s="44" t="n">
        <v>0.274808</v>
      </c>
      <c r="AH28" s="44" t="n">
        <v>0.0018499</v>
      </c>
      <c r="AI28" s="44" t="n">
        <v>1.89344</v>
      </c>
      <c r="AJ28" s="44" t="n">
        <v>0.268892</v>
      </c>
      <c r="AK28" s="44" t="n">
        <v>0.0018499</v>
      </c>
      <c r="AL28" s="44" t="n">
        <v>1.89825</v>
      </c>
      <c r="AM28" s="44" t="n">
        <v>0.268012</v>
      </c>
      <c r="AN28" s="44" t="n">
        <v>0.0018499</v>
      </c>
      <c r="AO28" s="44" t="n">
        <v>1.98599</v>
      </c>
      <c r="AP28" s="44" t="n">
        <v>0.282304</v>
      </c>
      <c r="AQ28" s="44" t="n">
        <v>0.0018499</v>
      </c>
      <c r="AR28" s="44" t="n">
        <v>1.9665</v>
      </c>
      <c r="AS28" s="44" t="n">
        <v>0.275978</v>
      </c>
      <c r="AT28" s="44" t="n">
        <v>0.0018499</v>
      </c>
      <c r="AU28" s="44" t="n">
        <v>1.92026</v>
      </c>
      <c r="AV28" s="44" t="n">
        <v>0.266943</v>
      </c>
      <c r="AW28" s="44" t="n">
        <v>0.0018499</v>
      </c>
      <c r="AX28" s="44" t="n">
        <v>1.92325</v>
      </c>
      <c r="AY28" s="44" t="n">
        <v>0.265686</v>
      </c>
      <c r="AZ28" s="44" t="n">
        <v>0.0018499</v>
      </c>
      <c r="BA28" s="44" t="n">
        <v>2.02138</v>
      </c>
      <c r="BB28" s="44" t="n">
        <v>0.280817</v>
      </c>
      <c r="BC28" s="44" t="n">
        <v>0.0018499</v>
      </c>
      <c r="BD28" s="44" t="n">
        <v>1.98387</v>
      </c>
      <c r="BE28" s="44" t="n">
        <v>0.272498</v>
      </c>
      <c r="BF28" s="44" t="n">
        <v>0.0018499</v>
      </c>
      <c r="BG28" s="44" t="n">
        <v>1.97087</v>
      </c>
      <c r="BH28" s="44" t="n">
        <v>0.269042</v>
      </c>
      <c r="BI28" s="44" t="n">
        <v>0.0018499</v>
      </c>
      <c r="BJ28" s="44" t="n">
        <v>2.01746</v>
      </c>
      <c r="BK28" s="44" t="n">
        <v>0.275294</v>
      </c>
      <c r="BL28" s="44" t="n">
        <v>0.0018499</v>
      </c>
      <c r="BM28" s="44" t="n">
        <v>2.05185</v>
      </c>
      <c r="BN28" s="44" t="n">
        <v>0.278902</v>
      </c>
      <c r="BO28" s="44" t="n">
        <v>0.0018499</v>
      </c>
      <c r="BP28" s="44" t="n">
        <v>2.01641</v>
      </c>
      <c r="BQ28" s="44" t="n">
        <v>0.271113</v>
      </c>
      <c r="BR28" s="44" t="n">
        <v>0.0018499</v>
      </c>
      <c r="BS28" s="44" t="n">
        <v>2.05761</v>
      </c>
      <c r="BT28" s="44" t="n">
        <v>0.276533</v>
      </c>
      <c r="BU28" s="44" t="n">
        <v>0.0018499</v>
      </c>
      <c r="BV28" s="44" t="n">
        <v>2.11198</v>
      </c>
      <c r="BW28" s="44" t="n">
        <v>0.28236</v>
      </c>
      <c r="BX28" s="44" t="n">
        <v>0.0018499</v>
      </c>
      <c r="BY28" s="44" t="n">
        <v>2.09566</v>
      </c>
      <c r="BZ28" s="44" t="n">
        <v>0.277839</v>
      </c>
      <c r="CA28" s="44" t="n">
        <v>0.0018499</v>
      </c>
      <c r="CB28" s="44" t="n">
        <v>2.04754</v>
      </c>
      <c r="CC28" s="44" t="n">
        <v>0.268443</v>
      </c>
      <c r="CD28" s="44" t="n">
        <v>0.0018499</v>
      </c>
      <c r="CE28" s="44" t="n">
        <v>2.04601</v>
      </c>
      <c r="CF28" s="44" t="n">
        <v>0.266565</v>
      </c>
      <c r="CG28" s="44" t="n">
        <v>0.0018499</v>
      </c>
      <c r="CH28" s="44" t="n">
        <v>2.11373</v>
      </c>
      <c r="CI28" s="44" t="n">
        <v>0.2743</v>
      </c>
      <c r="CJ28" s="44" t="n">
        <v>0.0018499</v>
      </c>
      <c r="CK28" s="44" t="n">
        <v>2.14507</v>
      </c>
      <c r="CL28" s="44" t="n">
        <v>0.277931</v>
      </c>
      <c r="CM28" s="44" t="n">
        <v>0.0018499</v>
      </c>
      <c r="CN28" s="44" t="n">
        <v>2.13765</v>
      </c>
      <c r="CO28" s="44" t="n">
        <v>0.275151</v>
      </c>
      <c r="CP28" s="44" t="n">
        <v>0.0018499</v>
      </c>
      <c r="CQ28" s="44" t="n">
        <v>2.11619</v>
      </c>
      <c r="CR28" s="44" t="n">
        <v>0.270695</v>
      </c>
      <c r="CS28" s="44" t="n">
        <v>0.0018499</v>
      </c>
      <c r="CT28" s="44" t="n">
        <v>2.17848</v>
      </c>
      <c r="CU28" s="44" t="n">
        <v>0.279095</v>
      </c>
      <c r="CV28" s="44" t="n">
        <v>0.0018499</v>
      </c>
      <c r="CW28" s="44" t="n">
        <v>2.10676</v>
      </c>
      <c r="CX28" s="44" t="n">
        <v>0.268641</v>
      </c>
    </row>
    <row collapsed="false" customFormat="false" customHeight="false" hidden="false" ht="12.75" outlineLevel="0" r="29">
      <c r="A29" s="44" t="n">
        <v>0.0019499</v>
      </c>
      <c r="B29" s="44" t="n">
        <v>1.59667</v>
      </c>
      <c r="C29" s="44" t="n">
        <v>0.251966</v>
      </c>
      <c r="D29" s="44" t="n">
        <v>0.0019499</v>
      </c>
      <c r="E29" s="44" t="n">
        <v>1.66201</v>
      </c>
      <c r="F29" s="44" t="n">
        <v>0.259919</v>
      </c>
      <c r="G29" s="44" t="n">
        <v>0.0019499</v>
      </c>
      <c r="H29" s="44" t="n">
        <v>1.68316</v>
      </c>
      <c r="I29" s="44" t="n">
        <v>0.258583</v>
      </c>
      <c r="J29" s="44" t="n">
        <v>0.0019499</v>
      </c>
      <c r="K29" s="44" t="n">
        <v>1.67718</v>
      </c>
      <c r="L29" s="44" t="n">
        <v>0.253592</v>
      </c>
      <c r="M29" s="44" t="n">
        <v>0.0019499</v>
      </c>
      <c r="N29" s="44" t="n">
        <v>1.72665</v>
      </c>
      <c r="O29" s="44" t="n">
        <v>0.257296</v>
      </c>
      <c r="P29" s="44" t="n">
        <v>0.0019499</v>
      </c>
      <c r="Q29" s="44" t="n">
        <v>1.78411</v>
      </c>
      <c r="R29" s="44" t="n">
        <v>0.262236</v>
      </c>
      <c r="S29" s="44" t="n">
        <v>0.0019499</v>
      </c>
      <c r="T29" s="44" t="n">
        <v>1.81598</v>
      </c>
      <c r="U29" s="44" t="n">
        <v>0.262618</v>
      </c>
      <c r="V29" s="44" t="n">
        <v>0.0019499</v>
      </c>
      <c r="W29" s="44" t="n">
        <v>1.78788</v>
      </c>
      <c r="X29" s="44" t="n">
        <v>0.255405</v>
      </c>
      <c r="Y29" s="44" t="n">
        <v>0.0019499</v>
      </c>
      <c r="Z29" s="44" t="n">
        <v>1.82139</v>
      </c>
      <c r="AA29" s="44" t="n">
        <v>0.260042</v>
      </c>
      <c r="AB29" s="44" t="n">
        <v>0.0019499</v>
      </c>
      <c r="AC29" s="44" t="n">
        <v>1.80659</v>
      </c>
      <c r="AD29" s="44" t="n">
        <v>0.255475</v>
      </c>
      <c r="AE29" s="44" t="n">
        <v>0.0019499</v>
      </c>
      <c r="AF29" s="44" t="n">
        <v>1.83577</v>
      </c>
      <c r="AG29" s="44" t="n">
        <v>0.259345</v>
      </c>
      <c r="AH29" s="44" t="n">
        <v>0.0019499</v>
      </c>
      <c r="AI29" s="44" t="n">
        <v>1.81522</v>
      </c>
      <c r="AJ29" s="44" t="n">
        <v>0.253837</v>
      </c>
      <c r="AK29" s="44" t="n">
        <v>0.0019499</v>
      </c>
      <c r="AL29" s="44" t="n">
        <v>1.81909</v>
      </c>
      <c r="AM29" s="44" t="n">
        <v>0.253002</v>
      </c>
      <c r="AN29" s="44" t="n">
        <v>0.0019499</v>
      </c>
      <c r="AO29" s="44" t="n">
        <v>1.90332</v>
      </c>
      <c r="AP29" s="44" t="n">
        <v>0.266324</v>
      </c>
      <c r="AQ29" s="44" t="n">
        <v>0.0019499</v>
      </c>
      <c r="AR29" s="44" t="n">
        <v>1.88325</v>
      </c>
      <c r="AS29" s="44" t="n">
        <v>0.260368</v>
      </c>
      <c r="AT29" s="44" t="n">
        <v>0.0019499</v>
      </c>
      <c r="AU29" s="44" t="n">
        <v>1.83842</v>
      </c>
      <c r="AV29" s="44" t="n">
        <v>0.252095</v>
      </c>
      <c r="AW29" s="44" t="n">
        <v>0.0019499</v>
      </c>
      <c r="AX29" s="44" t="n">
        <v>1.8407</v>
      </c>
      <c r="AY29" s="44" t="n">
        <v>0.250923</v>
      </c>
      <c r="AZ29" s="44" t="n">
        <v>0.0019499</v>
      </c>
      <c r="BA29" s="44" t="n">
        <v>1.93429</v>
      </c>
      <c r="BB29" s="44" t="n">
        <v>0.264955</v>
      </c>
      <c r="BC29" s="44" t="n">
        <v>0.0019499</v>
      </c>
      <c r="BD29" s="44" t="n">
        <v>1.89702</v>
      </c>
      <c r="BE29" s="44" t="n">
        <v>0.257166</v>
      </c>
      <c r="BF29" s="44" t="n">
        <v>0.0019499</v>
      </c>
      <c r="BG29" s="44" t="n">
        <v>1.88389</v>
      </c>
      <c r="BH29" s="44" t="n">
        <v>0.253997</v>
      </c>
      <c r="BI29" s="44" t="n">
        <v>0.0019499</v>
      </c>
      <c r="BJ29" s="44" t="n">
        <v>1.92823</v>
      </c>
      <c r="BK29" s="44" t="n">
        <v>0.259827</v>
      </c>
      <c r="BL29" s="44" t="n">
        <v>0.0019499</v>
      </c>
      <c r="BM29" s="44" t="n">
        <v>1.96006</v>
      </c>
      <c r="BN29" s="44" t="n">
        <v>0.26311</v>
      </c>
      <c r="BO29" s="44" t="n">
        <v>0.0019499</v>
      </c>
      <c r="BP29" s="44" t="n">
        <v>1.92507</v>
      </c>
      <c r="BQ29" s="44" t="n">
        <v>0.255919</v>
      </c>
      <c r="BR29" s="44" t="n">
        <v>0.0019499</v>
      </c>
      <c r="BS29" s="44" t="n">
        <v>1.96451</v>
      </c>
      <c r="BT29" s="44" t="n">
        <v>0.261037</v>
      </c>
      <c r="BU29" s="44" t="n">
        <v>0.0019499</v>
      </c>
      <c r="BV29" s="44" t="n">
        <v>2.01591</v>
      </c>
      <c r="BW29" s="44" t="n">
        <v>0.26637</v>
      </c>
      <c r="BX29" s="44" t="n">
        <v>0.0019499</v>
      </c>
      <c r="BY29" s="44" t="n">
        <v>1.9995</v>
      </c>
      <c r="BZ29" s="44" t="n">
        <v>0.26225</v>
      </c>
      <c r="CA29" s="44" t="n">
        <v>0.0019499</v>
      </c>
      <c r="CB29" s="44" t="n">
        <v>1.95154</v>
      </c>
      <c r="CC29" s="44" t="n">
        <v>0.253422</v>
      </c>
      <c r="CD29" s="44" t="n">
        <v>0.0019499</v>
      </c>
      <c r="CE29" s="44" t="n">
        <v>1.94919</v>
      </c>
      <c r="CF29" s="44" t="n">
        <v>0.251723</v>
      </c>
      <c r="CG29" s="44" t="n">
        <v>0.0019499</v>
      </c>
      <c r="CH29" s="44" t="n">
        <v>2.01318</v>
      </c>
      <c r="CI29" s="44" t="n">
        <v>0.258832</v>
      </c>
      <c r="CJ29" s="44" t="n">
        <v>0.0019499</v>
      </c>
      <c r="CK29" s="44" t="n">
        <v>2.04299</v>
      </c>
      <c r="CL29" s="44" t="n">
        <v>0.262297</v>
      </c>
      <c r="CM29" s="44" t="n">
        <v>0.0019499</v>
      </c>
      <c r="CN29" s="44" t="n">
        <v>2.0343</v>
      </c>
      <c r="CO29" s="44" t="n">
        <v>0.259625</v>
      </c>
      <c r="CP29" s="44" t="n">
        <v>0.0019499</v>
      </c>
      <c r="CQ29" s="44" t="n">
        <v>2.0124</v>
      </c>
      <c r="CR29" s="44" t="n">
        <v>0.255506</v>
      </c>
      <c r="CS29" s="44" t="n">
        <v>0.0019499</v>
      </c>
      <c r="CT29" s="44" t="n">
        <v>2.07159</v>
      </c>
      <c r="CU29" s="44" t="n">
        <v>0.26336</v>
      </c>
      <c r="CV29" s="44" t="n">
        <v>0.0019499</v>
      </c>
      <c r="CW29" s="44" t="n">
        <v>2.00099</v>
      </c>
      <c r="CX29" s="44" t="n">
        <v>0.253516</v>
      </c>
    </row>
    <row collapsed="false" customFormat="false" customHeight="false" hidden="false" ht="12.75" outlineLevel="0" r="30">
      <c r="A30" s="44" t="n">
        <v>0.0020499</v>
      </c>
      <c r="B30" s="44" t="n">
        <v>1.53292</v>
      </c>
      <c r="C30" s="44" t="n">
        <v>0.237913</v>
      </c>
      <c r="D30" s="44" t="n">
        <v>0.0020499</v>
      </c>
      <c r="E30" s="44" t="n">
        <v>1.59571</v>
      </c>
      <c r="F30" s="44" t="n">
        <v>0.245372</v>
      </c>
      <c r="G30" s="44" t="n">
        <v>0.0020499</v>
      </c>
      <c r="H30" s="44" t="n">
        <v>1.61543</v>
      </c>
      <c r="I30" s="44" t="n">
        <v>0.244095</v>
      </c>
      <c r="J30" s="44" t="n">
        <v>0.0020499</v>
      </c>
      <c r="K30" s="44" t="n">
        <v>1.60949</v>
      </c>
      <c r="L30" s="44" t="n">
        <v>0.239434</v>
      </c>
      <c r="M30" s="44" t="n">
        <v>0.0020499</v>
      </c>
      <c r="N30" s="44" t="n">
        <v>1.65731</v>
      </c>
      <c r="O30" s="44" t="n">
        <v>0.242935</v>
      </c>
      <c r="P30" s="44" t="n">
        <v>0.0020499</v>
      </c>
      <c r="Q30" s="44" t="n">
        <v>1.7119</v>
      </c>
      <c r="R30" s="44" t="n">
        <v>0.247582</v>
      </c>
      <c r="S30" s="44" t="n">
        <v>0.0020499</v>
      </c>
      <c r="T30" s="44" t="n">
        <v>1.74241</v>
      </c>
      <c r="U30" s="44" t="n">
        <v>0.247932</v>
      </c>
      <c r="V30" s="44" t="n">
        <v>0.0020499</v>
      </c>
      <c r="W30" s="44" t="n">
        <v>1.71493</v>
      </c>
      <c r="X30" s="44" t="n">
        <v>0.241259</v>
      </c>
      <c r="Y30" s="44" t="n">
        <v>0.0020499</v>
      </c>
      <c r="Z30" s="44" t="n">
        <v>1.74687</v>
      </c>
      <c r="AA30" s="44" t="n">
        <v>0.245487</v>
      </c>
      <c r="AB30" s="44" t="n">
        <v>0.0020499</v>
      </c>
      <c r="AC30" s="44" t="n">
        <v>1.73217</v>
      </c>
      <c r="AD30" s="44" t="n">
        <v>0.241259</v>
      </c>
      <c r="AE30" s="44" t="n">
        <v>0.0020499</v>
      </c>
      <c r="AF30" s="44" t="n">
        <v>1.75939</v>
      </c>
      <c r="AG30" s="44" t="n">
        <v>0.244868</v>
      </c>
      <c r="AH30" s="44" t="n">
        <v>0.0020499</v>
      </c>
      <c r="AI30" s="44" t="n">
        <v>1.73901</v>
      </c>
      <c r="AJ30" s="44" t="n">
        <v>0.239756</v>
      </c>
      <c r="AK30" s="44" t="n">
        <v>0.0020499</v>
      </c>
      <c r="AL30" s="44" t="n">
        <v>1.74176</v>
      </c>
      <c r="AM30" s="44" t="n">
        <v>0.238961</v>
      </c>
      <c r="AN30" s="44" t="n">
        <v>0.0020499</v>
      </c>
      <c r="AO30" s="44" t="n">
        <v>1.8235</v>
      </c>
      <c r="AP30" s="44" t="n">
        <v>0.251382</v>
      </c>
      <c r="AQ30" s="44" t="n">
        <v>0.0020499</v>
      </c>
      <c r="AR30" s="44" t="n">
        <v>1.8025</v>
      </c>
      <c r="AS30" s="44" t="n">
        <v>0.245799</v>
      </c>
      <c r="AT30" s="44" t="n">
        <v>0.0020499</v>
      </c>
      <c r="AU30" s="44" t="n">
        <v>1.75934</v>
      </c>
      <c r="AV30" s="44" t="n">
        <v>0.238114</v>
      </c>
      <c r="AW30" s="44" t="n">
        <v>0.0020499</v>
      </c>
      <c r="AX30" s="44" t="n">
        <v>1.76005</v>
      </c>
      <c r="AY30" s="44" t="n">
        <v>0.237021</v>
      </c>
      <c r="AZ30" s="44" t="n">
        <v>0.0020499</v>
      </c>
      <c r="BA30" s="44" t="n">
        <v>1.8498</v>
      </c>
      <c r="BB30" s="44" t="n">
        <v>0.250119</v>
      </c>
      <c r="BC30" s="44" t="n">
        <v>0.0020499</v>
      </c>
      <c r="BD30" s="44" t="n">
        <v>1.81297</v>
      </c>
      <c r="BE30" s="44" t="n">
        <v>0.242821</v>
      </c>
      <c r="BF30" s="44" t="n">
        <v>0.0020499</v>
      </c>
      <c r="BG30" s="44" t="n">
        <v>1.79957</v>
      </c>
      <c r="BH30" s="44" t="n">
        <v>0.239888</v>
      </c>
      <c r="BI30" s="44" t="n">
        <v>0.0020499</v>
      </c>
      <c r="BJ30" s="44" t="n">
        <v>1.84153</v>
      </c>
      <c r="BK30" s="44" t="n">
        <v>0.245328</v>
      </c>
      <c r="BL30" s="44" t="n">
        <v>0.0020499</v>
      </c>
      <c r="BM30" s="44" t="n">
        <v>1.87129</v>
      </c>
      <c r="BN30" s="44" t="n">
        <v>0.248384</v>
      </c>
      <c r="BO30" s="44" t="n">
        <v>0.0020499</v>
      </c>
      <c r="BP30" s="44" t="n">
        <v>1.83688</v>
      </c>
      <c r="BQ30" s="44" t="n">
        <v>0.241664</v>
      </c>
      <c r="BR30" s="44" t="n">
        <v>0.0020499</v>
      </c>
      <c r="BS30" s="44" t="n">
        <v>1.87431</v>
      </c>
      <c r="BT30" s="44" t="n">
        <v>0.246512</v>
      </c>
      <c r="BU30" s="44" t="n">
        <v>0.0020499</v>
      </c>
      <c r="BV30" s="44" t="n">
        <v>1.92225</v>
      </c>
      <c r="BW30" s="44" t="n">
        <v>0.251472</v>
      </c>
      <c r="BX30" s="44" t="n">
        <v>0.0020499</v>
      </c>
      <c r="BY30" s="44" t="n">
        <v>1.90627</v>
      </c>
      <c r="BZ30" s="44" t="n">
        <v>0.247663</v>
      </c>
      <c r="CA30" s="44" t="n">
        <v>0.0020499</v>
      </c>
      <c r="CB30" s="44" t="n">
        <v>1.85865</v>
      </c>
      <c r="CC30" s="44" t="n">
        <v>0.239319</v>
      </c>
      <c r="CD30" s="44" t="n">
        <v>0.0020499</v>
      </c>
      <c r="CE30" s="44" t="n">
        <v>1.8563</v>
      </c>
      <c r="CF30" s="44" t="n">
        <v>0.237815</v>
      </c>
      <c r="CG30" s="44" t="n">
        <v>0.0020499</v>
      </c>
      <c r="CH30" s="44" t="n">
        <v>1.91611</v>
      </c>
      <c r="CI30" s="44" t="n">
        <v>0.244382</v>
      </c>
      <c r="CJ30" s="44" t="n">
        <v>0.0020499</v>
      </c>
      <c r="CK30" s="44" t="n">
        <v>1.94422</v>
      </c>
      <c r="CL30" s="44" t="n">
        <v>0.247676</v>
      </c>
      <c r="CM30" s="44" t="n">
        <v>0.0020499</v>
      </c>
      <c r="CN30" s="44" t="n">
        <v>1.93421</v>
      </c>
      <c r="CO30" s="44" t="n">
        <v>0.245082</v>
      </c>
      <c r="CP30" s="44" t="n">
        <v>0.0020499</v>
      </c>
      <c r="CQ30" s="44" t="n">
        <v>1.91266</v>
      </c>
      <c r="CR30" s="44" t="n">
        <v>0.24124</v>
      </c>
      <c r="CS30" s="44" t="n">
        <v>0.0020499</v>
      </c>
      <c r="CT30" s="44" t="n">
        <v>1.96836</v>
      </c>
      <c r="CU30" s="44" t="n">
        <v>0.248671</v>
      </c>
      <c r="CV30" s="44" t="n">
        <v>0.0020499</v>
      </c>
      <c r="CW30" s="44" t="n">
        <v>1.89894</v>
      </c>
      <c r="CX30" s="44" t="n">
        <v>0.239359</v>
      </c>
    </row>
    <row collapsed="false" customFormat="false" customHeight="false" hidden="false" ht="12.75" outlineLevel="0" r="31">
      <c r="A31" s="44" t="n">
        <v>0.0021499</v>
      </c>
      <c r="B31" s="44" t="n">
        <v>1.47063</v>
      </c>
      <c r="C31" s="44" t="n">
        <v>0.224758</v>
      </c>
      <c r="D31" s="44" t="n">
        <v>0.0021499</v>
      </c>
      <c r="E31" s="44" t="n">
        <v>1.53122</v>
      </c>
      <c r="F31" s="44" t="n">
        <v>0.231703</v>
      </c>
      <c r="G31" s="44" t="n">
        <v>0.0021499</v>
      </c>
      <c r="H31" s="44" t="n">
        <v>1.54961</v>
      </c>
      <c r="I31" s="44" t="n">
        <v>0.230471</v>
      </c>
      <c r="J31" s="44" t="n">
        <v>0.0021499</v>
      </c>
      <c r="K31" s="44" t="n">
        <v>1.54336</v>
      </c>
      <c r="L31" s="44" t="n">
        <v>0.226139</v>
      </c>
      <c r="M31" s="44" t="n">
        <v>0.0021499</v>
      </c>
      <c r="N31" s="44" t="n">
        <v>1.58952</v>
      </c>
      <c r="O31" s="44" t="n">
        <v>0.229452</v>
      </c>
      <c r="P31" s="44" t="n">
        <v>0.0021499</v>
      </c>
      <c r="Q31" s="44" t="n">
        <v>1.64232</v>
      </c>
      <c r="R31" s="44" t="n">
        <v>0.233833</v>
      </c>
      <c r="S31" s="44" t="n">
        <v>0.0021499</v>
      </c>
      <c r="T31" s="44" t="n">
        <v>1.67108</v>
      </c>
      <c r="U31" s="44" t="n">
        <v>0.234093</v>
      </c>
      <c r="V31" s="44" t="n">
        <v>0.0021499</v>
      </c>
      <c r="W31" s="44" t="n">
        <v>1.64503</v>
      </c>
      <c r="X31" s="44" t="n">
        <v>0.227953</v>
      </c>
      <c r="Y31" s="44" t="n">
        <v>0.0021499</v>
      </c>
      <c r="Z31" s="44" t="n">
        <v>1.67407</v>
      </c>
      <c r="AA31" s="44" t="n">
        <v>0.231865</v>
      </c>
      <c r="AB31" s="44" t="n">
        <v>0.0021499</v>
      </c>
      <c r="AC31" s="44" t="n">
        <v>1.65987</v>
      </c>
      <c r="AD31" s="44" t="n">
        <v>0.227884</v>
      </c>
      <c r="AE31" s="44" t="n">
        <v>0.0021499</v>
      </c>
      <c r="AF31" s="44" t="n">
        <v>1.68523</v>
      </c>
      <c r="AG31" s="44" t="n">
        <v>0.231278</v>
      </c>
      <c r="AH31" s="44" t="n">
        <v>0.0021499</v>
      </c>
      <c r="AI31" s="44" t="n">
        <v>1.66515</v>
      </c>
      <c r="AJ31" s="44" t="n">
        <v>0.226519</v>
      </c>
      <c r="AK31" s="44" t="n">
        <v>0.0021499</v>
      </c>
      <c r="AL31" s="44" t="n">
        <v>1.66671</v>
      </c>
      <c r="AM31" s="44" t="n">
        <v>0.225764</v>
      </c>
      <c r="AN31" s="44" t="n">
        <v>0.0021499</v>
      </c>
      <c r="AO31" s="44" t="n">
        <v>1.7454</v>
      </c>
      <c r="AP31" s="44" t="n">
        <v>0.237402</v>
      </c>
      <c r="AQ31" s="44" t="n">
        <v>0.0021499</v>
      </c>
      <c r="AR31" s="44" t="n">
        <v>1.72388</v>
      </c>
      <c r="AS31" s="44" t="n">
        <v>0.232126</v>
      </c>
      <c r="AT31" s="44" t="n">
        <v>0.0021499</v>
      </c>
      <c r="AU31" s="44" t="n">
        <v>1.68228</v>
      </c>
      <c r="AV31" s="44" t="n">
        <v>0.225056</v>
      </c>
      <c r="AW31" s="44" t="n">
        <v>0.0021499</v>
      </c>
      <c r="AX31" s="44" t="n">
        <v>1.68233</v>
      </c>
      <c r="AY31" s="44" t="n">
        <v>0.223989</v>
      </c>
      <c r="AZ31" s="44" t="n">
        <v>0.0021499</v>
      </c>
      <c r="BA31" s="44" t="n">
        <v>1.76805</v>
      </c>
      <c r="BB31" s="44" t="n">
        <v>0.236217</v>
      </c>
      <c r="BC31" s="44" t="n">
        <v>0.0021499</v>
      </c>
      <c r="BD31" s="44" t="n">
        <v>1.73107</v>
      </c>
      <c r="BE31" s="44" t="n">
        <v>0.229386</v>
      </c>
      <c r="BF31" s="44" t="n">
        <v>0.0021499</v>
      </c>
      <c r="BG31" s="44" t="n">
        <v>1.71792</v>
      </c>
      <c r="BH31" s="44" t="n">
        <v>0.226646</v>
      </c>
      <c r="BI31" s="44" t="n">
        <v>0.0021499</v>
      </c>
      <c r="BJ31" s="44" t="n">
        <v>1.75764</v>
      </c>
      <c r="BK31" s="44" t="n">
        <v>0.231715</v>
      </c>
      <c r="BL31" s="44" t="n">
        <v>0.0021499</v>
      </c>
      <c r="BM31" s="44" t="n">
        <v>1.78543</v>
      </c>
      <c r="BN31" s="44" t="n">
        <v>0.234545</v>
      </c>
      <c r="BO31" s="44" t="n">
        <v>0.0021499</v>
      </c>
      <c r="BP31" s="44" t="n">
        <v>1.75141</v>
      </c>
      <c r="BQ31" s="44" t="n">
        <v>0.228273</v>
      </c>
      <c r="BR31" s="44" t="n">
        <v>0.0021499</v>
      </c>
      <c r="BS31" s="44" t="n">
        <v>1.7871</v>
      </c>
      <c r="BT31" s="44" t="n">
        <v>0.23289</v>
      </c>
      <c r="BU31" s="44" t="n">
        <v>0.0021499</v>
      </c>
      <c r="BV31" s="44" t="n">
        <v>1.83209</v>
      </c>
      <c r="BW31" s="44" t="n">
        <v>0.237488</v>
      </c>
      <c r="BX31" s="44" t="n">
        <v>0.0021499</v>
      </c>
      <c r="BY31" s="44" t="n">
        <v>1.81653</v>
      </c>
      <c r="BZ31" s="44" t="n">
        <v>0.233949</v>
      </c>
      <c r="CA31" s="44" t="n">
        <v>0.0021499</v>
      </c>
      <c r="CB31" s="44" t="n">
        <v>1.76954</v>
      </c>
      <c r="CC31" s="44" t="n">
        <v>0.226092</v>
      </c>
      <c r="CD31" s="44" t="n">
        <v>0.0021499</v>
      </c>
      <c r="CE31" s="44" t="n">
        <v>1.76675</v>
      </c>
      <c r="CF31" s="44" t="n">
        <v>0.224744</v>
      </c>
      <c r="CG31" s="44" t="n">
        <v>0.0021499</v>
      </c>
      <c r="CH31" s="44" t="n">
        <v>1.8224</v>
      </c>
      <c r="CI31" s="44" t="n">
        <v>0.230772</v>
      </c>
      <c r="CJ31" s="44" t="n">
        <v>0.0021499</v>
      </c>
      <c r="CK31" s="44" t="n">
        <v>1.84894</v>
      </c>
      <c r="CL31" s="44" t="n">
        <v>0.233945</v>
      </c>
      <c r="CM31" s="44" t="n">
        <v>0.0021499</v>
      </c>
      <c r="CN31" s="44" t="n">
        <v>1.83757</v>
      </c>
      <c r="CO31" s="44" t="n">
        <v>0.231405</v>
      </c>
      <c r="CP31" s="44" t="n">
        <v>0.0021499</v>
      </c>
      <c r="CQ31" s="44" t="n">
        <v>1.81619</v>
      </c>
      <c r="CR31" s="44" t="n">
        <v>0.22785</v>
      </c>
      <c r="CS31" s="44" t="n">
        <v>0.0021499</v>
      </c>
      <c r="CT31" s="44" t="n">
        <v>1.86975</v>
      </c>
      <c r="CU31" s="44" t="n">
        <v>0.234869</v>
      </c>
      <c r="CV31" s="44" t="n">
        <v>0.0021499</v>
      </c>
      <c r="CW31" s="44" t="n">
        <v>1.8014</v>
      </c>
      <c r="CX31" s="44" t="n">
        <v>0.226083</v>
      </c>
    </row>
    <row collapsed="false" customFormat="false" customHeight="false" hidden="false" ht="12.75" outlineLevel="0" r="32">
      <c r="A32" s="44" t="n">
        <v>0.0022499</v>
      </c>
      <c r="B32" s="44" t="n">
        <v>1.41022</v>
      </c>
      <c r="C32" s="44" t="n">
        <v>0.21237</v>
      </c>
      <c r="D32" s="44" t="n">
        <v>0.0022499</v>
      </c>
      <c r="E32" s="44" t="n">
        <v>1.46868</v>
      </c>
      <c r="F32" s="44" t="n">
        <v>0.218893</v>
      </c>
      <c r="G32" s="44" t="n">
        <v>0.0022499</v>
      </c>
      <c r="H32" s="44" t="n">
        <v>1.48591</v>
      </c>
      <c r="I32" s="44" t="n">
        <v>0.21777</v>
      </c>
      <c r="J32" s="44" t="n">
        <v>0.0022499</v>
      </c>
      <c r="K32" s="44" t="n">
        <v>1.47911</v>
      </c>
      <c r="L32" s="44" t="n">
        <v>0.213654</v>
      </c>
      <c r="M32" s="44" t="n">
        <v>0.0022499</v>
      </c>
      <c r="N32" s="44" t="n">
        <v>1.52332</v>
      </c>
      <c r="O32" s="44" t="n">
        <v>0.216795</v>
      </c>
      <c r="P32" s="44" t="n">
        <v>0.0022499</v>
      </c>
      <c r="Q32" s="44" t="n">
        <v>1.57451</v>
      </c>
      <c r="R32" s="44" t="n">
        <v>0.22098</v>
      </c>
      <c r="S32" s="44" t="n">
        <v>0.0022499</v>
      </c>
      <c r="T32" s="44" t="n">
        <v>1.60192</v>
      </c>
      <c r="U32" s="44" t="n">
        <v>0.22118</v>
      </c>
      <c r="V32" s="44" t="n">
        <v>0.0022499</v>
      </c>
      <c r="W32" s="44" t="n">
        <v>1.57597</v>
      </c>
      <c r="X32" s="44" t="n">
        <v>0.215489</v>
      </c>
      <c r="Y32" s="44" t="n">
        <v>0.0022499</v>
      </c>
      <c r="Z32" s="44" t="n">
        <v>1.60365</v>
      </c>
      <c r="AA32" s="44" t="n">
        <v>0.219067</v>
      </c>
      <c r="AB32" s="44" t="n">
        <v>0.0022499</v>
      </c>
      <c r="AC32" s="44" t="n">
        <v>1.58897</v>
      </c>
      <c r="AD32" s="44" t="n">
        <v>0.215386</v>
      </c>
      <c r="AE32" s="44" t="n">
        <v>0.0022499</v>
      </c>
      <c r="AF32" s="44" t="n">
        <v>1.61343</v>
      </c>
      <c r="AG32" s="44" t="n">
        <v>0.218528</v>
      </c>
      <c r="AH32" s="44" t="n">
        <v>0.0022499</v>
      </c>
      <c r="AI32" s="44" t="n">
        <v>1.59346</v>
      </c>
      <c r="AJ32" s="44" t="n">
        <v>0.214087</v>
      </c>
      <c r="AK32" s="44" t="n">
        <v>0.0022499</v>
      </c>
      <c r="AL32" s="44" t="n">
        <v>1.59449</v>
      </c>
      <c r="AM32" s="44" t="n">
        <v>0.213405</v>
      </c>
      <c r="AN32" s="44" t="n">
        <v>0.0022499</v>
      </c>
      <c r="AO32" s="44" t="n">
        <v>1.66968</v>
      </c>
      <c r="AP32" s="44" t="n">
        <v>0.22429</v>
      </c>
      <c r="AQ32" s="44" t="n">
        <v>0.0022499</v>
      </c>
      <c r="AR32" s="44" t="n">
        <v>1.64786</v>
      </c>
      <c r="AS32" s="44" t="n">
        <v>0.219324</v>
      </c>
      <c r="AT32" s="44" t="n">
        <v>0.0022499</v>
      </c>
      <c r="AU32" s="44" t="n">
        <v>1.60754</v>
      </c>
      <c r="AV32" s="44" t="n">
        <v>0.212794</v>
      </c>
      <c r="AW32" s="44" t="n">
        <v>0.0022499</v>
      </c>
      <c r="AX32" s="44" t="n">
        <v>1.60673</v>
      </c>
      <c r="AY32" s="44" t="n">
        <v>0.211751</v>
      </c>
      <c r="AZ32" s="44" t="n">
        <v>0.0022499</v>
      </c>
      <c r="BA32" s="44" t="n">
        <v>1.68871</v>
      </c>
      <c r="BB32" s="44" t="n">
        <v>0.22317</v>
      </c>
      <c r="BC32" s="44" t="n">
        <v>0.0022499</v>
      </c>
      <c r="BD32" s="44" t="n">
        <v>1.65216</v>
      </c>
      <c r="BE32" s="44" t="n">
        <v>0.21677</v>
      </c>
      <c r="BF32" s="44" t="n">
        <v>0.0022499</v>
      </c>
      <c r="BG32" s="44" t="n">
        <v>1.63916</v>
      </c>
      <c r="BH32" s="44" t="n">
        <v>0.214208</v>
      </c>
      <c r="BI32" s="44" t="n">
        <v>0.0022499</v>
      </c>
      <c r="BJ32" s="44" t="n">
        <v>1.67613</v>
      </c>
      <c r="BK32" s="44" t="n">
        <v>0.218972</v>
      </c>
      <c r="BL32" s="44" t="n">
        <v>0.0022499</v>
      </c>
      <c r="BM32" s="44" t="n">
        <v>1.70253</v>
      </c>
      <c r="BN32" s="44" t="n">
        <v>0.221641</v>
      </c>
      <c r="BO32" s="44" t="n">
        <v>0.0022499</v>
      </c>
      <c r="BP32" s="44" t="n">
        <v>1.6693</v>
      </c>
      <c r="BQ32" s="44" t="n">
        <v>0.215735</v>
      </c>
      <c r="BR32" s="44" t="n">
        <v>0.0022499</v>
      </c>
      <c r="BS32" s="44" t="n">
        <v>1.70328</v>
      </c>
      <c r="BT32" s="44" t="n">
        <v>0.220127</v>
      </c>
      <c r="BU32" s="44" t="n">
        <v>0.0022499</v>
      </c>
      <c r="BV32" s="44" t="n">
        <v>1.74534</v>
      </c>
      <c r="BW32" s="44" t="n">
        <v>0.224383</v>
      </c>
      <c r="BX32" s="44" t="n">
        <v>0.0022499</v>
      </c>
      <c r="BY32" s="44" t="n">
        <v>1.72963</v>
      </c>
      <c r="BZ32" s="44" t="n">
        <v>0.221076</v>
      </c>
      <c r="CA32" s="44" t="n">
        <v>0.0022499</v>
      </c>
      <c r="CB32" s="44" t="n">
        <v>1.68354</v>
      </c>
      <c r="CC32" s="44" t="n">
        <v>0.213674</v>
      </c>
      <c r="CD32" s="44" t="n">
        <v>0.0022499</v>
      </c>
      <c r="CE32" s="44" t="n">
        <v>1.68045</v>
      </c>
      <c r="CF32" s="44" t="n">
        <v>0.212449</v>
      </c>
      <c r="CG32" s="44" t="n">
        <v>0.0022499</v>
      </c>
      <c r="CH32" s="44" t="n">
        <v>1.73223</v>
      </c>
      <c r="CI32" s="44" t="n">
        <v>0.218058</v>
      </c>
      <c r="CJ32" s="44" t="n">
        <v>0.0022499</v>
      </c>
      <c r="CK32" s="44" t="n">
        <v>1.75741</v>
      </c>
      <c r="CL32" s="44" t="n">
        <v>0.221089</v>
      </c>
      <c r="CM32" s="44" t="n">
        <v>0.0022499</v>
      </c>
      <c r="CN32" s="44" t="n">
        <v>1.74523</v>
      </c>
      <c r="CO32" s="44" t="n">
        <v>0.218637</v>
      </c>
      <c r="CP32" s="44" t="n">
        <v>0.0022499</v>
      </c>
      <c r="CQ32" s="44" t="n">
        <v>1.72376</v>
      </c>
      <c r="CR32" s="44" t="n">
        <v>0.215307</v>
      </c>
      <c r="CS32" s="44" t="n">
        <v>0.0022499</v>
      </c>
      <c r="CT32" s="44" t="n">
        <v>1.77484</v>
      </c>
      <c r="CU32" s="44" t="n">
        <v>0.221946</v>
      </c>
      <c r="CV32" s="44" t="n">
        <v>0.0022499</v>
      </c>
      <c r="CW32" s="44" t="n">
        <v>1.70771</v>
      </c>
      <c r="CX32" s="44" t="n">
        <v>0.213593</v>
      </c>
    </row>
    <row collapsed="false" customFormat="false" customHeight="false" hidden="false" ht="12.75" outlineLevel="0" r="33">
      <c r="A33" s="44" t="n">
        <v>0.0023499</v>
      </c>
      <c r="B33" s="44" t="n">
        <v>1.35285</v>
      </c>
      <c r="C33" s="44" t="n">
        <v>0.200738</v>
      </c>
      <c r="D33" s="44" t="n">
        <v>0.0023499</v>
      </c>
      <c r="E33" s="44" t="n">
        <v>1.40777</v>
      </c>
      <c r="F33" s="44" t="n">
        <v>0.206794</v>
      </c>
      <c r="G33" s="44" t="n">
        <v>0.0023499</v>
      </c>
      <c r="H33" s="44" t="n">
        <v>1.4238</v>
      </c>
      <c r="I33" s="44" t="n">
        <v>0.205741</v>
      </c>
      <c r="J33" s="44" t="n">
        <v>0.0023499</v>
      </c>
      <c r="K33" s="44" t="n">
        <v>1.41701</v>
      </c>
      <c r="L33" s="44" t="n">
        <v>0.201897</v>
      </c>
      <c r="M33" s="44" t="n">
        <v>0.0023499</v>
      </c>
      <c r="N33" s="44" t="n">
        <v>1.45909</v>
      </c>
      <c r="O33" s="44" t="n">
        <v>0.204855</v>
      </c>
      <c r="P33" s="44" t="n">
        <v>0.0023499</v>
      </c>
      <c r="Q33" s="44" t="n">
        <v>1.5087</v>
      </c>
      <c r="R33" s="44" t="n">
        <v>0.208818</v>
      </c>
      <c r="S33" s="44" t="n">
        <v>0.0023499</v>
      </c>
      <c r="T33" s="44" t="n">
        <v>1.53466</v>
      </c>
      <c r="U33" s="44" t="n">
        <v>0.208951</v>
      </c>
      <c r="V33" s="44" t="n">
        <v>0.0023499</v>
      </c>
      <c r="W33" s="44" t="n">
        <v>1.5092</v>
      </c>
      <c r="X33" s="44" t="n">
        <v>0.203623</v>
      </c>
      <c r="Y33" s="44" t="n">
        <v>0.0023499</v>
      </c>
      <c r="Z33" s="44" t="n">
        <v>1.53536</v>
      </c>
      <c r="AA33" s="44" t="n">
        <v>0.207029</v>
      </c>
      <c r="AB33" s="44" t="n">
        <v>0.0023499</v>
      </c>
      <c r="AC33" s="44" t="n">
        <v>1.52106</v>
      </c>
      <c r="AD33" s="44" t="n">
        <v>0.203514</v>
      </c>
      <c r="AE33" s="44" t="n">
        <v>0.0023499</v>
      </c>
      <c r="AF33" s="44" t="n">
        <v>1.54346</v>
      </c>
      <c r="AG33" s="44" t="n">
        <v>0.206519</v>
      </c>
      <c r="AH33" s="44" t="n">
        <v>0.0023499</v>
      </c>
      <c r="AI33" s="44" t="n">
        <v>1.52345</v>
      </c>
      <c r="AJ33" s="44" t="n">
        <v>0.202333</v>
      </c>
      <c r="AK33" s="44" t="n">
        <v>0.0023499</v>
      </c>
      <c r="AL33" s="44" t="n">
        <v>1.52418</v>
      </c>
      <c r="AM33" s="44" t="n">
        <v>0.201688</v>
      </c>
      <c r="AN33" s="44" t="n">
        <v>0.0023499</v>
      </c>
      <c r="AO33" s="44" t="n">
        <v>1.59597</v>
      </c>
      <c r="AP33" s="44" t="n">
        <v>0.211936</v>
      </c>
      <c r="AQ33" s="44" t="n">
        <v>0.0023499</v>
      </c>
      <c r="AR33" s="44" t="n">
        <v>1.57379</v>
      </c>
      <c r="AS33" s="44" t="n">
        <v>0.207205</v>
      </c>
      <c r="AT33" s="44" t="n">
        <v>0.0023499</v>
      </c>
      <c r="AU33" s="44" t="n">
        <v>1.53549</v>
      </c>
      <c r="AV33" s="44" t="n">
        <v>0.201174</v>
      </c>
      <c r="AW33" s="44" t="n">
        <v>0.0023499</v>
      </c>
      <c r="AX33" s="44" t="n">
        <v>1.53386</v>
      </c>
      <c r="AY33" s="44" t="n">
        <v>0.200146</v>
      </c>
      <c r="AZ33" s="44" t="n">
        <v>0.0023499</v>
      </c>
      <c r="BA33" s="44" t="n">
        <v>1.6115</v>
      </c>
      <c r="BB33" s="44" t="n">
        <v>0.210861</v>
      </c>
      <c r="BC33" s="44" t="n">
        <v>0.0023499</v>
      </c>
      <c r="BD33" s="44" t="n">
        <v>1.57639</v>
      </c>
      <c r="BE33" s="44" t="n">
        <v>0.204836</v>
      </c>
      <c r="BF33" s="44" t="n">
        <v>0.0023499</v>
      </c>
      <c r="BG33" s="44" t="n">
        <v>1.56303</v>
      </c>
      <c r="BH33" s="44" t="n">
        <v>0.202465</v>
      </c>
      <c r="BI33" s="44" t="n">
        <v>0.0023499</v>
      </c>
      <c r="BJ33" s="44" t="n">
        <v>1.59783</v>
      </c>
      <c r="BK33" s="44" t="n">
        <v>0.206923</v>
      </c>
      <c r="BL33" s="44" t="n">
        <v>0.0023499</v>
      </c>
      <c r="BM33" s="44" t="n">
        <v>1.62248</v>
      </c>
      <c r="BN33" s="44" t="n">
        <v>0.20944</v>
      </c>
      <c r="BO33" s="44" t="n">
        <v>0.0023499</v>
      </c>
      <c r="BP33" s="44" t="n">
        <v>1.58997</v>
      </c>
      <c r="BQ33" s="44" t="n">
        <v>0.203896</v>
      </c>
      <c r="BR33" s="44" t="n">
        <v>0.0023499</v>
      </c>
      <c r="BS33" s="44" t="n">
        <v>1.62202</v>
      </c>
      <c r="BT33" s="44" t="n">
        <v>0.208061</v>
      </c>
      <c r="BU33" s="44" t="n">
        <v>0.0023499</v>
      </c>
      <c r="BV33" s="44" t="n">
        <v>1.66123</v>
      </c>
      <c r="BW33" s="44" t="n">
        <v>0.212022</v>
      </c>
      <c r="BX33" s="44" t="n">
        <v>0.0023499</v>
      </c>
      <c r="BY33" s="44" t="n">
        <v>1.64602</v>
      </c>
      <c r="BZ33" s="44" t="n">
        <v>0.208921</v>
      </c>
      <c r="CA33" s="44" t="n">
        <v>0.0023499</v>
      </c>
      <c r="CB33" s="44" t="n">
        <v>1.60082</v>
      </c>
      <c r="CC33" s="44" t="n">
        <v>0.201928</v>
      </c>
      <c r="CD33" s="44" t="n">
        <v>0.0023499</v>
      </c>
      <c r="CE33" s="44" t="n">
        <v>1.59724</v>
      </c>
      <c r="CF33" s="44" t="n">
        <v>0.200823</v>
      </c>
      <c r="CG33" s="44" t="n">
        <v>0.0023499</v>
      </c>
      <c r="CH33" s="44" t="n">
        <v>1.64565</v>
      </c>
      <c r="CI33" s="44" t="n">
        <v>0.206061</v>
      </c>
      <c r="CJ33" s="44" t="n">
        <v>0.0023499</v>
      </c>
      <c r="CK33" s="44" t="n">
        <v>1.66935</v>
      </c>
      <c r="CL33" s="44" t="n">
        <v>0.208922</v>
      </c>
      <c r="CM33" s="44" t="n">
        <v>0.0023499</v>
      </c>
      <c r="CN33" s="44" t="n">
        <v>1.65688</v>
      </c>
      <c r="CO33" s="44" t="n">
        <v>0.206537</v>
      </c>
      <c r="CP33" s="44" t="n">
        <v>0.0023499</v>
      </c>
      <c r="CQ33" s="44" t="n">
        <v>1.6355</v>
      </c>
      <c r="CR33" s="44" t="n">
        <v>0.203421</v>
      </c>
      <c r="CS33" s="44" t="n">
        <v>0.0023499</v>
      </c>
      <c r="CT33" s="44" t="n">
        <v>1.68404</v>
      </c>
      <c r="CU33" s="44" t="n">
        <v>0.209717</v>
      </c>
      <c r="CV33" s="44" t="n">
        <v>0.0023499</v>
      </c>
      <c r="CW33" s="44" t="n">
        <v>1.61797</v>
      </c>
      <c r="CX33" s="44" t="n">
        <v>0.201816</v>
      </c>
    </row>
    <row collapsed="false" customFormat="false" customHeight="false" hidden="false" ht="12.75" outlineLevel="0" r="34">
      <c r="A34" s="44" t="n">
        <v>0.0024499</v>
      </c>
      <c r="B34" s="44" t="n">
        <v>1.2964</v>
      </c>
      <c r="C34" s="44" t="n">
        <v>0.189815</v>
      </c>
      <c r="D34" s="44" t="n">
        <v>0.0024499</v>
      </c>
      <c r="E34" s="44" t="n">
        <v>1.34924</v>
      </c>
      <c r="F34" s="44" t="n">
        <v>0.195482</v>
      </c>
      <c r="G34" s="44" t="n">
        <v>0.0024499</v>
      </c>
      <c r="H34" s="44" t="n">
        <v>1.3637</v>
      </c>
      <c r="I34" s="44" t="n">
        <v>0.194464</v>
      </c>
      <c r="J34" s="44" t="n">
        <v>0.0024499</v>
      </c>
      <c r="K34" s="44" t="n">
        <v>1.35734</v>
      </c>
      <c r="L34" s="44" t="n">
        <v>0.190876</v>
      </c>
      <c r="M34" s="44" t="n">
        <v>0.0024499</v>
      </c>
      <c r="N34" s="44" t="n">
        <v>1.39757</v>
      </c>
      <c r="O34" s="44" t="n">
        <v>0.193667</v>
      </c>
      <c r="P34" s="44" t="n">
        <v>0.0024499</v>
      </c>
      <c r="Q34" s="44" t="n">
        <v>1.44484</v>
      </c>
      <c r="R34" s="44" t="n">
        <v>0.19741</v>
      </c>
      <c r="S34" s="44" t="n">
        <v>0.0024499</v>
      </c>
      <c r="T34" s="44" t="n">
        <v>1.4691</v>
      </c>
      <c r="U34" s="44" t="n">
        <v>0.197496</v>
      </c>
      <c r="V34" s="44" t="n">
        <v>0.0024499</v>
      </c>
      <c r="W34" s="44" t="n">
        <v>1.44485</v>
      </c>
      <c r="X34" s="44" t="n">
        <v>0.192623</v>
      </c>
      <c r="Y34" s="44" t="n">
        <v>0.0024499</v>
      </c>
      <c r="Z34" s="44" t="n">
        <v>1.46869</v>
      </c>
      <c r="AA34" s="44" t="n">
        <v>0.195695</v>
      </c>
      <c r="AB34" s="44" t="n">
        <v>0.0024499</v>
      </c>
      <c r="AC34" s="44" t="n">
        <v>1.45457</v>
      </c>
      <c r="AD34" s="44" t="n">
        <v>0.192443</v>
      </c>
      <c r="AE34" s="44" t="n">
        <v>0.0024499</v>
      </c>
      <c r="AF34" s="44" t="n">
        <v>1.47613</v>
      </c>
      <c r="AG34" s="44" t="n">
        <v>0.195225</v>
      </c>
      <c r="AH34" s="44" t="n">
        <v>0.0024499</v>
      </c>
      <c r="AI34" s="44" t="n">
        <v>1.45605</v>
      </c>
      <c r="AJ34" s="44" t="n">
        <v>0.19135</v>
      </c>
      <c r="AK34" s="44" t="n">
        <v>0.0024499</v>
      </c>
      <c r="AL34" s="44" t="n">
        <v>1.45628</v>
      </c>
      <c r="AM34" s="44" t="n">
        <v>0.190778</v>
      </c>
      <c r="AN34" s="44" t="n">
        <v>0.0024499</v>
      </c>
      <c r="AO34" s="44" t="n">
        <v>1.52478</v>
      </c>
      <c r="AP34" s="44" t="n">
        <v>0.200279</v>
      </c>
      <c r="AQ34" s="44" t="n">
        <v>0.0024499</v>
      </c>
      <c r="AR34" s="44" t="n">
        <v>1.50285</v>
      </c>
      <c r="AS34" s="44" t="n">
        <v>0.195862</v>
      </c>
      <c r="AT34" s="44" t="n">
        <v>0.0024499</v>
      </c>
      <c r="AU34" s="44" t="n">
        <v>1.46588</v>
      </c>
      <c r="AV34" s="44" t="n">
        <v>0.190359</v>
      </c>
      <c r="AW34" s="44" t="n">
        <v>0.0024499</v>
      </c>
      <c r="AX34" s="44" t="n">
        <v>1.46327</v>
      </c>
      <c r="AY34" s="44" t="n">
        <v>0.189295</v>
      </c>
      <c r="AZ34" s="44" t="n">
        <v>0.0024499</v>
      </c>
      <c r="BA34" s="44" t="n">
        <v>1.53753</v>
      </c>
      <c r="BB34" s="44" t="n">
        <v>0.199307</v>
      </c>
      <c r="BC34" s="44" t="n">
        <v>0.0024499</v>
      </c>
      <c r="BD34" s="44" t="n">
        <v>1.50265</v>
      </c>
      <c r="BE34" s="44" t="n">
        <v>0.193666</v>
      </c>
      <c r="BF34" s="44" t="n">
        <v>0.0024499</v>
      </c>
      <c r="BG34" s="44" t="n">
        <v>1.48942</v>
      </c>
      <c r="BH34" s="44" t="n">
        <v>0.191485</v>
      </c>
      <c r="BI34" s="44" t="n">
        <v>0.0024499</v>
      </c>
      <c r="BJ34" s="44" t="n">
        <v>1.52202</v>
      </c>
      <c r="BK34" s="44" t="n">
        <v>0.195645</v>
      </c>
      <c r="BL34" s="44" t="n">
        <v>0.0024499</v>
      </c>
      <c r="BM34" s="44" t="n">
        <v>1.54538</v>
      </c>
      <c r="BN34" s="44" t="n">
        <v>0.197972</v>
      </c>
      <c r="BO34" s="44" t="n">
        <v>0.0024499</v>
      </c>
      <c r="BP34" s="44" t="n">
        <v>1.51338</v>
      </c>
      <c r="BQ34" s="44" t="n">
        <v>0.192767</v>
      </c>
      <c r="BR34" s="44" t="n">
        <v>0.0024499</v>
      </c>
      <c r="BS34" s="44" t="n">
        <v>1.54441</v>
      </c>
      <c r="BT34" s="44" t="n">
        <v>0.196717</v>
      </c>
      <c r="BU34" s="44" t="n">
        <v>0.0024499</v>
      </c>
      <c r="BV34" s="44" t="n">
        <v>1.58037</v>
      </c>
      <c r="BW34" s="44" t="n">
        <v>0.200373</v>
      </c>
      <c r="BX34" s="44" t="n">
        <v>0.0024499</v>
      </c>
      <c r="BY34" s="44" t="n">
        <v>1.56558</v>
      </c>
      <c r="BZ34" s="44" t="n">
        <v>0.197518</v>
      </c>
      <c r="CA34" s="44" t="n">
        <v>0.0024499</v>
      </c>
      <c r="CB34" s="44" t="n">
        <v>1.52116</v>
      </c>
      <c r="CC34" s="44" t="n">
        <v>0.19098</v>
      </c>
      <c r="CD34" s="44" t="n">
        <v>0.0024499</v>
      </c>
      <c r="CE34" s="44" t="n">
        <v>1.51734</v>
      </c>
      <c r="CF34" s="44" t="n">
        <v>0.189945</v>
      </c>
      <c r="CG34" s="44" t="n">
        <v>0.0024499</v>
      </c>
      <c r="CH34" s="44" t="n">
        <v>1.56272</v>
      </c>
      <c r="CI34" s="44" t="n">
        <v>0.194799</v>
      </c>
      <c r="CJ34" s="44" t="n">
        <v>0.0024499</v>
      </c>
      <c r="CK34" s="44" t="n">
        <v>1.5856</v>
      </c>
      <c r="CL34" s="44" t="n">
        <v>0.197514</v>
      </c>
      <c r="CM34" s="44" t="n">
        <v>0.0024499</v>
      </c>
      <c r="CN34" s="44" t="n">
        <v>1.57156</v>
      </c>
      <c r="CO34" s="44" t="n">
        <v>0.195212</v>
      </c>
      <c r="CP34" s="44" t="n">
        <v>0.0024499</v>
      </c>
      <c r="CQ34" s="44" t="n">
        <v>1.55089</v>
      </c>
      <c r="CR34" s="44" t="n">
        <v>0.192328</v>
      </c>
      <c r="CS34" s="44" t="n">
        <v>0.0024499</v>
      </c>
      <c r="CT34" s="44" t="n">
        <v>1.59631</v>
      </c>
      <c r="CU34" s="44" t="n">
        <v>0.198284</v>
      </c>
      <c r="CV34" s="44" t="n">
        <v>0.0024499</v>
      </c>
      <c r="CW34" s="44" t="n">
        <v>1.53225</v>
      </c>
      <c r="CX34" s="44" t="n">
        <v>0.190824</v>
      </c>
    </row>
    <row collapsed="false" customFormat="false" customHeight="false" hidden="false" ht="12.75" outlineLevel="0" r="35">
      <c r="A35" s="44" t="n">
        <v>0.0025499</v>
      </c>
      <c r="B35" s="44" t="n">
        <v>1.24112</v>
      </c>
      <c r="C35" s="44" t="n">
        <v>0.179576</v>
      </c>
      <c r="D35" s="44" t="n">
        <v>0.0025499</v>
      </c>
      <c r="E35" s="44" t="n">
        <v>1.29209</v>
      </c>
      <c r="F35" s="44" t="n">
        <v>0.184897</v>
      </c>
      <c r="G35" s="44" t="n">
        <v>0.0025499</v>
      </c>
      <c r="H35" s="44" t="n">
        <v>1.30546</v>
      </c>
      <c r="I35" s="44" t="n">
        <v>0.1839</v>
      </c>
      <c r="J35" s="44" t="n">
        <v>0.0025499</v>
      </c>
      <c r="K35" s="44" t="n">
        <v>1.29895</v>
      </c>
      <c r="L35" s="44" t="n">
        <v>0.180536</v>
      </c>
      <c r="M35" s="44" t="n">
        <v>0.0025499</v>
      </c>
      <c r="N35" s="44" t="n">
        <v>1.33772</v>
      </c>
      <c r="O35" s="44" t="n">
        <v>0.183168</v>
      </c>
      <c r="P35" s="44" t="n">
        <v>0.0025499</v>
      </c>
      <c r="Q35" s="44" t="n">
        <v>1.38354</v>
      </c>
      <c r="R35" s="44" t="n">
        <v>0.186719</v>
      </c>
      <c r="S35" s="44" t="n">
        <v>0.0025499</v>
      </c>
      <c r="T35" s="44" t="n">
        <v>1.40586</v>
      </c>
      <c r="U35" s="44" t="n">
        <v>0.186749</v>
      </c>
      <c r="V35" s="44" t="n">
        <v>0.0025499</v>
      </c>
      <c r="W35" s="44" t="n">
        <v>1.38267</v>
      </c>
      <c r="X35" s="44" t="n">
        <v>0.182259</v>
      </c>
      <c r="Y35" s="44" t="n">
        <v>0.0025499</v>
      </c>
      <c r="Z35" s="44" t="n">
        <v>1.40518</v>
      </c>
      <c r="AA35" s="44" t="n">
        <v>0.185099</v>
      </c>
      <c r="AB35" s="44" t="n">
        <v>0.0025499</v>
      </c>
      <c r="AC35" s="44" t="n">
        <v>1.39092</v>
      </c>
      <c r="AD35" s="44" t="n">
        <v>0.182011</v>
      </c>
      <c r="AE35" s="44" t="n">
        <v>0.0025499</v>
      </c>
      <c r="AF35" s="44" t="n">
        <v>1.41031</v>
      </c>
      <c r="AG35" s="44" t="n">
        <v>0.184653</v>
      </c>
      <c r="AH35" s="44" t="n">
        <v>0.0025499</v>
      </c>
      <c r="AI35" s="44" t="n">
        <v>1.39111</v>
      </c>
      <c r="AJ35" s="44" t="n">
        <v>0.181007</v>
      </c>
      <c r="AK35" s="44" t="n">
        <v>0.0025499</v>
      </c>
      <c r="AL35" s="44" t="n">
        <v>1.39132</v>
      </c>
      <c r="AM35" s="44" t="n">
        <v>0.180471</v>
      </c>
      <c r="AN35" s="44" t="n">
        <v>0.0025499</v>
      </c>
      <c r="AO35" s="44" t="n">
        <v>1.45593</v>
      </c>
      <c r="AP35" s="44" t="n">
        <v>0.189424</v>
      </c>
      <c r="AQ35" s="44" t="n">
        <v>0.0025499</v>
      </c>
      <c r="AR35" s="44" t="n">
        <v>1.43415</v>
      </c>
      <c r="AS35" s="44" t="n">
        <v>0.18527</v>
      </c>
      <c r="AT35" s="44" t="n">
        <v>0.0025499</v>
      </c>
      <c r="AU35" s="44" t="n">
        <v>1.39885</v>
      </c>
      <c r="AV35" s="44" t="n">
        <v>0.180106</v>
      </c>
      <c r="AW35" s="44" t="n">
        <v>0.0025499</v>
      </c>
      <c r="AX35" s="44" t="n">
        <v>1.39604</v>
      </c>
      <c r="AY35" s="44" t="n">
        <v>0.179104</v>
      </c>
      <c r="AZ35" s="44" t="n">
        <v>0.0025499</v>
      </c>
      <c r="BA35" s="44" t="n">
        <v>1.46583</v>
      </c>
      <c r="BB35" s="44" t="n">
        <v>0.18851</v>
      </c>
      <c r="BC35" s="44" t="n">
        <v>0.0025499</v>
      </c>
      <c r="BD35" s="44" t="n">
        <v>1.43198</v>
      </c>
      <c r="BE35" s="44" t="n">
        <v>0.18315</v>
      </c>
      <c r="BF35" s="44" t="n">
        <v>0.0025499</v>
      </c>
      <c r="BG35" s="44" t="n">
        <v>1.41865</v>
      </c>
      <c r="BH35" s="44" t="n">
        <v>0.181158</v>
      </c>
      <c r="BI35" s="44" t="n">
        <v>0.0025499</v>
      </c>
      <c r="BJ35" s="44" t="n">
        <v>1.44916</v>
      </c>
      <c r="BK35" s="44" t="n">
        <v>0.185051</v>
      </c>
      <c r="BL35" s="44" t="n">
        <v>0.0025499</v>
      </c>
      <c r="BM35" s="44" t="n">
        <v>1.47144</v>
      </c>
      <c r="BN35" s="44" t="n">
        <v>0.187224</v>
      </c>
      <c r="BO35" s="44" t="n">
        <v>0.0025499</v>
      </c>
      <c r="BP35" s="44" t="n">
        <v>1.4397</v>
      </c>
      <c r="BQ35" s="44" t="n">
        <v>0.182365</v>
      </c>
      <c r="BR35" s="44" t="n">
        <v>0.0025499</v>
      </c>
      <c r="BS35" s="44" t="n">
        <v>1.46877</v>
      </c>
      <c r="BT35" s="44" t="n">
        <v>0.186099</v>
      </c>
      <c r="BU35" s="44" t="n">
        <v>0.0025499</v>
      </c>
      <c r="BV35" s="44" t="n">
        <v>1.50293</v>
      </c>
      <c r="BW35" s="44" t="n">
        <v>0.189496</v>
      </c>
      <c r="BX35" s="44" t="n">
        <v>0.0025499</v>
      </c>
      <c r="BY35" s="44" t="n">
        <v>1.48756</v>
      </c>
      <c r="BZ35" s="44" t="n">
        <v>0.18678</v>
      </c>
      <c r="CA35" s="44" t="n">
        <v>0.0025499</v>
      </c>
      <c r="CB35" s="44" t="n">
        <v>1.44512</v>
      </c>
      <c r="CC35" s="44" t="n">
        <v>0.180665</v>
      </c>
      <c r="CD35" s="44" t="n">
        <v>0.0025499</v>
      </c>
      <c r="CE35" s="44" t="n">
        <v>1.44121</v>
      </c>
      <c r="CF35" s="44" t="n">
        <v>0.179721</v>
      </c>
      <c r="CG35" s="44" t="n">
        <v>0.0025499</v>
      </c>
      <c r="CH35" s="44" t="n">
        <v>1.4833</v>
      </c>
      <c r="CI35" s="44" t="n">
        <v>0.184237</v>
      </c>
      <c r="CJ35" s="44" t="n">
        <v>0.0025499</v>
      </c>
      <c r="CK35" s="44" t="n">
        <v>1.50455</v>
      </c>
      <c r="CL35" s="44" t="n">
        <v>0.186827</v>
      </c>
      <c r="CM35" s="44" t="n">
        <v>0.0025499</v>
      </c>
      <c r="CN35" s="44" t="n">
        <v>1.4902</v>
      </c>
      <c r="CO35" s="44" t="n">
        <v>0.184597</v>
      </c>
      <c r="CP35" s="44" t="n">
        <v>0.0025499</v>
      </c>
      <c r="CQ35" s="44" t="n">
        <v>1.46971</v>
      </c>
      <c r="CR35" s="44" t="n">
        <v>0.181905</v>
      </c>
      <c r="CS35" s="44" t="n">
        <v>0.0025499</v>
      </c>
      <c r="CT35" s="44" t="n">
        <v>1.51254</v>
      </c>
      <c r="CU35" s="44" t="n">
        <v>0.18751</v>
      </c>
      <c r="CV35" s="44" t="n">
        <v>0.0025499</v>
      </c>
      <c r="CW35" s="44" t="n">
        <v>1.45035</v>
      </c>
      <c r="CX35" s="44" t="n">
        <v>0.180481</v>
      </c>
    </row>
    <row collapsed="false" customFormat="false" customHeight="false" hidden="false" ht="12.75" outlineLevel="0" r="36">
      <c r="A36" s="44" t="n">
        <v>0.0026499</v>
      </c>
      <c r="B36" s="44" t="n">
        <v>1.18819</v>
      </c>
      <c r="C36" s="44" t="n">
        <v>0.169937</v>
      </c>
      <c r="D36" s="44" t="n">
        <v>0.0026499</v>
      </c>
      <c r="E36" s="44" t="n">
        <v>1.2364</v>
      </c>
      <c r="F36" s="44" t="n">
        <v>0.174894</v>
      </c>
      <c r="G36" s="44" t="n">
        <v>0.0026499</v>
      </c>
      <c r="H36" s="44" t="n">
        <v>1.24903</v>
      </c>
      <c r="I36" s="44" t="n">
        <v>0.173961</v>
      </c>
      <c r="J36" s="44" t="n">
        <v>0.0026499</v>
      </c>
      <c r="K36" s="44" t="n">
        <v>1.24252</v>
      </c>
      <c r="L36" s="44" t="n">
        <v>0.170832</v>
      </c>
      <c r="M36" s="44" t="n">
        <v>0.0026499</v>
      </c>
      <c r="N36" s="44" t="n">
        <v>1.27976</v>
      </c>
      <c r="O36" s="44" t="n">
        <v>0.17332</v>
      </c>
      <c r="P36" s="44" t="n">
        <v>0.0026499</v>
      </c>
      <c r="Q36" s="44" t="n">
        <v>1.32342</v>
      </c>
      <c r="R36" s="44" t="n">
        <v>0.176657</v>
      </c>
      <c r="S36" s="44" t="n">
        <v>0.0026499</v>
      </c>
      <c r="T36" s="44" t="n">
        <v>1.34473</v>
      </c>
      <c r="U36" s="44" t="n">
        <v>0.17665</v>
      </c>
      <c r="V36" s="44" t="n">
        <v>0.0026499</v>
      </c>
      <c r="W36" s="44" t="n">
        <v>1.32211</v>
      </c>
      <c r="X36" s="44" t="n">
        <v>0.172514</v>
      </c>
      <c r="Y36" s="44" t="n">
        <v>0.0026499</v>
      </c>
      <c r="Z36" s="44" t="n">
        <v>1.34345</v>
      </c>
      <c r="AA36" s="44" t="n">
        <v>0.175143</v>
      </c>
      <c r="AB36" s="44" t="n">
        <v>0.0026499</v>
      </c>
      <c r="AC36" s="44" t="n">
        <v>1.32891</v>
      </c>
      <c r="AD36" s="44" t="n">
        <v>0.172251</v>
      </c>
      <c r="AE36" s="44" t="n">
        <v>0.0026499</v>
      </c>
      <c r="AF36" s="44" t="n">
        <v>1.34783</v>
      </c>
      <c r="AG36" s="44" t="n">
        <v>0.174703</v>
      </c>
      <c r="AH36" s="44" t="n">
        <v>0.0026499</v>
      </c>
      <c r="AI36" s="44" t="n">
        <v>1.32855</v>
      </c>
      <c r="AJ36" s="44" t="n">
        <v>0.171303</v>
      </c>
      <c r="AK36" s="44" t="n">
        <v>0.0026499</v>
      </c>
      <c r="AL36" s="44" t="n">
        <v>1.32784</v>
      </c>
      <c r="AM36" s="44" t="n">
        <v>0.170819</v>
      </c>
      <c r="AN36" s="44" t="n">
        <v>0.0026499</v>
      </c>
      <c r="AO36" s="44" t="n">
        <v>1.38997</v>
      </c>
      <c r="AP36" s="44" t="n">
        <v>0.179166</v>
      </c>
      <c r="AQ36" s="44" t="n">
        <v>0.0026499</v>
      </c>
      <c r="AR36" s="44" t="n">
        <v>1.36844</v>
      </c>
      <c r="AS36" s="44" t="n">
        <v>0.175292</v>
      </c>
      <c r="AT36" s="44" t="n">
        <v>0.0026499</v>
      </c>
      <c r="AU36" s="44" t="n">
        <v>1.3344</v>
      </c>
      <c r="AV36" s="44" t="n">
        <v>0.170503</v>
      </c>
      <c r="AW36" s="44" t="n">
        <v>0.0026499</v>
      </c>
      <c r="AX36" s="44" t="n">
        <v>1.3302</v>
      </c>
      <c r="AY36" s="44" t="n">
        <v>0.169512</v>
      </c>
      <c r="AZ36" s="44" t="n">
        <v>0.0026499</v>
      </c>
      <c r="BA36" s="44" t="n">
        <v>1.39743</v>
      </c>
      <c r="BB36" s="44" t="n">
        <v>0.178343</v>
      </c>
      <c r="BC36" s="44" t="n">
        <v>0.0026499</v>
      </c>
      <c r="BD36" s="44" t="n">
        <v>1.36423</v>
      </c>
      <c r="BE36" s="44" t="n">
        <v>0.173316</v>
      </c>
      <c r="BF36" s="44" t="n">
        <v>0.0026499</v>
      </c>
      <c r="BG36" s="44" t="n">
        <v>1.35092</v>
      </c>
      <c r="BH36" s="44" t="n">
        <v>0.171418</v>
      </c>
      <c r="BI36" s="44" t="n">
        <v>0.0026499</v>
      </c>
      <c r="BJ36" s="44" t="n">
        <v>1.38002</v>
      </c>
      <c r="BK36" s="44" t="n">
        <v>0.175075</v>
      </c>
      <c r="BL36" s="44" t="n">
        <v>0.0026499</v>
      </c>
      <c r="BM36" s="44" t="n">
        <v>1.4004</v>
      </c>
      <c r="BN36" s="44" t="n">
        <v>0.17712</v>
      </c>
      <c r="BO36" s="44" t="n">
        <v>0.0026499</v>
      </c>
      <c r="BP36" s="44" t="n">
        <v>1.36921</v>
      </c>
      <c r="BQ36" s="44" t="n">
        <v>0.172569</v>
      </c>
      <c r="BR36" s="44" t="n">
        <v>0.0026499</v>
      </c>
      <c r="BS36" s="44" t="n">
        <v>1.39682</v>
      </c>
      <c r="BT36" s="44" t="n">
        <v>0.176111</v>
      </c>
      <c r="BU36" s="44" t="n">
        <v>0.0026499</v>
      </c>
      <c r="BV36" s="44" t="n">
        <v>1.42831</v>
      </c>
      <c r="BW36" s="44" t="n">
        <v>0.179252</v>
      </c>
      <c r="BX36" s="44" t="n">
        <v>0.0026499</v>
      </c>
      <c r="BY36" s="44" t="n">
        <v>1.4137</v>
      </c>
      <c r="BZ36" s="44" t="n">
        <v>0.176762</v>
      </c>
      <c r="CA36" s="44" t="n">
        <v>0.0026499</v>
      </c>
      <c r="CB36" s="44" t="n">
        <v>1.37232</v>
      </c>
      <c r="CC36" s="44" t="n">
        <v>0.170969</v>
      </c>
      <c r="CD36" s="44" t="n">
        <v>0.0026499</v>
      </c>
      <c r="CE36" s="44" t="n">
        <v>1.3682</v>
      </c>
      <c r="CF36" s="44" t="n">
        <v>0.170111</v>
      </c>
      <c r="CG36" s="44" t="n">
        <v>0.0026499</v>
      </c>
      <c r="CH36" s="44" t="n">
        <v>1.40763</v>
      </c>
      <c r="CI36" s="44" t="n">
        <v>0.174328</v>
      </c>
      <c r="CJ36" s="44" t="n">
        <v>0.0026499</v>
      </c>
      <c r="CK36" s="44" t="n">
        <v>1.42754</v>
      </c>
      <c r="CL36" s="44" t="n">
        <v>0.17677</v>
      </c>
      <c r="CM36" s="44" t="n">
        <v>0.0026499</v>
      </c>
      <c r="CN36" s="44" t="n">
        <v>1.41277</v>
      </c>
      <c r="CO36" s="44" t="n">
        <v>0.174675</v>
      </c>
      <c r="CP36" s="44" t="n">
        <v>0.0026499</v>
      </c>
      <c r="CQ36" s="44" t="n">
        <v>1.39284</v>
      </c>
      <c r="CR36" s="44" t="n">
        <v>0.172137</v>
      </c>
      <c r="CS36" s="44" t="n">
        <v>0.0026499</v>
      </c>
      <c r="CT36" s="44" t="n">
        <v>1.43272</v>
      </c>
      <c r="CU36" s="44" t="n">
        <v>0.177432</v>
      </c>
      <c r="CV36" s="44" t="n">
        <v>0.0026499</v>
      </c>
      <c r="CW36" s="44" t="n">
        <v>1.37305</v>
      </c>
      <c r="CX36" s="44" t="n">
        <v>0.170775</v>
      </c>
    </row>
    <row collapsed="false" customFormat="false" customHeight="false" hidden="false" ht="12.75" outlineLevel="0" r="37">
      <c r="A37" s="44" t="n">
        <v>0.0027499</v>
      </c>
      <c r="B37" s="44" t="n">
        <v>1.13692</v>
      </c>
      <c r="C37" s="44" t="n">
        <v>0.160773</v>
      </c>
      <c r="D37" s="44" t="n">
        <v>0.0027499</v>
      </c>
      <c r="E37" s="44" t="n">
        <v>1.18319</v>
      </c>
      <c r="F37" s="44" t="n">
        <v>0.165552</v>
      </c>
      <c r="G37" s="44" t="n">
        <v>0.0027499</v>
      </c>
      <c r="H37" s="44" t="n">
        <v>1.19474</v>
      </c>
      <c r="I37" s="44" t="n">
        <v>0.164649</v>
      </c>
      <c r="J37" s="44" t="n">
        <v>0.0027499</v>
      </c>
      <c r="K37" s="44" t="n">
        <v>1.18804</v>
      </c>
      <c r="L37" s="44" t="n">
        <v>0.161669</v>
      </c>
      <c r="M37" s="44" t="n">
        <v>0.0027499</v>
      </c>
      <c r="N37" s="44" t="n">
        <v>1.22345</v>
      </c>
      <c r="O37" s="44" t="n">
        <v>0.164034</v>
      </c>
      <c r="P37" s="44" t="n">
        <v>0.0027499</v>
      </c>
      <c r="Q37" s="44" t="n">
        <v>1.26543</v>
      </c>
      <c r="R37" s="44" t="n">
        <v>0.167195</v>
      </c>
      <c r="S37" s="44" t="n">
        <v>0.0027499</v>
      </c>
      <c r="T37" s="44" t="n">
        <v>1.2852</v>
      </c>
      <c r="U37" s="44" t="n">
        <v>0.167173</v>
      </c>
      <c r="V37" s="44" t="n">
        <v>0.0027499</v>
      </c>
      <c r="W37" s="44" t="n">
        <v>1.26324</v>
      </c>
      <c r="X37" s="44" t="n">
        <v>0.163323</v>
      </c>
      <c r="Y37" s="44" t="n">
        <v>0.0027499</v>
      </c>
      <c r="Z37" s="44" t="n">
        <v>1.28334</v>
      </c>
      <c r="AA37" s="44" t="n">
        <v>0.165797</v>
      </c>
      <c r="AB37" s="44" t="n">
        <v>0.0027499</v>
      </c>
      <c r="AC37" s="44" t="n">
        <v>1.26886</v>
      </c>
      <c r="AD37" s="44" t="n">
        <v>0.163006</v>
      </c>
      <c r="AE37" s="44" t="n">
        <v>0.0027499</v>
      </c>
      <c r="AF37" s="44" t="n">
        <v>1.28685</v>
      </c>
      <c r="AG37" s="44" t="n">
        <v>0.165369</v>
      </c>
      <c r="AH37" s="44" t="n">
        <v>0.0027499</v>
      </c>
      <c r="AI37" s="44" t="n">
        <v>1.26749</v>
      </c>
      <c r="AJ37" s="44" t="n">
        <v>0.162141</v>
      </c>
      <c r="AK37" s="44" t="n">
        <v>0.0027499</v>
      </c>
      <c r="AL37" s="44" t="n">
        <v>1.26691</v>
      </c>
      <c r="AM37" s="44" t="n">
        <v>0.16171</v>
      </c>
      <c r="AN37" s="44" t="n">
        <v>0.0027499</v>
      </c>
      <c r="AO37" s="44" t="n">
        <v>1.32598</v>
      </c>
      <c r="AP37" s="44" t="n">
        <v>0.169573</v>
      </c>
      <c r="AQ37" s="44" t="n">
        <v>0.0027499</v>
      </c>
      <c r="AR37" s="44" t="n">
        <v>1.30474</v>
      </c>
      <c r="AS37" s="44" t="n">
        <v>0.165918</v>
      </c>
      <c r="AT37" s="44" t="n">
        <v>0.0027499</v>
      </c>
      <c r="AU37" s="44" t="n">
        <v>1.27163</v>
      </c>
      <c r="AV37" s="44" t="n">
        <v>0.161477</v>
      </c>
      <c r="AW37" s="44" t="n">
        <v>0.0027499</v>
      </c>
      <c r="AX37" s="44" t="n">
        <v>1.26704</v>
      </c>
      <c r="AY37" s="44" t="n">
        <v>0.160383</v>
      </c>
      <c r="AZ37" s="44" t="n">
        <v>0.0027499</v>
      </c>
      <c r="BA37" s="44" t="n">
        <v>1.33112</v>
      </c>
      <c r="BB37" s="44" t="n">
        <v>0.16878</v>
      </c>
      <c r="BC37" s="44" t="n">
        <v>0.0027499</v>
      </c>
      <c r="BD37" s="44" t="n">
        <v>1.29824</v>
      </c>
      <c r="BE37" s="44" t="n">
        <v>0.164037</v>
      </c>
      <c r="BF37" s="44" t="n">
        <v>0.0027499</v>
      </c>
      <c r="BG37" s="44" t="n">
        <v>1.28546</v>
      </c>
      <c r="BH37" s="44" t="n">
        <v>0.162289</v>
      </c>
      <c r="BI37" s="44" t="n">
        <v>0.0027499</v>
      </c>
      <c r="BJ37" s="44" t="n">
        <v>1.31279</v>
      </c>
      <c r="BK37" s="44" t="n">
        <v>0.165709</v>
      </c>
      <c r="BL37" s="44" t="n">
        <v>0.0027499</v>
      </c>
      <c r="BM37" s="44" t="n">
        <v>1.33156</v>
      </c>
      <c r="BN37" s="44" t="n">
        <v>0.167632</v>
      </c>
      <c r="BO37" s="44" t="n">
        <v>0.0027499</v>
      </c>
      <c r="BP37" s="44" t="n">
        <v>1.30179</v>
      </c>
      <c r="BQ37" s="44" t="n">
        <v>0.163336</v>
      </c>
      <c r="BR37" s="44" t="n">
        <v>0.0027499</v>
      </c>
      <c r="BS37" s="44" t="n">
        <v>1.32769</v>
      </c>
      <c r="BT37" s="44" t="n">
        <v>0.166721</v>
      </c>
      <c r="BU37" s="44" t="n">
        <v>0.0027499</v>
      </c>
      <c r="BV37" s="44" t="n">
        <v>1.35734</v>
      </c>
      <c r="BW37" s="44" t="n">
        <v>0.169666</v>
      </c>
      <c r="BX37" s="44" t="n">
        <v>0.0027499</v>
      </c>
      <c r="BY37" s="44" t="n">
        <v>1.34296</v>
      </c>
      <c r="BZ37" s="44" t="n">
        <v>0.167288</v>
      </c>
      <c r="CA37" s="44" t="n">
        <v>0.0027499</v>
      </c>
      <c r="CB37" s="44" t="n">
        <v>1.30221</v>
      </c>
      <c r="CC37" s="44" t="n">
        <v>0.161804</v>
      </c>
      <c r="CD37" s="44" t="n">
        <v>0.0027499</v>
      </c>
      <c r="CE37" s="44" t="n">
        <v>1.29811</v>
      </c>
      <c r="CF37" s="44" t="n">
        <v>0.161002</v>
      </c>
      <c r="CG37" s="44" t="n">
        <v>0.0027499</v>
      </c>
      <c r="CH37" s="44" t="n">
        <v>1.33526</v>
      </c>
      <c r="CI37" s="44" t="n">
        <v>0.16497</v>
      </c>
      <c r="CJ37" s="44" t="n">
        <v>0.0027499</v>
      </c>
      <c r="CK37" s="44" t="n">
        <v>1.35377</v>
      </c>
      <c r="CL37" s="44" t="n">
        <v>0.16732</v>
      </c>
      <c r="CM37" s="44" t="n">
        <v>0.0027499</v>
      </c>
      <c r="CN37" s="44" t="n">
        <v>1.33897</v>
      </c>
      <c r="CO37" s="44" t="n">
        <v>0.165288</v>
      </c>
      <c r="CP37" s="44" t="n">
        <v>0.0027499</v>
      </c>
      <c r="CQ37" s="44" t="n">
        <v>1.3186</v>
      </c>
      <c r="CR37" s="44" t="n">
        <v>0.16293</v>
      </c>
      <c r="CS37" s="44" t="n">
        <v>0.0027499</v>
      </c>
      <c r="CT37" s="44" t="n">
        <v>1.35681</v>
      </c>
      <c r="CU37" s="44" t="n">
        <v>0.167927</v>
      </c>
      <c r="CV37" s="44" t="n">
        <v>0.0027499</v>
      </c>
      <c r="CW37" s="44" t="n">
        <v>1.29888</v>
      </c>
      <c r="CX37" s="44" t="n">
        <v>0.16162</v>
      </c>
    </row>
    <row collapsed="false" customFormat="false" customHeight="false" hidden="false" ht="12.75" outlineLevel="0" r="38">
      <c r="A38" s="44" t="n">
        <v>0.0028499</v>
      </c>
      <c r="B38" s="44" t="n">
        <v>1.08764</v>
      </c>
      <c r="C38" s="44" t="n">
        <v>0.152009</v>
      </c>
      <c r="D38" s="44" t="n">
        <v>0.0028499</v>
      </c>
      <c r="E38" s="44" t="n">
        <v>1.13133</v>
      </c>
      <c r="F38" s="44" t="n">
        <v>0.156474</v>
      </c>
      <c r="G38" s="44" t="n">
        <v>0.0028499</v>
      </c>
      <c r="H38" s="44" t="n">
        <v>1.14246</v>
      </c>
      <c r="I38" s="44" t="n">
        <v>0.155601</v>
      </c>
      <c r="J38" s="44" t="n">
        <v>0.0028499</v>
      </c>
      <c r="K38" s="44" t="n">
        <v>1.13579</v>
      </c>
      <c r="L38" s="44" t="n">
        <v>0.152842</v>
      </c>
      <c r="M38" s="44" t="n">
        <v>0.0028499</v>
      </c>
      <c r="N38" s="44" t="n">
        <v>1.16937</v>
      </c>
      <c r="O38" s="44" t="n">
        <v>0.15502</v>
      </c>
      <c r="P38" s="44" t="n">
        <v>0.0028499</v>
      </c>
      <c r="Q38" s="44" t="n">
        <v>1.20961</v>
      </c>
      <c r="R38" s="44" t="n">
        <v>0.158136</v>
      </c>
      <c r="S38" s="44" t="n">
        <v>0.0028499</v>
      </c>
      <c r="T38" s="44" t="n">
        <v>1.22783</v>
      </c>
      <c r="U38" s="44" t="n">
        <v>0.158099</v>
      </c>
      <c r="V38" s="44" t="n">
        <v>0.0028499</v>
      </c>
      <c r="W38" s="44" t="n">
        <v>1.2071</v>
      </c>
      <c r="X38" s="44" t="n">
        <v>0.154359</v>
      </c>
      <c r="Y38" s="44" t="n">
        <v>0.0028499</v>
      </c>
      <c r="Z38" s="44" t="n">
        <v>1.22536</v>
      </c>
      <c r="AA38" s="44" t="n">
        <v>0.15678</v>
      </c>
      <c r="AB38" s="44" t="n">
        <v>0.0028499</v>
      </c>
      <c r="AC38" s="44" t="n">
        <v>1.21098</v>
      </c>
      <c r="AD38" s="44" t="n">
        <v>0.154068</v>
      </c>
      <c r="AE38" s="44" t="n">
        <v>0.0028499</v>
      </c>
      <c r="AF38" s="44" t="n">
        <v>1.22846</v>
      </c>
      <c r="AG38" s="44" t="n">
        <v>0.156341</v>
      </c>
      <c r="AH38" s="44" t="n">
        <v>0.0028499</v>
      </c>
      <c r="AI38" s="44" t="n">
        <v>1.20907</v>
      </c>
      <c r="AJ38" s="44" t="n">
        <v>0.153235</v>
      </c>
      <c r="AK38" s="44" t="n">
        <v>0.0028499</v>
      </c>
      <c r="AL38" s="44" t="n">
        <v>1.20802</v>
      </c>
      <c r="AM38" s="44" t="n">
        <v>0.152854</v>
      </c>
      <c r="AN38" s="44" t="n">
        <v>0.0028499</v>
      </c>
      <c r="AO38" s="44" t="n">
        <v>1.26444</v>
      </c>
      <c r="AP38" s="44" t="n">
        <v>0.160435</v>
      </c>
      <c r="AQ38" s="44" t="n">
        <v>0.0028499</v>
      </c>
      <c r="AR38" s="44" t="n">
        <v>1.24326</v>
      </c>
      <c r="AS38" s="44" t="n">
        <v>0.156881</v>
      </c>
      <c r="AT38" s="44" t="n">
        <v>0.0028499</v>
      </c>
      <c r="AU38" s="44" t="n">
        <v>1.21189</v>
      </c>
      <c r="AV38" s="44" t="n">
        <v>0.152665</v>
      </c>
      <c r="AW38" s="44" t="n">
        <v>0.0028499</v>
      </c>
      <c r="AX38" s="44" t="n">
        <v>1.20648</v>
      </c>
      <c r="AY38" s="44" t="n">
        <v>0.151658</v>
      </c>
      <c r="AZ38" s="44" t="n">
        <v>0.0028499</v>
      </c>
      <c r="BA38" s="44" t="n">
        <v>1.26757</v>
      </c>
      <c r="BB38" s="44" t="n">
        <v>0.159682</v>
      </c>
      <c r="BC38" s="44" t="n">
        <v>0.0028499</v>
      </c>
      <c r="BD38" s="44" t="n">
        <v>1.23498</v>
      </c>
      <c r="BE38" s="44" t="n">
        <v>0.155007</v>
      </c>
      <c r="BF38" s="44" t="n">
        <v>0.0028499</v>
      </c>
      <c r="BG38" s="44" t="n">
        <v>1.2228</v>
      </c>
      <c r="BH38" s="44" t="n">
        <v>0.153365</v>
      </c>
      <c r="BI38" s="44" t="n">
        <v>0.0028499</v>
      </c>
      <c r="BJ38" s="44" t="n">
        <v>1.24824</v>
      </c>
      <c r="BK38" s="44" t="n">
        <v>0.156677</v>
      </c>
      <c r="BL38" s="44" t="n">
        <v>0.0028499</v>
      </c>
      <c r="BM38" s="44" t="n">
        <v>1.2658</v>
      </c>
      <c r="BN38" s="44" t="n">
        <v>0.158537</v>
      </c>
      <c r="BO38" s="44" t="n">
        <v>0.0028499</v>
      </c>
      <c r="BP38" s="44" t="n">
        <v>1.23704</v>
      </c>
      <c r="BQ38" s="44" t="n">
        <v>0.154349</v>
      </c>
      <c r="BR38" s="44" t="n">
        <v>0.0028499</v>
      </c>
      <c r="BS38" s="44" t="n">
        <v>1.26185</v>
      </c>
      <c r="BT38" s="44" t="n">
        <v>0.157697</v>
      </c>
      <c r="BU38" s="44" t="n">
        <v>0.0028499</v>
      </c>
      <c r="BV38" s="44" t="n">
        <v>1.28922</v>
      </c>
      <c r="BW38" s="44" t="n">
        <v>0.16053</v>
      </c>
      <c r="BX38" s="44" t="n">
        <v>0.0028499</v>
      </c>
      <c r="BY38" s="44" t="n">
        <v>1.27461</v>
      </c>
      <c r="BZ38" s="44" t="n">
        <v>0.158243</v>
      </c>
      <c r="CA38" s="44" t="n">
        <v>0.0028499</v>
      </c>
      <c r="CB38" s="44" t="n">
        <v>1.23514</v>
      </c>
      <c r="CC38" s="44" t="n">
        <v>0.152893</v>
      </c>
      <c r="CD38" s="44" t="n">
        <v>0.0028499</v>
      </c>
      <c r="CE38" s="44" t="n">
        <v>1.2308</v>
      </c>
      <c r="CF38" s="44" t="n">
        <v>0.152196</v>
      </c>
      <c r="CG38" s="44" t="n">
        <v>0.0028499</v>
      </c>
      <c r="CH38" s="44" t="n">
        <v>1.26549</v>
      </c>
      <c r="CI38" s="44" t="n">
        <v>0.155957</v>
      </c>
      <c r="CJ38" s="44" t="n">
        <v>0.0028499</v>
      </c>
      <c r="CK38" s="44" t="n">
        <v>1.28285</v>
      </c>
      <c r="CL38" s="44" t="n">
        <v>0.158253</v>
      </c>
      <c r="CM38" s="44" t="n">
        <v>0.0028499</v>
      </c>
      <c r="CN38" s="44" t="n">
        <v>1.26761</v>
      </c>
      <c r="CO38" s="44" t="n">
        <v>0.156277</v>
      </c>
      <c r="CP38" s="44" t="n">
        <v>0.0028499</v>
      </c>
      <c r="CQ38" s="44" t="n">
        <v>1.24822</v>
      </c>
      <c r="CR38" s="44" t="n">
        <v>0.153964</v>
      </c>
      <c r="CS38" s="44" t="n">
        <v>0.0028499</v>
      </c>
      <c r="CT38" s="44" t="n">
        <v>1.28441</v>
      </c>
      <c r="CU38" s="44" t="n">
        <v>0.158856</v>
      </c>
      <c r="CV38" s="44" t="n">
        <v>0.0028499</v>
      </c>
      <c r="CW38" s="44" t="n">
        <v>1.2284</v>
      </c>
      <c r="CX38" s="44" t="n">
        <v>0.152742</v>
      </c>
    </row>
    <row collapsed="false" customFormat="false" customHeight="false" hidden="false" ht="12.75" outlineLevel="0" r="39">
      <c r="A39" s="44" t="n">
        <v>0.0029499</v>
      </c>
      <c r="B39" s="44" t="n">
        <v>1.03995</v>
      </c>
      <c r="C39" s="44" t="n">
        <v>0.143947</v>
      </c>
      <c r="D39" s="44" t="n">
        <v>0.0029499</v>
      </c>
      <c r="E39" s="44" t="n">
        <v>1.08212</v>
      </c>
      <c r="F39" s="44" t="n">
        <v>0.148061</v>
      </c>
      <c r="G39" s="44" t="n">
        <v>0.0029499</v>
      </c>
      <c r="H39" s="44" t="n">
        <v>1.09169</v>
      </c>
      <c r="I39" s="44" t="n">
        <v>0.147305</v>
      </c>
      <c r="J39" s="44" t="n">
        <v>0.0029499</v>
      </c>
      <c r="K39" s="44" t="n">
        <v>1.08558</v>
      </c>
      <c r="L39" s="44" t="n">
        <v>0.144738</v>
      </c>
      <c r="M39" s="44" t="n">
        <v>0.0029499</v>
      </c>
      <c r="N39" s="44" t="n">
        <v>1.1173</v>
      </c>
      <c r="O39" s="44" t="n">
        <v>0.146776</v>
      </c>
      <c r="P39" s="44" t="n">
        <v>0.0029499</v>
      </c>
      <c r="Q39" s="44" t="n">
        <v>1.15578</v>
      </c>
      <c r="R39" s="44" t="n">
        <v>0.149573</v>
      </c>
      <c r="S39" s="44" t="n">
        <v>0.0029499</v>
      </c>
      <c r="T39" s="44" t="n">
        <v>1.17293</v>
      </c>
      <c r="U39" s="44" t="n">
        <v>0.149531</v>
      </c>
      <c r="V39" s="44" t="n">
        <v>0.0029499</v>
      </c>
      <c r="W39" s="44" t="n">
        <v>1.15256</v>
      </c>
      <c r="X39" s="44" t="n">
        <v>0.14619</v>
      </c>
      <c r="Y39" s="44" t="n">
        <v>0.0029499</v>
      </c>
      <c r="Z39" s="44" t="n">
        <v>1.17005</v>
      </c>
      <c r="AA39" s="44" t="n">
        <v>0.148354</v>
      </c>
      <c r="AB39" s="44" t="n">
        <v>0.0029499</v>
      </c>
      <c r="AC39" s="44" t="n">
        <v>1.1557</v>
      </c>
      <c r="AD39" s="44" t="n">
        <v>0.145906</v>
      </c>
      <c r="AE39" s="44" t="n">
        <v>0.0029499</v>
      </c>
      <c r="AF39" s="44" t="n">
        <v>1.17146</v>
      </c>
      <c r="AG39" s="44" t="n">
        <v>0.14796</v>
      </c>
      <c r="AH39" s="44" t="n">
        <v>0.0029499</v>
      </c>
      <c r="AI39" s="44" t="n">
        <v>1.15301</v>
      </c>
      <c r="AJ39" s="44" t="n">
        <v>0.145149</v>
      </c>
      <c r="AK39" s="44" t="n">
        <v>0.0029499</v>
      </c>
      <c r="AL39" s="44" t="n">
        <v>1.15124</v>
      </c>
      <c r="AM39" s="44" t="n">
        <v>0.144796</v>
      </c>
      <c r="AN39" s="44" t="n">
        <v>0.0029499</v>
      </c>
      <c r="AO39" s="44" t="n">
        <v>1.20546</v>
      </c>
      <c r="AP39" s="44" t="n">
        <v>0.151698</v>
      </c>
      <c r="AQ39" s="44" t="n">
        <v>0.0029499</v>
      </c>
      <c r="AR39" s="44" t="n">
        <v>1.18429</v>
      </c>
      <c r="AS39" s="44" t="n">
        <v>0.148455</v>
      </c>
      <c r="AT39" s="44" t="n">
        <v>0.0029499</v>
      </c>
      <c r="AU39" s="44" t="n">
        <v>1.15393</v>
      </c>
      <c r="AV39" s="44" t="n">
        <v>0.144628</v>
      </c>
      <c r="AW39" s="44" t="n">
        <v>0.0029499</v>
      </c>
      <c r="AX39" s="44" t="n">
        <v>1.1478</v>
      </c>
      <c r="AY39" s="44" t="n">
        <v>0.143645</v>
      </c>
      <c r="AZ39" s="44" t="n">
        <v>0.0029499</v>
      </c>
      <c r="BA39" s="44" t="n">
        <v>1.20601</v>
      </c>
      <c r="BB39" s="44" t="n">
        <v>0.150962</v>
      </c>
      <c r="BC39" s="44" t="n">
        <v>0.0029499</v>
      </c>
      <c r="BD39" s="44" t="n">
        <v>1.17444</v>
      </c>
      <c r="BE39" s="44" t="n">
        <v>0.146762</v>
      </c>
      <c r="BF39" s="44" t="n">
        <v>0.0029499</v>
      </c>
      <c r="BG39" s="44" t="n">
        <v>1.16216</v>
      </c>
      <c r="BH39" s="44" t="n">
        <v>0.14523</v>
      </c>
      <c r="BI39" s="44" t="n">
        <v>0.0029499</v>
      </c>
      <c r="BJ39" s="44" t="n">
        <v>1.18645</v>
      </c>
      <c r="BK39" s="44" t="n">
        <v>0.14827</v>
      </c>
      <c r="BL39" s="44" t="n">
        <v>0.0029499</v>
      </c>
      <c r="BM39" s="44" t="n">
        <v>1.2026</v>
      </c>
      <c r="BN39" s="44" t="n">
        <v>0.14992</v>
      </c>
      <c r="BO39" s="44" t="n">
        <v>0.0029499</v>
      </c>
      <c r="BP39" s="44" t="n">
        <v>1.17483</v>
      </c>
      <c r="BQ39" s="44" t="n">
        <v>0.146144</v>
      </c>
      <c r="BR39" s="44" t="n">
        <v>0.0029499</v>
      </c>
      <c r="BS39" s="44" t="n">
        <v>1.19787</v>
      </c>
      <c r="BT39" s="44" t="n">
        <v>0.149205</v>
      </c>
      <c r="BU39" s="44" t="n">
        <v>0.0029499</v>
      </c>
      <c r="BV39" s="44" t="n">
        <v>1.22368</v>
      </c>
      <c r="BW39" s="44" t="n">
        <v>0.15174</v>
      </c>
      <c r="BX39" s="44" t="n">
        <v>0.0029499</v>
      </c>
      <c r="BY39" s="44" t="n">
        <v>1.20923</v>
      </c>
      <c r="BZ39" s="44" t="n">
        <v>0.149639</v>
      </c>
      <c r="CA39" s="44" t="n">
        <v>0.0029499</v>
      </c>
      <c r="CB39" s="44" t="n">
        <v>1.17139</v>
      </c>
      <c r="CC39" s="44" t="n">
        <v>0.144795</v>
      </c>
      <c r="CD39" s="44" t="n">
        <v>0.0029499</v>
      </c>
      <c r="CE39" s="44" t="n">
        <v>1.16699</v>
      </c>
      <c r="CF39" s="44" t="n">
        <v>0.144157</v>
      </c>
      <c r="CG39" s="44" t="n">
        <v>0.0029499</v>
      </c>
      <c r="CH39" s="44" t="n">
        <v>1.1992</v>
      </c>
      <c r="CI39" s="44" t="n">
        <v>0.147577</v>
      </c>
      <c r="CJ39" s="44" t="n">
        <v>0.0029499</v>
      </c>
      <c r="CK39" s="44" t="n">
        <v>1.21537</v>
      </c>
      <c r="CL39" s="44" t="n">
        <v>0.149697</v>
      </c>
      <c r="CM39" s="44" t="n">
        <v>0.0029499</v>
      </c>
      <c r="CN39" s="44" t="n">
        <v>1.2</v>
      </c>
      <c r="CO39" s="44" t="n">
        <v>0.14787</v>
      </c>
      <c r="CP39" s="44" t="n">
        <v>0.0029499</v>
      </c>
      <c r="CQ39" s="44" t="n">
        <v>1.18115</v>
      </c>
      <c r="CR39" s="44" t="n">
        <v>0.145753</v>
      </c>
      <c r="CS39" s="44" t="n">
        <v>0.0029499</v>
      </c>
      <c r="CT39" s="44" t="n">
        <v>1.21521</v>
      </c>
      <c r="CU39" s="44" t="n">
        <v>0.15022</v>
      </c>
      <c r="CV39" s="44" t="n">
        <v>0.0029499</v>
      </c>
      <c r="CW39" s="44" t="n">
        <v>1.16126</v>
      </c>
      <c r="CX39" s="44" t="n">
        <v>0.14462</v>
      </c>
    </row>
    <row collapsed="false" customFormat="false" customHeight="false" hidden="false" ht="12.75" outlineLevel="0" r="40">
      <c r="A40" s="44" t="n">
        <v>0.0030499</v>
      </c>
      <c r="B40" s="44" t="n">
        <v>0.993525</v>
      </c>
      <c r="C40" s="44" t="n">
        <v>0.136326</v>
      </c>
      <c r="D40" s="44" t="n">
        <v>0.0030499</v>
      </c>
      <c r="E40" s="44" t="n">
        <v>1.03392</v>
      </c>
      <c r="F40" s="44" t="n">
        <v>0.140222</v>
      </c>
      <c r="G40" s="44" t="n">
        <v>0.0030499</v>
      </c>
      <c r="H40" s="44" t="n">
        <v>1.04318</v>
      </c>
      <c r="I40" s="44" t="n">
        <v>0.139525</v>
      </c>
      <c r="J40" s="44" t="n">
        <v>0.0030499</v>
      </c>
      <c r="K40" s="44" t="n">
        <v>1.03669</v>
      </c>
      <c r="L40" s="44" t="n">
        <v>0.137119</v>
      </c>
      <c r="M40" s="44" t="n">
        <v>0.0030499</v>
      </c>
      <c r="N40" s="44" t="n">
        <v>1.06738</v>
      </c>
      <c r="O40" s="44" t="n">
        <v>0.139027</v>
      </c>
      <c r="P40" s="44" t="n">
        <v>0.0030499</v>
      </c>
      <c r="Q40" s="44" t="n">
        <v>1.10383</v>
      </c>
      <c r="R40" s="44" t="n">
        <v>0.141687</v>
      </c>
      <c r="S40" s="44" t="n">
        <v>0.0030499</v>
      </c>
      <c r="T40" s="44" t="n">
        <v>1.11996</v>
      </c>
      <c r="U40" s="44" t="n">
        <v>0.141666</v>
      </c>
      <c r="V40" s="44" t="n">
        <v>0.0030499</v>
      </c>
      <c r="W40" s="44" t="n">
        <v>1.10059</v>
      </c>
      <c r="X40" s="44" t="n">
        <v>0.138513</v>
      </c>
      <c r="Y40" s="44" t="n">
        <v>0.0030499</v>
      </c>
      <c r="Z40" s="44" t="n">
        <v>1.11652</v>
      </c>
      <c r="AA40" s="44" t="n">
        <v>0.140568</v>
      </c>
      <c r="AB40" s="44" t="n">
        <v>0.0030499</v>
      </c>
      <c r="AC40" s="44" t="n">
        <v>1.10281</v>
      </c>
      <c r="AD40" s="44" t="n">
        <v>0.138222</v>
      </c>
      <c r="AE40" s="44" t="n">
        <v>0.0030499</v>
      </c>
      <c r="AF40" s="44" t="n">
        <v>1.11709</v>
      </c>
      <c r="AG40" s="44" t="n">
        <v>0.14016</v>
      </c>
      <c r="AH40" s="44" t="n">
        <v>0.0030499</v>
      </c>
      <c r="AI40" s="44" t="n">
        <v>1.09922</v>
      </c>
      <c r="AJ40" s="44" t="n">
        <v>0.137542</v>
      </c>
      <c r="AK40" s="44" t="n">
        <v>0.0030499</v>
      </c>
      <c r="AL40" s="44" t="n">
        <v>1.09709</v>
      </c>
      <c r="AM40" s="44" t="n">
        <v>0.137201</v>
      </c>
      <c r="AN40" s="44" t="n">
        <v>0.0030499</v>
      </c>
      <c r="AO40" s="44" t="n">
        <v>1.14852</v>
      </c>
      <c r="AP40" s="44" t="n">
        <v>0.143681</v>
      </c>
      <c r="AQ40" s="44" t="n">
        <v>0.0030499</v>
      </c>
      <c r="AR40" s="44" t="n">
        <v>1.12772</v>
      </c>
      <c r="AS40" s="44" t="n">
        <v>0.140645</v>
      </c>
      <c r="AT40" s="44" t="n">
        <v>0.0030499</v>
      </c>
      <c r="AU40" s="44" t="n">
        <v>1.09885</v>
      </c>
      <c r="AV40" s="44" t="n">
        <v>0.137079</v>
      </c>
      <c r="AW40" s="44" t="n">
        <v>0.0030499</v>
      </c>
      <c r="AX40" s="44" t="n">
        <v>1.0927</v>
      </c>
      <c r="AY40" s="44" t="n">
        <v>0.136128</v>
      </c>
      <c r="AZ40" s="44" t="n">
        <v>0.0030499</v>
      </c>
      <c r="BA40" s="44" t="n">
        <v>1.14732</v>
      </c>
      <c r="BB40" s="44" t="n">
        <v>0.143001</v>
      </c>
      <c r="BC40" s="44" t="n">
        <v>0.0030499</v>
      </c>
      <c r="BD40" s="44" t="n">
        <v>1.11694</v>
      </c>
      <c r="BE40" s="44" t="n">
        <v>0.139021</v>
      </c>
      <c r="BF40" s="44" t="n">
        <v>0.0030499</v>
      </c>
      <c r="BG40" s="44" t="n">
        <v>1.10515</v>
      </c>
      <c r="BH40" s="44" t="n">
        <v>0.137594</v>
      </c>
      <c r="BI40" s="44" t="n">
        <v>0.0030499</v>
      </c>
      <c r="BJ40" s="44" t="n">
        <v>1.12708</v>
      </c>
      <c r="BK40" s="44" t="n">
        <v>0.140447</v>
      </c>
      <c r="BL40" s="44" t="n">
        <v>0.0030499</v>
      </c>
      <c r="BM40" s="44" t="n">
        <v>1.14206</v>
      </c>
      <c r="BN40" s="44" t="n">
        <v>0.142026</v>
      </c>
      <c r="BO40" s="44" t="n">
        <v>0.0030499</v>
      </c>
      <c r="BP40" s="44" t="n">
        <v>1.11554</v>
      </c>
      <c r="BQ40" s="44" t="n">
        <v>0.138461</v>
      </c>
      <c r="BR40" s="44" t="n">
        <v>0.0030499</v>
      </c>
      <c r="BS40" s="44" t="n">
        <v>1.13754</v>
      </c>
      <c r="BT40" s="44" t="n">
        <v>0.141366</v>
      </c>
      <c r="BU40" s="44" t="n">
        <v>0.0030499</v>
      </c>
      <c r="BV40" s="44" t="n">
        <v>1.16071</v>
      </c>
      <c r="BW40" s="44" t="n">
        <v>0.143693</v>
      </c>
      <c r="BX40" s="44" t="n">
        <v>0.0030499</v>
      </c>
      <c r="BY40" s="44" t="n">
        <v>1.1472</v>
      </c>
      <c r="BZ40" s="44" t="n">
        <v>0.141755</v>
      </c>
      <c r="CA40" s="44" t="n">
        <v>0.0030499</v>
      </c>
      <c r="CB40" s="44" t="n">
        <v>1.11043</v>
      </c>
      <c r="CC40" s="44" t="n">
        <v>0.137168</v>
      </c>
      <c r="CD40" s="44" t="n">
        <v>0.0030499</v>
      </c>
      <c r="CE40" s="44" t="n">
        <v>1.10594</v>
      </c>
      <c r="CF40" s="44" t="n">
        <v>0.136626</v>
      </c>
      <c r="CG40" s="44" t="n">
        <v>0.0030499</v>
      </c>
      <c r="CH40" s="44" t="n">
        <v>1.13587</v>
      </c>
      <c r="CI40" s="44" t="n">
        <v>0.139767</v>
      </c>
      <c r="CJ40" s="44" t="n">
        <v>0.0030499</v>
      </c>
      <c r="CK40" s="44" t="n">
        <v>1.15116</v>
      </c>
      <c r="CL40" s="44" t="n">
        <v>0.141809</v>
      </c>
      <c r="CM40" s="44" t="n">
        <v>0.0030499</v>
      </c>
      <c r="CN40" s="44" t="n">
        <v>1.1361</v>
      </c>
      <c r="CO40" s="44" t="n">
        <v>0.140084</v>
      </c>
      <c r="CP40" s="44" t="n">
        <v>0.0030499</v>
      </c>
      <c r="CQ40" s="44" t="n">
        <v>1.11719</v>
      </c>
      <c r="CR40" s="44" t="n">
        <v>0.138057</v>
      </c>
      <c r="CS40" s="44" t="n">
        <v>0.0030499</v>
      </c>
      <c r="CT40" s="44" t="n">
        <v>1.1493</v>
      </c>
      <c r="CU40" s="44" t="n">
        <v>0.14228</v>
      </c>
      <c r="CV40" s="44" t="n">
        <v>0.0030499</v>
      </c>
      <c r="CW40" s="44" t="n">
        <v>1.09763</v>
      </c>
      <c r="CX40" s="44" t="n">
        <v>0.136995</v>
      </c>
    </row>
    <row collapsed="false" customFormat="false" customHeight="false" hidden="false" ht="12.75" outlineLevel="0" r="41">
      <c r="A41" s="44" t="n">
        <v>0.0031499</v>
      </c>
      <c r="B41" s="44" t="n">
        <v>0.94916</v>
      </c>
      <c r="C41" s="44" t="n">
        <v>0.129229</v>
      </c>
      <c r="D41" s="44" t="n">
        <v>0.0031499</v>
      </c>
      <c r="E41" s="44" t="n">
        <v>0.987734</v>
      </c>
      <c r="F41" s="44" t="n">
        <v>0.132856</v>
      </c>
      <c r="G41" s="44" t="n">
        <v>0.0031499</v>
      </c>
      <c r="H41" s="44" t="n">
        <v>0.996376</v>
      </c>
      <c r="I41" s="44" t="n">
        <v>0.132225</v>
      </c>
      <c r="J41" s="44" t="n">
        <v>0.0031499</v>
      </c>
      <c r="K41" s="44" t="n">
        <v>0.989826</v>
      </c>
      <c r="L41" s="44" t="n">
        <v>0.129941</v>
      </c>
      <c r="M41" s="44" t="n">
        <v>0.0031499</v>
      </c>
      <c r="N41" s="44" t="n">
        <v>1.01868</v>
      </c>
      <c r="O41" s="44" t="n">
        <v>0.131724</v>
      </c>
      <c r="P41" s="44" t="n">
        <v>0.0031499</v>
      </c>
      <c r="Q41" s="44" t="n">
        <v>1.05375</v>
      </c>
      <c r="R41" s="44" t="n">
        <v>0.134241</v>
      </c>
      <c r="S41" s="44" t="n">
        <v>0.0031499</v>
      </c>
      <c r="T41" s="44" t="n">
        <v>1.06943</v>
      </c>
      <c r="U41" s="44" t="n">
        <v>0.134231</v>
      </c>
      <c r="V41" s="44" t="n">
        <v>0.0031499</v>
      </c>
      <c r="W41" s="44" t="n">
        <v>1.05041</v>
      </c>
      <c r="X41" s="44" t="n">
        <v>0.13129</v>
      </c>
      <c r="Y41" s="44" t="n">
        <v>0.0031499</v>
      </c>
      <c r="Z41" s="44" t="n">
        <v>1.06569</v>
      </c>
      <c r="AA41" s="44" t="n">
        <v>0.133204</v>
      </c>
      <c r="AB41" s="44" t="n">
        <v>0.0031499</v>
      </c>
      <c r="AC41" s="44" t="n">
        <v>1.05161</v>
      </c>
      <c r="AD41" s="44" t="n">
        <v>0.130991</v>
      </c>
      <c r="AE41" s="44" t="n">
        <v>0.0031499</v>
      </c>
      <c r="AF41" s="44" t="n">
        <v>1.06501</v>
      </c>
      <c r="AG41" s="44" t="n">
        <v>0.132831</v>
      </c>
      <c r="AH41" s="44" t="n">
        <v>0.0031499</v>
      </c>
      <c r="AI41" s="44" t="n">
        <v>1.04738</v>
      </c>
      <c r="AJ41" s="44" t="n">
        <v>0.130406</v>
      </c>
      <c r="AK41" s="44" t="n">
        <v>0.0031499</v>
      </c>
      <c r="AL41" s="44" t="n">
        <v>1.04502</v>
      </c>
      <c r="AM41" s="44" t="n">
        <v>0.130054</v>
      </c>
      <c r="AN41" s="44" t="n">
        <v>0.0031499</v>
      </c>
      <c r="AO41" s="44" t="n">
        <v>1.09431</v>
      </c>
      <c r="AP41" s="44" t="n">
        <v>0.136153</v>
      </c>
      <c r="AQ41" s="44" t="n">
        <v>0.0031499</v>
      </c>
      <c r="AR41" s="44" t="n">
        <v>1.07395</v>
      </c>
      <c r="AS41" s="44" t="n">
        <v>0.133314</v>
      </c>
      <c r="AT41" s="44" t="n">
        <v>0.0031499</v>
      </c>
      <c r="AU41" s="44" t="n">
        <v>1.0458</v>
      </c>
      <c r="AV41" s="44" t="n">
        <v>0.129972</v>
      </c>
      <c r="AW41" s="44" t="n">
        <v>0.0031499</v>
      </c>
      <c r="AX41" s="44" t="n">
        <v>1.03938</v>
      </c>
      <c r="AY41" s="44" t="n">
        <v>0.129067</v>
      </c>
      <c r="AZ41" s="44" t="n">
        <v>0.0031499</v>
      </c>
      <c r="BA41" s="44" t="n">
        <v>1.09149</v>
      </c>
      <c r="BB41" s="44" t="n">
        <v>0.135527</v>
      </c>
      <c r="BC41" s="44" t="n">
        <v>0.0031499</v>
      </c>
      <c r="BD41" s="44" t="n">
        <v>1.0624</v>
      </c>
      <c r="BE41" s="44" t="n">
        <v>0.131761</v>
      </c>
      <c r="BF41" s="44" t="n">
        <v>0.0031499</v>
      </c>
      <c r="BG41" s="44" t="n">
        <v>1.05025</v>
      </c>
      <c r="BH41" s="44" t="n">
        <v>0.130435</v>
      </c>
      <c r="BI41" s="44" t="n">
        <v>0.0031499</v>
      </c>
      <c r="BJ41" s="44" t="n">
        <v>1.07151</v>
      </c>
      <c r="BK41" s="44" t="n">
        <v>0.133093</v>
      </c>
      <c r="BL41" s="44" t="n">
        <v>0.0031499</v>
      </c>
      <c r="BM41" s="44" t="n">
        <v>1.08518</v>
      </c>
      <c r="BN41" s="44" t="n">
        <v>0.134569</v>
      </c>
      <c r="BO41" s="44" t="n">
        <v>0.0031499</v>
      </c>
      <c r="BP41" s="44" t="n">
        <v>1.05881</v>
      </c>
      <c r="BQ41" s="44" t="n">
        <v>0.131248</v>
      </c>
      <c r="BR41" s="44" t="n">
        <v>0.0031499</v>
      </c>
      <c r="BS41" s="44" t="n">
        <v>1.08004</v>
      </c>
      <c r="BT41" s="44" t="n">
        <v>0.133989</v>
      </c>
      <c r="BU41" s="44" t="n">
        <v>0.0031499</v>
      </c>
      <c r="BV41" s="44" t="n">
        <v>1.10151</v>
      </c>
      <c r="BW41" s="44" t="n">
        <v>0.13616</v>
      </c>
      <c r="BX41" s="44" t="n">
        <v>0.0031499</v>
      </c>
      <c r="BY41" s="44" t="n">
        <v>1.08779</v>
      </c>
      <c r="BZ41" s="44" t="n">
        <v>0.134328</v>
      </c>
      <c r="CA41" s="44" t="n">
        <v>0.0031499</v>
      </c>
      <c r="CB41" s="44" t="n">
        <v>1.05287</v>
      </c>
      <c r="CC41" s="44" t="n">
        <v>0.13002</v>
      </c>
      <c r="CD41" s="44" t="n">
        <v>0.0031499</v>
      </c>
      <c r="CE41" s="44" t="n">
        <v>1.04835</v>
      </c>
      <c r="CF41" s="44" t="n">
        <v>0.129533</v>
      </c>
      <c r="CG41" s="44" t="n">
        <v>0.0031499</v>
      </c>
      <c r="CH41" s="44" t="n">
        <v>1.07605</v>
      </c>
      <c r="CI41" s="44" t="n">
        <v>0.132473</v>
      </c>
      <c r="CJ41" s="44" t="n">
        <v>0.0031499</v>
      </c>
      <c r="CK41" s="44" t="n">
        <v>1.09041</v>
      </c>
      <c r="CL41" s="44" t="n">
        <v>0.134387</v>
      </c>
      <c r="CM41" s="44" t="n">
        <v>0.0031499</v>
      </c>
      <c r="CN41" s="44" t="n">
        <v>1.07566</v>
      </c>
      <c r="CO41" s="44" t="n">
        <v>0.132777</v>
      </c>
      <c r="CP41" s="44" t="n">
        <v>0.0031499</v>
      </c>
      <c r="CQ41" s="44" t="n">
        <v>1.0571</v>
      </c>
      <c r="CR41" s="44" t="n">
        <v>0.130842</v>
      </c>
      <c r="CS41" s="44" t="n">
        <v>0.0031499</v>
      </c>
      <c r="CT41" s="44" t="n">
        <v>1.08693</v>
      </c>
      <c r="CU41" s="44" t="n">
        <v>0.134807</v>
      </c>
      <c r="CV41" s="44" t="n">
        <v>0.0031499</v>
      </c>
      <c r="CW41" s="44" t="n">
        <v>1.03727</v>
      </c>
      <c r="CX41" s="44" t="n">
        <v>0.129895</v>
      </c>
    </row>
    <row collapsed="false" customFormat="false" customHeight="false" hidden="false" ht="12.75" outlineLevel="0" r="42">
      <c r="A42" s="44" t="n">
        <v>0.0032499</v>
      </c>
      <c r="B42" s="44" t="n">
        <v>0.906479</v>
      </c>
      <c r="C42" s="44" t="n">
        <v>0.122495</v>
      </c>
      <c r="D42" s="44" t="n">
        <v>0.0032499</v>
      </c>
      <c r="E42" s="44" t="n">
        <v>0.943212</v>
      </c>
      <c r="F42" s="44" t="n">
        <v>0.125936</v>
      </c>
      <c r="G42" s="44" t="n">
        <v>0.0032499</v>
      </c>
      <c r="H42" s="44" t="n">
        <v>0.951205</v>
      </c>
      <c r="I42" s="44" t="n">
        <v>0.125362</v>
      </c>
      <c r="J42" s="44" t="n">
        <v>0.0032499</v>
      </c>
      <c r="K42" s="44" t="n">
        <v>0.944904</v>
      </c>
      <c r="L42" s="44" t="n">
        <v>0.123199</v>
      </c>
      <c r="M42" s="44" t="n">
        <v>0.0032499</v>
      </c>
      <c r="N42" s="44" t="n">
        <v>0.971887</v>
      </c>
      <c r="O42" s="44" t="n">
        <v>0.124856</v>
      </c>
      <c r="P42" s="44" t="n">
        <v>0.0032499</v>
      </c>
      <c r="Q42" s="44" t="n">
        <v>1.00582</v>
      </c>
      <c r="R42" s="44" t="n">
        <v>0.127247</v>
      </c>
      <c r="S42" s="44" t="n">
        <v>0.0032499</v>
      </c>
      <c r="T42" s="44" t="n">
        <v>1.02034</v>
      </c>
      <c r="U42" s="44" t="n">
        <v>0.127234</v>
      </c>
      <c r="V42" s="44" t="n">
        <v>0.0032499</v>
      </c>
      <c r="W42" s="44" t="n">
        <v>1.00125</v>
      </c>
      <c r="X42" s="44" t="n">
        <v>0.124503</v>
      </c>
      <c r="Y42" s="44" t="n">
        <v>0.0032499</v>
      </c>
      <c r="Z42" s="44" t="n">
        <v>1.01578</v>
      </c>
      <c r="AA42" s="44" t="n">
        <v>0.126275</v>
      </c>
      <c r="AB42" s="44" t="n">
        <v>0.0032499</v>
      </c>
      <c r="AC42" s="44" t="n">
        <v>1.00233</v>
      </c>
      <c r="AD42" s="44" t="n">
        <v>0.124231</v>
      </c>
      <c r="AE42" s="44" t="n">
        <v>0.0032499</v>
      </c>
      <c r="AF42" s="44" t="n">
        <v>1.01437</v>
      </c>
      <c r="AG42" s="44" t="n">
        <v>0.125962</v>
      </c>
      <c r="AH42" s="44" t="n">
        <v>0.0032499</v>
      </c>
      <c r="AI42" s="44" t="n">
        <v>0.997471</v>
      </c>
      <c r="AJ42" s="44" t="n">
        <v>0.123692</v>
      </c>
      <c r="AK42" s="44" t="n">
        <v>0.0032499</v>
      </c>
      <c r="AL42" s="44" t="n">
        <v>0.99524</v>
      </c>
      <c r="AM42" s="44" t="n">
        <v>0.123312</v>
      </c>
      <c r="AN42" s="44" t="n">
        <v>0.0032499</v>
      </c>
      <c r="AO42" s="44" t="n">
        <v>1.04172</v>
      </c>
      <c r="AP42" s="44" t="n">
        <v>0.129065</v>
      </c>
      <c r="AQ42" s="44" t="n">
        <v>0.0032499</v>
      </c>
      <c r="AR42" s="44" t="n">
        <v>1.02207</v>
      </c>
      <c r="AS42" s="44" t="n">
        <v>0.126366</v>
      </c>
      <c r="AT42" s="44" t="n">
        <v>0.0032499</v>
      </c>
      <c r="AU42" s="44" t="n">
        <v>0.995352</v>
      </c>
      <c r="AV42" s="44" t="n">
        <v>0.123309</v>
      </c>
      <c r="AW42" s="44" t="n">
        <v>0.0032499</v>
      </c>
      <c r="AX42" s="44" t="n">
        <v>0.988352</v>
      </c>
      <c r="AY42" s="44" t="n">
        <v>0.122379</v>
      </c>
      <c r="AZ42" s="44" t="n">
        <v>0.0032499</v>
      </c>
      <c r="BA42" s="44" t="n">
        <v>1.03765</v>
      </c>
      <c r="BB42" s="44" t="n">
        <v>0.128498</v>
      </c>
      <c r="BC42" s="44" t="n">
        <v>0.0032499</v>
      </c>
      <c r="BD42" s="44" t="n">
        <v>1.00886</v>
      </c>
      <c r="BE42" s="44" t="n">
        <v>0.124906</v>
      </c>
      <c r="BF42" s="44" t="n">
        <v>0.0032499</v>
      </c>
      <c r="BG42" s="44" t="n">
        <v>0.997109</v>
      </c>
      <c r="BH42" s="44" t="n">
        <v>0.123681</v>
      </c>
      <c r="BI42" s="44" t="n">
        <v>0.0032499</v>
      </c>
      <c r="BJ42" s="44" t="n">
        <v>1.01757</v>
      </c>
      <c r="BK42" s="44" t="n">
        <v>0.126165</v>
      </c>
      <c r="BL42" s="44" t="n">
        <v>0.0032499</v>
      </c>
      <c r="BM42" s="44" t="n">
        <v>1.03026</v>
      </c>
      <c r="BN42" s="44" t="n">
        <v>0.127567</v>
      </c>
      <c r="BO42" s="44" t="n">
        <v>0.0032499</v>
      </c>
      <c r="BP42" s="44" t="n">
        <v>1.00453</v>
      </c>
      <c r="BQ42" s="44" t="n">
        <v>0.124446</v>
      </c>
      <c r="BR42" s="44" t="n">
        <v>0.0032499</v>
      </c>
      <c r="BS42" s="44" t="n">
        <v>1.02425</v>
      </c>
      <c r="BT42" s="44" t="n">
        <v>0.127053</v>
      </c>
      <c r="BU42" s="44" t="n">
        <v>0.0032499</v>
      </c>
      <c r="BV42" s="44" t="n">
        <v>1.04432</v>
      </c>
      <c r="BW42" s="44" t="n">
        <v>0.12905</v>
      </c>
      <c r="BX42" s="44" t="n">
        <v>0.0032499</v>
      </c>
      <c r="BY42" s="44" t="n">
        <v>1.03124</v>
      </c>
      <c r="BZ42" s="44" t="n">
        <v>0.127333</v>
      </c>
      <c r="CA42" s="44" t="n">
        <v>0.0032499</v>
      </c>
      <c r="CB42" s="44" t="n">
        <v>0.997233</v>
      </c>
      <c r="CC42" s="44" t="n">
        <v>0.123282</v>
      </c>
      <c r="CD42" s="44" t="n">
        <v>0.0032499</v>
      </c>
      <c r="CE42" s="44" t="n">
        <v>0.992745</v>
      </c>
      <c r="CF42" s="44" t="n">
        <v>0.122851</v>
      </c>
      <c r="CG42" s="44" t="n">
        <v>0.0032499</v>
      </c>
      <c r="CH42" s="44" t="n">
        <v>1.01857</v>
      </c>
      <c r="CI42" s="44" t="n">
        <v>0.125599</v>
      </c>
      <c r="CJ42" s="44" t="n">
        <v>0.0032499</v>
      </c>
      <c r="CK42" s="44" t="n">
        <v>1.03237</v>
      </c>
      <c r="CL42" s="44" t="n">
        <v>0.127417</v>
      </c>
      <c r="CM42" s="44" t="n">
        <v>0.0032499</v>
      </c>
      <c r="CN42" s="44" t="n">
        <v>1.01753</v>
      </c>
      <c r="CO42" s="44" t="n">
        <v>0.125864</v>
      </c>
      <c r="CP42" s="44" t="n">
        <v>0.0032499</v>
      </c>
      <c r="CQ42" s="44" t="n">
        <v>0.99955</v>
      </c>
      <c r="CR42" s="44" t="n">
        <v>0.124066</v>
      </c>
      <c r="CS42" s="44" t="n">
        <v>0.0032499</v>
      </c>
      <c r="CT42" s="44" t="n">
        <v>1.02738</v>
      </c>
      <c r="CU42" s="44" t="n">
        <v>0.127816</v>
      </c>
      <c r="CV42" s="44" t="n">
        <v>0.0032499</v>
      </c>
      <c r="CW42" s="44" t="n">
        <v>0.979624</v>
      </c>
      <c r="CX42" s="44" t="n">
        <v>0.123161</v>
      </c>
    </row>
    <row collapsed="false" customFormat="false" customHeight="false" hidden="false" ht="12.75" outlineLevel="0" r="43">
      <c r="A43" s="44" t="n">
        <v>0.0033499</v>
      </c>
      <c r="B43" s="44" t="n">
        <v>0.865092</v>
      </c>
      <c r="C43" s="44" t="n">
        <v>0.116175</v>
      </c>
      <c r="D43" s="44" t="n">
        <v>0.0033499</v>
      </c>
      <c r="E43" s="44" t="n">
        <v>0.899672</v>
      </c>
      <c r="F43" s="44" t="n">
        <v>0.119422</v>
      </c>
      <c r="G43" s="44" t="n">
        <v>0.0033499</v>
      </c>
      <c r="H43" s="44" t="n">
        <v>0.907689</v>
      </c>
      <c r="I43" s="44" t="n">
        <v>0.118867</v>
      </c>
      <c r="J43" s="44" t="n">
        <v>0.0033499</v>
      </c>
      <c r="K43" s="44" t="n">
        <v>0.901071</v>
      </c>
      <c r="L43" s="44" t="n">
        <v>0.116826</v>
      </c>
      <c r="M43" s="44" t="n">
        <v>0.0033499</v>
      </c>
      <c r="N43" s="44" t="n">
        <v>0.927146</v>
      </c>
      <c r="O43" s="44" t="n">
        <v>0.118388</v>
      </c>
      <c r="P43" s="44" t="n">
        <v>0.0033499</v>
      </c>
      <c r="Q43" s="44" t="n">
        <v>0.958746</v>
      </c>
      <c r="R43" s="44" t="n">
        <v>0.120653</v>
      </c>
      <c r="S43" s="44" t="n">
        <v>0.0033499</v>
      </c>
      <c r="T43" s="44" t="n">
        <v>0.972935</v>
      </c>
      <c r="U43" s="44" t="n">
        <v>0.120642</v>
      </c>
      <c r="V43" s="44" t="n">
        <v>0.0033499</v>
      </c>
      <c r="W43" s="44" t="n">
        <v>0.954848</v>
      </c>
      <c r="X43" s="44" t="n">
        <v>0.118084</v>
      </c>
      <c r="Y43" s="44" t="n">
        <v>0.0033499</v>
      </c>
      <c r="Z43" s="44" t="n">
        <v>0.968373</v>
      </c>
      <c r="AA43" s="44" t="n">
        <v>0.119769</v>
      </c>
      <c r="AB43" s="44" t="n">
        <v>0.0033499</v>
      </c>
      <c r="AC43" s="44" t="n">
        <v>0.95482</v>
      </c>
      <c r="AD43" s="44" t="n">
        <v>0.117766</v>
      </c>
      <c r="AE43" s="44" t="n">
        <v>0.0033499</v>
      </c>
      <c r="AF43" s="44" t="n">
        <v>0.966233</v>
      </c>
      <c r="AG43" s="44" t="n">
        <v>0.119427</v>
      </c>
      <c r="AH43" s="44" t="n">
        <v>0.0033499</v>
      </c>
      <c r="AI43" s="44" t="n">
        <v>0.94982</v>
      </c>
      <c r="AJ43" s="44" t="n">
        <v>0.117327</v>
      </c>
      <c r="AK43" s="44" t="n">
        <v>0.0033499</v>
      </c>
      <c r="AL43" s="44" t="n">
        <v>0.947295</v>
      </c>
      <c r="AM43" s="44" t="n">
        <v>0.116936</v>
      </c>
      <c r="AN43" s="44" t="n">
        <v>0.0033499</v>
      </c>
      <c r="AO43" s="44" t="n">
        <v>0.991298</v>
      </c>
      <c r="AP43" s="44" t="n">
        <v>0.12237</v>
      </c>
      <c r="AQ43" s="44" t="n">
        <v>0.0033499</v>
      </c>
      <c r="AR43" s="44" t="n">
        <v>0.972013</v>
      </c>
      <c r="AS43" s="44" t="n">
        <v>0.119809</v>
      </c>
      <c r="AT43" s="44" t="n">
        <v>0.0033499</v>
      </c>
      <c r="AU43" s="44" t="n">
        <v>0.946465</v>
      </c>
      <c r="AV43" s="44" t="n">
        <v>0.117</v>
      </c>
      <c r="AW43" s="44" t="n">
        <v>0.0033499</v>
      </c>
      <c r="AX43" s="44" t="n">
        <v>0.93887</v>
      </c>
      <c r="AY43" s="44" t="n">
        <v>0.116105</v>
      </c>
      <c r="AZ43" s="44" t="n">
        <v>0.0033499</v>
      </c>
      <c r="BA43" s="44" t="n">
        <v>0.985875</v>
      </c>
      <c r="BB43" s="44" t="n">
        <v>0.121877</v>
      </c>
      <c r="BC43" s="44" t="n">
        <v>0.0033499</v>
      </c>
      <c r="BD43" s="44" t="n">
        <v>0.957816</v>
      </c>
      <c r="BE43" s="44" t="n">
        <v>0.11845</v>
      </c>
      <c r="BF43" s="44" t="n">
        <v>0.0033499</v>
      </c>
      <c r="BG43" s="44" t="n">
        <v>0.946742</v>
      </c>
      <c r="BH43" s="44" t="n">
        <v>0.117288</v>
      </c>
      <c r="BI43" s="44" t="n">
        <v>0.0033499</v>
      </c>
      <c r="BJ43" s="44" t="n">
        <v>0.965216</v>
      </c>
      <c r="BK43" s="44" t="n">
        <v>0.119608</v>
      </c>
      <c r="BL43" s="44" t="n">
        <v>0.0033499</v>
      </c>
      <c r="BM43" s="44" t="n">
        <v>0.977329</v>
      </c>
      <c r="BN43" s="44" t="n">
        <v>0.120963</v>
      </c>
      <c r="BO43" s="44" t="n">
        <v>0.0033499</v>
      </c>
      <c r="BP43" s="44" t="n">
        <v>0.952453</v>
      </c>
      <c r="BQ43" s="44" t="n">
        <v>0.118005</v>
      </c>
      <c r="BR43" s="44" t="n">
        <v>0.0033499</v>
      </c>
      <c r="BS43" s="44" t="n">
        <v>0.971294</v>
      </c>
      <c r="BT43" s="44" t="n">
        <v>0.1205</v>
      </c>
      <c r="BU43" s="44" t="n">
        <v>0.0033499</v>
      </c>
      <c r="BV43" s="44" t="n">
        <v>0.990104</v>
      </c>
      <c r="BW43" s="44" t="n">
        <v>0.122365</v>
      </c>
      <c r="BX43" s="44" t="n">
        <v>0.0033499</v>
      </c>
      <c r="BY43" s="44" t="n">
        <v>0.977415</v>
      </c>
      <c r="BZ43" s="44" t="n">
        <v>0.120714</v>
      </c>
      <c r="CA43" s="44" t="n">
        <v>0.0033499</v>
      </c>
      <c r="CB43" s="44" t="n">
        <v>0.944718</v>
      </c>
      <c r="CC43" s="44" t="n">
        <v>0.116936</v>
      </c>
      <c r="CD43" s="44" t="n">
        <v>0.0033499</v>
      </c>
      <c r="CE43" s="44" t="n">
        <v>0.940088</v>
      </c>
      <c r="CF43" s="44" t="n">
        <v>0.116538</v>
      </c>
      <c r="CG43" s="44" t="n">
        <v>0.0033499</v>
      </c>
      <c r="CH43" s="44" t="n">
        <v>0.964335</v>
      </c>
      <c r="CI43" s="44" t="n">
        <v>0.119084</v>
      </c>
      <c r="CJ43" s="44" t="n">
        <v>0.0033499</v>
      </c>
      <c r="CK43" s="44" t="n">
        <v>0.97639</v>
      </c>
      <c r="CL43" s="44" t="n">
        <v>0.120792</v>
      </c>
      <c r="CM43" s="44" t="n">
        <v>0.0033499</v>
      </c>
      <c r="CN43" s="44" t="n">
        <v>0.96224</v>
      </c>
      <c r="CO43" s="44" t="n">
        <v>0.119318</v>
      </c>
      <c r="CP43" s="44" t="n">
        <v>0.0033499</v>
      </c>
      <c r="CQ43" s="44" t="n">
        <v>0.944247</v>
      </c>
      <c r="CR43" s="44" t="n">
        <v>0.11764</v>
      </c>
      <c r="CS43" s="44" t="n">
        <v>0.0033499</v>
      </c>
      <c r="CT43" s="44" t="n">
        <v>0.970927</v>
      </c>
      <c r="CU43" s="44" t="n">
        <v>0.121175</v>
      </c>
      <c r="CV43" s="44" t="n">
        <v>0.0033499</v>
      </c>
      <c r="CW43" s="44" t="n">
        <v>0.92479</v>
      </c>
      <c r="CX43" s="44" t="n">
        <v>0.116784</v>
      </c>
    </row>
    <row collapsed="false" customFormat="false" customHeight="false" hidden="false" ht="12.75" outlineLevel="0" r="44">
      <c r="A44" s="44" t="n">
        <v>0.0034499</v>
      </c>
      <c r="B44" s="44" t="n">
        <v>0.825229</v>
      </c>
      <c r="C44" s="44" t="n">
        <v>0.110225</v>
      </c>
      <c r="D44" s="44" t="n">
        <v>0.0034499</v>
      </c>
      <c r="E44" s="44" t="n">
        <v>0.858559</v>
      </c>
      <c r="F44" s="44" t="n">
        <v>0.113275</v>
      </c>
      <c r="G44" s="44" t="n">
        <v>0.0034499</v>
      </c>
      <c r="H44" s="44" t="n">
        <v>0.86577</v>
      </c>
      <c r="I44" s="44" t="n">
        <v>0.11275</v>
      </c>
      <c r="J44" s="44" t="n">
        <v>0.0034499</v>
      </c>
      <c r="K44" s="44" t="n">
        <v>0.859718</v>
      </c>
      <c r="L44" s="44" t="n">
        <v>0.110835</v>
      </c>
      <c r="M44" s="44" t="n">
        <v>0.0034499</v>
      </c>
      <c r="N44" s="44" t="n">
        <v>0.883845</v>
      </c>
      <c r="O44" s="44" t="n">
        <v>0.112305</v>
      </c>
      <c r="P44" s="44" t="n">
        <v>0.0034499</v>
      </c>
      <c r="Q44" s="44" t="n">
        <v>0.91381</v>
      </c>
      <c r="R44" s="44" t="n">
        <v>0.114429</v>
      </c>
      <c r="S44" s="44" t="n">
        <v>0.0034499</v>
      </c>
      <c r="T44" s="44" t="n">
        <v>0.927911</v>
      </c>
      <c r="U44" s="44" t="n">
        <v>0.114465</v>
      </c>
      <c r="V44" s="44" t="n">
        <v>0.0034499</v>
      </c>
      <c r="W44" s="44" t="n">
        <v>0.90976</v>
      </c>
      <c r="X44" s="44" t="n">
        <v>0.112033</v>
      </c>
      <c r="Y44" s="44" t="n">
        <v>0.0034499</v>
      </c>
      <c r="Z44" s="44" t="n">
        <v>0.922679</v>
      </c>
      <c r="AA44" s="44" t="n">
        <v>0.113656</v>
      </c>
      <c r="AB44" s="44" t="n">
        <v>0.0034499</v>
      </c>
      <c r="AC44" s="44" t="n">
        <v>0.908809</v>
      </c>
      <c r="AD44" s="44" t="n">
        <v>0.11177</v>
      </c>
      <c r="AE44" s="44" t="n">
        <v>0.0034499</v>
      </c>
      <c r="AF44" s="44" t="n">
        <v>0.920461</v>
      </c>
      <c r="AG44" s="44" t="n">
        <v>0.113315</v>
      </c>
      <c r="AH44" s="44" t="n">
        <v>0.0034499</v>
      </c>
      <c r="AI44" s="44" t="n">
        <v>0.904297</v>
      </c>
      <c r="AJ44" s="44" t="n">
        <v>0.111297</v>
      </c>
      <c r="AK44" s="44" t="n">
        <v>0.0034499</v>
      </c>
      <c r="AL44" s="44" t="n">
        <v>0.901299</v>
      </c>
      <c r="AM44" s="44" t="n">
        <v>0.110966</v>
      </c>
      <c r="AN44" s="44" t="n">
        <v>0.0034499</v>
      </c>
      <c r="AO44" s="44" t="n">
        <v>0.943143</v>
      </c>
      <c r="AP44" s="44" t="n">
        <v>0.116041</v>
      </c>
      <c r="AQ44" s="44" t="n">
        <v>0.0034499</v>
      </c>
      <c r="AR44" s="44" t="n">
        <v>0.924</v>
      </c>
      <c r="AS44" s="44" t="n">
        <v>0.113631</v>
      </c>
      <c r="AT44" s="44" t="n">
        <v>0.0034499</v>
      </c>
      <c r="AU44" s="44" t="n">
        <v>0.899517</v>
      </c>
      <c r="AV44" s="44" t="n">
        <v>0.111028</v>
      </c>
      <c r="AW44" s="44" t="n">
        <v>0.0034499</v>
      </c>
      <c r="AX44" s="44" t="n">
        <v>0.892019</v>
      </c>
      <c r="AY44" s="44" t="n">
        <v>0.110114</v>
      </c>
      <c r="AZ44" s="44" t="n">
        <v>0.0034499</v>
      </c>
      <c r="BA44" s="44" t="n">
        <v>0.936671</v>
      </c>
      <c r="BB44" s="44" t="n">
        <v>0.115591</v>
      </c>
      <c r="BC44" s="44" t="n">
        <v>0.0034499</v>
      </c>
      <c r="BD44" s="44" t="n">
        <v>0.909408</v>
      </c>
      <c r="BE44" s="44" t="n">
        <v>0.112362</v>
      </c>
      <c r="BF44" s="44" t="n">
        <v>0.0034499</v>
      </c>
      <c r="BG44" s="44" t="n">
        <v>0.898256</v>
      </c>
      <c r="BH44" s="44" t="n">
        <v>0.111258</v>
      </c>
      <c r="BI44" s="44" t="n">
        <v>0.0034499</v>
      </c>
      <c r="BJ44" s="44" t="n">
        <v>0.915568</v>
      </c>
      <c r="BK44" s="44" t="n">
        <v>0.113463</v>
      </c>
      <c r="BL44" s="44" t="n">
        <v>0.0034499</v>
      </c>
      <c r="BM44" s="44" t="n">
        <v>0.927099</v>
      </c>
      <c r="BN44" s="44" t="n">
        <v>0.11472</v>
      </c>
      <c r="BO44" s="44" t="n">
        <v>0.0034499</v>
      </c>
      <c r="BP44" s="44" t="n">
        <v>0.903044</v>
      </c>
      <c r="BQ44" s="44" t="n">
        <v>0.111976</v>
      </c>
      <c r="BR44" s="44" t="n">
        <v>0.0034499</v>
      </c>
      <c r="BS44" s="44" t="n">
        <v>0.920513</v>
      </c>
      <c r="BT44" s="44" t="n">
        <v>0.114306</v>
      </c>
      <c r="BU44" s="44" t="n">
        <v>0.0034499</v>
      </c>
      <c r="BV44" s="44" t="n">
        <v>0.938</v>
      </c>
      <c r="BW44" s="44" t="n">
        <v>0.116028</v>
      </c>
      <c r="BX44" s="44" t="n">
        <v>0.0034499</v>
      </c>
      <c r="BY44" s="44" t="n">
        <v>0.925452</v>
      </c>
      <c r="BZ44" s="44" t="n">
        <v>0.114493</v>
      </c>
      <c r="CA44" s="44" t="n">
        <v>0.0034499</v>
      </c>
      <c r="CB44" s="44" t="n">
        <v>0.893434</v>
      </c>
      <c r="CC44" s="44" t="n">
        <v>0.110899</v>
      </c>
      <c r="CD44" s="44" t="n">
        <v>0.0034499</v>
      </c>
      <c r="CE44" s="44" t="n">
        <v>0.889673</v>
      </c>
      <c r="CF44" s="44" t="n">
        <v>0.110585</v>
      </c>
      <c r="CG44" s="44" t="n">
        <v>0.0034499</v>
      </c>
      <c r="CH44" s="44" t="n">
        <v>0.912504</v>
      </c>
      <c r="CI44" s="44" t="n">
        <v>0.112953</v>
      </c>
      <c r="CJ44" s="44" t="n">
        <v>0.0034499</v>
      </c>
      <c r="CK44" s="44" t="n">
        <v>0.923392</v>
      </c>
      <c r="CL44" s="44" t="n">
        <v>0.114553</v>
      </c>
      <c r="CM44" s="44" t="n">
        <v>0.0034499</v>
      </c>
      <c r="CN44" s="44" t="n">
        <v>0.90955</v>
      </c>
      <c r="CO44" s="44" t="n">
        <v>0.113203</v>
      </c>
      <c r="CP44" s="44" t="n">
        <v>0.0034499</v>
      </c>
      <c r="CQ44" s="44" t="n">
        <v>0.892113</v>
      </c>
      <c r="CR44" s="44" t="n">
        <v>0.111617</v>
      </c>
      <c r="CS44" s="44" t="n">
        <v>0.0034499</v>
      </c>
      <c r="CT44" s="44" t="n">
        <v>0.916703</v>
      </c>
      <c r="CU44" s="44" t="n">
        <v>0.114944</v>
      </c>
      <c r="CV44" s="44" t="n">
        <v>0.0034499</v>
      </c>
      <c r="CW44" s="44" t="n">
        <v>0.872612</v>
      </c>
      <c r="CX44" s="44" t="n">
        <v>0.110778</v>
      </c>
    </row>
    <row collapsed="false" customFormat="false" customHeight="false" hidden="false" ht="12.75" outlineLevel="0" r="45">
      <c r="A45" s="44" t="n">
        <v>0.0035499</v>
      </c>
      <c r="B45" s="44" t="n">
        <v>0.787231</v>
      </c>
      <c r="C45" s="44" t="n">
        <v>0.1046</v>
      </c>
      <c r="D45" s="44" t="n">
        <v>0.0035499</v>
      </c>
      <c r="E45" s="44" t="n">
        <v>0.818183</v>
      </c>
      <c r="F45" s="44" t="n">
        <v>0.107471</v>
      </c>
      <c r="G45" s="44" t="n">
        <v>0.0035499</v>
      </c>
      <c r="H45" s="44" t="n">
        <v>0.825326</v>
      </c>
      <c r="I45" s="44" t="n">
        <v>0.106986</v>
      </c>
      <c r="J45" s="44" t="n">
        <v>0.0035499</v>
      </c>
      <c r="K45" s="44" t="n">
        <v>0.819225</v>
      </c>
      <c r="L45" s="44" t="n">
        <v>0.105138</v>
      </c>
      <c r="M45" s="44" t="n">
        <v>0.0035499</v>
      </c>
      <c r="N45" s="44" t="n">
        <v>0.842385</v>
      </c>
      <c r="O45" s="44" t="n">
        <v>0.106531</v>
      </c>
      <c r="P45" s="44" t="n">
        <v>0.0035499</v>
      </c>
      <c r="Q45" s="44" t="n">
        <v>0.870861</v>
      </c>
      <c r="R45" s="44" t="n">
        <v>0.10853</v>
      </c>
      <c r="S45" s="44" t="n">
        <v>0.0035499</v>
      </c>
      <c r="T45" s="44" t="n">
        <v>0.884024</v>
      </c>
      <c r="U45" s="44" t="n">
        <v>0.108581</v>
      </c>
      <c r="V45" s="44" t="n">
        <v>0.0035499</v>
      </c>
      <c r="W45" s="44" t="n">
        <v>0.86664</v>
      </c>
      <c r="X45" s="44" t="n">
        <v>0.106288</v>
      </c>
      <c r="Y45" s="44" t="n">
        <v>0.0035499</v>
      </c>
      <c r="Z45" s="44" t="n">
        <v>0.878675</v>
      </c>
      <c r="AA45" s="44" t="n">
        <v>0.107861</v>
      </c>
      <c r="AB45" s="44" t="n">
        <v>0.0035499</v>
      </c>
      <c r="AC45" s="44" t="n">
        <v>0.865166</v>
      </c>
      <c r="AD45" s="44" t="n">
        <v>0.106049</v>
      </c>
      <c r="AE45" s="44" t="n">
        <v>0.0035499</v>
      </c>
      <c r="AF45" s="44" t="n">
        <v>0.875959</v>
      </c>
      <c r="AG45" s="44" t="n">
        <v>0.107532</v>
      </c>
      <c r="AH45" s="44" t="n">
        <v>0.0035499</v>
      </c>
      <c r="AI45" s="44" t="n">
        <v>0.860303</v>
      </c>
      <c r="AJ45" s="44" t="n">
        <v>0.105626</v>
      </c>
      <c r="AK45" s="44" t="n">
        <v>0.0035499</v>
      </c>
      <c r="AL45" s="44" t="n">
        <v>0.856436</v>
      </c>
      <c r="AM45" s="44" t="n">
        <v>0.105279</v>
      </c>
      <c r="AN45" s="44" t="n">
        <v>0.0035499</v>
      </c>
      <c r="AO45" s="44" t="n">
        <v>0.89701</v>
      </c>
      <c r="AP45" s="44" t="n">
        <v>0.110104</v>
      </c>
      <c r="AQ45" s="44" t="n">
        <v>0.0035499</v>
      </c>
      <c r="AR45" s="44" t="n">
        <v>0.877667</v>
      </c>
      <c r="AS45" s="44" t="n">
        <v>0.107844</v>
      </c>
      <c r="AT45" s="44" t="n">
        <v>0.0035499</v>
      </c>
      <c r="AU45" s="44" t="n">
        <v>0.854781</v>
      </c>
      <c r="AV45" s="44" t="n">
        <v>0.105414</v>
      </c>
      <c r="AW45" s="44" t="n">
        <v>0.0035499</v>
      </c>
      <c r="AX45" s="44" t="n">
        <v>0.847225</v>
      </c>
      <c r="AY45" s="44" t="n">
        <v>0.10456</v>
      </c>
      <c r="AZ45" s="44" t="n">
        <v>0.0035499</v>
      </c>
      <c r="BA45" s="44" t="n">
        <v>0.889649</v>
      </c>
      <c r="BB45" s="44" t="n">
        <v>0.109703</v>
      </c>
      <c r="BC45" s="44" t="n">
        <v>0.0035499</v>
      </c>
      <c r="BD45" s="44" t="n">
        <v>0.86326</v>
      </c>
      <c r="BE45" s="44" t="n">
        <v>0.106609</v>
      </c>
      <c r="BF45" s="44" t="n">
        <v>0.0035499</v>
      </c>
      <c r="BG45" s="44" t="n">
        <v>0.852319</v>
      </c>
      <c r="BH45" s="44" t="n">
        <v>0.105576</v>
      </c>
      <c r="BI45" s="44" t="n">
        <v>0.0035499</v>
      </c>
      <c r="BJ45" s="44" t="n">
        <v>0.868185</v>
      </c>
      <c r="BK45" s="44" t="n">
        <v>0.10766</v>
      </c>
      <c r="BL45" s="44" t="n">
        <v>0.0035499</v>
      </c>
      <c r="BM45" s="44" t="n">
        <v>0.879033</v>
      </c>
      <c r="BN45" s="44" t="n">
        <v>0.108868</v>
      </c>
      <c r="BO45" s="44" t="n">
        <v>0.0035499</v>
      </c>
      <c r="BP45" s="44" t="n">
        <v>0.856096</v>
      </c>
      <c r="BQ45" s="44" t="n">
        <v>0.106282</v>
      </c>
      <c r="BR45" s="44" t="n">
        <v>0.0035499</v>
      </c>
      <c r="BS45" s="44" t="n">
        <v>0.872583</v>
      </c>
      <c r="BT45" s="44" t="n">
        <v>0.108479</v>
      </c>
      <c r="BU45" s="44" t="n">
        <v>0.0035499</v>
      </c>
      <c r="BV45" s="44" t="n">
        <v>0.888356</v>
      </c>
      <c r="BW45" s="44" t="n">
        <v>0.110082</v>
      </c>
      <c r="BX45" s="44" t="n">
        <v>0.0035499</v>
      </c>
      <c r="BY45" s="44" t="n">
        <v>0.876317</v>
      </c>
      <c r="BZ45" s="44" t="n">
        <v>0.108634</v>
      </c>
      <c r="CA45" s="44" t="n">
        <v>0.0035499</v>
      </c>
      <c r="CB45" s="44" t="n">
        <v>0.845934</v>
      </c>
      <c r="CC45" s="44" t="n">
        <v>0.105236</v>
      </c>
      <c r="CD45" s="44" t="n">
        <v>0.0035499</v>
      </c>
      <c r="CE45" s="44" t="n">
        <v>0.841363</v>
      </c>
      <c r="CF45" s="44" t="n">
        <v>0.10497</v>
      </c>
      <c r="CG45" s="44" t="n">
        <v>0.0035499</v>
      </c>
      <c r="CH45" s="44" t="n">
        <v>0.862446</v>
      </c>
      <c r="CI45" s="44" t="n">
        <v>0.107186</v>
      </c>
      <c r="CJ45" s="44" t="n">
        <v>0.0035499</v>
      </c>
      <c r="CK45" s="44" t="n">
        <v>0.87348</v>
      </c>
      <c r="CL45" s="44" t="n">
        <v>0.108712</v>
      </c>
      <c r="CM45" s="44" t="n">
        <v>0.0035499</v>
      </c>
      <c r="CN45" s="44" t="n">
        <v>0.859257</v>
      </c>
      <c r="CO45" s="44" t="n">
        <v>0.107377</v>
      </c>
      <c r="CP45" s="44" t="n">
        <v>0.0035499</v>
      </c>
      <c r="CQ45" s="44" t="n">
        <v>0.84287</v>
      </c>
      <c r="CR45" s="44" t="n">
        <v>0.105871</v>
      </c>
      <c r="CS45" s="44" t="n">
        <v>0.0035499</v>
      </c>
      <c r="CT45" s="44" t="n">
        <v>0.865761</v>
      </c>
      <c r="CU45" s="44" t="n">
        <v>0.109055</v>
      </c>
      <c r="CV45" s="44" t="n">
        <v>0.0035499</v>
      </c>
      <c r="CW45" s="44" t="n">
        <v>0.823618</v>
      </c>
      <c r="CX45" s="44" t="n">
        <v>0.10512</v>
      </c>
    </row>
    <row collapsed="false" customFormat="false" customHeight="false" hidden="false" ht="12.75" outlineLevel="0" r="46">
      <c r="A46" s="44" t="n">
        <v>0.0036499</v>
      </c>
      <c r="B46" s="44" t="n">
        <v>0.750942</v>
      </c>
      <c r="C46" s="44" t="n">
        <v>0.0992783</v>
      </c>
      <c r="D46" s="44" t="n">
        <v>0.0036499</v>
      </c>
      <c r="E46" s="44" t="n">
        <v>0.780527</v>
      </c>
      <c r="F46" s="44" t="n">
        <v>0.102005</v>
      </c>
      <c r="G46" s="44" t="n">
        <v>0.0036499</v>
      </c>
      <c r="H46" s="44" t="n">
        <v>0.786537</v>
      </c>
      <c r="I46" s="44" t="n">
        <v>0.101521</v>
      </c>
      <c r="J46" s="44" t="n">
        <v>0.0036499</v>
      </c>
      <c r="K46" s="44" t="n">
        <v>0.780763</v>
      </c>
      <c r="L46" s="44" t="n">
        <v>0.0997874</v>
      </c>
      <c r="M46" s="44" t="n">
        <v>0.0036499</v>
      </c>
      <c r="N46" s="44" t="n">
        <v>0.802702</v>
      </c>
      <c r="O46" s="44" t="n">
        <v>0.101103</v>
      </c>
      <c r="P46" s="44" t="n">
        <v>0.0036499</v>
      </c>
      <c r="Q46" s="44" t="n">
        <v>0.830104</v>
      </c>
      <c r="R46" s="44" t="n">
        <v>0.102982</v>
      </c>
      <c r="S46" s="44" t="n">
        <v>0.0036499</v>
      </c>
      <c r="T46" s="44" t="n">
        <v>0.842252</v>
      </c>
      <c r="U46" s="44" t="n">
        <v>0.103054</v>
      </c>
      <c r="V46" s="44" t="n">
        <v>0.0036499</v>
      </c>
      <c r="W46" s="44" t="n">
        <v>0.825551</v>
      </c>
      <c r="X46" s="44" t="n">
        <v>0.10089</v>
      </c>
      <c r="Y46" s="44" t="n">
        <v>0.0036499</v>
      </c>
      <c r="Z46" s="44" t="n">
        <v>0.836898</v>
      </c>
      <c r="AA46" s="44" t="n">
        <v>0.102373</v>
      </c>
      <c r="AB46" s="44" t="n">
        <v>0.0036499</v>
      </c>
      <c r="AC46" s="44" t="n">
        <v>0.82336</v>
      </c>
      <c r="AD46" s="44" t="n">
        <v>0.100678</v>
      </c>
      <c r="AE46" s="44" t="n">
        <v>0.0036499</v>
      </c>
      <c r="AF46" s="44" t="n">
        <v>0.832991</v>
      </c>
      <c r="AG46" s="44" t="n">
        <v>0.102053</v>
      </c>
      <c r="AH46" s="44" t="n">
        <v>0.0036499</v>
      </c>
      <c r="AI46" s="44" t="n">
        <v>0.817842</v>
      </c>
      <c r="AJ46" s="44" t="n">
        <v>0.100286</v>
      </c>
      <c r="AK46" s="44" t="n">
        <v>0.0036499</v>
      </c>
      <c r="AL46" s="44" t="n">
        <v>0.81419</v>
      </c>
      <c r="AM46" s="44" t="n">
        <v>0.0999646</v>
      </c>
      <c r="AN46" s="44" t="n">
        <v>0.0036499</v>
      </c>
      <c r="AO46" s="44" t="n">
        <v>0.852123</v>
      </c>
      <c r="AP46" s="44" t="n">
        <v>0.104482</v>
      </c>
      <c r="AQ46" s="44" t="n">
        <v>0.0036499</v>
      </c>
      <c r="AR46" s="44" t="n">
        <v>0.833878</v>
      </c>
      <c r="AS46" s="44" t="n">
        <v>0.102332</v>
      </c>
      <c r="AT46" s="44" t="n">
        <v>0.0036499</v>
      </c>
      <c r="AU46" s="44" t="n">
        <v>0.811558</v>
      </c>
      <c r="AV46" s="44" t="n">
        <v>0.100102</v>
      </c>
      <c r="AW46" s="44" t="n">
        <v>0.0036499</v>
      </c>
      <c r="AX46" s="44" t="n">
        <v>0.804065</v>
      </c>
      <c r="AY46" s="44" t="n">
        <v>0.0992411</v>
      </c>
      <c r="AZ46" s="44" t="n">
        <v>0.0036499</v>
      </c>
      <c r="BA46" s="44" t="n">
        <v>0.844234</v>
      </c>
      <c r="BB46" s="44" t="n">
        <v>0.10408</v>
      </c>
      <c r="BC46" s="44" t="n">
        <v>0.0036499</v>
      </c>
      <c r="BD46" s="44" t="n">
        <v>0.81829</v>
      </c>
      <c r="BE46" s="44" t="n">
        <v>0.101153</v>
      </c>
      <c r="BF46" s="44" t="n">
        <v>0.0036499</v>
      </c>
      <c r="BG46" s="44" t="n">
        <v>0.808022</v>
      </c>
      <c r="BH46" s="44" t="n">
        <v>0.10022</v>
      </c>
      <c r="BI46" s="44" t="n">
        <v>0.0036499</v>
      </c>
      <c r="BJ46" s="44" t="n">
        <v>0.822506</v>
      </c>
      <c r="BK46" s="44" t="n">
        <v>0.102162</v>
      </c>
      <c r="BL46" s="44" t="n">
        <v>0.0036499</v>
      </c>
      <c r="BM46" s="44" t="n">
        <v>0.832968</v>
      </c>
      <c r="BN46" s="44" t="n">
        <v>0.103317</v>
      </c>
      <c r="BO46" s="44" t="n">
        <v>0.0036499</v>
      </c>
      <c r="BP46" s="44" t="n">
        <v>0.810896</v>
      </c>
      <c r="BQ46" s="44" t="n">
        <v>0.100903</v>
      </c>
      <c r="BR46" s="44" t="n">
        <v>0.0036499</v>
      </c>
      <c r="BS46" s="44" t="n">
        <v>0.826655</v>
      </c>
      <c r="BT46" s="44" t="n">
        <v>0.102963</v>
      </c>
      <c r="BU46" s="44" t="n">
        <v>0.0036499</v>
      </c>
      <c r="BV46" s="44" t="n">
        <v>0.841256</v>
      </c>
      <c r="BW46" s="44" t="n">
        <v>0.104468</v>
      </c>
      <c r="BX46" s="44" t="n">
        <v>0.0036499</v>
      </c>
      <c r="BY46" s="44" t="n">
        <v>0.829295</v>
      </c>
      <c r="BZ46" s="44" t="n">
        <v>0.103064</v>
      </c>
      <c r="CA46" s="44" t="n">
        <v>0.0036499</v>
      </c>
      <c r="CB46" s="44" t="n">
        <v>0.800661</v>
      </c>
      <c r="CC46" s="44" t="n">
        <v>0.0999231</v>
      </c>
      <c r="CD46" s="44" t="n">
        <v>0.0036499</v>
      </c>
      <c r="CE46" s="44" t="n">
        <v>0.796143</v>
      </c>
      <c r="CF46" s="44" t="n">
        <v>0.0996395</v>
      </c>
      <c r="CG46" s="44" t="n">
        <v>0.0036499</v>
      </c>
      <c r="CH46" s="44" t="n">
        <v>0.815453</v>
      </c>
      <c r="CI46" s="44" t="n">
        <v>0.101704</v>
      </c>
      <c r="CJ46" s="44" t="n">
        <v>0.0036499</v>
      </c>
      <c r="CK46" s="44" t="n">
        <v>0.825306</v>
      </c>
      <c r="CL46" s="44" t="n">
        <v>0.103161</v>
      </c>
      <c r="CM46" s="44" t="n">
        <v>0.0036499</v>
      </c>
      <c r="CN46" s="44" t="n">
        <v>0.811073</v>
      </c>
      <c r="CO46" s="44" t="n">
        <v>0.101885</v>
      </c>
      <c r="CP46" s="44" t="n">
        <v>0.0036499</v>
      </c>
      <c r="CQ46" s="44" t="n">
        <v>0.79537</v>
      </c>
      <c r="CR46" s="44" t="n">
        <v>0.100503</v>
      </c>
      <c r="CS46" s="44" t="n">
        <v>0.0036499</v>
      </c>
      <c r="CT46" s="44" t="n">
        <v>0.816942</v>
      </c>
      <c r="CU46" s="44" t="n">
        <v>0.103469</v>
      </c>
      <c r="CV46" s="44" t="n">
        <v>0.0036499</v>
      </c>
      <c r="CW46" s="44" t="n">
        <v>0.776796</v>
      </c>
      <c r="CX46" s="44" t="n">
        <v>0.0997545</v>
      </c>
    </row>
    <row collapsed="false" customFormat="false" customHeight="false" hidden="false" ht="12.75" outlineLevel="0" r="47">
      <c r="A47" s="44" t="n">
        <v>0.0037499</v>
      </c>
      <c r="B47" s="44" t="n">
        <v>0.715434</v>
      </c>
      <c r="C47" s="44" t="n">
        <v>0.094332</v>
      </c>
      <c r="D47" s="44" t="n">
        <v>0.0037499</v>
      </c>
      <c r="E47" s="44" t="n">
        <v>0.743832</v>
      </c>
      <c r="F47" s="44" t="n">
        <v>0.0968465</v>
      </c>
      <c r="G47" s="44" t="n">
        <v>0.0037499</v>
      </c>
      <c r="H47" s="44" t="n">
        <v>0.749266</v>
      </c>
      <c r="I47" s="44" t="n">
        <v>0.0964265</v>
      </c>
      <c r="J47" s="44" t="n">
        <v>0.0037499</v>
      </c>
      <c r="K47" s="44" t="n">
        <v>0.743483</v>
      </c>
      <c r="L47" s="44" t="n">
        <v>0.0947678</v>
      </c>
      <c r="M47" s="44" t="n">
        <v>0.0037499</v>
      </c>
      <c r="N47" s="44" t="n">
        <v>0.764196</v>
      </c>
      <c r="O47" s="44" t="n">
        <v>0.0960058</v>
      </c>
      <c r="P47" s="44" t="n">
        <v>0.0037499</v>
      </c>
      <c r="Q47" s="44" t="n">
        <v>0.790284</v>
      </c>
      <c r="R47" s="44" t="n">
        <v>0.0977389</v>
      </c>
      <c r="S47" s="44" t="n">
        <v>0.0037499</v>
      </c>
      <c r="T47" s="44" t="n">
        <v>0.801778</v>
      </c>
      <c r="U47" s="44" t="n">
        <v>0.0978526</v>
      </c>
      <c r="V47" s="44" t="n">
        <v>0.0037499</v>
      </c>
      <c r="W47" s="44" t="n">
        <v>0.785747</v>
      </c>
      <c r="X47" s="44" t="n">
        <v>0.0958132</v>
      </c>
      <c r="Y47" s="44" t="n">
        <v>0.0037499</v>
      </c>
      <c r="Z47" s="44" t="n">
        <v>0.796175</v>
      </c>
      <c r="AA47" s="44" t="n">
        <v>0.0972357</v>
      </c>
      <c r="AB47" s="44" t="n">
        <v>0.0037499</v>
      </c>
      <c r="AC47" s="44" t="n">
        <v>0.78356</v>
      </c>
      <c r="AD47" s="44" t="n">
        <v>0.0956106</v>
      </c>
      <c r="AE47" s="44" t="n">
        <v>0.0037499</v>
      </c>
      <c r="AF47" s="44" t="n">
        <v>0.792317</v>
      </c>
      <c r="AG47" s="44" t="n">
        <v>0.0969066</v>
      </c>
      <c r="AH47" s="44" t="n">
        <v>0.0037499</v>
      </c>
      <c r="AI47" s="44" t="n">
        <v>0.777725</v>
      </c>
      <c r="AJ47" s="44" t="n">
        <v>0.0952734</v>
      </c>
      <c r="AK47" s="44" t="n">
        <v>0.0037499</v>
      </c>
      <c r="AL47" s="44" t="n">
        <v>0.773775</v>
      </c>
      <c r="AM47" s="44" t="n">
        <v>0.0949626</v>
      </c>
      <c r="AN47" s="44" t="n">
        <v>0.0037499</v>
      </c>
      <c r="AO47" s="44" t="n">
        <v>0.809481</v>
      </c>
      <c r="AP47" s="44" t="n">
        <v>0.0991764</v>
      </c>
      <c r="AQ47" s="44" t="n">
        <v>0.0037499</v>
      </c>
      <c r="AR47" s="44" t="n">
        <v>0.791744</v>
      </c>
      <c r="AS47" s="44" t="n">
        <v>0.097151</v>
      </c>
      <c r="AT47" s="44" t="n">
        <v>0.0037499</v>
      </c>
      <c r="AU47" s="44" t="n">
        <v>0.771123</v>
      </c>
      <c r="AV47" s="44" t="n">
        <v>0.0951386</v>
      </c>
      <c r="AW47" s="44" t="n">
        <v>0.0037499</v>
      </c>
      <c r="AX47" s="44" t="n">
        <v>0.763025</v>
      </c>
      <c r="AY47" s="44" t="n">
        <v>0.0942997</v>
      </c>
      <c r="AZ47" s="44" t="n">
        <v>0.0037499</v>
      </c>
      <c r="BA47" s="44" t="n">
        <v>0.801212</v>
      </c>
      <c r="BB47" s="44" t="n">
        <v>0.0988495</v>
      </c>
      <c r="BC47" s="44" t="n">
        <v>0.0037499</v>
      </c>
      <c r="BD47" s="44" t="n">
        <v>0.776112</v>
      </c>
      <c r="BE47" s="44" t="n">
        <v>0.0960792</v>
      </c>
      <c r="BF47" s="44" t="n">
        <v>0.0037499</v>
      </c>
      <c r="BG47" s="44" t="n">
        <v>0.765727</v>
      </c>
      <c r="BH47" s="44" t="n">
        <v>0.095193</v>
      </c>
      <c r="BI47" s="44" t="n">
        <v>0.0037499</v>
      </c>
      <c r="BJ47" s="44" t="n">
        <v>0.779625</v>
      </c>
      <c r="BK47" s="44" t="n">
        <v>0.0969865</v>
      </c>
      <c r="BL47" s="44" t="n">
        <v>0.0037499</v>
      </c>
      <c r="BM47" s="44" t="n">
        <v>0.789453</v>
      </c>
      <c r="BN47" s="44" t="n">
        <v>0.0981037</v>
      </c>
      <c r="BO47" s="44" t="n">
        <v>0.0037499</v>
      </c>
      <c r="BP47" s="44" t="n">
        <v>0.768415</v>
      </c>
      <c r="BQ47" s="44" t="n">
        <v>0.0958457</v>
      </c>
      <c r="BR47" s="44" t="n">
        <v>0.0037499</v>
      </c>
      <c r="BS47" s="44" t="n">
        <v>0.782681</v>
      </c>
      <c r="BT47" s="44" t="n">
        <v>0.0977796</v>
      </c>
      <c r="BU47" s="44" t="n">
        <v>0.0037499</v>
      </c>
      <c r="BV47" s="44" t="n">
        <v>0.796359</v>
      </c>
      <c r="BW47" s="44" t="n">
        <v>0.0991619</v>
      </c>
      <c r="BX47" s="44" t="n">
        <v>0.0037499</v>
      </c>
      <c r="BY47" s="44" t="n">
        <v>0.785037</v>
      </c>
      <c r="BZ47" s="44" t="n">
        <v>0.0978509</v>
      </c>
      <c r="CA47" s="44" t="n">
        <v>0.0037499</v>
      </c>
      <c r="CB47" s="44" t="n">
        <v>0.757091</v>
      </c>
      <c r="CC47" s="44" t="n">
        <v>0.094925</v>
      </c>
      <c r="CD47" s="44" t="n">
        <v>0.0037499</v>
      </c>
      <c r="CE47" s="44" t="n">
        <v>0.75273</v>
      </c>
      <c r="CF47" s="44" t="n">
        <v>0.0946366</v>
      </c>
      <c r="CG47" s="44" t="n">
        <v>0.0037499</v>
      </c>
      <c r="CH47" s="44" t="n">
        <v>0.770717</v>
      </c>
      <c r="CI47" s="44" t="n">
        <v>0.0965914</v>
      </c>
      <c r="CJ47" s="44" t="n">
        <v>0.0037499</v>
      </c>
      <c r="CK47" s="44" t="n">
        <v>0.779622</v>
      </c>
      <c r="CL47" s="44" t="n">
        <v>0.0979203</v>
      </c>
      <c r="CM47" s="44" t="n">
        <v>0.0037499</v>
      </c>
      <c r="CN47" s="44" t="n">
        <v>0.766498</v>
      </c>
      <c r="CO47" s="44" t="n">
        <v>0.0967417</v>
      </c>
      <c r="CP47" s="44" t="n">
        <v>0.0037499</v>
      </c>
      <c r="CQ47" s="44" t="n">
        <v>0.750712</v>
      </c>
      <c r="CR47" s="44" t="n">
        <v>0.0954193</v>
      </c>
      <c r="CS47" s="44" t="n">
        <v>0.0037499</v>
      </c>
      <c r="CT47" s="44" t="n">
        <v>0.771356</v>
      </c>
      <c r="CU47" s="44" t="n">
        <v>0.0982214</v>
      </c>
      <c r="CV47" s="44" t="n">
        <v>0.0037499</v>
      </c>
      <c r="CW47" s="44" t="n">
        <v>0.732353</v>
      </c>
      <c r="CX47" s="44" t="n">
        <v>0.0947604</v>
      </c>
    </row>
    <row collapsed="false" customFormat="false" customHeight="false" hidden="false" ht="12.75" outlineLevel="0" r="48">
      <c r="A48" s="44" t="n">
        <v>0.0038499</v>
      </c>
      <c r="B48" s="44" t="n">
        <v>0.681601</v>
      </c>
      <c r="C48" s="44" t="n">
        <v>0.0894902</v>
      </c>
      <c r="D48" s="44" t="n">
        <v>0.0038499</v>
      </c>
      <c r="E48" s="44" t="n">
        <v>0.708988</v>
      </c>
      <c r="F48" s="44" t="n">
        <v>0.0919666</v>
      </c>
      <c r="G48" s="44" t="n">
        <v>0.0038499</v>
      </c>
      <c r="H48" s="44" t="n">
        <v>0.714081</v>
      </c>
      <c r="I48" s="44" t="n">
        <v>0.0915232</v>
      </c>
      <c r="J48" s="44" t="n">
        <v>0.0038499</v>
      </c>
      <c r="K48" s="44" t="n">
        <v>0.707809</v>
      </c>
      <c r="L48" s="44" t="n">
        <v>0.0899182</v>
      </c>
      <c r="M48" s="44" t="n">
        <v>0.0038499</v>
      </c>
      <c r="N48" s="44" t="n">
        <v>0.727194</v>
      </c>
      <c r="O48" s="44" t="n">
        <v>0.0911377</v>
      </c>
      <c r="P48" s="44" t="n">
        <v>0.0038499</v>
      </c>
      <c r="Q48" s="44" t="n">
        <v>0.752194</v>
      </c>
      <c r="R48" s="44" t="n">
        <v>0.0928248</v>
      </c>
      <c r="S48" s="44" t="n">
        <v>0.0038499</v>
      </c>
      <c r="T48" s="44" t="n">
        <v>0.763297</v>
      </c>
      <c r="U48" s="44" t="n">
        <v>0.0929463</v>
      </c>
      <c r="V48" s="44" t="n">
        <v>0.0038499</v>
      </c>
      <c r="W48" s="44" t="n">
        <v>0.747544</v>
      </c>
      <c r="X48" s="44" t="n">
        <v>0.0909636</v>
      </c>
      <c r="Y48" s="44" t="n">
        <v>0.0038499</v>
      </c>
      <c r="Z48" s="44" t="n">
        <v>0.758109</v>
      </c>
      <c r="AA48" s="44" t="n">
        <v>0.0923587</v>
      </c>
      <c r="AB48" s="44" t="n">
        <v>0.0038499</v>
      </c>
      <c r="AC48" s="44" t="n">
        <v>0.745093</v>
      </c>
      <c r="AD48" s="44" t="n">
        <v>0.0907717</v>
      </c>
      <c r="AE48" s="44" t="n">
        <v>0.0038499</v>
      </c>
      <c r="AF48" s="44" t="n">
        <v>0.753401</v>
      </c>
      <c r="AG48" s="44" t="n">
        <v>0.0920619</v>
      </c>
      <c r="AH48" s="44" t="n">
        <v>0.0038499</v>
      </c>
      <c r="AI48" s="44" t="n">
        <v>0.739024</v>
      </c>
      <c r="AJ48" s="44" t="n">
        <v>0.0904482</v>
      </c>
      <c r="AK48" s="44" t="n">
        <v>0.0038499</v>
      </c>
      <c r="AL48" s="44" t="n">
        <v>0.734673</v>
      </c>
      <c r="AM48" s="44" t="n">
        <v>0.0901687</v>
      </c>
      <c r="AN48" s="44" t="n">
        <v>0.0038499</v>
      </c>
      <c r="AO48" s="44" t="n">
        <v>0.76909</v>
      </c>
      <c r="AP48" s="44" t="n">
        <v>0.0942369</v>
      </c>
      <c r="AQ48" s="44" t="n">
        <v>0.0038499</v>
      </c>
      <c r="AR48" s="44" t="n">
        <v>0.751827</v>
      </c>
      <c r="AS48" s="44" t="n">
        <v>0.0922623</v>
      </c>
      <c r="AT48" s="44" t="n">
        <v>0.0038499</v>
      </c>
      <c r="AU48" s="44" t="n">
        <v>0.731724</v>
      </c>
      <c r="AV48" s="44" t="n">
        <v>0.0903203</v>
      </c>
      <c r="AW48" s="44" t="n">
        <v>0.0038499</v>
      </c>
      <c r="AX48" s="44" t="n">
        <v>0.723821</v>
      </c>
      <c r="AY48" s="44" t="n">
        <v>0.0895204</v>
      </c>
      <c r="AZ48" s="44" t="n">
        <v>0.0038499</v>
      </c>
      <c r="BA48" s="44" t="n">
        <v>0.760172</v>
      </c>
      <c r="BB48" s="44" t="n">
        <v>0.0938915</v>
      </c>
      <c r="BC48" s="44" t="n">
        <v>0.0038499</v>
      </c>
      <c r="BD48" s="44" t="n">
        <v>0.735707</v>
      </c>
      <c r="BE48" s="44" t="n">
        <v>0.0912188</v>
      </c>
      <c r="BF48" s="44" t="n">
        <v>0.0038499</v>
      </c>
      <c r="BG48" s="44" t="n">
        <v>0.725536</v>
      </c>
      <c r="BH48" s="44" t="n">
        <v>0.0903365</v>
      </c>
      <c r="BI48" s="44" t="n">
        <v>0.0038499</v>
      </c>
      <c r="BJ48" s="44" t="n">
        <v>0.738571</v>
      </c>
      <c r="BK48" s="44" t="n">
        <v>0.0920647</v>
      </c>
      <c r="BL48" s="44" t="n">
        <v>0.0038499</v>
      </c>
      <c r="BM48" s="44" t="n">
        <v>0.747724</v>
      </c>
      <c r="BN48" s="44" t="n">
        <v>0.0931242</v>
      </c>
      <c r="BO48" s="44" t="n">
        <v>0.0038499</v>
      </c>
      <c r="BP48" s="44" t="n">
        <v>0.727663</v>
      </c>
      <c r="BQ48" s="44" t="n">
        <v>0.0909951</v>
      </c>
      <c r="BR48" s="44" t="n">
        <v>0.0038499</v>
      </c>
      <c r="BS48" s="44" t="n">
        <v>0.740933</v>
      </c>
      <c r="BT48" s="44" t="n">
        <v>0.092885</v>
      </c>
      <c r="BU48" s="44" t="n">
        <v>0.0038499</v>
      </c>
      <c r="BV48" s="44" t="n">
        <v>0.753507</v>
      </c>
      <c r="BW48" s="44" t="n">
        <v>0.0941893</v>
      </c>
      <c r="BX48" s="44" t="n">
        <v>0.0038499</v>
      </c>
      <c r="BY48" s="44" t="n">
        <v>0.741722</v>
      </c>
      <c r="BZ48" s="44" t="n">
        <v>0.0929388</v>
      </c>
      <c r="CA48" s="44" t="n">
        <v>0.0038499</v>
      </c>
      <c r="CB48" s="44" t="n">
        <v>0.715744</v>
      </c>
      <c r="CC48" s="44" t="n">
        <v>0.0900979</v>
      </c>
      <c r="CD48" s="44" t="n">
        <v>0.0038499</v>
      </c>
      <c r="CE48" s="44" t="n">
        <v>0.711597</v>
      </c>
      <c r="CF48" s="44" t="n">
        <v>0.0898289</v>
      </c>
      <c r="CG48" s="44" t="n">
        <v>0.0038499</v>
      </c>
      <c r="CH48" s="44" t="n">
        <v>0.727992</v>
      </c>
      <c r="CI48" s="44" t="n">
        <v>0.0917145</v>
      </c>
      <c r="CJ48" s="44" t="n">
        <v>0.0038499</v>
      </c>
      <c r="CK48" s="44" t="n">
        <v>0.736273</v>
      </c>
      <c r="CL48" s="44" t="n">
        <v>0.0930121</v>
      </c>
      <c r="CM48" s="44" t="n">
        <v>0.0038499</v>
      </c>
      <c r="CN48" s="44" t="n">
        <v>0.72372</v>
      </c>
      <c r="CO48" s="44" t="n">
        <v>0.0918706</v>
      </c>
      <c r="CP48" s="44" t="n">
        <v>0.0038499</v>
      </c>
      <c r="CQ48" s="44" t="n">
        <v>0.708153</v>
      </c>
      <c r="CR48" s="44" t="n">
        <v>0.0905814</v>
      </c>
      <c r="CS48" s="44" t="n">
        <v>0.0038499</v>
      </c>
      <c r="CT48" s="44" t="n">
        <v>0.72768</v>
      </c>
      <c r="CU48" s="44" t="n">
        <v>0.093321</v>
      </c>
      <c r="CV48" s="44" t="n">
        <v>0.0038499</v>
      </c>
      <c r="CW48" s="44" t="n">
        <v>0.69082</v>
      </c>
      <c r="CX48" s="44" t="n">
        <v>0.0899078</v>
      </c>
    </row>
    <row collapsed="false" customFormat="false" customHeight="false" hidden="false" ht="12.75" outlineLevel="0" r="49">
      <c r="A49" s="44" t="n">
        <v>0.0039499</v>
      </c>
      <c r="B49" s="44" t="n">
        <v>0.649794</v>
      </c>
      <c r="C49" s="44" t="n">
        <v>0.0850127</v>
      </c>
      <c r="D49" s="44" t="n">
        <v>0.0039499</v>
      </c>
      <c r="E49" s="44" t="n">
        <v>0.675258</v>
      </c>
      <c r="F49" s="44" t="n">
        <v>0.087327</v>
      </c>
      <c r="G49" s="44" t="n">
        <v>0.0039499</v>
      </c>
      <c r="H49" s="44" t="n">
        <v>0.679662</v>
      </c>
      <c r="I49" s="44" t="n">
        <v>0.0868836</v>
      </c>
      <c r="J49" s="44" t="n">
        <v>0.0039499</v>
      </c>
      <c r="K49" s="44" t="n">
        <v>0.673864</v>
      </c>
      <c r="L49" s="44" t="n">
        <v>0.0853987</v>
      </c>
      <c r="M49" s="44" t="n">
        <v>0.0039499</v>
      </c>
      <c r="N49" s="44" t="n">
        <v>0.692282</v>
      </c>
      <c r="O49" s="44" t="n">
        <v>0.0865244</v>
      </c>
      <c r="P49" s="44" t="n">
        <v>0.0039499</v>
      </c>
      <c r="Q49" s="44" t="n">
        <v>0.716202</v>
      </c>
      <c r="R49" s="44" t="n">
        <v>0.0881012</v>
      </c>
      <c r="S49" s="44" t="n">
        <v>0.0039499</v>
      </c>
      <c r="T49" s="44" t="n">
        <v>0.726715</v>
      </c>
      <c r="U49" s="44" t="n">
        <v>0.0882403</v>
      </c>
      <c r="V49" s="44" t="n">
        <v>0.0039499</v>
      </c>
      <c r="W49" s="44" t="n">
        <v>0.711001</v>
      </c>
      <c r="X49" s="44" t="n">
        <v>0.0863766</v>
      </c>
      <c r="Y49" s="44" t="n">
        <v>0.0039499</v>
      </c>
      <c r="Z49" s="44" t="n">
        <v>0.720985</v>
      </c>
      <c r="AA49" s="44" t="n">
        <v>0.0876507</v>
      </c>
      <c r="AB49" s="44" t="n">
        <v>0.0039499</v>
      </c>
      <c r="AC49" s="44" t="n">
        <v>0.70815</v>
      </c>
      <c r="AD49" s="44" t="n">
        <v>0.086178</v>
      </c>
      <c r="AE49" s="44" t="n">
        <v>0.0039499</v>
      </c>
      <c r="AF49" s="44" t="n">
        <v>0.71595</v>
      </c>
      <c r="AG49" s="44" t="n">
        <v>0.0873841</v>
      </c>
      <c r="AH49" s="44" t="n">
        <v>0.0039499</v>
      </c>
      <c r="AI49" s="44" t="n">
        <v>0.701929</v>
      </c>
      <c r="AJ49" s="44" t="n">
        <v>0.0859082</v>
      </c>
      <c r="AK49" s="44" t="n">
        <v>0.0039499</v>
      </c>
      <c r="AL49" s="44" t="n">
        <v>0.697896</v>
      </c>
      <c r="AM49" s="44" t="n">
        <v>0.085615</v>
      </c>
      <c r="AN49" s="44" t="n">
        <v>0.0039499</v>
      </c>
      <c r="AO49" s="44" t="n">
        <v>0.730399</v>
      </c>
      <c r="AP49" s="44" t="n">
        <v>0.089401</v>
      </c>
      <c r="AQ49" s="44" t="n">
        <v>0.0039499</v>
      </c>
      <c r="AR49" s="44" t="n">
        <v>0.713287</v>
      </c>
      <c r="AS49" s="44" t="n">
        <v>0.0875563</v>
      </c>
      <c r="AT49" s="44" t="n">
        <v>0.0039499</v>
      </c>
      <c r="AU49" s="44" t="n">
        <v>0.694385</v>
      </c>
      <c r="AV49" s="44" t="n">
        <v>0.085788</v>
      </c>
      <c r="AW49" s="44" t="n">
        <v>0.0039499</v>
      </c>
      <c r="AX49" s="44" t="n">
        <v>0.686365</v>
      </c>
      <c r="AY49" s="44" t="n">
        <v>0.0850213</v>
      </c>
      <c r="AZ49" s="44" t="n">
        <v>0.0039499</v>
      </c>
      <c r="BA49" s="44" t="n">
        <v>0.720704</v>
      </c>
      <c r="BB49" s="44" t="n">
        <v>0.0891463</v>
      </c>
      <c r="BC49" s="44" t="n">
        <v>0.0039499</v>
      </c>
      <c r="BD49" s="44" t="n">
        <v>0.697005</v>
      </c>
      <c r="BE49" s="44" t="n">
        <v>0.0866065</v>
      </c>
      <c r="BF49" s="44" t="n">
        <v>0.0039499</v>
      </c>
      <c r="BG49" s="44" t="n">
        <v>0.687538</v>
      </c>
      <c r="BH49" s="44" t="n">
        <v>0.0858111</v>
      </c>
      <c r="BI49" s="44" t="n">
        <v>0.0039499</v>
      </c>
      <c r="BJ49" s="44" t="n">
        <v>0.699645</v>
      </c>
      <c r="BK49" s="44" t="n">
        <v>0.0873967</v>
      </c>
      <c r="BL49" s="44" t="n">
        <v>0.0039499</v>
      </c>
      <c r="BM49" s="44" t="n">
        <v>0.707861</v>
      </c>
      <c r="BN49" s="44" t="n">
        <v>0.088425</v>
      </c>
      <c r="BO49" s="44" t="n">
        <v>0.0039499</v>
      </c>
      <c r="BP49" s="44" t="n">
        <v>0.688181</v>
      </c>
      <c r="BQ49" s="44" t="n">
        <v>0.0864151</v>
      </c>
      <c r="BR49" s="44" t="n">
        <v>0.0039499</v>
      </c>
      <c r="BS49" s="44" t="n">
        <v>0.701372</v>
      </c>
      <c r="BT49" s="44" t="n">
        <v>0.0881829</v>
      </c>
      <c r="BU49" s="44" t="n">
        <v>0.0039499</v>
      </c>
      <c r="BV49" s="44" t="n">
        <v>0.712751</v>
      </c>
      <c r="BW49" s="44" t="n">
        <v>0.0893856</v>
      </c>
      <c r="BX49" s="44" t="n">
        <v>0.0039499</v>
      </c>
      <c r="BY49" s="44" t="n">
        <v>0.701478</v>
      </c>
      <c r="BZ49" s="44" t="n">
        <v>0.0882015</v>
      </c>
      <c r="CA49" s="44" t="n">
        <v>0.0039499</v>
      </c>
      <c r="CB49" s="44" t="n">
        <v>0.676246</v>
      </c>
      <c r="CC49" s="44" t="n">
        <v>0.0855676</v>
      </c>
      <c r="CD49" s="44" t="n">
        <v>0.0039499</v>
      </c>
      <c r="CE49" s="44" t="n">
        <v>0.671934</v>
      </c>
      <c r="CF49" s="44" t="n">
        <v>0.0853143</v>
      </c>
      <c r="CG49" s="44" t="n">
        <v>0.0039499</v>
      </c>
      <c r="CH49" s="44" t="n">
        <v>0.687895</v>
      </c>
      <c r="CI49" s="44" t="n">
        <v>0.0870758</v>
      </c>
      <c r="CJ49" s="44" t="n">
        <v>0.0039499</v>
      </c>
      <c r="CK49" s="44" t="n">
        <v>0.695555</v>
      </c>
      <c r="CL49" s="44" t="n">
        <v>0.0883011</v>
      </c>
      <c r="CM49" s="44" t="n">
        <v>0.0039499</v>
      </c>
      <c r="CN49" s="44" t="n">
        <v>0.682817</v>
      </c>
      <c r="CO49" s="44" t="n">
        <v>0.0872124</v>
      </c>
      <c r="CP49" s="44" t="n">
        <v>0.0039499</v>
      </c>
      <c r="CQ49" s="44" t="n">
        <v>0.667817</v>
      </c>
      <c r="CR49" s="44" t="n">
        <v>0.0860111</v>
      </c>
      <c r="CS49" s="44" t="n">
        <v>0.0039499</v>
      </c>
      <c r="CT49" s="44" t="n">
        <v>0.686215</v>
      </c>
      <c r="CU49" s="44" t="n">
        <v>0.0885612</v>
      </c>
      <c r="CV49" s="44" t="n">
        <v>0.0039499</v>
      </c>
      <c r="CW49" s="44" t="n">
        <v>0.651015</v>
      </c>
      <c r="CX49" s="44" t="n">
        <v>0.0854234</v>
      </c>
    </row>
    <row collapsed="false" customFormat="false" customHeight="false" hidden="false" ht="12.75" outlineLevel="0" r="50">
      <c r="A50" s="44" t="n">
        <v>0.0040499</v>
      </c>
      <c r="B50" s="44" t="n">
        <v>0.618632</v>
      </c>
      <c r="C50" s="44" t="n">
        <v>0.08075</v>
      </c>
      <c r="D50" s="44" t="n">
        <v>0.0040499</v>
      </c>
      <c r="E50" s="44" t="n">
        <v>0.643339</v>
      </c>
      <c r="F50" s="44" t="n">
        <v>0.0829295</v>
      </c>
      <c r="G50" s="44" t="n">
        <v>0.0040499</v>
      </c>
      <c r="H50" s="44" t="n">
        <v>0.647094</v>
      </c>
      <c r="I50" s="44" t="n">
        <v>0.0825008</v>
      </c>
      <c r="J50" s="44" t="n">
        <v>0.0040499</v>
      </c>
      <c r="K50" s="44" t="n">
        <v>0.64111</v>
      </c>
      <c r="L50" s="44" t="n">
        <v>0.0811204</v>
      </c>
      <c r="M50" s="44" t="n">
        <v>0.0040499</v>
      </c>
      <c r="N50" s="44" t="n">
        <v>0.65864</v>
      </c>
      <c r="O50" s="44" t="n">
        <v>0.0821484</v>
      </c>
      <c r="P50" s="44" t="n">
        <v>0.0040499</v>
      </c>
      <c r="Q50" s="44" t="n">
        <v>0.680856</v>
      </c>
      <c r="R50" s="44" t="n">
        <v>0.0836705</v>
      </c>
      <c r="S50" s="44" t="n">
        <v>0.0040499</v>
      </c>
      <c r="T50" s="44" t="n">
        <v>0.691153</v>
      </c>
      <c r="U50" s="44" t="n">
        <v>0.0838125</v>
      </c>
      <c r="V50" s="44" t="n">
        <v>0.0040499</v>
      </c>
      <c r="W50" s="44" t="n">
        <v>0.675693</v>
      </c>
      <c r="X50" s="44" t="n">
        <v>0.0820729</v>
      </c>
      <c r="Y50" s="44" t="n">
        <v>0.0040499</v>
      </c>
      <c r="Z50" s="44" t="n">
        <v>0.685502</v>
      </c>
      <c r="AA50" s="44" t="n">
        <v>0.0832591</v>
      </c>
      <c r="AB50" s="44" t="n">
        <v>0.0040499</v>
      </c>
      <c r="AC50" s="44" t="n">
        <v>0.672911</v>
      </c>
      <c r="AD50" s="44" t="n">
        <v>0.0818674</v>
      </c>
      <c r="AE50" s="44" t="n">
        <v>0.0040499</v>
      </c>
      <c r="AF50" s="44" t="n">
        <v>0.679895</v>
      </c>
      <c r="AG50" s="44" t="n">
        <v>0.0830033</v>
      </c>
      <c r="AH50" s="44" t="n">
        <v>0.0040499</v>
      </c>
      <c r="AI50" s="44" t="n">
        <v>0.666685</v>
      </c>
      <c r="AJ50" s="44" t="n">
        <v>0.0815996</v>
      </c>
      <c r="AK50" s="44" t="n">
        <v>0.0040499</v>
      </c>
      <c r="AL50" s="44" t="n">
        <v>0.662901</v>
      </c>
      <c r="AM50" s="44" t="n">
        <v>0.0813249</v>
      </c>
      <c r="AN50" s="44" t="n">
        <v>0.0040499</v>
      </c>
      <c r="AO50" s="44" t="n">
        <v>0.693011</v>
      </c>
      <c r="AP50" s="44" t="n">
        <v>0.0849215</v>
      </c>
      <c r="AQ50" s="44" t="n">
        <v>0.0040499</v>
      </c>
      <c r="AR50" s="44" t="n">
        <v>0.676383</v>
      </c>
      <c r="AS50" s="44" t="n">
        <v>0.0831559</v>
      </c>
      <c r="AT50" s="44" t="n">
        <v>0.0040499</v>
      </c>
      <c r="AU50" s="44" t="n">
        <v>0.658736</v>
      </c>
      <c r="AV50" s="44" t="n">
        <v>0.0815175</v>
      </c>
      <c r="AW50" s="44" t="n">
        <v>0.0040499</v>
      </c>
      <c r="AX50" s="44" t="n">
        <v>0.650916</v>
      </c>
      <c r="AY50" s="44" t="n">
        <v>0.0807997</v>
      </c>
      <c r="AZ50" s="44" t="n">
        <v>0.0040499</v>
      </c>
      <c r="BA50" s="44" t="n">
        <v>0.682769</v>
      </c>
      <c r="BB50" s="44" t="n">
        <v>0.0846405</v>
      </c>
      <c r="BC50" s="44" t="n">
        <v>0.0040499</v>
      </c>
      <c r="BD50" s="44" t="n">
        <v>0.660326</v>
      </c>
      <c r="BE50" s="44" t="n">
        <v>0.0822471</v>
      </c>
      <c r="BF50" s="44" t="n">
        <v>0.0040499</v>
      </c>
      <c r="BG50" s="44" t="n">
        <v>0.651259</v>
      </c>
      <c r="BH50" s="44" t="n">
        <v>0.0815065</v>
      </c>
      <c r="BI50" s="44" t="n">
        <v>0.0040499</v>
      </c>
      <c r="BJ50" s="44" t="n">
        <v>0.662213</v>
      </c>
      <c r="BK50" s="44" t="n">
        <v>0.0830246</v>
      </c>
      <c r="BL50" s="44" t="n">
        <v>0.0040499</v>
      </c>
      <c r="BM50" s="44" t="n">
        <v>0.669936</v>
      </c>
      <c r="BN50" s="44" t="n">
        <v>0.0839797</v>
      </c>
      <c r="BO50" s="44" t="n">
        <v>0.0040499</v>
      </c>
      <c r="BP50" s="44" t="n">
        <v>0.651467</v>
      </c>
      <c r="BQ50" s="44" t="n">
        <v>0.0820869</v>
      </c>
      <c r="BR50" s="44" t="n">
        <v>0.0040499</v>
      </c>
      <c r="BS50" s="44" t="n">
        <v>0.663125</v>
      </c>
      <c r="BT50" s="44" t="n">
        <v>0.0837835</v>
      </c>
      <c r="BU50" s="44" t="n">
        <v>0.0040499</v>
      </c>
      <c r="BV50" s="44" t="n">
        <v>0.673727</v>
      </c>
      <c r="BW50" s="44" t="n">
        <v>0.0848992</v>
      </c>
      <c r="BX50" s="44" t="n">
        <v>0.0040499</v>
      </c>
      <c r="BY50" s="44" t="n">
        <v>0.662899</v>
      </c>
      <c r="BZ50" s="44" t="n">
        <v>0.0837806</v>
      </c>
      <c r="CA50" s="44" t="n">
        <v>0.0040499</v>
      </c>
      <c r="CB50" s="44" t="n">
        <v>0.638898</v>
      </c>
      <c r="CC50" s="44" t="n">
        <v>0.0812883</v>
      </c>
      <c r="CD50" s="44" t="n">
        <v>0.0040499</v>
      </c>
      <c r="CE50" s="44" t="n">
        <v>0.634683</v>
      </c>
      <c r="CF50" s="44" t="n">
        <v>0.0810487</v>
      </c>
      <c r="CG50" s="44" t="n">
        <v>0.0040499</v>
      </c>
      <c r="CH50" s="44" t="n">
        <v>0.649272</v>
      </c>
      <c r="CI50" s="44" t="n">
        <v>0.0827086</v>
      </c>
      <c r="CJ50" s="44" t="n">
        <v>0.0040499</v>
      </c>
      <c r="CK50" s="44" t="n">
        <v>0.656527</v>
      </c>
      <c r="CL50" s="44" t="n">
        <v>0.0838607</v>
      </c>
      <c r="CM50" s="44" t="n">
        <v>0.0040499</v>
      </c>
      <c r="CN50" s="44" t="n">
        <v>0.644096</v>
      </c>
      <c r="CO50" s="44" t="n">
        <v>0.0828588</v>
      </c>
      <c r="CP50" s="44" t="n">
        <v>0.0040499</v>
      </c>
      <c r="CQ50" s="44" t="n">
        <v>0.629989</v>
      </c>
      <c r="CR50" s="44" t="n">
        <v>0.0816752</v>
      </c>
      <c r="CS50" s="44" t="n">
        <v>0.0040499</v>
      </c>
      <c r="CT50" s="44" t="n">
        <v>0.646986</v>
      </c>
      <c r="CU50" s="44" t="n">
        <v>0.0841462</v>
      </c>
      <c r="CV50" s="44" t="n">
        <v>0.0040499</v>
      </c>
      <c r="CW50" s="44" t="n">
        <v>0.612959</v>
      </c>
      <c r="CX50" s="44" t="n">
        <v>0.0811246</v>
      </c>
    </row>
    <row collapsed="false" customFormat="false" customHeight="false" hidden="false" ht="12.75" outlineLevel="0" r="51">
      <c r="A51" s="44" t="n">
        <v>0.0041499</v>
      </c>
      <c r="B51" s="44" t="n">
        <v>0.588862</v>
      </c>
      <c r="C51" s="44" t="n">
        <v>0.0767275</v>
      </c>
      <c r="D51" s="44" t="n">
        <v>0.0041499</v>
      </c>
      <c r="E51" s="44" t="n">
        <v>0.611801</v>
      </c>
      <c r="F51" s="44" t="n">
        <v>0.0787996</v>
      </c>
      <c r="G51" s="44" t="n">
        <v>0.0041499</v>
      </c>
      <c r="H51" s="44" t="n">
        <v>0.615751</v>
      </c>
      <c r="I51" s="44" t="n">
        <v>0.0783865</v>
      </c>
      <c r="J51" s="44" t="n">
        <v>0.0041499</v>
      </c>
      <c r="K51" s="44" t="n">
        <v>0.609928</v>
      </c>
      <c r="L51" s="44" t="n">
        <v>0.0770774</v>
      </c>
      <c r="M51" s="44" t="n">
        <v>0.0041499</v>
      </c>
      <c r="N51" s="44" t="n">
        <v>0.626823</v>
      </c>
      <c r="O51" s="44" t="n">
        <v>0.0780566</v>
      </c>
      <c r="P51" s="44" t="n">
        <v>0.0041499</v>
      </c>
      <c r="Q51" s="44" t="n">
        <v>0.647526</v>
      </c>
      <c r="R51" s="44" t="n">
        <v>0.0794674</v>
      </c>
      <c r="S51" s="44" t="n">
        <v>0.0041499</v>
      </c>
      <c r="T51" s="44" t="n">
        <v>0.657828</v>
      </c>
      <c r="U51" s="44" t="n">
        <v>0.0796348</v>
      </c>
      <c r="V51" s="44" t="n">
        <v>0.0041499</v>
      </c>
      <c r="W51" s="44" t="n">
        <v>0.642788</v>
      </c>
      <c r="X51" s="44" t="n">
        <v>0.077988</v>
      </c>
      <c r="Y51" s="44" t="n">
        <v>0.0041499</v>
      </c>
      <c r="Z51" s="44" t="n">
        <v>0.651669</v>
      </c>
      <c r="AA51" s="44" t="n">
        <v>0.0791585</v>
      </c>
      <c r="AB51" s="44" t="n">
        <v>0.0041499</v>
      </c>
      <c r="AC51" s="44" t="n">
        <v>0.639058</v>
      </c>
      <c r="AD51" s="44" t="n">
        <v>0.0777942</v>
      </c>
      <c r="AE51" s="44" t="n">
        <v>0.0041499</v>
      </c>
      <c r="AF51" s="44" t="n">
        <v>0.645745</v>
      </c>
      <c r="AG51" s="44" t="n">
        <v>0.0788871</v>
      </c>
      <c r="AH51" s="44" t="n">
        <v>0.0041499</v>
      </c>
      <c r="AI51" s="44" t="n">
        <v>0.632959</v>
      </c>
      <c r="AJ51" s="44" t="n">
        <v>0.0775674</v>
      </c>
      <c r="AK51" s="44" t="n">
        <v>0.0041499</v>
      </c>
      <c r="AL51" s="44" t="n">
        <v>0.629112</v>
      </c>
      <c r="AM51" s="44" t="n">
        <v>0.07732</v>
      </c>
      <c r="AN51" s="44" t="n">
        <v>0.0041499</v>
      </c>
      <c r="AO51" s="44" t="n">
        <v>0.657533</v>
      </c>
      <c r="AP51" s="44" t="n">
        <v>0.0806774</v>
      </c>
      <c r="AQ51" s="44" t="n">
        <v>0.0041499</v>
      </c>
      <c r="AR51" s="44" t="n">
        <v>0.641769</v>
      </c>
      <c r="AS51" s="44" t="n">
        <v>0.0790367</v>
      </c>
      <c r="AT51" s="44" t="n">
        <v>0.0041499</v>
      </c>
      <c r="AU51" s="44" t="n">
        <v>0.624497</v>
      </c>
      <c r="AV51" s="44" t="n">
        <v>0.0774579</v>
      </c>
      <c r="AW51" s="44" t="n">
        <v>0.0041499</v>
      </c>
      <c r="AX51" s="44" t="n">
        <v>0.617137</v>
      </c>
      <c r="AY51" s="44" t="n">
        <v>0.0767938</v>
      </c>
      <c r="AZ51" s="44" t="n">
        <v>0.0041499</v>
      </c>
      <c r="BA51" s="44" t="n">
        <v>0.647374</v>
      </c>
      <c r="BB51" s="44" t="n">
        <v>0.0804305</v>
      </c>
      <c r="BC51" s="44" t="n">
        <v>0.0041499</v>
      </c>
      <c r="BD51" s="44" t="n">
        <v>0.62575</v>
      </c>
      <c r="BE51" s="44" t="n">
        <v>0.0781329</v>
      </c>
      <c r="BF51" s="44" t="n">
        <v>0.0041499</v>
      </c>
      <c r="BG51" s="44" t="n">
        <v>0.616567</v>
      </c>
      <c r="BH51" s="44" t="n">
        <v>0.077443</v>
      </c>
      <c r="BI51" s="44" t="n">
        <v>0.0041499</v>
      </c>
      <c r="BJ51" s="44" t="n">
        <v>0.627189</v>
      </c>
      <c r="BK51" s="44" t="n">
        <v>0.0788918</v>
      </c>
      <c r="BL51" s="44" t="n">
        <v>0.0041499</v>
      </c>
      <c r="BM51" s="44" t="n">
        <v>0.634536</v>
      </c>
      <c r="BN51" s="44" t="n">
        <v>0.0797951</v>
      </c>
      <c r="BO51" s="44" t="n">
        <v>0.0041499</v>
      </c>
      <c r="BP51" s="44" t="n">
        <v>0.616692</v>
      </c>
      <c r="BQ51" s="44" t="n">
        <v>0.0779893</v>
      </c>
      <c r="BR51" s="44" t="n">
        <v>0.0041499</v>
      </c>
      <c r="BS51" s="44" t="n">
        <v>0.627774</v>
      </c>
      <c r="BT51" s="44" t="n">
        <v>0.0796116</v>
      </c>
      <c r="BU51" s="44" t="n">
        <v>0.0041499</v>
      </c>
      <c r="BV51" s="44" t="n">
        <v>0.636935</v>
      </c>
      <c r="BW51" s="44" t="n">
        <v>0.0805897</v>
      </c>
      <c r="BX51" s="44" t="n">
        <v>0.0041499</v>
      </c>
      <c r="BY51" s="44" t="n">
        <v>0.626756</v>
      </c>
      <c r="BZ51" s="44" t="n">
        <v>0.0795765</v>
      </c>
      <c r="CA51" s="44" t="n">
        <v>0.0041499</v>
      </c>
      <c r="CB51" s="44" t="n">
        <v>0.603444</v>
      </c>
      <c r="CC51" s="44" t="n">
        <v>0.0772082</v>
      </c>
      <c r="CD51" s="44" t="n">
        <v>0.0041499</v>
      </c>
      <c r="CE51" s="44" t="n">
        <v>0.599683</v>
      </c>
      <c r="CF51" s="44" t="n">
        <v>0.0770174</v>
      </c>
      <c r="CG51" s="44" t="n">
        <v>0.0041499</v>
      </c>
      <c r="CH51" s="44" t="n">
        <v>0.61332</v>
      </c>
      <c r="CI51" s="44" t="n">
        <v>0.0785582</v>
      </c>
      <c r="CJ51" s="44" t="n">
        <v>0.0041499</v>
      </c>
      <c r="CK51" s="44" t="n">
        <v>0.61992</v>
      </c>
      <c r="CL51" s="44" t="n">
        <v>0.0796761</v>
      </c>
      <c r="CM51" s="44" t="n">
        <v>0.0041499</v>
      </c>
      <c r="CN51" s="44" t="n">
        <v>0.607787</v>
      </c>
      <c r="CO51" s="44" t="n">
        <v>0.0787153</v>
      </c>
      <c r="CP51" s="44" t="n">
        <v>0.0041499</v>
      </c>
      <c r="CQ51" s="44" t="n">
        <v>0.593969</v>
      </c>
      <c r="CR51" s="44" t="n">
        <v>0.0776146</v>
      </c>
      <c r="CS51" s="44" t="n">
        <v>0.0041499</v>
      </c>
      <c r="CT51" s="44" t="n">
        <v>0.610058</v>
      </c>
      <c r="CU51" s="44" t="n">
        <v>0.0799353</v>
      </c>
      <c r="CV51" s="44" t="n">
        <v>0.0041499</v>
      </c>
      <c r="CW51" s="44" t="n">
        <v>0.577124</v>
      </c>
      <c r="CX51" s="44" t="n">
        <v>0.0770865</v>
      </c>
    </row>
    <row collapsed="false" customFormat="false" customHeight="false" hidden="false" ht="12.75" outlineLevel="0" r="52">
      <c r="A52" s="44" t="n">
        <v>0.0042499</v>
      </c>
      <c r="B52" s="44" t="n">
        <v>0.560444</v>
      </c>
      <c r="C52" s="44" t="n">
        <v>0.0729443</v>
      </c>
      <c r="D52" s="44" t="n">
        <v>0.0042499</v>
      </c>
      <c r="E52" s="44" t="n">
        <v>0.581889</v>
      </c>
      <c r="F52" s="44" t="n">
        <v>0.0748621</v>
      </c>
      <c r="G52" s="44" t="n">
        <v>0.0042499</v>
      </c>
      <c r="H52" s="44" t="n">
        <v>0.58557</v>
      </c>
      <c r="I52" s="44" t="n">
        <v>0.0744549</v>
      </c>
      <c r="J52" s="44" t="n">
        <v>0.0042499</v>
      </c>
      <c r="K52" s="44" t="n">
        <v>0.580285</v>
      </c>
      <c r="L52" s="44" t="n">
        <v>0.0732415</v>
      </c>
      <c r="M52" s="44" t="n">
        <v>0.0042499</v>
      </c>
      <c r="N52" s="44" t="n">
        <v>0.596096</v>
      </c>
      <c r="O52" s="44" t="n">
        <v>0.0741562</v>
      </c>
      <c r="P52" s="44" t="n">
        <v>0.0042499</v>
      </c>
      <c r="Q52" s="44" t="n">
        <v>0.615753</v>
      </c>
      <c r="R52" s="44" t="n">
        <v>0.0755035</v>
      </c>
      <c r="S52" s="44" t="n">
        <v>0.0042499</v>
      </c>
      <c r="T52" s="44" t="n">
        <v>0.62585</v>
      </c>
      <c r="U52" s="44" t="n">
        <v>0.0756846</v>
      </c>
      <c r="V52" s="44" t="n">
        <v>0.0042499</v>
      </c>
      <c r="W52" s="44" t="n">
        <v>0.611298</v>
      </c>
      <c r="X52" s="44" t="n">
        <v>0.074113</v>
      </c>
      <c r="Y52" s="44" t="n">
        <v>0.0042499</v>
      </c>
      <c r="Z52" s="44" t="n">
        <v>0.619491</v>
      </c>
      <c r="AA52" s="44" t="n">
        <v>0.0752298</v>
      </c>
      <c r="AB52" s="44" t="n">
        <v>0.0042499</v>
      </c>
      <c r="AC52" s="44" t="n">
        <v>0.607022</v>
      </c>
      <c r="AD52" s="44" t="n">
        <v>0.0739397</v>
      </c>
      <c r="AE52" s="44" t="n">
        <v>0.0042499</v>
      </c>
      <c r="AF52" s="44" t="n">
        <v>0.613484</v>
      </c>
      <c r="AG52" s="44" t="n">
        <v>0.0749593</v>
      </c>
      <c r="AH52" s="44" t="n">
        <v>0.0042499</v>
      </c>
      <c r="AI52" s="44" t="n">
        <v>0.601133</v>
      </c>
      <c r="AJ52" s="44" t="n">
        <v>0.0737344</v>
      </c>
      <c r="AK52" s="44" t="n">
        <v>0.0042499</v>
      </c>
      <c r="AL52" s="44" t="n">
        <v>0.59668</v>
      </c>
      <c r="AM52" s="44" t="n">
        <v>0.0734724</v>
      </c>
      <c r="AN52" s="44" t="n">
        <v>0.0042499</v>
      </c>
      <c r="AO52" s="44" t="n">
        <v>0.624193</v>
      </c>
      <c r="AP52" s="44" t="n">
        <v>0.07665</v>
      </c>
      <c r="AQ52" s="44" t="n">
        <v>0.0042499</v>
      </c>
      <c r="AR52" s="44" t="n">
        <v>0.608243</v>
      </c>
      <c r="AS52" s="44" t="n">
        <v>0.0750768</v>
      </c>
      <c r="AT52" s="44" t="n">
        <v>0.0042499</v>
      </c>
      <c r="AU52" s="44" t="n">
        <v>0.592071</v>
      </c>
      <c r="AV52" s="44" t="n">
        <v>0.0736044</v>
      </c>
      <c r="AW52" s="44" t="n">
        <v>0.0042499</v>
      </c>
      <c r="AX52" s="44" t="n">
        <v>0.584412</v>
      </c>
      <c r="AY52" s="44" t="n">
        <v>0.0730116</v>
      </c>
      <c r="AZ52" s="44" t="n">
        <v>0.0042499</v>
      </c>
      <c r="BA52" s="44" t="n">
        <v>0.613267</v>
      </c>
      <c r="BB52" s="44" t="n">
        <v>0.0764188</v>
      </c>
      <c r="BC52" s="44" t="n">
        <v>0.0042499</v>
      </c>
      <c r="BD52" s="44" t="n">
        <v>0.592083</v>
      </c>
      <c r="BE52" s="44" t="n">
        <v>0.0742374</v>
      </c>
      <c r="BF52" s="44" t="n">
        <v>0.0042499</v>
      </c>
      <c r="BG52" s="44" t="n">
        <v>0.583456</v>
      </c>
      <c r="BH52" s="44" t="n">
        <v>0.0736022</v>
      </c>
      <c r="BI52" s="44" t="n">
        <v>0.0042499</v>
      </c>
      <c r="BJ52" s="44" t="n">
        <v>0.593468</v>
      </c>
      <c r="BK52" s="44" t="n">
        <v>0.074967</v>
      </c>
      <c r="BL52" s="44" t="n">
        <v>0.0042499</v>
      </c>
      <c r="BM52" s="44" t="n">
        <v>0.600234</v>
      </c>
      <c r="BN52" s="44" t="n">
        <v>0.0757971</v>
      </c>
      <c r="BO52" s="44" t="n">
        <v>0.0042499</v>
      </c>
      <c r="BP52" s="44" t="n">
        <v>0.582971</v>
      </c>
      <c r="BQ52" s="44" t="n">
        <v>0.0741035</v>
      </c>
      <c r="BR52" s="44" t="n">
        <v>0.0042499</v>
      </c>
      <c r="BS52" s="44" t="n">
        <v>0.593672</v>
      </c>
      <c r="BT52" s="44" t="n">
        <v>0.0756848</v>
      </c>
      <c r="BU52" s="44" t="n">
        <v>0.0042499</v>
      </c>
      <c r="BV52" s="44" t="n">
        <v>0.602311</v>
      </c>
      <c r="BW52" s="44" t="n">
        <v>0.0765799</v>
      </c>
      <c r="BX52" s="44" t="n">
        <v>0.0042499</v>
      </c>
      <c r="BY52" s="44" t="n">
        <v>0.59181</v>
      </c>
      <c r="BZ52" s="44" t="n">
        <v>0.0756234</v>
      </c>
      <c r="CA52" s="44" t="n">
        <v>0.0042499</v>
      </c>
      <c r="CB52" s="44" t="n">
        <v>0.570153</v>
      </c>
      <c r="CC52" s="44" t="n">
        <v>0.0733801</v>
      </c>
      <c r="CD52" s="44" t="n">
        <v>0.0042499</v>
      </c>
      <c r="CE52" s="44" t="n">
        <v>0.566358</v>
      </c>
      <c r="CF52" s="44" t="n">
        <v>0.0732049</v>
      </c>
      <c r="CG52" s="44" t="n">
        <v>0.0042499</v>
      </c>
      <c r="CH52" s="44" t="n">
        <v>0.57853</v>
      </c>
      <c r="CI52" s="44" t="n">
        <v>0.0746324</v>
      </c>
      <c r="CJ52" s="44" t="n">
        <v>0.0042499</v>
      </c>
      <c r="CK52" s="44" t="n">
        <v>0.584906</v>
      </c>
      <c r="CL52" s="44" t="n">
        <v>0.0757211</v>
      </c>
      <c r="CM52" s="44" t="n">
        <v>0.0042499</v>
      </c>
      <c r="CN52" s="44" t="n">
        <v>0.573056</v>
      </c>
      <c r="CO52" s="44" t="n">
        <v>0.0747973</v>
      </c>
      <c r="CP52" s="44" t="n">
        <v>0.0042499</v>
      </c>
      <c r="CQ52" s="44" t="n">
        <v>0.559496</v>
      </c>
      <c r="CR52" s="44" t="n">
        <v>0.0737582</v>
      </c>
      <c r="CS52" s="44" t="n">
        <v>0.0042499</v>
      </c>
      <c r="CT52" s="44" t="n">
        <v>0.57495</v>
      </c>
      <c r="CU52" s="44" t="n">
        <v>0.0759665</v>
      </c>
      <c r="CV52" s="44" t="n">
        <v>0.0042499</v>
      </c>
      <c r="CW52" s="44" t="n">
        <v>0.544101</v>
      </c>
      <c r="CX52" s="44" t="n">
        <v>0.0732662</v>
      </c>
    </row>
    <row collapsed="false" customFormat="false" customHeight="false" hidden="false" ht="12.75" outlineLevel="0" r="53">
      <c r="A53" s="44" t="n">
        <v>0.0043499</v>
      </c>
      <c r="B53" s="44" t="n">
        <v>0.5331</v>
      </c>
      <c r="C53" s="44" t="n">
        <v>0.0693555</v>
      </c>
      <c r="D53" s="44" t="n">
        <v>0.0043499</v>
      </c>
      <c r="E53" s="44" t="n">
        <v>0.553861</v>
      </c>
      <c r="F53" s="44" t="n">
        <v>0.0711434</v>
      </c>
      <c r="G53" s="44" t="n">
        <v>0.0043499</v>
      </c>
      <c r="H53" s="44" t="n">
        <v>0.55681</v>
      </c>
      <c r="I53" s="44" t="n">
        <v>0.0707976</v>
      </c>
      <c r="J53" s="44" t="n">
        <v>0.0043499</v>
      </c>
      <c r="K53" s="44" t="n">
        <v>0.551691</v>
      </c>
      <c r="L53" s="44" t="n">
        <v>0.0696301</v>
      </c>
      <c r="M53" s="44" t="n">
        <v>0.0043499</v>
      </c>
      <c r="N53" s="44" t="n">
        <v>0.566486</v>
      </c>
      <c r="O53" s="44" t="n">
        <v>0.0705039</v>
      </c>
      <c r="P53" s="44" t="n">
        <v>0.0043499</v>
      </c>
      <c r="Q53" s="44" t="n">
        <v>0.585553</v>
      </c>
      <c r="R53" s="44" t="n">
        <v>0.0717897</v>
      </c>
      <c r="S53" s="44" t="n">
        <v>0.0043499</v>
      </c>
      <c r="T53" s="44" t="n">
        <v>0.594962</v>
      </c>
      <c r="U53" s="44" t="n">
        <v>0.0719688</v>
      </c>
      <c r="V53" s="44" t="n">
        <v>0.0043499</v>
      </c>
      <c r="W53" s="44" t="n">
        <v>0.580547</v>
      </c>
      <c r="X53" s="44" t="n">
        <v>0.0704987</v>
      </c>
      <c r="Y53" s="44" t="n">
        <v>0.0043499</v>
      </c>
      <c r="Z53" s="44" t="n">
        <v>0.588583</v>
      </c>
      <c r="AA53" s="44" t="n">
        <v>0.0715267</v>
      </c>
      <c r="AB53" s="44" t="n">
        <v>0.0043499</v>
      </c>
      <c r="AC53" s="44" t="n">
        <v>0.576529</v>
      </c>
      <c r="AD53" s="44" t="n">
        <v>0.0702805</v>
      </c>
      <c r="AE53" s="44" t="n">
        <v>0.0043499</v>
      </c>
      <c r="AF53" s="44" t="n">
        <v>0.5822</v>
      </c>
      <c r="AG53" s="44" t="n">
        <v>0.0712875</v>
      </c>
      <c r="AH53" s="44" t="n">
        <v>0.0043499</v>
      </c>
      <c r="AI53" s="44" t="n">
        <v>0.570747</v>
      </c>
      <c r="AJ53" s="44" t="n">
        <v>0.0701103</v>
      </c>
      <c r="AK53" s="44" t="n">
        <v>0.0043499</v>
      </c>
      <c r="AL53" s="44" t="n">
        <v>0.565992</v>
      </c>
      <c r="AM53" s="44" t="n">
        <v>0.0698825</v>
      </c>
      <c r="AN53" s="44" t="n">
        <v>0.0043499</v>
      </c>
      <c r="AO53" s="44" t="n">
        <v>0.591952</v>
      </c>
      <c r="AP53" s="44" t="n">
        <v>0.0728375</v>
      </c>
      <c r="AQ53" s="44" t="n">
        <v>0.0043499</v>
      </c>
      <c r="AR53" s="44" t="n">
        <v>0.576344</v>
      </c>
      <c r="AS53" s="44" t="n">
        <v>0.0713805</v>
      </c>
      <c r="AT53" s="44" t="n">
        <v>0.0043499</v>
      </c>
      <c r="AU53" s="44" t="n">
        <v>0.560962</v>
      </c>
      <c r="AV53" s="44" t="n">
        <v>0.070038</v>
      </c>
      <c r="AW53" s="44" t="n">
        <v>0.0043499</v>
      </c>
      <c r="AX53" s="44" t="n">
        <v>0.553816</v>
      </c>
      <c r="AY53" s="44" t="n">
        <v>0.0694344</v>
      </c>
      <c r="AZ53" s="44" t="n">
        <v>0.0043499</v>
      </c>
      <c r="BA53" s="44" t="n">
        <v>0.580382</v>
      </c>
      <c r="BB53" s="44" t="n">
        <v>0.0726678</v>
      </c>
      <c r="BC53" s="44" t="n">
        <v>0.0043499</v>
      </c>
      <c r="BD53" s="44" t="n">
        <v>0.560531</v>
      </c>
      <c r="BE53" s="44" t="n">
        <v>0.0706055</v>
      </c>
      <c r="BF53" s="44" t="n">
        <v>0.0043499</v>
      </c>
      <c r="BG53" s="44" t="n">
        <v>0.552685</v>
      </c>
      <c r="BH53" s="44" t="n">
        <v>0.0699674</v>
      </c>
      <c r="BI53" s="44" t="n">
        <v>0.0043499</v>
      </c>
      <c r="BJ53" s="44" t="n">
        <v>0.561261</v>
      </c>
      <c r="BK53" s="44" t="n">
        <v>0.07126</v>
      </c>
      <c r="BL53" s="44" t="n">
        <v>0.0043499</v>
      </c>
      <c r="BM53" s="44" t="n">
        <v>0.567524</v>
      </c>
      <c r="BN53" s="44" t="n">
        <v>0.0720607</v>
      </c>
      <c r="BO53" s="44" t="n">
        <v>0.0043499</v>
      </c>
      <c r="BP53" s="44" t="n">
        <v>0.551033</v>
      </c>
      <c r="BQ53" s="44" t="n">
        <v>0.0704629</v>
      </c>
      <c r="BR53" s="44" t="n">
        <v>0.0043499</v>
      </c>
      <c r="BS53" s="44" t="n">
        <v>0.561372</v>
      </c>
      <c r="BT53" s="44" t="n">
        <v>0.0719563</v>
      </c>
      <c r="BU53" s="44" t="n">
        <v>0.0043499</v>
      </c>
      <c r="BV53" s="44" t="n">
        <v>0.568942</v>
      </c>
      <c r="BW53" s="44" t="n">
        <v>0.0727996</v>
      </c>
      <c r="BX53" s="44" t="n">
        <v>0.0043499</v>
      </c>
      <c r="BY53" s="44" t="n">
        <v>0.559158</v>
      </c>
      <c r="BZ53" s="44" t="n">
        <v>0.0718753</v>
      </c>
      <c r="CA53" s="44" t="n">
        <v>0.0043499</v>
      </c>
      <c r="CB53" s="44" t="n">
        <v>0.538283</v>
      </c>
      <c r="CC53" s="44" t="n">
        <v>0.0697746</v>
      </c>
      <c r="CD53" s="44" t="n">
        <v>0.0043499</v>
      </c>
      <c r="CE53" s="44" t="n">
        <v>0.534283</v>
      </c>
      <c r="CF53" s="44" t="n">
        <v>0.0696034</v>
      </c>
      <c r="CG53" s="44" t="n">
        <v>0.0043499</v>
      </c>
      <c r="CH53" s="44" t="n">
        <v>0.546244</v>
      </c>
      <c r="CI53" s="44" t="n">
        <v>0.0709703</v>
      </c>
      <c r="CJ53" s="44" t="n">
        <v>0.0043499</v>
      </c>
      <c r="CK53" s="44" t="n">
        <v>0.551785</v>
      </c>
      <c r="CL53" s="44" t="n">
        <v>0.0719701</v>
      </c>
      <c r="CM53" s="44" t="n">
        <v>0.0043499</v>
      </c>
      <c r="CN53" s="44" t="n">
        <v>0.540737</v>
      </c>
      <c r="CO53" s="44" t="n">
        <v>0.0711069</v>
      </c>
      <c r="CP53" s="44" t="n">
        <v>0.0043499</v>
      </c>
      <c r="CQ53" s="44" t="n">
        <v>0.527133</v>
      </c>
      <c r="CR53" s="44" t="n">
        <v>0.0701068</v>
      </c>
      <c r="CS53" s="44" t="n">
        <v>0.0043499</v>
      </c>
      <c r="CT53" s="44" t="n">
        <v>0.541742</v>
      </c>
      <c r="CU53" s="44" t="n">
        <v>0.0722077</v>
      </c>
      <c r="CV53" s="44" t="n">
        <v>0.0043499</v>
      </c>
      <c r="CW53" s="44" t="n">
        <v>0.512041</v>
      </c>
      <c r="CX53" s="44" t="n">
        <v>0.0696529</v>
      </c>
    </row>
    <row collapsed="false" customFormat="false" customHeight="false" hidden="false" ht="12.75" outlineLevel="0" r="54">
      <c r="A54" s="44" t="n">
        <v>0.0044499</v>
      </c>
      <c r="B54" s="44" t="n">
        <v>0.507104</v>
      </c>
      <c r="C54" s="44" t="n">
        <v>0.0659541</v>
      </c>
      <c r="D54" s="44" t="n">
        <v>0.0044499</v>
      </c>
      <c r="E54" s="44" t="n">
        <v>0.526694</v>
      </c>
      <c r="F54" s="44" t="n">
        <v>0.0676463</v>
      </c>
      <c r="G54" s="44" t="n">
        <v>0.0044499</v>
      </c>
      <c r="H54" s="44" t="n">
        <v>0.529052</v>
      </c>
      <c r="I54" s="44" t="n">
        <v>0.067326</v>
      </c>
      <c r="J54" s="44" t="n">
        <v>0.0044499</v>
      </c>
      <c r="K54" s="44" t="n">
        <v>0.524376</v>
      </c>
      <c r="L54" s="44" t="n">
        <v>0.0662288</v>
      </c>
      <c r="M54" s="44" t="n">
        <v>0.0044499</v>
      </c>
      <c r="N54" s="44" t="n">
        <v>0.538469</v>
      </c>
      <c r="O54" s="44" t="n">
        <v>0.067039</v>
      </c>
      <c r="P54" s="44" t="n">
        <v>0.0044499</v>
      </c>
      <c r="Q54" s="44" t="n">
        <v>0.556354</v>
      </c>
      <c r="R54" s="44" t="n">
        <v>0.0682467</v>
      </c>
      <c r="S54" s="44" t="n">
        <v>0.0044499</v>
      </c>
      <c r="T54" s="44" t="n">
        <v>0.565426</v>
      </c>
      <c r="U54" s="44" t="n">
        <v>0.0684746</v>
      </c>
      <c r="V54" s="44" t="n">
        <v>0.0044499</v>
      </c>
      <c r="W54" s="44" t="n">
        <v>0.551499</v>
      </c>
      <c r="X54" s="44" t="n">
        <v>0.0670534</v>
      </c>
      <c r="Y54" s="44" t="n">
        <v>0.0044499</v>
      </c>
      <c r="Z54" s="44" t="n">
        <v>0.559149</v>
      </c>
      <c r="AA54" s="44" t="n">
        <v>0.068012</v>
      </c>
      <c r="AB54" s="44" t="n">
        <v>0.0044499</v>
      </c>
      <c r="AC54" s="44" t="n">
        <v>0.547281</v>
      </c>
      <c r="AD54" s="44" t="n">
        <v>0.0668332</v>
      </c>
      <c r="AE54" s="44" t="n">
        <v>0.0044499</v>
      </c>
      <c r="AF54" s="44" t="n">
        <v>0.552507</v>
      </c>
      <c r="AG54" s="44" t="n">
        <v>0.0677982</v>
      </c>
      <c r="AH54" s="44" t="n">
        <v>0.0044499</v>
      </c>
      <c r="AI54" s="44" t="n">
        <v>0.541416</v>
      </c>
      <c r="AJ54" s="44" t="n">
        <v>0.0666973</v>
      </c>
      <c r="AK54" s="44" t="n">
        <v>0.0044499</v>
      </c>
      <c r="AL54" s="44" t="n">
        <v>0.536836</v>
      </c>
      <c r="AM54" s="44" t="n">
        <v>0.0664665</v>
      </c>
      <c r="AN54" s="44" t="n">
        <v>0.0044499</v>
      </c>
      <c r="AO54" s="44" t="n">
        <v>0.560858</v>
      </c>
      <c r="AP54" s="44" t="n">
        <v>0.0692643</v>
      </c>
      <c r="AQ54" s="44" t="n">
        <v>0.0044499</v>
      </c>
      <c r="AR54" s="44" t="n">
        <v>0.546661</v>
      </c>
      <c r="AS54" s="44" t="n">
        <v>0.0678815</v>
      </c>
      <c r="AT54" s="44" t="n">
        <v>0.0044499</v>
      </c>
      <c r="AU54" s="44" t="n">
        <v>0.531343</v>
      </c>
      <c r="AV54" s="44" t="n">
        <v>0.0666074</v>
      </c>
      <c r="AW54" s="44" t="n">
        <v>0.0044499</v>
      </c>
      <c r="AX54" s="44" t="n">
        <v>0.524515</v>
      </c>
      <c r="AY54" s="44" t="n">
        <v>0.0660594</v>
      </c>
      <c r="AZ54" s="44" t="n">
        <v>0.0044499</v>
      </c>
      <c r="BA54" s="44" t="n">
        <v>0.549722</v>
      </c>
      <c r="BB54" s="44" t="n">
        <v>0.0690868</v>
      </c>
      <c r="BC54" s="44" t="n">
        <v>0.0044499</v>
      </c>
      <c r="BD54" s="44" t="n">
        <v>0.530277</v>
      </c>
      <c r="BE54" s="44" t="n">
        <v>0.0671114</v>
      </c>
      <c r="BF54" s="44" t="n">
        <v>0.0044499</v>
      </c>
      <c r="BG54" s="44" t="n">
        <v>0.522719</v>
      </c>
      <c r="BH54" s="44" t="n">
        <v>0.0665524</v>
      </c>
      <c r="BI54" s="44" t="n">
        <v>0.0044499</v>
      </c>
      <c r="BJ54" s="44" t="n">
        <v>0.530812</v>
      </c>
      <c r="BK54" s="44" t="n">
        <v>0.0677404</v>
      </c>
      <c r="BL54" s="44" t="n">
        <v>0.0044499</v>
      </c>
      <c r="BM54" s="44" t="n">
        <v>0.536289</v>
      </c>
      <c r="BN54" s="44" t="n">
        <v>0.0685246</v>
      </c>
      <c r="BO54" s="44" t="n">
        <v>0.0044499</v>
      </c>
      <c r="BP54" s="44" t="n">
        <v>0.521076</v>
      </c>
      <c r="BQ54" s="44" t="n">
        <v>0.0670381</v>
      </c>
      <c r="BR54" s="44" t="n">
        <v>0.0044499</v>
      </c>
      <c r="BS54" s="44" t="n">
        <v>0.530698</v>
      </c>
      <c r="BT54" s="44" t="n">
        <v>0.0684202</v>
      </c>
      <c r="BU54" s="44" t="n">
        <v>0.0044499</v>
      </c>
      <c r="BV54" s="44" t="n">
        <v>0.537126</v>
      </c>
      <c r="BW54" s="44" t="n">
        <v>0.0692449</v>
      </c>
      <c r="BX54" s="44" t="n">
        <v>0.0044499</v>
      </c>
      <c r="BY54" s="44" t="n">
        <v>0.528065</v>
      </c>
      <c r="BZ54" s="44" t="n">
        <v>0.0683265</v>
      </c>
      <c r="CA54" s="44" t="n">
        <v>0.0044499</v>
      </c>
      <c r="CB54" s="44" t="n">
        <v>0.508229</v>
      </c>
      <c r="CC54" s="44" t="n">
        <v>0.0663293</v>
      </c>
      <c r="CD54" s="44" t="n">
        <v>0.0044499</v>
      </c>
      <c r="CE54" s="44" t="n">
        <v>0.504019</v>
      </c>
      <c r="CF54" s="44" t="n">
        <v>0.0662147</v>
      </c>
      <c r="CG54" s="44" t="n">
        <v>0.0044499</v>
      </c>
      <c r="CH54" s="44" t="n">
        <v>0.51516</v>
      </c>
      <c r="CI54" s="44" t="n">
        <v>0.0674859</v>
      </c>
      <c r="CJ54" s="44" t="n">
        <v>0.0044499</v>
      </c>
      <c r="CK54" s="44" t="n">
        <v>0.520355</v>
      </c>
      <c r="CL54" s="44" t="n">
        <v>0.0684623</v>
      </c>
      <c r="CM54" s="44" t="n">
        <v>0.0044499</v>
      </c>
      <c r="CN54" s="44" t="n">
        <v>0.509433</v>
      </c>
      <c r="CO54" s="44" t="n">
        <v>0.0676411</v>
      </c>
      <c r="CP54" s="44" t="n">
        <v>0.0044499</v>
      </c>
      <c r="CQ54" s="44" t="n">
        <v>0.496903</v>
      </c>
      <c r="CR54" s="44" t="n">
        <v>0.0666664</v>
      </c>
      <c r="CS54" s="44" t="n">
        <v>0.0044499</v>
      </c>
      <c r="CT54" s="44" t="n">
        <v>0.510536</v>
      </c>
      <c r="CU54" s="44" t="n">
        <v>0.0686892</v>
      </c>
      <c r="CV54" s="44" t="n">
        <v>0.0044499</v>
      </c>
      <c r="CW54" s="44" t="n">
        <v>0.482168</v>
      </c>
      <c r="CX54" s="44" t="n">
        <v>0.066232</v>
      </c>
    </row>
    <row collapsed="false" customFormat="false" customHeight="false" hidden="false" ht="12.75" outlineLevel="0" r="55">
      <c r="A55" s="44" t="n">
        <v>0.0045499</v>
      </c>
      <c r="B55" s="44" t="n">
        <v>0.482788</v>
      </c>
      <c r="C55" s="44" t="n">
        <v>0.0627529</v>
      </c>
      <c r="D55" s="44" t="n">
        <v>0.0045499</v>
      </c>
      <c r="E55" s="44" t="n">
        <v>0.500487</v>
      </c>
      <c r="F55" s="44" t="n">
        <v>0.0643563</v>
      </c>
      <c r="G55" s="44" t="n">
        <v>0.0045499</v>
      </c>
      <c r="H55" s="44" t="n">
        <v>0.502987</v>
      </c>
      <c r="I55" s="44" t="n">
        <v>0.0640008</v>
      </c>
      <c r="J55" s="44" t="n">
        <v>0.0045499</v>
      </c>
      <c r="K55" s="44" t="n">
        <v>0.498434</v>
      </c>
      <c r="L55" s="44" t="n">
        <v>0.0630198</v>
      </c>
      <c r="M55" s="44" t="n">
        <v>0.0045499</v>
      </c>
      <c r="N55" s="44" t="n">
        <v>0.511716</v>
      </c>
      <c r="O55" s="44" t="n">
        <v>0.063748</v>
      </c>
      <c r="P55" s="44" t="n">
        <v>0.0045499</v>
      </c>
      <c r="Q55" s="44" t="n">
        <v>0.528194</v>
      </c>
      <c r="R55" s="44" t="n">
        <v>0.0648795</v>
      </c>
      <c r="S55" s="44" t="n">
        <v>0.0045499</v>
      </c>
      <c r="T55" s="44" t="n">
        <v>0.537486</v>
      </c>
      <c r="U55" s="44" t="n">
        <v>0.0651114</v>
      </c>
      <c r="V55" s="44" t="n">
        <v>0.0045499</v>
      </c>
      <c r="W55" s="44" t="n">
        <v>0.523833</v>
      </c>
      <c r="X55" s="44" t="n">
        <v>0.0637897</v>
      </c>
      <c r="Y55" s="44" t="n">
        <v>0.0045499</v>
      </c>
      <c r="Z55" s="44" t="n">
        <v>0.530829</v>
      </c>
      <c r="AA55" s="44" t="n">
        <v>0.0647308</v>
      </c>
      <c r="AB55" s="44" t="n">
        <v>0.0045499</v>
      </c>
      <c r="AC55" s="44" t="n">
        <v>0.518814</v>
      </c>
      <c r="AD55" s="44" t="n">
        <v>0.0636164</v>
      </c>
      <c r="AE55" s="44" t="n">
        <v>0.0045499</v>
      </c>
      <c r="AF55" s="44" t="n">
        <v>0.524387</v>
      </c>
      <c r="AG55" s="44" t="n">
        <v>0.0645248</v>
      </c>
      <c r="AH55" s="44" t="n">
        <v>0.0045499</v>
      </c>
      <c r="AI55" s="44" t="n">
        <v>0.513384</v>
      </c>
      <c r="AJ55" s="44" t="n">
        <v>0.0634775</v>
      </c>
      <c r="AK55" s="44" t="n">
        <v>0.0045499</v>
      </c>
      <c r="AL55" s="44" t="n">
        <v>0.508687</v>
      </c>
      <c r="AM55" s="44" t="n">
        <v>0.0632224</v>
      </c>
      <c r="AN55" s="44" t="n">
        <v>0.0045499</v>
      </c>
      <c r="AO55" s="44" t="n">
        <v>0.531781</v>
      </c>
      <c r="AP55" s="44" t="n">
        <v>0.0658844</v>
      </c>
      <c r="AQ55" s="44" t="n">
        <v>0.0045499</v>
      </c>
      <c r="AR55" s="44" t="n">
        <v>0.517716</v>
      </c>
      <c r="AS55" s="44" t="n">
        <v>0.064608</v>
      </c>
      <c r="AT55" s="44" t="n">
        <v>0.0045499</v>
      </c>
      <c r="AU55" s="44" t="n">
        <v>0.503179</v>
      </c>
      <c r="AV55" s="44" t="n">
        <v>0.0633828</v>
      </c>
      <c r="AW55" s="44" t="n">
        <v>0.0045499</v>
      </c>
      <c r="AX55" s="44" t="n">
        <v>0.496785</v>
      </c>
      <c r="AY55" s="44" t="n">
        <v>0.0628641</v>
      </c>
      <c r="AZ55" s="44" t="n">
        <v>0.0045499</v>
      </c>
      <c r="BA55" s="44" t="n">
        <v>0.520474</v>
      </c>
      <c r="BB55" s="44" t="n">
        <v>0.0657254</v>
      </c>
      <c r="BC55" s="44" t="n">
        <v>0.0045499</v>
      </c>
      <c r="BD55" s="44" t="n">
        <v>0.501898</v>
      </c>
      <c r="BE55" s="44" t="n">
        <v>0.0638858</v>
      </c>
      <c r="BF55" s="44" t="n">
        <v>0.0045499</v>
      </c>
      <c r="BG55" s="44" t="n">
        <v>0.494223</v>
      </c>
      <c r="BH55" s="44" t="n">
        <v>0.0633209</v>
      </c>
      <c r="BI55" s="44" t="n">
        <v>0.0045499</v>
      </c>
      <c r="BJ55" s="44" t="n">
        <v>0.501705</v>
      </c>
      <c r="BK55" s="44" t="n">
        <v>0.0644426</v>
      </c>
      <c r="BL55" s="44" t="n">
        <v>0.0045499</v>
      </c>
      <c r="BM55" s="44" t="n">
        <v>0.506884</v>
      </c>
      <c r="BN55" s="44" t="n">
        <v>0.0651896</v>
      </c>
      <c r="BO55" s="44" t="n">
        <v>0.0045499</v>
      </c>
      <c r="BP55" s="44" t="n">
        <v>0.492326</v>
      </c>
      <c r="BQ55" s="44" t="n">
        <v>0.0637813</v>
      </c>
      <c r="BR55" s="44" t="n">
        <v>0.0045499</v>
      </c>
      <c r="BS55" s="44" t="n">
        <v>0.501465</v>
      </c>
      <c r="BT55" s="44" t="n">
        <v>0.0651009</v>
      </c>
      <c r="BU55" s="44" t="n">
        <v>0.0045499</v>
      </c>
      <c r="BV55" s="44" t="n">
        <v>0.507448</v>
      </c>
      <c r="BW55" s="44" t="n">
        <v>0.0658504</v>
      </c>
      <c r="BX55" s="44" t="n">
        <v>0.0045499</v>
      </c>
      <c r="BY55" s="44" t="n">
        <v>0.498553</v>
      </c>
      <c r="BZ55" s="44" t="n">
        <v>0.0650081</v>
      </c>
      <c r="CA55" s="44" t="n">
        <v>0.0045499</v>
      </c>
      <c r="CB55" s="44" t="n">
        <v>0.479669</v>
      </c>
      <c r="CC55" s="44" t="n">
        <v>0.063134</v>
      </c>
      <c r="CD55" s="44" t="n">
        <v>0.0045499</v>
      </c>
      <c r="CE55" s="44" t="n">
        <v>0.476123</v>
      </c>
      <c r="CF55" s="44" t="n">
        <v>0.0629852</v>
      </c>
      <c r="CG55" s="44" t="n">
        <v>0.0045499</v>
      </c>
      <c r="CH55" s="44" t="n">
        <v>0.485668</v>
      </c>
      <c r="CI55" s="44" t="n">
        <v>0.0642096</v>
      </c>
      <c r="CJ55" s="44" t="n">
        <v>0.0045499</v>
      </c>
      <c r="CK55" s="44" t="n">
        <v>0.490853</v>
      </c>
      <c r="CL55" s="44" t="n">
        <v>0.0651009</v>
      </c>
      <c r="CM55" s="44" t="n">
        <v>0.0045499</v>
      </c>
      <c r="CN55" s="44" t="n">
        <v>0.480356</v>
      </c>
      <c r="CO55" s="44" t="n">
        <v>0.0643393</v>
      </c>
      <c r="CP55" s="44" t="n">
        <v>0.0045499</v>
      </c>
      <c r="CQ55" s="44" t="n">
        <v>0.468334</v>
      </c>
      <c r="CR55" s="44" t="n">
        <v>0.0634203</v>
      </c>
      <c r="CS55" s="44" t="n">
        <v>0.0045499</v>
      </c>
      <c r="CT55" s="44" t="n">
        <v>0.480956</v>
      </c>
      <c r="CU55" s="44" t="n">
        <v>0.0653132</v>
      </c>
      <c r="CV55" s="44" t="n">
        <v>0.0045499</v>
      </c>
      <c r="CW55" s="44" t="n">
        <v>0.453842</v>
      </c>
      <c r="CX55" s="44" t="n">
        <v>0.0630162</v>
      </c>
    </row>
    <row collapsed="false" customFormat="false" customHeight="false" hidden="false" ht="12.75" outlineLevel="0" r="56">
      <c r="A56" s="44" t="n">
        <v>0.0046499</v>
      </c>
      <c r="B56" s="44" t="n">
        <v>0.458862</v>
      </c>
      <c r="C56" s="44" t="n">
        <v>0.0596641</v>
      </c>
      <c r="D56" s="44" t="n">
        <v>0.0046499</v>
      </c>
      <c r="E56" s="44" t="n">
        <v>0.476166</v>
      </c>
      <c r="F56" s="44" t="n">
        <v>0.0612147</v>
      </c>
      <c r="G56" s="44" t="n">
        <v>0.0046499</v>
      </c>
      <c r="H56" s="44" t="n">
        <v>0.478407</v>
      </c>
      <c r="I56" s="44" t="n">
        <v>0.0608904</v>
      </c>
      <c r="J56" s="44" t="n">
        <v>0.0046499</v>
      </c>
      <c r="K56" s="44" t="n">
        <v>0.473893</v>
      </c>
      <c r="L56" s="44" t="n">
        <v>0.0599387</v>
      </c>
      <c r="M56" s="44" t="n">
        <v>0.0046499</v>
      </c>
      <c r="N56" s="44" t="n">
        <v>0.485803</v>
      </c>
      <c r="O56" s="44" t="n">
        <v>0.0606562</v>
      </c>
      <c r="P56" s="44" t="n">
        <v>0.0046499</v>
      </c>
      <c r="Q56" s="44" t="n">
        <v>0.501324</v>
      </c>
      <c r="R56" s="44" t="n">
        <v>0.0617613</v>
      </c>
      <c r="S56" s="44" t="n">
        <v>0.0046499</v>
      </c>
      <c r="T56" s="44" t="n">
        <v>0.51026</v>
      </c>
      <c r="U56" s="44" t="n">
        <v>0.0619864</v>
      </c>
      <c r="V56" s="44" t="n">
        <v>0.0046499</v>
      </c>
      <c r="W56" s="44" t="n">
        <v>0.497182</v>
      </c>
      <c r="X56" s="44" t="n">
        <v>0.0607194</v>
      </c>
      <c r="Y56" s="44" t="n">
        <v>0.0046499</v>
      </c>
      <c r="Z56" s="44" t="n">
        <v>0.503841</v>
      </c>
      <c r="AA56" s="44" t="n">
        <v>0.0615941</v>
      </c>
      <c r="AB56" s="44" t="n">
        <v>0.0046499</v>
      </c>
      <c r="AC56" s="44" t="n">
        <v>0.492417</v>
      </c>
      <c r="AD56" s="44" t="n">
        <v>0.0605207</v>
      </c>
      <c r="AE56" s="44" t="n">
        <v>0.0046499</v>
      </c>
      <c r="AF56" s="44" t="n">
        <v>0.497478</v>
      </c>
      <c r="AG56" s="44" t="n">
        <v>0.0613851</v>
      </c>
      <c r="AH56" s="44" t="n">
        <v>0.0046499</v>
      </c>
      <c r="AI56" s="44" t="n">
        <v>0.486914</v>
      </c>
      <c r="AJ56" s="44" t="n">
        <v>0.0603867</v>
      </c>
      <c r="AK56" s="44" t="n">
        <v>0.0046499</v>
      </c>
      <c r="AL56" s="44" t="n">
        <v>0.482603</v>
      </c>
      <c r="AM56" s="44" t="n">
        <v>0.0601814</v>
      </c>
      <c r="AN56" s="44" t="n">
        <v>0.0046499</v>
      </c>
      <c r="AO56" s="44" t="n">
        <v>0.503583</v>
      </c>
      <c r="AP56" s="44" t="n">
        <v>0.0627067</v>
      </c>
      <c r="AQ56" s="44" t="n">
        <v>0.0046499</v>
      </c>
      <c r="AR56" s="44" t="n">
        <v>0.490294</v>
      </c>
      <c r="AS56" s="44" t="n">
        <v>0.0614791</v>
      </c>
      <c r="AT56" s="44" t="n">
        <v>0.0046499</v>
      </c>
      <c r="AU56" s="44" t="n">
        <v>0.477129</v>
      </c>
      <c r="AV56" s="44" t="n">
        <v>0.0603134</v>
      </c>
      <c r="AW56" s="44" t="n">
        <v>0.0046499</v>
      </c>
      <c r="AX56" s="44" t="n">
        <v>0.470696</v>
      </c>
      <c r="AY56" s="44" t="n">
        <v>0.0597899</v>
      </c>
      <c r="AZ56" s="44" t="n">
        <v>0.0046499</v>
      </c>
      <c r="BA56" s="44" t="n">
        <v>0.492432</v>
      </c>
      <c r="BB56" s="44" t="n">
        <v>0.062534</v>
      </c>
      <c r="BC56" s="44" t="n">
        <v>0.0046499</v>
      </c>
      <c r="BD56" s="44" t="n">
        <v>0.475145</v>
      </c>
      <c r="BE56" s="44" t="n">
        <v>0.0607657</v>
      </c>
      <c r="BF56" s="44" t="n">
        <v>0.0046499</v>
      </c>
      <c r="BG56" s="44" t="n">
        <v>0.467914</v>
      </c>
      <c r="BH56" s="44" t="n">
        <v>0.0602496</v>
      </c>
      <c r="BI56" s="44" t="n">
        <v>0.0046499</v>
      </c>
      <c r="BJ56" s="44" t="n">
        <v>0.474918</v>
      </c>
      <c r="BK56" s="44" t="n">
        <v>0.0613107</v>
      </c>
      <c r="BL56" s="44" t="n">
        <v>0.0046499</v>
      </c>
      <c r="BM56" s="44" t="n">
        <v>0.479394</v>
      </c>
      <c r="BN56" s="44" t="n">
        <v>0.06201</v>
      </c>
      <c r="BO56" s="44" t="n">
        <v>0.0046499</v>
      </c>
      <c r="BP56" s="44" t="n">
        <v>0.465666</v>
      </c>
      <c r="BQ56" s="44" t="n">
        <v>0.0606875</v>
      </c>
      <c r="BR56" s="44" t="n">
        <v>0.0046499</v>
      </c>
      <c r="BS56" s="44" t="n">
        <v>0.473814</v>
      </c>
      <c r="BT56" s="44" t="n">
        <v>0.0619788</v>
      </c>
      <c r="BU56" s="44" t="n">
        <v>0.0046499</v>
      </c>
      <c r="BV56" s="44" t="n">
        <v>0.479484</v>
      </c>
      <c r="BW56" s="44" t="n">
        <v>0.0626268</v>
      </c>
      <c r="BX56" s="44" t="n">
        <v>0.0046499</v>
      </c>
      <c r="BY56" s="44" t="n">
        <v>0.470452</v>
      </c>
      <c r="BZ56" s="44" t="n">
        <v>0.0618363</v>
      </c>
      <c r="CA56" s="44" t="n">
        <v>0.0046499</v>
      </c>
      <c r="CB56" s="44" t="n">
        <v>0.452579</v>
      </c>
      <c r="CC56" s="44" t="n">
        <v>0.0600305</v>
      </c>
      <c r="CD56" s="44" t="n">
        <v>0.0046499</v>
      </c>
      <c r="CE56" s="44" t="n">
        <v>0.448985</v>
      </c>
      <c r="CF56" s="44" t="n">
        <v>0.0599432</v>
      </c>
      <c r="CG56" s="44" t="n">
        <v>0.0046499</v>
      </c>
      <c r="CH56" s="44" t="n">
        <v>0.458642</v>
      </c>
      <c r="CI56" s="44" t="n">
        <v>0.0610543</v>
      </c>
      <c r="CJ56" s="44" t="n">
        <v>0.0046499</v>
      </c>
      <c r="CK56" s="44" t="n">
        <v>0.463187</v>
      </c>
      <c r="CL56" s="44" t="n">
        <v>0.0619476</v>
      </c>
      <c r="CM56" s="44" t="n">
        <v>0.0046499</v>
      </c>
      <c r="CN56" s="44" t="n">
        <v>0.452812</v>
      </c>
      <c r="CO56" s="44" t="n">
        <v>0.0612485</v>
      </c>
      <c r="CP56" s="44" t="n">
        <v>0.0046499</v>
      </c>
      <c r="CQ56" s="44" t="n">
        <v>0.440981</v>
      </c>
      <c r="CR56" s="44" t="n">
        <v>0.0603295</v>
      </c>
      <c r="CS56" s="44" t="n">
        <v>0.0046499</v>
      </c>
      <c r="CT56" s="44" t="n">
        <v>0.452606</v>
      </c>
      <c r="CU56" s="44" t="n">
        <v>0.0621384</v>
      </c>
      <c r="CV56" s="44" t="n">
        <v>0.0046499</v>
      </c>
      <c r="CW56" s="44" t="n">
        <v>0.427294</v>
      </c>
      <c r="CX56" s="44" t="n">
        <v>0.0599537</v>
      </c>
    </row>
    <row collapsed="false" customFormat="false" customHeight="false" hidden="false" ht="12.75" outlineLevel="0" r="57">
      <c r="A57" s="44" t="n">
        <v>0.0047499</v>
      </c>
      <c r="B57" s="44" t="n">
        <v>0.435722</v>
      </c>
      <c r="C57" s="44" t="n">
        <v>0.0567363</v>
      </c>
      <c r="D57" s="44" t="n">
        <v>0.0047499</v>
      </c>
      <c r="E57" s="44" t="n">
        <v>0.452289</v>
      </c>
      <c r="F57" s="44" t="n">
        <v>0.0582127</v>
      </c>
      <c r="G57" s="44" t="n">
        <v>0.0047499</v>
      </c>
      <c r="H57" s="44" t="n">
        <v>0.454481</v>
      </c>
      <c r="I57" s="44" t="n">
        <v>0.0578982</v>
      </c>
      <c r="J57" s="44" t="n">
        <v>0.0047499</v>
      </c>
      <c r="K57" s="44" t="n">
        <v>0.450011</v>
      </c>
      <c r="L57" s="44" t="n">
        <v>0.0570081</v>
      </c>
      <c r="M57" s="44" t="n">
        <v>0.0047499</v>
      </c>
      <c r="N57" s="44" t="n">
        <v>0.461623</v>
      </c>
      <c r="O57" s="44" t="n">
        <v>0.0576855</v>
      </c>
      <c r="P57" s="44" t="n">
        <v>0.0047499</v>
      </c>
      <c r="Q57" s="44" t="n">
        <v>0.476271</v>
      </c>
      <c r="R57" s="44" t="n">
        <v>0.0587516</v>
      </c>
      <c r="S57" s="44" t="n">
        <v>0.0047499</v>
      </c>
      <c r="T57" s="44" t="n">
        <v>0.484386</v>
      </c>
      <c r="U57" s="44" t="n">
        <v>0.0589639</v>
      </c>
      <c r="V57" s="44" t="n">
        <v>0.0047499</v>
      </c>
      <c r="W57" s="44" t="n">
        <v>0.472119</v>
      </c>
      <c r="X57" s="44" t="n">
        <v>0.0577712</v>
      </c>
      <c r="Y57" s="44" t="n">
        <v>0.0047499</v>
      </c>
      <c r="Z57" s="44" t="n">
        <v>0.478578</v>
      </c>
      <c r="AA57" s="44" t="n">
        <v>0.0585911</v>
      </c>
      <c r="AB57" s="44" t="n">
        <v>0.0047499</v>
      </c>
      <c r="AC57" s="44" t="n">
        <v>0.467217</v>
      </c>
      <c r="AD57" s="44" t="n">
        <v>0.0575764</v>
      </c>
      <c r="AE57" s="44" t="n">
        <v>0.0047499</v>
      </c>
      <c r="AF57" s="44" t="n">
        <v>0.471946</v>
      </c>
      <c r="AG57" s="44" t="n">
        <v>0.058431</v>
      </c>
      <c r="AH57" s="44" t="n">
        <v>0.0047499</v>
      </c>
      <c r="AI57" s="44" t="n">
        <v>0.461626</v>
      </c>
      <c r="AJ57" s="44" t="n">
        <v>0.0574697</v>
      </c>
      <c r="AK57" s="44" t="n">
        <v>0.0047499</v>
      </c>
      <c r="AL57" s="44" t="n">
        <v>0.457661</v>
      </c>
      <c r="AM57" s="44" t="n">
        <v>0.0572653</v>
      </c>
      <c r="AN57" s="44" t="n">
        <v>0.0047499</v>
      </c>
      <c r="AO57" s="44" t="n">
        <v>0.477572</v>
      </c>
      <c r="AP57" s="44" t="n">
        <v>0.0596432</v>
      </c>
      <c r="AQ57" s="44" t="n">
        <v>0.0047499</v>
      </c>
      <c r="AR57" s="44" t="n">
        <v>0.464635</v>
      </c>
      <c r="AS57" s="44" t="n">
        <v>0.0584899</v>
      </c>
      <c r="AT57" s="44" t="n">
        <v>0.0047499</v>
      </c>
      <c r="AU57" s="44" t="n">
        <v>0.451543</v>
      </c>
      <c r="AV57" s="44" t="n">
        <v>0.0573642</v>
      </c>
      <c r="AW57" s="44" t="n">
        <v>0.0047499</v>
      </c>
      <c r="AX57" s="44" t="n">
        <v>0.444949</v>
      </c>
      <c r="AY57" s="44" t="n">
        <v>0.0569012</v>
      </c>
      <c r="AZ57" s="44" t="n">
        <v>0.0047499</v>
      </c>
      <c r="BA57" s="44" t="n">
        <v>0.466329</v>
      </c>
      <c r="BB57" s="44" t="n">
        <v>0.0595116</v>
      </c>
      <c r="BC57" s="44" t="n">
        <v>0.0047499</v>
      </c>
      <c r="BD57" s="44" t="n">
        <v>0.449344</v>
      </c>
      <c r="BE57" s="44" t="n">
        <v>0.0578243</v>
      </c>
      <c r="BF57" s="44" t="n">
        <v>0.0047499</v>
      </c>
      <c r="BG57" s="44" t="n">
        <v>0.442265</v>
      </c>
      <c r="BH57" s="44" t="n">
        <v>0.0573111</v>
      </c>
      <c r="BI57" s="44" t="n">
        <v>0.0047499</v>
      </c>
      <c r="BJ57" s="44" t="n">
        <v>0.448815</v>
      </c>
      <c r="BK57" s="44" t="n">
        <v>0.0583215</v>
      </c>
      <c r="BL57" s="44" t="n">
        <v>0.0047499</v>
      </c>
      <c r="BM57" s="44" t="n">
        <v>0.453325</v>
      </c>
      <c r="BN57" s="44" t="n">
        <v>0.0589846</v>
      </c>
      <c r="BO57" s="44" t="n">
        <v>0.0047499</v>
      </c>
      <c r="BP57" s="44" t="n">
        <v>0.439548</v>
      </c>
      <c r="BQ57" s="44" t="n">
        <v>0.0577324</v>
      </c>
      <c r="BR57" s="44" t="n">
        <v>0.0047499</v>
      </c>
      <c r="BS57" s="44" t="n">
        <v>0.447832</v>
      </c>
      <c r="BT57" s="44" t="n">
        <v>0.0589641</v>
      </c>
      <c r="BU57" s="44" t="n">
        <v>0.0047499</v>
      </c>
      <c r="BV57" s="44" t="n">
        <v>0.452814</v>
      </c>
      <c r="BW57" s="44" t="n">
        <v>0.0595936</v>
      </c>
      <c r="BX57" s="44" t="n">
        <v>0.0047499</v>
      </c>
      <c r="BY57" s="44" t="n">
        <v>0.44431</v>
      </c>
      <c r="BZ57" s="44" t="n">
        <v>0.0588265</v>
      </c>
      <c r="CA57" s="44" t="n">
        <v>0.0047499</v>
      </c>
      <c r="CB57" s="44" t="n">
        <v>0.426793</v>
      </c>
      <c r="CC57" s="44" t="n">
        <v>0.0571252</v>
      </c>
      <c r="CD57" s="44" t="n">
        <v>0.0047499</v>
      </c>
      <c r="CE57" s="44" t="n">
        <v>0.423453</v>
      </c>
      <c r="CF57" s="44" t="n">
        <v>0.0570262</v>
      </c>
      <c r="CG57" s="44" t="n">
        <v>0.0047499</v>
      </c>
      <c r="CH57" s="44" t="n">
        <v>0.432392</v>
      </c>
      <c r="CI57" s="44" t="n">
        <v>0.0580953</v>
      </c>
      <c r="CJ57" s="44" t="n">
        <v>0.0047499</v>
      </c>
      <c r="CK57" s="44" t="n">
        <v>0.436385</v>
      </c>
      <c r="CL57" s="44" t="n">
        <v>0.0589525</v>
      </c>
      <c r="CM57" s="44" t="n">
        <v>0.0047499</v>
      </c>
      <c r="CN57" s="44" t="n">
        <v>0.426928</v>
      </c>
      <c r="CO57" s="44" t="n">
        <v>0.0582358</v>
      </c>
      <c r="CP57" s="44" t="n">
        <v>0.0047499</v>
      </c>
      <c r="CQ57" s="44" t="n">
        <v>0.415805</v>
      </c>
      <c r="CR57" s="44" t="n">
        <v>0.0574017</v>
      </c>
      <c r="CS57" s="44" t="n">
        <v>0.0047499</v>
      </c>
      <c r="CT57" s="44" t="n">
        <v>0.426288</v>
      </c>
      <c r="CU57" s="44" t="n">
        <v>0.0590974</v>
      </c>
      <c r="CV57" s="44" t="n">
        <v>0.0047499</v>
      </c>
      <c r="CW57" s="44" t="n">
        <v>0.401713</v>
      </c>
      <c r="CX57" s="44" t="n">
        <v>0.057023</v>
      </c>
    </row>
    <row collapsed="false" customFormat="false" customHeight="false" hidden="false" ht="12.75" outlineLevel="0" r="58">
      <c r="A58" s="44" t="n">
        <v>0.0048499</v>
      </c>
      <c r="B58" s="44" t="n">
        <v>0.413974</v>
      </c>
      <c r="C58" s="44" t="n">
        <v>0.0540234</v>
      </c>
      <c r="D58" s="44" t="n">
        <v>0.0048499</v>
      </c>
      <c r="E58" s="44" t="n">
        <v>0.429418</v>
      </c>
      <c r="F58" s="44" t="n">
        <v>0.055408</v>
      </c>
      <c r="G58" s="44" t="n">
        <v>0.0048499</v>
      </c>
      <c r="H58" s="44" t="n">
        <v>0.431185</v>
      </c>
      <c r="I58" s="44" t="n">
        <v>0.0550877</v>
      </c>
      <c r="J58" s="44" t="n">
        <v>0.0048499</v>
      </c>
      <c r="K58" s="44" t="n">
        <v>0.427404</v>
      </c>
      <c r="L58" s="44" t="n">
        <v>0.0542766</v>
      </c>
      <c r="M58" s="44" t="n">
        <v>0.0048499</v>
      </c>
      <c r="N58" s="44" t="n">
        <v>0.438254</v>
      </c>
      <c r="O58" s="44" t="n">
        <v>0.0548857</v>
      </c>
      <c r="P58" s="44" t="n">
        <v>0.0048499</v>
      </c>
      <c r="Q58" s="44" t="n">
        <v>0.452794</v>
      </c>
      <c r="R58" s="44" t="n">
        <v>0.055901</v>
      </c>
      <c r="S58" s="44" t="n">
        <v>0.0048499</v>
      </c>
      <c r="T58" s="44" t="n">
        <v>0.460377</v>
      </c>
      <c r="U58" s="44" t="n">
        <v>0.056083</v>
      </c>
      <c r="V58" s="44" t="n">
        <v>0.0048499</v>
      </c>
      <c r="W58" s="44" t="n">
        <v>0.447944</v>
      </c>
      <c r="X58" s="44" t="n">
        <v>0.0549636</v>
      </c>
      <c r="Y58" s="44" t="n">
        <v>0.0048499</v>
      </c>
      <c r="Z58" s="44" t="n">
        <v>0.453656</v>
      </c>
      <c r="AA58" s="44" t="n">
        <v>0.0557952</v>
      </c>
      <c r="AB58" s="44" t="n">
        <v>0.0048499</v>
      </c>
      <c r="AC58" s="44" t="n">
        <v>0.443438</v>
      </c>
      <c r="AD58" s="44" t="n">
        <v>0.054802</v>
      </c>
      <c r="AE58" s="44" t="n">
        <v>0.0048499</v>
      </c>
      <c r="AF58" s="44" t="n">
        <v>0.447522</v>
      </c>
      <c r="AG58" s="44" t="n">
        <v>0.0555824</v>
      </c>
      <c r="AH58" s="44" t="n">
        <v>0.0048499</v>
      </c>
      <c r="AI58" s="44" t="n">
        <v>0.437437</v>
      </c>
      <c r="AJ58" s="44" t="n">
        <v>0.054708</v>
      </c>
      <c r="AK58" s="44" t="n">
        <v>0.0048499</v>
      </c>
      <c r="AL58" s="44" t="n">
        <v>0.433003</v>
      </c>
      <c r="AM58" s="44" t="n">
        <v>0.0545271</v>
      </c>
      <c r="AN58" s="44" t="n">
        <v>0.0048499</v>
      </c>
      <c r="AO58" s="44" t="n">
        <v>0.452289</v>
      </c>
      <c r="AP58" s="44" t="n">
        <v>0.0567594</v>
      </c>
      <c r="AQ58" s="44" t="n">
        <v>0.0048499</v>
      </c>
      <c r="AR58" s="44" t="n">
        <v>0.439801</v>
      </c>
      <c r="AS58" s="44" t="n">
        <v>0.0556774</v>
      </c>
      <c r="AT58" s="44" t="n">
        <v>0.0048499</v>
      </c>
      <c r="AU58" s="44" t="n">
        <v>0.427247</v>
      </c>
      <c r="AV58" s="44" t="n">
        <v>0.0546113</v>
      </c>
      <c r="AW58" s="44" t="n">
        <v>0.0048499</v>
      </c>
      <c r="AX58" s="44" t="n">
        <v>0.421639</v>
      </c>
      <c r="AY58" s="44" t="n">
        <v>0.0541678</v>
      </c>
      <c r="AZ58" s="44" t="n">
        <v>0.0048499</v>
      </c>
      <c r="BA58" s="44" t="n">
        <v>0.441251</v>
      </c>
      <c r="BB58" s="44" t="n">
        <v>0.0566307</v>
      </c>
      <c r="BC58" s="44" t="n">
        <v>0.0048499</v>
      </c>
      <c r="BD58" s="44" t="n">
        <v>0.42473</v>
      </c>
      <c r="BE58" s="44" t="n">
        <v>0.0550304</v>
      </c>
      <c r="BF58" s="44" t="n">
        <v>0.0048499</v>
      </c>
      <c r="BG58" s="44" t="n">
        <v>0.418027</v>
      </c>
      <c r="BH58" s="44" t="n">
        <v>0.0545592</v>
      </c>
      <c r="BI58" s="44" t="n">
        <v>0.0048499</v>
      </c>
      <c r="BJ58" s="44" t="n">
        <v>0.424332</v>
      </c>
      <c r="BK58" s="44" t="n">
        <v>0.0555178</v>
      </c>
      <c r="BL58" s="44" t="n">
        <v>0.0048499</v>
      </c>
      <c r="BM58" s="44" t="n">
        <v>0.428403</v>
      </c>
      <c r="BN58" s="44" t="n">
        <v>0.0561369</v>
      </c>
      <c r="BO58" s="44" t="n">
        <v>0.0048499</v>
      </c>
      <c r="BP58" s="44" t="n">
        <v>0.415339</v>
      </c>
      <c r="BQ58" s="44" t="n">
        <v>0.0549639</v>
      </c>
      <c r="BR58" s="44" t="n">
        <v>0.0048499</v>
      </c>
      <c r="BS58" s="44" t="n">
        <v>0.422774</v>
      </c>
      <c r="BT58" s="44" t="n">
        <v>0.0561419</v>
      </c>
      <c r="BU58" s="44" t="n">
        <v>0.0048499</v>
      </c>
      <c r="BV58" s="44" t="n">
        <v>0.427687</v>
      </c>
      <c r="BW58" s="44" t="n">
        <v>0.0567137</v>
      </c>
      <c r="BX58" s="44" t="n">
        <v>0.0048499</v>
      </c>
      <c r="BY58" s="44" t="n">
        <v>0.419031</v>
      </c>
      <c r="BZ58" s="44" t="n">
        <v>0.0559759</v>
      </c>
      <c r="CA58" s="44" t="n">
        <v>0.0048499</v>
      </c>
      <c r="CB58" s="44" t="n">
        <v>0.402594</v>
      </c>
      <c r="CC58" s="44" t="n">
        <v>0.0543577</v>
      </c>
      <c r="CD58" s="44" t="n">
        <v>0.0048499</v>
      </c>
      <c r="CE58" s="44" t="n">
        <v>0.399458</v>
      </c>
      <c r="CF58" s="44" t="n">
        <v>0.054286</v>
      </c>
      <c r="CG58" s="44" t="n">
        <v>0.0048499</v>
      </c>
      <c r="CH58" s="44" t="n">
        <v>0.407665</v>
      </c>
      <c r="CI58" s="44" t="n">
        <v>0.0552809</v>
      </c>
      <c r="CJ58" s="44" t="n">
        <v>0.0048499</v>
      </c>
      <c r="CK58" s="44" t="n">
        <v>0.411546</v>
      </c>
      <c r="CL58" s="44" t="n">
        <v>0.0560921</v>
      </c>
      <c r="CM58" s="44" t="n">
        <v>0.0048499</v>
      </c>
      <c r="CN58" s="44" t="n">
        <v>0.40184</v>
      </c>
      <c r="CO58" s="44" t="n">
        <v>0.0554467</v>
      </c>
      <c r="CP58" s="44" t="n">
        <v>0.0048499</v>
      </c>
      <c r="CQ58" s="44" t="n">
        <v>0.391112</v>
      </c>
      <c r="CR58" s="44" t="n">
        <v>0.054641</v>
      </c>
      <c r="CS58" s="44" t="n">
        <v>0.0048499</v>
      </c>
      <c r="CT58" s="44" t="n">
        <v>0.401601</v>
      </c>
      <c r="CU58" s="44" t="n">
        <v>0.056277</v>
      </c>
      <c r="CV58" s="44" t="n">
        <v>0.0048499</v>
      </c>
      <c r="CW58" s="44" t="n">
        <v>0.37811</v>
      </c>
      <c r="CX58" s="44" t="n">
        <v>0.0542799</v>
      </c>
    </row>
    <row collapsed="false" customFormat="false" customHeight="false" hidden="false" ht="12.75" outlineLevel="0" r="59">
      <c r="A59" s="44" t="n">
        <v>0.0049499</v>
      </c>
      <c r="B59" s="44" t="n">
        <v>0.393271</v>
      </c>
      <c r="C59" s="44" t="n">
        <v>0.0514053</v>
      </c>
      <c r="D59" s="44" t="n">
        <v>0.0049499</v>
      </c>
      <c r="E59" s="44" t="n">
        <v>0.408344</v>
      </c>
      <c r="F59" s="44" t="n">
        <v>0.0527108</v>
      </c>
      <c r="G59" s="44" t="n">
        <v>0.0049499</v>
      </c>
      <c r="H59" s="44" t="n">
        <v>0.409364</v>
      </c>
      <c r="I59" s="44" t="n">
        <v>0.0524109</v>
      </c>
      <c r="J59" s="44" t="n">
        <v>0.0049499</v>
      </c>
      <c r="K59" s="44" t="n">
        <v>0.405656</v>
      </c>
      <c r="L59" s="44" t="n">
        <v>0.0516487</v>
      </c>
      <c r="M59" s="44" t="n">
        <v>0.0049499</v>
      </c>
      <c r="N59" s="44" t="n">
        <v>0.416193</v>
      </c>
      <c r="O59" s="44" t="n">
        <v>0.0522431</v>
      </c>
      <c r="P59" s="44" t="n">
        <v>0.0049499</v>
      </c>
      <c r="Q59" s="44" t="n">
        <v>0.429176</v>
      </c>
      <c r="R59" s="44" t="n">
        <v>0.0531822</v>
      </c>
      <c r="S59" s="44" t="n">
        <v>0.0049499</v>
      </c>
      <c r="T59" s="44" t="n">
        <v>0.436866</v>
      </c>
      <c r="U59" s="44" t="n">
        <v>0.0533692</v>
      </c>
      <c r="V59" s="44" t="n">
        <v>0.0049499</v>
      </c>
      <c r="W59" s="44" t="n">
        <v>0.424677</v>
      </c>
      <c r="X59" s="44" t="n">
        <v>0.0523288</v>
      </c>
      <c r="Y59" s="44" t="n">
        <v>0.0049499</v>
      </c>
      <c r="Z59" s="44" t="n">
        <v>0.430546</v>
      </c>
      <c r="AA59" s="44" t="n">
        <v>0.0530941</v>
      </c>
      <c r="AB59" s="44" t="n">
        <v>0.0049499</v>
      </c>
      <c r="AC59" s="44" t="n">
        <v>0.420103</v>
      </c>
      <c r="AD59" s="44" t="n">
        <v>0.0521955</v>
      </c>
      <c r="AE59" s="44" t="n">
        <v>0.0049499</v>
      </c>
      <c r="AF59" s="44" t="n">
        <v>0.423904</v>
      </c>
      <c r="AG59" s="44" t="n">
        <v>0.0529154</v>
      </c>
      <c r="AH59" s="44" t="n">
        <v>0.0049499</v>
      </c>
      <c r="AI59" s="44" t="n">
        <v>0.414658</v>
      </c>
      <c r="AJ59" s="44" t="n">
        <v>0.0520654</v>
      </c>
      <c r="AK59" s="44" t="n">
        <v>0.0049499</v>
      </c>
      <c r="AL59" s="44" t="n">
        <v>0.410484</v>
      </c>
      <c r="AM59" s="44" t="n">
        <v>0.0519021</v>
      </c>
      <c r="AN59" s="44" t="n">
        <v>0.0049499</v>
      </c>
      <c r="AO59" s="44" t="n">
        <v>0.428456</v>
      </c>
      <c r="AP59" s="44" t="n">
        <v>0.0540299</v>
      </c>
      <c r="AQ59" s="44" t="n">
        <v>0.0049499</v>
      </c>
      <c r="AR59" s="44" t="n">
        <v>0.416217</v>
      </c>
      <c r="AS59" s="44" t="n">
        <v>0.052985</v>
      </c>
      <c r="AT59" s="44" t="n">
        <v>0.0049499</v>
      </c>
      <c r="AU59" s="44" t="n">
        <v>0.404541</v>
      </c>
      <c r="AV59" s="44" t="n">
        <v>0.0520273</v>
      </c>
      <c r="AW59" s="44" t="n">
        <v>0.0049499</v>
      </c>
      <c r="AX59" s="44" t="n">
        <v>0.398704</v>
      </c>
      <c r="AY59" s="44" t="n">
        <v>0.051579</v>
      </c>
      <c r="AZ59" s="44" t="n">
        <v>0.0049499</v>
      </c>
      <c r="BA59" s="44" t="n">
        <v>0.417193</v>
      </c>
      <c r="BB59" s="44" t="n">
        <v>0.0539071</v>
      </c>
      <c r="BC59" s="44" t="n">
        <v>0.0049499</v>
      </c>
      <c r="BD59" s="44" t="n">
        <v>0.401937</v>
      </c>
      <c r="BE59" s="44" t="n">
        <v>0.0523741</v>
      </c>
      <c r="BF59" s="44" t="n">
        <v>0.0049499</v>
      </c>
      <c r="BG59" s="44" t="n">
        <v>0.395273</v>
      </c>
      <c r="BH59" s="44" t="n">
        <v>0.0519352</v>
      </c>
      <c r="BI59" s="44" t="n">
        <v>0.0049499</v>
      </c>
      <c r="BJ59" s="44" t="n">
        <v>0.400782</v>
      </c>
      <c r="BK59" s="44" t="n">
        <v>0.0528606</v>
      </c>
      <c r="BL59" s="44" t="n">
        <v>0.0049499</v>
      </c>
      <c r="BM59" s="44" t="n">
        <v>0.404272</v>
      </c>
      <c r="BN59" s="44" t="n">
        <v>0.0534279</v>
      </c>
      <c r="BO59" s="44" t="n">
        <v>0.0049499</v>
      </c>
      <c r="BP59" s="44" t="n">
        <v>0.391975</v>
      </c>
      <c r="BQ59" s="44" t="n">
        <v>0.0523203</v>
      </c>
      <c r="BR59" s="44" t="n">
        <v>0.0049499</v>
      </c>
      <c r="BS59" s="44" t="n">
        <v>0.399473</v>
      </c>
      <c r="BT59" s="44" t="n">
        <v>0.0534231</v>
      </c>
      <c r="BU59" s="44" t="n">
        <v>0.0049499</v>
      </c>
      <c r="BV59" s="44" t="n">
        <v>0.403722</v>
      </c>
      <c r="BW59" s="44" t="n">
        <v>0.0540076</v>
      </c>
      <c r="BX59" s="44" t="n">
        <v>0.0049499</v>
      </c>
      <c r="BY59" s="44" t="n">
        <v>0.395628</v>
      </c>
      <c r="BZ59" s="44" t="n">
        <v>0.0532884</v>
      </c>
      <c r="CA59" s="44" t="n">
        <v>0.0049499</v>
      </c>
      <c r="CB59" s="44" t="n">
        <v>0.379577</v>
      </c>
      <c r="CC59" s="44" t="n">
        <v>0.051758</v>
      </c>
      <c r="CD59" s="44" t="n">
        <v>0.0049499</v>
      </c>
      <c r="CE59" s="44" t="n">
        <v>0.376206</v>
      </c>
      <c r="CF59" s="44" t="n">
        <v>0.0516659</v>
      </c>
      <c r="CG59" s="44" t="n">
        <v>0.0049499</v>
      </c>
      <c r="CH59" s="44" t="n">
        <v>0.384286</v>
      </c>
      <c r="CI59" s="44" t="n">
        <v>0.0526344</v>
      </c>
      <c r="CJ59" s="44" t="n">
        <v>0.0049499</v>
      </c>
      <c r="CK59" s="44" t="n">
        <v>0.387806</v>
      </c>
      <c r="CL59" s="44" t="n">
        <v>0.0533919</v>
      </c>
      <c r="CM59" s="44" t="n">
        <v>0.0049499</v>
      </c>
      <c r="CN59" s="44" t="n">
        <v>0.378691</v>
      </c>
      <c r="CO59" s="44" t="n">
        <v>0.0527514</v>
      </c>
      <c r="CP59" s="44" t="n">
        <v>0.0049499</v>
      </c>
      <c r="CQ59" s="44" t="n">
        <v>0.367812</v>
      </c>
      <c r="CR59" s="44" t="n">
        <v>0.051972</v>
      </c>
      <c r="CS59" s="44" t="n">
        <v>0.0049499</v>
      </c>
      <c r="CT59" s="44" t="n">
        <v>0.378026</v>
      </c>
      <c r="CU59" s="44" t="n">
        <v>0.0535563</v>
      </c>
      <c r="CV59" s="44" t="n">
        <v>0.0049499</v>
      </c>
      <c r="CW59" s="44" t="n">
        <v>0.356005</v>
      </c>
      <c r="CX59" s="44" t="n">
        <v>0.051691</v>
      </c>
    </row>
    <row collapsed="false" customFormat="false" customHeight="false" hidden="false" ht="12.75" outlineLevel="0" r="60">
      <c r="A60" s="44" t="n">
        <v>0.0050499</v>
      </c>
      <c r="B60" s="44" t="n">
        <v>0.373754</v>
      </c>
      <c r="C60" s="44" t="n">
        <v>0.0489248</v>
      </c>
      <c r="D60" s="44" t="n">
        <v>0.0050499</v>
      </c>
      <c r="E60" s="44" t="n">
        <v>0.387348</v>
      </c>
      <c r="F60" s="44" t="n">
        <v>0.0501961</v>
      </c>
      <c r="G60" s="44" t="n">
        <v>0.0050499</v>
      </c>
      <c r="H60" s="44" t="n">
        <v>0.38827</v>
      </c>
      <c r="I60" s="44" t="n">
        <v>0.0498875</v>
      </c>
      <c r="J60" s="44" t="n">
        <v>0.0050499</v>
      </c>
      <c r="K60" s="44" t="n">
        <v>0.38505</v>
      </c>
      <c r="L60" s="44" t="n">
        <v>0.0491575</v>
      </c>
      <c r="M60" s="44" t="n">
        <v>0.0050499</v>
      </c>
      <c r="N60" s="44" t="n">
        <v>0.394646</v>
      </c>
      <c r="O60" s="44" t="n">
        <v>0.0497285</v>
      </c>
      <c r="P60" s="44" t="n">
        <v>0.0050499</v>
      </c>
      <c r="Q60" s="44" t="n">
        <v>0.40734</v>
      </c>
      <c r="R60" s="44" t="n">
        <v>0.05065</v>
      </c>
      <c r="S60" s="44" t="n">
        <v>0.0050499</v>
      </c>
      <c r="T60" s="44" t="n">
        <v>0.414483</v>
      </c>
      <c r="U60" s="44" t="n">
        <v>0.0508135</v>
      </c>
      <c r="V60" s="44" t="n">
        <v>0.0050499</v>
      </c>
      <c r="W60" s="44" t="n">
        <v>0.403066</v>
      </c>
      <c r="X60" s="44" t="n">
        <v>0.0498132</v>
      </c>
      <c r="Y60" s="44" t="n">
        <v>0.0050499</v>
      </c>
      <c r="Z60" s="44" t="n">
        <v>0.408729</v>
      </c>
      <c r="AA60" s="44" t="n">
        <v>0.0505569</v>
      </c>
      <c r="AB60" s="44" t="n">
        <v>0.0050499</v>
      </c>
      <c r="AC60" s="44" t="n">
        <v>0.398472</v>
      </c>
      <c r="AD60" s="44" t="n">
        <v>0.049678</v>
      </c>
      <c r="AE60" s="44" t="n">
        <v>0.0050499</v>
      </c>
      <c r="AF60" s="44" t="n">
        <v>0.401643</v>
      </c>
      <c r="AG60" s="44" t="n">
        <v>0.0503675</v>
      </c>
      <c r="AH60" s="44" t="n">
        <v>0.0050499</v>
      </c>
      <c r="AI60" s="44" t="n">
        <v>0.392866</v>
      </c>
      <c r="AJ60" s="44" t="n">
        <v>0.0495664</v>
      </c>
      <c r="AK60" s="44" t="n">
        <v>0.0050499</v>
      </c>
      <c r="AL60" s="44" t="n">
        <v>0.389024</v>
      </c>
      <c r="AM60" s="44" t="n">
        <v>0.049403</v>
      </c>
      <c r="AN60" s="44" t="n">
        <v>0.0050499</v>
      </c>
      <c r="AO60" s="44" t="n">
        <v>0.405414</v>
      </c>
      <c r="AP60" s="44" t="n">
        <v>0.051443</v>
      </c>
      <c r="AQ60" s="44" t="n">
        <v>0.0050499</v>
      </c>
      <c r="AR60" s="44" t="n">
        <v>0.393805</v>
      </c>
      <c r="AS60" s="44" t="n">
        <v>0.0504508</v>
      </c>
      <c r="AT60" s="44" t="n">
        <v>0.0050499</v>
      </c>
      <c r="AU60" s="44" t="n">
        <v>0.38232</v>
      </c>
      <c r="AV60" s="44" t="n">
        <v>0.0495507</v>
      </c>
      <c r="AW60" s="44" t="n">
        <v>0.0050499</v>
      </c>
      <c r="AX60" s="44" t="n">
        <v>0.377015</v>
      </c>
      <c r="AY60" s="44" t="n">
        <v>0.0490956</v>
      </c>
      <c r="AZ60" s="44" t="n">
        <v>0.0050499</v>
      </c>
      <c r="BA60" s="44" t="n">
        <v>0.394176</v>
      </c>
      <c r="BB60" s="44" t="n">
        <v>0.0513153</v>
      </c>
      <c r="BC60" s="44" t="n">
        <v>0.0050499</v>
      </c>
      <c r="BD60" s="44" t="n">
        <v>0.379998</v>
      </c>
      <c r="BE60" s="44" t="n">
        <v>0.0498565</v>
      </c>
      <c r="BF60" s="44" t="n">
        <v>0.0050499</v>
      </c>
      <c r="BG60" s="44" t="n">
        <v>0.373554</v>
      </c>
      <c r="BH60" s="44" t="n">
        <v>0.049441</v>
      </c>
      <c r="BI60" s="44" t="n">
        <v>0.0050499</v>
      </c>
      <c r="BJ60" s="44" t="n">
        <v>0.378502</v>
      </c>
      <c r="BK60" s="44" t="n">
        <v>0.0503225</v>
      </c>
      <c r="BL60" s="44" t="n">
        <v>0.0050499</v>
      </c>
      <c r="BM60" s="44" t="n">
        <v>0.381845</v>
      </c>
      <c r="BN60" s="44" t="n">
        <v>0.0508566</v>
      </c>
      <c r="BO60" s="44" t="n">
        <v>0.0050499</v>
      </c>
      <c r="BP60" s="44" t="n">
        <v>0.370095</v>
      </c>
      <c r="BQ60" s="44" t="n">
        <v>0.0498076</v>
      </c>
      <c r="BR60" s="44" t="n">
        <v>0.0050499</v>
      </c>
      <c r="BS60" s="44" t="n">
        <v>0.377217</v>
      </c>
      <c r="BT60" s="44" t="n">
        <v>0.0508597</v>
      </c>
      <c r="BU60" s="44" t="n">
        <v>0.0050499</v>
      </c>
      <c r="BV60" s="44" t="n">
        <v>0.381222</v>
      </c>
      <c r="BW60" s="44" t="n">
        <v>0.0514061</v>
      </c>
      <c r="BX60" s="44" t="n">
        <v>0.0050499</v>
      </c>
      <c r="BY60" s="44" t="n">
        <v>0.373162</v>
      </c>
      <c r="BZ60" s="44" t="n">
        <v>0.050724</v>
      </c>
      <c r="CA60" s="44" t="n">
        <v>0.0050499</v>
      </c>
      <c r="CB60" s="44" t="n">
        <v>0.357833</v>
      </c>
      <c r="CC60" s="44" t="n">
        <v>0.0492815</v>
      </c>
      <c r="CD60" s="44" t="n">
        <v>0.0050499</v>
      </c>
      <c r="CE60" s="44" t="n">
        <v>0.354341</v>
      </c>
      <c r="CF60" s="44" t="n">
        <v>0.0491873</v>
      </c>
      <c r="CG60" s="44" t="n">
        <v>0.0050499</v>
      </c>
      <c r="CH60" s="44" t="n">
        <v>0.361674</v>
      </c>
      <c r="CI60" s="44" t="n">
        <v>0.050107</v>
      </c>
      <c r="CJ60" s="44" t="n">
        <v>0.0050499</v>
      </c>
      <c r="CK60" s="44" t="n">
        <v>0.365076</v>
      </c>
      <c r="CL60" s="44" t="n">
        <v>0.0508226</v>
      </c>
      <c r="CM60" s="44" t="n">
        <v>0.0050499</v>
      </c>
      <c r="CN60" s="44" t="n">
        <v>0.3562</v>
      </c>
      <c r="CO60" s="44" t="n">
        <v>0.0502124</v>
      </c>
      <c r="CP60" s="44" t="n">
        <v>0.0050499</v>
      </c>
      <c r="CQ60" s="44" t="n">
        <v>0.346073</v>
      </c>
      <c r="CR60" s="44" t="n">
        <v>0.0494886</v>
      </c>
      <c r="CS60" s="44" t="n">
        <v>0.0050499</v>
      </c>
      <c r="CT60" s="44" t="n">
        <v>0.355536</v>
      </c>
      <c r="CU60" s="44" t="n">
        <v>0.0509743</v>
      </c>
      <c r="CV60" s="44" t="n">
        <v>0.0050499</v>
      </c>
      <c r="CW60" s="44" t="n">
        <v>0.335073</v>
      </c>
      <c r="CX60" s="44" t="n">
        <v>0.0491881</v>
      </c>
    </row>
    <row collapsed="false" customFormat="false" customHeight="false" hidden="false" ht="12.75" outlineLevel="0" r="61">
      <c r="A61" s="44" t="n">
        <v>0.0051499</v>
      </c>
      <c r="B61" s="44" t="n">
        <v>0.354726</v>
      </c>
      <c r="C61" s="44" t="n">
        <v>0.0466035</v>
      </c>
      <c r="D61" s="44" t="n">
        <v>0.0051499</v>
      </c>
      <c r="E61" s="44" t="n">
        <v>0.367636</v>
      </c>
      <c r="F61" s="44" t="n">
        <v>0.0477791</v>
      </c>
      <c r="G61" s="44" t="n">
        <v>0.0051499</v>
      </c>
      <c r="H61" s="44" t="n">
        <v>0.368407</v>
      </c>
      <c r="I61" s="44" t="n">
        <v>0.0475174</v>
      </c>
      <c r="J61" s="44" t="n">
        <v>0.0051499</v>
      </c>
      <c r="K61" s="44" t="n">
        <v>0.364899</v>
      </c>
      <c r="L61" s="44" t="n">
        <v>0.0468196</v>
      </c>
      <c r="M61" s="44" t="n">
        <v>0.0051499</v>
      </c>
      <c r="N61" s="44" t="n">
        <v>0.374313</v>
      </c>
      <c r="O61" s="44" t="n">
        <v>0.0473349</v>
      </c>
      <c r="P61" s="44" t="n">
        <v>0.0051499</v>
      </c>
      <c r="Q61" s="44" t="n">
        <v>0.386774</v>
      </c>
      <c r="R61" s="44" t="n">
        <v>0.0482086</v>
      </c>
      <c r="S61" s="44" t="n">
        <v>0.0051499</v>
      </c>
      <c r="T61" s="44" t="n">
        <v>0.393155</v>
      </c>
      <c r="U61" s="44" t="n">
        <v>0.0484053</v>
      </c>
      <c r="V61" s="44" t="n">
        <v>0.0051499</v>
      </c>
      <c r="W61" s="44" t="n">
        <v>0.382075</v>
      </c>
      <c r="X61" s="44" t="n">
        <v>0.0474284</v>
      </c>
      <c r="Y61" s="44" t="n">
        <v>0.0051499</v>
      </c>
      <c r="Z61" s="44" t="n">
        <v>0.387616</v>
      </c>
      <c r="AA61" s="44" t="n">
        <v>0.0481409</v>
      </c>
      <c r="AB61" s="44" t="n">
        <v>0.0051499</v>
      </c>
      <c r="AC61" s="44" t="n">
        <v>0.377403</v>
      </c>
      <c r="AD61" s="44" t="n">
        <v>0.0473479</v>
      </c>
      <c r="AE61" s="44" t="n">
        <v>0.0051499</v>
      </c>
      <c r="AF61" s="44" t="n">
        <v>0.380334</v>
      </c>
      <c r="AG61" s="44" t="n">
        <v>0.0479584</v>
      </c>
      <c r="AH61" s="44" t="n">
        <v>0.0051499</v>
      </c>
      <c r="AI61" s="44" t="n">
        <v>0.371612</v>
      </c>
      <c r="AJ61" s="44" t="n">
        <v>0.0472051</v>
      </c>
      <c r="AK61" s="44" t="n">
        <v>0.0051499</v>
      </c>
      <c r="AL61" s="44" t="n">
        <v>0.368028</v>
      </c>
      <c r="AM61" s="44" t="n">
        <v>0.0470612</v>
      </c>
      <c r="AN61" s="44" t="n">
        <v>0.0051499</v>
      </c>
      <c r="AO61" s="44" t="n">
        <v>0.383573</v>
      </c>
      <c r="AP61" s="44" t="n">
        <v>0.0489391</v>
      </c>
      <c r="AQ61" s="44" t="n">
        <v>0.0051499</v>
      </c>
      <c r="AR61" s="44" t="n">
        <v>0.37254</v>
      </c>
      <c r="AS61" s="44" t="n">
        <v>0.0480612</v>
      </c>
      <c r="AT61" s="44" t="n">
        <v>0.0051499</v>
      </c>
      <c r="AU61" s="44" t="n">
        <v>0.361582</v>
      </c>
      <c r="AV61" s="44" t="n">
        <v>0.0471581</v>
      </c>
      <c r="AW61" s="44" t="n">
        <v>0.0051499</v>
      </c>
      <c r="AX61" s="44" t="n">
        <v>0.355926</v>
      </c>
      <c r="AY61" s="44" t="n">
        <v>0.0467821</v>
      </c>
      <c r="AZ61" s="44" t="n">
        <v>0.0051499</v>
      </c>
      <c r="BA61" s="44" t="n">
        <v>0.372603</v>
      </c>
      <c r="BB61" s="44" t="n">
        <v>0.0488553</v>
      </c>
      <c r="BC61" s="44" t="n">
        <v>0.0051499</v>
      </c>
      <c r="BD61" s="44" t="n">
        <v>0.35889</v>
      </c>
      <c r="BE61" s="44" t="n">
        <v>0.0474981</v>
      </c>
      <c r="BF61" s="44" t="n">
        <v>0.0051499</v>
      </c>
      <c r="BG61" s="44" t="n">
        <v>0.352646</v>
      </c>
      <c r="BH61" s="44" t="n">
        <v>0.0471051</v>
      </c>
      <c r="BI61" s="44" t="n">
        <v>0.0051499</v>
      </c>
      <c r="BJ61" s="44" t="n">
        <v>0.357413</v>
      </c>
      <c r="BK61" s="44" t="n">
        <v>0.047924</v>
      </c>
      <c r="BL61" s="44" t="n">
        <v>0.0051499</v>
      </c>
      <c r="BM61" s="44" t="n">
        <v>0.360219</v>
      </c>
      <c r="BN61" s="44" t="n">
        <v>0.0484348</v>
      </c>
      <c r="BO61" s="44" t="n">
        <v>0.0051499</v>
      </c>
      <c r="BP61" s="44" t="n">
        <v>0.349377</v>
      </c>
      <c r="BQ61" s="44" t="n">
        <v>0.0474678</v>
      </c>
      <c r="BR61" s="44" t="n">
        <v>0.0051499</v>
      </c>
      <c r="BS61" s="44" t="n">
        <v>0.355703</v>
      </c>
      <c r="BT61" s="44" t="n">
        <v>0.0484163</v>
      </c>
      <c r="BU61" s="44" t="n">
        <v>0.0051499</v>
      </c>
      <c r="BV61" s="44" t="n">
        <v>0.358883</v>
      </c>
      <c r="BW61" s="44" t="n">
        <v>0.048951</v>
      </c>
      <c r="BX61" s="44" t="n">
        <v>0.0051499</v>
      </c>
      <c r="BY61" s="44" t="n">
        <v>0.351966</v>
      </c>
      <c r="BZ61" s="44" t="n">
        <v>0.0483187</v>
      </c>
      <c r="CA61" s="44" t="n">
        <v>0.0051499</v>
      </c>
      <c r="CB61" s="44" t="n">
        <v>0.33713</v>
      </c>
      <c r="CC61" s="44" t="n">
        <v>0.0468987</v>
      </c>
      <c r="CD61" s="44" t="n">
        <v>0.0051499</v>
      </c>
      <c r="CE61" s="44" t="n">
        <v>0.33399</v>
      </c>
      <c r="CF61" s="44" t="n">
        <v>0.0468358</v>
      </c>
      <c r="CG61" s="44" t="n">
        <v>0.0051499</v>
      </c>
      <c r="CH61" s="44" t="n">
        <v>0.340678</v>
      </c>
      <c r="CI61" s="44" t="n">
        <v>0.0477047</v>
      </c>
      <c r="CJ61" s="44" t="n">
        <v>0.0051499</v>
      </c>
      <c r="CK61" s="44" t="n">
        <v>0.343983</v>
      </c>
      <c r="CL61" s="44" t="n">
        <v>0.0483793</v>
      </c>
      <c r="CM61" s="44" t="n">
        <v>0.0051499</v>
      </c>
      <c r="CN61" s="44" t="n">
        <v>0.33495</v>
      </c>
      <c r="CO61" s="44" t="n">
        <v>0.0477875</v>
      </c>
      <c r="CP61" s="44" t="n">
        <v>0.0051499</v>
      </c>
      <c r="CQ61" s="44" t="n">
        <v>0.325995</v>
      </c>
      <c r="CR61" s="44" t="n">
        <v>0.0471293</v>
      </c>
      <c r="CS61" s="44" t="n">
        <v>0.0051499</v>
      </c>
      <c r="CT61" s="44" t="n">
        <v>0.334457</v>
      </c>
      <c r="CU61" s="44" t="n">
        <v>0.0485534</v>
      </c>
      <c r="CV61" s="44" t="n">
        <v>0.0051499</v>
      </c>
      <c r="CW61" s="44" t="n">
        <v>0.314643</v>
      </c>
      <c r="CX61" s="44" t="n">
        <v>0.0468551</v>
      </c>
    </row>
    <row collapsed="false" customFormat="false" customHeight="false" hidden="false" ht="12.75" outlineLevel="0" r="62">
      <c r="A62" s="44" t="n">
        <v>0.0052499</v>
      </c>
      <c r="B62" s="44" t="n">
        <v>0.337109</v>
      </c>
      <c r="C62" s="44" t="n">
        <v>0.0443574</v>
      </c>
      <c r="D62" s="44" t="n">
        <v>0.0052499</v>
      </c>
      <c r="E62" s="44" t="n">
        <v>0.348588</v>
      </c>
      <c r="F62" s="44" t="n">
        <v>0.0454813</v>
      </c>
      <c r="G62" s="44" t="n">
        <v>0.0052499</v>
      </c>
      <c r="H62" s="44" t="n">
        <v>0.349799</v>
      </c>
      <c r="I62" s="44" t="n">
        <v>0.0452342</v>
      </c>
      <c r="J62" s="44" t="n">
        <v>0.0052499</v>
      </c>
      <c r="K62" s="44" t="n">
        <v>0.346251</v>
      </c>
      <c r="L62" s="44" t="n">
        <v>0.0445647</v>
      </c>
      <c r="M62" s="44" t="n">
        <v>0.0052499</v>
      </c>
      <c r="N62" s="44" t="n">
        <v>0.354602</v>
      </c>
      <c r="O62" s="44" t="n">
        <v>0.0450566</v>
      </c>
      <c r="P62" s="44" t="n">
        <v>0.0052499</v>
      </c>
      <c r="Q62" s="44" t="n">
        <v>0.366295</v>
      </c>
      <c r="R62" s="44" t="n">
        <v>0.0459108</v>
      </c>
      <c r="S62" s="44" t="n">
        <v>0.0052499</v>
      </c>
      <c r="T62" s="44" t="n">
        <v>0.372574</v>
      </c>
      <c r="U62" s="44" t="n">
        <v>0.0460948</v>
      </c>
      <c r="V62" s="44" t="n">
        <v>0.0052499</v>
      </c>
      <c r="W62" s="44" t="n">
        <v>0.362329</v>
      </c>
      <c r="X62" s="44" t="n">
        <v>0.0451833</v>
      </c>
      <c r="Y62" s="44" t="n">
        <v>0.0052499</v>
      </c>
      <c r="Z62" s="44" t="n">
        <v>0.367372</v>
      </c>
      <c r="AA62" s="44" t="n">
        <v>0.0458577</v>
      </c>
      <c r="AB62" s="44" t="n">
        <v>0.0052499</v>
      </c>
      <c r="AC62" s="44" t="n">
        <v>0.357881</v>
      </c>
      <c r="AD62" s="44" t="n">
        <v>0.0450764</v>
      </c>
      <c r="AE62" s="44" t="n">
        <v>0.0052499</v>
      </c>
      <c r="AF62" s="44" t="n">
        <v>0.359997</v>
      </c>
      <c r="AG62" s="44" t="n">
        <v>0.0456752</v>
      </c>
      <c r="AH62" s="44" t="n">
        <v>0.0052499</v>
      </c>
      <c r="AI62" s="44" t="n">
        <v>0.351817</v>
      </c>
      <c r="AJ62" s="44" t="n">
        <v>0.0449394</v>
      </c>
      <c r="AK62" s="44" t="n">
        <v>0.0052499</v>
      </c>
      <c r="AL62" s="44" t="n">
        <v>0.348179</v>
      </c>
      <c r="AM62" s="44" t="n">
        <v>0.0448103</v>
      </c>
      <c r="AN62" s="44" t="n">
        <v>0.0052499</v>
      </c>
      <c r="AO62" s="44" t="n">
        <v>0.362938</v>
      </c>
      <c r="AP62" s="44" t="n">
        <v>0.0466315</v>
      </c>
      <c r="AQ62" s="44" t="n">
        <v>0.0052499</v>
      </c>
      <c r="AR62" s="44" t="n">
        <v>0.352443</v>
      </c>
      <c r="AS62" s="44" t="n">
        <v>0.0457614</v>
      </c>
      <c r="AT62" s="44" t="n">
        <v>0.0052499</v>
      </c>
      <c r="AU62" s="44" t="n">
        <v>0.341875</v>
      </c>
      <c r="AV62" s="44" t="n">
        <v>0.0448964</v>
      </c>
      <c r="AW62" s="44" t="n">
        <v>0.0052499</v>
      </c>
      <c r="AX62" s="44" t="n">
        <v>0.33659</v>
      </c>
      <c r="AY62" s="44" t="n">
        <v>0.0445516</v>
      </c>
      <c r="AZ62" s="44" t="n">
        <v>0.0052499</v>
      </c>
      <c r="BA62" s="44" t="n">
        <v>0.351988</v>
      </c>
      <c r="BB62" s="44" t="n">
        <v>0.0465331</v>
      </c>
      <c r="BC62" s="44" t="n">
        <v>0.0052499</v>
      </c>
      <c r="BD62" s="44" t="n">
        <v>0.339095</v>
      </c>
      <c r="BE62" s="44" t="n">
        <v>0.0452247</v>
      </c>
      <c r="BF62" s="44" t="n">
        <v>0.0052499</v>
      </c>
      <c r="BG62" s="44" t="n">
        <v>0.3331</v>
      </c>
      <c r="BH62" s="44" t="n">
        <v>0.044858</v>
      </c>
      <c r="BI62" s="44" t="n">
        <v>0.0052499</v>
      </c>
      <c r="BJ62" s="44" t="n">
        <v>0.337931</v>
      </c>
      <c r="BK62" s="44" t="n">
        <v>0.0456359</v>
      </c>
      <c r="BL62" s="44" t="n">
        <v>0.0052499</v>
      </c>
      <c r="BM62" s="44" t="n">
        <v>0.340234</v>
      </c>
      <c r="BN62" s="44" t="n">
        <v>0.0461193</v>
      </c>
      <c r="BO62" s="44" t="n">
        <v>0.0052499</v>
      </c>
      <c r="BP62" s="44" t="n">
        <v>0.32988</v>
      </c>
      <c r="BQ62" s="44" t="n">
        <v>0.0452041</v>
      </c>
      <c r="BR62" s="44" t="n">
        <v>0.0052499</v>
      </c>
      <c r="BS62" s="44" t="n">
        <v>0.335767</v>
      </c>
      <c r="BT62" s="44" t="n">
        <v>0.0461263</v>
      </c>
      <c r="BU62" s="44" t="n">
        <v>0.0052499</v>
      </c>
      <c r="BV62" s="44" t="n">
        <v>0.339005</v>
      </c>
      <c r="BW62" s="44" t="n">
        <v>0.0465955</v>
      </c>
      <c r="BX62" s="44" t="n">
        <v>0.0052499</v>
      </c>
      <c r="BY62" s="44" t="n">
        <v>0.33199</v>
      </c>
      <c r="BZ62" s="44" t="n">
        <v>0.046013</v>
      </c>
      <c r="CA62" s="44" t="n">
        <v>0.0052499</v>
      </c>
      <c r="CB62" s="44" t="n">
        <v>0.317887</v>
      </c>
      <c r="CC62" s="44" t="n">
        <v>0.0446438</v>
      </c>
      <c r="CD62" s="44" t="n">
        <v>0.0052499</v>
      </c>
      <c r="CE62" s="44" t="n">
        <v>0.314693</v>
      </c>
      <c r="CF62" s="44" t="n">
        <v>0.044577</v>
      </c>
      <c r="CG62" s="44" t="n">
        <v>0.0052499</v>
      </c>
      <c r="CH62" s="44" t="n">
        <v>0.32102</v>
      </c>
      <c r="CI62" s="44" t="n">
        <v>0.0454098</v>
      </c>
      <c r="CJ62" s="44" t="n">
        <v>0.0052499</v>
      </c>
      <c r="CK62" s="44" t="n">
        <v>0.323768</v>
      </c>
      <c r="CL62" s="44" t="n">
        <v>0.0460902</v>
      </c>
      <c r="CM62" s="44" t="n">
        <v>0.0052499</v>
      </c>
      <c r="CN62" s="44" t="n">
        <v>0.315683</v>
      </c>
      <c r="CO62" s="44" t="n">
        <v>0.0454897</v>
      </c>
      <c r="CP62" s="44" t="n">
        <v>0.0052499</v>
      </c>
      <c r="CQ62" s="44" t="n">
        <v>0.306791</v>
      </c>
      <c r="CR62" s="44" t="n">
        <v>0.0448724</v>
      </c>
      <c r="CS62" s="44" t="n">
        <v>0.0052499</v>
      </c>
      <c r="CT62" s="44" t="n">
        <v>0.314447</v>
      </c>
      <c r="CU62" s="44" t="n">
        <v>0.0462468</v>
      </c>
      <c r="CV62" s="44" t="n">
        <v>0.0052499</v>
      </c>
      <c r="CW62" s="44" t="n">
        <v>0.295742</v>
      </c>
      <c r="CX62" s="44" t="n">
        <v>0.0446197</v>
      </c>
    </row>
    <row collapsed="false" customFormat="false" customHeight="false" hidden="false" ht="12.75" outlineLevel="0" r="63">
      <c r="A63" s="44" t="n">
        <v>0.0053499</v>
      </c>
      <c r="B63" s="44" t="n">
        <v>0.319599</v>
      </c>
      <c r="C63" s="44" t="n">
        <v>0.0422324</v>
      </c>
      <c r="D63" s="44" t="n">
        <v>0.0053499</v>
      </c>
      <c r="E63" s="44" t="n">
        <v>0.330986</v>
      </c>
      <c r="F63" s="44" t="n">
        <v>0.043285</v>
      </c>
      <c r="G63" s="44" t="n">
        <v>0.0053499</v>
      </c>
      <c r="H63" s="44" t="n">
        <v>0.33182</v>
      </c>
      <c r="I63" s="44" t="n">
        <v>0.0430711</v>
      </c>
      <c r="J63" s="44" t="n">
        <v>0.0053499</v>
      </c>
      <c r="K63" s="44" t="n">
        <v>0.328253</v>
      </c>
      <c r="L63" s="44" t="n">
        <v>0.0424055</v>
      </c>
      <c r="M63" s="44" t="n">
        <v>0.0053499</v>
      </c>
      <c r="N63" s="44" t="n">
        <v>0.336345</v>
      </c>
      <c r="O63" s="44" t="n">
        <v>0.0428877</v>
      </c>
      <c r="P63" s="44" t="n">
        <v>0.0053499</v>
      </c>
      <c r="Q63" s="44" t="n">
        <v>0.34714</v>
      </c>
      <c r="R63" s="44" t="n">
        <v>0.0436959</v>
      </c>
      <c r="S63" s="44" t="n">
        <v>0.0053499</v>
      </c>
      <c r="T63" s="44" t="n">
        <v>0.353092</v>
      </c>
      <c r="U63" s="44" t="n">
        <v>0.0438975</v>
      </c>
      <c r="V63" s="44" t="n">
        <v>0.0053499</v>
      </c>
      <c r="W63" s="44" t="n">
        <v>0.343066</v>
      </c>
      <c r="X63" s="44" t="n">
        <v>0.0430124</v>
      </c>
      <c r="Y63" s="44" t="n">
        <v>0.0053499</v>
      </c>
      <c r="Z63" s="44" t="n">
        <v>0.347933</v>
      </c>
      <c r="AA63" s="44" t="n">
        <v>0.0436634</v>
      </c>
      <c r="AB63" s="44" t="n">
        <v>0.0053499</v>
      </c>
      <c r="AC63" s="44" t="n">
        <v>0.338711</v>
      </c>
      <c r="AD63" s="44" t="n">
        <v>0.0429465</v>
      </c>
      <c r="AE63" s="44" t="n">
        <v>0.0053499</v>
      </c>
      <c r="AF63" s="44" t="n">
        <v>0.340823</v>
      </c>
      <c r="AG63" s="44" t="n">
        <v>0.043474</v>
      </c>
      <c r="AH63" s="44" t="n">
        <v>0.0053499</v>
      </c>
      <c r="AI63" s="44" t="n">
        <v>0.332788</v>
      </c>
      <c r="AJ63" s="44" t="n">
        <v>0.0427959</v>
      </c>
      <c r="AK63" s="44" t="n">
        <v>0.0053499</v>
      </c>
      <c r="AL63" s="44" t="n">
        <v>0.329624</v>
      </c>
      <c r="AM63" s="44" t="n">
        <v>0.0426804</v>
      </c>
      <c r="AN63" s="44" t="n">
        <v>0.0053499</v>
      </c>
      <c r="AO63" s="44" t="n">
        <v>0.342904</v>
      </c>
      <c r="AP63" s="44" t="n">
        <v>0.0443785</v>
      </c>
      <c r="AQ63" s="44" t="n">
        <v>0.0053499</v>
      </c>
      <c r="AR63" s="44" t="n">
        <v>0.333282</v>
      </c>
      <c r="AS63" s="44" t="n">
        <v>0.0435807</v>
      </c>
      <c r="AT63" s="44" t="n">
        <v>0.0053499</v>
      </c>
      <c r="AU63" s="44" t="n">
        <v>0.323404</v>
      </c>
      <c r="AV63" s="44" t="n">
        <v>0.0427529</v>
      </c>
      <c r="AW63" s="44" t="n">
        <v>0.0053499</v>
      </c>
      <c r="AX63" s="44" t="n">
        <v>0.318392</v>
      </c>
      <c r="AY63" s="44" t="n">
        <v>0.0423983</v>
      </c>
      <c r="AZ63" s="44" t="n">
        <v>0.0053499</v>
      </c>
      <c r="BA63" s="44" t="n">
        <v>0.332677</v>
      </c>
      <c r="BB63" s="44" t="n">
        <v>0.0443211</v>
      </c>
      <c r="BC63" s="44" t="n">
        <v>0.0053499</v>
      </c>
      <c r="BD63" s="44" t="n">
        <v>0.319876</v>
      </c>
      <c r="BE63" s="44" t="n">
        <v>0.0430684</v>
      </c>
      <c r="BF63" s="44" t="n">
        <v>0.0053499</v>
      </c>
      <c r="BG63" s="44" t="n">
        <v>0.314902</v>
      </c>
      <c r="BH63" s="44" t="n">
        <v>0.0426949</v>
      </c>
      <c r="BI63" s="44" t="n">
        <v>0.0053499</v>
      </c>
      <c r="BJ63" s="44" t="n">
        <v>0.318995</v>
      </c>
      <c r="BK63" s="44" t="n">
        <v>0.043469</v>
      </c>
      <c r="BL63" s="44" t="n">
        <v>0.0053499</v>
      </c>
      <c r="BM63" s="44" t="n">
        <v>0.32082</v>
      </c>
      <c r="BN63" s="44" t="n">
        <v>0.0438967</v>
      </c>
      <c r="BO63" s="44" t="n">
        <v>0.0053499</v>
      </c>
      <c r="BP63" s="44" t="n">
        <v>0.311164</v>
      </c>
      <c r="BQ63" s="44" t="n">
        <v>0.0430537</v>
      </c>
      <c r="BR63" s="44" t="n">
        <v>0.0053499</v>
      </c>
      <c r="BS63" s="44" t="n">
        <v>0.316724</v>
      </c>
      <c r="BT63" s="44" t="n">
        <v>0.0439182</v>
      </c>
      <c r="BU63" s="44" t="n">
        <v>0.0053499</v>
      </c>
      <c r="BV63" s="44" t="n">
        <v>0.319391</v>
      </c>
      <c r="BW63" s="44" t="n">
        <v>0.0443758</v>
      </c>
      <c r="BX63" s="44" t="n">
        <v>0.0053499</v>
      </c>
      <c r="BY63" s="44" t="n">
        <v>0.312718</v>
      </c>
      <c r="BZ63" s="44" t="n">
        <v>0.043807</v>
      </c>
      <c r="CA63" s="44" t="n">
        <v>0.0053499</v>
      </c>
      <c r="CB63" s="44" t="n">
        <v>0.29964</v>
      </c>
      <c r="CC63" s="44" t="n">
        <v>0.0425032</v>
      </c>
      <c r="CD63" s="44" t="n">
        <v>0.0053499</v>
      </c>
      <c r="CE63" s="44" t="n">
        <v>0.29648</v>
      </c>
      <c r="CF63" s="44" t="n">
        <v>0.0424803</v>
      </c>
      <c r="CG63" s="44" t="n">
        <v>0.0053499</v>
      </c>
      <c r="CH63" s="44" t="n">
        <v>0.302641</v>
      </c>
      <c r="CI63" s="44" t="n">
        <v>0.0432428</v>
      </c>
      <c r="CJ63" s="44" t="n">
        <v>0.0053499</v>
      </c>
      <c r="CK63" s="44" t="n">
        <v>0.305096</v>
      </c>
      <c r="CL63" s="44" t="n">
        <v>0.0438871</v>
      </c>
      <c r="CM63" s="44" t="n">
        <v>0.0053499</v>
      </c>
      <c r="CN63" s="44" t="n">
        <v>0.29686</v>
      </c>
      <c r="CO63" s="44" t="n">
        <v>0.0433276</v>
      </c>
      <c r="CP63" s="44" t="n">
        <v>0.0053499</v>
      </c>
      <c r="CQ63" s="44" t="n">
        <v>0.288324</v>
      </c>
      <c r="CR63" s="44" t="n">
        <v>0.0427093</v>
      </c>
      <c r="CS63" s="44" t="n">
        <v>0.0053499</v>
      </c>
      <c r="CT63" s="44" t="n">
        <v>0.295849</v>
      </c>
      <c r="CU63" s="44" t="n">
        <v>0.0440183</v>
      </c>
      <c r="CV63" s="44" t="n">
        <v>0.0053499</v>
      </c>
      <c r="CW63" s="44" t="n">
        <v>0.277846</v>
      </c>
      <c r="CX63" s="44" t="n">
        <v>0.0424703</v>
      </c>
    </row>
    <row collapsed="false" customFormat="false" customHeight="false" hidden="false" ht="12.75" outlineLevel="0" r="64">
      <c r="A64" s="44" t="n">
        <v>0.0054499</v>
      </c>
      <c r="B64" s="44" t="n">
        <v>0.302919</v>
      </c>
      <c r="C64" s="44" t="n">
        <v>0.0402314</v>
      </c>
      <c r="D64" s="44" t="n">
        <v>0.0054499</v>
      </c>
      <c r="E64" s="44" t="n">
        <v>0.314052</v>
      </c>
      <c r="F64" s="44" t="n">
        <v>0.0412674</v>
      </c>
      <c r="G64" s="44" t="n">
        <v>0.0054499</v>
      </c>
      <c r="H64" s="44" t="n">
        <v>0.314623</v>
      </c>
      <c r="I64" s="44" t="n">
        <v>0.040992</v>
      </c>
      <c r="J64" s="44" t="n">
        <v>0.0054499</v>
      </c>
      <c r="K64" s="44" t="n">
        <v>0.311369</v>
      </c>
      <c r="L64" s="44" t="n">
        <v>0.0404016</v>
      </c>
      <c r="M64" s="44" t="n">
        <v>0.0054499</v>
      </c>
      <c r="N64" s="44" t="n">
        <v>0.319089</v>
      </c>
      <c r="O64" s="44" t="n">
        <v>0.0408623</v>
      </c>
      <c r="P64" s="44" t="n">
        <v>0.0054499</v>
      </c>
      <c r="Q64" s="44" t="n">
        <v>0.329303</v>
      </c>
      <c r="R64" s="44" t="n">
        <v>0.0416608</v>
      </c>
      <c r="S64" s="44" t="n">
        <v>0.0054499</v>
      </c>
      <c r="T64" s="44" t="n">
        <v>0.33505</v>
      </c>
      <c r="U64" s="44" t="n">
        <v>0.0417823</v>
      </c>
      <c r="V64" s="44" t="n">
        <v>0.0054499</v>
      </c>
      <c r="W64" s="44" t="n">
        <v>0.325288</v>
      </c>
      <c r="X64" s="44" t="n">
        <v>0.0409606</v>
      </c>
      <c r="Y64" s="44" t="n">
        <v>0.0054499</v>
      </c>
      <c r="Z64" s="44" t="n">
        <v>0.329608</v>
      </c>
      <c r="AA64" s="44" t="n">
        <v>0.0415989</v>
      </c>
      <c r="AB64" s="44" t="n">
        <v>0.0054499</v>
      </c>
      <c r="AC64" s="44" t="n">
        <v>0.320889</v>
      </c>
      <c r="AD64" s="44" t="n">
        <v>0.0409202</v>
      </c>
      <c r="AE64" s="44" t="n">
        <v>0.0054499</v>
      </c>
      <c r="AF64" s="44" t="n">
        <v>0.32279</v>
      </c>
      <c r="AG64" s="44" t="n">
        <v>0.041389</v>
      </c>
      <c r="AH64" s="44" t="n">
        <v>0.0054499</v>
      </c>
      <c r="AI64" s="44" t="n">
        <v>0.315469</v>
      </c>
      <c r="AJ64" s="44" t="n">
        <v>0.0407559</v>
      </c>
      <c r="AK64" s="44" t="n">
        <v>0.0054499</v>
      </c>
      <c r="AL64" s="44" t="n">
        <v>0.311958</v>
      </c>
      <c r="AM64" s="44" t="n">
        <v>0.040655</v>
      </c>
      <c r="AN64" s="44" t="n">
        <v>0.0054499</v>
      </c>
      <c r="AO64" s="44" t="n">
        <v>0.32452</v>
      </c>
      <c r="AP64" s="44" t="n">
        <v>0.0422848</v>
      </c>
      <c r="AQ64" s="44" t="n">
        <v>0.0054499</v>
      </c>
      <c r="AR64" s="44" t="n">
        <v>0.315109</v>
      </c>
      <c r="AS64" s="44" t="n">
        <v>0.0415221</v>
      </c>
      <c r="AT64" s="44" t="n">
        <v>0.0054499</v>
      </c>
      <c r="AU64" s="44" t="n">
        <v>0.305704</v>
      </c>
      <c r="AV64" s="44" t="n">
        <v>0.0407421</v>
      </c>
      <c r="AW64" s="44" t="n">
        <v>0.0054499</v>
      </c>
      <c r="AX64" s="44" t="n">
        <v>0.300926</v>
      </c>
      <c r="AY64" s="44" t="n">
        <v>0.0403944</v>
      </c>
      <c r="AZ64" s="44" t="n">
        <v>0.0054499</v>
      </c>
      <c r="BA64" s="44" t="n">
        <v>0.314112</v>
      </c>
      <c r="BB64" s="44" t="n">
        <v>0.0421991</v>
      </c>
      <c r="BC64" s="44" t="n">
        <v>0.0054499</v>
      </c>
      <c r="BD64" s="44" t="n">
        <v>0.30221</v>
      </c>
      <c r="BE64" s="44" t="n">
        <v>0.0410138</v>
      </c>
      <c r="BF64" s="44" t="n">
        <v>0.0054499</v>
      </c>
      <c r="BG64" s="44" t="n">
        <v>0.296865</v>
      </c>
      <c r="BH64" s="44" t="n">
        <v>0.0406852</v>
      </c>
      <c r="BI64" s="44" t="n">
        <v>0.0054499</v>
      </c>
      <c r="BJ64" s="44" t="n">
        <v>0.301198</v>
      </c>
      <c r="BK64" s="44" t="n">
        <v>0.0413908</v>
      </c>
      <c r="BL64" s="44" t="n">
        <v>0.0054499</v>
      </c>
      <c r="BM64" s="44" t="n">
        <v>0.30291</v>
      </c>
      <c r="BN64" s="44" t="n">
        <v>0.041843</v>
      </c>
      <c r="BO64" s="44" t="n">
        <v>0.0054499</v>
      </c>
      <c r="BP64" s="44" t="n">
        <v>0.293601</v>
      </c>
      <c r="BQ64" s="44" t="n">
        <v>0.0410127</v>
      </c>
      <c r="BR64" s="44" t="n">
        <v>0.0054499</v>
      </c>
      <c r="BS64" s="44" t="n">
        <v>0.298301</v>
      </c>
      <c r="BT64" s="44" t="n">
        <v>0.0418431</v>
      </c>
      <c r="BU64" s="44" t="n">
        <v>0.0054499</v>
      </c>
      <c r="BV64" s="44" t="n">
        <v>0.301125</v>
      </c>
      <c r="BW64" s="44" t="n">
        <v>0.0422449</v>
      </c>
      <c r="BX64" s="44" t="n">
        <v>0.0054499</v>
      </c>
      <c r="BY64" s="44" t="n">
        <v>0.294788</v>
      </c>
      <c r="BZ64" s="44" t="n">
        <v>0.0417122</v>
      </c>
      <c r="CA64" s="44" t="n">
        <v>0.0054499</v>
      </c>
      <c r="CB64" s="44" t="n">
        <v>0.282106</v>
      </c>
      <c r="CC64" s="44" t="n">
        <v>0.0405012</v>
      </c>
      <c r="CD64" s="44" t="n">
        <v>0.0054499</v>
      </c>
      <c r="CE64" s="44" t="n">
        <v>0.27876</v>
      </c>
      <c r="CF64" s="44" t="n">
        <v>0.0404432</v>
      </c>
      <c r="CG64" s="44" t="n">
        <v>0.0054499</v>
      </c>
      <c r="CH64" s="44" t="n">
        <v>0.285273</v>
      </c>
      <c r="CI64" s="44" t="n">
        <v>0.0411959</v>
      </c>
      <c r="CJ64" s="44" t="n">
        <v>0.0054499</v>
      </c>
      <c r="CK64" s="44" t="n">
        <v>0.286742</v>
      </c>
      <c r="CL64" s="44" t="n">
        <v>0.0418099</v>
      </c>
      <c r="CM64" s="44" t="n">
        <v>0.0054499</v>
      </c>
      <c r="CN64" s="44" t="n">
        <v>0.279164</v>
      </c>
      <c r="CO64" s="44" t="n">
        <v>0.0412436</v>
      </c>
      <c r="CP64" s="44" t="n">
        <v>0.0054499</v>
      </c>
      <c r="CQ64" s="44" t="n">
        <v>0.270712</v>
      </c>
      <c r="CR64" s="44" t="n">
        <v>0.0406556</v>
      </c>
      <c r="CS64" s="44" t="n">
        <v>0.0054499</v>
      </c>
      <c r="CT64" s="44" t="n">
        <v>0.278056</v>
      </c>
      <c r="CU64" s="44" t="n">
        <v>0.0419226</v>
      </c>
      <c r="CV64" s="44" t="n">
        <v>0.0054499</v>
      </c>
      <c r="CW64" s="44" t="n">
        <v>0.261308</v>
      </c>
      <c r="CX64" s="44" t="n">
        <v>0.0404811</v>
      </c>
    </row>
    <row collapsed="false" customFormat="false" customHeight="false" hidden="false" ht="12.75" outlineLevel="0" r="65">
      <c r="A65" s="44" t="n">
        <v>0.0055499</v>
      </c>
      <c r="B65" s="44" t="n">
        <v>0.28706</v>
      </c>
      <c r="C65" s="44" t="n">
        <v>0.0383213</v>
      </c>
      <c r="D65" s="44" t="n">
        <v>0.0055499</v>
      </c>
      <c r="E65" s="44" t="n">
        <v>0.297651</v>
      </c>
      <c r="F65" s="44" t="n">
        <v>0.0392889</v>
      </c>
      <c r="G65" s="44" t="n">
        <v>0.0055499</v>
      </c>
      <c r="H65" s="44" t="n">
        <v>0.298148</v>
      </c>
      <c r="I65" s="44" t="n">
        <v>0.0390359</v>
      </c>
      <c r="J65" s="44" t="n">
        <v>0.0055499</v>
      </c>
      <c r="K65" s="44" t="n">
        <v>0.295099</v>
      </c>
      <c r="L65" s="44" t="n">
        <v>0.0384592</v>
      </c>
      <c r="M65" s="44" t="n">
        <v>0.0055499</v>
      </c>
      <c r="N65" s="44" t="n">
        <v>0.302448</v>
      </c>
      <c r="O65" s="44" t="n">
        <v>0.0389111</v>
      </c>
      <c r="P65" s="44" t="n">
        <v>0.0055499</v>
      </c>
      <c r="Q65" s="44" t="n">
        <v>0.312003</v>
      </c>
      <c r="R65" s="44" t="n">
        <v>0.0396481</v>
      </c>
      <c r="S65" s="44" t="n">
        <v>0.0055499</v>
      </c>
      <c r="T65" s="44" t="n">
        <v>0.31732</v>
      </c>
      <c r="U65" s="44" t="n">
        <v>0.039837</v>
      </c>
      <c r="V65" s="44" t="n">
        <v>0.0055499</v>
      </c>
      <c r="W65" s="44" t="n">
        <v>0.307822</v>
      </c>
      <c r="X65" s="44" t="n">
        <v>0.03903</v>
      </c>
      <c r="Y65" s="44" t="n">
        <v>0.0055499</v>
      </c>
      <c r="Z65" s="44" t="n">
        <v>0.312308</v>
      </c>
      <c r="AA65" s="44" t="n">
        <v>0.039637</v>
      </c>
      <c r="AB65" s="44" t="n">
        <v>0.0055499</v>
      </c>
      <c r="AC65" s="44" t="n">
        <v>0.303414</v>
      </c>
      <c r="AD65" s="44" t="n">
        <v>0.038967</v>
      </c>
      <c r="AE65" s="44" t="n">
        <v>0.0055499</v>
      </c>
      <c r="AF65" s="44" t="n">
        <v>0.305637</v>
      </c>
      <c r="AG65" s="44" t="n">
        <v>0.0394593</v>
      </c>
      <c r="AH65" s="44" t="n">
        <v>0.0055499</v>
      </c>
      <c r="AI65" s="44" t="n">
        <v>0.298242</v>
      </c>
      <c r="AJ65" s="44" t="n">
        <v>0.0388184</v>
      </c>
      <c r="AK65" s="44" t="n">
        <v>0.0055499</v>
      </c>
      <c r="AL65" s="44" t="n">
        <v>0.295049</v>
      </c>
      <c r="AM65" s="44" t="n">
        <v>0.0387478</v>
      </c>
      <c r="AN65" s="44" t="n">
        <v>0.0055499</v>
      </c>
      <c r="AO65" s="44" t="n">
        <v>0.307172</v>
      </c>
      <c r="AP65" s="44" t="n">
        <v>0.0402721</v>
      </c>
      <c r="AQ65" s="44" t="n">
        <v>0.0055499</v>
      </c>
      <c r="AR65" s="44" t="n">
        <v>0.297931</v>
      </c>
      <c r="AS65" s="44" t="n">
        <v>0.0395602</v>
      </c>
      <c r="AT65" s="44" t="n">
        <v>0.0055499</v>
      </c>
      <c r="AU65" s="44" t="n">
        <v>0.288423</v>
      </c>
      <c r="AV65" s="44" t="n">
        <v>0.0388163</v>
      </c>
      <c r="AW65" s="44" t="n">
        <v>0.0055499</v>
      </c>
      <c r="AX65" s="44" t="n">
        <v>0.283997</v>
      </c>
      <c r="AY65" s="44" t="n">
        <v>0.0384852</v>
      </c>
      <c r="AZ65" s="44" t="n">
        <v>0.0055499</v>
      </c>
      <c r="BA65" s="44" t="n">
        <v>0.296978</v>
      </c>
      <c r="BB65" s="44" t="n">
        <v>0.0402098</v>
      </c>
      <c r="BC65" s="44" t="n">
        <v>0.0055499</v>
      </c>
      <c r="BD65" s="44" t="n">
        <v>0.285335</v>
      </c>
      <c r="BE65" s="44" t="n">
        <v>0.0390968</v>
      </c>
      <c r="BF65" s="44" t="n">
        <v>0.0055499</v>
      </c>
      <c r="BG65" s="44" t="n">
        <v>0.280043</v>
      </c>
      <c r="BH65" s="44" t="n">
        <v>0.0387574</v>
      </c>
      <c r="BI65" s="44" t="n">
        <v>0.0055499</v>
      </c>
      <c r="BJ65" s="44" t="n">
        <v>0.283668</v>
      </c>
      <c r="BK65" s="44" t="n">
        <v>0.0394514</v>
      </c>
      <c r="BL65" s="44" t="n">
        <v>0.0055499</v>
      </c>
      <c r="BM65" s="44" t="n">
        <v>0.285522</v>
      </c>
      <c r="BN65" s="44" t="n">
        <v>0.03984</v>
      </c>
      <c r="BO65" s="44" t="n">
        <v>0.0055499</v>
      </c>
      <c r="BP65" s="44" t="n">
        <v>0.276731</v>
      </c>
      <c r="BQ65" s="44" t="n">
        <v>0.0390918</v>
      </c>
      <c r="BR65" s="44" t="n">
        <v>0.0055499</v>
      </c>
      <c r="BS65" s="44" t="n">
        <v>0.281587</v>
      </c>
      <c r="BT65" s="44" t="n">
        <v>0.0398645</v>
      </c>
      <c r="BU65" s="44" t="n">
        <v>0.0055499</v>
      </c>
      <c r="BV65" s="44" t="n">
        <v>0.283581</v>
      </c>
      <c r="BW65" s="44" t="n">
        <v>0.0402596</v>
      </c>
      <c r="BX65" s="44" t="n">
        <v>0.0055499</v>
      </c>
      <c r="BY65" s="44" t="n">
        <v>0.277581</v>
      </c>
      <c r="BZ65" s="44" t="n">
        <v>0.0397454</v>
      </c>
      <c r="CA65" s="44" t="n">
        <v>0.0055499</v>
      </c>
      <c r="CB65" s="44" t="n">
        <v>0.265441</v>
      </c>
      <c r="CC65" s="44" t="n">
        <v>0.0385725</v>
      </c>
      <c r="CD65" s="44" t="n">
        <v>0.0055499</v>
      </c>
      <c r="CE65" s="44" t="n">
        <v>0.262789</v>
      </c>
      <c r="CF65" s="44" t="n">
        <v>0.0385418</v>
      </c>
      <c r="CG65" s="44" t="n">
        <v>0.0055499</v>
      </c>
      <c r="CH65" s="44" t="n">
        <v>0.268364</v>
      </c>
      <c r="CI65" s="44" t="n">
        <v>0.0392535</v>
      </c>
      <c r="CJ65" s="44" t="n">
        <v>0.0055499</v>
      </c>
      <c r="CK65" s="44" t="n">
        <v>0.270135</v>
      </c>
      <c r="CL65" s="44" t="n">
        <v>0.039806</v>
      </c>
      <c r="CM65" s="44" t="n">
        <v>0.0055499</v>
      </c>
      <c r="CN65" s="44" t="n">
        <v>0.262812</v>
      </c>
      <c r="CO65" s="44" t="n">
        <v>0.0392983</v>
      </c>
      <c r="CP65" s="44" t="n">
        <v>0.0055499</v>
      </c>
      <c r="CQ65" s="44" t="n">
        <v>0.254916</v>
      </c>
      <c r="CR65" s="44" t="n">
        <v>0.0387523</v>
      </c>
      <c r="CS65" s="44" t="n">
        <v>0.0055499</v>
      </c>
      <c r="CT65" s="44" t="n">
        <v>0.261493</v>
      </c>
      <c r="CU65" s="44" t="n">
        <v>0.0399265</v>
      </c>
      <c r="CV65" s="44" t="n">
        <v>0.0055499</v>
      </c>
      <c r="CW65" s="44" t="n">
        <v>0.245542</v>
      </c>
      <c r="CX65" s="44" t="n">
        <v>0.0385719</v>
      </c>
    </row>
    <row collapsed="false" customFormat="false" customHeight="false" hidden="false" ht="12.75" outlineLevel="0" r="66">
      <c r="A66" s="44" t="n">
        <v>0.0056499</v>
      </c>
      <c r="B66" s="44" t="n">
        <v>0.272421</v>
      </c>
      <c r="C66" s="44" t="n">
        <v>0.0365068</v>
      </c>
      <c r="D66" s="44" t="n">
        <v>0.0056499</v>
      </c>
      <c r="E66" s="44" t="n">
        <v>0.281694</v>
      </c>
      <c r="F66" s="44" t="n">
        <v>0.037453</v>
      </c>
      <c r="G66" s="44" t="n">
        <v>0.0056499</v>
      </c>
      <c r="H66" s="44" t="n">
        <v>0.28204</v>
      </c>
      <c r="I66" s="44" t="n">
        <v>0.0372029</v>
      </c>
      <c r="J66" s="44" t="n">
        <v>0.0056499</v>
      </c>
      <c r="K66" s="44" t="n">
        <v>0.279328</v>
      </c>
      <c r="L66" s="44" t="n">
        <v>0.0366467</v>
      </c>
      <c r="M66" s="44" t="n">
        <v>0.0056499</v>
      </c>
      <c r="N66" s="44" t="n">
        <v>0.286267</v>
      </c>
      <c r="O66" s="44" t="n">
        <v>0.0370693</v>
      </c>
      <c r="P66" s="44" t="n">
        <v>0.0056499</v>
      </c>
      <c r="Q66" s="44" t="n">
        <v>0.295773</v>
      </c>
      <c r="R66" s="44" t="n">
        <v>0.0377955</v>
      </c>
      <c r="S66" s="44" t="n">
        <v>0.0056499</v>
      </c>
      <c r="T66" s="44" t="n">
        <v>0.301007</v>
      </c>
      <c r="U66" s="44" t="n">
        <v>0.0379278</v>
      </c>
      <c r="V66" s="44" t="n">
        <v>0.0056499</v>
      </c>
      <c r="W66" s="44" t="n">
        <v>0.291469</v>
      </c>
      <c r="X66" s="44" t="n">
        <v>0.037194</v>
      </c>
      <c r="Y66" s="44" t="n">
        <v>0.0056499</v>
      </c>
      <c r="Z66" s="44" t="n">
        <v>0.295633</v>
      </c>
      <c r="AA66" s="44" t="n">
        <v>0.037762</v>
      </c>
      <c r="AB66" s="44" t="n">
        <v>0.0056499</v>
      </c>
      <c r="AC66" s="44" t="n">
        <v>0.287237</v>
      </c>
      <c r="AD66" s="44" t="n">
        <v>0.0371496</v>
      </c>
      <c r="AE66" s="44" t="n">
        <v>0.0056499</v>
      </c>
      <c r="AF66" s="44" t="n">
        <v>0.288406</v>
      </c>
      <c r="AG66" s="44" t="n">
        <v>0.0375902</v>
      </c>
      <c r="AH66" s="44" t="n">
        <v>0.0056499</v>
      </c>
      <c r="AI66" s="44" t="n">
        <v>0.282251</v>
      </c>
      <c r="AJ66" s="44" t="n">
        <v>0.0370283</v>
      </c>
      <c r="AK66" s="44" t="n">
        <v>0.0056499</v>
      </c>
      <c r="AL66" s="44" t="n">
        <v>0.278819</v>
      </c>
      <c r="AM66" s="44" t="n">
        <v>0.0369148</v>
      </c>
      <c r="AN66" s="44" t="n">
        <v>0.0056499</v>
      </c>
      <c r="AO66" s="44" t="n">
        <v>0.290052</v>
      </c>
      <c r="AP66" s="44" t="n">
        <v>0.0383844</v>
      </c>
      <c r="AQ66" s="44" t="n">
        <v>0.0056499</v>
      </c>
      <c r="AR66" s="44" t="n">
        <v>0.281158</v>
      </c>
      <c r="AS66" s="44" t="n">
        <v>0.0376735</v>
      </c>
      <c r="AT66" s="44" t="n">
        <v>0.0056499</v>
      </c>
      <c r="AU66" s="44" t="n">
        <v>0.272559</v>
      </c>
      <c r="AV66" s="44" t="n">
        <v>0.0369931</v>
      </c>
      <c r="AW66" s="44" t="n">
        <v>0.0056499</v>
      </c>
      <c r="AX66" s="44" t="n">
        <v>0.268235</v>
      </c>
      <c r="AY66" s="44" t="n">
        <v>0.0366786</v>
      </c>
      <c r="AZ66" s="44" t="n">
        <v>0.0056499</v>
      </c>
      <c r="BA66" s="44" t="n">
        <v>0.280098</v>
      </c>
      <c r="BB66" s="44" t="n">
        <v>0.0383055</v>
      </c>
      <c r="BC66" s="44" t="n">
        <v>0.0056499</v>
      </c>
      <c r="BD66" s="44" t="n">
        <v>0.269544</v>
      </c>
      <c r="BE66" s="44" t="n">
        <v>0.037255</v>
      </c>
      <c r="BF66" s="44" t="n">
        <v>0.0056499</v>
      </c>
      <c r="BG66" s="44" t="n">
        <v>0.264325</v>
      </c>
      <c r="BH66" s="44" t="n">
        <v>0.0369166</v>
      </c>
      <c r="BI66" s="44" t="n">
        <v>0.0056499</v>
      </c>
      <c r="BJ66" s="44" t="n">
        <v>0.267599</v>
      </c>
      <c r="BK66" s="44" t="n">
        <v>0.0375842</v>
      </c>
      <c r="BL66" s="44" t="n">
        <v>0.0056499</v>
      </c>
      <c r="BM66" s="44" t="n">
        <v>0.269375</v>
      </c>
      <c r="BN66" s="44" t="n">
        <v>0.0379816</v>
      </c>
      <c r="BO66" s="44" t="n">
        <v>0.0056499</v>
      </c>
      <c r="BP66" s="44" t="n">
        <v>0.261091</v>
      </c>
      <c r="BQ66" s="44" t="n">
        <v>0.0372578</v>
      </c>
      <c r="BR66" s="44" t="n">
        <v>0.0056499</v>
      </c>
      <c r="BS66" s="44" t="n">
        <v>0.265322</v>
      </c>
      <c r="BT66" s="44" t="n">
        <v>0.0379671</v>
      </c>
      <c r="BU66" s="44" t="n">
        <v>0.0056499</v>
      </c>
      <c r="BV66" s="44" t="n">
        <v>0.267463</v>
      </c>
      <c r="BW66" s="44" t="n">
        <v>0.0383533</v>
      </c>
      <c r="BX66" s="44" t="n">
        <v>0.0056499</v>
      </c>
      <c r="BY66" s="44" t="n">
        <v>0.261453</v>
      </c>
      <c r="BZ66" s="44" t="n">
        <v>0.0378685</v>
      </c>
      <c r="CA66" s="44" t="n">
        <v>0.0056499</v>
      </c>
      <c r="CB66" s="44" t="n">
        <v>0.250167</v>
      </c>
      <c r="CC66" s="44" t="n">
        <v>0.0367512</v>
      </c>
      <c r="CD66" s="44" t="n">
        <v>0.0056499</v>
      </c>
      <c r="CE66" s="44" t="n">
        <v>0.247574</v>
      </c>
      <c r="CF66" s="44" t="n">
        <v>0.0367254</v>
      </c>
      <c r="CG66" s="44" t="n">
        <v>0.0056499</v>
      </c>
      <c r="CH66" s="44" t="n">
        <v>0.25227</v>
      </c>
      <c r="CI66" s="44" t="n">
        <v>0.0373658</v>
      </c>
      <c r="CJ66" s="44" t="n">
        <v>0.0056499</v>
      </c>
      <c r="CK66" s="44" t="n">
        <v>0.254232</v>
      </c>
      <c r="CL66" s="44" t="n">
        <v>0.0379496</v>
      </c>
      <c r="CM66" s="44" t="n">
        <v>0.0056499</v>
      </c>
      <c r="CN66" s="44" t="n">
        <v>0.246689</v>
      </c>
      <c r="CO66" s="44" t="n">
        <v>0.0374184</v>
      </c>
      <c r="CP66" s="44" t="n">
        <v>0.0056499</v>
      </c>
      <c r="CQ66" s="44" t="n">
        <v>0.239399</v>
      </c>
      <c r="CR66" s="44" t="n">
        <v>0.03689</v>
      </c>
      <c r="CS66" s="44" t="n">
        <v>0.0056499</v>
      </c>
      <c r="CT66" s="44" t="n">
        <v>0.24578</v>
      </c>
      <c r="CU66" s="44" t="n">
        <v>0.0380505</v>
      </c>
      <c r="CV66" s="44" t="n">
        <v>0.0056499</v>
      </c>
      <c r="CW66" s="44" t="n">
        <v>0.230825</v>
      </c>
      <c r="CX66" s="44" t="n">
        <v>0.0367467</v>
      </c>
    </row>
    <row collapsed="false" customFormat="false" customHeight="false" hidden="false" ht="12.75" outlineLevel="0" r="67">
      <c r="A67" s="44" t="n">
        <v>0.0057499</v>
      </c>
      <c r="B67" s="44" t="n">
        <v>0.258066</v>
      </c>
      <c r="C67" s="44" t="n">
        <v>0.0347676</v>
      </c>
      <c r="D67" s="44" t="n">
        <v>0.0057499</v>
      </c>
      <c r="E67" s="44" t="n">
        <v>0.26726</v>
      </c>
      <c r="F67" s="44" t="n">
        <v>0.0356746</v>
      </c>
      <c r="G67" s="44" t="n">
        <v>0.0057499</v>
      </c>
      <c r="H67" s="44" t="n">
        <v>0.267611</v>
      </c>
      <c r="I67" s="44" t="n">
        <v>0.0354236</v>
      </c>
      <c r="J67" s="44" t="n">
        <v>0.0057499</v>
      </c>
      <c r="K67" s="44" t="n">
        <v>0.264699</v>
      </c>
      <c r="L67" s="44" t="n">
        <v>0.0349007</v>
      </c>
      <c r="M67" s="44" t="n">
        <v>0.0057499</v>
      </c>
      <c r="N67" s="44" t="n">
        <v>0.270993</v>
      </c>
      <c r="O67" s="44" t="n">
        <v>0.0353203</v>
      </c>
      <c r="P67" s="44" t="n">
        <v>0.0057499</v>
      </c>
      <c r="Q67" s="44" t="n">
        <v>0.279723</v>
      </c>
      <c r="R67" s="44" t="n">
        <v>0.0359938</v>
      </c>
      <c r="S67" s="44" t="n">
        <v>0.0057499</v>
      </c>
      <c r="T67" s="44" t="n">
        <v>0.284747</v>
      </c>
      <c r="U67" s="44" t="n">
        <v>0.0361641</v>
      </c>
      <c r="V67" s="44" t="n">
        <v>0.0057499</v>
      </c>
      <c r="W67" s="44" t="n">
        <v>0.275976</v>
      </c>
      <c r="X67" s="44" t="n">
        <v>0.0354333</v>
      </c>
      <c r="Y67" s="44" t="n">
        <v>0.0057499</v>
      </c>
      <c r="Z67" s="44" t="n">
        <v>0.279735</v>
      </c>
      <c r="AA67" s="44" t="n">
        <v>0.0359905</v>
      </c>
      <c r="AB67" s="44" t="n">
        <v>0.0057499</v>
      </c>
      <c r="AC67" s="44" t="n">
        <v>0.271763</v>
      </c>
      <c r="AD67" s="44" t="n">
        <v>0.0354114</v>
      </c>
      <c r="AE67" s="44" t="n">
        <v>0.0057499</v>
      </c>
      <c r="AF67" s="44" t="n">
        <v>0.273181</v>
      </c>
      <c r="AG67" s="44" t="n">
        <v>0.0358158</v>
      </c>
      <c r="AH67" s="44" t="n">
        <v>0.0057499</v>
      </c>
      <c r="AI67" s="44" t="n">
        <v>0.266485</v>
      </c>
      <c r="AJ67" s="44" t="n">
        <v>0.0352598</v>
      </c>
      <c r="AK67" s="44" t="n">
        <v>0.0057499</v>
      </c>
      <c r="AL67" s="44" t="n">
        <v>0.263594</v>
      </c>
      <c r="AM67" s="44" t="n">
        <v>0.0351902</v>
      </c>
      <c r="AN67" s="44" t="n">
        <v>0.0057499</v>
      </c>
      <c r="AO67" s="44" t="n">
        <v>0.274183</v>
      </c>
      <c r="AP67" s="44" t="n">
        <v>0.0365719</v>
      </c>
      <c r="AQ67" s="44" t="n">
        <v>0.0057499</v>
      </c>
      <c r="AR67" s="44" t="n">
        <v>0.265504</v>
      </c>
      <c r="AS67" s="44" t="n">
        <v>0.0359078</v>
      </c>
      <c r="AT67" s="44" t="n">
        <v>0.0057499</v>
      </c>
      <c r="AU67" s="44" t="n">
        <v>0.257154</v>
      </c>
      <c r="AV67" s="44" t="n">
        <v>0.0352734</v>
      </c>
      <c r="AW67" s="44" t="n">
        <v>0.0057499</v>
      </c>
      <c r="AX67" s="44" t="n">
        <v>0.253025</v>
      </c>
      <c r="AY67" s="44" t="n">
        <v>0.0349579</v>
      </c>
      <c r="AZ67" s="44" t="n">
        <v>0.0057499</v>
      </c>
      <c r="BA67" s="44" t="n">
        <v>0.264752</v>
      </c>
      <c r="BB67" s="44" t="n">
        <v>0.0365106</v>
      </c>
      <c r="BC67" s="44" t="n">
        <v>0.0057499</v>
      </c>
      <c r="BD67" s="44" t="n">
        <v>0.254159</v>
      </c>
      <c r="BE67" s="44" t="n">
        <v>0.0354991</v>
      </c>
      <c r="BF67" s="44" t="n">
        <v>0.0057499</v>
      </c>
      <c r="BG67" s="44" t="n">
        <v>0.249477</v>
      </c>
      <c r="BH67" s="44" t="n">
        <v>0.0352018</v>
      </c>
      <c r="BI67" s="44" t="n">
        <v>0.0057499</v>
      </c>
      <c r="BJ67" s="44" t="n">
        <v>0.25257</v>
      </c>
      <c r="BK67" s="44" t="n">
        <v>0.0357697</v>
      </c>
      <c r="BL67" s="44" t="n">
        <v>0.0057499</v>
      </c>
      <c r="BM67" s="44" t="n">
        <v>0.253833</v>
      </c>
      <c r="BN67" s="44" t="n">
        <v>0.0361662</v>
      </c>
      <c r="BO67" s="44" t="n">
        <v>0.0057499</v>
      </c>
      <c r="BP67" s="44" t="n">
        <v>0.246233</v>
      </c>
      <c r="BQ67" s="44" t="n">
        <v>0.035503</v>
      </c>
      <c r="BR67" s="44" t="n">
        <v>0.0057499</v>
      </c>
      <c r="BS67" s="44" t="n">
        <v>0.250415</v>
      </c>
      <c r="BT67" s="44" t="n">
        <v>0.0361858</v>
      </c>
      <c r="BU67" s="44" t="n">
        <v>0.0057499</v>
      </c>
      <c r="BV67" s="44" t="n">
        <v>0.251872</v>
      </c>
      <c r="BW67" s="44" t="n">
        <v>0.0365447</v>
      </c>
      <c r="BX67" s="44" t="n">
        <v>0.0057499</v>
      </c>
      <c r="BY67" s="44" t="n">
        <v>0.246297</v>
      </c>
      <c r="BZ67" s="44" t="n">
        <v>0.0360804</v>
      </c>
      <c r="CA67" s="44" t="n">
        <v>0.0057499</v>
      </c>
      <c r="CB67" s="44" t="n">
        <v>0.235226</v>
      </c>
      <c r="CC67" s="44" t="n">
        <v>0.0350168</v>
      </c>
      <c r="CD67" s="44" t="n">
        <v>0.0057499</v>
      </c>
      <c r="CE67" s="44" t="n">
        <v>0.233047</v>
      </c>
      <c r="CF67" s="44" t="n">
        <v>0.034995</v>
      </c>
      <c r="CG67" s="44" t="n">
        <v>0.0057499</v>
      </c>
      <c r="CH67" s="44" t="n">
        <v>0.237773</v>
      </c>
      <c r="CI67" s="44" t="n">
        <v>0.0356178</v>
      </c>
      <c r="CJ67" s="44" t="n">
        <v>0.0057499</v>
      </c>
      <c r="CK67" s="44" t="n">
        <v>0.239071</v>
      </c>
      <c r="CL67" s="44" t="n">
        <v>0.0361566</v>
      </c>
      <c r="CM67" s="44" t="n">
        <v>0.0057499</v>
      </c>
      <c r="CN67" s="44" t="n">
        <v>0.23207</v>
      </c>
      <c r="CO67" s="44" t="n">
        <v>0.0356752</v>
      </c>
      <c r="CP67" s="44" t="n">
        <v>0.0057499</v>
      </c>
      <c r="CQ67" s="44" t="n">
        <v>0.225385</v>
      </c>
      <c r="CR67" s="44" t="n">
        <v>0.0351634</v>
      </c>
      <c r="CS67" s="44" t="n">
        <v>0.0057499</v>
      </c>
      <c r="CT67" s="44" t="n">
        <v>0.231425</v>
      </c>
      <c r="CU67" s="44" t="n">
        <v>0.0362311</v>
      </c>
      <c r="CV67" s="44" t="n">
        <v>0.0057499</v>
      </c>
      <c r="CW67" s="44" t="n">
        <v>0.217055</v>
      </c>
      <c r="CX67" s="44" t="n">
        <v>0.0350064</v>
      </c>
    </row>
    <row collapsed="false" customFormat="false" customHeight="false" hidden="false" ht="12.75" outlineLevel="0" r="68">
      <c r="A68" s="44" t="n">
        <v>0.0058499</v>
      </c>
      <c r="B68" s="44" t="n">
        <v>0.244506</v>
      </c>
      <c r="C68" s="44" t="n">
        <v>0.0330693</v>
      </c>
      <c r="D68" s="44" t="n">
        <v>0.0058499</v>
      </c>
      <c r="E68" s="44" t="n">
        <v>0.253334</v>
      </c>
      <c r="F68" s="44" t="n">
        <v>0.0339549</v>
      </c>
      <c r="G68" s="44" t="n">
        <v>0.0058499</v>
      </c>
      <c r="H68" s="44" t="n">
        <v>0.25306</v>
      </c>
      <c r="I68" s="44" t="n">
        <v>0.0337019</v>
      </c>
      <c r="J68" s="44" t="n">
        <v>0.0058499</v>
      </c>
      <c r="K68" s="44" t="n">
        <v>0.250656</v>
      </c>
      <c r="L68" s="44" t="n">
        <v>0.033219</v>
      </c>
      <c r="M68" s="44" t="n">
        <v>0.0058499</v>
      </c>
      <c r="N68" s="44" t="n">
        <v>0.256477</v>
      </c>
      <c r="O68" s="44" t="n">
        <v>0.0336162</v>
      </c>
      <c r="P68" s="44" t="n">
        <v>0.0058499</v>
      </c>
      <c r="Q68" s="44" t="n">
        <v>0.264781</v>
      </c>
      <c r="R68" s="44" t="n">
        <v>0.0342779</v>
      </c>
      <c r="S68" s="44" t="n">
        <v>0.0058499</v>
      </c>
      <c r="T68" s="44" t="n">
        <v>0.269722</v>
      </c>
      <c r="U68" s="44" t="n">
        <v>0.0344453</v>
      </c>
      <c r="V68" s="44" t="n">
        <v>0.0058499</v>
      </c>
      <c r="W68" s="44" t="n">
        <v>0.261298</v>
      </c>
      <c r="X68" s="44" t="n">
        <v>0.0337546</v>
      </c>
      <c r="Y68" s="44" t="n">
        <v>0.0058499</v>
      </c>
      <c r="Z68" s="44" t="n">
        <v>0.265067</v>
      </c>
      <c r="AA68" s="44" t="n">
        <v>0.0342855</v>
      </c>
      <c r="AB68" s="44" t="n">
        <v>0.0058499</v>
      </c>
      <c r="AC68" s="44" t="n">
        <v>0.257085</v>
      </c>
      <c r="AD68" s="44" t="n">
        <v>0.03372</v>
      </c>
      <c r="AE68" s="44" t="n">
        <v>0.0058499</v>
      </c>
      <c r="AF68" s="44" t="n">
        <v>0.258415</v>
      </c>
      <c r="AG68" s="44" t="n">
        <v>0.0341166</v>
      </c>
      <c r="AH68" s="44" t="n">
        <v>0.0058499</v>
      </c>
      <c r="AI68" s="44" t="n">
        <v>0.252212</v>
      </c>
      <c r="AJ68" s="44" t="n">
        <v>0.0335644</v>
      </c>
      <c r="AK68" s="44" t="n">
        <v>0.0058499</v>
      </c>
      <c r="AL68" s="44" t="n">
        <v>0.249424</v>
      </c>
      <c r="AM68" s="44" t="n">
        <v>0.03349</v>
      </c>
      <c r="AN68" s="44" t="n">
        <v>0.0058499</v>
      </c>
      <c r="AO68" s="44" t="n">
        <v>0.258612</v>
      </c>
      <c r="AP68" s="44" t="n">
        <v>0.0348199</v>
      </c>
      <c r="AQ68" s="44" t="n">
        <v>0.0058499</v>
      </c>
      <c r="AR68" s="44" t="n">
        <v>0.250895</v>
      </c>
      <c r="AS68" s="44" t="n">
        <v>0.0341979</v>
      </c>
      <c r="AT68" s="44" t="n">
        <v>0.0058499</v>
      </c>
      <c r="AU68" s="44" t="n">
        <v>0.243013</v>
      </c>
      <c r="AV68" s="44" t="n">
        <v>0.0335781</v>
      </c>
      <c r="AW68" s="44" t="n">
        <v>0.0058499</v>
      </c>
      <c r="AX68" s="44" t="n">
        <v>0.239261</v>
      </c>
      <c r="AY68" s="44" t="n">
        <v>0.033244</v>
      </c>
      <c r="AZ68" s="44" t="n">
        <v>0.0058499</v>
      </c>
      <c r="BA68" s="44" t="n">
        <v>0.249703</v>
      </c>
      <c r="BB68" s="44" t="n">
        <v>0.0347958</v>
      </c>
      <c r="BC68" s="44" t="n">
        <v>0.0058499</v>
      </c>
      <c r="BD68" s="44" t="n">
        <v>0.239901</v>
      </c>
      <c r="BE68" s="44" t="n">
        <v>0.0338116</v>
      </c>
      <c r="BF68" s="44" t="n">
        <v>0.0058499</v>
      </c>
      <c r="BG68" s="44" t="n">
        <v>0.235429</v>
      </c>
      <c r="BH68" s="44" t="n">
        <v>0.0334918</v>
      </c>
      <c r="BI68" s="44" t="n">
        <v>0.0058499</v>
      </c>
      <c r="BJ68" s="44" t="n">
        <v>0.238243</v>
      </c>
      <c r="BK68" s="44" t="n">
        <v>0.0340705</v>
      </c>
      <c r="BL68" s="44" t="n">
        <v>0.0058499</v>
      </c>
      <c r="BM68" s="44" t="n">
        <v>0.239384</v>
      </c>
      <c r="BN68" s="44" t="n">
        <v>0.0344406</v>
      </c>
      <c r="BO68" s="44" t="n">
        <v>0.0058499</v>
      </c>
      <c r="BP68" s="44" t="n">
        <v>0.232273</v>
      </c>
      <c r="BQ68" s="44" t="n">
        <v>0.0338194</v>
      </c>
      <c r="BR68" s="44" t="n">
        <v>0.0058499</v>
      </c>
      <c r="BS68" s="44" t="n">
        <v>0.236001</v>
      </c>
      <c r="BT68" s="44" t="n">
        <v>0.0344788</v>
      </c>
      <c r="BU68" s="44" t="n">
        <v>0.0058499</v>
      </c>
      <c r="BV68" s="44" t="n">
        <v>0.237272</v>
      </c>
      <c r="BW68" s="44" t="n">
        <v>0.0347801</v>
      </c>
      <c r="BX68" s="44" t="n">
        <v>0.0058499</v>
      </c>
      <c r="BY68" s="44" t="n">
        <v>0.232025</v>
      </c>
      <c r="BZ68" s="44" t="n">
        <v>0.0343665</v>
      </c>
      <c r="CA68" s="44" t="n">
        <v>0.0058499</v>
      </c>
      <c r="CB68" s="44" t="n">
        <v>0.221749</v>
      </c>
      <c r="CC68" s="44" t="n">
        <v>0.0333371</v>
      </c>
      <c r="CD68" s="44" t="n">
        <v>0.0058499</v>
      </c>
      <c r="CE68" s="44" t="n">
        <v>0.219341</v>
      </c>
      <c r="CF68" s="44" t="n">
        <v>0.0333163</v>
      </c>
      <c r="CG68" s="44" t="n">
        <v>0.0058499</v>
      </c>
      <c r="CH68" s="44" t="n">
        <v>0.223588</v>
      </c>
      <c r="CI68" s="44" t="n">
        <v>0.0339361</v>
      </c>
      <c r="CJ68" s="44" t="n">
        <v>0.0058499</v>
      </c>
      <c r="CK68" s="44" t="n">
        <v>0.224993</v>
      </c>
      <c r="CL68" s="44" t="n">
        <v>0.0344066</v>
      </c>
      <c r="CM68" s="44" t="n">
        <v>0.0058499</v>
      </c>
      <c r="CN68" s="44" t="n">
        <v>0.21852</v>
      </c>
      <c r="CO68" s="44" t="n">
        <v>0.0339389</v>
      </c>
      <c r="CP68" s="44" t="n">
        <v>0.0058499</v>
      </c>
      <c r="CQ68" s="44" t="n">
        <v>0.211664</v>
      </c>
      <c r="CR68" s="44" t="n">
        <v>0.0334593</v>
      </c>
      <c r="CS68" s="44" t="n">
        <v>0.0058499</v>
      </c>
      <c r="CT68" s="44" t="n">
        <v>0.217397</v>
      </c>
      <c r="CU68" s="44" t="n">
        <v>0.0345397</v>
      </c>
      <c r="CV68" s="44" t="n">
        <v>0.0058499</v>
      </c>
      <c r="CW68" s="44" t="n">
        <v>0.203613</v>
      </c>
      <c r="CX68" s="44" t="n">
        <v>0.0333033</v>
      </c>
    </row>
    <row collapsed="false" customFormat="false" customHeight="false" hidden="false" ht="12.75" outlineLevel="0" r="69">
      <c r="A69" s="44" t="n">
        <v>0.0059499</v>
      </c>
      <c r="B69" s="44" t="n">
        <v>0.231577</v>
      </c>
      <c r="C69" s="44" t="n">
        <v>0.0315098</v>
      </c>
      <c r="D69" s="44" t="n">
        <v>0.0059499</v>
      </c>
      <c r="E69" s="44" t="n">
        <v>0.239931</v>
      </c>
      <c r="F69" s="44" t="n">
        <v>0.0323494</v>
      </c>
      <c r="G69" s="44" t="n">
        <v>0.0059499</v>
      </c>
      <c r="H69" s="44" t="n">
        <v>0.239804</v>
      </c>
      <c r="I69" s="44" t="n">
        <v>0.0321121</v>
      </c>
      <c r="J69" s="44" t="n">
        <v>0.0059499</v>
      </c>
      <c r="K69" s="44" t="n">
        <v>0.237267</v>
      </c>
      <c r="L69" s="44" t="n">
        <v>0.031635</v>
      </c>
      <c r="M69" s="44" t="n">
        <v>0.0059499</v>
      </c>
      <c r="N69" s="44" t="n">
        <v>0.242868</v>
      </c>
      <c r="O69" s="44" t="n">
        <v>0.0320029</v>
      </c>
      <c r="P69" s="44" t="n">
        <v>0.0059499</v>
      </c>
      <c r="Q69" s="44" t="n">
        <v>0.250636</v>
      </c>
      <c r="R69" s="44" t="n">
        <v>0.0326276</v>
      </c>
      <c r="S69" s="44" t="n">
        <v>0.0059499</v>
      </c>
      <c r="T69" s="44" t="n">
        <v>0.254928</v>
      </c>
      <c r="U69" s="44" t="n">
        <v>0.0327608</v>
      </c>
      <c r="V69" s="44" t="n">
        <v>0.0059499</v>
      </c>
      <c r="W69" s="44" t="n">
        <v>0.247295</v>
      </c>
      <c r="X69" s="44" t="n">
        <v>0.0321403</v>
      </c>
      <c r="Y69" s="44" t="n">
        <v>0.0059499</v>
      </c>
      <c r="Z69" s="44" t="n">
        <v>0.250526</v>
      </c>
      <c r="AA69" s="44" t="n">
        <v>0.0326419</v>
      </c>
      <c r="AB69" s="44" t="n">
        <v>0.0059499</v>
      </c>
      <c r="AC69" s="44" t="n">
        <v>0.243101</v>
      </c>
      <c r="AD69" s="44" t="n">
        <v>0.0321145</v>
      </c>
      <c r="AE69" s="44" t="n">
        <v>0.0059499</v>
      </c>
      <c r="AF69" s="44" t="n">
        <v>0.243811</v>
      </c>
      <c r="AG69" s="44" t="n">
        <v>0.0325004</v>
      </c>
      <c r="AH69" s="44" t="n">
        <v>0.0059499</v>
      </c>
      <c r="AI69" s="44" t="n">
        <v>0.238169</v>
      </c>
      <c r="AJ69" s="44" t="n">
        <v>0.0319844</v>
      </c>
      <c r="AK69" s="44" t="n">
        <v>0.0059499</v>
      </c>
      <c r="AL69" s="44" t="n">
        <v>0.235435</v>
      </c>
      <c r="AM69" s="44" t="n">
        <v>0.0318933</v>
      </c>
      <c r="AN69" s="44" t="n">
        <v>0.0059499</v>
      </c>
      <c r="AO69" s="44" t="n">
        <v>0.244803</v>
      </c>
      <c r="AP69" s="44" t="n">
        <v>0.0331432</v>
      </c>
      <c r="AQ69" s="44" t="n">
        <v>0.0059499</v>
      </c>
      <c r="AR69" s="44" t="n">
        <v>0.236671</v>
      </c>
      <c r="AS69" s="44" t="n">
        <v>0.0325504</v>
      </c>
      <c r="AT69" s="44" t="n">
        <v>0.0059499</v>
      </c>
      <c r="AU69" s="44" t="n">
        <v>0.229493</v>
      </c>
      <c r="AV69" s="44" t="n">
        <v>0.0319677</v>
      </c>
      <c r="AW69" s="44" t="n">
        <v>0.0059499</v>
      </c>
      <c r="AX69" s="44" t="n">
        <v>0.22554</v>
      </c>
      <c r="AY69" s="44" t="n">
        <v>0.0316776</v>
      </c>
      <c r="AZ69" s="44" t="n">
        <v>0.0059499</v>
      </c>
      <c r="BA69" s="44" t="n">
        <v>0.235548</v>
      </c>
      <c r="BB69" s="44" t="n">
        <v>0.0331385</v>
      </c>
      <c r="BC69" s="44" t="n">
        <v>0.0059499</v>
      </c>
      <c r="BD69" s="44" t="n">
        <v>0.226229</v>
      </c>
      <c r="BE69" s="44" t="n">
        <v>0.0322022</v>
      </c>
      <c r="BF69" s="44" t="n">
        <v>0.0059499</v>
      </c>
      <c r="BG69" s="44" t="n">
        <v>0.22207</v>
      </c>
      <c r="BH69" s="44" t="n">
        <v>0.0319176</v>
      </c>
      <c r="BI69" s="44" t="n">
        <v>0.0059499</v>
      </c>
      <c r="BJ69" s="44" t="n">
        <v>0.224655</v>
      </c>
      <c r="BK69" s="44" t="n">
        <v>0.0324299</v>
      </c>
      <c r="BL69" s="44" t="n">
        <v>0.0059499</v>
      </c>
      <c r="BM69" s="44" t="n">
        <v>0.225669</v>
      </c>
      <c r="BN69" s="44" t="n">
        <v>0.0328019</v>
      </c>
      <c r="BO69" s="44" t="n">
        <v>0.0059499</v>
      </c>
      <c r="BP69" s="44" t="n">
        <v>0.218635</v>
      </c>
      <c r="BQ69" s="44" t="n">
        <v>0.0322188</v>
      </c>
      <c r="BR69" s="44" t="n">
        <v>0.0059499</v>
      </c>
      <c r="BS69" s="44" t="n">
        <v>0.222466</v>
      </c>
      <c r="BT69" s="44" t="n">
        <v>0.0328304</v>
      </c>
      <c r="BU69" s="44" t="n">
        <v>0.0059499</v>
      </c>
      <c r="BV69" s="44" t="n">
        <v>0.223415</v>
      </c>
      <c r="BW69" s="44" t="n">
        <v>0.0331024</v>
      </c>
      <c r="BX69" s="44" t="n">
        <v>0.0059499</v>
      </c>
      <c r="BY69" s="44" t="n">
        <v>0.218162</v>
      </c>
      <c r="BZ69" s="44" t="n">
        <v>0.0326917</v>
      </c>
      <c r="CA69" s="44" t="n">
        <v>0.0059499</v>
      </c>
      <c r="CB69" s="44" t="n">
        <v>0.208439</v>
      </c>
      <c r="CC69" s="44" t="n">
        <v>0.0317512</v>
      </c>
      <c r="CD69" s="44" t="n">
        <v>0.0059499</v>
      </c>
      <c r="CE69" s="44" t="n">
        <v>0.206373</v>
      </c>
      <c r="CF69" s="44" t="n">
        <v>0.0317567</v>
      </c>
      <c r="CG69" s="44" t="n">
        <v>0.0059499</v>
      </c>
      <c r="CH69" s="44" t="n">
        <v>0.209618</v>
      </c>
      <c r="CI69" s="44" t="n">
        <v>0.0322799</v>
      </c>
      <c r="CJ69" s="44" t="n">
        <v>0.0059499</v>
      </c>
      <c r="CK69" s="44" t="n">
        <v>0.211571</v>
      </c>
      <c r="CL69" s="44" t="n">
        <v>0.0327328</v>
      </c>
      <c r="CM69" s="44" t="n">
        <v>0.0059499</v>
      </c>
      <c r="CN69" s="44" t="n">
        <v>0.205195</v>
      </c>
      <c r="CO69" s="44" t="n">
        <v>0.0323305</v>
      </c>
      <c r="CP69" s="44" t="n">
        <v>0.0059499</v>
      </c>
      <c r="CQ69" s="44" t="n">
        <v>0.198681</v>
      </c>
      <c r="CR69" s="44" t="n">
        <v>0.0318646</v>
      </c>
      <c r="CS69" s="44" t="n">
        <v>0.0059499</v>
      </c>
      <c r="CT69" s="44" t="n">
        <v>0.20433</v>
      </c>
      <c r="CU69" s="44" t="n">
        <v>0.0328815</v>
      </c>
      <c r="CV69" s="44" t="n">
        <v>0.0059499</v>
      </c>
      <c r="CW69" s="44" t="n">
        <v>0.191181</v>
      </c>
      <c r="CX69" s="44" t="n">
        <v>0.0317389</v>
      </c>
    </row>
    <row collapsed="false" customFormat="false" customHeight="false" hidden="false" ht="12.75" outlineLevel="0" r="70">
      <c r="A70" s="44" t="n">
        <v>0.0060499</v>
      </c>
      <c r="B70" s="44" t="n">
        <v>0.219433</v>
      </c>
      <c r="C70" s="44" t="n">
        <v>0.0300303</v>
      </c>
      <c r="D70" s="44" t="n">
        <v>0.0060499</v>
      </c>
      <c r="E70" s="44" t="n">
        <v>0.227367</v>
      </c>
      <c r="F70" s="44" t="n">
        <v>0.0308494</v>
      </c>
      <c r="G70" s="44" t="n">
        <v>0.0060499</v>
      </c>
      <c r="H70" s="44" t="n">
        <v>0.22747</v>
      </c>
      <c r="I70" s="44" t="n">
        <v>0.0305867</v>
      </c>
      <c r="J70" s="44" t="n">
        <v>0.0060499</v>
      </c>
      <c r="K70" s="44" t="n">
        <v>0.224923</v>
      </c>
      <c r="L70" s="44" t="n">
        <v>0.0301331</v>
      </c>
      <c r="M70" s="44" t="n">
        <v>0.0060499</v>
      </c>
      <c r="N70" s="44" t="n">
        <v>0.22986</v>
      </c>
      <c r="O70" s="44" t="n">
        <v>0.0304912</v>
      </c>
      <c r="P70" s="44" t="n">
        <v>0.0060499</v>
      </c>
      <c r="Q70" s="44" t="n">
        <v>0.237491</v>
      </c>
      <c r="R70" s="44" t="n">
        <v>0.0310856</v>
      </c>
      <c r="S70" s="44" t="n">
        <v>0.0060499</v>
      </c>
      <c r="T70" s="44" t="n">
        <v>0.241148</v>
      </c>
      <c r="U70" s="44" t="n">
        <v>0.0312032</v>
      </c>
      <c r="V70" s="44" t="n">
        <v>0.0060499</v>
      </c>
      <c r="W70" s="44" t="n">
        <v>0.233564</v>
      </c>
      <c r="X70" s="44" t="n">
        <v>0.0306403</v>
      </c>
      <c r="Y70" s="44" t="n">
        <v>0.0060499</v>
      </c>
      <c r="Z70" s="44" t="n">
        <v>0.237162</v>
      </c>
      <c r="AA70" s="44" t="n">
        <v>0.0311273</v>
      </c>
      <c r="AB70" s="44" t="n">
        <v>0.0060499</v>
      </c>
      <c r="AC70" s="44" t="n">
        <v>0.230122</v>
      </c>
      <c r="AD70" s="44" t="n">
        <v>0.0306067</v>
      </c>
      <c r="AE70" s="44" t="n">
        <v>0.0060499</v>
      </c>
      <c r="AF70" s="44" t="n">
        <v>0.230393</v>
      </c>
      <c r="AG70" s="44" t="n">
        <v>0.0309379</v>
      </c>
      <c r="AH70" s="44" t="n">
        <v>0.0060499</v>
      </c>
      <c r="AI70" s="44" t="n">
        <v>0.225103</v>
      </c>
      <c r="AJ70" s="44" t="n">
        <v>0.0304639</v>
      </c>
      <c r="AK70" s="44" t="n">
        <v>0.0060499</v>
      </c>
      <c r="AL70" s="44" t="n">
        <v>0.222276</v>
      </c>
      <c r="AM70" s="44" t="n">
        <v>0.0303894</v>
      </c>
      <c r="AN70" s="44" t="n">
        <v>0.0060499</v>
      </c>
      <c r="AO70" s="44" t="n">
        <v>0.230863</v>
      </c>
      <c r="AP70" s="44" t="n">
        <v>0.0315875</v>
      </c>
      <c r="AQ70" s="44" t="n">
        <v>0.0060499</v>
      </c>
      <c r="AR70" s="44" t="n">
        <v>0.223556</v>
      </c>
      <c r="AS70" s="44" t="n">
        <v>0.0310289</v>
      </c>
      <c r="AT70" s="44" t="n">
        <v>0.0060499</v>
      </c>
      <c r="AU70" s="44" t="n">
        <v>0.21667</v>
      </c>
      <c r="AV70" s="44" t="n">
        <v>0.0304648</v>
      </c>
      <c r="AW70" s="44" t="n">
        <v>0.0060499</v>
      </c>
      <c r="AX70" s="44" t="n">
        <v>0.21264</v>
      </c>
      <c r="AY70" s="44" t="n">
        <v>0.0301825</v>
      </c>
      <c r="AZ70" s="44" t="n">
        <v>0.0060499</v>
      </c>
      <c r="BA70" s="44" t="n">
        <v>0.222593</v>
      </c>
      <c r="BB70" s="44" t="n">
        <v>0.0315702</v>
      </c>
      <c r="BC70" s="44" t="n">
        <v>0.0060499</v>
      </c>
      <c r="BD70" s="44" t="n">
        <v>0.213006</v>
      </c>
      <c r="BE70" s="44" t="n">
        <v>0.0306622</v>
      </c>
      <c r="BF70" s="44" t="n">
        <v>0.0060499</v>
      </c>
      <c r="BG70" s="44" t="n">
        <v>0.209418</v>
      </c>
      <c r="BH70" s="44" t="n">
        <v>0.030402</v>
      </c>
      <c r="BI70" s="44" t="n">
        <v>0.0060499</v>
      </c>
      <c r="BJ70" s="44" t="n">
        <v>0.211813</v>
      </c>
      <c r="BK70" s="44" t="n">
        <v>0.0309133</v>
      </c>
      <c r="BL70" s="44" t="n">
        <v>0.0060499</v>
      </c>
      <c r="BM70" s="44" t="n">
        <v>0.212011</v>
      </c>
      <c r="BN70" s="44" t="n">
        <v>0.0312492</v>
      </c>
      <c r="BO70" s="44" t="n">
        <v>0.0060499</v>
      </c>
      <c r="BP70" s="44" t="n">
        <v>0.205686</v>
      </c>
      <c r="BQ70" s="44" t="n">
        <v>0.0306826</v>
      </c>
      <c r="BR70" s="44" t="n">
        <v>0.0060499</v>
      </c>
      <c r="BS70" s="44" t="n">
        <v>0.209151</v>
      </c>
      <c r="BT70" s="44" t="n">
        <v>0.0312796</v>
      </c>
      <c r="BU70" s="44" t="n">
        <v>0.0060499</v>
      </c>
      <c r="BV70" s="44" t="n">
        <v>0.210348</v>
      </c>
      <c r="BW70" s="44" t="n">
        <v>0.0315506</v>
      </c>
      <c r="BX70" s="44" t="n">
        <v>0.0060499</v>
      </c>
      <c r="BY70" s="44" t="n">
        <v>0.205408</v>
      </c>
      <c r="BZ70" s="44" t="n">
        <v>0.0311517</v>
      </c>
      <c r="CA70" s="44" t="n">
        <v>0.0060499</v>
      </c>
      <c r="CB70" s="44" t="n">
        <v>0.19612</v>
      </c>
      <c r="CC70" s="44" t="n">
        <v>0.0302629</v>
      </c>
      <c r="CD70" s="44" t="n">
        <v>0.0060499</v>
      </c>
      <c r="CE70" s="44" t="n">
        <v>0.193936</v>
      </c>
      <c r="CF70" s="44" t="n">
        <v>0.0302528</v>
      </c>
      <c r="CG70" s="44" t="n">
        <v>0.0060499</v>
      </c>
      <c r="CH70" s="44" t="n">
        <v>0.197631</v>
      </c>
      <c r="CI70" s="44" t="n">
        <v>0.0307594</v>
      </c>
      <c r="CJ70" s="44" t="n">
        <v>0.0060499</v>
      </c>
      <c r="CK70" s="44" t="n">
        <v>0.198729</v>
      </c>
      <c r="CL70" s="44" t="n">
        <v>0.0312084</v>
      </c>
      <c r="CM70" s="44" t="n">
        <v>0.0060499</v>
      </c>
      <c r="CN70" s="44" t="n">
        <v>0.192651</v>
      </c>
      <c r="CO70" s="44" t="n">
        <v>0.0307788</v>
      </c>
      <c r="CP70" s="44" t="n">
        <v>0.0060499</v>
      </c>
      <c r="CQ70" s="44" t="n">
        <v>0.187006</v>
      </c>
      <c r="CR70" s="44" t="n">
        <v>0.0303656</v>
      </c>
      <c r="CS70" s="44" t="n">
        <v>0.0060499</v>
      </c>
      <c r="CT70" s="44" t="n">
        <v>0.192133</v>
      </c>
      <c r="CU70" s="44" t="n">
        <v>0.0313132</v>
      </c>
      <c r="CV70" s="44" t="n">
        <v>0.0060499</v>
      </c>
      <c r="CW70" s="44" t="n">
        <v>0.179638</v>
      </c>
      <c r="CX70" s="44" t="n">
        <v>0.030234</v>
      </c>
    </row>
    <row collapsed="false" customFormat="false" customHeight="false" hidden="false" ht="12.75" outlineLevel="0" r="71">
      <c r="A71" s="44" t="n">
        <v>0.0061499</v>
      </c>
      <c r="B71" s="44" t="n">
        <v>0.207158</v>
      </c>
      <c r="C71" s="44" t="n">
        <v>0.0285449</v>
      </c>
      <c r="D71" s="44" t="n">
        <v>0.0061499</v>
      </c>
      <c r="E71" s="44" t="n">
        <v>0.215512</v>
      </c>
      <c r="F71" s="44" t="n">
        <v>0.0293651</v>
      </c>
      <c r="G71" s="44" t="n">
        <v>0.0061499</v>
      </c>
      <c r="H71" s="44" t="n">
        <v>0.214779</v>
      </c>
      <c r="I71" s="44" t="n">
        <v>0.0290926</v>
      </c>
      <c r="J71" s="44" t="n">
        <v>0.0061499</v>
      </c>
      <c r="K71" s="44" t="n">
        <v>0.212609</v>
      </c>
      <c r="L71" s="44" t="n">
        <v>0.0286897</v>
      </c>
      <c r="M71" s="44" t="n">
        <v>0.0061499</v>
      </c>
      <c r="N71" s="44" t="n">
        <v>0.217521</v>
      </c>
      <c r="O71" s="44" t="n">
        <v>0.0289795</v>
      </c>
      <c r="P71" s="44" t="n">
        <v>0.0061499</v>
      </c>
      <c r="Q71" s="44" t="n">
        <v>0.224474</v>
      </c>
      <c r="R71" s="44" t="n">
        <v>0.0295836</v>
      </c>
      <c r="S71" s="44" t="n">
        <v>0.0061499</v>
      </c>
      <c r="T71" s="44" t="n">
        <v>0.228404</v>
      </c>
      <c r="U71" s="44" t="n">
        <v>0.0297412</v>
      </c>
      <c r="V71" s="44" t="n">
        <v>0.0061499</v>
      </c>
      <c r="W71" s="44" t="n">
        <v>0.22104</v>
      </c>
      <c r="X71" s="44" t="n">
        <v>0.0291784</v>
      </c>
      <c r="Y71" s="44" t="n">
        <v>0.0061499</v>
      </c>
      <c r="Z71" s="44" t="n">
        <v>0.2239</v>
      </c>
      <c r="AA71" s="44" t="n">
        <v>0.0296409</v>
      </c>
      <c r="AB71" s="44" t="n">
        <v>0.0061499</v>
      </c>
      <c r="AC71" s="44" t="n">
        <v>0.217295</v>
      </c>
      <c r="AD71" s="44" t="n">
        <v>0.0291145</v>
      </c>
      <c r="AE71" s="44" t="n">
        <v>0.0061499</v>
      </c>
      <c r="AF71" s="44" t="n">
        <v>0.217996</v>
      </c>
      <c r="AG71" s="44" t="n">
        <v>0.0294652</v>
      </c>
      <c r="AH71" s="44" t="n">
        <v>0.0061499</v>
      </c>
      <c r="AI71" s="44" t="n">
        <v>0.212603</v>
      </c>
      <c r="AJ71" s="44" t="n">
        <v>0.0289746</v>
      </c>
      <c r="AK71" s="44" t="n">
        <v>0.0061499</v>
      </c>
      <c r="AL71" s="44" t="n">
        <v>0.209834</v>
      </c>
      <c r="AM71" s="44" t="n">
        <v>0.0289021</v>
      </c>
      <c r="AN71" s="44" t="n">
        <v>0.0061499</v>
      </c>
      <c r="AO71" s="44" t="n">
        <v>0.21808</v>
      </c>
      <c r="AP71" s="44" t="n">
        <v>0.0300973</v>
      </c>
      <c r="AQ71" s="44" t="n">
        <v>0.0061499</v>
      </c>
      <c r="AR71" s="44" t="n">
        <v>0.210958</v>
      </c>
      <c r="AS71" s="44" t="n">
        <v>0.0295504</v>
      </c>
      <c r="AT71" s="44" t="n">
        <v>0.0061499</v>
      </c>
      <c r="AU71" s="44" t="n">
        <v>0.204414</v>
      </c>
      <c r="AV71" s="44" t="n">
        <v>0.0290078</v>
      </c>
      <c r="AW71" s="44" t="n">
        <v>0.0061499</v>
      </c>
      <c r="AX71" s="44" t="n">
        <v>0.200643</v>
      </c>
      <c r="AY71" s="44" t="n">
        <v>0.0287313</v>
      </c>
      <c r="AZ71" s="44" t="n">
        <v>0.0061499</v>
      </c>
      <c r="BA71" s="44" t="n">
        <v>0.209385</v>
      </c>
      <c r="BB71" s="44" t="n">
        <v>0.0301063</v>
      </c>
      <c r="BC71" s="44" t="n">
        <v>0.0061499</v>
      </c>
      <c r="BD71" s="44" t="n">
        <v>0.20138</v>
      </c>
      <c r="BE71" s="44" t="n">
        <v>0.0291837</v>
      </c>
      <c r="BF71" s="44" t="n">
        <v>0.0061499</v>
      </c>
      <c r="BG71" s="44" t="n">
        <v>0.197255</v>
      </c>
      <c r="BH71" s="44" t="n">
        <v>0.0289449</v>
      </c>
      <c r="BI71" s="44" t="n">
        <v>0.0061499</v>
      </c>
      <c r="BJ71" s="44" t="n">
        <v>0.199</v>
      </c>
      <c r="BK71" s="44" t="n">
        <v>0.0294133</v>
      </c>
      <c r="BL71" s="44" t="n">
        <v>0.0061499</v>
      </c>
      <c r="BM71" s="44" t="n">
        <v>0.199975</v>
      </c>
      <c r="BN71" s="44" t="n">
        <v>0.0297746</v>
      </c>
      <c r="BO71" s="44" t="n">
        <v>0.0061499</v>
      </c>
      <c r="BP71" s="44" t="n">
        <v>0.194065</v>
      </c>
      <c r="BQ71" s="44" t="n">
        <v>0.0292422</v>
      </c>
      <c r="BR71" s="44" t="n">
        <v>0.0061499</v>
      </c>
      <c r="BS71" s="44" t="n">
        <v>0.197315</v>
      </c>
      <c r="BT71" s="44" t="n">
        <v>0.0297796</v>
      </c>
      <c r="BU71" s="44" t="n">
        <v>0.0061499</v>
      </c>
      <c r="BV71" s="44" t="n">
        <v>0.198224</v>
      </c>
      <c r="BW71" s="44" t="n">
        <v>0.0300623</v>
      </c>
      <c r="BX71" s="44" t="n">
        <v>0.0061499</v>
      </c>
      <c r="BY71" s="44" t="n">
        <v>0.193431</v>
      </c>
      <c r="BZ71" s="44" t="n">
        <v>0.0296751</v>
      </c>
      <c r="CA71" s="44" t="n">
        <v>0.0061499</v>
      </c>
      <c r="CB71" s="44" t="n">
        <v>0.184635</v>
      </c>
      <c r="CC71" s="44" t="n">
        <v>0.0287815</v>
      </c>
      <c r="CD71" s="44" t="n">
        <v>0.0061499</v>
      </c>
      <c r="CE71" s="44" t="n">
        <v>0.182583</v>
      </c>
      <c r="CF71" s="44" t="n">
        <v>0.0287664</v>
      </c>
      <c r="CG71" s="44" t="n">
        <v>0.0061499</v>
      </c>
      <c r="CH71" s="44" t="n">
        <v>0.186088</v>
      </c>
      <c r="CI71" s="44" t="n">
        <v>0.0292887</v>
      </c>
      <c r="CJ71" s="44" t="n">
        <v>0.0061499</v>
      </c>
      <c r="CK71" s="44" t="n">
        <v>0.186956</v>
      </c>
      <c r="CL71" s="44" t="n">
        <v>0.0297211</v>
      </c>
      <c r="CM71" s="44" t="n">
        <v>0.0061499</v>
      </c>
      <c r="CN71" s="44" t="n">
        <v>0.181049</v>
      </c>
      <c r="CO71" s="44" t="n">
        <v>0.0292993</v>
      </c>
      <c r="CP71" s="44" t="n">
        <v>0.0061499</v>
      </c>
      <c r="CQ71" s="44" t="n">
        <v>0.175883</v>
      </c>
      <c r="CR71" s="44" t="n">
        <v>0.0288607</v>
      </c>
      <c r="CS71" s="44" t="n">
        <v>0.0061499</v>
      </c>
      <c r="CT71" s="44" t="n">
        <v>0.180058</v>
      </c>
      <c r="CU71" s="44" t="n">
        <v>0.0298288</v>
      </c>
      <c r="CV71" s="44" t="n">
        <v>0.0061499</v>
      </c>
      <c r="CW71" s="44" t="n">
        <v>0.168168</v>
      </c>
      <c r="CX71" s="44" t="n">
        <v>0.0287896</v>
      </c>
    </row>
    <row collapsed="false" customFormat="false" customHeight="false" hidden="false" ht="12.75" outlineLevel="0" r="72">
      <c r="A72" s="44" t="n">
        <v>0.0062499</v>
      </c>
      <c r="B72" s="44" t="n">
        <v>0.196352</v>
      </c>
      <c r="C72" s="44" t="n">
        <v>0.0272139</v>
      </c>
      <c r="D72" s="44" t="n">
        <v>0.0062499</v>
      </c>
      <c r="E72" s="44" t="n">
        <v>0.203544</v>
      </c>
      <c r="F72" s="44" t="n">
        <v>0.0279354</v>
      </c>
      <c r="G72" s="44" t="n">
        <v>0.0062499</v>
      </c>
      <c r="H72" s="44" t="n">
        <v>0.203119</v>
      </c>
      <c r="I72" s="44" t="n">
        <v>0.0277058</v>
      </c>
      <c r="J72" s="44" t="n">
        <v>0.0062499</v>
      </c>
      <c r="K72" s="44" t="n">
        <v>0.201149</v>
      </c>
      <c r="L72" s="44" t="n">
        <v>0.0273089</v>
      </c>
      <c r="M72" s="44" t="n">
        <v>0.0062499</v>
      </c>
      <c r="N72" s="44" t="n">
        <v>0.205173</v>
      </c>
      <c r="O72" s="44" t="n">
        <v>0.0276005</v>
      </c>
      <c r="P72" s="44" t="n">
        <v>0.0062499</v>
      </c>
      <c r="Q72" s="44" t="n">
        <v>0.212179</v>
      </c>
      <c r="R72" s="44" t="n">
        <v>0.0281363</v>
      </c>
      <c r="S72" s="44" t="n">
        <v>0.0062499</v>
      </c>
      <c r="T72" s="44" t="n">
        <v>0.215719</v>
      </c>
      <c r="U72" s="44" t="n">
        <v>0.0282666</v>
      </c>
      <c r="V72" s="44" t="n">
        <v>0.0062499</v>
      </c>
      <c r="W72" s="44" t="n">
        <v>0.209052</v>
      </c>
      <c r="X72" s="44" t="n">
        <v>0.027738</v>
      </c>
      <c r="Y72" s="44" t="n">
        <v>0.0062499</v>
      </c>
      <c r="Z72" s="44" t="n">
        <v>0.211649</v>
      </c>
      <c r="AA72" s="44" t="n">
        <v>0.0282132</v>
      </c>
      <c r="AB72" s="44" t="n">
        <v>0.0062499</v>
      </c>
      <c r="AC72" s="44" t="n">
        <v>0.204747</v>
      </c>
      <c r="AD72" s="44" t="n">
        <v>0.0277229</v>
      </c>
      <c r="AE72" s="44" t="n">
        <v>0.0062499</v>
      </c>
      <c r="AF72" s="44" t="n">
        <v>0.205945</v>
      </c>
      <c r="AG72" s="44" t="n">
        <v>0.0280121</v>
      </c>
      <c r="AH72" s="44" t="n">
        <v>0.0062499</v>
      </c>
      <c r="AI72" s="44" t="n">
        <v>0.200962</v>
      </c>
      <c r="AJ72" s="44" t="n">
        <v>0.0275801</v>
      </c>
      <c r="AK72" s="44" t="n">
        <v>0.0062499</v>
      </c>
      <c r="AL72" s="44" t="n">
        <v>0.198321</v>
      </c>
      <c r="AM72" s="44" t="n">
        <v>0.0275515</v>
      </c>
      <c r="AN72" s="44" t="n">
        <v>0.0062499</v>
      </c>
      <c r="AO72" s="44" t="n">
        <v>0.205599</v>
      </c>
      <c r="AP72" s="44" t="n">
        <v>0.0286363</v>
      </c>
      <c r="AQ72" s="44" t="n">
        <v>0.0062499</v>
      </c>
      <c r="AR72" s="44" t="n">
        <v>0.199039</v>
      </c>
      <c r="AS72" s="44" t="n">
        <v>0.0281051</v>
      </c>
      <c r="AT72" s="44" t="n">
        <v>0.0062499</v>
      </c>
      <c r="AU72" s="44" t="n">
        <v>0.192657</v>
      </c>
      <c r="AV72" s="44" t="n">
        <v>0.0276083</v>
      </c>
      <c r="AW72" s="44" t="n">
        <v>0.0062499</v>
      </c>
      <c r="AX72" s="44" t="n">
        <v>0.189212</v>
      </c>
      <c r="AY72" s="44" t="n">
        <v>0.0273602</v>
      </c>
      <c r="AZ72" s="44" t="n">
        <v>0.0062499</v>
      </c>
      <c r="BA72" s="44" t="n">
        <v>0.197813</v>
      </c>
      <c r="BB72" s="44" t="n">
        <v>0.02862</v>
      </c>
      <c r="BC72" s="44" t="n">
        <v>0.0062499</v>
      </c>
      <c r="BD72" s="44" t="n">
        <v>0.189676</v>
      </c>
      <c r="BE72" s="44" t="n">
        <v>0.0277862</v>
      </c>
      <c r="BF72" s="44" t="n">
        <v>0.0062499</v>
      </c>
      <c r="BG72" s="44" t="n">
        <v>0.185659</v>
      </c>
      <c r="BH72" s="44" t="n">
        <v>0.0275485</v>
      </c>
      <c r="BI72" s="44" t="n">
        <v>0.0062499</v>
      </c>
      <c r="BJ72" s="44" t="n">
        <v>0.187721</v>
      </c>
      <c r="BK72" s="44" t="n">
        <v>0.0279875</v>
      </c>
      <c r="BL72" s="44" t="n">
        <v>0.0062499</v>
      </c>
      <c r="BM72" s="44" t="n">
        <v>0.188774</v>
      </c>
      <c r="BN72" s="44" t="n">
        <v>0.0283078</v>
      </c>
      <c r="BO72" s="44" t="n">
        <v>0.0062499</v>
      </c>
      <c r="BP72" s="44" t="n">
        <v>0.182634</v>
      </c>
      <c r="BQ72" s="44" t="n">
        <v>0.0278369</v>
      </c>
      <c r="BR72" s="44" t="n">
        <v>0.0062499</v>
      </c>
      <c r="BS72" s="44" t="n">
        <v>0.185713</v>
      </c>
      <c r="BT72" s="44" t="n">
        <v>0.028344</v>
      </c>
      <c r="BU72" s="44" t="n">
        <v>0.0062499</v>
      </c>
      <c r="BV72" s="44" t="n">
        <v>0.186613</v>
      </c>
      <c r="BW72" s="44" t="n">
        <v>0.0285789</v>
      </c>
      <c r="BX72" s="44" t="n">
        <v>0.0062499</v>
      </c>
      <c r="BY72" s="44" t="n">
        <v>0.182064</v>
      </c>
      <c r="BZ72" s="44" t="n">
        <v>0.0282064</v>
      </c>
      <c r="CA72" s="44" t="n">
        <v>0.0062499</v>
      </c>
      <c r="CB72" s="44" t="n">
        <v>0.174157</v>
      </c>
      <c r="CC72" s="44" t="n">
        <v>0.0274075</v>
      </c>
      <c r="CD72" s="44" t="n">
        <v>0.0062499</v>
      </c>
      <c r="CE72" s="44" t="n">
        <v>0.172061</v>
      </c>
      <c r="CF72" s="44" t="n">
        <v>0.027408</v>
      </c>
      <c r="CG72" s="44" t="n">
        <v>0.0062499</v>
      </c>
      <c r="CH72" s="44" t="n">
        <v>0.174838</v>
      </c>
      <c r="CI72" s="44" t="n">
        <v>0.0278844</v>
      </c>
      <c r="CJ72" s="44" t="n">
        <v>0.0062499</v>
      </c>
      <c r="CK72" s="44" t="n">
        <v>0.175916</v>
      </c>
      <c r="CL72" s="44" t="n">
        <v>0.0282748</v>
      </c>
      <c r="CM72" s="44" t="n">
        <v>0.0062499</v>
      </c>
      <c r="CN72" s="44" t="n">
        <v>0.170243</v>
      </c>
      <c r="CO72" s="44" t="n">
        <v>0.0278754</v>
      </c>
      <c r="CP72" s="44" t="n">
        <v>0.0062499</v>
      </c>
      <c r="CQ72" s="44" t="n">
        <v>0.165194</v>
      </c>
      <c r="CR72" s="44" t="n">
        <v>0.0274925</v>
      </c>
      <c r="CS72" s="44" t="n">
        <v>0.0062499</v>
      </c>
      <c r="CT72" s="44" t="n">
        <v>0.169257</v>
      </c>
      <c r="CU72" s="44" t="n">
        <v>0.028363</v>
      </c>
      <c r="CV72" s="44" t="n">
        <v>0.0062499</v>
      </c>
      <c r="CW72" s="44" t="n">
        <v>0.158828</v>
      </c>
      <c r="CX72" s="44" t="n">
        <v>0.0273893</v>
      </c>
    </row>
    <row collapsed="false" customFormat="false" customHeight="false" hidden="false" ht="12.75" outlineLevel="0" r="73">
      <c r="A73" s="44" t="n">
        <v>0.0063499</v>
      </c>
      <c r="B73" s="44" t="n">
        <v>0.185527</v>
      </c>
      <c r="C73" s="44" t="n">
        <v>0.0259101</v>
      </c>
      <c r="D73" s="44" t="n">
        <v>0.0063499</v>
      </c>
      <c r="E73" s="44" t="n">
        <v>0.192587</v>
      </c>
      <c r="F73" s="44" t="n">
        <v>0.0266219</v>
      </c>
      <c r="G73" s="44" t="n">
        <v>0.0063499</v>
      </c>
      <c r="H73" s="44" t="n">
        <v>0.192191</v>
      </c>
      <c r="I73" s="44" t="n">
        <v>0.0263914</v>
      </c>
      <c r="J73" s="44" t="n">
        <v>0.0063499</v>
      </c>
      <c r="K73" s="44" t="n">
        <v>0.190377</v>
      </c>
      <c r="L73" s="44" t="n">
        <v>0.0260413</v>
      </c>
      <c r="M73" s="44" t="n">
        <v>0.0063499</v>
      </c>
      <c r="N73" s="44" t="n">
        <v>0.194064</v>
      </c>
      <c r="O73" s="44" t="n">
        <v>0.0262793</v>
      </c>
      <c r="P73" s="44" t="n">
        <v>0.0063499</v>
      </c>
      <c r="Q73" s="44" t="n">
        <v>0.200665</v>
      </c>
      <c r="R73" s="44" t="n">
        <v>0.0268131</v>
      </c>
      <c r="S73" s="44" t="n">
        <v>0.0063499</v>
      </c>
      <c r="T73" s="44" t="n">
        <v>0.203487</v>
      </c>
      <c r="U73" s="44" t="n">
        <v>0.0269346</v>
      </c>
      <c r="V73" s="44" t="n">
        <v>0.0063499</v>
      </c>
      <c r="W73" s="44" t="n">
        <v>0.197685</v>
      </c>
      <c r="X73" s="44" t="n">
        <v>0.0264606</v>
      </c>
      <c r="Y73" s="44" t="n">
        <v>0.0063499</v>
      </c>
      <c r="Z73" s="44" t="n">
        <v>0.199618</v>
      </c>
      <c r="AA73" s="44" t="n">
        <v>0.0268421</v>
      </c>
      <c r="AB73" s="44" t="n">
        <v>0.0063499</v>
      </c>
      <c r="AC73" s="44" t="n">
        <v>0.193765</v>
      </c>
      <c r="AD73" s="44" t="n">
        <v>0.026427</v>
      </c>
      <c r="AE73" s="44" t="n">
        <v>0.0063499</v>
      </c>
      <c r="AF73" s="44" t="n">
        <v>0.194036</v>
      </c>
      <c r="AG73" s="44" t="n">
        <v>0.0267211</v>
      </c>
      <c r="AH73" s="44" t="n">
        <v>0.0063499</v>
      </c>
      <c r="AI73" s="44" t="n">
        <v>0.189444</v>
      </c>
      <c r="AJ73" s="44" t="n">
        <v>0.02629</v>
      </c>
      <c r="AK73" s="44" t="n">
        <v>0.0063499</v>
      </c>
      <c r="AL73" s="44" t="n">
        <v>0.186866</v>
      </c>
      <c r="AM73" s="44" t="n">
        <v>0.0262585</v>
      </c>
      <c r="AN73" s="44" t="n">
        <v>0.0063499</v>
      </c>
      <c r="AO73" s="44" t="n">
        <v>0.193714</v>
      </c>
      <c r="AP73" s="44" t="n">
        <v>0.0272799</v>
      </c>
      <c r="AQ73" s="44" t="n">
        <v>0.0063499</v>
      </c>
      <c r="AR73" s="44" t="n">
        <v>0.187609</v>
      </c>
      <c r="AS73" s="44" t="n">
        <v>0.026777</v>
      </c>
      <c r="AT73" s="44" t="n">
        <v>0.0063499</v>
      </c>
      <c r="AU73" s="44" t="n">
        <v>0.181783</v>
      </c>
      <c r="AV73" s="44" t="n">
        <v>0.026332</v>
      </c>
      <c r="AW73" s="44" t="n">
        <v>0.0063499</v>
      </c>
      <c r="AX73" s="44" t="n">
        <v>0.178514</v>
      </c>
      <c r="AY73" s="44" t="n">
        <v>0.0260663</v>
      </c>
      <c r="AZ73" s="44" t="n">
        <v>0.0063499</v>
      </c>
      <c r="BA73" s="44" t="n">
        <v>0.186466</v>
      </c>
      <c r="BB73" s="44" t="n">
        <v>0.0272547</v>
      </c>
      <c r="BC73" s="44" t="n">
        <v>0.0063499</v>
      </c>
      <c r="BD73" s="44" t="n">
        <v>0.178465</v>
      </c>
      <c r="BE73" s="44" t="n">
        <v>0.0265069</v>
      </c>
      <c r="BF73" s="44" t="n">
        <v>0.0063499</v>
      </c>
      <c r="BG73" s="44" t="n">
        <v>0.175195</v>
      </c>
      <c r="BH73" s="44" t="n">
        <v>0.0262799</v>
      </c>
      <c r="BI73" s="44" t="n">
        <v>0.0063499</v>
      </c>
      <c r="BJ73" s="44" t="n">
        <v>0.176798</v>
      </c>
      <c r="BK73" s="44" t="n">
        <v>0.0266897</v>
      </c>
      <c r="BL73" s="44" t="n">
        <v>0.0063499</v>
      </c>
      <c r="BM73" s="44" t="n">
        <v>0.177846</v>
      </c>
      <c r="BN73" s="44" t="n">
        <v>0.0269738</v>
      </c>
      <c r="BO73" s="44" t="n">
        <v>0.0063499</v>
      </c>
      <c r="BP73" s="44" t="n">
        <v>0.172414</v>
      </c>
      <c r="BQ73" s="44" t="n">
        <v>0.0265244</v>
      </c>
      <c r="BR73" s="44" t="n">
        <v>0.0063499</v>
      </c>
      <c r="BS73" s="44" t="n">
        <v>0.175098</v>
      </c>
      <c r="BT73" s="44" t="n">
        <v>0.0269934</v>
      </c>
      <c r="BU73" s="44" t="n">
        <v>0.0063499</v>
      </c>
      <c r="BV73" s="44" t="n">
        <v>0.175544</v>
      </c>
      <c r="BW73" s="44" t="n">
        <v>0.0272342</v>
      </c>
      <c r="BX73" s="44" t="n">
        <v>0.0063499</v>
      </c>
      <c r="BY73" s="44" t="n">
        <v>0.171195</v>
      </c>
      <c r="BZ73" s="44" t="n">
        <v>0.0268919</v>
      </c>
      <c r="CA73" s="44" t="n">
        <v>0.0063499</v>
      </c>
      <c r="CB73" s="44" t="n">
        <v>0.16402</v>
      </c>
      <c r="CC73" s="44" t="n">
        <v>0.0261457</v>
      </c>
      <c r="CD73" s="44" t="n">
        <v>0.0063499</v>
      </c>
      <c r="CE73" s="44" t="n">
        <v>0.162193</v>
      </c>
      <c r="CF73" s="44" t="n">
        <v>0.026117</v>
      </c>
      <c r="CG73" s="44" t="n">
        <v>0.0063499</v>
      </c>
      <c r="CH73" s="44" t="n">
        <v>0.164545</v>
      </c>
      <c r="CI73" s="44" t="n">
        <v>0.0265709</v>
      </c>
      <c r="CJ73" s="44" t="n">
        <v>0.0063499</v>
      </c>
      <c r="CK73" s="44" t="n">
        <v>0.165394</v>
      </c>
      <c r="CL73" s="44" t="n">
        <v>0.0269378</v>
      </c>
      <c r="CM73" s="44" t="n">
        <v>0.0063499</v>
      </c>
      <c r="CN73" s="44" t="n">
        <v>0.160361</v>
      </c>
      <c r="CO73" s="44" t="n">
        <v>0.0265698</v>
      </c>
      <c r="CP73" s="44" t="n">
        <v>0.0063499</v>
      </c>
      <c r="CQ73" s="44" t="n">
        <v>0.155614</v>
      </c>
      <c r="CR73" s="44" t="n">
        <v>0.0261898</v>
      </c>
      <c r="CS73" s="44" t="n">
        <v>0.0063499</v>
      </c>
      <c r="CT73" s="44" t="n">
        <v>0.159457</v>
      </c>
      <c r="CU73" s="44" t="n">
        <v>0.0270261</v>
      </c>
      <c r="CV73" s="44" t="n">
        <v>0.0063499</v>
      </c>
      <c r="CW73" s="44" t="n">
        <v>0.149223</v>
      </c>
      <c r="CX73" s="44" t="n">
        <v>0.0260895</v>
      </c>
    </row>
    <row collapsed="false" customFormat="false" customHeight="false" hidden="false" ht="12.75" outlineLevel="0" r="74">
      <c r="A74" s="44" t="n">
        <v>0.0064499</v>
      </c>
      <c r="B74" s="44" t="n">
        <v>0.175585</v>
      </c>
      <c r="C74" s="44" t="n">
        <v>0.0246934</v>
      </c>
      <c r="D74" s="44" t="n">
        <v>0.0064499</v>
      </c>
      <c r="E74" s="44" t="n">
        <v>0.182143</v>
      </c>
      <c r="F74" s="44" t="n">
        <v>0.0253729</v>
      </c>
      <c r="G74" s="44" t="n">
        <v>0.0064499</v>
      </c>
      <c r="H74" s="44" t="n">
        <v>0.181591</v>
      </c>
      <c r="I74" s="44" t="n">
        <v>0.0251531</v>
      </c>
      <c r="J74" s="44" t="n">
        <v>0.0064499</v>
      </c>
      <c r="K74" s="44" t="n">
        <v>0.18007</v>
      </c>
      <c r="L74" s="44" t="n">
        <v>0.0248079</v>
      </c>
      <c r="M74" s="44" t="n">
        <v>0.0064499</v>
      </c>
      <c r="N74" s="44" t="n">
        <v>0.183571</v>
      </c>
      <c r="O74" s="44" t="n">
        <v>0.0250693</v>
      </c>
      <c r="P74" s="44" t="n">
        <v>0.0064499</v>
      </c>
      <c r="Q74" s="44" t="n">
        <v>0.18985</v>
      </c>
      <c r="R74" s="44" t="n">
        <v>0.025566</v>
      </c>
      <c r="S74" s="44" t="n">
        <v>0.0064499</v>
      </c>
      <c r="T74" s="44" t="n">
        <v>0.192642</v>
      </c>
      <c r="U74" s="44" t="n">
        <v>0.0256778</v>
      </c>
      <c r="V74" s="44" t="n">
        <v>0.0064499</v>
      </c>
      <c r="W74" s="44" t="n">
        <v>0.186899</v>
      </c>
      <c r="X74" s="44" t="n">
        <v>0.0252136</v>
      </c>
      <c r="Y74" s="44" t="n">
        <v>0.0064499</v>
      </c>
      <c r="Z74" s="44" t="n">
        <v>0.188968</v>
      </c>
      <c r="AA74" s="44" t="n">
        <v>0.0255941</v>
      </c>
      <c r="AB74" s="44" t="n">
        <v>0.0064499</v>
      </c>
      <c r="AC74" s="44" t="n">
        <v>0.18315</v>
      </c>
      <c r="AD74" s="44" t="n">
        <v>0.0251848</v>
      </c>
      <c r="AE74" s="44" t="n">
        <v>0.0064499</v>
      </c>
      <c r="AF74" s="44" t="n">
        <v>0.18323</v>
      </c>
      <c r="AG74" s="44" t="n">
        <v>0.0254593</v>
      </c>
      <c r="AH74" s="44" t="n">
        <v>0.0064499</v>
      </c>
      <c r="AI74" s="44" t="n">
        <v>0.179058</v>
      </c>
      <c r="AJ74" s="44" t="n">
        <v>0.0250693</v>
      </c>
      <c r="AK74" s="44" t="n">
        <v>0.0064499</v>
      </c>
      <c r="AL74" s="44" t="n">
        <v>0.17649</v>
      </c>
      <c r="AM74" s="44" t="n">
        <v>0.0250212</v>
      </c>
      <c r="AN74" s="44" t="n">
        <v>0.0064499</v>
      </c>
      <c r="AO74" s="44" t="n">
        <v>0.182816</v>
      </c>
      <c r="AP74" s="44" t="n">
        <v>0.0259986</v>
      </c>
      <c r="AQ74" s="44" t="n">
        <v>0.0064499</v>
      </c>
      <c r="AR74" s="44" t="n">
        <v>0.176857</v>
      </c>
      <c r="AS74" s="44" t="n">
        <v>0.0255358</v>
      </c>
      <c r="AT74" s="44" t="n">
        <v>0.0064499</v>
      </c>
      <c r="AU74" s="44" t="n">
        <v>0.171338</v>
      </c>
      <c r="AV74" s="44" t="n">
        <v>0.0251298</v>
      </c>
      <c r="AW74" s="44" t="n">
        <v>0.0064499</v>
      </c>
      <c r="AX74" s="44" t="n">
        <v>0.168489</v>
      </c>
      <c r="AY74" s="44" t="n">
        <v>0.0248456</v>
      </c>
      <c r="AZ74" s="44" t="n">
        <v>0.0064499</v>
      </c>
      <c r="BA74" s="44" t="n">
        <v>0.175704</v>
      </c>
      <c r="BB74" s="44" t="n">
        <v>0.0259764</v>
      </c>
      <c r="BC74" s="44" t="n">
        <v>0.0064499</v>
      </c>
      <c r="BD74" s="44" t="n">
        <v>0.168397</v>
      </c>
      <c r="BE74" s="44" t="n">
        <v>0.0252559</v>
      </c>
      <c r="BF74" s="44" t="n">
        <v>0.0064499</v>
      </c>
      <c r="BG74" s="44" t="n">
        <v>0.165038</v>
      </c>
      <c r="BH74" s="44" t="n">
        <v>0.0250397</v>
      </c>
      <c r="BI74" s="44" t="n">
        <v>0.0064499</v>
      </c>
      <c r="BJ74" s="44" t="n">
        <v>0.166573</v>
      </c>
      <c r="BK74" s="44" t="n">
        <v>0.0254221</v>
      </c>
      <c r="BL74" s="44" t="n">
        <v>0.0064499</v>
      </c>
      <c r="BM74" s="44" t="n">
        <v>0.167368</v>
      </c>
      <c r="BN74" s="44" t="n">
        <v>0.025716</v>
      </c>
      <c r="BO74" s="44" t="n">
        <v>0.0064499</v>
      </c>
      <c r="BP74" s="44" t="n">
        <v>0.162361</v>
      </c>
      <c r="BQ74" s="44" t="n">
        <v>0.0252862</v>
      </c>
      <c r="BR74" s="44" t="n">
        <v>0.0064499</v>
      </c>
      <c r="BS74" s="44" t="n">
        <v>0.165137</v>
      </c>
      <c r="BT74" s="44" t="n">
        <v>0.0257513</v>
      </c>
      <c r="BU74" s="44" t="n">
        <v>0.0064499</v>
      </c>
      <c r="BV74" s="44" t="n">
        <v>0.16506</v>
      </c>
      <c r="BW74" s="44" t="n">
        <v>0.0259637</v>
      </c>
      <c r="BX74" s="44" t="n">
        <v>0.0064499</v>
      </c>
      <c r="BY74" s="44" t="n">
        <v>0.161434</v>
      </c>
      <c r="BZ74" s="44" t="n">
        <v>0.02564</v>
      </c>
      <c r="CA74" s="44" t="n">
        <v>0.0064499</v>
      </c>
      <c r="CB74" s="44" t="n">
        <v>0.154367</v>
      </c>
      <c r="CC74" s="44" t="n">
        <v>0.0249192</v>
      </c>
      <c r="CD74" s="44" t="n">
        <v>0.0064499</v>
      </c>
      <c r="CE74" s="44" t="n">
        <v>0.152691</v>
      </c>
      <c r="CF74" s="44" t="n">
        <v>0.024909</v>
      </c>
      <c r="CG74" s="44" t="n">
        <v>0.0064499</v>
      </c>
      <c r="CH74" s="44" t="n">
        <v>0.155112</v>
      </c>
      <c r="CI74" s="44" t="n">
        <v>0.0253209</v>
      </c>
      <c r="CJ74" s="44" t="n">
        <v>0.0064499</v>
      </c>
      <c r="CK74" s="44" t="n">
        <v>0.155565</v>
      </c>
      <c r="CL74" s="44" t="n">
        <v>0.0256683</v>
      </c>
      <c r="CM74" s="44" t="n">
        <v>0.0064499</v>
      </c>
      <c r="CN74" s="44" t="n">
        <v>0.150693</v>
      </c>
      <c r="CO74" s="44" t="n">
        <v>0.02531</v>
      </c>
      <c r="CP74" s="44" t="n">
        <v>0.0064499</v>
      </c>
      <c r="CQ74" s="44" t="n">
        <v>0.14642</v>
      </c>
      <c r="CR74" s="44" t="n">
        <v>0.0249662</v>
      </c>
      <c r="CS74" s="44" t="n">
        <v>0.0064499</v>
      </c>
      <c r="CT74" s="44" t="n">
        <v>0.150038</v>
      </c>
      <c r="CU74" s="44" t="n">
        <v>0.0257712</v>
      </c>
      <c r="CV74" s="44" t="n">
        <v>0.0064499</v>
      </c>
      <c r="CW74" s="44" t="n">
        <v>0.13998</v>
      </c>
      <c r="CX74" s="44" t="n">
        <v>0.0248883</v>
      </c>
    </row>
    <row collapsed="false" customFormat="false" customHeight="false" hidden="false" ht="12.75" outlineLevel="0" r="75">
      <c r="A75" s="44" t="n">
        <v>0.0065499</v>
      </c>
      <c r="B75" s="44" t="n">
        <v>0.166186</v>
      </c>
      <c r="C75" s="44" t="n">
        <v>0.0235371</v>
      </c>
      <c r="D75" s="44" t="n">
        <v>0.0065499</v>
      </c>
      <c r="E75" s="44" t="n">
        <v>0.172333</v>
      </c>
      <c r="F75" s="44" t="n">
        <v>0.0241932</v>
      </c>
      <c r="G75" s="44" t="n">
        <v>0.0065499</v>
      </c>
      <c r="H75" s="44" t="n">
        <v>0.172211</v>
      </c>
      <c r="I75" s="44" t="n">
        <v>0.0239646</v>
      </c>
      <c r="J75" s="44" t="n">
        <v>0.0065499</v>
      </c>
      <c r="K75" s="44" t="n">
        <v>0.169899</v>
      </c>
      <c r="L75" s="44" t="n">
        <v>0.0236321</v>
      </c>
      <c r="M75" s="44" t="n">
        <v>0.0065499</v>
      </c>
      <c r="N75" s="44" t="n">
        <v>0.173283</v>
      </c>
      <c r="O75" s="44" t="n">
        <v>0.0238701</v>
      </c>
      <c r="P75" s="44" t="n">
        <v>0.0065499</v>
      </c>
      <c r="Q75" s="44" t="n">
        <v>0.179733</v>
      </c>
      <c r="R75" s="44" t="n">
        <v>0.024359</v>
      </c>
      <c r="S75" s="44" t="n">
        <v>0.0065499</v>
      </c>
      <c r="T75" s="44" t="n">
        <v>0.181846</v>
      </c>
      <c r="U75" s="44" t="n">
        <v>0.0244893</v>
      </c>
      <c r="V75" s="44" t="n">
        <v>0.0065499</v>
      </c>
      <c r="W75" s="44" t="n">
        <v>0.176489</v>
      </c>
      <c r="X75" s="44" t="n">
        <v>0.0240856</v>
      </c>
      <c r="Y75" s="44" t="n">
        <v>0.0065499</v>
      </c>
      <c r="Z75" s="44" t="n">
        <v>0.178641</v>
      </c>
      <c r="AA75" s="44" t="n">
        <v>0.0244026</v>
      </c>
      <c r="AB75" s="44" t="n">
        <v>0.0065499</v>
      </c>
      <c r="AC75" s="44" t="n">
        <v>0.172803</v>
      </c>
      <c r="AD75" s="44" t="n">
        <v>0.0240373</v>
      </c>
      <c r="AE75" s="44" t="n">
        <v>0.0065499</v>
      </c>
      <c r="AF75" s="44" t="n">
        <v>0.173025</v>
      </c>
      <c r="AG75" s="44" t="n">
        <v>0.0242748</v>
      </c>
      <c r="AH75" s="44" t="n">
        <v>0.0065499</v>
      </c>
      <c r="AI75" s="44" t="n">
        <v>0.168853</v>
      </c>
      <c r="AJ75" s="44" t="n">
        <v>0.0238867</v>
      </c>
      <c r="AK75" s="44" t="n">
        <v>0.0065499</v>
      </c>
      <c r="AL75" s="44" t="n">
        <v>0.166778</v>
      </c>
      <c r="AM75" s="44" t="n">
        <v>0.0238513</v>
      </c>
      <c r="AN75" s="44" t="n">
        <v>0.0065499</v>
      </c>
      <c r="AO75" s="44" t="n">
        <v>0.172528</v>
      </c>
      <c r="AP75" s="44" t="n">
        <v>0.0248004</v>
      </c>
      <c r="AQ75" s="44" t="n">
        <v>0.0065499</v>
      </c>
      <c r="AR75" s="44" t="n">
        <v>0.166954</v>
      </c>
      <c r="AS75" s="44" t="n">
        <v>0.0243258</v>
      </c>
      <c r="AT75" s="44" t="n">
        <v>0.0065499</v>
      </c>
      <c r="AU75" s="44" t="n">
        <v>0.162071</v>
      </c>
      <c r="AV75" s="44" t="n">
        <v>0.0239423</v>
      </c>
      <c r="AW75" s="44" t="n">
        <v>0.0065499</v>
      </c>
      <c r="AX75" s="44" t="n">
        <v>0.159041</v>
      </c>
      <c r="AY75" s="44" t="n">
        <v>0.0236893</v>
      </c>
      <c r="AZ75" s="44" t="n">
        <v>0.0065499</v>
      </c>
      <c r="BA75" s="44" t="n">
        <v>0.165762</v>
      </c>
      <c r="BB75" s="44" t="n">
        <v>0.024784</v>
      </c>
      <c r="BC75" s="44" t="n">
        <v>0.0065499</v>
      </c>
      <c r="BD75" s="44" t="n">
        <v>0.158807</v>
      </c>
      <c r="BE75" s="44" t="n">
        <v>0.024086</v>
      </c>
      <c r="BF75" s="44" t="n">
        <v>0.0065499</v>
      </c>
      <c r="BG75" s="44" t="n">
        <v>0.155888</v>
      </c>
      <c r="BH75" s="44" t="n">
        <v>0.0238883</v>
      </c>
      <c r="BI75" s="44" t="n">
        <v>0.0065499</v>
      </c>
      <c r="BJ75" s="44" t="n">
        <v>0.157384</v>
      </c>
      <c r="BK75" s="44" t="n">
        <v>0.0242502</v>
      </c>
      <c r="BL75" s="44" t="n">
        <v>0.0065499</v>
      </c>
      <c r="BM75" s="44" t="n">
        <v>0.157675</v>
      </c>
      <c r="BN75" s="44" t="n">
        <v>0.024507</v>
      </c>
      <c r="BO75" s="44" t="n">
        <v>0.0065499</v>
      </c>
      <c r="BP75" s="44" t="n">
        <v>0.153108</v>
      </c>
      <c r="BQ75" s="44" t="n">
        <v>0.0241201</v>
      </c>
      <c r="BR75" s="44" t="n">
        <v>0.0065499</v>
      </c>
      <c r="BS75" s="44" t="n">
        <v>0.155474</v>
      </c>
      <c r="BT75" s="44" t="n">
        <v>0.0245354</v>
      </c>
      <c r="BU75" s="44" t="n">
        <v>0.0065499</v>
      </c>
      <c r="BV75" s="44" t="n">
        <v>0.156017</v>
      </c>
      <c r="BW75" s="44" t="n">
        <v>0.0247508</v>
      </c>
      <c r="BX75" s="44" t="n">
        <v>0.0065499</v>
      </c>
      <c r="BY75" s="44" t="n">
        <v>0.152215</v>
      </c>
      <c r="BZ75" s="44" t="n">
        <v>0.0244359</v>
      </c>
      <c r="CA75" s="44" t="n">
        <v>0.0065499</v>
      </c>
      <c r="CB75" s="44" t="n">
        <v>0.145148</v>
      </c>
      <c r="CC75" s="44" t="n">
        <v>0.0237619</v>
      </c>
      <c r="CD75" s="44" t="n">
        <v>0.0065499</v>
      </c>
      <c r="CE75" s="44" t="n">
        <v>0.143623</v>
      </c>
      <c r="CF75" s="44" t="n">
        <v>0.0237371</v>
      </c>
      <c r="CG75" s="44" t="n">
        <v>0.0065499</v>
      </c>
      <c r="CH75" s="44" t="n">
        <v>0.14622</v>
      </c>
      <c r="CI75" s="44" t="n">
        <v>0.02415</v>
      </c>
      <c r="CJ75" s="44" t="n">
        <v>0.0065499</v>
      </c>
      <c r="CK75" s="44" t="n">
        <v>0.146248</v>
      </c>
      <c r="CL75" s="44" t="n">
        <v>0.0244671</v>
      </c>
      <c r="CM75" s="44" t="n">
        <v>0.0065499</v>
      </c>
      <c r="CN75" s="44" t="n">
        <v>0.141777</v>
      </c>
      <c r="CO75" s="44" t="n">
        <v>0.0241372</v>
      </c>
      <c r="CP75" s="44" t="n">
        <v>0.0065499</v>
      </c>
      <c r="CQ75" s="44" t="n">
        <v>0.137182</v>
      </c>
      <c r="CR75" s="44" t="n">
        <v>0.0238109</v>
      </c>
      <c r="CS75" s="44" t="n">
        <v>0.0065499</v>
      </c>
      <c r="CT75" s="44" t="n">
        <v>0.140883</v>
      </c>
      <c r="CU75" s="44" t="n">
        <v>0.0245573</v>
      </c>
      <c r="CV75" s="44" t="n">
        <v>0.0065499</v>
      </c>
      <c r="CW75" s="44" t="n">
        <v>0.13164</v>
      </c>
      <c r="CX75" s="44" t="n">
        <v>0.0237311</v>
      </c>
    </row>
    <row collapsed="false" customFormat="false" customHeight="false" hidden="false" ht="12.75" outlineLevel="0" r="76">
      <c r="A76" s="44" t="n">
        <v>0.0066499</v>
      </c>
      <c r="B76" s="44" t="n">
        <v>0.157206</v>
      </c>
      <c r="C76" s="44" t="n">
        <v>0.0224521</v>
      </c>
      <c r="D76" s="44" t="n">
        <v>0.0066499</v>
      </c>
      <c r="E76" s="44" t="n">
        <v>0.163363</v>
      </c>
      <c r="F76" s="44" t="n">
        <v>0.0230506</v>
      </c>
      <c r="G76" s="44" t="n">
        <v>0.0066499</v>
      </c>
      <c r="H76" s="44" t="n">
        <v>0.162777</v>
      </c>
      <c r="I76" s="44" t="n">
        <v>0.0228387</v>
      </c>
      <c r="J76" s="44" t="n">
        <v>0.0066499</v>
      </c>
      <c r="K76" s="44" t="n">
        <v>0.161105</v>
      </c>
      <c r="L76" s="44" t="n">
        <v>0.0225091</v>
      </c>
      <c r="M76" s="44" t="n">
        <v>0.0066499</v>
      </c>
      <c r="N76" s="44" t="n">
        <v>0.163908</v>
      </c>
      <c r="O76" s="44" t="n">
        <v>0.0227509</v>
      </c>
      <c r="P76" s="44" t="n">
        <v>0.0066499</v>
      </c>
      <c r="Q76" s="44" t="n">
        <v>0.169425</v>
      </c>
      <c r="R76" s="44" t="n">
        <v>0.0231959</v>
      </c>
      <c r="S76" s="44" t="n">
        <v>0.0066499</v>
      </c>
      <c r="T76" s="44" t="n">
        <v>0.171724</v>
      </c>
      <c r="U76" s="44" t="n">
        <v>0.023335</v>
      </c>
      <c r="V76" s="44" t="n">
        <v>0.0066499</v>
      </c>
      <c r="W76" s="44" t="n">
        <v>0.167085</v>
      </c>
      <c r="X76" s="44" t="n">
        <v>0.0229499</v>
      </c>
      <c r="Y76" s="44" t="n">
        <v>0.0066499</v>
      </c>
      <c r="Z76" s="44" t="n">
        <v>0.16892</v>
      </c>
      <c r="AA76" s="44" t="n">
        <v>0.0232542</v>
      </c>
      <c r="AB76" s="44" t="n">
        <v>0.0066499</v>
      </c>
      <c r="AC76" s="44" t="n">
        <v>0.163477</v>
      </c>
      <c r="AD76" s="44" t="n">
        <v>0.0229133</v>
      </c>
      <c r="AE76" s="44" t="n">
        <v>0.0066499</v>
      </c>
      <c r="AF76" s="44" t="n">
        <v>0.163625</v>
      </c>
      <c r="AG76" s="44" t="n">
        <v>0.0231283</v>
      </c>
      <c r="AH76" s="44" t="n">
        <v>0.0066499</v>
      </c>
      <c r="AI76" s="44" t="n">
        <v>0.159302</v>
      </c>
      <c r="AJ76" s="44" t="n">
        <v>0.0227871</v>
      </c>
      <c r="AK76" s="44" t="n">
        <v>0.0066499</v>
      </c>
      <c r="AL76" s="44" t="n">
        <v>0.158042</v>
      </c>
      <c r="AM76" s="44" t="n">
        <v>0.0227419</v>
      </c>
      <c r="AN76" s="44" t="n">
        <v>0.0066499</v>
      </c>
      <c r="AO76" s="44" t="n">
        <v>0.162616</v>
      </c>
      <c r="AP76" s="44" t="n">
        <v>0.0236373</v>
      </c>
      <c r="AQ76" s="44" t="n">
        <v>0.0066499</v>
      </c>
      <c r="AR76" s="44" t="n">
        <v>0.157906</v>
      </c>
      <c r="AS76" s="44" t="n">
        <v>0.0232037</v>
      </c>
      <c r="AT76" s="44" t="n">
        <v>0.0066499</v>
      </c>
      <c r="AU76" s="44" t="n">
        <v>0.152881</v>
      </c>
      <c r="AV76" s="44" t="n">
        <v>0.0228066</v>
      </c>
      <c r="AW76" s="44" t="n">
        <v>0.0066499</v>
      </c>
      <c r="AX76" s="44" t="n">
        <v>0.149983</v>
      </c>
      <c r="AY76" s="44" t="n">
        <v>0.022575</v>
      </c>
      <c r="AZ76" s="44" t="n">
        <v>0.0066499</v>
      </c>
      <c r="BA76" s="44" t="n">
        <v>0.156925</v>
      </c>
      <c r="BB76" s="44" t="n">
        <v>0.0236102</v>
      </c>
      <c r="BC76" s="44" t="n">
        <v>0.0066499</v>
      </c>
      <c r="BD76" s="44" t="n">
        <v>0.14993</v>
      </c>
      <c r="BE76" s="44" t="n">
        <v>0.0229493</v>
      </c>
      <c r="BF76" s="44" t="n">
        <v>0.0066499</v>
      </c>
      <c r="BG76" s="44" t="n">
        <v>0.146718</v>
      </c>
      <c r="BH76" s="44" t="n">
        <v>0.0227506</v>
      </c>
      <c r="BI76" s="44" t="n">
        <v>0.0066499</v>
      </c>
      <c r="BJ76" s="44" t="n">
        <v>0.148273</v>
      </c>
      <c r="BK76" s="44" t="n">
        <v>0.0231398</v>
      </c>
      <c r="BL76" s="44" t="n">
        <v>0.0066499</v>
      </c>
      <c r="BM76" s="44" t="n">
        <v>0.148554</v>
      </c>
      <c r="BN76" s="44" t="n">
        <v>0.0233801</v>
      </c>
      <c r="BO76" s="44" t="n">
        <v>0.0066499</v>
      </c>
      <c r="BP76" s="44" t="n">
        <v>0.144226</v>
      </c>
      <c r="BQ76" s="44" t="n">
        <v>0.0229697</v>
      </c>
      <c r="BR76" s="44" t="n">
        <v>0.0066499</v>
      </c>
      <c r="BS76" s="44" t="n">
        <v>0.146797</v>
      </c>
      <c r="BT76" s="44" t="n">
        <v>0.0233919</v>
      </c>
      <c r="BU76" s="44" t="n">
        <v>0.0066499</v>
      </c>
      <c r="BV76" s="44" t="n">
        <v>0.14672</v>
      </c>
      <c r="BW76" s="44" t="n">
        <v>0.0235955</v>
      </c>
      <c r="BX76" s="44" t="n">
        <v>0.0066499</v>
      </c>
      <c r="BY76" s="44" t="n">
        <v>0.143353</v>
      </c>
      <c r="BZ76" s="44" t="n">
        <v>0.0232923</v>
      </c>
      <c r="CA76" s="44" t="n">
        <v>0.0066499</v>
      </c>
      <c r="CB76" s="44" t="n">
        <v>0.135954</v>
      </c>
      <c r="CC76" s="44" t="n">
        <v>0.022634</v>
      </c>
      <c r="CD76" s="44" t="n">
        <v>0.0066499</v>
      </c>
      <c r="CE76" s="44" t="n">
        <v>0.135108</v>
      </c>
      <c r="CF76" s="44" t="n">
        <v>0.0226327</v>
      </c>
      <c r="CG76" s="44" t="n">
        <v>0.0066499</v>
      </c>
      <c r="CH76" s="44" t="n">
        <v>0.136806</v>
      </c>
      <c r="CI76" s="44" t="n">
        <v>0.0230133</v>
      </c>
      <c r="CJ76" s="44" t="n">
        <v>0.0066499</v>
      </c>
      <c r="CK76" s="44" t="n">
        <v>0.137747</v>
      </c>
      <c r="CL76" s="44" t="n">
        <v>0.0232972</v>
      </c>
      <c r="CM76" s="44" t="n">
        <v>0.0066499</v>
      </c>
      <c r="CN76" s="44" t="n">
        <v>0.133149</v>
      </c>
      <c r="CO76" s="44" t="n">
        <v>0.0229858</v>
      </c>
      <c r="CP76" s="44" t="n">
        <v>0.0066499</v>
      </c>
      <c r="CQ76" s="44" t="n">
        <v>0.129242</v>
      </c>
      <c r="CR76" s="44" t="n">
        <v>0.022682</v>
      </c>
      <c r="CS76" s="44" t="n">
        <v>0.0066499</v>
      </c>
      <c r="CT76" s="44" t="n">
        <v>0.131967</v>
      </c>
      <c r="CU76" s="44" t="n">
        <v>0.0234069</v>
      </c>
      <c r="CV76" s="44" t="n">
        <v>0.0066499</v>
      </c>
      <c r="CW76" s="44" t="n">
        <v>0.123667</v>
      </c>
      <c r="CX76" s="44" t="n">
        <v>0.0226139</v>
      </c>
    </row>
    <row collapsed="false" customFormat="false" customHeight="false" hidden="false" ht="12.75" outlineLevel="0" r="77">
      <c r="A77" s="44" t="n">
        <v>0.0067499</v>
      </c>
      <c r="B77" s="44" t="n">
        <v>0.148427</v>
      </c>
      <c r="C77" s="44" t="n">
        <v>0.0213603</v>
      </c>
      <c r="D77" s="44" t="n">
        <v>0.0067499</v>
      </c>
      <c r="E77" s="44" t="n">
        <v>0.15453</v>
      </c>
      <c r="F77" s="44" t="n">
        <v>0.0219539</v>
      </c>
      <c r="G77" s="44" t="n">
        <v>0.0067499</v>
      </c>
      <c r="H77" s="44" t="n">
        <v>0.154144</v>
      </c>
      <c r="I77" s="44" t="n">
        <v>0.0217576</v>
      </c>
      <c r="J77" s="44" t="n">
        <v>0.0067499</v>
      </c>
      <c r="K77" s="44" t="n">
        <v>0.152291</v>
      </c>
      <c r="L77" s="44" t="n">
        <v>0.0214456</v>
      </c>
      <c r="M77" s="44" t="n">
        <v>0.0067499</v>
      </c>
      <c r="N77" s="44" t="n">
        <v>0.155105</v>
      </c>
      <c r="O77" s="44" t="n">
        <v>0.0216494</v>
      </c>
      <c r="P77" s="44" t="n">
        <v>0.0067499</v>
      </c>
      <c r="Q77" s="44" t="n">
        <v>0.160587</v>
      </c>
      <c r="R77" s="44" t="n">
        <v>0.0221305</v>
      </c>
      <c r="S77" s="44" t="n">
        <v>0.0067499</v>
      </c>
      <c r="T77" s="44" t="n">
        <v>0.162462</v>
      </c>
      <c r="U77" s="44" t="n">
        <v>0.0222422</v>
      </c>
      <c r="V77" s="44" t="n">
        <v>0.0067499</v>
      </c>
      <c r="W77" s="44" t="n">
        <v>0.157724</v>
      </c>
      <c r="X77" s="44" t="n">
        <v>0.0218718</v>
      </c>
      <c r="Y77" s="44" t="n">
        <v>0.0067499</v>
      </c>
      <c r="Z77" s="44" t="n">
        <v>0.159828</v>
      </c>
      <c r="AA77" s="44" t="n">
        <v>0.0221907</v>
      </c>
      <c r="AB77" s="44" t="n">
        <v>0.0067499</v>
      </c>
      <c r="AC77" s="44" t="n">
        <v>0.154502</v>
      </c>
      <c r="AD77" s="44" t="n">
        <v>0.0218342</v>
      </c>
      <c r="AE77" s="44" t="n">
        <v>0.0067499</v>
      </c>
      <c r="AF77" s="44" t="n">
        <v>0.154695</v>
      </c>
      <c r="AG77" s="44" t="n">
        <v>0.0220316</v>
      </c>
      <c r="AH77" s="44" t="n">
        <v>0.0067499</v>
      </c>
      <c r="AI77" s="44" t="n">
        <v>0.150303</v>
      </c>
      <c r="AJ77" s="44" t="n">
        <v>0.0217041</v>
      </c>
      <c r="AK77" s="44" t="n">
        <v>0.0067499</v>
      </c>
      <c r="AL77" s="44" t="n">
        <v>0.149268</v>
      </c>
      <c r="AM77" s="44" t="n">
        <v>0.0216491</v>
      </c>
      <c r="AN77" s="44" t="n">
        <v>0.0067499</v>
      </c>
      <c r="AO77" s="44" t="n">
        <v>0.15326</v>
      </c>
      <c r="AP77" s="44" t="n">
        <v>0.0225338</v>
      </c>
      <c r="AQ77" s="44" t="n">
        <v>0.0067499</v>
      </c>
      <c r="AR77" s="44" t="n">
        <v>0.149005</v>
      </c>
      <c r="AS77" s="44" t="n">
        <v>0.0221344</v>
      </c>
      <c r="AT77" s="44" t="n">
        <v>0.0067499</v>
      </c>
      <c r="AU77" s="44" t="n">
        <v>0.144053</v>
      </c>
      <c r="AV77" s="44" t="n">
        <v>0.0217451</v>
      </c>
      <c r="AW77" s="44" t="n">
        <v>0.0067499</v>
      </c>
      <c r="AX77" s="44" t="n">
        <v>0.141463</v>
      </c>
      <c r="AY77" s="44" t="n">
        <v>0.0215086</v>
      </c>
      <c r="AZ77" s="44" t="n">
        <v>0.0067499</v>
      </c>
      <c r="BA77" s="44" t="n">
        <v>0.147662</v>
      </c>
      <c r="BB77" s="44" t="n">
        <v>0.0225194</v>
      </c>
      <c r="BC77" s="44" t="n">
        <v>0.0067499</v>
      </c>
      <c r="BD77" s="44" t="n">
        <v>0.141444</v>
      </c>
      <c r="BE77" s="44" t="n">
        <v>0.0218643</v>
      </c>
      <c r="BF77" s="44" t="n">
        <v>0.0067499</v>
      </c>
      <c r="BG77" s="44" t="n">
        <v>0.138144</v>
      </c>
      <c r="BH77" s="44" t="n">
        <v>0.0216881</v>
      </c>
      <c r="BI77" s="44" t="n">
        <v>0.0067499</v>
      </c>
      <c r="BJ77" s="44" t="n">
        <v>0.139948</v>
      </c>
      <c r="BK77" s="44" t="n">
        <v>0.0220354</v>
      </c>
      <c r="BL77" s="44" t="n">
        <v>0.0067499</v>
      </c>
      <c r="BM77" s="44" t="n">
        <v>0.139892</v>
      </c>
      <c r="BN77" s="44" t="n">
        <v>0.0222443</v>
      </c>
      <c r="BO77" s="44" t="n">
        <v>0.0067499</v>
      </c>
      <c r="BP77" s="44" t="n">
        <v>0.1355</v>
      </c>
      <c r="BQ77" s="44" t="n">
        <v>0.0218975</v>
      </c>
      <c r="BR77" s="44" t="n">
        <v>0.0067499</v>
      </c>
      <c r="BS77" s="44" t="n">
        <v>0.137793</v>
      </c>
      <c r="BT77" s="44" t="n">
        <v>0.0222776</v>
      </c>
      <c r="BU77" s="44" t="n">
        <v>0.0067499</v>
      </c>
      <c r="BV77" s="44" t="n">
        <v>0.138151</v>
      </c>
      <c r="BW77" s="44" t="n">
        <v>0.022494</v>
      </c>
      <c r="BX77" s="44" t="n">
        <v>0.0067499</v>
      </c>
      <c r="BY77" s="44" t="n">
        <v>0.134222</v>
      </c>
      <c r="BZ77" s="44" t="n">
        <v>0.0222103</v>
      </c>
      <c r="CA77" s="44" t="n">
        <v>0.0067499</v>
      </c>
      <c r="CB77" s="44" t="n">
        <v>0.128234</v>
      </c>
      <c r="CC77" s="44" t="n">
        <v>0.0215754</v>
      </c>
      <c r="CD77" s="44" t="n">
        <v>0.0067499</v>
      </c>
      <c r="CE77" s="44" t="n">
        <v>0.126631</v>
      </c>
      <c r="CF77" s="44" t="n">
        <v>0.0215643</v>
      </c>
      <c r="CG77" s="44" t="n">
        <v>0.0067499</v>
      </c>
      <c r="CH77" s="44" t="n">
        <v>0.128598</v>
      </c>
      <c r="CI77" s="44" t="n">
        <v>0.0219166</v>
      </c>
      <c r="CJ77" s="44" t="n">
        <v>0.0067499</v>
      </c>
      <c r="CK77" s="44" t="n">
        <v>0.128953</v>
      </c>
      <c r="CL77" s="44" t="n">
        <v>0.0222201</v>
      </c>
      <c r="CM77" s="44" t="n">
        <v>0.0067499</v>
      </c>
      <c r="CN77" s="44" t="n">
        <v>0.125024</v>
      </c>
      <c r="CO77" s="44" t="n">
        <v>0.0219086</v>
      </c>
      <c r="CP77" s="44" t="n">
        <v>0.0067499</v>
      </c>
      <c r="CQ77" s="44" t="n">
        <v>0.121151</v>
      </c>
      <c r="CR77" s="44" t="n">
        <v>0.0215883</v>
      </c>
      <c r="CS77" s="44" t="n">
        <v>0.0067499</v>
      </c>
      <c r="CT77" s="44" t="n">
        <v>0.124037</v>
      </c>
      <c r="CU77" s="44" t="n">
        <v>0.022322</v>
      </c>
      <c r="CV77" s="44" t="n">
        <v>0.0067499</v>
      </c>
      <c r="CW77" s="44" t="n">
        <v>0.11602</v>
      </c>
      <c r="CX77" s="44" t="n">
        <v>0.0215494</v>
      </c>
    </row>
    <row collapsed="false" customFormat="false" customHeight="false" hidden="false" ht="12.75" outlineLevel="0" r="78">
      <c r="A78" s="44" t="n">
        <v>0.0068499</v>
      </c>
      <c r="B78" s="44" t="n">
        <v>0.140766</v>
      </c>
      <c r="C78" s="44" t="n">
        <v>0.0203525</v>
      </c>
      <c r="D78" s="44" t="n">
        <v>0.0068499</v>
      </c>
      <c r="E78" s="44" t="n">
        <v>0.146376</v>
      </c>
      <c r="F78" s="44" t="n">
        <v>0.0209246</v>
      </c>
      <c r="G78" s="44" t="n">
        <v>0.0068499</v>
      </c>
      <c r="H78" s="44" t="n">
        <v>0.145487</v>
      </c>
      <c r="I78" s="44" t="n">
        <v>0.020698</v>
      </c>
      <c r="J78" s="44" t="n">
        <v>0.0068499</v>
      </c>
      <c r="K78" s="44" t="n">
        <v>0.143771</v>
      </c>
      <c r="L78" s="44" t="n">
        <v>0.0204417</v>
      </c>
      <c r="M78" s="44" t="n">
        <v>0.0068499</v>
      </c>
      <c r="N78" s="44" t="n">
        <v>0.146296</v>
      </c>
      <c r="O78" s="44" t="n">
        <v>0.0205908</v>
      </c>
      <c r="P78" s="44" t="n">
        <v>0.0068499</v>
      </c>
      <c r="Q78" s="44" t="n">
        <v>0.151857</v>
      </c>
      <c r="R78" s="44" t="n">
        <v>0.0210709</v>
      </c>
      <c r="S78" s="44" t="n">
        <v>0.0068499</v>
      </c>
      <c r="T78" s="44" t="n">
        <v>0.153765</v>
      </c>
      <c r="U78" s="44" t="n">
        <v>0.0211817</v>
      </c>
      <c r="V78" s="44" t="n">
        <v>0.0068499</v>
      </c>
      <c r="W78" s="44" t="n">
        <v>0.149033</v>
      </c>
      <c r="X78" s="44" t="n">
        <v>0.0208161</v>
      </c>
      <c r="Y78" s="44" t="n">
        <v>0.0068499</v>
      </c>
      <c r="Z78" s="44" t="n">
        <v>0.150672</v>
      </c>
      <c r="AA78" s="44" t="n">
        <v>0.0211077</v>
      </c>
      <c r="AB78" s="44" t="n">
        <v>0.0068499</v>
      </c>
      <c r="AC78" s="44" t="n">
        <v>0.145933</v>
      </c>
      <c r="AD78" s="44" t="n">
        <v>0.0207854</v>
      </c>
      <c r="AE78" s="44" t="n">
        <v>0.0068499</v>
      </c>
      <c r="AF78" s="44" t="n">
        <v>0.146106</v>
      </c>
      <c r="AG78" s="44" t="n">
        <v>0.0209925</v>
      </c>
      <c r="AH78" s="44" t="n">
        <v>0.0068499</v>
      </c>
      <c r="AI78" s="44" t="n">
        <v>0.141514</v>
      </c>
      <c r="AJ78" s="44" t="n">
        <v>0.0206406</v>
      </c>
      <c r="AK78" s="44" t="n">
        <v>0.0068499</v>
      </c>
      <c r="AL78" s="44" t="n">
        <v>0.140391</v>
      </c>
      <c r="AM78" s="44" t="n">
        <v>0.020612</v>
      </c>
      <c r="AN78" s="44" t="n">
        <v>0.0068499</v>
      </c>
      <c r="AO78" s="44" t="n">
        <v>0.144662</v>
      </c>
      <c r="AP78" s="44" t="n">
        <v>0.0214401</v>
      </c>
      <c r="AQ78" s="44" t="n">
        <v>0.0068499</v>
      </c>
      <c r="AR78" s="44" t="n">
        <v>0.140631</v>
      </c>
      <c r="AS78" s="44" t="n">
        <v>0.0210719</v>
      </c>
      <c r="AT78" s="44" t="n">
        <v>0.0068499</v>
      </c>
      <c r="AU78" s="44" t="n">
        <v>0.135728</v>
      </c>
      <c r="AV78" s="44" t="n">
        <v>0.0207011</v>
      </c>
      <c r="AW78" s="44" t="n">
        <v>0.0068499</v>
      </c>
      <c r="AX78" s="44" t="n">
        <v>0.132757</v>
      </c>
      <c r="AY78" s="44" t="n">
        <v>0.0204559</v>
      </c>
      <c r="AZ78" s="44" t="n">
        <v>0.0068499</v>
      </c>
      <c r="BA78" s="44" t="n">
        <v>0.139151</v>
      </c>
      <c r="BB78" s="44" t="n">
        <v>0.0214344</v>
      </c>
      <c r="BC78" s="44" t="n">
        <v>0.0068499</v>
      </c>
      <c r="BD78" s="44" t="n">
        <v>0.132899</v>
      </c>
      <c r="BE78" s="44" t="n">
        <v>0.0208096</v>
      </c>
      <c r="BF78" s="44" t="n">
        <v>0.0068499</v>
      </c>
      <c r="BG78" s="44" t="n">
        <v>0.129789</v>
      </c>
      <c r="BH78" s="44" t="n">
        <v>0.0206481</v>
      </c>
      <c r="BI78" s="44" t="n">
        <v>0.0068499</v>
      </c>
      <c r="BJ78" s="44" t="n">
        <v>0.131661</v>
      </c>
      <c r="BK78" s="44" t="n">
        <v>0.0209709</v>
      </c>
      <c r="BL78" s="44" t="n">
        <v>0.0068499</v>
      </c>
      <c r="BM78" s="44" t="n">
        <v>0.131743</v>
      </c>
      <c r="BN78" s="44" t="n">
        <v>0.0212111</v>
      </c>
      <c r="BO78" s="44" t="n">
        <v>0.0068499</v>
      </c>
      <c r="BP78" s="44" t="n">
        <v>0.127478</v>
      </c>
      <c r="BQ78" s="44" t="n">
        <v>0.0208789</v>
      </c>
      <c r="BR78" s="44" t="n">
        <v>0.0068499</v>
      </c>
      <c r="BS78" s="44" t="n">
        <v>0.129346</v>
      </c>
      <c r="BT78" s="44" t="n">
        <v>0.021221</v>
      </c>
      <c r="BU78" s="44" t="n">
        <v>0.0068499</v>
      </c>
      <c r="BV78" s="44" t="n">
        <v>0.129757</v>
      </c>
      <c r="BW78" s="44" t="n">
        <v>0.0214197</v>
      </c>
      <c r="BX78" s="44" t="n">
        <v>0.0068499</v>
      </c>
      <c r="BY78" s="44" t="n">
        <v>0.126155</v>
      </c>
      <c r="BZ78" s="44" t="n">
        <v>0.0211429</v>
      </c>
      <c r="CA78" s="44" t="n">
        <v>0.0068499</v>
      </c>
      <c r="CB78" s="44" t="n">
        <v>0.120431</v>
      </c>
      <c r="CC78" s="44" t="n">
        <v>0.0205393</v>
      </c>
      <c r="CD78" s="44" t="n">
        <v>0.0068499</v>
      </c>
      <c r="CE78" s="44" t="n">
        <v>0.119161</v>
      </c>
      <c r="CF78" s="44" t="n">
        <v>0.0205086</v>
      </c>
      <c r="CG78" s="44" t="n">
        <v>0.0068499</v>
      </c>
      <c r="CH78" s="44" t="n">
        <v>0.121132</v>
      </c>
      <c r="CI78" s="44" t="n">
        <v>0.0208981</v>
      </c>
      <c r="CJ78" s="44" t="n">
        <v>0.0068499</v>
      </c>
      <c r="CK78" s="44" t="n">
        <v>0.121634</v>
      </c>
      <c r="CL78" s="44" t="n">
        <v>0.0211537</v>
      </c>
      <c r="CM78" s="44" t="n">
        <v>0.0068499</v>
      </c>
      <c r="CN78" s="44" t="n">
        <v>0.117499</v>
      </c>
      <c r="CO78" s="44" t="n">
        <v>0.0208481</v>
      </c>
      <c r="CP78" s="44" t="n">
        <v>0.0068499</v>
      </c>
      <c r="CQ78" s="44" t="n">
        <v>0.113798</v>
      </c>
      <c r="CR78" s="44" t="n">
        <v>0.0205697</v>
      </c>
      <c r="CS78" s="44" t="n">
        <v>0.0068499</v>
      </c>
      <c r="CT78" s="44" t="n">
        <v>0.11623</v>
      </c>
      <c r="CU78" s="44" t="n">
        <v>0.0212302</v>
      </c>
      <c r="CV78" s="44" t="n">
        <v>0.0068499</v>
      </c>
      <c r="CW78" s="44" t="n">
        <v>0.108584</v>
      </c>
      <c r="CX78" s="44" t="n">
        <v>0.020484</v>
      </c>
    </row>
    <row collapsed="false" customFormat="false" customHeight="false" hidden="false" ht="12.75" outlineLevel="0" r="79">
      <c r="A79" s="44" t="n">
        <v>0.0069499</v>
      </c>
      <c r="B79" s="44" t="n">
        <v>0.132524</v>
      </c>
      <c r="C79" s="44" t="n">
        <v>0.0193789</v>
      </c>
      <c r="D79" s="44" t="n">
        <v>0.0069499</v>
      </c>
      <c r="E79" s="44" t="n">
        <v>0.137641</v>
      </c>
      <c r="F79" s="44" t="n">
        <v>0.0199139</v>
      </c>
      <c r="G79" s="44" t="n">
        <v>0.0069499</v>
      </c>
      <c r="H79" s="44" t="n">
        <v>0.137294</v>
      </c>
      <c r="I79" s="44" t="n">
        <v>0.0197166</v>
      </c>
      <c r="J79" s="44" t="n">
        <v>0.0069499</v>
      </c>
      <c r="K79" s="44" t="n">
        <v>0.135734</v>
      </c>
      <c r="L79" s="44" t="n">
        <v>0.0194407</v>
      </c>
      <c r="M79" s="44" t="n">
        <v>0.0069499</v>
      </c>
      <c r="N79" s="44" t="n">
        <v>0.138107</v>
      </c>
      <c r="O79" s="44" t="n">
        <v>0.0196162</v>
      </c>
      <c r="P79" s="44" t="n">
        <v>0.0069499</v>
      </c>
      <c r="Q79" s="44" t="n">
        <v>0.143268</v>
      </c>
      <c r="R79" s="44" t="n">
        <v>0.0200992</v>
      </c>
      <c r="S79" s="44" t="n">
        <v>0.0069499</v>
      </c>
      <c r="T79" s="44" t="n">
        <v>0.14483</v>
      </c>
      <c r="U79" s="44" t="n">
        <v>0.0201797</v>
      </c>
      <c r="V79" s="44" t="n">
        <v>0.0069499</v>
      </c>
      <c r="W79" s="44" t="n">
        <v>0.141015</v>
      </c>
      <c r="X79" s="44" t="n">
        <v>0.019818</v>
      </c>
      <c r="Y79" s="44" t="n">
        <v>0.0069499</v>
      </c>
      <c r="Z79" s="44" t="n">
        <v>0.142377</v>
      </c>
      <c r="AA79" s="44" t="n">
        <v>0.0201224</v>
      </c>
      <c r="AB79" s="44" t="n">
        <v>0.0069499</v>
      </c>
      <c r="AC79" s="44" t="n">
        <v>0.13753</v>
      </c>
      <c r="AD79" s="44" t="n">
        <v>0.019802</v>
      </c>
      <c r="AE79" s="44" t="n">
        <v>0.0069499</v>
      </c>
      <c r="AF79" s="44" t="n">
        <v>0.137209</v>
      </c>
      <c r="AG79" s="44" t="n">
        <v>0.0199935</v>
      </c>
      <c r="AH79" s="44" t="n">
        <v>0.0069499</v>
      </c>
      <c r="AI79" s="44" t="n">
        <v>0.133907</v>
      </c>
      <c r="AJ79" s="44" t="n">
        <v>0.0196826</v>
      </c>
      <c r="AK79" s="44" t="n">
        <v>0.0069499</v>
      </c>
      <c r="AL79" s="44" t="n">
        <v>0.13251</v>
      </c>
      <c r="AM79" s="44" t="n">
        <v>0.0196423</v>
      </c>
      <c r="AN79" s="44" t="n">
        <v>0.0069499</v>
      </c>
      <c r="AO79" s="44" t="n">
        <v>0.136058</v>
      </c>
      <c r="AP79" s="44" t="n">
        <v>0.020443</v>
      </c>
      <c r="AQ79" s="44" t="n">
        <v>0.0069499</v>
      </c>
      <c r="AR79" s="44" t="n">
        <v>0.132448</v>
      </c>
      <c r="AS79" s="44" t="n">
        <v>0.0200826</v>
      </c>
      <c r="AT79" s="44" t="n">
        <v>0.0069499</v>
      </c>
      <c r="AU79" s="44" t="n">
        <v>0.128033</v>
      </c>
      <c r="AV79" s="44" t="n">
        <v>0.0197372</v>
      </c>
      <c r="AW79" s="44" t="n">
        <v>0.0069499</v>
      </c>
      <c r="AX79" s="44" t="n">
        <v>0.125594</v>
      </c>
      <c r="AY79" s="44" t="n">
        <v>0.019493</v>
      </c>
      <c r="AZ79" s="44" t="n">
        <v>0.0069499</v>
      </c>
      <c r="BA79" s="44" t="n">
        <v>0.130748</v>
      </c>
      <c r="BB79" s="44" t="n">
        <v>0.0204374</v>
      </c>
      <c r="BC79" s="44" t="n">
        <v>0.0069499</v>
      </c>
      <c r="BD79" s="44" t="n">
        <v>0.125243</v>
      </c>
      <c r="BE79" s="44" t="n">
        <v>0.0198292</v>
      </c>
      <c r="BF79" s="44" t="n">
        <v>0.0069499</v>
      </c>
      <c r="BG79" s="44" t="n">
        <v>0.122065</v>
      </c>
      <c r="BH79" s="44" t="n">
        <v>0.0196754</v>
      </c>
      <c r="BI79" s="44" t="n">
        <v>0.0069499</v>
      </c>
      <c r="BJ79" s="44" t="n">
        <v>0.123839</v>
      </c>
      <c r="BK79" s="44" t="n">
        <v>0.0199787</v>
      </c>
      <c r="BL79" s="44" t="n">
        <v>0.0069499</v>
      </c>
      <c r="BM79" s="44" t="n">
        <v>0.124008</v>
      </c>
      <c r="BN79" s="44" t="n">
        <v>0.0201828</v>
      </c>
      <c r="BO79" s="44" t="n">
        <v>0.0069499</v>
      </c>
      <c r="BP79" s="44" t="n">
        <v>0.119973</v>
      </c>
      <c r="BQ79" s="44" t="n">
        <v>0.0198672</v>
      </c>
      <c r="BR79" s="44" t="n">
        <v>0.0069499</v>
      </c>
      <c r="BS79" s="44" t="n">
        <v>0.121841</v>
      </c>
      <c r="BT79" s="44" t="n">
        <v>0.0202288</v>
      </c>
      <c r="BU79" s="44" t="n">
        <v>0.0069499</v>
      </c>
      <c r="BV79" s="44" t="n">
        <v>0.122243</v>
      </c>
      <c r="BW79" s="44" t="n">
        <v>0.020408</v>
      </c>
      <c r="BX79" s="44" t="n">
        <v>0.0069499</v>
      </c>
      <c r="BY79" s="44" t="n">
        <v>0.119202</v>
      </c>
      <c r="BZ79" s="44" t="n">
        <v>0.0201361</v>
      </c>
      <c r="CA79" s="44" t="n">
        <v>0.0069499</v>
      </c>
      <c r="CB79" s="44" t="n">
        <v>0.113766</v>
      </c>
      <c r="CC79" s="44" t="n">
        <v>0.01955</v>
      </c>
      <c r="CD79" s="44" t="n">
        <v>0.0069499</v>
      </c>
      <c r="CE79" s="44" t="n">
        <v>0.111797</v>
      </c>
      <c r="CF79" s="44" t="n">
        <v>0.0195467</v>
      </c>
      <c r="CG79" s="44" t="n">
        <v>0.0069499</v>
      </c>
      <c r="CH79" s="44" t="n">
        <v>0.113979</v>
      </c>
      <c r="CI79" s="44" t="n">
        <v>0.0198912</v>
      </c>
      <c r="CJ79" s="44" t="n">
        <v>0.0069499</v>
      </c>
      <c r="CK79" s="44" t="n">
        <v>0.113909</v>
      </c>
      <c r="CL79" s="44" t="n">
        <v>0.0201849</v>
      </c>
      <c r="CM79" s="44" t="n">
        <v>0.0069499</v>
      </c>
      <c r="CN79" s="44" t="n">
        <v>0.110107</v>
      </c>
      <c r="CO79" s="44" t="n">
        <v>0.0199067</v>
      </c>
      <c r="CP79" s="44" t="n">
        <v>0.0069499</v>
      </c>
      <c r="CQ79" s="44" t="n">
        <v>0.106967</v>
      </c>
      <c r="CR79" s="44" t="n">
        <v>0.0196009</v>
      </c>
      <c r="CS79" s="44" t="n">
        <v>0.0069499</v>
      </c>
      <c r="CT79" s="44" t="n">
        <v>0.108856</v>
      </c>
      <c r="CU79" s="44" t="n">
        <v>0.0202126</v>
      </c>
      <c r="CV79" s="44" t="n">
        <v>0.0069499</v>
      </c>
      <c r="CW79" s="44" t="n">
        <v>0.102055</v>
      </c>
      <c r="CX79" s="44" t="n">
        <v>0.0195338</v>
      </c>
    </row>
    <row collapsed="false" customFormat="false" customHeight="false" hidden="false" ht="12.75" outlineLevel="0" r="80">
      <c r="A80" s="44" t="n">
        <v>0.0070499</v>
      </c>
      <c r="B80" s="44" t="n">
        <v>0.12497</v>
      </c>
      <c r="C80" s="44" t="n">
        <v>0.0184678</v>
      </c>
      <c r="D80" s="44" t="n">
        <v>0.0070499</v>
      </c>
      <c r="E80" s="44" t="n">
        <v>0.129955</v>
      </c>
      <c r="F80" s="44" t="n">
        <v>0.0189715</v>
      </c>
      <c r="G80" s="44" t="n">
        <v>0.0070499</v>
      </c>
      <c r="H80" s="44" t="n">
        <v>0.129823</v>
      </c>
      <c r="I80" s="44" t="n">
        <v>0.0187762</v>
      </c>
      <c r="J80" s="44" t="n">
        <v>0.0070499</v>
      </c>
      <c r="K80" s="44" t="n">
        <v>0.127638</v>
      </c>
      <c r="L80" s="44" t="n">
        <v>0.0185257</v>
      </c>
      <c r="M80" s="44" t="n">
        <v>0.0070499</v>
      </c>
      <c r="N80" s="44" t="n">
        <v>0.130334</v>
      </c>
      <c r="O80" s="44" t="n">
        <v>0.0186904</v>
      </c>
      <c r="P80" s="44" t="n">
        <v>0.0070499</v>
      </c>
      <c r="Q80" s="44" t="n">
        <v>0.135231</v>
      </c>
      <c r="R80" s="44" t="n">
        <v>0.0191393</v>
      </c>
      <c r="S80" s="44" t="n">
        <v>0.0070499</v>
      </c>
      <c r="T80" s="44" t="n">
        <v>0.136744</v>
      </c>
      <c r="U80" s="44" t="n">
        <v>0.0192334</v>
      </c>
      <c r="V80" s="44" t="n">
        <v>0.0070499</v>
      </c>
      <c r="W80" s="44" t="n">
        <v>0.132768</v>
      </c>
      <c r="X80" s="44" t="n">
        <v>0.0188981</v>
      </c>
      <c r="Y80" s="44" t="n">
        <v>0.0070499</v>
      </c>
      <c r="Z80" s="44" t="n">
        <v>0.134066</v>
      </c>
      <c r="AA80" s="44" t="n">
        <v>0.0191683</v>
      </c>
      <c r="AB80" s="44" t="n">
        <v>0.0070499</v>
      </c>
      <c r="AC80" s="44" t="n">
        <v>0.129751</v>
      </c>
      <c r="AD80" s="44" t="n">
        <v>0.0188889</v>
      </c>
      <c r="AE80" s="44" t="n">
        <v>0.0070499</v>
      </c>
      <c r="AF80" s="44" t="n">
        <v>0.129626</v>
      </c>
      <c r="AG80" s="44" t="n">
        <v>0.0190736</v>
      </c>
      <c r="AH80" s="44" t="n">
        <v>0.0070499</v>
      </c>
      <c r="AI80" s="44" t="n">
        <v>0.126162</v>
      </c>
      <c r="AJ80" s="44" t="n">
        <v>0.0187637</v>
      </c>
      <c r="AK80" s="44" t="n">
        <v>0.0070499</v>
      </c>
      <c r="AL80" s="44" t="n">
        <v>0.124336</v>
      </c>
      <c r="AM80" s="44" t="n">
        <v>0.0187331</v>
      </c>
      <c r="AN80" s="44" t="n">
        <v>0.0070499</v>
      </c>
      <c r="AO80" s="44" t="n">
        <v>0.128607</v>
      </c>
      <c r="AP80" s="44" t="n">
        <v>0.0194791</v>
      </c>
      <c r="AQ80" s="44" t="n">
        <v>0.0070499</v>
      </c>
      <c r="AR80" s="44" t="n">
        <v>0.124181</v>
      </c>
      <c r="AS80" s="44" t="n">
        <v>0.0191334</v>
      </c>
      <c r="AT80" s="44" t="n">
        <v>0.0070499</v>
      </c>
      <c r="AU80" s="44" t="n">
        <v>0.120523</v>
      </c>
      <c r="AV80" s="44" t="n">
        <v>0.0188456</v>
      </c>
      <c r="AW80" s="44" t="n">
        <v>0.0070499</v>
      </c>
      <c r="AX80" s="44" t="n">
        <v>0.117913</v>
      </c>
      <c r="AY80" s="44" t="n">
        <v>0.0185809</v>
      </c>
      <c r="AZ80" s="44" t="n">
        <v>0.0070499</v>
      </c>
      <c r="BA80" s="44" t="n">
        <v>0.123555</v>
      </c>
      <c r="BB80" s="44" t="n">
        <v>0.0194637</v>
      </c>
      <c r="BC80" s="44" t="n">
        <v>0.0070499</v>
      </c>
      <c r="BD80" s="44" t="n">
        <v>0.117811</v>
      </c>
      <c r="BE80" s="44" t="n">
        <v>0.0188858</v>
      </c>
      <c r="BF80" s="44" t="n">
        <v>0.0070499</v>
      </c>
      <c r="BG80" s="44" t="n">
        <v>0.115175</v>
      </c>
      <c r="BH80" s="44" t="n">
        <v>0.0187486</v>
      </c>
      <c r="BI80" s="44" t="n">
        <v>0.0070499</v>
      </c>
      <c r="BJ80" s="44" t="n">
        <v>0.116481</v>
      </c>
      <c r="BK80" s="44" t="n">
        <v>0.0190617</v>
      </c>
      <c r="BL80" s="44" t="n">
        <v>0.0070499</v>
      </c>
      <c r="BM80" s="44" t="n">
        <v>0.116621</v>
      </c>
      <c r="BN80" s="44" t="n">
        <v>0.0192502</v>
      </c>
      <c r="BO80" s="44" t="n">
        <v>0.0070499</v>
      </c>
      <c r="BP80" s="44" t="n">
        <v>0.112956</v>
      </c>
      <c r="BQ80" s="44" t="n">
        <v>0.0189356</v>
      </c>
      <c r="BR80" s="44" t="n">
        <v>0.0070499</v>
      </c>
      <c r="BS80" s="44" t="n">
        <v>0.114868</v>
      </c>
      <c r="BT80" s="44" t="n">
        <v>0.0192796</v>
      </c>
      <c r="BU80" s="44" t="n">
        <v>0.0070499</v>
      </c>
      <c r="BV80" s="44" t="n">
        <v>0.114591</v>
      </c>
      <c r="BW80" s="44" t="n">
        <v>0.01945</v>
      </c>
      <c r="BX80" s="44" t="n">
        <v>0.0070499</v>
      </c>
      <c r="BY80" s="44" t="n">
        <v>0.111785</v>
      </c>
      <c r="BZ80" s="44" t="n">
        <v>0.0191947</v>
      </c>
      <c r="CA80" s="44" t="n">
        <v>0.0070499</v>
      </c>
      <c r="CB80" s="44" t="n">
        <v>0.107091</v>
      </c>
      <c r="CC80" s="44" t="n">
        <v>0.0186623</v>
      </c>
      <c r="CD80" s="44" t="n">
        <v>0.0070499</v>
      </c>
      <c r="CE80" s="44" t="n">
        <v>0.105206</v>
      </c>
      <c r="CF80" s="44" t="n">
        <v>0.0186219</v>
      </c>
      <c r="CG80" s="44" t="n">
        <v>0.0070499</v>
      </c>
      <c r="CH80" s="44" t="n">
        <v>0.10705</v>
      </c>
      <c r="CI80" s="44" t="n">
        <v>0.0189713</v>
      </c>
      <c r="CJ80" s="44" t="n">
        <v>0.0070499</v>
      </c>
      <c r="CK80" s="44" t="n">
        <v>0.107015</v>
      </c>
      <c r="CL80" s="44" t="n">
        <v>0.0191976</v>
      </c>
      <c r="CM80" s="44" t="n">
        <v>0.0070499</v>
      </c>
      <c r="CN80" s="44" t="n">
        <v>0.103862</v>
      </c>
      <c r="CO80" s="44" t="n">
        <v>0.0189545</v>
      </c>
      <c r="CP80" s="44" t="n">
        <v>0.0070499</v>
      </c>
      <c r="CQ80" s="44" t="n">
        <v>0.100751</v>
      </c>
      <c r="CR80" s="44" t="n">
        <v>0.0186771</v>
      </c>
      <c r="CS80" s="44" t="n">
        <v>0.0070499</v>
      </c>
      <c r="CT80" s="44" t="n">
        <v>0.102675</v>
      </c>
      <c r="CU80" s="44" t="n">
        <v>0.0192663</v>
      </c>
      <c r="CV80" s="44" t="n">
        <v>0.0070499</v>
      </c>
      <c r="CW80" s="44" t="n">
        <v>0.0958638</v>
      </c>
      <c r="CX80" s="44" t="n">
        <v>0.0186246</v>
      </c>
    </row>
    <row collapsed="false" customFormat="false" customHeight="false" hidden="false" ht="12.75" outlineLevel="0" r="81">
      <c r="A81" s="44" t="n">
        <v>0.0071499</v>
      </c>
      <c r="B81" s="44" t="n">
        <v>0.118022</v>
      </c>
      <c r="C81" s="44" t="n">
        <v>0.0175986</v>
      </c>
      <c r="D81" s="44" t="n">
        <v>0.0071499</v>
      </c>
      <c r="E81" s="44" t="n">
        <v>0.123363</v>
      </c>
      <c r="F81" s="44" t="n">
        <v>0.0180897</v>
      </c>
      <c r="G81" s="44" t="n">
        <v>0.0071499</v>
      </c>
      <c r="H81" s="44" t="n">
        <v>0.122318</v>
      </c>
      <c r="I81" s="44" t="n">
        <v>0.0179178</v>
      </c>
      <c r="J81" s="44" t="n">
        <v>0.0071499</v>
      </c>
      <c r="K81" s="44" t="n">
        <v>0.12069</v>
      </c>
      <c r="L81" s="44" t="n">
        <v>0.0176507</v>
      </c>
      <c r="M81" s="44" t="n">
        <v>0.0071499</v>
      </c>
      <c r="N81" s="44" t="n">
        <v>0.123015</v>
      </c>
      <c r="O81" s="44" t="n">
        <v>0.0178281</v>
      </c>
      <c r="P81" s="44" t="n">
        <v>0.0071499</v>
      </c>
      <c r="Q81" s="44" t="n">
        <v>0.128126</v>
      </c>
      <c r="R81" s="44" t="n">
        <v>0.0182281</v>
      </c>
      <c r="S81" s="44" t="n">
        <v>0.0071499</v>
      </c>
      <c r="T81" s="44" t="n">
        <v>0.128844</v>
      </c>
      <c r="U81" s="44" t="n">
        <v>0.0183516</v>
      </c>
      <c r="V81" s="44" t="n">
        <v>0.0071499</v>
      </c>
      <c r="W81" s="44" t="n">
        <v>0.125307</v>
      </c>
      <c r="X81" s="44" t="n">
        <v>0.0180153</v>
      </c>
      <c r="Y81" s="44" t="n">
        <v>0.0071499</v>
      </c>
      <c r="Z81" s="44" t="n">
        <v>0.126542</v>
      </c>
      <c r="AA81" s="44" t="n">
        <v>0.0182825</v>
      </c>
      <c r="AB81" s="44" t="n">
        <v>0.0071499</v>
      </c>
      <c r="AC81" s="44" t="n">
        <v>0.122251</v>
      </c>
      <c r="AD81" s="44" t="n">
        <v>0.0179944</v>
      </c>
      <c r="AE81" s="44" t="n">
        <v>0.0071499</v>
      </c>
      <c r="AF81" s="44" t="n">
        <v>0.122263</v>
      </c>
      <c r="AG81" s="44" t="n">
        <v>0.0181849</v>
      </c>
      <c r="AH81" s="44" t="n">
        <v>0.0071499</v>
      </c>
      <c r="AI81" s="44" t="n">
        <v>0.118872</v>
      </c>
      <c r="AJ81" s="44" t="n">
        <v>0.0178867</v>
      </c>
      <c r="AK81" s="44" t="n">
        <v>0.0071499</v>
      </c>
      <c r="AL81" s="44" t="n">
        <v>0.117056</v>
      </c>
      <c r="AM81" s="44" t="n">
        <v>0.0178357</v>
      </c>
      <c r="AN81" s="44" t="n">
        <v>0.0071499</v>
      </c>
      <c r="AO81" s="44" t="n">
        <v>0.121092</v>
      </c>
      <c r="AP81" s="44" t="n">
        <v>0.0185807</v>
      </c>
      <c r="AQ81" s="44" t="n">
        <v>0.0071499</v>
      </c>
      <c r="AR81" s="44" t="n">
        <v>0.117291</v>
      </c>
      <c r="AS81" s="44" t="n">
        <v>0.018234</v>
      </c>
      <c r="AT81" s="44" t="n">
        <v>0.0071499</v>
      </c>
      <c r="AU81" s="44" t="n">
        <v>0.113604</v>
      </c>
      <c r="AV81" s="44" t="n">
        <v>0.017955</v>
      </c>
      <c r="AW81" s="44" t="n">
        <v>0.0071499</v>
      </c>
      <c r="AX81" s="44" t="n">
        <v>0.110945</v>
      </c>
      <c r="AY81" s="44" t="n">
        <v>0.0177118</v>
      </c>
      <c r="AZ81" s="44" t="n">
        <v>0.0071499</v>
      </c>
      <c r="BA81" s="44" t="n">
        <v>0.115982</v>
      </c>
      <c r="BB81" s="44" t="n">
        <v>0.0185585</v>
      </c>
      <c r="BC81" s="44" t="n">
        <v>0.0071499</v>
      </c>
      <c r="BD81" s="44" t="n">
        <v>0.111468</v>
      </c>
      <c r="BE81" s="44" t="n">
        <v>0.0180216</v>
      </c>
      <c r="BF81" s="44" t="n">
        <v>0.0071499</v>
      </c>
      <c r="BG81" s="44" t="n">
        <v>0.108442</v>
      </c>
      <c r="BH81" s="44" t="n">
        <v>0.01786</v>
      </c>
      <c r="BI81" s="44" t="n">
        <v>0.0071499</v>
      </c>
      <c r="BJ81" s="44" t="n">
        <v>0.109547</v>
      </c>
      <c r="BK81" s="44" t="n">
        <v>0.0181701</v>
      </c>
      <c r="BL81" s="44" t="n">
        <v>0.0071499</v>
      </c>
      <c r="BM81" s="44" t="n">
        <v>0.109765</v>
      </c>
      <c r="BN81" s="44" t="n">
        <v>0.0183674</v>
      </c>
      <c r="BO81" s="44" t="n">
        <v>0.0071499</v>
      </c>
      <c r="BP81" s="44" t="n">
        <v>0.106203</v>
      </c>
      <c r="BQ81" s="44" t="n">
        <v>0.0180879</v>
      </c>
      <c r="BR81" s="44" t="n">
        <v>0.0071499</v>
      </c>
      <c r="BS81" s="44" t="n">
        <v>0.108125</v>
      </c>
      <c r="BT81" s="44" t="n">
        <v>0.0183743</v>
      </c>
      <c r="BU81" s="44" t="n">
        <v>0.0071499</v>
      </c>
      <c r="BV81" s="44" t="n">
        <v>0.108239</v>
      </c>
      <c r="BW81" s="44" t="n">
        <v>0.0185672</v>
      </c>
      <c r="BX81" s="44" t="n">
        <v>0.0071499</v>
      </c>
      <c r="BY81" s="44" t="n">
        <v>0.10533</v>
      </c>
      <c r="BZ81" s="44" t="n">
        <v>0.0183021</v>
      </c>
      <c r="CA81" s="44" t="n">
        <v>0.0071499</v>
      </c>
      <c r="CB81" s="44" t="n">
        <v>0.100475</v>
      </c>
      <c r="CC81" s="44" t="n">
        <v>0.0177844</v>
      </c>
      <c r="CD81" s="44" t="n">
        <v>0.0071499</v>
      </c>
      <c r="CE81" s="44" t="n">
        <v>0.0986284</v>
      </c>
      <c r="CF81" s="44" t="n">
        <v>0.0177743</v>
      </c>
      <c r="CG81" s="44" t="n">
        <v>0.0071499</v>
      </c>
      <c r="CH81" s="44" t="n">
        <v>0.100502</v>
      </c>
      <c r="CI81" s="44" t="n">
        <v>0.0180611</v>
      </c>
      <c r="CJ81" s="44" t="n">
        <v>0.0071499</v>
      </c>
      <c r="CK81" s="44" t="n">
        <v>0.100223</v>
      </c>
      <c r="CL81" s="44" t="n">
        <v>0.0183177</v>
      </c>
      <c r="CM81" s="44" t="n">
        <v>0.0071499</v>
      </c>
      <c r="CN81" s="44" t="n">
        <v>0.0974797</v>
      </c>
      <c r="CO81" s="44" t="n">
        <v>0.0180834</v>
      </c>
      <c r="CP81" s="44" t="n">
        <v>0.0071499</v>
      </c>
      <c r="CQ81" s="44" t="n">
        <v>0.0947404</v>
      </c>
      <c r="CR81" s="44" t="n">
        <v>0.017808</v>
      </c>
      <c r="CS81" s="44" t="n">
        <v>0.0071499</v>
      </c>
      <c r="CT81" s="44" t="n">
        <v>0.09642</v>
      </c>
      <c r="CU81" s="44" t="n">
        <v>0.0183933</v>
      </c>
      <c r="CV81" s="44" t="n">
        <v>0.0071499</v>
      </c>
      <c r="CW81" s="44" t="n">
        <v>0.0898531</v>
      </c>
      <c r="CX81" s="44" t="n">
        <v>0.017733</v>
      </c>
    </row>
    <row collapsed="false" customFormat="false" customHeight="false" hidden="false" ht="12.75" outlineLevel="0" r="82">
      <c r="A82" s="44" t="n">
        <v>0.0072499</v>
      </c>
      <c r="B82" s="44" t="n">
        <v>0.111679</v>
      </c>
      <c r="C82" s="44" t="n">
        <v>0.016792</v>
      </c>
      <c r="D82" s="44" t="n">
        <v>0.0072499</v>
      </c>
      <c r="E82" s="44" t="n">
        <v>0.116108</v>
      </c>
      <c r="F82" s="44" t="n">
        <v>0.0172537</v>
      </c>
      <c r="G82" s="44" t="n">
        <v>0.0072499</v>
      </c>
      <c r="H82" s="44" t="n">
        <v>0.115375</v>
      </c>
      <c r="I82" s="44" t="n">
        <v>0.0170535</v>
      </c>
      <c r="J82" s="44" t="n">
        <v>0.0072499</v>
      </c>
      <c r="K82" s="44" t="n">
        <v>0.114113</v>
      </c>
      <c r="L82" s="44" t="n">
        <v>0.0168372</v>
      </c>
      <c r="M82" s="44" t="n">
        <v>0.0072499</v>
      </c>
      <c r="N82" s="44" t="n">
        <v>0.116057</v>
      </c>
      <c r="O82" s="44" t="n">
        <v>0.016998</v>
      </c>
      <c r="P82" s="44" t="n">
        <v>0.0072499</v>
      </c>
      <c r="Q82" s="44" t="n">
        <v>0.120802</v>
      </c>
      <c r="R82" s="44" t="n">
        <v>0.0173736</v>
      </c>
      <c r="S82" s="44" t="n">
        <v>0.0072499</v>
      </c>
      <c r="T82" s="44" t="n">
        <v>0.12129</v>
      </c>
      <c r="U82" s="44" t="n">
        <v>0.0174795</v>
      </c>
      <c r="V82" s="44" t="n">
        <v>0.0072499</v>
      </c>
      <c r="W82" s="44" t="n">
        <v>0.118042</v>
      </c>
      <c r="X82" s="44" t="n">
        <v>0.0171686</v>
      </c>
      <c r="Y82" s="44" t="n">
        <v>0.0072499</v>
      </c>
      <c r="Z82" s="44" t="n">
        <v>0.119286</v>
      </c>
      <c r="AA82" s="44" t="n">
        <v>0.0174358</v>
      </c>
      <c r="AB82" s="44" t="n">
        <v>0.0072499</v>
      </c>
      <c r="AC82" s="44" t="n">
        <v>0.115372</v>
      </c>
      <c r="AD82" s="44" t="n">
        <v>0.0171916</v>
      </c>
      <c r="AE82" s="44" t="n">
        <v>0.0072499</v>
      </c>
      <c r="AF82" s="44" t="n">
        <v>0.115266</v>
      </c>
      <c r="AG82" s="44" t="n">
        <v>0.0173256</v>
      </c>
      <c r="AH82" s="44" t="n">
        <v>0.0072499</v>
      </c>
      <c r="AI82" s="44" t="n">
        <v>0.112012</v>
      </c>
      <c r="AJ82" s="44" t="n">
        <v>0.0170596</v>
      </c>
      <c r="AK82" s="44" t="n">
        <v>0.0072499</v>
      </c>
      <c r="AL82" s="44" t="n">
        <v>0.110664</v>
      </c>
      <c r="AM82" s="44" t="n">
        <v>0.0169939</v>
      </c>
      <c r="AN82" s="44" t="n">
        <v>0.0072499</v>
      </c>
      <c r="AO82" s="44" t="n">
        <v>0.113861</v>
      </c>
      <c r="AP82" s="44" t="n">
        <v>0.0177184</v>
      </c>
      <c r="AQ82" s="44" t="n">
        <v>0.0072499</v>
      </c>
      <c r="AR82" s="44" t="n">
        <v>0.110431</v>
      </c>
      <c r="AS82" s="44" t="n">
        <v>0.0173678</v>
      </c>
      <c r="AT82" s="44" t="n">
        <v>0.0072499</v>
      </c>
      <c r="AU82" s="44" t="n">
        <v>0.10709</v>
      </c>
      <c r="AV82" s="44" t="n">
        <v>0.0171122</v>
      </c>
      <c r="AW82" s="44" t="n">
        <v>0.0072499</v>
      </c>
      <c r="AX82" s="44" t="n">
        <v>0.104539</v>
      </c>
      <c r="AY82" s="44" t="n">
        <v>0.0168651</v>
      </c>
      <c r="AZ82" s="44" t="n">
        <v>0.0072499</v>
      </c>
      <c r="BA82" s="44" t="n">
        <v>0.109356</v>
      </c>
      <c r="BB82" s="44" t="n">
        <v>0.0176952</v>
      </c>
      <c r="BC82" s="44" t="n">
        <v>0.0072499</v>
      </c>
      <c r="BD82" s="44" t="n">
        <v>0.104554</v>
      </c>
      <c r="BE82" s="44" t="n">
        <v>0.01717</v>
      </c>
      <c r="BF82" s="44" t="n">
        <v>0.0072499</v>
      </c>
      <c r="BG82" s="44" t="n">
        <v>0.101874</v>
      </c>
      <c r="BH82" s="44" t="n">
        <v>0.0170358</v>
      </c>
      <c r="BI82" s="44" t="n">
        <v>0.0072499</v>
      </c>
      <c r="BJ82" s="44" t="n">
        <v>0.103234</v>
      </c>
      <c r="BK82" s="44" t="n">
        <v>0.0173107</v>
      </c>
      <c r="BL82" s="44" t="n">
        <v>0.0072499</v>
      </c>
      <c r="BM82" s="44" t="n">
        <v>0.102817</v>
      </c>
      <c r="BN82" s="44" t="n">
        <v>0.0174982</v>
      </c>
      <c r="BO82" s="44" t="n">
        <v>0.0072499</v>
      </c>
      <c r="BP82" s="44" t="n">
        <v>0.0998265</v>
      </c>
      <c r="BQ82" s="44" t="n">
        <v>0.0172266</v>
      </c>
      <c r="BR82" s="44" t="n">
        <v>0.0072499</v>
      </c>
      <c r="BS82" s="44" t="n">
        <v>0.101738</v>
      </c>
      <c r="BT82" s="44" t="n">
        <v>0.0175159</v>
      </c>
      <c r="BU82" s="44" t="n">
        <v>0.0072499</v>
      </c>
      <c r="BV82" s="44" t="n">
        <v>0.101608</v>
      </c>
      <c r="BW82" s="44" t="n">
        <v>0.0176834</v>
      </c>
      <c r="BX82" s="44" t="n">
        <v>0.0072499</v>
      </c>
      <c r="BY82" s="44" t="n">
        <v>0.0989191</v>
      </c>
      <c r="BZ82" s="44" t="n">
        <v>0.0174574</v>
      </c>
      <c r="CA82" s="44" t="n">
        <v>0.0072499</v>
      </c>
      <c r="CB82" s="44" t="n">
        <v>0.0944594</v>
      </c>
      <c r="CC82" s="44" t="n">
        <v>0.0169553</v>
      </c>
      <c r="CD82" s="44" t="n">
        <v>0.0072499</v>
      </c>
      <c r="CE82" s="44" t="n">
        <v>0.0931059</v>
      </c>
      <c r="CF82" s="44" t="n">
        <v>0.0169393</v>
      </c>
      <c r="CG82" s="44" t="n">
        <v>0.0072499</v>
      </c>
      <c r="CH82" s="44" t="n">
        <v>0.0943645</v>
      </c>
      <c r="CI82" s="44" t="n">
        <v>0.017235</v>
      </c>
      <c r="CJ82" s="44" t="n">
        <v>0.0072499</v>
      </c>
      <c r="CK82" s="44" t="n">
        <v>0.0945296</v>
      </c>
      <c r="CL82" s="44" t="n">
        <v>0.0174623</v>
      </c>
      <c r="CM82" s="44" t="n">
        <v>0.0072499</v>
      </c>
      <c r="CN82" s="44" t="n">
        <v>0.0918205</v>
      </c>
      <c r="CO82" s="44" t="n">
        <v>0.0172368</v>
      </c>
      <c r="CP82" s="44" t="n">
        <v>0.0072499</v>
      </c>
      <c r="CQ82" s="44" t="n">
        <v>0.0888273</v>
      </c>
      <c r="CR82" s="44" t="n">
        <v>0.0169984</v>
      </c>
      <c r="CS82" s="44" t="n">
        <v>0.0072499</v>
      </c>
      <c r="CT82" s="44" t="n">
        <v>0.0905313</v>
      </c>
      <c r="CU82" s="44" t="n">
        <v>0.0175017</v>
      </c>
      <c r="CV82" s="44" t="n">
        <v>0.0072499</v>
      </c>
      <c r="CW82" s="44" t="n">
        <v>0.0842232</v>
      </c>
      <c r="CX82" s="44" t="n">
        <v>0.0169049</v>
      </c>
    </row>
    <row collapsed="false" customFormat="false" customHeight="false" hidden="false" ht="12.75" outlineLevel="0" r="83">
      <c r="A83" s="44" t="n">
        <v>0.0073499</v>
      </c>
      <c r="B83" s="44" t="n">
        <v>0.105234</v>
      </c>
      <c r="C83" s="44" t="n">
        <v>0.0159853</v>
      </c>
      <c r="D83" s="44" t="n">
        <v>0.0073499</v>
      </c>
      <c r="E83" s="44" t="n">
        <v>0.10932</v>
      </c>
      <c r="F83" s="44" t="n">
        <v>0.0164334</v>
      </c>
      <c r="G83" s="44" t="n">
        <v>0.0073499</v>
      </c>
      <c r="H83" s="44" t="n">
        <v>0.108998</v>
      </c>
      <c r="I83" s="44" t="n">
        <v>0.016281</v>
      </c>
      <c r="J83" s="44" t="n">
        <v>0.0073499</v>
      </c>
      <c r="K83" s="44" t="n">
        <v>0.107433</v>
      </c>
      <c r="L83" s="44" t="n">
        <v>0.0160501</v>
      </c>
      <c r="M83" s="44" t="n">
        <v>0.0073499</v>
      </c>
      <c r="N83" s="44" t="n">
        <v>0.109338</v>
      </c>
      <c r="O83" s="44" t="n">
        <v>0.0162041</v>
      </c>
      <c r="P83" s="44" t="n">
        <v>0.0073499</v>
      </c>
      <c r="Q83" s="44" t="n">
        <v>0.113497</v>
      </c>
      <c r="R83" s="44" t="n">
        <v>0.0165543</v>
      </c>
      <c r="S83" s="44" t="n">
        <v>0.0073499</v>
      </c>
      <c r="T83" s="44" t="n">
        <v>0.114659</v>
      </c>
      <c r="U83" s="44" t="n">
        <v>0.0166621</v>
      </c>
      <c r="V83" s="44" t="n">
        <v>0.0073499</v>
      </c>
      <c r="W83" s="44" t="n">
        <v>0.11144</v>
      </c>
      <c r="X83" s="44" t="n">
        <v>0.0163991</v>
      </c>
      <c r="Y83" s="44" t="n">
        <v>0.0073499</v>
      </c>
      <c r="Z83" s="44" t="n">
        <v>0.112289</v>
      </c>
      <c r="AA83" s="44" t="n">
        <v>0.0166214</v>
      </c>
      <c r="AB83" s="44" t="n">
        <v>0.0073499</v>
      </c>
      <c r="AC83" s="44" t="n">
        <v>0.108677</v>
      </c>
      <c r="AD83" s="44" t="n">
        <v>0.0163557</v>
      </c>
      <c r="AE83" s="44" t="n">
        <v>0.0073499</v>
      </c>
      <c r="AF83" s="44" t="n">
        <v>0.108567</v>
      </c>
      <c r="AG83" s="44" t="n">
        <v>0.0165365</v>
      </c>
      <c r="AH83" s="44" t="n">
        <v>0.0073499</v>
      </c>
      <c r="AI83" s="44" t="n">
        <v>0.10522</v>
      </c>
      <c r="AJ83" s="44" t="n">
        <v>0.0162705</v>
      </c>
      <c r="AK83" s="44" t="n">
        <v>0.0073499</v>
      </c>
      <c r="AL83" s="44" t="n">
        <v>0.104107</v>
      </c>
      <c r="AM83" s="44" t="n">
        <v>0.0162165</v>
      </c>
      <c r="AN83" s="44" t="n">
        <v>0.0073499</v>
      </c>
      <c r="AO83" s="44" t="n">
        <v>0.107342</v>
      </c>
      <c r="AP83" s="44" t="n">
        <v>0.0168815</v>
      </c>
      <c r="AQ83" s="44" t="n">
        <v>0.0073499</v>
      </c>
      <c r="AR83" s="44" t="n">
        <v>0.10401</v>
      </c>
      <c r="AS83" s="44" t="n">
        <v>0.0165768</v>
      </c>
      <c r="AT83" s="44" t="n">
        <v>0.0073499</v>
      </c>
      <c r="AU83" s="44" t="n">
        <v>0.100982</v>
      </c>
      <c r="AV83" s="44" t="n">
        <v>0.0163056</v>
      </c>
      <c r="AW83" s="44" t="n">
        <v>0.0073499</v>
      </c>
      <c r="AX83" s="44" t="n">
        <v>0.0985185</v>
      </c>
      <c r="AY83" s="44" t="n">
        <v>0.0160858</v>
      </c>
      <c r="AZ83" s="44" t="n">
        <v>0.0073499</v>
      </c>
      <c r="BA83" s="44" t="n">
        <v>0.102999</v>
      </c>
      <c r="BB83" s="44" t="n">
        <v>0.0168836</v>
      </c>
      <c r="BC83" s="44" t="n">
        <v>0.0073499</v>
      </c>
      <c r="BD83" s="44" t="n">
        <v>0.0982309</v>
      </c>
      <c r="BE83" s="44" t="n">
        <v>0.016378</v>
      </c>
      <c r="BF83" s="44" t="n">
        <v>0.0073499</v>
      </c>
      <c r="BG83" s="44" t="n">
        <v>0.0957513</v>
      </c>
      <c r="BH83" s="44" t="n">
        <v>0.0162223</v>
      </c>
      <c r="BI83" s="44" t="n">
        <v>0.0073499</v>
      </c>
      <c r="BJ83" s="44" t="n">
        <v>0.0971936</v>
      </c>
      <c r="BK83" s="44" t="n">
        <v>0.0165041</v>
      </c>
      <c r="BL83" s="44" t="n">
        <v>0.0073499</v>
      </c>
      <c r="BM83" s="44" t="n">
        <v>0.0970211</v>
      </c>
      <c r="BN83" s="44" t="n">
        <v>0.0166779</v>
      </c>
      <c r="BO83" s="44" t="n">
        <v>0.0073499</v>
      </c>
      <c r="BP83" s="44" t="n">
        <v>0.0937327</v>
      </c>
      <c r="BQ83" s="44" t="n">
        <v>0.0164317</v>
      </c>
      <c r="BR83" s="44" t="n">
        <v>0.0073499</v>
      </c>
      <c r="BS83" s="44" t="n">
        <v>0.0956838</v>
      </c>
      <c r="BT83" s="44" t="n">
        <v>0.0167151</v>
      </c>
      <c r="BU83" s="44" t="n">
        <v>0.0073499</v>
      </c>
      <c r="BV83" s="44" t="n">
        <v>0.0953629</v>
      </c>
      <c r="BW83" s="44" t="n">
        <v>0.016869</v>
      </c>
      <c r="BX83" s="44" t="n">
        <v>0.0073499</v>
      </c>
      <c r="BY83" s="44" t="n">
        <v>0.0926447</v>
      </c>
      <c r="BZ83" s="44" t="n">
        <v>0.0166361</v>
      </c>
      <c r="CA83" s="44" t="n">
        <v>0.0073499</v>
      </c>
      <c r="CB83" s="44" t="n">
        <v>0.0889418</v>
      </c>
      <c r="CC83" s="44" t="n">
        <v>0.0161555</v>
      </c>
      <c r="CD83" s="44" t="n">
        <v>0.0073499</v>
      </c>
      <c r="CE83" s="44" t="n">
        <v>0.0873491</v>
      </c>
      <c r="CF83" s="44" t="n">
        <v>0.0161424</v>
      </c>
      <c r="CG83" s="44" t="n">
        <v>0.0073499</v>
      </c>
      <c r="CH83" s="44" t="n">
        <v>0.0887297</v>
      </c>
      <c r="CI83" s="44" t="n">
        <v>0.0164147</v>
      </c>
      <c r="CJ83" s="44" t="n">
        <v>0.0073499</v>
      </c>
      <c r="CK83" s="44" t="n">
        <v>0.0889095</v>
      </c>
      <c r="CL83" s="44" t="n">
        <v>0.0166556</v>
      </c>
      <c r="CM83" s="44" t="n">
        <v>0.0073499</v>
      </c>
      <c r="CN83" s="44" t="n">
        <v>0.085756</v>
      </c>
      <c r="CO83" s="44" t="n">
        <v>0.0164399</v>
      </c>
      <c r="CP83" s="44" t="n">
        <v>0.0073499</v>
      </c>
      <c r="CQ83" s="44" t="n">
        <v>0.083422</v>
      </c>
      <c r="CR83" s="44" t="n">
        <v>0.0161908</v>
      </c>
      <c r="CS83" s="44" t="n">
        <v>0.0073499</v>
      </c>
      <c r="CT83" s="44" t="n">
        <v>0.0849746</v>
      </c>
      <c r="CU83" s="44" t="n">
        <v>0.016694</v>
      </c>
      <c r="CV83" s="44" t="n">
        <v>0.0073499</v>
      </c>
      <c r="CW83" s="44" t="n">
        <v>0.079189</v>
      </c>
      <c r="CX83" s="44" t="n">
        <v>0.0161012</v>
      </c>
    </row>
    <row collapsed="false" customFormat="false" customHeight="false" hidden="false" ht="12.75" outlineLevel="0" r="84">
      <c r="A84" s="44" t="n">
        <v>0.0074499</v>
      </c>
      <c r="B84" s="44" t="n">
        <v>0.0994477</v>
      </c>
      <c r="C84" s="44" t="n">
        <v>0.0152041</v>
      </c>
      <c r="D84" s="44" t="n">
        <v>0.0074499</v>
      </c>
      <c r="E84" s="44" t="n">
        <v>0.10349</v>
      </c>
      <c r="F84" s="44" t="n">
        <v>0.0156473</v>
      </c>
      <c r="G84" s="44" t="n">
        <v>0.0074499</v>
      </c>
      <c r="H84" s="44" t="n">
        <v>0.102953</v>
      </c>
      <c r="I84" s="44" t="n">
        <v>0.0155135</v>
      </c>
      <c r="J84" s="44" t="n">
        <v>0.0074499</v>
      </c>
      <c r="K84" s="44" t="n">
        <v>0.101066</v>
      </c>
      <c r="L84" s="44" t="n">
        <v>0.0152825</v>
      </c>
      <c r="M84" s="44" t="n">
        <v>0.0074499</v>
      </c>
      <c r="N84" s="44" t="n">
        <v>0.103073</v>
      </c>
      <c r="O84" s="44" t="n">
        <v>0.0154267</v>
      </c>
      <c r="P84" s="44" t="n">
        <v>0.0074499</v>
      </c>
      <c r="Q84" s="44" t="n">
        <v>0.106822</v>
      </c>
      <c r="R84" s="44" t="n">
        <v>0.0157789</v>
      </c>
      <c r="S84" s="44" t="n">
        <v>0.0074499</v>
      </c>
      <c r="T84" s="44" t="n">
        <v>0.108214</v>
      </c>
      <c r="U84" s="44" t="n">
        <v>0.0158721</v>
      </c>
      <c r="V84" s="44" t="n">
        <v>0.0074499</v>
      </c>
      <c r="W84" s="44" t="n">
        <v>0.105522</v>
      </c>
      <c r="X84" s="44" t="n">
        <v>0.0156247</v>
      </c>
      <c r="Y84" s="44" t="n">
        <v>0.0074499</v>
      </c>
      <c r="Z84" s="44" t="n">
        <v>0.105878</v>
      </c>
      <c r="AA84" s="44" t="n">
        <v>0.0158655</v>
      </c>
      <c r="AB84" s="44" t="n">
        <v>0.0074499</v>
      </c>
      <c r="AC84" s="44" t="n">
        <v>0.102837</v>
      </c>
      <c r="AD84" s="44" t="n">
        <v>0.015593</v>
      </c>
      <c r="AE84" s="44" t="n">
        <v>0.0074499</v>
      </c>
      <c r="AF84" s="44" t="n">
        <v>0.102742</v>
      </c>
      <c r="AG84" s="44" t="n">
        <v>0.0157552</v>
      </c>
      <c r="AH84" s="44" t="n">
        <v>0.0074499</v>
      </c>
      <c r="AI84" s="44" t="n">
        <v>0.0990139</v>
      </c>
      <c r="AJ84" s="44" t="n">
        <v>0.0155117</v>
      </c>
      <c r="AK84" s="44" t="n">
        <v>0.0074499</v>
      </c>
      <c r="AL84" s="44" t="n">
        <v>0.0981351</v>
      </c>
      <c r="AM84" s="44" t="n">
        <v>0.0154675</v>
      </c>
      <c r="AN84" s="44" t="n">
        <v>0.0074499</v>
      </c>
      <c r="AO84" s="44" t="n">
        <v>0.100887</v>
      </c>
      <c r="AP84" s="44" t="n">
        <v>0.0161178</v>
      </c>
      <c r="AQ84" s="44" t="n">
        <v>0.0074499</v>
      </c>
      <c r="AR84" s="44" t="n">
        <v>0.097843</v>
      </c>
      <c r="AS84" s="44" t="n">
        <v>0.0157848</v>
      </c>
      <c r="AT84" s="44" t="n">
        <v>0.0074499</v>
      </c>
      <c r="AU84" s="44" t="n">
        <v>0.095225</v>
      </c>
      <c r="AV84" s="44" t="n">
        <v>0.0155302</v>
      </c>
      <c r="AW84" s="44" t="n">
        <v>0.0074499</v>
      </c>
      <c r="AX84" s="44" t="n">
        <v>0.0929668</v>
      </c>
      <c r="AY84" s="44" t="n">
        <v>0.0153124</v>
      </c>
      <c r="AZ84" s="44" t="n">
        <v>0.0074499</v>
      </c>
      <c r="BA84" s="44" t="n">
        <v>0.0967976</v>
      </c>
      <c r="BB84" s="44" t="n">
        <v>0.0160799</v>
      </c>
      <c r="BC84" s="44" t="n">
        <v>0.0074499</v>
      </c>
      <c r="BD84" s="44" t="n">
        <v>0.092435</v>
      </c>
      <c r="BE84" s="44" t="n">
        <v>0.0155782</v>
      </c>
      <c r="BF84" s="44" t="n">
        <v>0.0074499</v>
      </c>
      <c r="BG84" s="44" t="n">
        <v>0.090053</v>
      </c>
      <c r="BH84" s="44" t="n">
        <v>0.0154801</v>
      </c>
      <c r="BI84" s="44" t="n">
        <v>0.0074499</v>
      </c>
      <c r="BJ84" s="44" t="n">
        <v>0.0912024</v>
      </c>
      <c r="BK84" s="44" t="n">
        <v>0.0157307</v>
      </c>
      <c r="BL84" s="44" t="n">
        <v>0.0074499</v>
      </c>
      <c r="BM84" s="44" t="n">
        <v>0.0913131</v>
      </c>
      <c r="BN84" s="44" t="n">
        <v>0.0158918</v>
      </c>
      <c r="BO84" s="44" t="n">
        <v>0.0074499</v>
      </c>
      <c r="BP84" s="44" t="n">
        <v>0.0881029</v>
      </c>
      <c r="BQ84" s="44" t="n">
        <v>0.0156582</v>
      </c>
      <c r="BR84" s="44" t="n">
        <v>0.0074499</v>
      </c>
      <c r="BS84" s="44" t="n">
        <v>0.0897463</v>
      </c>
      <c r="BT84" s="44" t="n">
        <v>0.0159309</v>
      </c>
      <c r="BU84" s="44" t="n">
        <v>0.0074499</v>
      </c>
      <c r="BV84" s="44" t="n">
        <v>0.0898258</v>
      </c>
      <c r="BW84" s="44" t="n">
        <v>0.0160779</v>
      </c>
      <c r="BX84" s="44" t="n">
        <v>0.0074499</v>
      </c>
      <c r="BY84" s="44" t="n">
        <v>0.0877472</v>
      </c>
      <c r="BZ84" s="44" t="n">
        <v>0.0158636</v>
      </c>
      <c r="CA84" s="44" t="n">
        <v>0.0074499</v>
      </c>
      <c r="CB84" s="44" t="n">
        <v>0.0837318</v>
      </c>
      <c r="CC84" s="44" t="n">
        <v>0.0153918</v>
      </c>
      <c r="CD84" s="44" t="n">
        <v>0.0074499</v>
      </c>
      <c r="CE84" s="44" t="n">
        <v>0.0820561</v>
      </c>
      <c r="CF84" s="44" t="n">
        <v>0.0153827</v>
      </c>
      <c r="CG84" s="44" t="n">
        <v>0.0074499</v>
      </c>
      <c r="CH84" s="44" t="n">
        <v>0.0834465</v>
      </c>
      <c r="CI84" s="44" t="n">
        <v>0.0156598</v>
      </c>
      <c r="CJ84" s="44" t="n">
        <v>0.0074499</v>
      </c>
      <c r="CK84" s="44" t="n">
        <v>0.0833577</v>
      </c>
      <c r="CL84" s="44" t="n">
        <v>0.0158451</v>
      </c>
      <c r="CM84" s="44" t="n">
        <v>0.0074499</v>
      </c>
      <c r="CN84" s="44" t="n">
        <v>0.080883</v>
      </c>
      <c r="CO84" s="44" t="n">
        <v>0.0156567</v>
      </c>
      <c r="CP84" s="44" t="n">
        <v>0.0074499</v>
      </c>
      <c r="CQ84" s="44" t="n">
        <v>0.0788224</v>
      </c>
      <c r="CR84" s="44" t="n">
        <v>0.0154388</v>
      </c>
      <c r="CS84" s="44" t="n">
        <v>0.0074499</v>
      </c>
      <c r="CT84" s="44" t="n">
        <v>0.079711</v>
      </c>
      <c r="CU84" s="44" t="n">
        <v>0.0159079</v>
      </c>
      <c r="CV84" s="44" t="n">
        <v>0.0074499</v>
      </c>
      <c r="CW84" s="44" t="n">
        <v>0.0740718</v>
      </c>
      <c r="CX84" s="44" t="n">
        <v>0.0153551</v>
      </c>
    </row>
    <row collapsed="false" customFormat="false" customHeight="false" hidden="false" ht="12.75" outlineLevel="0" r="85">
      <c r="A85" s="44" t="n">
        <v>0.0075499</v>
      </c>
      <c r="B85" s="44" t="n">
        <v>0.0936811</v>
      </c>
      <c r="C85" s="44" t="n">
        <v>0.0144853</v>
      </c>
      <c r="D85" s="44" t="n">
        <v>0.0075499</v>
      </c>
      <c r="E85" s="44" t="n">
        <v>0.0976896</v>
      </c>
      <c r="F85" s="44" t="n">
        <v>0.0149295</v>
      </c>
      <c r="G85" s="44" t="n">
        <v>0.0075499</v>
      </c>
      <c r="H85" s="44" t="n">
        <v>0.0972596</v>
      </c>
      <c r="I85" s="44" t="n">
        <v>0.0147674</v>
      </c>
      <c r="J85" s="44" t="n">
        <v>0.0075499</v>
      </c>
      <c r="K85" s="44" t="n">
        <v>0.09527</v>
      </c>
      <c r="L85" s="44" t="n">
        <v>0.0145706</v>
      </c>
      <c r="M85" s="44" t="n">
        <v>0.0075499</v>
      </c>
      <c r="N85" s="44" t="n">
        <v>0.0969404</v>
      </c>
      <c r="O85" s="44" t="n">
        <v>0.0146855</v>
      </c>
      <c r="P85" s="44" t="n">
        <v>0.0075499</v>
      </c>
      <c r="Q85" s="44" t="n">
        <v>0.100699</v>
      </c>
      <c r="R85" s="44" t="n">
        <v>0.0150309</v>
      </c>
      <c r="S85" s="44" t="n">
        <v>0.0075499</v>
      </c>
      <c r="T85" s="44" t="n">
        <v>0.1019</v>
      </c>
      <c r="U85" s="44" t="n">
        <v>0.0151495</v>
      </c>
      <c r="V85" s="44" t="n">
        <v>0.0075499</v>
      </c>
      <c r="W85" s="44" t="n">
        <v>0.098984</v>
      </c>
      <c r="X85" s="44" t="n">
        <v>0.0148737</v>
      </c>
      <c r="Y85" s="44" t="n">
        <v>0.0075499</v>
      </c>
      <c r="Z85" s="44" t="n">
        <v>0.099359</v>
      </c>
      <c r="AA85" s="44" t="n">
        <v>0.0150823</v>
      </c>
      <c r="AB85" s="44" t="n">
        <v>0.0075499</v>
      </c>
      <c r="AC85" s="44" t="n">
        <v>0.0965727</v>
      </c>
      <c r="AD85" s="44" t="n">
        <v>0.0148684</v>
      </c>
      <c r="AE85" s="44" t="n">
        <v>0.0075499</v>
      </c>
      <c r="AF85" s="44" t="n">
        <v>0.0964916</v>
      </c>
      <c r="AG85" s="44" t="n">
        <v>0.0150072</v>
      </c>
      <c r="AH85" s="44" t="n">
        <v>0.0075499</v>
      </c>
      <c r="AI85" s="44" t="n">
        <v>0.0933743</v>
      </c>
      <c r="AJ85" s="44" t="n">
        <v>0.0147607</v>
      </c>
      <c r="AK85" s="44" t="n">
        <v>0.0075499</v>
      </c>
      <c r="AL85" s="44" t="n">
        <v>0.0922123</v>
      </c>
      <c r="AM85" s="44" t="n">
        <v>0.0147175</v>
      </c>
      <c r="AN85" s="44" t="n">
        <v>0.0075499</v>
      </c>
      <c r="AO85" s="44" t="n">
        <v>0.0949157</v>
      </c>
      <c r="AP85" s="44" t="n">
        <v>0.0153395</v>
      </c>
      <c r="AQ85" s="44" t="n">
        <v>0.0075499</v>
      </c>
      <c r="AR85" s="44" t="n">
        <v>0.0919153</v>
      </c>
      <c r="AS85" s="44" t="n">
        <v>0.0150436</v>
      </c>
      <c r="AT85" s="44" t="n">
        <v>0.0075499</v>
      </c>
      <c r="AU85" s="44" t="n">
        <v>0.0894731</v>
      </c>
      <c r="AV85" s="44" t="n">
        <v>0.0148124</v>
      </c>
      <c r="AW85" s="44" t="n">
        <v>0.0075499</v>
      </c>
      <c r="AX85" s="44" t="n">
        <v>0.0871416</v>
      </c>
      <c r="AY85" s="44" t="n">
        <v>0.01462</v>
      </c>
      <c r="AZ85" s="44" t="n">
        <v>0.0075499</v>
      </c>
      <c r="BA85" s="44" t="n">
        <v>0.0912654</v>
      </c>
      <c r="BB85" s="44" t="n">
        <v>0.0153241</v>
      </c>
      <c r="BC85" s="44" t="n">
        <v>0.0075499</v>
      </c>
      <c r="BD85" s="44" t="n">
        <v>0.0870932</v>
      </c>
      <c r="BE85" s="44" t="n">
        <v>0.01488</v>
      </c>
      <c r="BF85" s="44" t="n">
        <v>0.0075499</v>
      </c>
      <c r="BG85" s="44" t="n">
        <v>0.0845989</v>
      </c>
      <c r="BH85" s="44" t="n">
        <v>0.0147467</v>
      </c>
      <c r="BI85" s="44" t="n">
        <v>0.0075499</v>
      </c>
      <c r="BJ85" s="44" t="n">
        <v>0.0857678</v>
      </c>
      <c r="BK85" s="44" t="n">
        <v>0.0149709</v>
      </c>
      <c r="BL85" s="44" t="n">
        <v>0.0075499</v>
      </c>
      <c r="BM85" s="44" t="n">
        <v>0.0857906</v>
      </c>
      <c r="BN85" s="44" t="n">
        <v>0.0151584</v>
      </c>
      <c r="BO85" s="44" t="n">
        <v>0.0075499</v>
      </c>
      <c r="BP85" s="44" t="n">
        <v>0.0830638</v>
      </c>
      <c r="BQ85" s="44" t="n">
        <v>0.014916</v>
      </c>
      <c r="BR85" s="44" t="n">
        <v>0.0075499</v>
      </c>
      <c r="BS85" s="44" t="n">
        <v>0.0844289</v>
      </c>
      <c r="BT85" s="44" t="n">
        <v>0.0151858</v>
      </c>
      <c r="BU85" s="44" t="n">
        <v>0.0075499</v>
      </c>
      <c r="BV85" s="44" t="n">
        <v>0.0843375</v>
      </c>
      <c r="BW85" s="44" t="n">
        <v>0.0152889</v>
      </c>
      <c r="BX85" s="44" t="n">
        <v>0.0075499</v>
      </c>
      <c r="BY85" s="44" t="n">
        <v>0.0821125</v>
      </c>
      <c r="BZ85" s="44" t="n">
        <v>0.0150911</v>
      </c>
      <c r="CA85" s="44" t="n">
        <v>0.0075499</v>
      </c>
      <c r="CB85" s="44" t="n">
        <v>0.0786488</v>
      </c>
      <c r="CC85" s="44" t="n">
        <v>0.0146633</v>
      </c>
      <c r="CD85" s="44" t="n">
        <v>0.0075499</v>
      </c>
      <c r="CE85" s="44" t="n">
        <v>0.0775346</v>
      </c>
      <c r="CF85" s="44" t="n">
        <v>0.0146424</v>
      </c>
      <c r="CG85" s="44" t="n">
        <v>0.0075499</v>
      </c>
      <c r="CH85" s="44" t="n">
        <v>0.0784514</v>
      </c>
      <c r="CI85" s="44" t="n">
        <v>0.0149205</v>
      </c>
      <c r="CJ85" s="44" t="n">
        <v>0.0075499</v>
      </c>
      <c r="CK85" s="44" t="n">
        <v>0.0786605</v>
      </c>
      <c r="CL85" s="44" t="n">
        <v>0.0151185</v>
      </c>
      <c r="CM85" s="44" t="n">
        <v>0.0075499</v>
      </c>
      <c r="CN85" s="44" t="n">
        <v>0.076093</v>
      </c>
      <c r="CO85" s="44" t="n">
        <v>0.0148969</v>
      </c>
      <c r="CP85" s="44" t="n">
        <v>0.0075499</v>
      </c>
      <c r="CQ85" s="44" t="n">
        <v>0.074379</v>
      </c>
      <c r="CR85" s="44" t="n">
        <v>0.0147006</v>
      </c>
      <c r="CS85" s="44" t="n">
        <v>0.0075499</v>
      </c>
      <c r="CT85" s="44" t="n">
        <v>0.074252</v>
      </c>
      <c r="CU85" s="44" t="n">
        <v>0.0151501</v>
      </c>
      <c r="CV85" s="44" t="n">
        <v>0.0075499</v>
      </c>
      <c r="CW85" s="44" t="n">
        <v>0.0699214</v>
      </c>
      <c r="CX85" s="44" t="n">
        <v>0.0146227</v>
      </c>
    </row>
    <row collapsed="false" customFormat="false" customHeight="false" hidden="false" ht="12.75" outlineLevel="0" r="86">
      <c r="A86" s="44" t="n">
        <v>0.0076499</v>
      </c>
      <c r="B86" s="44" t="n">
        <v>0.0883686</v>
      </c>
      <c r="C86" s="44" t="n">
        <v>0.0137988</v>
      </c>
      <c r="D86" s="44" t="n">
        <v>0.0076499</v>
      </c>
      <c r="E86" s="44" t="n">
        <v>0.0919328</v>
      </c>
      <c r="F86" s="44" t="n">
        <v>0.0142</v>
      </c>
      <c r="G86" s="44" t="n">
        <v>0.0076499</v>
      </c>
      <c r="H86" s="44" t="n">
        <v>0.0917323</v>
      </c>
      <c r="I86" s="44" t="n">
        <v>0.0140896</v>
      </c>
      <c r="J86" s="44" t="n">
        <v>0.0076499</v>
      </c>
      <c r="K86" s="44" t="n">
        <v>0.0903091</v>
      </c>
      <c r="L86" s="44" t="n">
        <v>0.0138665</v>
      </c>
      <c r="M86" s="44" t="n">
        <v>0.0076499</v>
      </c>
      <c r="N86" s="44" t="n">
        <v>0.0914961</v>
      </c>
      <c r="O86" s="44" t="n">
        <v>0.0140068</v>
      </c>
      <c r="P86" s="44" t="n">
        <v>0.0076499</v>
      </c>
      <c r="Q86" s="44" t="n">
        <v>0.0953185</v>
      </c>
      <c r="R86" s="44" t="n">
        <v>0.014316</v>
      </c>
      <c r="S86" s="44" t="n">
        <v>0.0076499</v>
      </c>
      <c r="T86" s="44" t="n">
        <v>0.0959285</v>
      </c>
      <c r="U86" s="44" t="n">
        <v>0.0144209</v>
      </c>
      <c r="V86" s="44" t="n">
        <v>0.0076499</v>
      </c>
      <c r="W86" s="44" t="n">
        <v>0.0935397</v>
      </c>
      <c r="X86" s="44" t="n">
        <v>0.0141764</v>
      </c>
      <c r="Y86" s="44" t="n">
        <v>0.0076499</v>
      </c>
      <c r="Z86" s="44" t="n">
        <v>0.0937926</v>
      </c>
      <c r="AA86" s="44" t="n">
        <v>0.0143909</v>
      </c>
      <c r="AB86" s="44" t="n">
        <v>0.0076499</v>
      </c>
      <c r="AC86" s="44" t="n">
        <v>0.0909819</v>
      </c>
      <c r="AD86" s="44" t="n">
        <v>0.0141662</v>
      </c>
      <c r="AE86" s="44" t="n">
        <v>0.0076499</v>
      </c>
      <c r="AF86" s="44" t="n">
        <v>0.0907348</v>
      </c>
      <c r="AG86" s="44" t="n">
        <v>0.0142855</v>
      </c>
      <c r="AH86" s="44" t="n">
        <v>0.0076499</v>
      </c>
      <c r="AI86" s="44" t="n">
        <v>0.0878714</v>
      </c>
      <c r="AJ86" s="44" t="n">
        <v>0.0140615</v>
      </c>
      <c r="AK86" s="44" t="n">
        <v>0.0076499</v>
      </c>
      <c r="AL86" s="44" t="n">
        <v>0.0870072</v>
      </c>
      <c r="AM86" s="44" t="n">
        <v>0.0140241</v>
      </c>
      <c r="AN86" s="44" t="n">
        <v>0.0076499</v>
      </c>
      <c r="AO86" s="44" t="n">
        <v>0.0894127</v>
      </c>
      <c r="AP86" s="44" t="n">
        <v>0.0146256</v>
      </c>
      <c r="AQ86" s="44" t="n">
        <v>0.0076499</v>
      </c>
      <c r="AR86" s="44" t="n">
        <v>0.0866077</v>
      </c>
      <c r="AS86" s="44" t="n">
        <v>0.0143229</v>
      </c>
      <c r="AT86" s="44" t="n">
        <v>0.0076499</v>
      </c>
      <c r="AU86" s="44" t="n">
        <v>0.0843266</v>
      </c>
      <c r="AV86" s="44" t="n">
        <v>0.0141025</v>
      </c>
      <c r="AW86" s="44" t="n">
        <v>0.0076499</v>
      </c>
      <c r="AX86" s="44" t="n">
        <v>0.0821904</v>
      </c>
      <c r="AY86" s="44" t="n">
        <v>0.0139061</v>
      </c>
      <c r="AZ86" s="44" t="n">
        <v>0.0076499</v>
      </c>
      <c r="BA86" s="44" t="n">
        <v>0.0859089</v>
      </c>
      <c r="BB86" s="44" t="n">
        <v>0.014618</v>
      </c>
      <c r="BC86" s="44" t="n">
        <v>0.0076499</v>
      </c>
      <c r="BD86" s="44" t="n">
        <v>0.0822983</v>
      </c>
      <c r="BE86" s="44" t="n">
        <v>0.0141886</v>
      </c>
      <c r="BF86" s="44" t="n">
        <v>0.0076499</v>
      </c>
      <c r="BG86" s="44" t="n">
        <v>0.0793499</v>
      </c>
      <c r="BH86" s="44" t="n">
        <v>0.0140494</v>
      </c>
      <c r="BI86" s="44" t="n">
        <v>0.0076499</v>
      </c>
      <c r="BJ86" s="44" t="n">
        <v>0.0803674</v>
      </c>
      <c r="BK86" s="44" t="n">
        <v>0.0142697</v>
      </c>
      <c r="BL86" s="44" t="n">
        <v>0.0076499</v>
      </c>
      <c r="BM86" s="44" t="n">
        <v>0.0807662</v>
      </c>
      <c r="BN86" s="44" t="n">
        <v>0.0144201</v>
      </c>
      <c r="BO86" s="44" t="n">
        <v>0.0076499</v>
      </c>
      <c r="BP86" s="44" t="n">
        <v>0.0780736</v>
      </c>
      <c r="BQ86" s="44" t="n">
        <v>0.0142061</v>
      </c>
      <c r="BR86" s="44" t="n">
        <v>0.0076499</v>
      </c>
      <c r="BS86" s="44" t="n">
        <v>0.0795119</v>
      </c>
      <c r="BT86" s="44" t="n">
        <v>0.0144485</v>
      </c>
      <c r="BU86" s="44" t="n">
        <v>0.0076499</v>
      </c>
      <c r="BV86" s="44" t="n">
        <v>0.0795572</v>
      </c>
      <c r="BW86" s="44" t="n">
        <v>0.0145789</v>
      </c>
      <c r="BX86" s="44" t="n">
        <v>0.0076499</v>
      </c>
      <c r="BY86" s="44" t="n">
        <v>0.0771662</v>
      </c>
      <c r="BZ86" s="44" t="n">
        <v>0.0143841</v>
      </c>
      <c r="CA86" s="44" t="n">
        <v>0.0076499</v>
      </c>
      <c r="CB86" s="44" t="n">
        <v>0.0736391</v>
      </c>
      <c r="CC86" s="44" t="n">
        <v>0.0139573</v>
      </c>
      <c r="CD86" s="44" t="n">
        <v>0.0076499</v>
      </c>
      <c r="CE86" s="44" t="n">
        <v>0.0729106</v>
      </c>
      <c r="CF86" s="44" t="n">
        <v>0.0139715</v>
      </c>
      <c r="CG86" s="44" t="n">
        <v>0.0076499</v>
      </c>
      <c r="CH86" s="44" t="n">
        <v>0.0737737</v>
      </c>
      <c r="CI86" s="44" t="n">
        <v>0.0142106</v>
      </c>
      <c r="CJ86" s="44" t="n">
        <v>0.0076499</v>
      </c>
      <c r="CK86" s="44" t="n">
        <v>0.0737923</v>
      </c>
      <c r="CL86" s="44" t="n">
        <v>0.0143861</v>
      </c>
      <c r="CM86" s="44" t="n">
        <v>0.0076499</v>
      </c>
      <c r="CN86" s="44" t="n">
        <v>0.0711418</v>
      </c>
      <c r="CO86" s="44" t="n">
        <v>0.0141938</v>
      </c>
      <c r="CP86" s="44" t="n">
        <v>0.0076499</v>
      </c>
      <c r="CQ86" s="44" t="n">
        <v>0.0693351</v>
      </c>
      <c r="CR86" s="44" t="n">
        <v>0.0140092</v>
      </c>
      <c r="CS86" s="44" t="n">
        <v>0.0076499</v>
      </c>
      <c r="CT86" s="44" t="n">
        <v>0.0703018</v>
      </c>
      <c r="CU86" s="44" t="n">
        <v>0.0144606</v>
      </c>
      <c r="CV86" s="44" t="n">
        <v>0.0076499</v>
      </c>
      <c r="CW86" s="44" t="n">
        <v>0.0656245</v>
      </c>
      <c r="CX86" s="44" t="n">
        <v>0.0139381</v>
      </c>
    </row>
    <row collapsed="false" customFormat="false" customHeight="false" hidden="false" ht="12.75" outlineLevel="0" r="87">
      <c r="A87" s="44" t="n">
        <v>0.0077499</v>
      </c>
      <c r="B87" s="44" t="n">
        <v>0.0829682</v>
      </c>
      <c r="C87" s="44" t="n">
        <v>0.013166</v>
      </c>
      <c r="D87" s="44" t="n">
        <v>0.0077499</v>
      </c>
      <c r="E87" s="44" t="n">
        <v>0.0866984</v>
      </c>
      <c r="F87" s="44" t="n">
        <v>0.0135018</v>
      </c>
      <c r="G87" s="44" t="n">
        <v>0.0077499</v>
      </c>
      <c r="H87" s="44" t="n">
        <v>0.0863856</v>
      </c>
      <c r="I87" s="44" t="n">
        <v>0.0134178</v>
      </c>
      <c r="J87" s="44" t="n">
        <v>0.0077499</v>
      </c>
      <c r="K87" s="44" t="n">
        <v>0.0848452</v>
      </c>
      <c r="L87" s="44" t="n">
        <v>0.0132014</v>
      </c>
      <c r="M87" s="44" t="n">
        <v>0.0077499</v>
      </c>
      <c r="N87" s="44" t="n">
        <v>0.0860713</v>
      </c>
      <c r="O87" s="44" t="n">
        <v>0.0133349</v>
      </c>
      <c r="P87" s="44" t="n">
        <v>0.0077499</v>
      </c>
      <c r="Q87" s="44" t="n">
        <v>0.0896935</v>
      </c>
      <c r="R87" s="44" t="n">
        <v>0.0136305</v>
      </c>
      <c r="S87" s="44" t="n">
        <v>0.0077499</v>
      </c>
      <c r="T87" s="44" t="n">
        <v>0.0902986</v>
      </c>
      <c r="U87" s="44" t="n">
        <v>0.0137217</v>
      </c>
      <c r="V87" s="44" t="n">
        <v>0.0077499</v>
      </c>
      <c r="W87" s="44" t="n">
        <v>0.0879831</v>
      </c>
      <c r="X87" s="44" t="n">
        <v>0.0134792</v>
      </c>
      <c r="Y87" s="44" t="n">
        <v>0.0077499</v>
      </c>
      <c r="Z87" s="44" t="n">
        <v>0.0880895</v>
      </c>
      <c r="AA87" s="44" t="n">
        <v>0.0136985</v>
      </c>
      <c r="AB87" s="44" t="n">
        <v>0.0077499</v>
      </c>
      <c r="AC87" s="44" t="n">
        <v>0.0860258</v>
      </c>
      <c r="AD87" s="44" t="n">
        <v>0.0134553</v>
      </c>
      <c r="AE87" s="44" t="n">
        <v>0.0077499</v>
      </c>
      <c r="AF87" s="44" t="n">
        <v>0.0857445</v>
      </c>
      <c r="AG87" s="44" t="n">
        <v>0.0136205</v>
      </c>
      <c r="AH87" s="44" t="n">
        <v>0.0077499</v>
      </c>
      <c r="AI87" s="44" t="n">
        <v>0.0825686</v>
      </c>
      <c r="AJ87" s="44" t="n">
        <v>0.0133662</v>
      </c>
      <c r="AK87" s="44" t="n">
        <v>0.0077499</v>
      </c>
      <c r="AL87" s="44" t="n">
        <v>0.0819144</v>
      </c>
      <c r="AM87" s="44" t="n">
        <v>0.0133523</v>
      </c>
      <c r="AN87" s="44" t="n">
        <v>0.0077499</v>
      </c>
      <c r="AO87" s="44" t="n">
        <v>0.0841539</v>
      </c>
      <c r="AP87" s="44" t="n">
        <v>0.0139069</v>
      </c>
      <c r="AQ87" s="44" t="n">
        <v>0.0077499</v>
      </c>
      <c r="AR87" s="44" t="n">
        <v>0.0816418</v>
      </c>
      <c r="AS87" s="44" t="n">
        <v>0.0136617</v>
      </c>
      <c r="AT87" s="44" t="n">
        <v>0.0077499</v>
      </c>
      <c r="AU87" s="44" t="n">
        <v>0.0792875</v>
      </c>
      <c r="AV87" s="44" t="n">
        <v>0.0134267</v>
      </c>
      <c r="AW87" s="44" t="n">
        <v>0.0077499</v>
      </c>
      <c r="AX87" s="44" t="n">
        <v>0.076663</v>
      </c>
      <c r="AY87" s="44" t="n">
        <v>0.0132235</v>
      </c>
      <c r="AZ87" s="44" t="n">
        <v>0.0077499</v>
      </c>
      <c r="BA87" s="44" t="n">
        <v>0.0807185</v>
      </c>
      <c r="BB87" s="44" t="n">
        <v>0.0139169</v>
      </c>
      <c r="BC87" s="44" t="n">
        <v>0.0077499</v>
      </c>
      <c r="BD87" s="44" t="n">
        <v>0.0770444</v>
      </c>
      <c r="BE87" s="44" t="n">
        <v>0.0135108</v>
      </c>
      <c r="BF87" s="44" t="n">
        <v>0.0077499</v>
      </c>
      <c r="BG87" s="44" t="n">
        <v>0.0749993</v>
      </c>
      <c r="BH87" s="44" t="n">
        <v>0.0133688</v>
      </c>
      <c r="BI87" s="44" t="n">
        <v>0.0077499</v>
      </c>
      <c r="BJ87" s="44" t="n">
        <v>0.0753381</v>
      </c>
      <c r="BK87" s="44" t="n">
        <v>0.0135773</v>
      </c>
      <c r="BL87" s="44" t="n">
        <v>0.0077499</v>
      </c>
      <c r="BM87" s="44" t="n">
        <v>0.0756002</v>
      </c>
      <c r="BN87" s="44" t="n">
        <v>0.0137443</v>
      </c>
      <c r="BO87" s="44" t="n">
        <v>0.0077499</v>
      </c>
      <c r="BP87" s="44" t="n">
        <v>0.0731712</v>
      </c>
      <c r="BQ87" s="44" t="n">
        <v>0.0135196</v>
      </c>
      <c r="BR87" s="44" t="n">
        <v>0.0077499</v>
      </c>
      <c r="BS87" s="44" t="n">
        <v>0.07459</v>
      </c>
      <c r="BT87" s="44" t="n">
        <v>0.0137513</v>
      </c>
      <c r="BU87" s="44" t="n">
        <v>0.0077499</v>
      </c>
      <c r="BV87" s="44" t="n">
        <v>0.0748014</v>
      </c>
      <c r="BW87" s="44" t="n">
        <v>0.0138904</v>
      </c>
      <c r="BX87" s="44" t="n">
        <v>0.0077499</v>
      </c>
      <c r="BY87" s="44" t="n">
        <v>0.072425</v>
      </c>
      <c r="BZ87" s="44" t="n">
        <v>0.0136956</v>
      </c>
      <c r="CA87" s="44" t="n">
        <v>0.0077499</v>
      </c>
      <c r="CB87" s="44" t="n">
        <v>0.0693861</v>
      </c>
      <c r="CC87" s="44" t="n">
        <v>0.013302</v>
      </c>
      <c r="CD87" s="44" t="n">
        <v>0.0077499</v>
      </c>
      <c r="CE87" s="44" t="n">
        <v>0.068643</v>
      </c>
      <c r="CF87" s="44" t="n">
        <v>0.0132811</v>
      </c>
      <c r="CG87" s="44" t="n">
        <v>0.0077499</v>
      </c>
      <c r="CH87" s="44" t="n">
        <v>0.0691741</v>
      </c>
      <c r="CI87" s="44" t="n">
        <v>0.013527</v>
      </c>
      <c r="CJ87" s="44" t="n">
        <v>0.0077499</v>
      </c>
      <c r="CK87" s="44" t="n">
        <v>0.0689827</v>
      </c>
      <c r="CL87" s="44" t="n">
        <v>0.0137289</v>
      </c>
      <c r="CM87" s="44" t="n">
        <v>0.0077499</v>
      </c>
      <c r="CN87" s="44" t="n">
        <v>0.0667863</v>
      </c>
      <c r="CO87" s="44" t="n">
        <v>0.0135219</v>
      </c>
      <c r="CP87" s="44" t="n">
        <v>0.0077499</v>
      </c>
      <c r="CQ87" s="44" t="n">
        <v>0.0656193</v>
      </c>
      <c r="CR87" s="44" t="n">
        <v>0.013349</v>
      </c>
      <c r="CS87" s="44" t="n">
        <v>0.0077499</v>
      </c>
      <c r="CT87" s="44" t="n">
        <v>0.0659512</v>
      </c>
      <c r="CU87" s="44" t="n">
        <v>0.013737</v>
      </c>
      <c r="CV87" s="44" t="n">
        <v>0.0077499</v>
      </c>
      <c r="CW87" s="44" t="n">
        <v>0.061396</v>
      </c>
      <c r="CX87" s="44" t="n">
        <v>0.0132633</v>
      </c>
    </row>
    <row collapsed="false" customFormat="false" customHeight="false" hidden="false" ht="12.75" outlineLevel="0" r="88">
      <c r="A88" s="44" t="n">
        <v>0.0078499</v>
      </c>
      <c r="B88" s="44" t="n">
        <v>0.0782856</v>
      </c>
      <c r="C88" s="44" t="n">
        <v>0.0125254</v>
      </c>
      <c r="D88" s="44" t="n">
        <v>0.0078499</v>
      </c>
      <c r="E88" s="44" t="n">
        <v>0.0817619</v>
      </c>
      <c r="F88" s="44" t="n">
        <v>0.01287</v>
      </c>
      <c r="G88" s="44" t="n">
        <v>0.0078499</v>
      </c>
      <c r="H88" s="44" t="n">
        <v>0.081537</v>
      </c>
      <c r="I88" s="44" t="n">
        <v>0.0127586</v>
      </c>
      <c r="J88" s="44" t="n">
        <v>0.0078499</v>
      </c>
      <c r="K88" s="44" t="n">
        <v>0.0797329</v>
      </c>
      <c r="L88" s="44" t="n">
        <v>0.012551</v>
      </c>
      <c r="M88" s="44" t="n">
        <v>0.0078499</v>
      </c>
      <c r="N88" s="44" t="n">
        <v>0.0810567</v>
      </c>
      <c r="O88" s="44" t="n">
        <v>0.0126894</v>
      </c>
      <c r="P88" s="44" t="n">
        <v>0.0078499</v>
      </c>
      <c r="Q88" s="44" t="n">
        <v>0.0846496</v>
      </c>
      <c r="R88" s="44" t="n">
        <v>0.0129645</v>
      </c>
      <c r="S88" s="44" t="n">
        <v>0.0078499</v>
      </c>
      <c r="T88" s="44" t="n">
        <v>0.0851766</v>
      </c>
      <c r="U88" s="44" t="n">
        <v>0.0130811</v>
      </c>
      <c r="V88" s="44" t="n">
        <v>0.0078499</v>
      </c>
      <c r="W88" s="44" t="n">
        <v>0.0827829</v>
      </c>
      <c r="X88" s="44" t="n">
        <v>0.0128639</v>
      </c>
      <c r="Y88" s="44" t="n">
        <v>0.0078499</v>
      </c>
      <c r="Z88" s="44" t="n">
        <v>0.0828356</v>
      </c>
      <c r="AA88" s="44" t="n">
        <v>0.0130179</v>
      </c>
      <c r="AB88" s="44" t="n">
        <v>0.0078499</v>
      </c>
      <c r="AC88" s="44" t="n">
        <v>0.0809916</v>
      </c>
      <c r="AD88" s="44" t="n">
        <v>0.012843</v>
      </c>
      <c r="AE88" s="44" t="n">
        <v>0.0078499</v>
      </c>
      <c r="AF88" s="44" t="n">
        <v>0.0802709</v>
      </c>
      <c r="AG88" s="44" t="n">
        <v>0.0129379</v>
      </c>
      <c r="AH88" s="44" t="n">
        <v>0.0078499</v>
      </c>
      <c r="AI88" s="44" t="n">
        <v>0.077637</v>
      </c>
      <c r="AJ88" s="44" t="n">
        <v>0.0127695</v>
      </c>
      <c r="AK88" s="44" t="n">
        <v>0.0078499</v>
      </c>
      <c r="AL88" s="44" t="n">
        <v>0.0771293</v>
      </c>
      <c r="AM88" s="44" t="n">
        <v>0.012698</v>
      </c>
      <c r="AN88" s="44" t="n">
        <v>0.0078499</v>
      </c>
      <c r="AO88" s="44" t="n">
        <v>0.0792125</v>
      </c>
      <c r="AP88" s="44" t="n">
        <v>0.0132565</v>
      </c>
      <c r="AQ88" s="44" t="n">
        <v>0.0078499</v>
      </c>
      <c r="AR88" s="44" t="n">
        <v>0.0768176</v>
      </c>
      <c r="AS88" s="44" t="n">
        <v>0.0129869</v>
      </c>
      <c r="AT88" s="44" t="n">
        <v>0.0078499</v>
      </c>
      <c r="AU88" s="44" t="n">
        <v>0.0744829</v>
      </c>
      <c r="AV88" s="44" t="n">
        <v>0.0127841</v>
      </c>
      <c r="AW88" s="44" t="n">
        <v>0.0078499</v>
      </c>
      <c r="AX88" s="44" t="n">
        <v>0.0727959</v>
      </c>
      <c r="AY88" s="44" t="n">
        <v>0.0126083</v>
      </c>
      <c r="AZ88" s="44" t="n">
        <v>0.0078499</v>
      </c>
      <c r="BA88" s="44" t="n">
        <v>0.0760017</v>
      </c>
      <c r="BB88" s="44" t="n">
        <v>0.0132411</v>
      </c>
      <c r="BC88" s="44" t="n">
        <v>0.0078499</v>
      </c>
      <c r="BD88" s="44" t="n">
        <v>0.0723471</v>
      </c>
      <c r="BE88" s="44" t="n">
        <v>0.0128536</v>
      </c>
      <c r="BF88" s="44" t="n">
        <v>0.0078499</v>
      </c>
      <c r="BG88" s="44" t="n">
        <v>0.0703899</v>
      </c>
      <c r="BH88" s="44" t="n">
        <v>0.0127379</v>
      </c>
      <c r="BI88" s="44" t="n">
        <v>0.0078499</v>
      </c>
      <c r="BJ88" s="44" t="n">
        <v>0.0708801</v>
      </c>
      <c r="BK88" s="44" t="n">
        <v>0.0129065</v>
      </c>
      <c r="BL88" s="44" t="n">
        <v>0.0078499</v>
      </c>
      <c r="BM88" s="44" t="n">
        <v>0.0707223</v>
      </c>
      <c r="BN88" s="44" t="n">
        <v>0.0130871</v>
      </c>
      <c r="BO88" s="44" t="n">
        <v>0.0078499</v>
      </c>
      <c r="BP88" s="44" t="n">
        <v>0.0690355</v>
      </c>
      <c r="BQ88" s="44" t="n">
        <v>0.0128701</v>
      </c>
      <c r="BR88" s="44" t="n">
        <v>0.0078499</v>
      </c>
      <c r="BS88" s="44" t="n">
        <v>0.0701125</v>
      </c>
      <c r="BT88" s="44" t="n">
        <v>0.0130872</v>
      </c>
      <c r="BU88" s="44" t="n">
        <v>0.0078499</v>
      </c>
      <c r="BV88" s="44" t="n">
        <v>0.0697721</v>
      </c>
      <c r="BW88" s="44" t="n">
        <v>0.0132371</v>
      </c>
      <c r="BX88" s="44" t="n">
        <v>0.0078499</v>
      </c>
      <c r="BY88" s="44" t="n">
        <v>0.0681037</v>
      </c>
      <c r="BZ88" s="44" t="n">
        <v>0.0130384</v>
      </c>
      <c r="CA88" s="44" t="n">
        <v>0.0078499</v>
      </c>
      <c r="CB88" s="44" t="n">
        <v>0.0651772</v>
      </c>
      <c r="CC88" s="44" t="n">
        <v>0.0126584</v>
      </c>
      <c r="CD88" s="44" t="n">
        <v>0.0078499</v>
      </c>
      <c r="CE88" s="44" t="n">
        <v>0.0642241</v>
      </c>
      <c r="CF88" s="44" t="n">
        <v>0.0126727</v>
      </c>
      <c r="CG88" s="44" t="n">
        <v>0.0078499</v>
      </c>
      <c r="CH88" s="44" t="n">
        <v>0.0648381</v>
      </c>
      <c r="CI88" s="44" t="n">
        <v>0.0128854</v>
      </c>
      <c r="CJ88" s="44" t="n">
        <v>0.0078499</v>
      </c>
      <c r="CK88" s="44" t="n">
        <v>0.0648323</v>
      </c>
      <c r="CL88" s="44" t="n">
        <v>0.0130355</v>
      </c>
      <c r="CM88" s="44" t="n">
        <v>0.0078499</v>
      </c>
      <c r="CN88" s="44" t="n">
        <v>0.0630949</v>
      </c>
      <c r="CO88" s="44" t="n">
        <v>0.01285</v>
      </c>
      <c r="CP88" s="44" t="n">
        <v>0.0078499</v>
      </c>
      <c r="CQ88" s="44" t="n">
        <v>0.061049</v>
      </c>
      <c r="CR88" s="44" t="n">
        <v>0.0126918</v>
      </c>
      <c r="CS88" s="44" t="n">
        <v>0.0078499</v>
      </c>
      <c r="CT88" s="44" t="n">
        <v>0.0618936</v>
      </c>
      <c r="CU88" s="44" t="n">
        <v>0.0130983</v>
      </c>
      <c r="CV88" s="44" t="n">
        <v>0.0078499</v>
      </c>
      <c r="CW88" s="44" t="n">
        <v>0.0576607</v>
      </c>
      <c r="CX88" s="44" t="n">
        <v>0.0126383</v>
      </c>
    </row>
    <row collapsed="false" customFormat="false" customHeight="false" hidden="false" ht="12.75" outlineLevel="0" r="89">
      <c r="A89" s="44" t="n">
        <v>0.0079499</v>
      </c>
      <c r="B89" s="44" t="n">
        <v>0.0736127</v>
      </c>
      <c r="C89" s="44" t="n">
        <v>0.0119111</v>
      </c>
      <c r="D89" s="44" t="n">
        <v>0.0079499</v>
      </c>
      <c r="E89" s="44" t="n">
        <v>0.0770646</v>
      </c>
      <c r="F89" s="44" t="n">
        <v>0.0122498</v>
      </c>
      <c r="G89" s="44" t="n">
        <v>0.0079499</v>
      </c>
      <c r="H89" s="44" t="n">
        <v>0.0765223</v>
      </c>
      <c r="I89" s="44" t="n">
        <v>0.0121512</v>
      </c>
      <c r="J89" s="44" t="n">
        <v>0.0079499</v>
      </c>
      <c r="K89" s="44" t="n">
        <v>0.075143</v>
      </c>
      <c r="L89" s="44" t="n">
        <v>0.0119339</v>
      </c>
      <c r="M89" s="44" t="n">
        <v>0.0079499</v>
      </c>
      <c r="N89" s="44" t="n">
        <v>0.0767793</v>
      </c>
      <c r="O89" s="44" t="n">
        <v>0.012083</v>
      </c>
      <c r="P89" s="44" t="n">
        <v>0.0079499</v>
      </c>
      <c r="Q89" s="44" t="n">
        <v>0.0797521</v>
      </c>
      <c r="R89" s="44" t="n">
        <v>0.0123473</v>
      </c>
      <c r="S89" s="44" t="n">
        <v>0.0079499</v>
      </c>
      <c r="T89" s="44" t="n">
        <v>0.0797566</v>
      </c>
      <c r="U89" s="44" t="n">
        <v>0.0124434</v>
      </c>
      <c r="V89" s="44" t="n">
        <v>0.0079499</v>
      </c>
      <c r="W89" s="44" t="n">
        <v>0.0779147</v>
      </c>
      <c r="X89" s="44" t="n">
        <v>0.0122409</v>
      </c>
      <c r="Y89" s="44" t="n">
        <v>0.0079499</v>
      </c>
      <c r="Z89" s="44" t="n">
        <v>0.0784069</v>
      </c>
      <c r="AA89" s="44" t="n">
        <v>0.0124036</v>
      </c>
      <c r="AB89" s="44" t="n">
        <v>0.0079499</v>
      </c>
      <c r="AC89" s="44" t="n">
        <v>0.0763481</v>
      </c>
      <c r="AD89" s="44" t="n">
        <v>0.0122346</v>
      </c>
      <c r="AE89" s="44" t="n">
        <v>0.0079499</v>
      </c>
      <c r="AF89" s="44" t="n">
        <v>0.0757689</v>
      </c>
      <c r="AG89" s="44" t="n">
        <v>0.0123168</v>
      </c>
      <c r="AH89" s="44" t="n">
        <v>0.0079499</v>
      </c>
      <c r="AI89" s="44" t="n">
        <v>0.0731497</v>
      </c>
      <c r="AJ89" s="44" t="n">
        <v>0.0121709</v>
      </c>
      <c r="AK89" s="44" t="n">
        <v>0.0079499</v>
      </c>
      <c r="AL89" s="44" t="n">
        <v>0.0725541</v>
      </c>
      <c r="AM89" s="44" t="n">
        <v>0.012112</v>
      </c>
      <c r="AN89" s="44" t="n">
        <v>0.0079499</v>
      </c>
      <c r="AO89" s="44" t="n">
        <v>0.074276</v>
      </c>
      <c r="AP89" s="44" t="n">
        <v>0.0126197</v>
      </c>
      <c r="AQ89" s="44" t="n">
        <v>0.0079499</v>
      </c>
      <c r="AR89" s="44" t="n">
        <v>0.0722766</v>
      </c>
      <c r="AS89" s="44" t="n">
        <v>0.0123756</v>
      </c>
      <c r="AT89" s="44" t="n">
        <v>0.0079499</v>
      </c>
      <c r="AU89" s="44" t="n">
        <v>0.0699662</v>
      </c>
      <c r="AV89" s="44" t="n">
        <v>0.0121972</v>
      </c>
      <c r="AW89" s="44" t="n">
        <v>0.0079499</v>
      </c>
      <c r="AX89" s="44" t="n">
        <v>0.0685771</v>
      </c>
      <c r="AY89" s="44" t="n">
        <v>0.0119833</v>
      </c>
      <c r="AZ89" s="44" t="n">
        <v>0.0079499</v>
      </c>
      <c r="BA89" s="44" t="n">
        <v>0.0713093</v>
      </c>
      <c r="BB89" s="44" t="n">
        <v>0.0126151</v>
      </c>
      <c r="BC89" s="44" t="n">
        <v>0.0079499</v>
      </c>
      <c r="BD89" s="44" t="n">
        <v>0.0678061</v>
      </c>
      <c r="BE89" s="44" t="n">
        <v>0.0122452</v>
      </c>
      <c r="BF89" s="44" t="n">
        <v>0.0079499</v>
      </c>
      <c r="BG89" s="44" t="n">
        <v>0.0662542</v>
      </c>
      <c r="BH89" s="44" t="n">
        <v>0.0121559</v>
      </c>
      <c r="BI89" s="44" t="n">
        <v>0.0079499</v>
      </c>
      <c r="BJ89" s="44" t="n">
        <v>0.0670813</v>
      </c>
      <c r="BK89" s="44" t="n">
        <v>0.0123127</v>
      </c>
      <c r="BL89" s="44" t="n">
        <v>0.0079499</v>
      </c>
      <c r="BM89" s="44" t="n">
        <v>0.0665377</v>
      </c>
      <c r="BN89" s="44" t="n">
        <v>0.0124699</v>
      </c>
      <c r="BO89" s="44" t="n">
        <v>0.0079499</v>
      </c>
      <c r="BP89" s="44" t="n">
        <v>0.0646947</v>
      </c>
      <c r="BQ89" s="44" t="n">
        <v>0.0122608</v>
      </c>
      <c r="BR89" s="44" t="n">
        <v>0.0079499</v>
      </c>
      <c r="BS89" s="44" t="n">
        <v>0.065884</v>
      </c>
      <c r="BT89" s="44" t="n">
        <v>0.0124768</v>
      </c>
      <c r="BU89" s="44" t="n">
        <v>0.0079499</v>
      </c>
      <c r="BV89" s="44" t="n">
        <v>0.0658072</v>
      </c>
      <c r="BW89" s="44" t="n">
        <v>0.0125789</v>
      </c>
      <c r="BX89" s="44" t="n">
        <v>0.0079499</v>
      </c>
      <c r="BY89" s="44" t="n">
        <v>0.0641633</v>
      </c>
      <c r="BZ89" s="44" t="n">
        <v>0.0124242</v>
      </c>
      <c r="CA89" s="44" t="n">
        <v>0.0079499</v>
      </c>
      <c r="CB89" s="44" t="n">
        <v>0.061515</v>
      </c>
      <c r="CC89" s="44" t="n">
        <v>0.012051</v>
      </c>
      <c r="CD89" s="44" t="n">
        <v>0.0079499</v>
      </c>
      <c r="CE89" s="44" t="n">
        <v>0.0602348</v>
      </c>
      <c r="CF89" s="44" t="n">
        <v>0.0120448</v>
      </c>
      <c r="CG89" s="44" t="n">
        <v>0.0079499</v>
      </c>
      <c r="CH89" s="44" t="n">
        <v>0.0605266</v>
      </c>
      <c r="CI89" s="44" t="n">
        <v>0.0122623</v>
      </c>
      <c r="CJ89" s="44" t="n">
        <v>0.0079499</v>
      </c>
      <c r="CK89" s="44" t="n">
        <v>0.0605843</v>
      </c>
      <c r="CL89" s="44" t="n">
        <v>0.0123968</v>
      </c>
      <c r="CM89" s="44" t="n">
        <v>0.0079499</v>
      </c>
      <c r="CN89" s="44" t="n">
        <v>0.0593351</v>
      </c>
      <c r="CO89" s="44" t="n">
        <v>0.0122446</v>
      </c>
      <c r="CP89" s="44" t="n">
        <v>0.0079499</v>
      </c>
      <c r="CQ89" s="44" t="n">
        <v>0.0573478</v>
      </c>
      <c r="CR89" s="44" t="n">
        <v>0.0121019</v>
      </c>
      <c r="CS89" s="44" t="n">
        <v>0.0079499</v>
      </c>
      <c r="CT89" s="44" t="n">
        <v>0.0581387</v>
      </c>
      <c r="CU89" s="44" t="n">
        <v>0.0124733</v>
      </c>
      <c r="CV89" s="44" t="n">
        <v>0.0079499</v>
      </c>
      <c r="CW89" s="44" t="n">
        <v>0.05394</v>
      </c>
      <c r="CX89" s="44" t="n">
        <v>0.0120211</v>
      </c>
    </row>
    <row collapsed="false" customFormat="false" customHeight="false" hidden="false" ht="12.75" outlineLevel="0" r="90">
      <c r="A90" s="44" t="n">
        <v>0.0080499</v>
      </c>
      <c r="B90" s="44" t="n">
        <v>0.0693598</v>
      </c>
      <c r="C90" s="44" t="n">
        <v>0.011334</v>
      </c>
      <c r="D90" s="44" t="n">
        <v>0.0080499</v>
      </c>
      <c r="E90" s="44" t="n">
        <v>0.0725089</v>
      </c>
      <c r="F90" s="44" t="n">
        <v>0.0116541</v>
      </c>
      <c r="G90" s="44" t="n">
        <v>0.0080499</v>
      </c>
      <c r="H90" s="44" t="n">
        <v>0.0722792</v>
      </c>
      <c r="I90" s="44" t="n">
        <v>0.0115633</v>
      </c>
      <c r="J90" s="44" t="n">
        <v>0.0080499</v>
      </c>
      <c r="K90" s="44" t="n">
        <v>0.0709585</v>
      </c>
      <c r="L90" s="44" t="n">
        <v>0.011387</v>
      </c>
      <c r="M90" s="44" t="n">
        <v>0.0080499</v>
      </c>
      <c r="N90" s="44" t="n">
        <v>0.0722822</v>
      </c>
      <c r="O90" s="44" t="n">
        <v>0.0115214</v>
      </c>
      <c r="P90" s="44" t="n">
        <v>0.0080499</v>
      </c>
      <c r="Q90" s="44" t="n">
        <v>0.075006</v>
      </c>
      <c r="R90" s="44" t="n">
        <v>0.0117555</v>
      </c>
      <c r="S90" s="44" t="n">
        <v>0.0080499</v>
      </c>
      <c r="T90" s="44" t="n">
        <v>0.0751766</v>
      </c>
      <c r="U90" s="44" t="n">
        <v>0.0118252</v>
      </c>
      <c r="V90" s="44" t="n">
        <v>0.0080499</v>
      </c>
      <c r="W90" s="44" t="n">
        <v>0.0736959</v>
      </c>
      <c r="X90" s="44" t="n">
        <v>0.0116657</v>
      </c>
      <c r="Y90" s="44" t="n">
        <v>0.0080499</v>
      </c>
      <c r="Z90" s="44" t="n">
        <v>0.0735973</v>
      </c>
      <c r="AA90" s="44" t="n">
        <v>0.0117952</v>
      </c>
      <c r="AB90" s="44" t="n">
        <v>0.0080499</v>
      </c>
      <c r="AC90" s="44" t="n">
        <v>0.0716948</v>
      </c>
      <c r="AD90" s="44" t="n">
        <v>0.011636</v>
      </c>
      <c r="AE90" s="44" t="n">
        <v>0.0080499</v>
      </c>
      <c r="AF90" s="44" t="n">
        <v>0.0709398</v>
      </c>
      <c r="AG90" s="44" t="n">
        <v>0.0117416</v>
      </c>
      <c r="AH90" s="44" t="n">
        <v>0.0080499</v>
      </c>
      <c r="AI90" s="44" t="n">
        <v>0.0687991</v>
      </c>
      <c r="AJ90" s="44" t="n">
        <v>0.011584</v>
      </c>
      <c r="AK90" s="44" t="n">
        <v>0.0080499</v>
      </c>
      <c r="AL90" s="44" t="n">
        <v>0.0681546</v>
      </c>
      <c r="AM90" s="44" t="n">
        <v>0.0115427</v>
      </c>
      <c r="AN90" s="44" t="n">
        <v>0.0080499</v>
      </c>
      <c r="AO90" s="44" t="n">
        <v>0.0699254</v>
      </c>
      <c r="AP90" s="44" t="n">
        <v>0.0120026</v>
      </c>
      <c r="AQ90" s="44" t="n">
        <v>0.0080499</v>
      </c>
      <c r="AR90" s="44" t="n">
        <v>0.0678284</v>
      </c>
      <c r="AS90" s="44" t="n">
        <v>0.0117897</v>
      </c>
      <c r="AT90" s="44" t="n">
        <v>0.0080499</v>
      </c>
      <c r="AU90" s="44" t="n">
        <v>0.0657182</v>
      </c>
      <c r="AV90" s="44" t="n">
        <v>0.0116083</v>
      </c>
      <c r="AW90" s="44" t="n">
        <v>0.0080499</v>
      </c>
      <c r="AX90" s="44" t="n">
        <v>0.0641777</v>
      </c>
      <c r="AY90" s="44" t="n">
        <v>0.0114393</v>
      </c>
      <c r="AZ90" s="44" t="n">
        <v>0.0080499</v>
      </c>
      <c r="BA90" s="44" t="n">
        <v>0.0675251</v>
      </c>
      <c r="BB90" s="44" t="n">
        <v>0.0120008</v>
      </c>
      <c r="BC90" s="44" t="n">
        <v>0.0080499</v>
      </c>
      <c r="BD90" s="44" t="n">
        <v>0.0641684</v>
      </c>
      <c r="BE90" s="44" t="n">
        <v>0.0116163</v>
      </c>
      <c r="BF90" s="44" t="n">
        <v>0.0080499</v>
      </c>
      <c r="BG90" s="44" t="n">
        <v>0.0620892</v>
      </c>
      <c r="BH90" s="44" t="n">
        <v>0.0115729</v>
      </c>
      <c r="BI90" s="44" t="n">
        <v>0.0080499</v>
      </c>
      <c r="BJ90" s="44" t="n">
        <v>0.0628772</v>
      </c>
      <c r="BK90" s="44" t="n">
        <v>0.011715</v>
      </c>
      <c r="BL90" s="44" t="n">
        <v>0.0080499</v>
      </c>
      <c r="BM90" s="44" t="n">
        <v>0.0632125</v>
      </c>
      <c r="BN90" s="44" t="n">
        <v>0.0118547</v>
      </c>
      <c r="BO90" s="44" t="n">
        <v>0.0080499</v>
      </c>
      <c r="BP90" s="44" t="n">
        <v>0.0605589</v>
      </c>
      <c r="BQ90" s="44" t="n">
        <v>0.0117031</v>
      </c>
      <c r="BR90" s="44" t="n">
        <v>0.0080499</v>
      </c>
      <c r="BS90" s="44" t="n">
        <v>0.062173</v>
      </c>
      <c r="BT90" s="44" t="n">
        <v>0.0118919</v>
      </c>
      <c r="BU90" s="44" t="n">
        <v>0.0080499</v>
      </c>
      <c r="BV90" s="44" t="n">
        <v>0.0613932</v>
      </c>
      <c r="BW90" s="44" t="n">
        <v>0.0119764</v>
      </c>
      <c r="BX90" s="44" t="n">
        <v>0.0080499</v>
      </c>
      <c r="BY90" s="44" t="n">
        <v>0.060423</v>
      </c>
      <c r="BZ90" s="44" t="n">
        <v>0.0118011</v>
      </c>
      <c r="CA90" s="44" t="n">
        <v>0.0080499</v>
      </c>
      <c r="CB90" s="44" t="n">
        <v>0.0577455</v>
      </c>
      <c r="CC90" s="44" t="n">
        <v>0.0114778</v>
      </c>
      <c r="CD90" s="44" t="n">
        <v>0.0080499</v>
      </c>
      <c r="CE90" s="44" t="n">
        <v>0.0566508</v>
      </c>
      <c r="CF90" s="44" t="n">
        <v>0.0114813</v>
      </c>
      <c r="CG90" s="44" t="n">
        <v>0.0080499</v>
      </c>
      <c r="CH90" s="44" t="n">
        <v>0.0568108</v>
      </c>
      <c r="CI90" s="44" t="n">
        <v>0.0117037</v>
      </c>
      <c r="CJ90" s="44" t="n">
        <v>0.0080499</v>
      </c>
      <c r="CK90" s="44" t="n">
        <v>0.0572103</v>
      </c>
      <c r="CL90" s="44" t="n">
        <v>0.0118177</v>
      </c>
      <c r="CM90" s="44" t="n">
        <v>0.0080499</v>
      </c>
      <c r="CN90" s="44" t="n">
        <v>0.0556974</v>
      </c>
      <c r="CO90" s="44" t="n">
        <v>0.0116752</v>
      </c>
      <c r="CP90" s="44" t="n">
        <v>0.0080499</v>
      </c>
      <c r="CQ90" s="44" t="n">
        <v>0.0542277</v>
      </c>
      <c r="CR90" s="44" t="n">
        <v>0.0115326</v>
      </c>
      <c r="CS90" s="44" t="n">
        <v>0.0080499</v>
      </c>
      <c r="CT90" s="44" t="n">
        <v>0.0542129</v>
      </c>
      <c r="CU90" s="44" t="n">
        <v>0.011861</v>
      </c>
      <c r="CV90" s="44" t="n">
        <v>0.0080499</v>
      </c>
      <c r="CW90" s="44" t="n">
        <v>0.0502925</v>
      </c>
      <c r="CX90" s="44" t="n">
        <v>0.0114391</v>
      </c>
    </row>
    <row collapsed="false" customFormat="false" customHeight="false" hidden="false" ht="12.75" outlineLevel="0" r="91">
      <c r="A91" s="44" t="n">
        <v>0.0081499</v>
      </c>
      <c r="B91" s="44" t="n">
        <v>0.065019</v>
      </c>
      <c r="C91" s="44" t="n">
        <v>0.0107861</v>
      </c>
      <c r="D91" s="44" t="n">
        <v>0.0081499</v>
      </c>
      <c r="E91" s="44" t="n">
        <v>0.0684757</v>
      </c>
      <c r="F91" s="44" t="n">
        <v>0.0110965</v>
      </c>
      <c r="G91" s="44" t="n">
        <v>0.0081499</v>
      </c>
      <c r="H91" s="44" t="n">
        <v>0.0680702</v>
      </c>
      <c r="I91" s="44" t="n">
        <v>0.0110066</v>
      </c>
      <c r="J91" s="44" t="n">
        <v>0.0081499</v>
      </c>
      <c r="K91" s="44" t="n">
        <v>0.0664223</v>
      </c>
      <c r="L91" s="44" t="n">
        <v>0.0108255</v>
      </c>
      <c r="M91" s="44" t="n">
        <v>0.0081499</v>
      </c>
      <c r="N91" s="44" t="n">
        <v>0.0676924</v>
      </c>
      <c r="O91" s="44" t="n">
        <v>0.0109443</v>
      </c>
      <c r="P91" s="44" t="n">
        <v>0.0081499</v>
      </c>
      <c r="Q91" s="44" t="n">
        <v>0.0704113</v>
      </c>
      <c r="R91" s="44" t="n">
        <v>0.0112154</v>
      </c>
      <c r="S91" s="44" t="n">
        <v>0.0081499</v>
      </c>
      <c r="T91" s="44" t="n">
        <v>0.0704305</v>
      </c>
      <c r="U91" s="44" t="n">
        <v>0.0112608</v>
      </c>
      <c r="V91" s="44" t="n">
        <v>0.0081499</v>
      </c>
      <c r="W91" s="44" t="n">
        <v>0.0688913</v>
      </c>
      <c r="X91" s="44" t="n">
        <v>0.0110925</v>
      </c>
      <c r="Y91" s="44" t="n">
        <v>0.0081499</v>
      </c>
      <c r="Z91" s="44" t="n">
        <v>0.0689342</v>
      </c>
      <c r="AA91" s="44" t="n">
        <v>0.0112278</v>
      </c>
      <c r="AB91" s="44" t="n">
        <v>0.0081499</v>
      </c>
      <c r="AC91" s="44" t="n">
        <v>0.0672514</v>
      </c>
      <c r="AD91" s="44" t="n">
        <v>0.011094</v>
      </c>
      <c r="AE91" s="44" t="n">
        <v>0.0081499</v>
      </c>
      <c r="AF91" s="44" t="n">
        <v>0.0667113</v>
      </c>
      <c r="AG91" s="44" t="n">
        <v>0.0111674</v>
      </c>
      <c r="AH91" s="44" t="n">
        <v>0.0081499</v>
      </c>
      <c r="AI91" s="44" t="n">
        <v>0.0647268</v>
      </c>
      <c r="AJ91" s="44" t="n">
        <v>0.0110088</v>
      </c>
      <c r="AK91" s="44" t="n">
        <v>0.0081499</v>
      </c>
      <c r="AL91" s="44" t="n">
        <v>0.0638285</v>
      </c>
      <c r="AM91" s="44" t="n">
        <v>0.0109734</v>
      </c>
      <c r="AN91" s="44" t="n">
        <v>0.0081499</v>
      </c>
      <c r="AO91" s="44" t="n">
        <v>0.0655211</v>
      </c>
      <c r="AP91" s="44" t="n">
        <v>0.0114303</v>
      </c>
      <c r="AQ91" s="44" t="n">
        <v>0.0081499</v>
      </c>
      <c r="AR91" s="44" t="n">
        <v>0.0636633</v>
      </c>
      <c r="AS91" s="44" t="n">
        <v>0.0112145</v>
      </c>
      <c r="AT91" s="44" t="n">
        <v>0.0081499</v>
      </c>
      <c r="AU91" s="44" t="n">
        <v>0.0615043</v>
      </c>
      <c r="AV91" s="44" t="n">
        <v>0.0110566</v>
      </c>
      <c r="AW91" s="44" t="n">
        <v>0.0081499</v>
      </c>
      <c r="AX91" s="44" t="n">
        <v>0.0604619</v>
      </c>
      <c r="AY91" s="44" t="n">
        <v>0.0108739</v>
      </c>
      <c r="AZ91" s="44" t="n">
        <v>0.0081499</v>
      </c>
      <c r="BA91" s="44" t="n">
        <v>0.0631453</v>
      </c>
      <c r="BB91" s="44" t="n">
        <v>0.0114403</v>
      </c>
      <c r="BC91" s="44" t="n">
        <v>0.0081499</v>
      </c>
      <c r="BD91" s="44" t="n">
        <v>0.0596469</v>
      </c>
      <c r="BE91" s="44" t="n">
        <v>0.0110977</v>
      </c>
      <c r="BF91" s="44" t="n">
        <v>0.0081499</v>
      </c>
      <c r="BG91" s="44" t="n">
        <v>0.0579437</v>
      </c>
      <c r="BH91" s="44" t="n">
        <v>0.0110153</v>
      </c>
      <c r="BI91" s="44" t="n">
        <v>0.0081499</v>
      </c>
      <c r="BJ91" s="44" t="n">
        <v>0.0590149</v>
      </c>
      <c r="BK91" s="44" t="n">
        <v>0.011177</v>
      </c>
      <c r="BL91" s="44" t="n">
        <v>0.0081499</v>
      </c>
      <c r="BM91" s="44" t="n">
        <v>0.0592281</v>
      </c>
      <c r="BN91" s="44" t="n">
        <v>0.0112834</v>
      </c>
      <c r="BO91" s="44" t="n">
        <v>0.0081499</v>
      </c>
      <c r="BP91" s="44" t="n">
        <v>0.0569407</v>
      </c>
      <c r="BQ91" s="44" t="n">
        <v>0.0111172</v>
      </c>
      <c r="BR91" s="44" t="n">
        <v>0.0081499</v>
      </c>
      <c r="BS91" s="44" t="n">
        <v>0.0579836</v>
      </c>
      <c r="BT91" s="44" t="n">
        <v>0.0113128</v>
      </c>
      <c r="BU91" s="44" t="n">
        <v>0.0081499</v>
      </c>
      <c r="BV91" s="44" t="n">
        <v>0.0581852</v>
      </c>
      <c r="BW91" s="44" t="n">
        <v>0.0114188</v>
      </c>
      <c r="BX91" s="44" t="n">
        <v>0.0081499</v>
      </c>
      <c r="BY91" s="44" t="n">
        <v>0.0562336</v>
      </c>
      <c r="BZ91" s="44" t="n">
        <v>0.0112396</v>
      </c>
      <c r="CA91" s="44" t="n">
        <v>0.0081499</v>
      </c>
      <c r="CB91" s="44" t="n">
        <v>0.0540639</v>
      </c>
      <c r="CC91" s="44" t="n">
        <v>0.0109309</v>
      </c>
      <c r="CD91" s="44" t="n">
        <v>0.0081499</v>
      </c>
      <c r="CE91" s="44" t="n">
        <v>0.0528666</v>
      </c>
      <c r="CF91" s="44" t="n">
        <v>0.0109334</v>
      </c>
      <c r="CG91" s="44" t="n">
        <v>0.0081499</v>
      </c>
      <c r="CH91" s="44" t="n">
        <v>0.0530119</v>
      </c>
      <c r="CI91" s="44" t="n">
        <v>0.0111393</v>
      </c>
      <c r="CJ91" s="44" t="n">
        <v>0.0081499</v>
      </c>
      <c r="CK91" s="44" t="n">
        <v>0.0534603</v>
      </c>
      <c r="CL91" s="44" t="n">
        <v>0.0112406</v>
      </c>
      <c r="CM91" s="44" t="n">
        <v>0.0081499</v>
      </c>
      <c r="CN91" s="44" t="n">
        <v>0.0516398</v>
      </c>
      <c r="CO91" s="44" t="n">
        <v>0.0111293</v>
      </c>
      <c r="CP91" s="44" t="n">
        <v>0.0081499</v>
      </c>
      <c r="CQ91" s="44" t="n">
        <v>0.0504825</v>
      </c>
      <c r="CR91" s="44" t="n">
        <v>0.0109603</v>
      </c>
      <c r="CS91" s="44" t="n">
        <v>0.0081499</v>
      </c>
      <c r="CT91" s="44" t="n">
        <v>0.0506192</v>
      </c>
      <c r="CU91" s="44" t="n">
        <v>0.0113132</v>
      </c>
      <c r="CV91" s="44" t="n">
        <v>0.0081499</v>
      </c>
      <c r="CW91" s="44" t="n">
        <v>0.0474214</v>
      </c>
      <c r="CX91" s="44" t="n">
        <v>0.0109049</v>
      </c>
    </row>
    <row collapsed="false" customFormat="false" customHeight="false" hidden="false" ht="12.75" outlineLevel="0" r="92">
      <c r="A92" s="44" t="n">
        <v>0.0082499</v>
      </c>
      <c r="B92" s="44" t="n">
        <v>0.0615083</v>
      </c>
      <c r="C92" s="44" t="n">
        <v>0.0102861</v>
      </c>
      <c r="D92" s="44" t="n">
        <v>0.0082499</v>
      </c>
      <c r="E92" s="44" t="n">
        <v>0.0640959</v>
      </c>
      <c r="F92" s="44" t="n">
        <v>0.0105672</v>
      </c>
      <c r="G92" s="44" t="n">
        <v>0.0082499</v>
      </c>
      <c r="H92" s="44" t="n">
        <v>0.0641493</v>
      </c>
      <c r="I92" s="44" t="n">
        <v>0.0104676</v>
      </c>
      <c r="J92" s="44" t="n">
        <v>0.0082499</v>
      </c>
      <c r="K92" s="44" t="n">
        <v>0.0627895</v>
      </c>
      <c r="L92" s="44" t="n">
        <v>0.0103108</v>
      </c>
      <c r="M92" s="44" t="n">
        <v>0.0082499</v>
      </c>
      <c r="N92" s="44" t="n">
        <v>0.0633662</v>
      </c>
      <c r="O92" s="44" t="n">
        <v>0.010455</v>
      </c>
      <c r="P92" s="44" t="n">
        <v>0.0082499</v>
      </c>
      <c r="Q92" s="44" t="n">
        <v>0.0663</v>
      </c>
      <c r="R92" s="44" t="n">
        <v>0.0106539</v>
      </c>
      <c r="S92" s="44" t="n">
        <v>0.0082499</v>
      </c>
      <c r="T92" s="44" t="n">
        <v>0.066368</v>
      </c>
      <c r="U92" s="44" t="n">
        <v>0.0107403</v>
      </c>
      <c r="V92" s="44" t="n">
        <v>0.0082499</v>
      </c>
      <c r="W92" s="44" t="n">
        <v>0.0653122</v>
      </c>
      <c r="X92" s="44" t="n">
        <v>0.0105739</v>
      </c>
      <c r="Y92" s="44" t="n">
        <v>0.0082499</v>
      </c>
      <c r="Z92" s="44" t="n">
        <v>0.0647985</v>
      </c>
      <c r="AA92" s="44" t="n">
        <v>0.0107015</v>
      </c>
      <c r="AB92" s="44" t="n">
        <v>0.0082499</v>
      </c>
      <c r="AC92" s="44" t="n">
        <v>0.0633793</v>
      </c>
      <c r="AD92" s="44" t="n">
        <v>0.0105588</v>
      </c>
      <c r="AE92" s="44" t="n">
        <v>0.0082499</v>
      </c>
      <c r="AF92" s="44" t="n">
        <v>0.0628832</v>
      </c>
      <c r="AG92" s="44" t="n">
        <v>0.0106459</v>
      </c>
      <c r="AH92" s="44" t="n">
        <v>0.0082499</v>
      </c>
      <c r="AI92" s="44" t="n">
        <v>0.0607083</v>
      </c>
      <c r="AJ92" s="44" t="n">
        <v>0.0105039</v>
      </c>
      <c r="AK92" s="44" t="n">
        <v>0.0082499</v>
      </c>
      <c r="AL92" s="44" t="n">
        <v>0.0597709</v>
      </c>
      <c r="AM92" s="44" t="n">
        <v>0.0104402</v>
      </c>
      <c r="AN92" s="44" t="n">
        <v>0.0082499</v>
      </c>
      <c r="AO92" s="44" t="n">
        <v>0.0617614</v>
      </c>
      <c r="AP92" s="44" t="n">
        <v>0.0108815</v>
      </c>
      <c r="AQ92" s="44" t="n">
        <v>0.0082499</v>
      </c>
      <c r="AR92" s="44" t="n">
        <v>0.0598694</v>
      </c>
      <c r="AS92" s="44" t="n">
        <v>0.0106979</v>
      </c>
      <c r="AT92" s="44" t="n">
        <v>0.0082499</v>
      </c>
      <c r="AU92" s="44" t="n">
        <v>0.0581205</v>
      </c>
      <c r="AV92" s="44" t="n">
        <v>0.0105195</v>
      </c>
      <c r="AW92" s="44" t="n">
        <v>0.0082499</v>
      </c>
      <c r="AX92" s="44" t="n">
        <v>0.0566972</v>
      </c>
      <c r="AY92" s="44" t="n">
        <v>0.0103622</v>
      </c>
      <c r="AZ92" s="44" t="n">
        <v>0.0082499</v>
      </c>
      <c r="BA92" s="44" t="n">
        <v>0.059156</v>
      </c>
      <c r="BB92" s="44" t="n">
        <v>0.0109227</v>
      </c>
      <c r="BC92" s="44" t="n">
        <v>0.0082499</v>
      </c>
      <c r="BD92" s="44" t="n">
        <v>0.0560727</v>
      </c>
      <c r="BE92" s="44" t="n">
        <v>0.0105811</v>
      </c>
      <c r="BF92" s="44" t="n">
        <v>0.0082499</v>
      </c>
      <c r="BG92" s="44" t="n">
        <v>0.0545013</v>
      </c>
      <c r="BH92" s="44" t="n">
        <v>0.0104977</v>
      </c>
      <c r="BI92" s="44" t="n">
        <v>0.0082499</v>
      </c>
      <c r="BJ92" s="44" t="n">
        <v>0.0552405</v>
      </c>
      <c r="BK92" s="44" t="n">
        <v>0.0106574</v>
      </c>
      <c r="BL92" s="44" t="n">
        <v>0.0082499</v>
      </c>
      <c r="BM92" s="44" t="n">
        <v>0.054941</v>
      </c>
      <c r="BN92" s="44" t="n">
        <v>0.0107541</v>
      </c>
      <c r="BO92" s="44" t="n">
        <v>0.0082499</v>
      </c>
      <c r="BP92" s="44" t="n">
        <v>0.0535667</v>
      </c>
      <c r="BQ92" s="44" t="n">
        <v>0.010584</v>
      </c>
      <c r="BR92" s="44" t="n">
        <v>0.0082499</v>
      </c>
      <c r="BS92" s="44" t="n">
        <v>0.0546096</v>
      </c>
      <c r="BT92" s="44" t="n">
        <v>0.0107835</v>
      </c>
      <c r="BU92" s="44" t="n">
        <v>0.0082499</v>
      </c>
      <c r="BV92" s="44" t="n">
        <v>0.0541813</v>
      </c>
      <c r="BW92" s="44" t="n">
        <v>0.0108807</v>
      </c>
      <c r="BX92" s="44" t="n">
        <v>0.0082499</v>
      </c>
      <c r="BY92" s="44" t="n">
        <v>0.0528547</v>
      </c>
      <c r="BZ92" s="44" t="n">
        <v>0.0107191</v>
      </c>
      <c r="CA92" s="44" t="n">
        <v>0.0082499</v>
      </c>
      <c r="CB92" s="44" t="n">
        <v>0.05089</v>
      </c>
      <c r="CC92" s="44" t="n">
        <v>0.0104319</v>
      </c>
      <c r="CD92" s="44" t="n">
        <v>0.0082499</v>
      </c>
      <c r="CE92" s="44" t="n">
        <v>0.0497221</v>
      </c>
      <c r="CF92" s="44" t="n">
        <v>0.0104149</v>
      </c>
      <c r="CG92" s="44" t="n">
        <v>0.0082499</v>
      </c>
      <c r="CH92" s="44" t="n">
        <v>0.0501994</v>
      </c>
      <c r="CI92" s="44" t="n">
        <v>0.0106022</v>
      </c>
      <c r="CJ92" s="44" t="n">
        <v>0.0082499</v>
      </c>
      <c r="CK92" s="44" t="n">
        <v>0.0500814</v>
      </c>
      <c r="CL92" s="44" t="n">
        <v>0.0107064</v>
      </c>
      <c r="CM92" s="44" t="n">
        <v>0.0082499</v>
      </c>
      <c r="CN92" s="44" t="n">
        <v>0.048715</v>
      </c>
      <c r="CO92" s="44" t="n">
        <v>0.0105776</v>
      </c>
      <c r="CP92" s="44" t="n">
        <v>0.0082499</v>
      </c>
      <c r="CQ92" s="44" t="n">
        <v>0.0476115</v>
      </c>
      <c r="CR92" s="44" t="n">
        <v>0.0104574</v>
      </c>
      <c r="CS92" s="44" t="n">
        <v>0.0082499</v>
      </c>
      <c r="CT92" s="44" t="n">
        <v>0.0476407</v>
      </c>
      <c r="CU92" s="44" t="n">
        <v>0.0107683</v>
      </c>
      <c r="CV92" s="44" t="n">
        <v>0.0082499</v>
      </c>
      <c r="CW92" s="44" t="n">
        <v>0.044189</v>
      </c>
      <c r="CX92" s="44" t="n">
        <v>0.010358</v>
      </c>
    </row>
    <row collapsed="false" customFormat="false" customHeight="false" hidden="false" ht="12.75" outlineLevel="0" r="93">
      <c r="A93" s="44" t="n">
        <v>0.0083499</v>
      </c>
      <c r="B93" s="44" t="n">
        <v>0.0573579</v>
      </c>
      <c r="C93" s="44" t="n">
        <v>0.00980077</v>
      </c>
      <c r="D93" s="44" t="n">
        <v>0.0083499</v>
      </c>
      <c r="E93" s="44" t="n">
        <v>0.0600236</v>
      </c>
      <c r="F93" s="44" t="n">
        <v>0.0100643</v>
      </c>
      <c r="G93" s="44" t="n">
        <v>0.0083499</v>
      </c>
      <c r="H93" s="44" t="n">
        <v>0.0602723</v>
      </c>
      <c r="I93" s="44" t="n">
        <v>0.00997244</v>
      </c>
      <c r="J93" s="44" t="n">
        <v>0.0083499</v>
      </c>
      <c r="K93" s="44" t="n">
        <v>0.0586538</v>
      </c>
      <c r="L93" s="44" t="n">
        <v>0.00981374</v>
      </c>
      <c r="M93" s="44" t="n">
        <v>0.0083499</v>
      </c>
      <c r="N93" s="44" t="n">
        <v>0.0599873</v>
      </c>
      <c r="O93" s="44" t="n">
        <v>0.0099189</v>
      </c>
      <c r="P93" s="44" t="n">
        <v>0.0083499</v>
      </c>
      <c r="Q93" s="44" t="n">
        <v>0.062799</v>
      </c>
      <c r="R93" s="44" t="n">
        <v>0.0101695</v>
      </c>
      <c r="S93" s="44" t="n">
        <v>0.0083499</v>
      </c>
      <c r="T93" s="44" t="n">
        <v>0.0624715</v>
      </c>
      <c r="U93" s="44" t="n">
        <v>0.0102344</v>
      </c>
      <c r="V93" s="44" t="n">
        <v>0.0083499</v>
      </c>
      <c r="W93" s="44" t="n">
        <v>0.0610202</v>
      </c>
      <c r="X93" s="44" t="n">
        <v>0.0100573</v>
      </c>
      <c r="Y93" s="44" t="n">
        <v>0.0083499</v>
      </c>
      <c r="Z93" s="44" t="n">
        <v>0.0607116</v>
      </c>
      <c r="AA93" s="44" t="n">
        <v>0.0101946</v>
      </c>
      <c r="AB93" s="44" t="n">
        <v>0.0083499</v>
      </c>
      <c r="AC93" s="44" t="n">
        <v>0.0593705</v>
      </c>
      <c r="AD93" s="44" t="n">
        <v>0.0100442</v>
      </c>
      <c r="AE93" s="44" t="n">
        <v>0.0083499</v>
      </c>
      <c r="AF93" s="44" t="n">
        <v>0.0588305</v>
      </c>
      <c r="AG93" s="44" t="n">
        <v>0.0101254</v>
      </c>
      <c r="AH93" s="44" t="n">
        <v>0.0083499</v>
      </c>
      <c r="AI93" s="44" t="n">
        <v>0.0570217</v>
      </c>
      <c r="AJ93" s="44" t="n">
        <v>0.0100127</v>
      </c>
      <c r="AK93" s="44" t="n">
        <v>0.0083499</v>
      </c>
      <c r="AL93" s="44" t="n">
        <v>0.0561771</v>
      </c>
      <c r="AM93" s="44" t="n">
        <v>0.00996847</v>
      </c>
      <c r="AN93" s="44" t="n">
        <v>0.0083499</v>
      </c>
      <c r="AO93" s="44" t="n">
        <v>0.0578112</v>
      </c>
      <c r="AP93" s="44" t="n">
        <v>0.0103795</v>
      </c>
      <c r="AQ93" s="44" t="n">
        <v>0.0083499</v>
      </c>
      <c r="AR93" s="44" t="n">
        <v>0.0563489</v>
      </c>
      <c r="AS93" s="44" t="n">
        <v>0.0101735</v>
      </c>
      <c r="AT93" s="44" t="n">
        <v>0.0083499</v>
      </c>
      <c r="AU93" s="44" t="n">
        <v>0.0545463</v>
      </c>
      <c r="AV93" s="44" t="n">
        <v>0.0100224</v>
      </c>
      <c r="AW93" s="44" t="n">
        <v>0.0083499</v>
      </c>
      <c r="AX93" s="44" t="n">
        <v>0.0534013</v>
      </c>
      <c r="AY93" s="44" t="n">
        <v>0.00989243</v>
      </c>
      <c r="AZ93" s="44" t="n">
        <v>0.0083499</v>
      </c>
      <c r="BA93" s="44" t="n">
        <v>0.0559871</v>
      </c>
      <c r="BB93" s="44" t="n">
        <v>0.010412</v>
      </c>
      <c r="BC93" s="44" t="n">
        <v>0.0083499</v>
      </c>
      <c r="BD93" s="44" t="n">
        <v>0.0526206</v>
      </c>
      <c r="BE93" s="44" t="n">
        <v>0.0100645</v>
      </c>
      <c r="BF93" s="44" t="n">
        <v>0.0083499</v>
      </c>
      <c r="BG93" s="44" t="n">
        <v>0.0511712</v>
      </c>
      <c r="BH93" s="44" t="n">
        <v>0.00997912</v>
      </c>
      <c r="BI93" s="44" t="n">
        <v>0.0083499</v>
      </c>
      <c r="BJ93" s="44" t="n">
        <v>0.0514465</v>
      </c>
      <c r="BK93" s="44" t="n">
        <v>0.0101506</v>
      </c>
      <c r="BL93" s="44" t="n">
        <v>0.0083499</v>
      </c>
      <c r="BM93" s="44" t="n">
        <v>0.0519137</v>
      </c>
      <c r="BN93" s="44" t="n">
        <v>0.0102404</v>
      </c>
      <c r="BO93" s="44" t="n">
        <v>0.0083499</v>
      </c>
      <c r="BP93" s="44" t="n">
        <v>0.0500853</v>
      </c>
      <c r="BQ93" s="44" t="n">
        <v>0.0101016</v>
      </c>
      <c r="BR93" s="44" t="n">
        <v>0.0083499</v>
      </c>
      <c r="BS93" s="44" t="n">
        <v>0.0507814</v>
      </c>
      <c r="BT93" s="44" t="n">
        <v>0.0102571</v>
      </c>
      <c r="BU93" s="44" t="n">
        <v>0.0083499</v>
      </c>
      <c r="BV93" s="44" t="n">
        <v>0.0507193</v>
      </c>
      <c r="BW93" s="44" t="n">
        <v>0.0103504</v>
      </c>
      <c r="BX93" s="44" t="n">
        <v>0.0083499</v>
      </c>
      <c r="BY93" s="44" t="n">
        <v>0.0499445</v>
      </c>
      <c r="BZ93" s="44" t="n">
        <v>0.0102269</v>
      </c>
      <c r="CA93" s="44" t="n">
        <v>0.0083499</v>
      </c>
      <c r="CB93" s="44" t="n">
        <v>0.0477211</v>
      </c>
      <c r="CC93" s="44" t="n">
        <v>0.00992601</v>
      </c>
      <c r="CD93" s="44" t="n">
        <v>0.0083499</v>
      </c>
      <c r="CE93" s="44" t="n">
        <v>0.0466997</v>
      </c>
      <c r="CF93" s="44" t="n">
        <v>0.00989047</v>
      </c>
      <c r="CG93" s="44" t="n">
        <v>0.0083499</v>
      </c>
      <c r="CH93" s="44" t="n">
        <v>0.0474504</v>
      </c>
      <c r="CI93" s="44" t="n">
        <v>0.0100768</v>
      </c>
      <c r="CJ93" s="44" t="n">
        <v>0.0083499</v>
      </c>
      <c r="CK93" s="44" t="n">
        <v>0.0470345</v>
      </c>
      <c r="CL93" s="44" t="n">
        <v>0.0102064</v>
      </c>
      <c r="CM93" s="44" t="n">
        <v>0.0083499</v>
      </c>
      <c r="CN93" s="44" t="n">
        <v>0.045634</v>
      </c>
      <c r="CO93" s="44" t="n">
        <v>0.0100737</v>
      </c>
      <c r="CP93" s="44" t="n">
        <v>0.0083499</v>
      </c>
      <c r="CQ93" s="44" t="n">
        <v>0.044672</v>
      </c>
      <c r="CR93" s="44" t="n">
        <v>0.00994079</v>
      </c>
      <c r="CS93" s="44" t="n">
        <v>0.0083499</v>
      </c>
      <c r="CT93" s="44" t="n">
        <v>0.044628</v>
      </c>
      <c r="CU93" s="44" t="n">
        <v>0.0102595</v>
      </c>
      <c r="CV93" s="44" t="n">
        <v>0.0083499</v>
      </c>
      <c r="CW93" s="44" t="n">
        <v>0.0415767</v>
      </c>
      <c r="CX93" s="44" t="n">
        <v>0.00988047</v>
      </c>
    </row>
    <row collapsed="false" customFormat="false" customHeight="false" hidden="false" ht="12.75" outlineLevel="0" r="94">
      <c r="A94" s="44" t="n">
        <v>0.0084499</v>
      </c>
      <c r="B94" s="44" t="n">
        <v>0.0540864</v>
      </c>
      <c r="C94" s="44" t="n">
        <v>0.00932714</v>
      </c>
      <c r="D94" s="44" t="n">
        <v>0.0084499</v>
      </c>
      <c r="E94" s="44" t="n">
        <v>0.0567326</v>
      </c>
      <c r="F94" s="44" t="n">
        <v>0.00957601</v>
      </c>
      <c r="G94" s="44" t="n">
        <v>0.0084499</v>
      </c>
      <c r="H94" s="44" t="n">
        <v>0.0565516</v>
      </c>
      <c r="I94" s="44" t="n">
        <v>0.00948611</v>
      </c>
      <c r="J94" s="44" t="n">
        <v>0.0084499</v>
      </c>
      <c r="K94" s="44" t="n">
        <v>0.0549087</v>
      </c>
      <c r="L94" s="44" t="n">
        <v>0.00932741</v>
      </c>
      <c r="M94" s="44" t="n">
        <v>0.0084499</v>
      </c>
      <c r="N94" s="44" t="n">
        <v>0.0561006</v>
      </c>
      <c r="O94" s="44" t="n">
        <v>0.0094648</v>
      </c>
      <c r="P94" s="44" t="n">
        <v>0.0084499</v>
      </c>
      <c r="Q94" s="44" t="n">
        <v>0.0586632</v>
      </c>
      <c r="R94" s="44" t="n">
        <v>0.00965685</v>
      </c>
      <c r="S94" s="44" t="n">
        <v>0.0084499</v>
      </c>
      <c r="T94" s="44" t="n">
        <v>0.0583357</v>
      </c>
      <c r="U94" s="44" t="n">
        <v>0.00972367</v>
      </c>
      <c r="V94" s="44" t="n">
        <v>0.0084499</v>
      </c>
      <c r="W94" s="44" t="n">
        <v>0.0575192</v>
      </c>
      <c r="X94" s="44" t="n">
        <v>0.00957683</v>
      </c>
      <c r="Y94" s="44" t="n">
        <v>0.0084499</v>
      </c>
      <c r="Z94" s="44" t="n">
        <v>0.0572203</v>
      </c>
      <c r="AA94" s="44" t="n">
        <v>0.00970831</v>
      </c>
      <c r="AB94" s="44" t="n">
        <v>0.0084499</v>
      </c>
      <c r="AC94" s="44" t="n">
        <v>0.0558451</v>
      </c>
      <c r="AD94" s="44" t="n">
        <v>0.00956468</v>
      </c>
      <c r="AE94" s="44" t="n">
        <v>0.0084499</v>
      </c>
      <c r="AF94" s="44" t="n">
        <v>0.0551928</v>
      </c>
      <c r="AG94" s="44" t="n">
        <v>0.00965173</v>
      </c>
      <c r="AH94" s="44" t="n">
        <v>0.0084499</v>
      </c>
      <c r="AI94" s="44" t="n">
        <v>0.0534573</v>
      </c>
      <c r="AJ94" s="44" t="n">
        <v>0.00951366</v>
      </c>
      <c r="AK94" s="44" t="n">
        <v>0.0084499</v>
      </c>
      <c r="AL94" s="44" t="n">
        <v>0.0526273</v>
      </c>
      <c r="AM94" s="44" t="n">
        <v>0.00948996</v>
      </c>
      <c r="AN94" s="44" t="n">
        <v>0.0084499</v>
      </c>
      <c r="AO94" s="44" t="n">
        <v>0.0543297</v>
      </c>
      <c r="AP94" s="44" t="n">
        <v>0.00988146</v>
      </c>
      <c r="AQ94" s="44" t="n">
        <v>0.0084499</v>
      </c>
      <c r="AR94" s="44" t="n">
        <v>0.0525354</v>
      </c>
      <c r="AS94" s="44" t="n">
        <v>0.0096803</v>
      </c>
      <c r="AT94" s="44" t="n">
        <v>0.0084499</v>
      </c>
      <c r="AU94" s="44" t="n">
        <v>0.0509428</v>
      </c>
      <c r="AV94" s="44" t="n">
        <v>0.00952338</v>
      </c>
      <c r="AW94" s="44" t="n">
        <v>0.0084499</v>
      </c>
      <c r="AX94" s="44" t="n">
        <v>0.0497539</v>
      </c>
      <c r="AY94" s="44" t="n">
        <v>0.00942173</v>
      </c>
      <c r="AZ94" s="44" t="n">
        <v>0.0084499</v>
      </c>
      <c r="BA94" s="44" t="n">
        <v>0.0525203</v>
      </c>
      <c r="BB94" s="44" t="n">
        <v>0.0098856</v>
      </c>
      <c r="BC94" s="44" t="n">
        <v>0.0084499</v>
      </c>
      <c r="BD94" s="44" t="n">
        <v>0.0495297</v>
      </c>
      <c r="BE94" s="44" t="n">
        <v>0.00959285</v>
      </c>
      <c r="BF94" s="44" t="n">
        <v>0.0084499</v>
      </c>
      <c r="BG94" s="44" t="n">
        <v>0.0481878</v>
      </c>
      <c r="BH94" s="44" t="n">
        <v>0.00950841</v>
      </c>
      <c r="BI94" s="44" t="n">
        <v>0.0084499</v>
      </c>
      <c r="BJ94" s="44" t="n">
        <v>0.0485901</v>
      </c>
      <c r="BK94" s="44" t="n">
        <v>0.00965254</v>
      </c>
      <c r="BL94" s="44" t="n">
        <v>0.0084499</v>
      </c>
      <c r="BM94" s="44" t="n">
        <v>0.0488131</v>
      </c>
      <c r="BN94" s="44" t="n">
        <v>0.0097375</v>
      </c>
      <c r="BO94" s="44" t="n">
        <v>0.0084499</v>
      </c>
      <c r="BP94" s="44" t="n">
        <v>0.0472288</v>
      </c>
      <c r="BQ94" s="44" t="n">
        <v>0.00958693</v>
      </c>
      <c r="BR94" s="44" t="n">
        <v>0.0084499</v>
      </c>
      <c r="BS94" s="44" t="n">
        <v>0.0478518</v>
      </c>
      <c r="BT94" s="44" t="n">
        <v>0.00977469</v>
      </c>
      <c r="BU94" s="44" t="n">
        <v>0.0084499</v>
      </c>
      <c r="BV94" s="44" t="n">
        <v>0.047443</v>
      </c>
      <c r="BW94" s="44" t="n">
        <v>0.00982696</v>
      </c>
      <c r="BX94" s="44" t="n">
        <v>0.0084499</v>
      </c>
      <c r="BY94" s="44" t="n">
        <v>0.046756</v>
      </c>
      <c r="BZ94" s="44" t="n">
        <v>0.00973373</v>
      </c>
      <c r="CA94" s="44" t="n">
        <v>0.0084499</v>
      </c>
      <c r="CB94" s="44" t="n">
        <v>0.0449721</v>
      </c>
      <c r="CC94" s="44" t="n">
        <v>0.00947484</v>
      </c>
      <c r="CD94" s="44" t="n">
        <v>0.0084499</v>
      </c>
      <c r="CE94" s="44" t="n">
        <v>0.0441752</v>
      </c>
      <c r="CF94" s="44" t="n">
        <v>0.00944613</v>
      </c>
      <c r="CG94" s="44" t="n">
        <v>0.0084499</v>
      </c>
      <c r="CH94" s="44" t="n">
        <v>0.0440471</v>
      </c>
      <c r="CI94" s="44" t="n">
        <v>0.00961681</v>
      </c>
      <c r="CJ94" s="44" t="n">
        <v>0.0084499</v>
      </c>
      <c r="CK94" s="44" t="n">
        <v>0.0438509</v>
      </c>
      <c r="CL94" s="44" t="n">
        <v>0.00971714</v>
      </c>
      <c r="CM94" s="44" t="n">
        <v>0.0084499</v>
      </c>
      <c r="CN94" s="44" t="n">
        <v>0.0427092</v>
      </c>
      <c r="CO94" s="44" t="n">
        <v>0.00958247</v>
      </c>
      <c r="CP94" s="44" t="n">
        <v>0.0084499</v>
      </c>
      <c r="CQ94" s="44" t="n">
        <v>0.0421329</v>
      </c>
      <c r="CR94" s="44" t="n">
        <v>0.00947692</v>
      </c>
      <c r="CS94" s="44" t="n">
        <v>0.0084499</v>
      </c>
      <c r="CT94" s="44" t="n">
        <v>0.0422061</v>
      </c>
      <c r="CU94" s="44" t="n">
        <v>0.00975459</v>
      </c>
      <c r="CV94" s="44" t="n">
        <v>0.0084499</v>
      </c>
      <c r="CW94" s="44" t="n">
        <v>0.039189</v>
      </c>
      <c r="CX94" s="44" t="n">
        <v>0.00940977</v>
      </c>
    </row>
    <row collapsed="false" customFormat="false" customHeight="false" hidden="false" ht="12.75" outlineLevel="0" r="95">
      <c r="A95" s="44" t="n">
        <v>0.0085499</v>
      </c>
      <c r="B95" s="44" t="n">
        <v>0.0506245</v>
      </c>
      <c r="C95" s="44" t="n">
        <v>0.00887206</v>
      </c>
      <c r="D95" s="44" t="n">
        <v>0.0085499</v>
      </c>
      <c r="E95" s="44" t="n">
        <v>0.0534709</v>
      </c>
      <c r="F95" s="44" t="n">
        <v>0.00913069</v>
      </c>
      <c r="G95" s="44" t="n">
        <v>0.0085499</v>
      </c>
      <c r="H95" s="44" t="n">
        <v>0.0529188</v>
      </c>
      <c r="I95" s="44" t="n">
        <v>0.00902225</v>
      </c>
      <c r="J95" s="44" t="n">
        <v>0.0085499</v>
      </c>
      <c r="K95" s="44" t="n">
        <v>0.0517153</v>
      </c>
      <c r="L95" s="44" t="n">
        <v>0.00887135</v>
      </c>
      <c r="M95" s="44" t="n">
        <v>0.0085499</v>
      </c>
      <c r="N95" s="44" t="n">
        <v>0.0519258</v>
      </c>
      <c r="O95" s="44" t="n">
        <v>0.00900289</v>
      </c>
      <c r="P95" s="44" t="n">
        <v>0.0085499</v>
      </c>
      <c r="Q95" s="44" t="n">
        <v>0.0552697</v>
      </c>
      <c r="R95" s="44" t="n">
        <v>0.00920763</v>
      </c>
      <c r="S95" s="44" t="n">
        <v>0.0085499</v>
      </c>
      <c r="T95" s="44" t="n">
        <v>0.0548494</v>
      </c>
      <c r="U95" s="44" t="n">
        <v>0.0092725</v>
      </c>
      <c r="V95" s="44" t="n">
        <v>0.0085499</v>
      </c>
      <c r="W95" s="44" t="n">
        <v>0.0538229</v>
      </c>
      <c r="X95" s="44" t="n">
        <v>0.0091364</v>
      </c>
      <c r="Y95" s="44" t="n">
        <v>0.0085499</v>
      </c>
      <c r="Z95" s="44" t="n">
        <v>0.0537438</v>
      </c>
      <c r="AA95" s="44" t="n">
        <v>0.0092337</v>
      </c>
      <c r="AB95" s="44" t="n">
        <v>0.0085499</v>
      </c>
      <c r="AC95" s="44" t="n">
        <v>0.0524076</v>
      </c>
      <c r="AD95" s="44" t="n">
        <v>0.00909496</v>
      </c>
      <c r="AE95" s="44" t="n">
        <v>0.0085499</v>
      </c>
      <c r="AF95" s="44" t="n">
        <v>0.0519213</v>
      </c>
      <c r="AG95" s="44" t="n">
        <v>0.00918591</v>
      </c>
      <c r="AH95" s="44" t="n">
        <v>0.0085499</v>
      </c>
      <c r="AI95" s="44" t="n">
        <v>0.0499319</v>
      </c>
      <c r="AJ95" s="44" t="n">
        <v>0.00904003</v>
      </c>
      <c r="AK95" s="44" t="n">
        <v>0.0085499</v>
      </c>
      <c r="AL95" s="44" t="n">
        <v>0.0496048</v>
      </c>
      <c r="AM95" s="44" t="n">
        <v>0.00900461</v>
      </c>
      <c r="AN95" s="44" t="n">
        <v>0.0085499</v>
      </c>
      <c r="AO95" s="44" t="n">
        <v>0.0506774</v>
      </c>
      <c r="AP95" s="44" t="n">
        <v>0.0094088</v>
      </c>
      <c r="AQ95" s="44" t="n">
        <v>0.0085499</v>
      </c>
      <c r="AR95" s="44" t="n">
        <v>0.0493079</v>
      </c>
      <c r="AS95" s="44" t="n">
        <v>0.00920862</v>
      </c>
      <c r="AT95" s="44" t="n">
        <v>0.0085499</v>
      </c>
      <c r="AU95" s="44" t="n">
        <v>0.0479985</v>
      </c>
      <c r="AV95" s="44" t="n">
        <v>0.00908099</v>
      </c>
      <c r="AW95" s="44" t="n">
        <v>0.0085499</v>
      </c>
      <c r="AX95" s="44" t="n">
        <v>0.0468486</v>
      </c>
      <c r="AY95" s="44" t="n">
        <v>0.00897056</v>
      </c>
      <c r="AZ95" s="44" t="n">
        <v>0.0085499</v>
      </c>
      <c r="BA95" s="44" t="n">
        <v>0.0490535</v>
      </c>
      <c r="BB95" s="44" t="n">
        <v>0.00939537</v>
      </c>
      <c r="BC95" s="44" t="n">
        <v>0.0085499</v>
      </c>
      <c r="BD95" s="44" t="n">
        <v>0.0462338</v>
      </c>
      <c r="BE95" s="44" t="n">
        <v>0.00910262</v>
      </c>
      <c r="BF95" s="44" t="n">
        <v>0.0085499</v>
      </c>
      <c r="BG95" s="44" t="n">
        <v>0.0452239</v>
      </c>
      <c r="BH95" s="44" t="n">
        <v>0.00903771</v>
      </c>
      <c r="BI95" s="44" t="n">
        <v>0.0085499</v>
      </c>
      <c r="BJ95" s="44" t="n">
        <v>0.0456799</v>
      </c>
      <c r="BK95" s="44" t="n">
        <v>0.00919063</v>
      </c>
      <c r="BL95" s="44" t="n">
        <v>0.0085499</v>
      </c>
      <c r="BM95" s="44" t="n">
        <v>0.0458395</v>
      </c>
      <c r="BN95" s="44" t="n">
        <v>0.00928242</v>
      </c>
      <c r="BO95" s="44" t="n">
        <v>0.0085499</v>
      </c>
      <c r="BP95" s="44" t="n">
        <v>0.0442503</v>
      </c>
      <c r="BQ95" s="44" t="n">
        <v>0.00912307</v>
      </c>
      <c r="BR95" s="44" t="n">
        <v>0.0085499</v>
      </c>
      <c r="BS95" s="44" t="n">
        <v>0.0453566</v>
      </c>
      <c r="BT95" s="44" t="n">
        <v>0.00931669</v>
      </c>
      <c r="BU95" s="44" t="n">
        <v>0.0085499</v>
      </c>
      <c r="BV95" s="44" t="n">
        <v>0.0444693</v>
      </c>
      <c r="BW95" s="44" t="n">
        <v>0.0093963</v>
      </c>
      <c r="BX95" s="44" t="n">
        <v>0.0085499</v>
      </c>
      <c r="BY95" s="44" t="n">
        <v>0.0440363</v>
      </c>
      <c r="BZ95" s="44" t="n">
        <v>0.00925228</v>
      </c>
      <c r="CA95" s="44" t="n">
        <v>0.0085499</v>
      </c>
      <c r="CB95" s="44" t="n">
        <v>0.042599</v>
      </c>
      <c r="CC95" s="44" t="n">
        <v>0.0089973</v>
      </c>
      <c r="CD95" s="44" t="n">
        <v>0.0085499</v>
      </c>
      <c r="CE95" s="44" t="n">
        <v>0.0413872</v>
      </c>
      <c r="CF95" s="44" t="n">
        <v>0.00897445</v>
      </c>
      <c r="CG95" s="44" t="n">
        <v>0.0085499</v>
      </c>
      <c r="CH95" s="44" t="n">
        <v>0.0415032</v>
      </c>
      <c r="CI95" s="44" t="n">
        <v>0.0091588</v>
      </c>
      <c r="CJ95" s="44" t="n">
        <v>0.0085499</v>
      </c>
      <c r="CK95" s="44" t="n">
        <v>0.0412923</v>
      </c>
      <c r="CL95" s="44" t="n">
        <v>0.00924644</v>
      </c>
      <c r="CM95" s="44" t="n">
        <v>0.0085499</v>
      </c>
      <c r="CN95" s="44" t="n">
        <v>0.0402531</v>
      </c>
      <c r="CO95" s="44" t="n">
        <v>0.00913032</v>
      </c>
      <c r="CP95" s="44" t="n">
        <v>0.0085499</v>
      </c>
      <c r="CQ95" s="44" t="n">
        <v>0.0395255</v>
      </c>
      <c r="CR95" s="44" t="n">
        <v>0.00901208</v>
      </c>
      <c r="CS95" s="44" t="n">
        <v>0.0085499</v>
      </c>
      <c r="CT95" s="44" t="n">
        <v>0.039501</v>
      </c>
      <c r="CU95" s="44" t="n">
        <v>0.00927314</v>
      </c>
      <c r="CV95" s="44" t="n">
        <v>0.0085499</v>
      </c>
      <c r="CW95" s="44" t="n">
        <v>0.0366157</v>
      </c>
      <c r="CX95" s="44" t="n">
        <v>0.00892442</v>
      </c>
    </row>
    <row collapsed="false" customFormat="false" customHeight="false" hidden="false" ht="12.75" outlineLevel="0" r="96">
      <c r="A96" s="44" t="n">
        <v>0.0086499</v>
      </c>
      <c r="B96" s="44" t="n">
        <v>0.0473969</v>
      </c>
      <c r="C96" s="44" t="n">
        <v>0.00845605</v>
      </c>
      <c r="D96" s="44" t="n">
        <v>0.0086499</v>
      </c>
      <c r="E96" s="44" t="n">
        <v>0.0502287</v>
      </c>
      <c r="F96" s="44" t="n">
        <v>0.00867855</v>
      </c>
      <c r="G96" s="44" t="n">
        <v>0.0086499</v>
      </c>
      <c r="H96" s="44" t="n">
        <v>0.0499305</v>
      </c>
      <c r="I96" s="44" t="n">
        <v>0.00860135</v>
      </c>
      <c r="J96" s="44" t="n">
        <v>0.0086499</v>
      </c>
      <c r="K96" s="44" t="n">
        <v>0.048478</v>
      </c>
      <c r="L96" s="44" t="n">
        <v>0.00845143</v>
      </c>
      <c r="M96" s="44" t="n">
        <v>0.0086499</v>
      </c>
      <c r="N96" s="44" t="n">
        <v>0.0490693</v>
      </c>
      <c r="O96" s="44" t="n">
        <v>0.00857027</v>
      </c>
      <c r="P96" s="44" t="n">
        <v>0.0086499</v>
      </c>
      <c r="Q96" s="44" t="n">
        <v>0.0519836</v>
      </c>
      <c r="R96" s="44" t="n">
        <v>0.00875549</v>
      </c>
      <c r="S96" s="44" t="n">
        <v>0.0086499</v>
      </c>
      <c r="T96" s="44" t="n">
        <v>0.0511092</v>
      </c>
      <c r="U96" s="44" t="n">
        <v>0.00882426</v>
      </c>
      <c r="V96" s="44" t="n">
        <v>0.0086499</v>
      </c>
      <c r="W96" s="44" t="n">
        <v>0.0506344</v>
      </c>
      <c r="X96" s="44" t="n">
        <v>0.00870086</v>
      </c>
      <c r="Y96" s="44" t="n">
        <v>0.0086499</v>
      </c>
      <c r="Z96" s="44" t="n">
        <v>0.0504235</v>
      </c>
      <c r="AA96" s="44" t="n">
        <v>0.00882647</v>
      </c>
      <c r="AB96" s="44" t="n">
        <v>0.0086499</v>
      </c>
      <c r="AC96" s="44" t="n">
        <v>0.0493852</v>
      </c>
      <c r="AD96" s="44" t="n">
        <v>0.00868578</v>
      </c>
      <c r="AE96" s="44" t="n">
        <v>0.0086499</v>
      </c>
      <c r="AF96" s="44" t="n">
        <v>0.0491186</v>
      </c>
      <c r="AG96" s="44" t="n">
        <v>0.00875915</v>
      </c>
      <c r="AH96" s="44" t="n">
        <v>0.0086499</v>
      </c>
      <c r="AI96" s="44" t="n">
        <v>0.0464602</v>
      </c>
      <c r="AJ96" s="44" t="n">
        <v>0.00860058</v>
      </c>
      <c r="AK96" s="44" t="n">
        <v>0.0086499</v>
      </c>
      <c r="AL96" s="44" t="n">
        <v>0.0466117</v>
      </c>
      <c r="AM96" s="44" t="n">
        <v>0.00857394</v>
      </c>
      <c r="AN96" s="44" t="n">
        <v>0.0086499</v>
      </c>
      <c r="AO96" s="44" t="n">
        <v>0.0479235</v>
      </c>
      <c r="AP96" s="44" t="n">
        <v>0.00893908</v>
      </c>
      <c r="AQ96" s="44" t="n">
        <v>0.0086499</v>
      </c>
      <c r="AR96" s="44" t="n">
        <v>0.0464661</v>
      </c>
      <c r="AS96" s="44" t="n">
        <v>0.00875843</v>
      </c>
      <c r="AT96" s="44" t="n">
        <v>0.0086499</v>
      </c>
      <c r="AU96" s="44" t="n">
        <v>0.0449174</v>
      </c>
      <c r="AV96" s="44" t="n">
        <v>0.00862884</v>
      </c>
      <c r="AW96" s="44" t="n">
        <v>0.0086499</v>
      </c>
      <c r="AX96" s="44" t="n">
        <v>0.0445732</v>
      </c>
      <c r="AY96" s="44" t="n">
        <v>0.00852427</v>
      </c>
      <c r="AZ96" s="44" t="n">
        <v>0.0086499</v>
      </c>
      <c r="BA96" s="44" t="n">
        <v>0.0463093</v>
      </c>
      <c r="BB96" s="44" t="n">
        <v>0.00896373</v>
      </c>
      <c r="BC96" s="44" t="n">
        <v>0.0086499</v>
      </c>
      <c r="BD96" s="44" t="n">
        <v>0.0436508</v>
      </c>
      <c r="BE96" s="44" t="n">
        <v>0.00869734</v>
      </c>
      <c r="BF96" s="44" t="n">
        <v>0.0086499</v>
      </c>
      <c r="BG96" s="44" t="n">
        <v>0.0420159</v>
      </c>
      <c r="BH96" s="44" t="n">
        <v>0.00860705</v>
      </c>
      <c r="BI96" s="44" t="n">
        <v>0.0086499</v>
      </c>
      <c r="BJ96" s="44" t="n">
        <v>0.0425452</v>
      </c>
      <c r="BK96" s="44" t="n">
        <v>0.00874532</v>
      </c>
      <c r="BL96" s="44" t="n">
        <v>0.0086499</v>
      </c>
      <c r="BM96" s="44" t="n">
        <v>0.0428951</v>
      </c>
      <c r="BN96" s="44" t="n">
        <v>0.00882636</v>
      </c>
      <c r="BO96" s="44" t="n">
        <v>0.0086499</v>
      </c>
      <c r="BP96" s="44" t="n">
        <v>0.0413988</v>
      </c>
      <c r="BQ96" s="44" t="n">
        <v>0.00867483</v>
      </c>
      <c r="BR96" s="44" t="n">
        <v>0.0086499</v>
      </c>
      <c r="BS96" s="44" t="n">
        <v>0.04251</v>
      </c>
      <c r="BT96" s="44" t="n">
        <v>0.00886454</v>
      </c>
      <c r="BU96" s="44" t="n">
        <v>0.0086499</v>
      </c>
      <c r="BV96" s="44" t="n">
        <v>0.04194</v>
      </c>
      <c r="BW96" s="44" t="n">
        <v>0.00891485</v>
      </c>
      <c r="BX96" s="44" t="n">
        <v>0.0086499</v>
      </c>
      <c r="BY96" s="44" t="n">
        <v>0.0411945</v>
      </c>
      <c r="BZ96" s="44" t="n">
        <v>0.00880111</v>
      </c>
      <c r="CA96" s="44" t="n">
        <v>0.0086499</v>
      </c>
      <c r="CB96" s="44" t="n">
        <v>0.0400404</v>
      </c>
      <c r="CC96" s="44" t="n">
        <v>0.0085432</v>
      </c>
      <c r="CD96" s="44" t="n">
        <v>0.0086499</v>
      </c>
      <c r="CE96" s="44" t="n">
        <v>0.039102</v>
      </c>
      <c r="CF96" s="44" t="n">
        <v>0.00853793</v>
      </c>
      <c r="CG96" s="44" t="n">
        <v>0.0086499</v>
      </c>
      <c r="CH96" s="44" t="n">
        <v>0.0390178</v>
      </c>
      <c r="CI96" s="44" t="n">
        <v>0.00870079</v>
      </c>
      <c r="CJ96" s="44" t="n">
        <v>0.0086499</v>
      </c>
      <c r="CK96" s="44" t="n">
        <v>0.0387923</v>
      </c>
      <c r="CL96" s="44" t="n">
        <v>0.0087689</v>
      </c>
      <c r="CM96" s="44" t="n">
        <v>0.0086499</v>
      </c>
      <c r="CN96" s="44" t="n">
        <v>0.0382756</v>
      </c>
      <c r="CO96" s="44" t="n">
        <v>0.00868013</v>
      </c>
      <c r="CP96" s="44" t="n">
        <v>0.0086499</v>
      </c>
      <c r="CQ96" s="44" t="n">
        <v>0.0369181</v>
      </c>
      <c r="CR96" s="44" t="n">
        <v>0.008557</v>
      </c>
      <c r="CS96" s="44" t="n">
        <v>0.0086499</v>
      </c>
      <c r="CT96" s="44" t="n">
        <v>0.0370987</v>
      </c>
      <c r="CU96" s="44" t="n">
        <v>0.00883466</v>
      </c>
      <c r="CV96" s="44" t="n">
        <v>0.0086499</v>
      </c>
      <c r="CW96" s="44" t="n">
        <v>0.0342866</v>
      </c>
      <c r="CX96" s="44" t="n">
        <v>0.00851524</v>
      </c>
    </row>
    <row collapsed="false" customFormat="false" customHeight="false" hidden="false" ht="12.75" outlineLevel="0" r="97">
      <c r="A97" s="44" t="n">
        <v>0.0087499</v>
      </c>
      <c r="B97" s="44" t="n">
        <v>0.0448823</v>
      </c>
      <c r="C97" s="44" t="n">
        <v>0.00802245</v>
      </c>
      <c r="D97" s="44" t="n">
        <v>0.0087499</v>
      </c>
      <c r="E97" s="44" t="n">
        <v>0.0476994</v>
      </c>
      <c r="F97" s="44" t="n">
        <v>0.00824984</v>
      </c>
      <c r="G97" s="44" t="n">
        <v>0.0087499</v>
      </c>
      <c r="H97" s="44" t="n">
        <v>0.0468104</v>
      </c>
      <c r="I97" s="44" t="n">
        <v>0.00815311</v>
      </c>
      <c r="J97" s="44" t="n">
        <v>0.0087499</v>
      </c>
      <c r="K97" s="44" t="n">
        <v>0.0456411</v>
      </c>
      <c r="L97" s="44" t="n">
        <v>0.00805495</v>
      </c>
      <c r="M97" s="44" t="n">
        <v>0.0087499</v>
      </c>
      <c r="N97" s="44" t="n">
        <v>0.0461006</v>
      </c>
      <c r="O97" s="44" t="n">
        <v>0.00814351</v>
      </c>
      <c r="P97" s="44" t="n">
        <v>0.0087499</v>
      </c>
      <c r="Q97" s="44" t="n">
        <v>0.0488341</v>
      </c>
      <c r="R97" s="44" t="n">
        <v>0.00831213</v>
      </c>
      <c r="S97" s="44" t="n">
        <v>0.0087499</v>
      </c>
      <c r="T97" s="44" t="n">
        <v>0.0481258</v>
      </c>
      <c r="U97" s="44" t="n">
        <v>0.00837894</v>
      </c>
      <c r="V97" s="44" t="n">
        <v>0.0087499</v>
      </c>
      <c r="W97" s="44" t="n">
        <v>0.0477536</v>
      </c>
      <c r="X97" s="44" t="n">
        <v>0.0082741</v>
      </c>
      <c r="Y97" s="44" t="n">
        <v>0.0087499</v>
      </c>
      <c r="Z97" s="44" t="n">
        <v>0.0472643</v>
      </c>
      <c r="AA97" s="44" t="n">
        <v>0.00837432</v>
      </c>
      <c r="AB97" s="44" t="n">
        <v>0.0087499</v>
      </c>
      <c r="AC97" s="44" t="n">
        <v>0.0463774</v>
      </c>
      <c r="AD97" s="44" t="n">
        <v>0.00823851</v>
      </c>
      <c r="AE97" s="44" t="n">
        <v>0.0087499</v>
      </c>
      <c r="AF97" s="44" t="n">
        <v>0.0455736</v>
      </c>
      <c r="AG97" s="44" t="n">
        <v>0.00831774</v>
      </c>
      <c r="AH97" s="44" t="n">
        <v>0.0087499</v>
      </c>
      <c r="AI97" s="44" t="n">
        <v>0.0434768</v>
      </c>
      <c r="AJ97" s="44" t="n">
        <v>0.00819238</v>
      </c>
      <c r="AK97" s="44" t="n">
        <v>0.0087499</v>
      </c>
      <c r="AL97" s="44" t="n">
        <v>0.0437943</v>
      </c>
      <c r="AM97" s="44" t="n">
        <v>0.00817746</v>
      </c>
      <c r="AN97" s="44" t="n">
        <v>0.0087499</v>
      </c>
      <c r="AO97" s="44" t="n">
        <v>0.0444567</v>
      </c>
      <c r="AP97" s="44" t="n">
        <v>0.00850841</v>
      </c>
      <c r="AQ97" s="44" t="n">
        <v>0.0087499</v>
      </c>
      <c r="AR97" s="44" t="n">
        <v>0.0433948</v>
      </c>
      <c r="AS97" s="44" t="n">
        <v>0.00831898</v>
      </c>
      <c r="AT97" s="44" t="n">
        <v>0.0087499</v>
      </c>
      <c r="AU97" s="44" t="n">
        <v>0.0424028</v>
      </c>
      <c r="AV97" s="44" t="n">
        <v>0.00823822</v>
      </c>
      <c r="AW97" s="44" t="n">
        <v>0.0087499</v>
      </c>
      <c r="AX97" s="44" t="n">
        <v>0.0417705</v>
      </c>
      <c r="AY97" s="44" t="n">
        <v>0.00809849</v>
      </c>
      <c r="AZ97" s="44" t="n">
        <v>0.0087499</v>
      </c>
      <c r="BA97" s="44" t="n">
        <v>0.0435554</v>
      </c>
      <c r="BB97" s="44" t="n">
        <v>0.00855552</v>
      </c>
      <c r="BC97" s="44" t="n">
        <v>0.0087499</v>
      </c>
      <c r="BD97" s="44" t="n">
        <v>0.0407114</v>
      </c>
      <c r="BE97" s="44" t="n">
        <v>0.00824715</v>
      </c>
      <c r="BF97" s="44" t="n">
        <v>0.0087499</v>
      </c>
      <c r="BG97" s="44" t="n">
        <v>0.0400677</v>
      </c>
      <c r="BH97" s="44" t="n">
        <v>0.00817443</v>
      </c>
      <c r="BI97" s="44" t="n">
        <v>0.0087499</v>
      </c>
      <c r="BJ97" s="44" t="n">
        <v>0.0398743</v>
      </c>
      <c r="BK97" s="44" t="n">
        <v>0.00830098</v>
      </c>
      <c r="BL97" s="44" t="n">
        <v>0.0087499</v>
      </c>
      <c r="BM97" s="44" t="n">
        <v>0.0407955</v>
      </c>
      <c r="BN97" s="44" t="n">
        <v>0.00839375</v>
      </c>
      <c r="BO97" s="44" t="n">
        <v>0.0087499</v>
      </c>
      <c r="BP97" s="44" t="n">
        <v>0.0389085</v>
      </c>
      <c r="BQ97" s="44" t="n">
        <v>0.00827736</v>
      </c>
      <c r="BR97" s="44" t="n">
        <v>0.0087499</v>
      </c>
      <c r="BS97" s="44" t="n">
        <v>0.0396291</v>
      </c>
      <c r="BT97" s="44" t="n">
        <v>0.00843192</v>
      </c>
      <c r="BU97" s="44" t="n">
        <v>0.0087499</v>
      </c>
      <c r="BV97" s="44" t="n">
        <v>0.0394596</v>
      </c>
      <c r="BW97" s="44" t="n">
        <v>0.00849689</v>
      </c>
      <c r="BX97" s="44" t="n">
        <v>0.0087499</v>
      </c>
      <c r="BY97" s="44" t="n">
        <v>0.038382</v>
      </c>
      <c r="BZ97" s="44" t="n">
        <v>0.00836556</v>
      </c>
      <c r="CA97" s="44" t="n">
        <v>0.0087499</v>
      </c>
      <c r="CB97" s="44" t="n">
        <v>0.0369984</v>
      </c>
      <c r="CC97" s="44" t="n">
        <v>0.00812621</v>
      </c>
      <c r="CD97" s="44" t="n">
        <v>0.0087499</v>
      </c>
      <c r="CE97" s="44" t="n">
        <v>0.0366118</v>
      </c>
      <c r="CF97" s="44" t="n">
        <v>0.00811899</v>
      </c>
      <c r="CG97" s="44" t="n">
        <v>0.0087499</v>
      </c>
      <c r="CH97" s="44" t="n">
        <v>0.0366252</v>
      </c>
      <c r="CI97" s="44" t="n">
        <v>0.00827892</v>
      </c>
      <c r="CJ97" s="44" t="n">
        <v>0.0087499</v>
      </c>
      <c r="CK97" s="44" t="n">
        <v>0.0363314</v>
      </c>
      <c r="CL97" s="44" t="n">
        <v>0.00836656</v>
      </c>
      <c r="CM97" s="44" t="n">
        <v>0.0087499</v>
      </c>
      <c r="CN97" s="44" t="n">
        <v>0.0359758</v>
      </c>
      <c r="CO97" s="44" t="n">
        <v>0.00825825</v>
      </c>
      <c r="CP97" s="44" t="n">
        <v>0.0087499</v>
      </c>
      <c r="CQ97" s="44" t="n">
        <v>0.0349796</v>
      </c>
      <c r="CR97" s="44" t="n">
        <v>0.00812341</v>
      </c>
      <c r="CS97" s="44" t="n">
        <v>0.0087499</v>
      </c>
      <c r="CT97" s="44" t="n">
        <v>0.0343985</v>
      </c>
      <c r="CU97" s="44" t="n">
        <v>0.00840595</v>
      </c>
      <c r="CV97" s="44" t="n">
        <v>0.0087499</v>
      </c>
      <c r="CW97" s="44" t="n">
        <v>0.0323286</v>
      </c>
      <c r="CX97" s="44" t="n">
        <v>0.00809238</v>
      </c>
    </row>
    <row collapsed="false" customFormat="false" customHeight="false" hidden="false" ht="12.75" outlineLevel="0" r="98">
      <c r="A98" s="44" t="n">
        <v>0.0088499</v>
      </c>
      <c r="B98" s="44" t="n">
        <v>0.042021</v>
      </c>
      <c r="C98" s="44" t="n">
        <v>0.00762694</v>
      </c>
      <c r="D98" s="44" t="n">
        <v>0.0088499</v>
      </c>
      <c r="E98" s="44" t="n">
        <v>0.0444377</v>
      </c>
      <c r="F98" s="44" t="n">
        <v>0.00782796</v>
      </c>
      <c r="G98" s="44" t="n">
        <v>0.0088499</v>
      </c>
      <c r="H98" s="44" t="n">
        <v>0.044618</v>
      </c>
      <c r="I98" s="44" t="n">
        <v>0.00773026</v>
      </c>
      <c r="J98" s="44" t="n">
        <v>0.0088499</v>
      </c>
      <c r="K98" s="44" t="n">
        <v>0.0427016</v>
      </c>
      <c r="L98" s="44" t="n">
        <v>0.00764284</v>
      </c>
      <c r="M98" s="44" t="n">
        <v>0.0088499</v>
      </c>
      <c r="N98" s="44" t="n">
        <v>0.043127</v>
      </c>
      <c r="O98" s="44" t="n">
        <v>0.00774801</v>
      </c>
      <c r="P98" s="44" t="n">
        <v>0.0088499</v>
      </c>
      <c r="Q98" s="44" t="n">
        <v>0.0454308</v>
      </c>
      <c r="R98" s="44" t="n">
        <v>0.00791467</v>
      </c>
      <c r="S98" s="44" t="n">
        <v>0.0088499</v>
      </c>
      <c r="T98" s="44" t="n">
        <v>0.0454842</v>
      </c>
      <c r="U98" s="44" t="n">
        <v>0.00798343</v>
      </c>
      <c r="V98" s="44" t="n">
        <v>0.0088499</v>
      </c>
      <c r="W98" s="44" t="n">
        <v>0.0445602</v>
      </c>
      <c r="X98" s="44" t="n">
        <v>0.00786004</v>
      </c>
      <c r="Y98" s="44" t="n">
        <v>0.0088499</v>
      </c>
      <c r="Z98" s="44" t="n">
        <v>0.0442809</v>
      </c>
      <c r="AA98" s="44" t="n">
        <v>0.00796417</v>
      </c>
      <c r="AB98" s="44" t="n">
        <v>0.0088499</v>
      </c>
      <c r="AC98" s="44" t="n">
        <v>0.0435502</v>
      </c>
      <c r="AD98" s="44" t="n">
        <v>0.00783422</v>
      </c>
      <c r="AE98" s="44" t="n">
        <v>0.0088499</v>
      </c>
      <c r="AF98" s="44" t="n">
        <v>0.0433178</v>
      </c>
      <c r="AG98" s="44" t="n">
        <v>0.00793981</v>
      </c>
      <c r="AH98" s="44" t="n">
        <v>0.0088499</v>
      </c>
      <c r="AI98" s="44" t="n">
        <v>0.0408645</v>
      </c>
      <c r="AJ98" s="44" t="n">
        <v>0.00777245</v>
      </c>
      <c r="AK98" s="44" t="n">
        <v>0.0088499</v>
      </c>
      <c r="AL98" s="44" t="n">
        <v>0.0409867</v>
      </c>
      <c r="AM98" s="44" t="n">
        <v>0.00779367</v>
      </c>
      <c r="AN98" s="44" t="n">
        <v>0.0088499</v>
      </c>
      <c r="AO98" s="44" t="n">
        <v>0.041693</v>
      </c>
      <c r="AP98" s="44" t="n">
        <v>0.00806701</v>
      </c>
      <c r="AQ98" s="44" t="n">
        <v>0.0088499</v>
      </c>
      <c r="AR98" s="44" t="n">
        <v>0.0408997</v>
      </c>
      <c r="AS98" s="44" t="n">
        <v>0.00794691</v>
      </c>
      <c r="AT98" s="44" t="n">
        <v>0.0088499</v>
      </c>
      <c r="AU98" s="44" t="n">
        <v>0.0398442</v>
      </c>
      <c r="AV98" s="44" t="n">
        <v>0.0078222</v>
      </c>
      <c r="AW98" s="44" t="n">
        <v>0.0088499</v>
      </c>
      <c r="AX98" s="44" t="n">
        <v>0.0386845</v>
      </c>
      <c r="AY98" s="44" t="n">
        <v>0.00773618</v>
      </c>
      <c r="AZ98" s="44" t="n">
        <v>0.0088499</v>
      </c>
      <c r="BA98" s="44" t="n">
        <v>0.0403865</v>
      </c>
      <c r="BB98" s="44" t="n">
        <v>0.00810533</v>
      </c>
      <c r="BC98" s="44" t="n">
        <v>0.0088499</v>
      </c>
      <c r="BD98" s="44" t="n">
        <v>0.0381772</v>
      </c>
      <c r="BE98" s="44" t="n">
        <v>0.00784676</v>
      </c>
      <c r="BF98" s="44" t="n">
        <v>0.0088499</v>
      </c>
      <c r="BG98" s="44" t="n">
        <v>0.0370062</v>
      </c>
      <c r="BH98" s="44" t="n">
        <v>0.00775841</v>
      </c>
      <c r="BI98" s="44" t="n">
        <v>0.0088499</v>
      </c>
      <c r="BJ98" s="44" t="n">
        <v>0.0377454</v>
      </c>
      <c r="BK98" s="44" t="n">
        <v>0.00789083</v>
      </c>
      <c r="BL98" s="44" t="n">
        <v>0.0088499</v>
      </c>
      <c r="BM98" s="44" t="n">
        <v>0.0381539</v>
      </c>
      <c r="BN98" s="44" t="n">
        <v>0.00800605</v>
      </c>
      <c r="BO98" s="44" t="n">
        <v>0.0088499</v>
      </c>
      <c r="BP98" s="44" t="n">
        <v>0.0365501</v>
      </c>
      <c r="BQ98" s="44" t="n">
        <v>0.00783303</v>
      </c>
      <c r="BR98" s="44" t="n">
        <v>0.0088499</v>
      </c>
      <c r="BS98" s="44" t="n">
        <v>0.0368703</v>
      </c>
      <c r="BT98" s="44" t="n">
        <v>0.00802469</v>
      </c>
      <c r="BU98" s="44" t="n">
        <v>0.0088499</v>
      </c>
      <c r="BV98" s="44" t="n">
        <v>0.0373453</v>
      </c>
      <c r="BW98" s="44" t="n">
        <v>0.00807794</v>
      </c>
      <c r="BX98" s="44" t="n">
        <v>0.0088499</v>
      </c>
      <c r="BY98" s="44" t="n">
        <v>0.0365168</v>
      </c>
      <c r="BZ98" s="44" t="n">
        <v>0.00797298</v>
      </c>
      <c r="CA98" s="44" t="n">
        <v>0.0088499</v>
      </c>
      <c r="CB98" s="44" t="n">
        <v>0.0344106</v>
      </c>
      <c r="CC98" s="44" t="n">
        <v>0.00772386</v>
      </c>
      <c r="CD98" s="44" t="n">
        <v>0.0088499</v>
      </c>
      <c r="CE98" s="44" t="n">
        <v>0.0339848</v>
      </c>
      <c r="CF98" s="44" t="n">
        <v>0.00773324</v>
      </c>
      <c r="CG98" s="44" t="n">
        <v>0.0088499</v>
      </c>
      <c r="CH98" s="44" t="n">
        <v>0.0343205</v>
      </c>
      <c r="CI98" s="44" t="n">
        <v>0.00788536</v>
      </c>
      <c r="CJ98" s="44" t="n">
        <v>0.0088499</v>
      </c>
      <c r="CK98" s="44" t="n">
        <v>0.0347396</v>
      </c>
      <c r="CL98" s="44" t="n">
        <v>0.00793199</v>
      </c>
      <c r="CM98" s="44" t="n">
        <v>0.0088499</v>
      </c>
      <c r="CN98" s="44" t="n">
        <v>0.0332463</v>
      </c>
      <c r="CO98" s="44" t="n">
        <v>0.00784321</v>
      </c>
      <c r="CP98" s="44" t="n">
        <v>0.0088499</v>
      </c>
      <c r="CQ98" s="44" t="n">
        <v>0.0327872</v>
      </c>
      <c r="CR98" s="44" t="n">
        <v>0.00773376</v>
      </c>
      <c r="CS98" s="44" t="n">
        <v>0.0088499</v>
      </c>
      <c r="CT98" s="44" t="n">
        <v>0.0327041</v>
      </c>
      <c r="CU98" s="44" t="n">
        <v>0.00800068</v>
      </c>
      <c r="CV98" s="44" t="n">
        <v>0.0088499</v>
      </c>
      <c r="CW98" s="44" t="n">
        <v>0.030356</v>
      </c>
      <c r="CX98" s="44" t="n">
        <v>0.00770371</v>
      </c>
    </row>
    <row collapsed="false" customFormat="false" customHeight="false" hidden="false" ht="12.75" outlineLevel="0" r="99">
      <c r="A99" s="44" t="n">
        <v>0.0089499</v>
      </c>
      <c r="B99" s="44" t="n">
        <v>0.0393793</v>
      </c>
      <c r="C99" s="44" t="n">
        <v>0.0072539</v>
      </c>
      <c r="D99" s="44" t="n">
        <v>0.0089499</v>
      </c>
      <c r="E99" s="44" t="n">
        <v>0.0419132</v>
      </c>
      <c r="F99" s="44" t="n">
        <v>0.00744222</v>
      </c>
      <c r="G99" s="44" t="n">
        <v>0.0089499</v>
      </c>
      <c r="H99" s="44" t="n">
        <v>0.0415077</v>
      </c>
      <c r="I99" s="44" t="n">
        <v>0.00736795</v>
      </c>
      <c r="J99" s="44" t="n">
        <v>0.0089499</v>
      </c>
      <c r="K99" s="44" t="n">
        <v>0.0402114</v>
      </c>
      <c r="L99" s="44" t="n">
        <v>0.00726296</v>
      </c>
      <c r="M99" s="44" t="n">
        <v>0.0089499</v>
      </c>
      <c r="N99" s="44" t="n">
        <v>0.0407051</v>
      </c>
      <c r="O99" s="44" t="n">
        <v>0.00737886</v>
      </c>
      <c r="P99" s="44" t="n">
        <v>0.0089499</v>
      </c>
      <c r="Q99" s="44" t="n">
        <v>0.0425695</v>
      </c>
      <c r="R99" s="44" t="n">
        <v>0.00749181</v>
      </c>
      <c r="S99" s="44" t="n">
        <v>0.0089499</v>
      </c>
      <c r="T99" s="44" t="n">
        <v>0.0425594</v>
      </c>
      <c r="U99" s="44" t="n">
        <v>0.007585</v>
      </c>
      <c r="V99" s="44" t="n">
        <v>0.0089499</v>
      </c>
      <c r="W99" s="44" t="n">
        <v>0.0418795</v>
      </c>
      <c r="X99" s="44" t="n">
        <v>0.00749187</v>
      </c>
      <c r="Y99" s="44" t="n">
        <v>0.0089499</v>
      </c>
      <c r="Z99" s="44" t="n">
        <v>0.0413658</v>
      </c>
      <c r="AA99" s="44" t="n">
        <v>0.00756964</v>
      </c>
      <c r="AB99" s="44" t="n">
        <v>0.0089499</v>
      </c>
      <c r="AC99" s="44" t="n">
        <v>0.04085</v>
      </c>
      <c r="AD99" s="44" t="n">
        <v>0.00743578</v>
      </c>
      <c r="AE99" s="44" t="n">
        <v>0.0089499</v>
      </c>
      <c r="AF99" s="44" t="n">
        <v>0.0404906</v>
      </c>
      <c r="AG99" s="44" t="n">
        <v>0.0075277</v>
      </c>
      <c r="AH99" s="44" t="n">
        <v>0.0089499</v>
      </c>
      <c r="AI99" s="44" t="n">
        <v>0.0383792</v>
      </c>
      <c r="AJ99" s="44" t="n">
        <v>0.0074121</v>
      </c>
      <c r="AK99" s="44" t="n">
        <v>0.0089499</v>
      </c>
      <c r="AL99" s="44" t="n">
        <v>0.0383109</v>
      </c>
      <c r="AM99" s="44" t="n">
        <v>0.00740011</v>
      </c>
      <c r="AN99" s="44" t="n">
        <v>0.0089499</v>
      </c>
      <c r="AO99" s="44" t="n">
        <v>0.039403</v>
      </c>
      <c r="AP99" s="44" t="n">
        <v>0.00768615</v>
      </c>
      <c r="AQ99" s="44" t="n">
        <v>0.0089499</v>
      </c>
      <c r="AR99" s="44" t="n">
        <v>0.0384241</v>
      </c>
      <c r="AS99" s="44" t="n">
        <v>0.00753382</v>
      </c>
      <c r="AT99" s="44" t="n">
        <v>0.0089499</v>
      </c>
      <c r="AU99" s="44" t="n">
        <v>0.0374418</v>
      </c>
      <c r="AV99" s="44" t="n">
        <v>0.00740814</v>
      </c>
      <c r="AW99" s="44" t="n">
        <v>0.0089499</v>
      </c>
      <c r="AX99" s="44" t="n">
        <v>0.0367216</v>
      </c>
      <c r="AY99" s="44" t="n">
        <v>0.007327</v>
      </c>
      <c r="AZ99" s="44" t="n">
        <v>0.0089499</v>
      </c>
      <c r="BA99" s="44" t="n">
        <v>0.0379841</v>
      </c>
      <c r="BB99" s="44" t="n">
        <v>0.00770201</v>
      </c>
      <c r="BC99" s="44" t="n">
        <v>0.0089499</v>
      </c>
      <c r="BD99" s="44" t="n">
        <v>0.0361264</v>
      </c>
      <c r="BE99" s="44" t="n">
        <v>0.00747274</v>
      </c>
      <c r="BF99" s="44" t="n">
        <v>0.0089499</v>
      </c>
      <c r="BG99" s="44" t="n">
        <v>0.0345403</v>
      </c>
      <c r="BH99" s="44" t="n">
        <v>0.00739416</v>
      </c>
      <c r="BI99" s="44" t="n">
        <v>0.0089499</v>
      </c>
      <c r="BJ99" s="44" t="n">
        <v>0.0351331</v>
      </c>
      <c r="BK99" s="44" t="n">
        <v>0.00750411</v>
      </c>
      <c r="BL99" s="44" t="n">
        <v>0.0089499</v>
      </c>
      <c r="BM99" s="44" t="n">
        <v>0.0357369</v>
      </c>
      <c r="BN99" s="44" t="n">
        <v>0.00760761</v>
      </c>
      <c r="BO99" s="44" t="n">
        <v>0.0089499</v>
      </c>
      <c r="BP99" s="44" t="n">
        <v>0.0347581</v>
      </c>
      <c r="BQ99" s="44" t="n">
        <v>0.00747561</v>
      </c>
      <c r="BR99" s="44" t="n">
        <v>0.0089499</v>
      </c>
      <c r="BS99" s="44" t="n">
        <v>0.0350051</v>
      </c>
      <c r="BT99" s="44" t="n">
        <v>0.00761551</v>
      </c>
      <c r="BU99" s="44" t="n">
        <v>0.0089499</v>
      </c>
      <c r="BV99" s="44" t="n">
        <v>0.0343717</v>
      </c>
      <c r="BW99" s="44" t="n">
        <v>0.00767169</v>
      </c>
      <c r="BX99" s="44" t="n">
        <v>0.0089499</v>
      </c>
      <c r="BY99" s="44" t="n">
        <v>0.0343049</v>
      </c>
      <c r="BZ99" s="44" t="n">
        <v>0.00758529</v>
      </c>
      <c r="CA99" s="44" t="n">
        <v>0.0089499</v>
      </c>
      <c r="CB99" s="44" t="n">
        <v>0.0325893</v>
      </c>
      <c r="CC99" s="44" t="n">
        <v>0.00736058</v>
      </c>
      <c r="CD99" s="44" t="n">
        <v>0.0089499</v>
      </c>
      <c r="CE99" s="44" t="n">
        <v>0.0321049</v>
      </c>
      <c r="CF99" s="44" t="n">
        <v>0.00733676</v>
      </c>
      <c r="CG99" s="44" t="n">
        <v>0.0089499</v>
      </c>
      <c r="CH99" s="44" t="n">
        <v>0.0324895</v>
      </c>
      <c r="CI99" s="44" t="n">
        <v>0.00747618</v>
      </c>
      <c r="CJ99" s="44" t="n">
        <v>0.0089499</v>
      </c>
      <c r="CK99" s="44" t="n">
        <v>0.0321663</v>
      </c>
      <c r="CL99" s="44" t="n">
        <v>0.00754722</v>
      </c>
      <c r="CM99" s="44" t="n">
        <v>0.0089499</v>
      </c>
      <c r="CN99" s="44" t="n">
        <v>0.0314152</v>
      </c>
      <c r="CO99" s="44" t="n">
        <v>0.00746724</v>
      </c>
      <c r="CP99" s="44" t="n">
        <v>0.0089499</v>
      </c>
      <c r="CQ99" s="44" t="n">
        <v>0.0308878</v>
      </c>
      <c r="CR99" s="44" t="n">
        <v>0.00736657</v>
      </c>
      <c r="CS99" s="44" t="n">
        <v>0.0089499</v>
      </c>
      <c r="CT99" s="44" t="n">
        <v>0.030502</v>
      </c>
      <c r="CU99" s="44" t="n">
        <v>0.00758857</v>
      </c>
      <c r="CV99" s="44" t="n">
        <v>0.0089499</v>
      </c>
      <c r="CW99" s="44" t="n">
        <v>0.0283833</v>
      </c>
      <c r="CX99" s="44" t="n">
        <v>0.00730234</v>
      </c>
    </row>
    <row collapsed="false" customFormat="false" customHeight="false" hidden="false" ht="12.75" outlineLevel="0" r="100">
      <c r="A100" s="44" t="n">
        <v>0.0090499</v>
      </c>
      <c r="B100" s="44" t="n">
        <v>0.0369721</v>
      </c>
      <c r="C100" s="44" t="n">
        <v>0.00687304</v>
      </c>
      <c r="D100" s="44" t="n">
        <v>0.0090499</v>
      </c>
      <c r="E100" s="44" t="n">
        <v>0.039174</v>
      </c>
      <c r="F100" s="44" t="n">
        <v>0.00707796</v>
      </c>
      <c r="G100" s="44" t="n">
        <v>0.0090499</v>
      </c>
      <c r="H100" s="44" t="n">
        <v>0.0384413</v>
      </c>
      <c r="I100" s="44" t="n">
        <v>0.00702029</v>
      </c>
      <c r="J100" s="44" t="n">
        <v>0.0090499</v>
      </c>
      <c r="K100" s="44" t="n">
        <v>0.0375307</v>
      </c>
      <c r="L100" s="44" t="n">
        <v>0.00690358</v>
      </c>
      <c r="M100" s="44" t="n">
        <v>0.0090499</v>
      </c>
      <c r="N100" s="44" t="n">
        <v>0.0382295</v>
      </c>
      <c r="O100" s="44" t="n">
        <v>0.00699312</v>
      </c>
      <c r="P100" s="44" t="n">
        <v>0.0090499</v>
      </c>
      <c r="Q100" s="44" t="n">
        <v>0.0402795</v>
      </c>
      <c r="R100" s="44" t="n">
        <v>0.00712853</v>
      </c>
      <c r="S100" s="44" t="n">
        <v>0.0090499</v>
      </c>
      <c r="T100" s="44" t="n">
        <v>0.0396443</v>
      </c>
      <c r="U100" s="44" t="n">
        <v>0.00721293</v>
      </c>
      <c r="V100" s="44" t="n">
        <v>0.0090499</v>
      </c>
      <c r="W100" s="44" t="n">
        <v>0.039443</v>
      </c>
      <c r="X100" s="44" t="n">
        <v>0.00709051</v>
      </c>
      <c r="Y100" s="44" t="n">
        <v>0.0090499</v>
      </c>
      <c r="Z100" s="44" t="n">
        <v>0.0386852</v>
      </c>
      <c r="AA100" s="44" t="n">
        <v>0.0072005</v>
      </c>
      <c r="AB100" s="44" t="n">
        <v>0.0090499</v>
      </c>
      <c r="AC100" s="44" t="n">
        <v>0.038394</v>
      </c>
      <c r="AD100" s="44" t="n">
        <v>0.00708031</v>
      </c>
      <c r="AE100" s="44" t="n">
        <v>0.0090499</v>
      </c>
      <c r="AF100" s="44" t="n">
        <v>0.0380199</v>
      </c>
      <c r="AG100" s="44" t="n">
        <v>0.0071527</v>
      </c>
      <c r="AH100" s="44" t="n">
        <v>0.0090499</v>
      </c>
      <c r="AI100" s="44" t="n">
        <v>0.035679</v>
      </c>
      <c r="AJ100" s="44" t="n">
        <v>0.0070332</v>
      </c>
      <c r="AK100" s="44" t="n">
        <v>0.0090499</v>
      </c>
      <c r="AL100" s="44" t="n">
        <v>0.036182</v>
      </c>
      <c r="AM100" s="44" t="n">
        <v>0.00701925</v>
      </c>
      <c r="AN100" s="44" t="n">
        <v>0.0090499</v>
      </c>
      <c r="AO100" s="44" t="n">
        <v>0.0365465</v>
      </c>
      <c r="AP100" s="44" t="n">
        <v>0.00729162</v>
      </c>
      <c r="AQ100" s="44" t="n">
        <v>0.0090499</v>
      </c>
      <c r="AR100" s="44" t="n">
        <v>0.0362024</v>
      </c>
      <c r="AS100" s="44" t="n">
        <v>0.00717737</v>
      </c>
      <c r="AT100" s="44" t="n">
        <v>0.0090499</v>
      </c>
      <c r="AU100" s="44" t="n">
        <v>0.035103</v>
      </c>
      <c r="AV100" s="44" t="n">
        <v>0.00708002</v>
      </c>
      <c r="AW100" s="44" t="n">
        <v>0.0090499</v>
      </c>
      <c r="AX100" s="44" t="n">
        <v>0.0344707</v>
      </c>
      <c r="AY100" s="44" t="n">
        <v>0.00698814</v>
      </c>
      <c r="AZ100" s="44" t="n">
        <v>0.0090499</v>
      </c>
      <c r="BA100" s="44" t="n">
        <v>0.0361042</v>
      </c>
      <c r="BB100" s="44" t="n">
        <v>0.00732701</v>
      </c>
      <c r="BC100" s="44" t="n">
        <v>0.0090499</v>
      </c>
      <c r="BD100" s="44" t="n">
        <v>0.033646</v>
      </c>
      <c r="BE100" s="44" t="n">
        <v>0.00710945</v>
      </c>
      <c r="BF100" s="44" t="n">
        <v>0.0090499</v>
      </c>
      <c r="BG100" s="44" t="n">
        <v>0.0327923</v>
      </c>
      <c r="BH100" s="44" t="n">
        <v>0.00703966</v>
      </c>
      <c r="BI100" s="44" t="n">
        <v>0.0090499</v>
      </c>
      <c r="BJ100" s="44" t="n">
        <v>0.0327307</v>
      </c>
      <c r="BK100" s="44" t="n">
        <v>0.00714669</v>
      </c>
      <c r="BL100" s="44" t="n">
        <v>0.0090499</v>
      </c>
      <c r="BM100" s="44" t="n">
        <v>0.0337008</v>
      </c>
      <c r="BN100" s="44" t="n">
        <v>0.00723164</v>
      </c>
      <c r="BO100" s="44" t="n">
        <v>0.0090499</v>
      </c>
      <c r="BP100" s="44" t="n">
        <v>0.0320091</v>
      </c>
      <c r="BQ100" s="44" t="n">
        <v>0.00709084</v>
      </c>
      <c r="BR100" s="44" t="n">
        <v>0.0090499</v>
      </c>
      <c r="BS100" s="44" t="n">
        <v>0.032798</v>
      </c>
      <c r="BT100" s="44" t="n">
        <v>0.00727958</v>
      </c>
      <c r="BU100" s="44" t="n">
        <v>0.0090499</v>
      </c>
      <c r="BV100" s="44" t="n">
        <v>0.0326334</v>
      </c>
      <c r="BW100" s="44" t="n">
        <v>0.00728204</v>
      </c>
      <c r="BX100" s="44" t="n">
        <v>0.0090499</v>
      </c>
      <c r="BY100" s="44" t="n">
        <v>0.0324933</v>
      </c>
      <c r="BZ100" s="44" t="n">
        <v>0.0072015</v>
      </c>
      <c r="CA100" s="44" t="n">
        <v>0.0090499</v>
      </c>
      <c r="CB100" s="44" t="n">
        <v>0.0309096</v>
      </c>
      <c r="CC100" s="44" t="n">
        <v>0.00699535</v>
      </c>
      <c r="CD100" s="44" t="n">
        <v>0.0090499</v>
      </c>
      <c r="CE100" s="44" t="n">
        <v>0.030059</v>
      </c>
      <c r="CF100" s="44" t="n">
        <v>0.00699106</v>
      </c>
      <c r="CG100" s="44" t="n">
        <v>0.0090499</v>
      </c>
      <c r="CH100" s="44" t="n">
        <v>0.0305559</v>
      </c>
      <c r="CI100" s="44" t="n">
        <v>0.00709239</v>
      </c>
      <c r="CJ100" s="44" t="n">
        <v>0.0090499</v>
      </c>
      <c r="CK100" s="44" t="n">
        <v>0.0304769</v>
      </c>
      <c r="CL100" s="44" t="n">
        <v>0.00719468</v>
      </c>
      <c r="CM100" s="44" t="n">
        <v>0.0090499</v>
      </c>
      <c r="CN100" s="44" t="n">
        <v>0.0296135</v>
      </c>
      <c r="CO100" s="44" t="n">
        <v>0.00710298</v>
      </c>
      <c r="CP100" s="44" t="n">
        <v>0.0090499</v>
      </c>
      <c r="CQ100" s="44" t="n">
        <v>0.0290763</v>
      </c>
      <c r="CR100" s="44" t="n">
        <v>0.00698669</v>
      </c>
      <c r="CS100" s="44" t="n">
        <v>0.0090499</v>
      </c>
      <c r="CT100" s="44" t="n">
        <v>0.0287588</v>
      </c>
      <c r="CU100" s="44" t="n">
        <v>0.00722724</v>
      </c>
      <c r="CV100" s="44" t="n">
        <v>0.0090499</v>
      </c>
      <c r="CW100" s="44" t="n">
        <v>0.0267964</v>
      </c>
      <c r="CX100" s="44" t="n">
        <v>0.00694981</v>
      </c>
    </row>
    <row collapsed="false" customFormat="false" customHeight="false" hidden="false" ht="12.75" outlineLevel="0" r="101">
      <c r="A101" s="44" t="n">
        <v>0.0091499</v>
      </c>
      <c r="B101" s="44" t="n">
        <v>0.0347846</v>
      </c>
      <c r="C101" s="44" t="n">
        <v>0.00653808</v>
      </c>
      <c r="D101" s="44" t="n">
        <v>0.0091499</v>
      </c>
      <c r="E101" s="44" t="n">
        <v>0.036508</v>
      </c>
      <c r="F101" s="44" t="n">
        <v>0.00671175</v>
      </c>
      <c r="G101" s="44" t="n">
        <v>0.0091499</v>
      </c>
      <c r="H101" s="44" t="n">
        <v>0.0363466</v>
      </c>
      <c r="I101" s="44" t="n">
        <v>0.0066492</v>
      </c>
      <c r="J101" s="44" t="n">
        <v>0.0091499</v>
      </c>
      <c r="K101" s="44" t="n">
        <v>0.0351235</v>
      </c>
      <c r="L101" s="44" t="n">
        <v>0.00654421</v>
      </c>
      <c r="M101" s="44" t="n">
        <v>0.0091499</v>
      </c>
      <c r="N101" s="44" t="n">
        <v>0.0356758</v>
      </c>
      <c r="O101" s="44" t="n">
        <v>0.00664547</v>
      </c>
      <c r="P101" s="44" t="n">
        <v>0.0091499</v>
      </c>
      <c r="Q101" s="44" t="n">
        <v>0.0378381</v>
      </c>
      <c r="R101" s="44" t="n">
        <v>0.00678771</v>
      </c>
      <c r="S101" s="44" t="n">
        <v>0.0091499</v>
      </c>
      <c r="T101" s="44" t="n">
        <v>0.0373445</v>
      </c>
      <c r="U101" s="44" t="n">
        <v>0.00686234</v>
      </c>
      <c r="V101" s="44" t="n">
        <v>0.0091499</v>
      </c>
      <c r="W101" s="44" t="n">
        <v>0.0372897</v>
      </c>
      <c r="X101" s="44" t="n">
        <v>0.00677215</v>
      </c>
      <c r="Y101" s="44" t="n">
        <v>0.0091499</v>
      </c>
      <c r="Z101" s="44" t="n">
        <v>0.0364684</v>
      </c>
      <c r="AA101" s="44" t="n">
        <v>0.0068255</v>
      </c>
      <c r="AB101" s="44" t="n">
        <v>0.0091499</v>
      </c>
      <c r="AC101" s="44" t="n">
        <v>0.0362114</v>
      </c>
      <c r="AD101" s="44" t="n">
        <v>0.0066975</v>
      </c>
      <c r="AE101" s="44" t="n">
        <v>0.0091499</v>
      </c>
      <c r="AF101" s="44" t="n">
        <v>0.0358129</v>
      </c>
      <c r="AG101" s="44" t="n">
        <v>0.00680993</v>
      </c>
      <c r="AH101" s="44" t="n">
        <v>0.0091499</v>
      </c>
      <c r="AI101" s="44" t="n">
        <v>0.0338089</v>
      </c>
      <c r="AJ101" s="44" t="n">
        <v>0.00670019</v>
      </c>
      <c r="AK101" s="44" t="n">
        <v>0.0091499</v>
      </c>
      <c r="AL101" s="44" t="n">
        <v>0.0336673</v>
      </c>
      <c r="AM101" s="44" t="n">
        <v>0.00668722</v>
      </c>
      <c r="AN101" s="44" t="n">
        <v>0.0091499</v>
      </c>
      <c r="AO101" s="44" t="n">
        <v>0.034608</v>
      </c>
      <c r="AP101" s="44" t="n">
        <v>0.00694396</v>
      </c>
      <c r="AQ101" s="44" t="n">
        <v>0.0091499</v>
      </c>
      <c r="AR101" s="44" t="n">
        <v>0.0336926</v>
      </c>
      <c r="AS101" s="44" t="n">
        <v>0.00684339</v>
      </c>
      <c r="AT101" s="44" t="n">
        <v>0.0091499</v>
      </c>
      <c r="AU101" s="44" t="n">
        <v>0.032808</v>
      </c>
      <c r="AV101" s="44" t="n">
        <v>0.00671966</v>
      </c>
      <c r="AW101" s="44" t="n">
        <v>0.0091499</v>
      </c>
      <c r="AX101" s="44" t="n">
        <v>0.0322929</v>
      </c>
      <c r="AY101" s="44" t="n">
        <v>0.00663462</v>
      </c>
      <c r="AZ101" s="44" t="n">
        <v>0.0091499</v>
      </c>
      <c r="BA101" s="44" t="n">
        <v>0.0336189</v>
      </c>
      <c r="BB101" s="44" t="n">
        <v>0.0069608</v>
      </c>
      <c r="BC101" s="44" t="n">
        <v>0.0091499</v>
      </c>
      <c r="BD101" s="44" t="n">
        <v>0.0316147</v>
      </c>
      <c r="BE101" s="44" t="n">
        <v>0.00673445</v>
      </c>
      <c r="BF101" s="44" t="n">
        <v>0.0091499</v>
      </c>
      <c r="BG101" s="44" t="n">
        <v>0.0304485</v>
      </c>
      <c r="BH101" s="44" t="n">
        <v>0.00669005</v>
      </c>
      <c r="BI101" s="44" t="n">
        <v>0.0091499</v>
      </c>
      <c r="BJ101" s="44" t="n">
        <v>0.0308606</v>
      </c>
      <c r="BK101" s="44" t="n">
        <v>0.00677657</v>
      </c>
      <c r="BL101" s="44" t="n">
        <v>0.0091499</v>
      </c>
      <c r="BM101" s="44" t="n">
        <v>0.0314303</v>
      </c>
      <c r="BN101" s="44" t="n">
        <v>0.00686054</v>
      </c>
      <c r="BO101" s="44" t="n">
        <v>0.0091499</v>
      </c>
      <c r="BP101" s="44" t="n">
        <v>0.0300755</v>
      </c>
      <c r="BQ101" s="44" t="n">
        <v>0.00675881</v>
      </c>
      <c r="BR101" s="44" t="n">
        <v>0.0091499</v>
      </c>
      <c r="BS101" s="44" t="n">
        <v>0.0304201</v>
      </c>
      <c r="BT101" s="44" t="n">
        <v>0.00690165</v>
      </c>
      <c r="BU101" s="44" t="n">
        <v>0.0091499</v>
      </c>
      <c r="BV101" s="44" t="n">
        <v>0.0309928</v>
      </c>
      <c r="BW101" s="44" t="n">
        <v>0.0069461</v>
      </c>
      <c r="BX101" s="44" t="n">
        <v>0.0091499</v>
      </c>
      <c r="BY101" s="44" t="n">
        <v>0.0307502</v>
      </c>
      <c r="BZ101" s="44" t="n">
        <v>0.00685189</v>
      </c>
      <c r="CA101" s="44" t="n">
        <v>0.0091499</v>
      </c>
      <c r="CB101" s="44" t="n">
        <v>0.0292104</v>
      </c>
      <c r="CC101" s="44" t="n">
        <v>0.00664281</v>
      </c>
      <c r="CD101" s="44" t="n">
        <v>0.0091499</v>
      </c>
      <c r="CE101" s="44" t="n">
        <v>0.0284868</v>
      </c>
      <c r="CF101" s="44" t="n">
        <v>0.00661996</v>
      </c>
      <c r="CG101" s="44" t="n">
        <v>0.0091499</v>
      </c>
      <c r="CH101" s="44" t="n">
        <v>0.0285393</v>
      </c>
      <c r="CI101" s="44" t="n">
        <v>0.00675353</v>
      </c>
      <c r="CJ101" s="44" t="n">
        <v>0.0091499</v>
      </c>
      <c r="CK101" s="44" t="n">
        <v>0.0283919</v>
      </c>
      <c r="CL101" s="44" t="n">
        <v>0.00682554</v>
      </c>
      <c r="CM101" s="44" t="n">
        <v>0.0091499</v>
      </c>
      <c r="CN101" s="44" t="n">
        <v>0.0279289</v>
      </c>
      <c r="CO101" s="44" t="n">
        <v>0.00674165</v>
      </c>
      <c r="CP101" s="44" t="n">
        <v>0.0091499</v>
      </c>
      <c r="CQ101" s="44" t="n">
        <v>0.027089</v>
      </c>
      <c r="CR101" s="44" t="n">
        <v>0.00665368</v>
      </c>
      <c r="CS101" s="44" t="n">
        <v>0.0091499</v>
      </c>
      <c r="CT101" s="44" t="n">
        <v>0.0270889</v>
      </c>
      <c r="CU101" s="44" t="n">
        <v>0.00686982</v>
      </c>
      <c r="CV101" s="44" t="n">
        <v>0.0091499</v>
      </c>
      <c r="CW101" s="44" t="n">
        <v>0.0254829</v>
      </c>
      <c r="CX101" s="44" t="n">
        <v>0.00660899</v>
      </c>
    </row>
    <row collapsed="false" customFormat="false" customHeight="false" hidden="false" ht="12.75" outlineLevel="0" r="102">
      <c r="A102" s="44" t="n">
        <v>0.0092499</v>
      </c>
      <c r="B102" s="44" t="n">
        <v>0.0325239</v>
      </c>
      <c r="C102" s="44" t="n">
        <v>0.00621679</v>
      </c>
      <c r="D102" s="44" t="n">
        <v>0.0092499</v>
      </c>
      <c r="E102" s="44" t="n">
        <v>0.0346476</v>
      </c>
      <c r="F102" s="44" t="n">
        <v>0.00639241</v>
      </c>
      <c r="G102" s="44" t="n">
        <v>0.0092499</v>
      </c>
      <c r="H102" s="44" t="n">
        <v>0.0341102</v>
      </c>
      <c r="I102" s="44" t="n">
        <v>0.00633475</v>
      </c>
      <c r="J102" s="44" t="n">
        <v>0.0092499</v>
      </c>
      <c r="K102" s="44" t="n">
        <v>0.0329946</v>
      </c>
      <c r="L102" s="44" t="n">
        <v>0.0062112</v>
      </c>
      <c r="M102" s="44" t="n">
        <v>0.0092499</v>
      </c>
      <c r="N102" s="44" t="n">
        <v>0.0333711</v>
      </c>
      <c r="O102" s="44" t="n">
        <v>0.00630465</v>
      </c>
      <c r="P102" s="44" t="n">
        <v>0.0092499</v>
      </c>
      <c r="Q102" s="44" t="n">
        <v>0.0353869</v>
      </c>
      <c r="R102" s="44" t="n">
        <v>0.00645373</v>
      </c>
      <c r="S102" s="44" t="n">
        <v>0.0092499</v>
      </c>
      <c r="T102" s="44" t="n">
        <v>0.0351326</v>
      </c>
      <c r="U102" s="44" t="n">
        <v>0.00651566</v>
      </c>
      <c r="V102" s="44" t="n">
        <v>0.0092499</v>
      </c>
      <c r="W102" s="44" t="n">
        <v>0.0348141</v>
      </c>
      <c r="X102" s="44" t="n">
        <v>0.00641472</v>
      </c>
      <c r="Y102" s="44" t="n">
        <v>0.0092499</v>
      </c>
      <c r="Z102" s="44" t="n">
        <v>0.0341491</v>
      </c>
      <c r="AA102" s="44" t="n">
        <v>0.00647589</v>
      </c>
      <c r="AB102" s="44" t="n">
        <v>0.0092499</v>
      </c>
      <c r="AC102" s="44" t="n">
        <v>0.0337797</v>
      </c>
      <c r="AD102" s="44" t="n">
        <v>0.00638793</v>
      </c>
      <c r="AE102" s="44" t="n">
        <v>0.0092499</v>
      </c>
      <c r="AF102" s="44" t="n">
        <v>0.033767</v>
      </c>
      <c r="AG102" s="44" t="n">
        <v>0.00646618</v>
      </c>
      <c r="AH102" s="44" t="n">
        <v>0.0092499</v>
      </c>
      <c r="AI102" s="44" t="n">
        <v>0.0312747</v>
      </c>
      <c r="AJ102" s="44" t="n">
        <v>0.00631933</v>
      </c>
      <c r="AK102" s="44" t="n">
        <v>0.0092499</v>
      </c>
      <c r="AL102" s="44" t="n">
        <v>0.0312455</v>
      </c>
      <c r="AM102" s="44" t="n">
        <v>0.00634347</v>
      </c>
      <c r="AN102" s="44" t="n">
        <v>0.0092499</v>
      </c>
      <c r="AO102" s="44" t="n">
        <v>0.0324303</v>
      </c>
      <c r="AP102" s="44" t="n">
        <v>0.00660021</v>
      </c>
      <c r="AQ102" s="44" t="n">
        <v>0.0092499</v>
      </c>
      <c r="AR102" s="44" t="n">
        <v>0.0316467</v>
      </c>
      <c r="AS102" s="44" t="n">
        <v>0.0064889</v>
      </c>
      <c r="AT102" s="44" t="n">
        <v>0.0092499</v>
      </c>
      <c r="AU102" s="44" t="n">
        <v>0.0307231</v>
      </c>
      <c r="AV102" s="44" t="n">
        <v>0.00639252</v>
      </c>
      <c r="AW102" s="44" t="n">
        <v>0.0092499</v>
      </c>
      <c r="AX102" s="44" t="n">
        <v>0.0305058</v>
      </c>
      <c r="AY102" s="44" t="n">
        <v>0.00631724</v>
      </c>
      <c r="AZ102" s="44" t="n">
        <v>0.0092499</v>
      </c>
      <c r="BA102" s="44" t="n">
        <v>0.0315388</v>
      </c>
      <c r="BB102" s="44" t="n">
        <v>0.00660826</v>
      </c>
      <c r="BC102" s="44" t="n">
        <v>0.0092499</v>
      </c>
      <c r="BD102" s="44" t="n">
        <v>0.0294028</v>
      </c>
      <c r="BE102" s="44" t="n">
        <v>0.00639461</v>
      </c>
      <c r="BF102" s="44" t="n">
        <v>0.0092499</v>
      </c>
      <c r="BG102" s="44" t="n">
        <v>0.0287786</v>
      </c>
      <c r="BH102" s="44" t="n">
        <v>0.00637072</v>
      </c>
      <c r="BI102" s="44" t="n">
        <v>0.0092499</v>
      </c>
      <c r="BJ102" s="44" t="n">
        <v>0.0289661</v>
      </c>
      <c r="BK102" s="44" t="n">
        <v>0.00644258</v>
      </c>
      <c r="BL102" s="44" t="n">
        <v>0.0092499</v>
      </c>
      <c r="BM102" s="44" t="n">
        <v>0.0299313</v>
      </c>
      <c r="BN102" s="44" t="n">
        <v>0.00652461</v>
      </c>
      <c r="BO102" s="44" t="n">
        <v>0.0092499</v>
      </c>
      <c r="BP102" s="44" t="n">
        <v>0.0285472</v>
      </c>
      <c r="BQ102" s="44" t="n">
        <v>0.00640236</v>
      </c>
      <c r="BR102" s="44" t="n">
        <v>0.0092499</v>
      </c>
      <c r="BS102" s="44" t="n">
        <v>0.0284719</v>
      </c>
      <c r="BT102" s="44" t="n">
        <v>0.00656083</v>
      </c>
      <c r="BU102" s="44" t="n">
        <v>0.0092499</v>
      </c>
      <c r="BV102" s="44" t="n">
        <v>0.0287662</v>
      </c>
      <c r="BW102" s="44" t="n">
        <v>0.00657989</v>
      </c>
      <c r="BX102" s="44" t="n">
        <v>0.0092499</v>
      </c>
      <c r="BY102" s="44" t="n">
        <v>0.0285187</v>
      </c>
      <c r="BZ102" s="44" t="n">
        <v>0.00649056</v>
      </c>
      <c r="CA102" s="44" t="n">
        <v>0.0092499</v>
      </c>
      <c r="CB102" s="44" t="n">
        <v>0.0276381</v>
      </c>
      <c r="CC102" s="44" t="n">
        <v>0.00630101</v>
      </c>
      <c r="CD102" s="44" t="n">
        <v>0.0092499</v>
      </c>
      <c r="CE102" s="44" t="n">
        <v>0.0268217</v>
      </c>
      <c r="CF102" s="44" t="n">
        <v>0.00630063</v>
      </c>
      <c r="CG102" s="44" t="n">
        <v>0.0092499</v>
      </c>
      <c r="CH102" s="44" t="n">
        <v>0.0264739</v>
      </c>
      <c r="CI102" s="44" t="n">
        <v>0.00640978</v>
      </c>
      <c r="CJ102" s="44" t="n">
        <v>0.0092499</v>
      </c>
      <c r="CK102" s="44" t="n">
        <v>0.026346</v>
      </c>
      <c r="CL102" s="44" t="n">
        <v>0.00648472</v>
      </c>
      <c r="CM102" s="44" t="n">
        <v>0.0092499</v>
      </c>
      <c r="CN102" s="44" t="n">
        <v>0.0260051</v>
      </c>
      <c r="CO102" s="44" t="n">
        <v>0.0064145</v>
      </c>
      <c r="CP102" s="44" t="n">
        <v>0.0092499</v>
      </c>
      <c r="CQ102" s="44" t="n">
        <v>0.025463</v>
      </c>
      <c r="CR102" s="44" t="n">
        <v>0.006307</v>
      </c>
      <c r="CS102" s="44" t="n">
        <v>0.0092499</v>
      </c>
      <c r="CT102" s="44" t="n">
        <v>0.0255069</v>
      </c>
      <c r="CU102" s="44" t="n">
        <v>0.00652216</v>
      </c>
      <c r="CV102" s="44" t="n">
        <v>0.0092499</v>
      </c>
      <c r="CW102" s="44" t="n">
        <v>0.0236324</v>
      </c>
      <c r="CX102" s="44" t="n">
        <v>0.0062916</v>
      </c>
    </row>
    <row collapsed="false" customFormat="false" customHeight="false" hidden="false" ht="12.75" outlineLevel="0" r="103">
      <c r="A103" s="44" t="n">
        <v>0.0093499</v>
      </c>
      <c r="B103" s="44" t="n">
        <v>0.0307172</v>
      </c>
      <c r="C103" s="44" t="n">
        <v>0.00590429</v>
      </c>
      <c r="D103" s="44" t="n">
        <v>0.0093499</v>
      </c>
      <c r="E103" s="44" t="n">
        <v>0.0325724</v>
      </c>
      <c r="F103" s="44" t="n">
        <v>0.00605257</v>
      </c>
      <c r="G103" s="44" t="n">
        <v>0.0093499</v>
      </c>
      <c r="H103" s="44" t="n">
        <v>0.0320546</v>
      </c>
      <c r="I103" s="44" t="n">
        <v>0.00600858</v>
      </c>
      <c r="J103" s="44" t="n">
        <v>0.0093499</v>
      </c>
      <c r="K103" s="44" t="n">
        <v>0.0310073</v>
      </c>
      <c r="L103" s="44" t="n">
        <v>0.00587526</v>
      </c>
      <c r="M103" s="44" t="n">
        <v>0.0093499</v>
      </c>
      <c r="N103" s="44" t="n">
        <v>0.0314522</v>
      </c>
      <c r="O103" s="44" t="n">
        <v>0.00597066</v>
      </c>
      <c r="P103" s="44" t="n">
        <v>0.0093499</v>
      </c>
      <c r="Q103" s="44" t="n">
        <v>0.0330089</v>
      </c>
      <c r="R103" s="44" t="n">
        <v>0.00612951</v>
      </c>
      <c r="S103" s="44" t="n">
        <v>0.0093499</v>
      </c>
      <c r="T103" s="44" t="n">
        <v>0.03295</v>
      </c>
      <c r="U103" s="44" t="n">
        <v>0.00618265</v>
      </c>
      <c r="V103" s="44" t="n">
        <v>0.0093499</v>
      </c>
      <c r="W103" s="44" t="n">
        <v>0.0326315</v>
      </c>
      <c r="X103" s="44" t="n">
        <v>0.00609734</v>
      </c>
      <c r="Y103" s="44" t="n">
        <v>0.0093499</v>
      </c>
      <c r="Z103" s="44" t="n">
        <v>0.0319176</v>
      </c>
      <c r="AA103" s="44" t="n">
        <v>0.00614874</v>
      </c>
      <c r="AB103" s="44" t="n">
        <v>0.0093499</v>
      </c>
      <c r="AC103" s="44" t="n">
        <v>0.0318315</v>
      </c>
      <c r="AD103" s="44" t="n">
        <v>0.00606664</v>
      </c>
      <c r="AE103" s="44" t="n">
        <v>0.0093499</v>
      </c>
      <c r="AF103" s="44" t="n">
        <v>0.0313109</v>
      </c>
      <c r="AG103" s="44" t="n">
        <v>0.00612341</v>
      </c>
      <c r="AH103" s="44" t="n">
        <v>0.0093499</v>
      </c>
      <c r="AI103" s="44" t="n">
        <v>0.0296048</v>
      </c>
      <c r="AJ103" s="44" t="n">
        <v>0.00601952</v>
      </c>
      <c r="AK103" s="44" t="n">
        <v>0.0093499</v>
      </c>
      <c r="AL103" s="44" t="n">
        <v>0.0293607</v>
      </c>
      <c r="AM103" s="44" t="n">
        <v>0.00603781</v>
      </c>
      <c r="AN103" s="44" t="n">
        <v>0.0093499</v>
      </c>
      <c r="AO103" s="44" t="n">
        <v>0.0302184</v>
      </c>
      <c r="AP103" s="44" t="n">
        <v>0.00626916</v>
      </c>
      <c r="AQ103" s="44" t="n">
        <v>0.0093499</v>
      </c>
      <c r="AR103" s="44" t="n">
        <v>0.0296057</v>
      </c>
      <c r="AS103" s="44" t="n">
        <v>0.00616566</v>
      </c>
      <c r="AT103" s="44" t="n">
        <v>0.0093499</v>
      </c>
      <c r="AU103" s="44" t="n">
        <v>0.0289506</v>
      </c>
      <c r="AV103" s="44" t="n">
        <v>0.00606732</v>
      </c>
      <c r="AW103" s="44" t="n">
        <v>0.0093499</v>
      </c>
      <c r="AX103" s="44" t="n">
        <v>0.028289</v>
      </c>
      <c r="AY103" s="44" t="n">
        <v>0.00597544</v>
      </c>
      <c r="AZ103" s="44" t="n">
        <v>0.0093499</v>
      </c>
      <c r="BA103" s="44" t="n">
        <v>0.0294978</v>
      </c>
      <c r="BB103" s="44" t="n">
        <v>0.00625084</v>
      </c>
      <c r="BC103" s="44" t="n">
        <v>0.0093499</v>
      </c>
      <c r="BD103" s="44" t="n">
        <v>0.0273227</v>
      </c>
      <c r="BE103" s="44" t="n">
        <v>0.00607039</v>
      </c>
      <c r="BF103" s="44" t="n">
        <v>0.0093499</v>
      </c>
      <c r="BG103" s="44" t="n">
        <v>0.0272405</v>
      </c>
      <c r="BH103" s="44" t="n">
        <v>0.00602306</v>
      </c>
      <c r="BI103" s="44" t="n">
        <v>0.0093499</v>
      </c>
      <c r="BJ103" s="44" t="n">
        <v>0.0271936</v>
      </c>
      <c r="BK103" s="44" t="n">
        <v>0.00610079</v>
      </c>
      <c r="BL103" s="44" t="n">
        <v>0.0093499</v>
      </c>
      <c r="BM103" s="44" t="n">
        <v>0.0275436</v>
      </c>
      <c r="BN103" s="44" t="n">
        <v>0.00619648</v>
      </c>
      <c r="BO103" s="44" t="n">
        <v>0.0093499</v>
      </c>
      <c r="BP103" s="44" t="n">
        <v>0.0263499</v>
      </c>
      <c r="BQ103" s="44" t="n">
        <v>0.00607326</v>
      </c>
      <c r="BR103" s="44" t="n">
        <v>0.0093499</v>
      </c>
      <c r="BS103" s="44" t="n">
        <v>0.02709</v>
      </c>
      <c r="BT103" s="44" t="n">
        <v>0.00622001</v>
      </c>
      <c r="BU103" s="44" t="n">
        <v>0.0093499</v>
      </c>
      <c r="BV103" s="44" t="n">
        <v>0.0266324</v>
      </c>
      <c r="BW103" s="44" t="n">
        <v>0.00625177</v>
      </c>
      <c r="BX103" s="44" t="n">
        <v>0.0093499</v>
      </c>
      <c r="BY103" s="44" t="n">
        <v>0.0266926</v>
      </c>
      <c r="BZ103" s="44" t="n">
        <v>0.00616146</v>
      </c>
      <c r="CA103" s="44" t="n">
        <v>0.0093499</v>
      </c>
      <c r="CB103" s="44" t="n">
        <v>0.0256215</v>
      </c>
      <c r="CC103" s="44" t="n">
        <v>0.00597093</v>
      </c>
      <c r="CD103" s="44" t="n">
        <v>0.0093499</v>
      </c>
      <c r="CE103" s="44" t="n">
        <v>0.0251616</v>
      </c>
      <c r="CF103" s="44" t="n">
        <v>0.00600668</v>
      </c>
      <c r="CG103" s="44" t="n">
        <v>0.0093499</v>
      </c>
      <c r="CH103" s="44" t="n">
        <v>0.0244914</v>
      </c>
      <c r="CI103" s="44" t="n">
        <v>0.00607482</v>
      </c>
      <c r="CJ103" s="44" t="n">
        <v>0.0093499</v>
      </c>
      <c r="CK103" s="44" t="n">
        <v>0.0249983</v>
      </c>
      <c r="CL103" s="44" t="n">
        <v>0.00613511</v>
      </c>
      <c r="CM103" s="44" t="n">
        <v>0.0093499</v>
      </c>
      <c r="CN103" s="44" t="n">
        <v>0.0245793</v>
      </c>
      <c r="CO103" s="44" t="n">
        <v>0.00607954</v>
      </c>
      <c r="CP103" s="44" t="n">
        <v>0.0093499</v>
      </c>
      <c r="CQ103" s="44" t="n">
        <v>0.0241788</v>
      </c>
      <c r="CR103" s="44" t="n">
        <v>0.00600427</v>
      </c>
      <c r="CS103" s="44" t="n">
        <v>0.0093499</v>
      </c>
      <c r="CT103" s="44" t="n">
        <v>0.0236465</v>
      </c>
      <c r="CU103" s="44" t="n">
        <v>0.0062038</v>
      </c>
      <c r="CV103" s="44" t="n">
        <v>0.0093499</v>
      </c>
      <c r="CW103" s="44" t="n">
        <v>0.0224312</v>
      </c>
      <c r="CX103" s="44" t="n">
        <v>0.0059293</v>
      </c>
    </row>
    <row collapsed="false" customFormat="false" customHeight="false" hidden="false" ht="12.75" outlineLevel="0" r="104">
      <c r="A104" s="44" t="n">
        <v>0.0094499</v>
      </c>
      <c r="B104" s="44" t="n">
        <v>0.0284418</v>
      </c>
      <c r="C104" s="44" t="n">
        <v>0.00558983</v>
      </c>
      <c r="D104" s="44" t="n">
        <v>0.0094499</v>
      </c>
      <c r="E104" s="44" t="n">
        <v>0.0301896</v>
      </c>
      <c r="F104" s="44" t="n">
        <v>0.00574007</v>
      </c>
      <c r="G104" s="44" t="n">
        <v>0.0094499</v>
      </c>
      <c r="H104" s="44" t="n">
        <v>0.0301991</v>
      </c>
      <c r="I104" s="44" t="n">
        <v>0.00569412</v>
      </c>
      <c r="J104" s="44" t="n">
        <v>0.0094499</v>
      </c>
      <c r="K104" s="44" t="n">
        <v>0.028727</v>
      </c>
      <c r="L104" s="44" t="n">
        <v>0.00558034</v>
      </c>
      <c r="M104" s="44" t="n">
        <v>0.0094499</v>
      </c>
      <c r="N104" s="44" t="n">
        <v>0.0292647</v>
      </c>
      <c r="O104" s="44" t="n">
        <v>0.00566695</v>
      </c>
      <c r="P104" s="44" t="n">
        <v>0.0094499</v>
      </c>
      <c r="Q104" s="44" t="n">
        <v>0.0308752</v>
      </c>
      <c r="R104" s="44" t="n">
        <v>0.00581213</v>
      </c>
      <c r="S104" s="44" t="n">
        <v>0.0094499</v>
      </c>
      <c r="T104" s="44" t="n">
        <v>0.0302352</v>
      </c>
      <c r="U104" s="44" t="n">
        <v>0.00589554</v>
      </c>
      <c r="V104" s="44" t="n">
        <v>0.0094499</v>
      </c>
      <c r="W104" s="44" t="n">
        <v>0.0305709</v>
      </c>
      <c r="X104" s="44" t="n">
        <v>0.00578386</v>
      </c>
      <c r="Y104" s="44" t="n">
        <v>0.0094499</v>
      </c>
      <c r="Z104" s="44" t="n">
        <v>0.0294616</v>
      </c>
      <c r="AA104" s="44" t="n">
        <v>0.00583038</v>
      </c>
      <c r="AB104" s="44" t="n">
        <v>0.0094499</v>
      </c>
      <c r="AC104" s="44" t="n">
        <v>0.0298588</v>
      </c>
      <c r="AD104" s="44" t="n">
        <v>0.00576</v>
      </c>
      <c r="AE104" s="44" t="n">
        <v>0.0094499</v>
      </c>
      <c r="AF104" s="44" t="n">
        <v>0.0294555</v>
      </c>
      <c r="AG104" s="44" t="n">
        <v>0.00583337</v>
      </c>
      <c r="AH104" s="44" t="n">
        <v>0.0094499</v>
      </c>
      <c r="AI104" s="44" t="n">
        <v>0.0273196</v>
      </c>
      <c r="AJ104" s="44" t="n">
        <v>0.00572655</v>
      </c>
      <c r="AK104" s="44" t="n">
        <v>0.0094499</v>
      </c>
      <c r="AL104" s="44" t="n">
        <v>0.027681</v>
      </c>
      <c r="AM104" s="44" t="n">
        <v>0.00573019</v>
      </c>
      <c r="AN104" s="44" t="n">
        <v>0.0094499</v>
      </c>
      <c r="AO104" s="44" t="n">
        <v>0.0281823</v>
      </c>
      <c r="AP104" s="44" t="n">
        <v>0.00592345</v>
      </c>
      <c r="AQ104" s="44" t="n">
        <v>0.0094499</v>
      </c>
      <c r="AR104" s="44" t="n">
        <v>0.0278723</v>
      </c>
      <c r="AS104" s="44" t="n">
        <v>0.00585804</v>
      </c>
      <c r="AT104" s="44" t="n">
        <v>0.0094499</v>
      </c>
      <c r="AU104" s="44" t="n">
        <v>0.0271537</v>
      </c>
      <c r="AV104" s="44" t="n">
        <v>0.00576263</v>
      </c>
      <c r="AW104" s="44" t="n">
        <v>0.0094499</v>
      </c>
      <c r="AX104" s="44" t="n">
        <v>0.0266093</v>
      </c>
      <c r="AY104" s="44" t="n">
        <v>0.00566392</v>
      </c>
      <c r="AZ104" s="44" t="n">
        <v>0.0094499</v>
      </c>
      <c r="BA104" s="44" t="n">
        <v>0.0276716</v>
      </c>
      <c r="BB104" s="44" t="n">
        <v>0.0059608</v>
      </c>
      <c r="BC104" s="44" t="n">
        <v>0.0094499</v>
      </c>
      <c r="BD104" s="44" t="n">
        <v>0.0256528</v>
      </c>
      <c r="BE104" s="44" t="n">
        <v>0.00575301</v>
      </c>
      <c r="BF104" s="44" t="n">
        <v>0.0094499</v>
      </c>
      <c r="BG104" s="44" t="n">
        <v>0.0252093</v>
      </c>
      <c r="BH104" s="44" t="n">
        <v>0.00573888</v>
      </c>
      <c r="BI104" s="44" t="n">
        <v>0.0094499</v>
      </c>
      <c r="BJ104" s="44" t="n">
        <v>0.0255921</v>
      </c>
      <c r="BK104" s="44" t="n">
        <v>0.00579903</v>
      </c>
      <c r="BL104" s="44" t="n">
        <v>0.0094499</v>
      </c>
      <c r="BM104" s="44" t="n">
        <v>0.0260934</v>
      </c>
      <c r="BN104" s="44" t="n">
        <v>0.00585957</v>
      </c>
      <c r="BO104" s="44" t="n">
        <v>0.0094499</v>
      </c>
      <c r="BP104" s="44" t="n">
        <v>0.02468</v>
      </c>
      <c r="BQ104" s="44" t="n">
        <v>0.00577736</v>
      </c>
      <c r="BR104" s="44" t="n">
        <v>0.0094499</v>
      </c>
      <c r="BS104" s="44" t="n">
        <v>0.0252102</v>
      </c>
      <c r="BT104" s="44" t="n">
        <v>0.0059036</v>
      </c>
      <c r="BU104" s="44" t="n">
        <v>0.0094499</v>
      </c>
      <c r="BV104" s="44" t="n">
        <v>0.0254654</v>
      </c>
      <c r="BW104" s="44" t="n">
        <v>0.00595489</v>
      </c>
      <c r="BX104" s="44" t="n">
        <v>0.0094499</v>
      </c>
      <c r="BY104" s="44" t="n">
        <v>0.0249836</v>
      </c>
      <c r="BZ104" s="44" t="n">
        <v>0.00585189</v>
      </c>
      <c r="CA104" s="44" t="n">
        <v>0.0094499</v>
      </c>
      <c r="CB104" s="44" t="n">
        <v>0.023932</v>
      </c>
      <c r="CC104" s="44" t="n">
        <v>0.00568187</v>
      </c>
      <c r="CD104" s="44" t="n">
        <v>0.0094499</v>
      </c>
      <c r="CE104" s="44" t="n">
        <v>0.0233598</v>
      </c>
      <c r="CF104" s="44" t="n">
        <v>0.00568637</v>
      </c>
      <c r="CG104" s="44" t="n">
        <v>0.0094499</v>
      </c>
      <c r="CH104" s="44" t="n">
        <v>0.0227873</v>
      </c>
      <c r="CI104" s="44" t="n">
        <v>0.00576817</v>
      </c>
      <c r="CJ104" s="44" t="n">
        <v>0.0094499</v>
      </c>
      <c r="CK104" s="44" t="n">
        <v>0.0236116</v>
      </c>
      <c r="CL104" s="44" t="n">
        <v>0.00586754</v>
      </c>
      <c r="CM104" s="44" t="n">
        <v>0.0094499</v>
      </c>
      <c r="CN104" s="44" t="n">
        <v>0.023256</v>
      </c>
      <c r="CO104" s="44" t="n">
        <v>0.00575825</v>
      </c>
      <c r="CP104" s="44" t="n">
        <v>0.0094499</v>
      </c>
      <c r="CQ104" s="44" t="n">
        <v>0.0229972</v>
      </c>
      <c r="CR104" s="44" t="n">
        <v>0.00567907</v>
      </c>
      <c r="CS104" s="44" t="n">
        <v>0.0094499</v>
      </c>
      <c r="CT104" s="44" t="n">
        <v>0.0222891</v>
      </c>
      <c r="CU104" s="44" t="n">
        <v>0.00588154</v>
      </c>
      <c r="CV104" s="44" t="n">
        <v>0.0094499</v>
      </c>
      <c r="CW104" s="44" t="n">
        <v>0.0205757</v>
      </c>
      <c r="CX104" s="44" t="n">
        <v>0.00565977</v>
      </c>
    </row>
    <row collapsed="false" customFormat="false" customHeight="false" hidden="false" ht="12.75" outlineLevel="0" r="105">
      <c r="A105" s="44" t="n">
        <v>0.0095499</v>
      </c>
      <c r="B105" s="44" t="n">
        <v>0.0265571</v>
      </c>
      <c r="C105" s="44" t="n">
        <v>0.00530566</v>
      </c>
      <c r="D105" s="44" t="n">
        <v>0.0095499</v>
      </c>
      <c r="E105" s="44" t="n">
        <v>0.0288517</v>
      </c>
      <c r="F105" s="44" t="n">
        <v>0.00545296</v>
      </c>
      <c r="G105" s="44" t="n">
        <v>0.0095499</v>
      </c>
      <c r="H105" s="44" t="n">
        <v>0.0285096</v>
      </c>
      <c r="I105" s="44" t="n">
        <v>0.00540213</v>
      </c>
      <c r="J105" s="44" t="n">
        <v>0.0095499</v>
      </c>
      <c r="K105" s="44" t="n">
        <v>0.0270766</v>
      </c>
      <c r="L105" s="44" t="n">
        <v>0.00529616</v>
      </c>
      <c r="M105" s="44" t="n">
        <v>0.0095499</v>
      </c>
      <c r="N105" s="44" t="n">
        <v>0.0271162</v>
      </c>
      <c r="O105" s="44" t="n">
        <v>0.00538277</v>
      </c>
      <c r="P105" s="44" t="n">
        <v>0.0095499</v>
      </c>
      <c r="Q105" s="44" t="n">
        <v>0.0290295</v>
      </c>
      <c r="R105" s="44" t="n">
        <v>0.00551818</v>
      </c>
      <c r="S105" s="44" t="n">
        <v>0.0095499</v>
      </c>
      <c r="T105" s="44" t="n">
        <v>0.028448</v>
      </c>
      <c r="U105" s="44" t="n">
        <v>0.00556742</v>
      </c>
      <c r="V105" s="44" t="n">
        <v>0.0095499</v>
      </c>
      <c r="W105" s="44" t="n">
        <v>0.0286081</v>
      </c>
      <c r="X105" s="44" t="n">
        <v>0.00550457</v>
      </c>
      <c r="Y105" s="44" t="n">
        <v>0.0095499</v>
      </c>
      <c r="Z105" s="44" t="n">
        <v>0.0283678</v>
      </c>
      <c r="AA105" s="44" t="n">
        <v>0.00553643</v>
      </c>
      <c r="AB105" s="44" t="n">
        <v>0.0095499</v>
      </c>
      <c r="AC105" s="44" t="n">
        <v>0.0277739</v>
      </c>
      <c r="AD105" s="44" t="n">
        <v>0.00547484</v>
      </c>
      <c r="AE105" s="44" t="n">
        <v>0.0095499</v>
      </c>
      <c r="AF105" s="44" t="n">
        <v>0.0274486</v>
      </c>
      <c r="AG105" s="44" t="n">
        <v>0.00550231</v>
      </c>
      <c r="AH105" s="44" t="n">
        <v>0.0095499</v>
      </c>
      <c r="AI105" s="44" t="n">
        <v>0.0252591</v>
      </c>
      <c r="AJ105" s="44" t="n">
        <v>0.00542577</v>
      </c>
      <c r="AK105" s="44" t="n">
        <v>0.0095499</v>
      </c>
      <c r="AL105" s="44" t="n">
        <v>0.0259232</v>
      </c>
      <c r="AM105" s="44" t="n">
        <v>0.00543039</v>
      </c>
      <c r="AN105" s="44" t="n">
        <v>0.0095499</v>
      </c>
      <c r="AO105" s="44" t="n">
        <v>0.0268395</v>
      </c>
      <c r="AP105" s="44" t="n">
        <v>0.00564709</v>
      </c>
      <c r="AQ105" s="44" t="n">
        <v>0.0095499</v>
      </c>
      <c r="AR105" s="44" t="n">
        <v>0.0259827</v>
      </c>
      <c r="AS105" s="44" t="n">
        <v>0.00554261</v>
      </c>
      <c r="AT105" s="44" t="n">
        <v>0.0095499</v>
      </c>
      <c r="AU105" s="44" t="n">
        <v>0.0252739</v>
      </c>
      <c r="AV105" s="44" t="n">
        <v>0.00545502</v>
      </c>
      <c r="AW105" s="44" t="n">
        <v>0.0095499</v>
      </c>
      <c r="AX105" s="44" t="n">
        <v>0.0246709</v>
      </c>
      <c r="AY105" s="44" t="n">
        <v>0.00539536</v>
      </c>
      <c r="AZ105" s="44" t="n">
        <v>0.0095499</v>
      </c>
      <c r="BA105" s="44" t="n">
        <v>0.0259138</v>
      </c>
      <c r="BB105" s="44" t="n">
        <v>0.00564244</v>
      </c>
      <c r="BC105" s="44" t="n">
        <v>0.0095499</v>
      </c>
      <c r="BD105" s="44" t="n">
        <v>0.0240659</v>
      </c>
      <c r="BE105" s="44" t="n">
        <v>0.00547176</v>
      </c>
      <c r="BF105" s="44" t="n">
        <v>0.0095499</v>
      </c>
      <c r="BG105" s="44" t="n">
        <v>0.0235882</v>
      </c>
      <c r="BH105" s="44" t="n">
        <v>0.00543615</v>
      </c>
      <c r="BI105" s="44" t="n">
        <v>0.0095499</v>
      </c>
      <c r="BJ105" s="44" t="n">
        <v>0.023551</v>
      </c>
      <c r="BK105" s="44" t="n">
        <v>0.00552266</v>
      </c>
      <c r="BL105" s="44" t="n">
        <v>0.0095499</v>
      </c>
      <c r="BM105" s="44" t="n">
        <v>0.0244088</v>
      </c>
      <c r="BN105" s="44" t="n">
        <v>0.00561543</v>
      </c>
      <c r="BO105" s="44" t="n">
        <v>0.0095499</v>
      </c>
      <c r="BP105" s="44" t="n">
        <v>0.0234495</v>
      </c>
      <c r="BQ105" s="44" t="n">
        <v>0.00549221</v>
      </c>
      <c r="BR105" s="44" t="n">
        <v>0.0095499</v>
      </c>
      <c r="BS105" s="44" t="n">
        <v>0.0235256</v>
      </c>
      <c r="BT105" s="44" t="n">
        <v>0.00558133</v>
      </c>
      <c r="BU105" s="44" t="n">
        <v>0.0095499</v>
      </c>
      <c r="BV105" s="44" t="n">
        <v>0.0236832</v>
      </c>
      <c r="BW105" s="44" t="n">
        <v>0.00563653</v>
      </c>
      <c r="BX105" s="44" t="n">
        <v>0.0095499</v>
      </c>
      <c r="BY105" s="44" t="n">
        <v>0.0233674</v>
      </c>
      <c r="BZ105" s="44" t="n">
        <v>0.00556478</v>
      </c>
      <c r="CA105" s="44" t="n">
        <v>0.0095499</v>
      </c>
      <c r="CB105" s="44" t="n">
        <v>0.0224916</v>
      </c>
      <c r="CC105" s="44" t="n">
        <v>0.00542504</v>
      </c>
      <c r="CD105" s="44" t="n">
        <v>0.0095499</v>
      </c>
      <c r="CE105" s="44" t="n">
        <v>0.0221635</v>
      </c>
      <c r="CF105" s="44" t="n">
        <v>0.00538363</v>
      </c>
      <c r="CG105" s="44" t="n">
        <v>0.0095499</v>
      </c>
      <c r="CH105" s="44" t="n">
        <v>0.0217375</v>
      </c>
      <c r="CI105" s="44" t="n">
        <v>0.00546349</v>
      </c>
      <c r="CJ105" s="44" t="n">
        <v>0.0095499</v>
      </c>
      <c r="CK105" s="44" t="n">
        <v>0.0223323</v>
      </c>
      <c r="CL105" s="44" t="n">
        <v>0.00556285</v>
      </c>
      <c r="CM105" s="44" t="n">
        <v>0.0095499</v>
      </c>
      <c r="CN105" s="44" t="n">
        <v>0.0217521</v>
      </c>
      <c r="CO105" s="44" t="n">
        <v>0.00547017</v>
      </c>
      <c r="CP105" s="44" t="n">
        <v>0.0095499</v>
      </c>
      <c r="CQ105" s="44" t="n">
        <v>0.021547</v>
      </c>
      <c r="CR105" s="44" t="n">
        <v>0.00540857</v>
      </c>
      <c r="CS105" s="44" t="n">
        <v>0.0095499</v>
      </c>
      <c r="CT105" s="44" t="n">
        <v>0.0207461</v>
      </c>
      <c r="CU105" s="44" t="n">
        <v>0.00558466</v>
      </c>
      <c r="CV105" s="44" t="n">
        <v>0.0095499</v>
      </c>
      <c r="CW105" s="44" t="n">
        <v>0.0191939</v>
      </c>
      <c r="CX105" s="44" t="n">
        <v>0.00538145</v>
      </c>
    </row>
    <row collapsed="false" customFormat="false" customHeight="false" hidden="false" ht="12.75" outlineLevel="0" r="106">
      <c r="A106" s="44" t="n">
        <v>0.0096499</v>
      </c>
      <c r="B106" s="44" t="n">
        <v>0.0248139</v>
      </c>
      <c r="C106" s="44" t="n">
        <v>0.00501757</v>
      </c>
      <c r="D106" s="44" t="n">
        <v>0.0096499</v>
      </c>
      <c r="E106" s="44" t="n">
        <v>0.0266545</v>
      </c>
      <c r="F106" s="44" t="n">
        <v>0.00519612</v>
      </c>
      <c r="G106" s="44" t="n">
        <v>0.0096499</v>
      </c>
      <c r="H106" s="44" t="n">
        <v>0.0264052</v>
      </c>
      <c r="I106" s="44" t="n">
        <v>0.0051199</v>
      </c>
      <c r="J106" s="44" t="n">
        <v>0.0096499</v>
      </c>
      <c r="K106" s="44" t="n">
        <v>0.0255288</v>
      </c>
      <c r="L106" s="44" t="n">
        <v>0.00503444</v>
      </c>
      <c r="M106" s="44" t="n">
        <v>0.0096499</v>
      </c>
      <c r="N106" s="44" t="n">
        <v>0.0254317</v>
      </c>
      <c r="O106" s="44" t="n">
        <v>0.00509468</v>
      </c>
      <c r="P106" s="44" t="n">
        <v>0.0096499</v>
      </c>
      <c r="Q106" s="44" t="n">
        <v>0.0276427</v>
      </c>
      <c r="R106" s="44" t="n">
        <v>0.00523986</v>
      </c>
      <c r="S106" s="44" t="n">
        <v>0.0096499</v>
      </c>
      <c r="T106" s="44" t="n">
        <v>0.0269978</v>
      </c>
      <c r="U106" s="44" t="n">
        <v>0.00528422</v>
      </c>
      <c r="V106" s="44" t="n">
        <v>0.0096499</v>
      </c>
      <c r="W106" s="44" t="n">
        <v>0.0272262</v>
      </c>
      <c r="X106" s="44" t="n">
        <v>0.00521551</v>
      </c>
      <c r="Y106" s="44" t="n">
        <v>0.0096499</v>
      </c>
      <c r="Z106" s="44" t="n">
        <v>0.0267223</v>
      </c>
      <c r="AA106" s="44" t="n">
        <v>0.00527569</v>
      </c>
      <c r="AB106" s="44" t="n">
        <v>0.0096499</v>
      </c>
      <c r="AC106" s="44" t="n">
        <v>0.0259135</v>
      </c>
      <c r="AD106" s="44" t="n">
        <v>0.00517406</v>
      </c>
      <c r="AE106" s="44" t="n">
        <v>0.0096499</v>
      </c>
      <c r="AF106" s="44" t="n">
        <v>0.0259301</v>
      </c>
      <c r="AG106" s="44" t="n">
        <v>0.00523571</v>
      </c>
      <c r="AH106" s="44" t="n">
        <v>0.0096499</v>
      </c>
      <c r="AI106" s="44" t="n">
        <v>0.0244387</v>
      </c>
      <c r="AJ106" s="44" t="n">
        <v>0.00515038</v>
      </c>
      <c r="AK106" s="44" t="n">
        <v>0.0096499</v>
      </c>
      <c r="AL106" s="44" t="n">
        <v>0.0242338</v>
      </c>
      <c r="AM106" s="44" t="n">
        <v>0.00517941</v>
      </c>
      <c r="AN106" s="44" t="n">
        <v>0.0096499</v>
      </c>
      <c r="AO106" s="44" t="n">
        <v>0.0251696</v>
      </c>
      <c r="AP106" s="44" t="n">
        <v>0.00531603</v>
      </c>
      <c r="AQ106" s="44" t="n">
        <v>0.0096499</v>
      </c>
      <c r="AR106" s="44" t="n">
        <v>0.0244836</v>
      </c>
      <c r="AS106" s="44" t="n">
        <v>0.00526331</v>
      </c>
      <c r="AT106" s="44" t="n">
        <v>0.0096499</v>
      </c>
      <c r="AU106" s="44" t="n">
        <v>0.0242143</v>
      </c>
      <c r="AV106" s="44" t="n">
        <v>0.00518353</v>
      </c>
      <c r="AW106" s="44" t="n">
        <v>0.0096499</v>
      </c>
      <c r="AX106" s="44" t="n">
        <v>0.0234453</v>
      </c>
      <c r="AY106" s="44" t="n">
        <v>0.00510825</v>
      </c>
      <c r="AZ106" s="44" t="n">
        <v>0.0096499</v>
      </c>
      <c r="BA106" s="44" t="n">
        <v>0.0242634</v>
      </c>
      <c r="BB106" s="44" t="n">
        <v>0.0053563</v>
      </c>
      <c r="BC106" s="44" t="n">
        <v>0.0096499</v>
      </c>
      <c r="BD106" s="44" t="n">
        <v>0.0223374</v>
      </c>
      <c r="BE106" s="44" t="n">
        <v>0.00518465</v>
      </c>
      <c r="BF106" s="44" t="n">
        <v>0.0096499</v>
      </c>
      <c r="BG106" s="44" t="n">
        <v>0.0219622</v>
      </c>
      <c r="BH106" s="44" t="n">
        <v>0.00513537</v>
      </c>
      <c r="BI106" s="44" t="n">
        <v>0.0096499</v>
      </c>
      <c r="BJ106" s="44" t="n">
        <v>0.0219837</v>
      </c>
      <c r="BK106" s="44" t="n">
        <v>0.00524239</v>
      </c>
      <c r="BL106" s="44" t="n">
        <v>0.0096499</v>
      </c>
      <c r="BM106" s="44" t="n">
        <v>0.0229635</v>
      </c>
      <c r="BN106" s="44" t="n">
        <v>0.00529218</v>
      </c>
      <c r="BO106" s="44" t="n">
        <v>0.0096499</v>
      </c>
      <c r="BP106" s="44" t="n">
        <v>0.0219456</v>
      </c>
      <c r="BQ106" s="44" t="n">
        <v>0.00518947</v>
      </c>
      <c r="BR106" s="44" t="n">
        <v>0.0096499</v>
      </c>
      <c r="BS106" s="44" t="n">
        <v>0.0220314</v>
      </c>
      <c r="BT106" s="44" t="n">
        <v>0.00528837</v>
      </c>
      <c r="BU106" s="44" t="n">
        <v>0.0096499</v>
      </c>
      <c r="BV106" s="44" t="n">
        <v>0.0220621</v>
      </c>
      <c r="BW106" s="44" t="n">
        <v>0.00534845</v>
      </c>
      <c r="BX106" s="44" t="n">
        <v>0.0096499</v>
      </c>
      <c r="BY106" s="44" t="n">
        <v>0.0221125</v>
      </c>
      <c r="BZ106" s="44" t="n">
        <v>0.00527377</v>
      </c>
      <c r="CA106" s="44" t="n">
        <v>0.0096499</v>
      </c>
      <c r="CB106" s="44" t="n">
        <v>0.0213295</v>
      </c>
      <c r="CC106" s="44" t="n">
        <v>0.00512328</v>
      </c>
      <c r="CD106" s="44" t="n">
        <v>0.0096499</v>
      </c>
      <c r="CE106" s="44" t="n">
        <v>0.0206205</v>
      </c>
      <c r="CF106" s="44" t="n">
        <v>0.00511606</v>
      </c>
      <c r="CG106" s="44" t="n">
        <v>0.0096499</v>
      </c>
      <c r="CH106" s="44" t="n">
        <v>0.0205217</v>
      </c>
      <c r="CI106" s="44" t="n">
        <v>0.00517931</v>
      </c>
      <c r="CJ106" s="44" t="n">
        <v>0.0096499</v>
      </c>
      <c r="CK106" s="44" t="n">
        <v>0.0210189</v>
      </c>
      <c r="CL106" s="44" t="n">
        <v>0.00527281</v>
      </c>
      <c r="CM106" s="44" t="n">
        <v>0.0096499</v>
      </c>
      <c r="CN106" s="44" t="n">
        <v>0.0205607</v>
      </c>
      <c r="CO106" s="44" t="n">
        <v>0.00518892</v>
      </c>
      <c r="CP106" s="44" t="n">
        <v>0.0096499</v>
      </c>
      <c r="CQ106" s="44" t="n">
        <v>0.0198283</v>
      </c>
      <c r="CR106" s="44" t="n">
        <v>0.00511364</v>
      </c>
      <c r="CS106" s="44" t="n">
        <v>0.0096499</v>
      </c>
      <c r="CT106" s="44" t="n">
        <v>0.0191739</v>
      </c>
      <c r="CU106" s="44" t="n">
        <v>0.00528193</v>
      </c>
      <c r="CV106" s="44" t="n">
        <v>0.0096499</v>
      </c>
      <c r="CW106" s="44" t="n">
        <v>0.0177437</v>
      </c>
      <c r="CX106" s="44" t="n">
        <v>0.00508555</v>
      </c>
    </row>
    <row collapsed="false" customFormat="false" customHeight="false" hidden="false" ht="12.75" outlineLevel="0" r="107">
      <c r="A107" s="44" t="n">
        <v>0.0097499</v>
      </c>
      <c r="B107" s="44" t="n">
        <v>0.0236323</v>
      </c>
      <c r="C107" s="44" t="n">
        <v>0.00478515</v>
      </c>
      <c r="D107" s="44" t="n">
        <v>0.0097499</v>
      </c>
      <c r="E107" s="44" t="n">
        <v>0.0246427</v>
      </c>
      <c r="F107" s="44" t="n">
        <v>0.00489534</v>
      </c>
      <c r="G107" s="44" t="n">
        <v>0.0097499</v>
      </c>
      <c r="H107" s="44" t="n">
        <v>0.0245985</v>
      </c>
      <c r="I107" s="44" t="n">
        <v>0.00486014</v>
      </c>
      <c r="J107" s="44" t="n">
        <v>0.0097499</v>
      </c>
      <c r="K107" s="44" t="n">
        <v>0.0237417</v>
      </c>
      <c r="L107" s="44" t="n">
        <v>0.00475319</v>
      </c>
      <c r="M107" s="44" t="n">
        <v>0.0097499</v>
      </c>
      <c r="N107" s="44" t="n">
        <v>0.0237373</v>
      </c>
      <c r="O107" s="44" t="n">
        <v>0.00482613</v>
      </c>
      <c r="P107" s="44" t="n">
        <v>0.0097499</v>
      </c>
      <c r="Q107" s="44" t="n">
        <v>0.0255773</v>
      </c>
      <c r="R107" s="44" t="n">
        <v>0.00494494</v>
      </c>
      <c r="S107" s="44" t="n">
        <v>0.0097499</v>
      </c>
      <c r="T107" s="44" t="n">
        <v>0.0249812</v>
      </c>
      <c r="U107" s="44" t="n">
        <v>0.00501078</v>
      </c>
      <c r="V107" s="44" t="n">
        <v>0.0097499</v>
      </c>
      <c r="W107" s="44" t="n">
        <v>0.0251364</v>
      </c>
      <c r="X107" s="44" t="n">
        <v>0.00493426</v>
      </c>
      <c r="Y107" s="44" t="n">
        <v>0.0097499</v>
      </c>
      <c r="Z107" s="44" t="n">
        <v>0.0245787</v>
      </c>
      <c r="AA107" s="44" t="n">
        <v>0.00499542</v>
      </c>
      <c r="AB107" s="44" t="n">
        <v>0.0097499</v>
      </c>
      <c r="AC107" s="44" t="n">
        <v>0.0243803</v>
      </c>
      <c r="AD107" s="44" t="n">
        <v>0.00492797</v>
      </c>
      <c r="AE107" s="44" t="n">
        <v>0.0097499</v>
      </c>
      <c r="AF107" s="44" t="n">
        <v>0.0241186</v>
      </c>
      <c r="AG107" s="44" t="n">
        <v>0.00498766</v>
      </c>
      <c r="AH107" s="44" t="n">
        <v>0.0097499</v>
      </c>
      <c r="AI107" s="44" t="n">
        <v>0.0218704</v>
      </c>
      <c r="AJ107" s="44" t="n">
        <v>0.00487206</v>
      </c>
      <c r="AK107" s="44" t="n">
        <v>0.0097499</v>
      </c>
      <c r="AL107" s="44" t="n">
        <v>0.0227347</v>
      </c>
      <c r="AM107" s="44" t="n">
        <v>0.00488839</v>
      </c>
      <c r="AN107" s="44" t="n">
        <v>0.0097499</v>
      </c>
      <c r="AO107" s="44" t="n">
        <v>0.0236657</v>
      </c>
      <c r="AP107" s="44" t="n">
        <v>0.00506213</v>
      </c>
      <c r="AQ107" s="44" t="n">
        <v>0.0097499</v>
      </c>
      <c r="AR107" s="44" t="n">
        <v>0.0224573</v>
      </c>
      <c r="AS107" s="44" t="n">
        <v>0.00499573</v>
      </c>
      <c r="AT107" s="44" t="n">
        <v>0.0097499</v>
      </c>
      <c r="AU107" s="44" t="n">
        <v>0.0219536</v>
      </c>
      <c r="AV107" s="44" t="n">
        <v>0.00493939</v>
      </c>
      <c r="AW107" s="44" t="n">
        <v>0.0097499</v>
      </c>
      <c r="AX107" s="44" t="n">
        <v>0.0215703</v>
      </c>
      <c r="AY107" s="44" t="n">
        <v>0.00483384</v>
      </c>
      <c r="AZ107" s="44" t="n">
        <v>0.0097499</v>
      </c>
      <c r="BA107" s="44" t="n">
        <v>0.0226521</v>
      </c>
      <c r="BB107" s="44" t="n">
        <v>0.00509752</v>
      </c>
      <c r="BC107" s="44" t="n">
        <v>0.0097499</v>
      </c>
      <c r="BD107" s="44" t="n">
        <v>0.0209555</v>
      </c>
      <c r="BE107" s="44" t="n">
        <v>0.00490828</v>
      </c>
      <c r="BF107" s="44" t="n">
        <v>0.0097499</v>
      </c>
      <c r="BG107" s="44" t="n">
        <v>0.0210882</v>
      </c>
      <c r="BH107" s="44" t="n">
        <v>0.0048717</v>
      </c>
      <c r="BI107" s="44" t="n">
        <v>0.0097499</v>
      </c>
      <c r="BJ107" s="44" t="n">
        <v>0.0206653</v>
      </c>
      <c r="BK107" s="44" t="n">
        <v>0.00497579</v>
      </c>
      <c r="BL107" s="44" t="n">
        <v>0.0097499</v>
      </c>
      <c r="BM107" s="44" t="n">
        <v>0.0215475</v>
      </c>
      <c r="BN107" s="44" t="n">
        <v>0.00501679</v>
      </c>
      <c r="BO107" s="44" t="n">
        <v>0.0097499</v>
      </c>
      <c r="BP107" s="44" t="n">
        <v>0.021223</v>
      </c>
      <c r="BQ107" s="44" t="n">
        <v>0.00495315</v>
      </c>
      <c r="BR107" s="44" t="n">
        <v>0.0097499</v>
      </c>
      <c r="BS107" s="44" t="n">
        <v>0.020674</v>
      </c>
      <c r="BT107" s="44" t="n">
        <v>0.00503837</v>
      </c>
      <c r="BU107" s="44" t="n">
        <v>0.0097499</v>
      </c>
      <c r="BV107" s="44" t="n">
        <v>0.0210318</v>
      </c>
      <c r="BW107" s="44" t="n">
        <v>0.00507892</v>
      </c>
      <c r="BX107" s="44" t="n">
        <v>0.0097499</v>
      </c>
      <c r="BY107" s="44" t="n">
        <v>0.021175</v>
      </c>
      <c r="BZ107" s="44" t="n">
        <v>0.00501107</v>
      </c>
      <c r="CA107" s="44" t="n">
        <v>0.0097499</v>
      </c>
      <c r="CB107" s="44" t="n">
        <v>0.0202602</v>
      </c>
      <c r="CC107" s="44" t="n">
        <v>0.00486742</v>
      </c>
      <c r="CD107" s="44" t="n">
        <v>0.0097499</v>
      </c>
      <c r="CE107" s="44" t="n">
        <v>0.0196342</v>
      </c>
      <c r="CF107" s="44" t="n">
        <v>0.00482797</v>
      </c>
      <c r="CG107" s="44" t="n">
        <v>0.0097499</v>
      </c>
      <c r="CH107" s="44" t="n">
        <v>0.0193108</v>
      </c>
      <c r="CI107" s="44" t="n">
        <v>0.00490099</v>
      </c>
      <c r="CJ107" s="44" t="n">
        <v>0.0097499</v>
      </c>
      <c r="CK107" s="44" t="n">
        <v>0.0194124</v>
      </c>
      <c r="CL107" s="44" t="n">
        <v>0.00500035</v>
      </c>
      <c r="CM107" s="44" t="n">
        <v>0.0097499</v>
      </c>
      <c r="CN107" s="44" t="n">
        <v>0.0191545</v>
      </c>
      <c r="CO107" s="44" t="n">
        <v>0.00491841</v>
      </c>
      <c r="CP107" s="44" t="n">
        <v>0.0097499</v>
      </c>
      <c r="CQ107" s="44" t="n">
        <v>0.01892</v>
      </c>
      <c r="CR107" s="44" t="n">
        <v>0.00485681</v>
      </c>
      <c r="CS107" s="44" t="n">
        <v>0.0097499</v>
      </c>
      <c r="CT107" s="44" t="n">
        <v>0.0183291</v>
      </c>
      <c r="CU107" s="44" t="n">
        <v>0.00500556</v>
      </c>
      <c r="CV107" s="44" t="n">
        <v>0.0097499</v>
      </c>
      <c r="CW107" s="44" t="n">
        <v>0.016938</v>
      </c>
      <c r="CX107" s="44" t="n">
        <v>0.00481406</v>
      </c>
    </row>
    <row collapsed="false" customFormat="false" customHeight="false" hidden="false" ht="12.75" outlineLevel="0" r="108">
      <c r="A108" s="44" t="n">
        <v>0.0098499</v>
      </c>
      <c r="B108" s="44" t="n">
        <v>0.0215717</v>
      </c>
      <c r="C108" s="44" t="n">
        <v>0.00449608</v>
      </c>
      <c r="D108" s="44" t="n">
        <v>0.0098499</v>
      </c>
      <c r="E108" s="44" t="n">
        <v>0.0233341</v>
      </c>
      <c r="F108" s="44" t="n">
        <v>0.00464241</v>
      </c>
      <c r="G108" s="44" t="n">
        <v>0.0098499</v>
      </c>
      <c r="H108" s="44" t="n">
        <v>0.0230018</v>
      </c>
      <c r="I108" s="44" t="n">
        <v>0.00462576</v>
      </c>
      <c r="J108" s="44" t="n">
        <v>0.0098499</v>
      </c>
      <c r="K108" s="44" t="n">
        <v>0.0220132</v>
      </c>
      <c r="L108" s="44" t="n">
        <v>0.00450905</v>
      </c>
      <c r="M108" s="44" t="n">
        <v>0.0098499</v>
      </c>
      <c r="N108" s="44" t="n">
        <v>0.0222432</v>
      </c>
      <c r="O108" s="44" t="n">
        <v>0.0045898</v>
      </c>
      <c r="P108" s="44" t="n">
        <v>0.0098499</v>
      </c>
      <c r="Q108" s="44" t="n">
        <v>0.0235558</v>
      </c>
      <c r="R108" s="44" t="n">
        <v>0.00469103</v>
      </c>
      <c r="S108" s="44" t="n">
        <v>0.0098499</v>
      </c>
      <c r="T108" s="44" t="n">
        <v>0.0237557</v>
      </c>
      <c r="U108" s="44" t="n">
        <v>0.00473539</v>
      </c>
      <c r="V108" s="44" t="n">
        <v>0.0098499</v>
      </c>
      <c r="W108" s="44" t="n">
        <v>0.0232028</v>
      </c>
      <c r="X108" s="44" t="n">
        <v>0.00468621</v>
      </c>
      <c r="Y108" s="44" t="n">
        <v>0.0098499</v>
      </c>
      <c r="Z108" s="44" t="n">
        <v>0.0237584</v>
      </c>
      <c r="AA108" s="44" t="n">
        <v>0.00475323</v>
      </c>
      <c r="AB108" s="44" t="n">
        <v>0.0098499</v>
      </c>
      <c r="AC108" s="44" t="n">
        <v>0.0231401</v>
      </c>
      <c r="AD108" s="44" t="n">
        <v>0.00466429</v>
      </c>
      <c r="AE108" s="44" t="n">
        <v>0.0098499</v>
      </c>
      <c r="AF108" s="44" t="n">
        <v>0.0224145</v>
      </c>
      <c r="AG108" s="44" t="n">
        <v>0.00472594</v>
      </c>
      <c r="AH108" s="44" t="n">
        <v>0.0098499</v>
      </c>
      <c r="AI108" s="44" t="n">
        <v>0.0204007</v>
      </c>
      <c r="AJ108" s="44" t="n">
        <v>0.00464159</v>
      </c>
      <c r="AK108" s="44" t="n">
        <v>0.0098499</v>
      </c>
      <c r="AL108" s="44" t="n">
        <v>0.0209086</v>
      </c>
      <c r="AM108" s="44" t="n">
        <v>0.00463839</v>
      </c>
      <c r="AN108" s="44" t="n">
        <v>0.0098499</v>
      </c>
      <c r="AO108" s="44" t="n">
        <v>0.0220543</v>
      </c>
      <c r="AP108" s="44" t="n">
        <v>0.00478673</v>
      </c>
      <c r="AQ108" s="44" t="n">
        <v>0.0098499</v>
      </c>
      <c r="AR108" s="44" t="n">
        <v>0.0210266</v>
      </c>
      <c r="AS108" s="44" t="n">
        <v>0.00473694</v>
      </c>
      <c r="AT108" s="44" t="n">
        <v>0.0098499</v>
      </c>
      <c r="AU108" s="44" t="n">
        <v>0.0207377</v>
      </c>
      <c r="AV108" s="44" t="n">
        <v>0.00466302</v>
      </c>
      <c r="AW108" s="44" t="n">
        <v>0.0098499</v>
      </c>
      <c r="AX108" s="44" t="n">
        <v>0.0201494</v>
      </c>
      <c r="AY108" s="44" t="n">
        <v>0.00459458</v>
      </c>
      <c r="AZ108" s="44" t="n">
        <v>0.0098499</v>
      </c>
      <c r="BA108" s="44" t="n">
        <v>0.0209089</v>
      </c>
      <c r="BB108" s="44" t="n">
        <v>0.00484459</v>
      </c>
      <c r="BC108" s="44" t="n">
        <v>0.0098499</v>
      </c>
      <c r="BD108" s="44" t="n">
        <v>0.0195542</v>
      </c>
      <c r="BE108" s="44" t="n">
        <v>0.00466707</v>
      </c>
      <c r="BF108" s="44" t="n">
        <v>0.0098499</v>
      </c>
      <c r="BG108" s="44" t="n">
        <v>0.0195159</v>
      </c>
      <c r="BH108" s="44" t="n">
        <v>0.00461681</v>
      </c>
      <c r="BI108" s="44" t="n">
        <v>0.0098499</v>
      </c>
      <c r="BJ108" s="44" t="n">
        <v>0.0191907</v>
      </c>
      <c r="BK108" s="44" t="n">
        <v>0.00469747</v>
      </c>
      <c r="BL108" s="44" t="n">
        <v>0.0098499</v>
      </c>
      <c r="BM108" s="44" t="n">
        <v>0.0205074</v>
      </c>
      <c r="BN108" s="44" t="n">
        <v>0.00478632</v>
      </c>
      <c r="BO108" s="44" t="n">
        <v>0.0098499</v>
      </c>
      <c r="BP108" s="44" t="n">
        <v>0.0193919</v>
      </c>
      <c r="BQ108" s="44" t="n">
        <v>0.00469143</v>
      </c>
      <c r="BR108" s="44" t="n">
        <v>0.0098499</v>
      </c>
      <c r="BS108" s="44" t="n">
        <v>0.0189309</v>
      </c>
      <c r="BT108" s="44" t="n">
        <v>0.00478934</v>
      </c>
      <c r="BU108" s="44" t="n">
        <v>0.0098499</v>
      </c>
      <c r="BV108" s="44" t="n">
        <v>0.0192643</v>
      </c>
      <c r="BW108" s="44" t="n">
        <v>0.00481036</v>
      </c>
      <c r="BX108" s="44" t="n">
        <v>0.0098499</v>
      </c>
      <c r="BY108" s="44" t="n">
        <v>0.0194904</v>
      </c>
      <c r="BZ108" s="44" t="n">
        <v>0.00474545</v>
      </c>
      <c r="CA108" s="44" t="n">
        <v>0.0098499</v>
      </c>
      <c r="CB108" s="44" t="n">
        <v>0.0188783</v>
      </c>
      <c r="CC108" s="44" t="n">
        <v>0.00458324</v>
      </c>
      <c r="CD108" s="44" t="n">
        <v>0.0098499</v>
      </c>
      <c r="CE108" s="44" t="n">
        <v>0.0178959</v>
      </c>
      <c r="CF108" s="44" t="n">
        <v>0.00458676</v>
      </c>
      <c r="CG108" s="44" t="n">
        <v>0.0098499</v>
      </c>
      <c r="CH108" s="44" t="n">
        <v>0.0180705</v>
      </c>
      <c r="CI108" s="44" t="n">
        <v>0.00465099</v>
      </c>
      <c r="CJ108" s="44" t="n">
        <v>0.0098499</v>
      </c>
      <c r="CK108" s="44" t="n">
        <v>0.0181526</v>
      </c>
      <c r="CL108" s="44" t="n">
        <v>0.00472691</v>
      </c>
      <c r="CM108" s="44" t="n">
        <v>0.0098499</v>
      </c>
      <c r="CN108" s="44" t="n">
        <v>0.0180168</v>
      </c>
      <c r="CO108" s="44" t="n">
        <v>0.0046811</v>
      </c>
      <c r="CP108" s="44" t="n">
        <v>0.0098499</v>
      </c>
      <c r="CQ108" s="44" t="n">
        <v>0.0171525</v>
      </c>
      <c r="CR108" s="44" t="n">
        <v>0.00460485</v>
      </c>
      <c r="CS108" s="44" t="n">
        <v>0.0098499</v>
      </c>
      <c r="CT108" s="44" t="n">
        <v>0.0174014</v>
      </c>
      <c r="CU108" s="44" t="n">
        <v>0.00476826</v>
      </c>
      <c r="CV108" s="44" t="n">
        <v>0.0098499</v>
      </c>
      <c r="CW108" s="44" t="n">
        <v>0.0156978</v>
      </c>
      <c r="CX108" s="44" t="n">
        <v>0.00456602</v>
      </c>
    </row>
    <row collapsed="false" customFormat="false" customHeight="false" hidden="false" ht="12.75" outlineLevel="0" r="109">
      <c r="A109" s="44" t="n">
        <v>0.0099499</v>
      </c>
      <c r="B109" s="44" t="n">
        <v>0.0207661</v>
      </c>
      <c r="C109" s="44" t="n">
        <v>0.00427343</v>
      </c>
      <c r="D109" s="44" t="n">
        <v>0.0099499</v>
      </c>
      <c r="E109" s="44" t="n">
        <v>0.0215714</v>
      </c>
      <c r="F109" s="44" t="n">
        <v>0.00439144</v>
      </c>
      <c r="G109" s="44" t="n">
        <v>0.0099499</v>
      </c>
      <c r="H109" s="44" t="n">
        <v>0.0215956</v>
      </c>
      <c r="I109" s="44" t="n">
        <v>0.00435623</v>
      </c>
      <c r="J109" s="44" t="n">
        <v>0.0099499</v>
      </c>
      <c r="K109" s="44" t="n">
        <v>0.0208022</v>
      </c>
      <c r="L109" s="44" t="n">
        <v>0.00428444</v>
      </c>
      <c r="M109" s="44" t="n">
        <v>0.0099499</v>
      </c>
      <c r="N109" s="44" t="n">
        <v>0.0206221</v>
      </c>
      <c r="O109" s="44" t="n">
        <v>0.00433785</v>
      </c>
      <c r="P109" s="44" t="n">
        <v>0.0099499</v>
      </c>
      <c r="Q109" s="44" t="n">
        <v>0.0225548</v>
      </c>
      <c r="R109" s="44" t="n">
        <v>0.00444103</v>
      </c>
      <c r="S109" s="44" t="n">
        <v>0.0099499</v>
      </c>
      <c r="T109" s="44" t="n">
        <v>0.0220516</v>
      </c>
      <c r="U109" s="44" t="n">
        <v>0.00451566</v>
      </c>
      <c r="V109" s="44" t="n">
        <v>0.0099499</v>
      </c>
      <c r="W109" s="44" t="n">
        <v>0.0219918</v>
      </c>
      <c r="X109" s="44" t="n">
        <v>0.00444402</v>
      </c>
      <c r="Y109" s="44" t="n">
        <v>0.0099499</v>
      </c>
      <c r="Z109" s="44" t="n">
        <v>0.0219225</v>
      </c>
      <c r="AA109" s="44" t="n">
        <v>0.00451007</v>
      </c>
      <c r="AB109" s="44" t="n">
        <v>0.0099499</v>
      </c>
      <c r="AC109" s="44" t="n">
        <v>0.0216459</v>
      </c>
      <c r="AD109" s="44" t="n">
        <v>0.00444847</v>
      </c>
      <c r="AE109" s="44" t="n">
        <v>0.0099499</v>
      </c>
      <c r="AF109" s="44" t="n">
        <v>0.0212572</v>
      </c>
      <c r="AG109" s="44" t="n">
        <v>0.00445251</v>
      </c>
      <c r="AH109" s="44" t="n">
        <v>0.0099499</v>
      </c>
      <c r="AI109" s="44" t="n">
        <v>0.0197122</v>
      </c>
      <c r="AJ109" s="44" t="n">
        <v>0.00437695</v>
      </c>
      <c r="AK109" s="44" t="n">
        <v>0.0099499</v>
      </c>
      <c r="AL109" s="44" t="n">
        <v>0.0197709</v>
      </c>
      <c r="AM109" s="44" t="n">
        <v>0.00440109</v>
      </c>
      <c r="AN109" s="44" t="n">
        <v>0.0099499</v>
      </c>
      <c r="AO109" s="44" t="n">
        <v>0.0205748</v>
      </c>
      <c r="AP109" s="44" t="n">
        <v>0.00454455</v>
      </c>
      <c r="AQ109" s="44" t="n">
        <v>0.0099499</v>
      </c>
      <c r="AR109" s="44" t="n">
        <v>0.0201038</v>
      </c>
      <c r="AS109" s="44" t="n">
        <v>0.00447132</v>
      </c>
      <c r="AT109" s="44" t="n">
        <v>0.0099499</v>
      </c>
      <c r="AU109" s="44" t="n">
        <v>0.0196342</v>
      </c>
      <c r="AV109" s="44" t="n">
        <v>0.00440033</v>
      </c>
      <c r="AW109" s="44" t="n">
        <v>0.0099499</v>
      </c>
      <c r="AX109" s="44" t="n">
        <v>0.0190947</v>
      </c>
      <c r="AY109" s="44" t="n">
        <v>0.00434458</v>
      </c>
      <c r="AZ109" s="44" t="n">
        <v>0.0099499</v>
      </c>
      <c r="BA109" s="44" t="n">
        <v>0.0202058</v>
      </c>
      <c r="BB109" s="44" t="n">
        <v>0.00459556</v>
      </c>
      <c r="BC109" s="44" t="n">
        <v>0.0099499</v>
      </c>
      <c r="BD109" s="44" t="n">
        <v>0.0186411</v>
      </c>
      <c r="BE109" s="44" t="n">
        <v>0.00441805</v>
      </c>
      <c r="BF109" s="44" t="n">
        <v>0.0099499</v>
      </c>
      <c r="BG109" s="44" t="n">
        <v>0.0184319</v>
      </c>
      <c r="BH109" s="44" t="n">
        <v>0.00438537</v>
      </c>
      <c r="BI109" s="44" t="n">
        <v>0.0099499</v>
      </c>
      <c r="BJ109" s="44" t="n">
        <v>0.0182044</v>
      </c>
      <c r="BK109" s="44" t="n">
        <v>0.00446309</v>
      </c>
      <c r="BL109" s="44" t="n">
        <v>0.0099499</v>
      </c>
      <c r="BM109" s="44" t="n">
        <v>0.018984</v>
      </c>
      <c r="BN109" s="44" t="n">
        <v>0.00453339</v>
      </c>
      <c r="BO109" s="44" t="n">
        <v>0.0099499</v>
      </c>
      <c r="BP109" s="44" t="n">
        <v>0.0184837</v>
      </c>
      <c r="BQ109" s="44" t="n">
        <v>0.00443361</v>
      </c>
      <c r="BR109" s="44" t="n">
        <v>0.0099499</v>
      </c>
      <c r="BS109" s="44" t="n">
        <v>0.0176955</v>
      </c>
      <c r="BT109" s="44" t="n">
        <v>0.00453055</v>
      </c>
      <c r="BU109" s="44" t="n">
        <v>0.0099499</v>
      </c>
      <c r="BV109" s="44" t="n">
        <v>0.0185074</v>
      </c>
      <c r="BW109" s="44" t="n">
        <v>0.0045711</v>
      </c>
      <c r="BX109" s="44" t="n">
        <v>0.0099499</v>
      </c>
      <c r="BY109" s="44" t="n">
        <v>0.0187482</v>
      </c>
      <c r="BZ109" s="44" t="n">
        <v>0.00448373</v>
      </c>
      <c r="CA109" s="44" t="n">
        <v>0.0099499</v>
      </c>
      <c r="CB109" s="44" t="n">
        <v>0.0178383</v>
      </c>
      <c r="CC109" s="44" t="n">
        <v>0.00434691</v>
      </c>
      <c r="CD109" s="44" t="n">
        <v>0.0099499</v>
      </c>
      <c r="CE109" s="44" t="n">
        <v>0.0172758</v>
      </c>
      <c r="CF109" s="44" t="n">
        <v>0.00434359</v>
      </c>
      <c r="CG109" s="44" t="n">
        <v>0.0099499</v>
      </c>
      <c r="CH109" s="44" t="n">
        <v>0.0169182</v>
      </c>
      <c r="CI109" s="44" t="n">
        <v>0.00441954</v>
      </c>
      <c r="CJ109" s="44" t="n">
        <v>0.0099499</v>
      </c>
      <c r="CK109" s="44" t="n">
        <v>0.0175814</v>
      </c>
      <c r="CL109" s="44" t="n">
        <v>0.00448179</v>
      </c>
      <c r="CM109" s="44" t="n">
        <v>0.0099499</v>
      </c>
      <c r="CN109" s="44" t="n">
        <v>0.0175432</v>
      </c>
      <c r="CO109" s="44" t="n">
        <v>0.00441548</v>
      </c>
      <c r="CP109" s="44" t="n">
        <v>0.0099499</v>
      </c>
      <c r="CQ109" s="44" t="n">
        <v>0.0164445</v>
      </c>
      <c r="CR109" s="44" t="n">
        <v>0.00434411</v>
      </c>
      <c r="CS109" s="44" t="n">
        <v>0.0099499</v>
      </c>
      <c r="CT109" s="44" t="n">
        <v>0.0162686</v>
      </c>
      <c r="CU109" s="44" t="n">
        <v>0.00451728</v>
      </c>
      <c r="CV109" s="44" t="n">
        <v>0.0099499</v>
      </c>
      <c r="CW109" s="44" t="n">
        <v>0.0143257</v>
      </c>
      <c r="CX109" s="44" t="n">
        <v>0.00433067</v>
      </c>
    </row>
    <row collapsed="false" customFormat="false" customHeight="false" hidden="false" ht="12.75" outlineLevel="0" r="110">
      <c r="A110" s="44" t="n">
        <v>0.0100499</v>
      </c>
      <c r="B110" s="44" t="n">
        <v>0.0192768</v>
      </c>
      <c r="C110" s="44" t="n">
        <v>0.00406151</v>
      </c>
      <c r="D110" s="44" t="n">
        <v>0.0100499</v>
      </c>
      <c r="E110" s="44" t="n">
        <v>0.0208634</v>
      </c>
      <c r="F110" s="44" t="n">
        <v>0.00415218</v>
      </c>
      <c r="G110" s="44" t="n">
        <v>0.0100499</v>
      </c>
      <c r="H110" s="44" t="n">
        <v>0.0201845</v>
      </c>
      <c r="I110" s="44" t="n">
        <v>0.00411893</v>
      </c>
      <c r="J110" s="44" t="n">
        <v>0.0100499</v>
      </c>
      <c r="K110" s="44" t="n">
        <v>0.0192544</v>
      </c>
      <c r="L110" s="44" t="n">
        <v>0.00406276</v>
      </c>
      <c r="M110" s="44" t="n">
        <v>0.0100499</v>
      </c>
      <c r="N110" s="44" t="n">
        <v>0.0193526</v>
      </c>
      <c r="O110" s="44" t="n">
        <v>0.00410445</v>
      </c>
      <c r="P110" s="44" t="n">
        <v>0.0100499</v>
      </c>
      <c r="Q110" s="44" t="n">
        <v>0.0206457</v>
      </c>
      <c r="R110" s="44" t="n">
        <v>0.0042174</v>
      </c>
      <c r="S110" s="44" t="n">
        <v>0.0100499</v>
      </c>
      <c r="T110" s="44" t="n">
        <v>0.0204451</v>
      </c>
      <c r="U110" s="44" t="n">
        <v>0.00426957</v>
      </c>
      <c r="V110" s="44" t="n">
        <v>0.0100499</v>
      </c>
      <c r="W110" s="44" t="n">
        <v>0.0204782</v>
      </c>
      <c r="X110" s="44" t="n">
        <v>0.00419597</v>
      </c>
      <c r="Y110" s="44" t="n">
        <v>0.0100499</v>
      </c>
      <c r="Z110" s="44" t="n">
        <v>0.0200817</v>
      </c>
      <c r="AA110" s="44" t="n">
        <v>0.00427667</v>
      </c>
      <c r="AB110" s="44" t="n">
        <v>0.0100499</v>
      </c>
      <c r="AC110" s="44" t="n">
        <v>0.0201664</v>
      </c>
      <c r="AD110" s="44" t="n">
        <v>0.00419164</v>
      </c>
      <c r="AE110" s="44" t="n">
        <v>0.0100499</v>
      </c>
      <c r="AF110" s="44" t="n">
        <v>0.0195775</v>
      </c>
      <c r="AG110" s="44" t="n">
        <v>0.00423278</v>
      </c>
      <c r="AH110" s="44" t="n">
        <v>0.0100499</v>
      </c>
      <c r="AI110" s="44" t="n">
        <v>0.0179446</v>
      </c>
      <c r="AJ110" s="44" t="n">
        <v>0.00415722</v>
      </c>
      <c r="AK110" s="44" t="n">
        <v>0.0100499</v>
      </c>
      <c r="AL110" s="44" t="n">
        <v>0.0184232</v>
      </c>
      <c r="AM110" s="44" t="n">
        <v>0.00416086</v>
      </c>
      <c r="AN110" s="44" t="n">
        <v>0.0100499</v>
      </c>
      <c r="AO110" s="44" t="n">
        <v>0.0192809</v>
      </c>
      <c r="AP110" s="44" t="n">
        <v>0.00428966</v>
      </c>
      <c r="AQ110" s="44" t="n">
        <v>0.0100499</v>
      </c>
      <c r="AR110" s="44" t="n">
        <v>0.0186731</v>
      </c>
      <c r="AS110" s="44" t="n">
        <v>0.00424476</v>
      </c>
      <c r="AT110" s="44" t="n">
        <v>0.0100499</v>
      </c>
      <c r="AU110" s="44" t="n">
        <v>0.0182377</v>
      </c>
      <c r="AV110" s="44" t="n">
        <v>0.00418744</v>
      </c>
      <c r="AW110" s="44" t="n">
        <v>0.0100499</v>
      </c>
      <c r="AX110" s="44" t="n">
        <v>0.0173515</v>
      </c>
      <c r="AY110" s="44" t="n">
        <v>0.00410239</v>
      </c>
      <c r="AZ110" s="44" t="n">
        <v>0.0100499</v>
      </c>
      <c r="BA110" s="44" t="n">
        <v>0.0182917</v>
      </c>
      <c r="BB110" s="44" t="n">
        <v>0.00433775</v>
      </c>
      <c r="BC110" s="44" t="n">
        <v>0.0100499</v>
      </c>
      <c r="BD110" s="44" t="n">
        <v>0.0172592</v>
      </c>
      <c r="BE110" s="44" t="n">
        <v>0.00421199</v>
      </c>
      <c r="BF110" s="44" t="n">
        <v>0.0100499</v>
      </c>
      <c r="BG110" s="44" t="n">
        <v>0.0168841</v>
      </c>
      <c r="BH110" s="44" t="n">
        <v>0.00411779</v>
      </c>
      <c r="BI110" s="44" t="n">
        <v>0.0100499</v>
      </c>
      <c r="BJ110" s="44" t="n">
        <v>0.0169251</v>
      </c>
      <c r="BK110" s="44" t="n">
        <v>0.0042043</v>
      </c>
      <c r="BL110" s="44" t="n">
        <v>0.0100499</v>
      </c>
      <c r="BM110" s="44" t="n">
        <v>0.018525</v>
      </c>
      <c r="BN110" s="44" t="n">
        <v>0.00429023</v>
      </c>
      <c r="BO110" s="44" t="n">
        <v>0.0100499</v>
      </c>
      <c r="BP110" s="44" t="n">
        <v>0.0171361</v>
      </c>
      <c r="BQ110" s="44" t="n">
        <v>0.00422756</v>
      </c>
      <c r="BR110" s="44" t="n">
        <v>0.0100499</v>
      </c>
      <c r="BS110" s="44" t="n">
        <v>0.0171242</v>
      </c>
      <c r="BT110" s="44" t="n">
        <v>0.00430008</v>
      </c>
      <c r="BU110" s="44" t="n">
        <v>0.0100499</v>
      </c>
      <c r="BV110" s="44" t="n">
        <v>0.0171354</v>
      </c>
      <c r="BW110" s="44" t="n">
        <v>0.00429474</v>
      </c>
      <c r="BX110" s="44" t="n">
        <v>0.0100499</v>
      </c>
      <c r="BY110" s="44" t="n">
        <v>0.017464</v>
      </c>
      <c r="BZ110" s="44" t="n">
        <v>0.00427084</v>
      </c>
      <c r="CA110" s="44" t="n">
        <v>0.0100499</v>
      </c>
      <c r="CB110" s="44" t="n">
        <v>0.0166762</v>
      </c>
      <c r="CC110" s="44" t="n">
        <v>0.00411839</v>
      </c>
      <c r="CD110" s="44" t="n">
        <v>0.0100499</v>
      </c>
      <c r="CE110" s="44" t="n">
        <v>0.0164555</v>
      </c>
      <c r="CF110" s="44" t="n">
        <v>0.00413168</v>
      </c>
      <c r="CG110" s="44" t="n">
        <v>0.0100499</v>
      </c>
      <c r="CH110" s="44" t="n">
        <v>0.0156584</v>
      </c>
      <c r="CI110" s="44" t="n">
        <v>0.00419103</v>
      </c>
      <c r="CJ110" s="44" t="n">
        <v>0.0100499</v>
      </c>
      <c r="CK110" s="44" t="n">
        <v>0.0162776</v>
      </c>
      <c r="CL110" s="44" t="n">
        <v>0.00426988</v>
      </c>
      <c r="CM110" s="44" t="n">
        <v>0.0100499</v>
      </c>
      <c r="CN110" s="44" t="n">
        <v>0.0159172</v>
      </c>
      <c r="CO110" s="44" t="n">
        <v>0.00417817</v>
      </c>
      <c r="CP110" s="44" t="n">
        <v>0.0100499</v>
      </c>
      <c r="CQ110" s="44" t="n">
        <v>0.0150236</v>
      </c>
      <c r="CR110" s="44" t="n">
        <v>0.00413317</v>
      </c>
      <c r="CS110" s="44" t="n">
        <v>0.0100499</v>
      </c>
      <c r="CT110" s="44" t="n">
        <v>0.0148477</v>
      </c>
      <c r="CU110" s="44" t="n">
        <v>0.00428779</v>
      </c>
      <c r="CV110" s="44" t="n">
        <v>0.0100499</v>
      </c>
      <c r="CW110" s="44" t="n">
        <v>0.0137202</v>
      </c>
      <c r="CX110" s="44" t="n">
        <v>0.00409727</v>
      </c>
    </row>
    <row collapsed="false" customFormat="false" customHeight="false" hidden="false" ht="12.75" outlineLevel="0" r="111">
      <c r="A111" s="44" t="n">
        <v>0.0101499</v>
      </c>
      <c r="B111" s="44" t="n">
        <v>0.0181782</v>
      </c>
      <c r="C111" s="44" t="n">
        <v>0.0038496</v>
      </c>
      <c r="D111" s="44" t="n">
        <v>0.0101499</v>
      </c>
      <c r="E111" s="44" t="n">
        <v>0.0192472</v>
      </c>
      <c r="F111" s="44" t="n">
        <v>0.00394905</v>
      </c>
      <c r="G111" s="44" t="n">
        <v>0.0101499</v>
      </c>
      <c r="H111" s="44" t="n">
        <v>0.0189198</v>
      </c>
      <c r="I111" s="44" t="n">
        <v>0.00390213</v>
      </c>
      <c r="J111" s="44" t="n">
        <v>0.0101499</v>
      </c>
      <c r="K111" s="44" t="n">
        <v>0.0183315</v>
      </c>
      <c r="L111" s="44" t="n">
        <v>0.0038196</v>
      </c>
      <c r="M111" s="44" t="n">
        <v>0.0101499</v>
      </c>
      <c r="N111" s="44" t="n">
        <v>0.0182002</v>
      </c>
      <c r="O111" s="44" t="n">
        <v>0.003915</v>
      </c>
      <c r="P111" s="44" t="n">
        <v>0.0101499</v>
      </c>
      <c r="Q111" s="44" t="n">
        <v>0.0192297</v>
      </c>
      <c r="R111" s="44" t="n">
        <v>0.00399279</v>
      </c>
      <c r="S111" s="44" t="n">
        <v>0.0101499</v>
      </c>
      <c r="T111" s="44" t="n">
        <v>0.0196004</v>
      </c>
      <c r="U111" s="44" t="n">
        <v>0.00403031</v>
      </c>
      <c r="V111" s="44" t="n">
        <v>0.0101499</v>
      </c>
      <c r="W111" s="44" t="n">
        <v>0.0189645</v>
      </c>
      <c r="X111" s="44" t="n">
        <v>0.00398699</v>
      </c>
      <c r="Y111" s="44" t="n">
        <v>0.0101499</v>
      </c>
      <c r="Z111" s="44" t="n">
        <v>0.0190953</v>
      </c>
      <c r="AA111" s="44" t="n">
        <v>0.00402374</v>
      </c>
      <c r="AB111" s="44" t="n">
        <v>0.0101499</v>
      </c>
      <c r="AC111" s="44" t="n">
        <v>0.0191166</v>
      </c>
      <c r="AD111" s="44" t="n">
        <v>0.00396019</v>
      </c>
      <c r="AE111" s="44" t="n">
        <v>0.0101499</v>
      </c>
      <c r="AF111" s="44" t="n">
        <v>0.0185863</v>
      </c>
      <c r="AG111" s="44" t="n">
        <v>0.00402282</v>
      </c>
      <c r="AH111" s="44" t="n">
        <v>0.0101499</v>
      </c>
      <c r="AI111" s="44" t="n">
        <v>0.0170999</v>
      </c>
      <c r="AJ111" s="44" t="n">
        <v>0.00389941</v>
      </c>
      <c r="AK111" s="44" t="n">
        <v>0.0101499</v>
      </c>
      <c r="AL111" s="44" t="n">
        <v>0.0177005</v>
      </c>
      <c r="AM111" s="44" t="n">
        <v>0.00393722</v>
      </c>
      <c r="AN111" s="44" t="n">
        <v>0.0101499</v>
      </c>
      <c r="AO111" s="44" t="n">
        <v>0.0179674</v>
      </c>
      <c r="AP111" s="44" t="n">
        <v>0.00408166</v>
      </c>
      <c r="AQ111" s="44" t="n">
        <v>0.0101499</v>
      </c>
      <c r="AR111" s="44" t="n">
        <v>0.0174573</v>
      </c>
      <c r="AS111" s="44" t="n">
        <v>0.00401722</v>
      </c>
      <c r="AT111" s="44" t="n">
        <v>0.0101499</v>
      </c>
      <c r="AU111" s="44" t="n">
        <v>0.0178618</v>
      </c>
      <c r="AV111" s="44" t="n">
        <v>0.00394037</v>
      </c>
      <c r="AW111" s="44" t="n">
        <v>0.0101499</v>
      </c>
      <c r="AX111" s="44" t="n">
        <v>0.0167558</v>
      </c>
      <c r="AY111" s="44" t="n">
        <v>0.00387583</v>
      </c>
      <c r="AZ111" s="44" t="n">
        <v>0.0101499</v>
      </c>
      <c r="BA111" s="44" t="n">
        <v>0.017491</v>
      </c>
      <c r="BB111" s="44" t="n">
        <v>0.00411119</v>
      </c>
      <c r="BC111" s="44" t="n">
        <v>0.0101499</v>
      </c>
      <c r="BD111" s="44" t="n">
        <v>0.0164292</v>
      </c>
      <c r="BE111" s="44" t="n">
        <v>0.00397762</v>
      </c>
      <c r="BF111" s="44" t="n">
        <v>0.0101499</v>
      </c>
      <c r="BG111" s="44" t="n">
        <v>0.0163372</v>
      </c>
      <c r="BH111" s="44" t="n">
        <v>0.00392052</v>
      </c>
      <c r="BI111" s="44" t="n">
        <v>0.0101499</v>
      </c>
      <c r="BJ111" s="44" t="n">
        <v>0.0159143</v>
      </c>
      <c r="BK111" s="44" t="n">
        <v>0.00400704</v>
      </c>
      <c r="BL111" s="44" t="n">
        <v>0.0101499</v>
      </c>
      <c r="BM111" s="44" t="n">
        <v>0.0171871</v>
      </c>
      <c r="BN111" s="44" t="n">
        <v>0.00402656</v>
      </c>
      <c r="BO111" s="44" t="n">
        <v>0.0101499</v>
      </c>
      <c r="BP111" s="44" t="n">
        <v>0.016096</v>
      </c>
      <c r="BQ111" s="44" t="n">
        <v>0.00398928</v>
      </c>
      <c r="BR111" s="44" t="n">
        <v>0.0101499</v>
      </c>
      <c r="BS111" s="44" t="n">
        <v>0.0159279</v>
      </c>
      <c r="BT111" s="44" t="n">
        <v>0.00408524</v>
      </c>
      <c r="BU111" s="44" t="n">
        <v>0.0101499</v>
      </c>
      <c r="BV111" s="44" t="n">
        <v>0.0163102</v>
      </c>
      <c r="BW111" s="44" t="n">
        <v>0.00407892</v>
      </c>
      <c r="BX111" s="44" t="n">
        <v>0.0101499</v>
      </c>
      <c r="BY111" s="44" t="n">
        <v>0.0162775</v>
      </c>
      <c r="BZ111" s="44" t="n">
        <v>0.00405111</v>
      </c>
      <c r="CA111" s="44" t="n">
        <v>0.0101499</v>
      </c>
      <c r="CB111" s="44" t="n">
        <v>0.0153334</v>
      </c>
      <c r="CC111" s="44" t="n">
        <v>0.00389281</v>
      </c>
      <c r="CD111" s="44" t="n">
        <v>0.0101499</v>
      </c>
      <c r="CE111" s="44" t="n">
        <v>0.0151518</v>
      </c>
      <c r="CF111" s="44" t="n">
        <v>0.00391879</v>
      </c>
      <c r="CG111" s="44" t="n">
        <v>0.0101499</v>
      </c>
      <c r="CH111" s="44" t="n">
        <v>0.0148869</v>
      </c>
      <c r="CI111" s="44" t="n">
        <v>0.0039254</v>
      </c>
      <c r="CJ111" s="44" t="n">
        <v>0.0101499</v>
      </c>
      <c r="CK111" s="44" t="n">
        <v>0.0151009</v>
      </c>
      <c r="CL111" s="44" t="n">
        <v>0.00403648</v>
      </c>
      <c r="CM111" s="44" t="n">
        <v>0.0101499</v>
      </c>
      <c r="CN111" s="44" t="n">
        <v>0.0145646</v>
      </c>
      <c r="CO111" s="44" t="n">
        <v>0.00393794</v>
      </c>
      <c r="CP111" s="44" t="n">
        <v>0.0101499</v>
      </c>
      <c r="CQ111" s="44" t="n">
        <v>0.0144034</v>
      </c>
      <c r="CR111" s="44" t="n">
        <v>0.00390271</v>
      </c>
      <c r="CS111" s="44" t="n">
        <v>0.0101499</v>
      </c>
      <c r="CT111" s="44" t="n">
        <v>0.014042</v>
      </c>
      <c r="CU111" s="44" t="n">
        <v>0.00404853</v>
      </c>
      <c r="CV111" s="44" t="n">
        <v>0.0101499</v>
      </c>
      <c r="CW111" s="44" t="n">
        <v>0.0124751</v>
      </c>
      <c r="CX111" s="44" t="n">
        <v>0.00388047</v>
      </c>
    </row>
    <row collapsed="false" customFormat="false" customHeight="false" hidden="false" ht="12.75" outlineLevel="0" r="112">
      <c r="A112" s="44" t="n">
        <v>0.0102499</v>
      </c>
      <c r="B112" s="44" t="n">
        <v>0.0167963</v>
      </c>
      <c r="C112" s="44" t="n">
        <v>0.00362499</v>
      </c>
      <c r="D112" s="44" t="n">
        <v>0.0102499</v>
      </c>
      <c r="E112" s="44" t="n">
        <v>0.018256</v>
      </c>
      <c r="F112" s="44" t="n">
        <v>0.00371859</v>
      </c>
      <c r="G112" s="44" t="n">
        <v>0.0102499</v>
      </c>
      <c r="H112" s="44" t="n">
        <v>0.01808</v>
      </c>
      <c r="I112" s="44" t="n">
        <v>0.00372635</v>
      </c>
      <c r="J112" s="44" t="n">
        <v>0.0102499</v>
      </c>
      <c r="K112" s="44" t="n">
        <v>0.0169643</v>
      </c>
      <c r="L112" s="44" t="n">
        <v>0.00361647</v>
      </c>
      <c r="M112" s="44" t="n">
        <v>0.0102499</v>
      </c>
      <c r="N112" s="44" t="n">
        <v>0.0166572</v>
      </c>
      <c r="O112" s="44" t="n">
        <v>0.00368062</v>
      </c>
      <c r="P112" s="44" t="n">
        <v>0.0102499</v>
      </c>
      <c r="Q112" s="44" t="n">
        <v>0.0179357</v>
      </c>
      <c r="R112" s="44" t="n">
        <v>0.00377404</v>
      </c>
      <c r="S112" s="44" t="n">
        <v>0.0102499</v>
      </c>
      <c r="T112" s="44" t="n">
        <v>0.0183797</v>
      </c>
      <c r="U112" s="44" t="n">
        <v>0.00381156</v>
      </c>
      <c r="V112" s="44" t="n">
        <v>0.0102499</v>
      </c>
      <c r="W112" s="44" t="n">
        <v>0.0177877</v>
      </c>
      <c r="X112" s="44" t="n">
        <v>0.00378875</v>
      </c>
      <c r="Y112" s="44" t="n">
        <v>0.0102499</v>
      </c>
      <c r="Z112" s="44" t="n">
        <v>0.017445</v>
      </c>
      <c r="AA112" s="44" t="n">
        <v>0.00381573</v>
      </c>
      <c r="AB112" s="44" t="n">
        <v>0.0102499</v>
      </c>
      <c r="AC112" s="44" t="n">
        <v>0.0178569</v>
      </c>
      <c r="AD112" s="44" t="n">
        <v>0.00375121</v>
      </c>
      <c r="AE112" s="44" t="n">
        <v>0.0102499</v>
      </c>
      <c r="AF112" s="44" t="n">
        <v>0.017268</v>
      </c>
      <c r="AG112" s="44" t="n">
        <v>0.00378454</v>
      </c>
      <c r="AH112" s="44" t="n">
        <v>0.0102499</v>
      </c>
      <c r="AI112" s="44" t="n">
        <v>0.0155764</v>
      </c>
      <c r="AJ112" s="44" t="n">
        <v>0.00373339</v>
      </c>
      <c r="AK112" s="44" t="n">
        <v>0.0102499</v>
      </c>
      <c r="AL112" s="44" t="n">
        <v>0.0160599</v>
      </c>
      <c r="AM112" s="44" t="n">
        <v>0.00369992</v>
      </c>
      <c r="AN112" s="44" t="n">
        <v>0.0102499</v>
      </c>
      <c r="AO112" s="44" t="n">
        <v>0.0166832</v>
      </c>
      <c r="AP112" s="44" t="n">
        <v>0.00385705</v>
      </c>
      <c r="AQ112" s="44" t="n">
        <v>0.0102499</v>
      </c>
      <c r="AR112" s="44" t="n">
        <v>0.0160754</v>
      </c>
      <c r="AS112" s="44" t="n">
        <v>0.00378968</v>
      </c>
      <c r="AT112" s="44" t="n">
        <v>0.0102499</v>
      </c>
      <c r="AU112" s="44" t="n">
        <v>0.0160893</v>
      </c>
      <c r="AV112" s="44" t="n">
        <v>0.00373627</v>
      </c>
      <c r="AW112" s="44" t="n">
        <v>0.0102499</v>
      </c>
      <c r="AX112" s="44" t="n">
        <v>0.0162431</v>
      </c>
      <c r="AY112" s="44" t="n">
        <v>0.00366001</v>
      </c>
      <c r="AZ112" s="44" t="n">
        <v>0.0102499</v>
      </c>
      <c r="BA112" s="44" t="n">
        <v>0.016407</v>
      </c>
      <c r="BB112" s="44" t="n">
        <v>0.00386607</v>
      </c>
      <c r="BC112" s="44" t="n">
        <v>0.0102499</v>
      </c>
      <c r="BD112" s="44" t="n">
        <v>0.0157504</v>
      </c>
      <c r="BE112" s="44" t="n">
        <v>0.00376277</v>
      </c>
      <c r="BF112" s="44" t="n">
        <v>0.0102499</v>
      </c>
      <c r="BG112" s="44" t="n">
        <v>0.0154827</v>
      </c>
      <c r="BH112" s="44" t="n">
        <v>0.00372228</v>
      </c>
      <c r="BI112" s="44" t="n">
        <v>0.0102499</v>
      </c>
      <c r="BJ112" s="44" t="n">
        <v>0.0151672</v>
      </c>
      <c r="BK112" s="44" t="n">
        <v>0.00378438</v>
      </c>
      <c r="BL112" s="44" t="n">
        <v>0.0102499</v>
      </c>
      <c r="BM112" s="44" t="n">
        <v>0.0160397</v>
      </c>
      <c r="BN112" s="44" t="n">
        <v>0.00383027</v>
      </c>
      <c r="BO112" s="44" t="n">
        <v>0.0102499</v>
      </c>
      <c r="BP112" s="44" t="n">
        <v>0.0149974</v>
      </c>
      <c r="BQ112" s="44" t="n">
        <v>0.00379592</v>
      </c>
      <c r="BR112" s="44" t="n">
        <v>0.0102499</v>
      </c>
      <c r="BS112" s="44" t="n">
        <v>0.0145266</v>
      </c>
      <c r="BT112" s="44" t="n">
        <v>0.00385672</v>
      </c>
      <c r="BU112" s="44" t="n">
        <v>0.0102499</v>
      </c>
      <c r="BV112" s="44" t="n">
        <v>0.0151481</v>
      </c>
      <c r="BW112" s="44" t="n">
        <v>0.00385235</v>
      </c>
      <c r="BX112" s="44" t="n">
        <v>0.0102499</v>
      </c>
      <c r="BY112" s="44" t="n">
        <v>0.0149738</v>
      </c>
      <c r="BZ112" s="44" t="n">
        <v>0.00380795</v>
      </c>
      <c r="CA112" s="44" t="n">
        <v>0.0102499</v>
      </c>
      <c r="CB112" s="44" t="n">
        <v>0.0143373</v>
      </c>
      <c r="CC112" s="44" t="n">
        <v>0.00367211</v>
      </c>
      <c r="CD112" s="44" t="n">
        <v>0.0102499</v>
      </c>
      <c r="CE112" s="44" t="n">
        <v>0.0142094</v>
      </c>
      <c r="CF112" s="44" t="n">
        <v>0.00369906</v>
      </c>
      <c r="CG112" s="44" t="n">
        <v>0.0102499</v>
      </c>
      <c r="CH112" s="44" t="n">
        <v>0.0141692</v>
      </c>
      <c r="CI112" s="44" t="n">
        <v>0.00371642</v>
      </c>
      <c r="CJ112" s="44" t="n">
        <v>0.0102499</v>
      </c>
      <c r="CK112" s="44" t="n">
        <v>0.0141048</v>
      </c>
      <c r="CL112" s="44" t="n">
        <v>0.00378843</v>
      </c>
      <c r="CM112" s="44" t="n">
        <v>0.0102499</v>
      </c>
      <c r="CN112" s="44" t="n">
        <v>0.0138762</v>
      </c>
      <c r="CO112" s="44" t="n">
        <v>0.00372505</v>
      </c>
      <c r="CP112" s="44" t="n">
        <v>0.0102499</v>
      </c>
      <c r="CQ112" s="44" t="n">
        <v>0.0138077</v>
      </c>
      <c r="CR112" s="44" t="n">
        <v>0.00370153</v>
      </c>
      <c r="CS112" s="44" t="n">
        <v>0.0102499</v>
      </c>
      <c r="CT112" s="44" t="n">
        <v>0.0133584</v>
      </c>
      <c r="CU112" s="44" t="n">
        <v>0.00385517</v>
      </c>
      <c r="CV112" s="44" t="n">
        <v>0.0102499</v>
      </c>
      <c r="CW112" s="44" t="n">
        <v>0.011982</v>
      </c>
      <c r="CX112" s="44" t="n">
        <v>0.00368223</v>
      </c>
    </row>
    <row collapsed="false" customFormat="false" customHeight="false" hidden="false" ht="12.75" outlineLevel="0" r="113">
      <c r="A113" s="44" t="n">
        <v>0.0103499</v>
      </c>
      <c r="B113" s="44" t="n">
        <v>0.0157661</v>
      </c>
      <c r="C113" s="44" t="n">
        <v>0.00342675</v>
      </c>
      <c r="D113" s="44" t="n">
        <v>0.0103499</v>
      </c>
      <c r="E113" s="44" t="n">
        <v>0.0163761</v>
      </c>
      <c r="F113" s="44" t="n">
        <v>0.00351351</v>
      </c>
      <c r="G113" s="44" t="n">
        <v>0.0103499</v>
      </c>
      <c r="H113" s="44" t="n">
        <v>0.016869</v>
      </c>
      <c r="I113" s="44" t="n">
        <v>0.00350272</v>
      </c>
      <c r="J113" s="44" t="n">
        <v>0.0103499</v>
      </c>
      <c r="K113" s="44" t="n">
        <v>0.0165298</v>
      </c>
      <c r="L113" s="44" t="n">
        <v>0.00342409</v>
      </c>
      <c r="M113" s="44" t="n">
        <v>0.0103499</v>
      </c>
      <c r="N113" s="44" t="n">
        <v>0.0159492</v>
      </c>
      <c r="O113" s="44" t="n">
        <v>0.00346968</v>
      </c>
      <c r="P113" s="44" t="n">
        <v>0.0103499</v>
      </c>
      <c r="Q113" s="44" t="n">
        <v>0.0167199</v>
      </c>
      <c r="R113" s="44" t="n">
        <v>0.00356213</v>
      </c>
      <c r="S113" s="44" t="n">
        <v>0.0103499</v>
      </c>
      <c r="T113" s="44" t="n">
        <v>0.0171541</v>
      </c>
      <c r="U113" s="44" t="n">
        <v>0.00363871</v>
      </c>
      <c r="V113" s="44" t="n">
        <v>0.0103499</v>
      </c>
      <c r="W113" s="44" t="n">
        <v>0.016943</v>
      </c>
      <c r="X113" s="44" t="n">
        <v>0.00353777</v>
      </c>
      <c r="Y113" s="44" t="n">
        <v>0.0103499</v>
      </c>
      <c r="Z113" s="44" t="n">
        <v>0.0168785</v>
      </c>
      <c r="AA113" s="44" t="n">
        <v>0.00362042</v>
      </c>
      <c r="AB113" s="44" t="n">
        <v>0.0103499</v>
      </c>
      <c r="AC113" s="44" t="n">
        <v>0.0165776</v>
      </c>
      <c r="AD113" s="44" t="n">
        <v>0.00355883</v>
      </c>
      <c r="AE113" s="44" t="n">
        <v>0.0103499</v>
      </c>
      <c r="AF113" s="44" t="n">
        <v>0.0167406</v>
      </c>
      <c r="AG113" s="44" t="n">
        <v>0.00359411</v>
      </c>
      <c r="AH113" s="44" t="n">
        <v>0.0103499</v>
      </c>
      <c r="AI113" s="44" t="n">
        <v>0.014805</v>
      </c>
      <c r="AJ113" s="44" t="n">
        <v>0.00352245</v>
      </c>
      <c r="AK113" s="44" t="n">
        <v>0.0103499</v>
      </c>
      <c r="AL113" s="44" t="n">
        <v>0.0152836</v>
      </c>
      <c r="AM113" s="44" t="n">
        <v>0.00351046</v>
      </c>
      <c r="AN113" s="44" t="n">
        <v>0.0103499</v>
      </c>
      <c r="AO113" s="44" t="n">
        <v>0.0157995</v>
      </c>
      <c r="AP113" s="44" t="n">
        <v>0.00365588</v>
      </c>
      <c r="AQ113" s="44" t="n">
        <v>0.0103499</v>
      </c>
      <c r="AR113" s="44" t="n">
        <v>0.0153039</v>
      </c>
      <c r="AS113" s="44" t="n">
        <v>0.00359827</v>
      </c>
      <c r="AT113" s="44" t="n">
        <v>0.0103499</v>
      </c>
      <c r="AU113" s="44" t="n">
        <v>0.0153813</v>
      </c>
      <c r="AV113" s="44" t="n">
        <v>0.00353119</v>
      </c>
      <c r="AW113" s="44" t="n">
        <v>0.0103499</v>
      </c>
      <c r="AX113" s="44" t="n">
        <v>0.0146318</v>
      </c>
      <c r="AY113" s="44" t="n">
        <v>0.00349009</v>
      </c>
      <c r="AZ113" s="44" t="n">
        <v>0.0103499</v>
      </c>
      <c r="BA113" s="44" t="n">
        <v>0.0154451</v>
      </c>
      <c r="BB113" s="44" t="n">
        <v>0.00367857</v>
      </c>
      <c r="BC113" s="44" t="n">
        <v>0.0103499</v>
      </c>
      <c r="BD113" s="44" t="n">
        <v>0.0145053</v>
      </c>
      <c r="BE113" s="44" t="n">
        <v>0.0035743</v>
      </c>
      <c r="BF113" s="44" t="n">
        <v>0.0103499</v>
      </c>
      <c r="BG113" s="44" t="n">
        <v>0.0140862</v>
      </c>
      <c r="BH113" s="44" t="n">
        <v>0.00351232</v>
      </c>
      <c r="BI113" s="44" t="n">
        <v>0.0103499</v>
      </c>
      <c r="BJ113" s="44" t="n">
        <v>0.0138342</v>
      </c>
      <c r="BK113" s="44" t="n">
        <v>0.00357735</v>
      </c>
      <c r="BL113" s="44" t="n">
        <v>0.0103499</v>
      </c>
      <c r="BM113" s="44" t="n">
        <v>0.0149313</v>
      </c>
      <c r="BN113" s="44" t="n">
        <v>0.00363593</v>
      </c>
      <c r="BO113" s="44" t="n">
        <v>0.0103499</v>
      </c>
      <c r="BP113" s="44" t="n">
        <v>0.0145042</v>
      </c>
      <c r="BQ113" s="44" t="n">
        <v>0.00358498</v>
      </c>
      <c r="BR113" s="44" t="n">
        <v>0.0103499</v>
      </c>
      <c r="BS113" s="44" t="n">
        <v>0.0132766</v>
      </c>
      <c r="BT113" s="44" t="n">
        <v>0.0036409</v>
      </c>
      <c r="BU113" s="44" t="n">
        <v>0.0103499</v>
      </c>
      <c r="BV113" s="44" t="n">
        <v>0.0142154</v>
      </c>
      <c r="BW113" s="44" t="n">
        <v>0.00364239</v>
      </c>
      <c r="BX113" s="44" t="n">
        <v>0.0103499</v>
      </c>
      <c r="BY113" s="44" t="n">
        <v>0.0143683</v>
      </c>
      <c r="BZ113" s="44" t="n">
        <v>0.00356283</v>
      </c>
      <c r="CA113" s="44" t="n">
        <v>0.0103499</v>
      </c>
      <c r="CB113" s="44" t="n">
        <v>0.0135951</v>
      </c>
      <c r="CC113" s="44" t="n">
        <v>0.00347289</v>
      </c>
      <c r="CD113" s="44" t="n">
        <v>0.0103499</v>
      </c>
      <c r="CE113" s="44" t="n">
        <v>0.0130717</v>
      </c>
      <c r="CF113" s="44" t="n">
        <v>0.00347445</v>
      </c>
      <c r="CG113" s="44" t="n">
        <v>0.0103499</v>
      </c>
      <c r="CH113" s="44" t="n">
        <v>0.012553</v>
      </c>
      <c r="CI113" s="44" t="n">
        <v>0.00352892</v>
      </c>
      <c r="CJ113" s="44" t="n">
        <v>0.0103499</v>
      </c>
      <c r="CK113" s="44" t="n">
        <v>0.013553</v>
      </c>
      <c r="CL113" s="44" t="n">
        <v>0.00360386</v>
      </c>
      <c r="CM113" s="44" t="n">
        <v>0.0103499</v>
      </c>
      <c r="CN113" s="44" t="n">
        <v>0.013383</v>
      </c>
      <c r="CO113" s="44" t="n">
        <v>0.00356392</v>
      </c>
      <c r="CP113" s="44" t="n">
        <v>0.0103499</v>
      </c>
      <c r="CQ113" s="44" t="n">
        <v>0.0121427</v>
      </c>
      <c r="CR113" s="44" t="n">
        <v>0.00349548</v>
      </c>
      <c r="CS113" s="44" t="n">
        <v>0.0103499</v>
      </c>
      <c r="CT113" s="44" t="n">
        <v>0.0118252</v>
      </c>
      <c r="CU113" s="44" t="n">
        <v>0.0036208</v>
      </c>
      <c r="CV113" s="44" t="n">
        <v>0.0103499</v>
      </c>
      <c r="CW113" s="44" t="n">
        <v>0.0118062</v>
      </c>
      <c r="CX113" s="44" t="n">
        <v>0.00348301</v>
      </c>
    </row>
    <row collapsed="false" customFormat="false" customHeight="false" hidden="false" ht="12.75" outlineLevel="0" r="114">
      <c r="A114" s="44" t="n">
        <v>0.0104499</v>
      </c>
      <c r="B114" s="44" t="n">
        <v>0.01477</v>
      </c>
      <c r="C114" s="44" t="n">
        <v>0.00324316</v>
      </c>
      <c r="D114" s="44" t="n">
        <v>0.0104499</v>
      </c>
      <c r="E114" s="44" t="n">
        <v>0.0160295</v>
      </c>
      <c r="F114" s="44" t="n">
        <v>0.00334651</v>
      </c>
      <c r="G114" s="44" t="n">
        <v>0.0104499</v>
      </c>
      <c r="H114" s="44" t="n">
        <v>0.0157948</v>
      </c>
      <c r="I114" s="44" t="n">
        <v>0.00329178</v>
      </c>
      <c r="J114" s="44" t="n">
        <v>0.0104499</v>
      </c>
      <c r="K114" s="44" t="n">
        <v>0.0147573</v>
      </c>
      <c r="L114" s="44" t="n">
        <v>0.00326979</v>
      </c>
      <c r="M114" s="44" t="n">
        <v>0.0104499</v>
      </c>
      <c r="N114" s="44" t="n">
        <v>0.0148555</v>
      </c>
      <c r="O114" s="44" t="n">
        <v>0.00328316</v>
      </c>
      <c r="P114" s="44" t="n">
        <v>0.0104499</v>
      </c>
      <c r="Q114" s="44" t="n">
        <v>0.0158459</v>
      </c>
      <c r="R114" s="44" t="n">
        <v>0.00337463</v>
      </c>
      <c r="S114" s="44" t="n">
        <v>0.0104499</v>
      </c>
      <c r="T114" s="44" t="n">
        <v>0.016075</v>
      </c>
      <c r="U114" s="44" t="n">
        <v>0.00341898</v>
      </c>
      <c r="V114" s="44" t="n">
        <v>0.0104499</v>
      </c>
      <c r="W114" s="44" t="n">
        <v>0.0155123</v>
      </c>
      <c r="X114" s="44" t="n">
        <v>0.00337957</v>
      </c>
      <c r="Y114" s="44" t="n">
        <v>0.0104499</v>
      </c>
      <c r="Z114" s="44" t="n">
        <v>0.0159655</v>
      </c>
      <c r="AA114" s="44" t="n">
        <v>0.00341046</v>
      </c>
      <c r="AB114" s="44" t="n">
        <v>0.0104499</v>
      </c>
      <c r="AC114" s="44" t="n">
        <v>0.015269</v>
      </c>
      <c r="AD114" s="44" t="n">
        <v>0.00335472</v>
      </c>
      <c r="AE114" s="44" t="n">
        <v>0.0104499</v>
      </c>
      <c r="AF114" s="44" t="n">
        <v>0.0155785</v>
      </c>
      <c r="AG114" s="44" t="n">
        <v>0.00339294</v>
      </c>
      <c r="AH114" s="44" t="n">
        <v>0.0104499</v>
      </c>
      <c r="AI114" s="44" t="n">
        <v>0.0138626</v>
      </c>
      <c r="AJ114" s="44" t="n">
        <v>0.00333495</v>
      </c>
      <c r="AK114" s="44" t="n">
        <v>0.0104499</v>
      </c>
      <c r="AL114" s="44" t="n">
        <v>0.0139701</v>
      </c>
      <c r="AM114" s="44" t="n">
        <v>0.00332004</v>
      </c>
      <c r="AN114" s="44" t="n">
        <v>0.0104499</v>
      </c>
      <c r="AO114" s="44" t="n">
        <v>0.0150524</v>
      </c>
      <c r="AP114" s="44" t="n">
        <v>0.00346252</v>
      </c>
      <c r="AQ114" s="44" t="n">
        <v>0.0104499</v>
      </c>
      <c r="AR114" s="44" t="n">
        <v>0.0138489</v>
      </c>
      <c r="AS114" s="44" t="n">
        <v>0.00340003</v>
      </c>
      <c r="AT114" s="44" t="n">
        <v>0.0104499</v>
      </c>
      <c r="AU114" s="44" t="n">
        <v>0.0140239</v>
      </c>
      <c r="AV114" s="44" t="n">
        <v>0.00334369</v>
      </c>
      <c r="AW114" s="44" t="n">
        <v>0.0104499</v>
      </c>
      <c r="AX114" s="44" t="n">
        <v>0.013499</v>
      </c>
      <c r="AY114" s="44" t="n">
        <v>0.00331431</v>
      </c>
      <c r="AZ114" s="44" t="n">
        <v>0.0104499</v>
      </c>
      <c r="BA114" s="44" t="n">
        <v>0.0142439</v>
      </c>
      <c r="BB114" s="44" t="n">
        <v>0.00350084</v>
      </c>
      <c r="BC114" s="44" t="n">
        <v>0.0104499</v>
      </c>
      <c r="BD114" s="44" t="n">
        <v>0.0136606</v>
      </c>
      <c r="BE114" s="44" t="n">
        <v>0.00335262</v>
      </c>
      <c r="BF114" s="44" t="n">
        <v>0.0104499</v>
      </c>
      <c r="BG114" s="44" t="n">
        <v>0.0128362</v>
      </c>
      <c r="BH114" s="44" t="n">
        <v>0.00332384</v>
      </c>
      <c r="BI114" s="44" t="n">
        <v>0.0104499</v>
      </c>
      <c r="BJ114" s="44" t="n">
        <v>0.0131458</v>
      </c>
      <c r="BK114" s="44" t="n">
        <v>0.00337715</v>
      </c>
      <c r="BL114" s="44" t="n">
        <v>0.0104499</v>
      </c>
      <c r="BM114" s="44" t="n">
        <v>0.0140084</v>
      </c>
      <c r="BN114" s="44" t="n">
        <v>0.00343379</v>
      </c>
      <c r="BO114" s="44" t="n">
        <v>0.0104499</v>
      </c>
      <c r="BP114" s="44" t="n">
        <v>0.0131907</v>
      </c>
      <c r="BQ114" s="44" t="n">
        <v>0.00340334</v>
      </c>
      <c r="BR114" s="44" t="n">
        <v>0.0104499</v>
      </c>
      <c r="BS114" s="44" t="n">
        <v>0.0127932</v>
      </c>
      <c r="BT114" s="44" t="n">
        <v>0.0034534</v>
      </c>
      <c r="BU114" s="44" t="n">
        <v>0.0104499</v>
      </c>
      <c r="BV114" s="44" t="n">
        <v>0.013151</v>
      </c>
      <c r="BW114" s="44" t="n">
        <v>0.00345392</v>
      </c>
      <c r="BX114" s="44" t="n">
        <v>0.0104499</v>
      </c>
      <c r="BY114" s="44" t="n">
        <v>0.0137726</v>
      </c>
      <c r="BZ114" s="44" t="n">
        <v>0.00338509</v>
      </c>
      <c r="CA114" s="44" t="n">
        <v>0.0104499</v>
      </c>
      <c r="CB114" s="44" t="n">
        <v>0.0129604</v>
      </c>
      <c r="CC114" s="44" t="n">
        <v>0.00329027</v>
      </c>
      <c r="CD114" s="44" t="n">
        <v>0.0104499</v>
      </c>
      <c r="CE114" s="44" t="n">
        <v>0.0128715</v>
      </c>
      <c r="CF114" s="44" t="n">
        <v>0.00328793</v>
      </c>
      <c r="CG114" s="44" t="n">
        <v>0.0104499</v>
      </c>
      <c r="CH114" s="44" t="n">
        <v>0.0121233</v>
      </c>
      <c r="CI114" s="44" t="n">
        <v>0.00334435</v>
      </c>
      <c r="CJ114" s="44" t="n">
        <v>0.0104499</v>
      </c>
      <c r="CK114" s="44" t="n">
        <v>0.0127962</v>
      </c>
      <c r="CL114" s="44" t="n">
        <v>0.00341246</v>
      </c>
      <c r="CM114" s="44" t="n">
        <v>0.0104499</v>
      </c>
      <c r="CN114" s="44" t="n">
        <v>0.0126213</v>
      </c>
      <c r="CO114" s="44" t="n">
        <v>0.00335591</v>
      </c>
      <c r="CP114" s="44" t="n">
        <v>0.0104499</v>
      </c>
      <c r="CQ114" s="44" t="n">
        <v>0.0120597</v>
      </c>
      <c r="CR114" s="44" t="n">
        <v>0.00328845</v>
      </c>
      <c r="CS114" s="44" t="n">
        <v>0.0104499</v>
      </c>
      <c r="CT114" s="44" t="n">
        <v>0.0115567</v>
      </c>
      <c r="CU114" s="44" t="n">
        <v>0.0034206</v>
      </c>
      <c r="CV114" s="44" t="n">
        <v>0.0104499</v>
      </c>
      <c r="CW114" s="44" t="n">
        <v>0.0108736</v>
      </c>
      <c r="CX114" s="44" t="n">
        <v>0.00327988</v>
      </c>
    </row>
    <row collapsed="false" customFormat="false" customHeight="false" hidden="false" ht="12.75" outlineLevel="0" r="115">
      <c r="A115" s="44" t="n">
        <v>0.0105499</v>
      </c>
      <c r="B115" s="44" t="n">
        <v>0.014018</v>
      </c>
      <c r="C115" s="44" t="n">
        <v>0.00306444</v>
      </c>
      <c r="D115" s="44" t="n">
        <v>0.0105499</v>
      </c>
      <c r="E115" s="44" t="n">
        <v>0.0153068</v>
      </c>
      <c r="F115" s="44" t="n">
        <v>0.00316487</v>
      </c>
      <c r="G115" s="44" t="n">
        <v>0.0105499</v>
      </c>
      <c r="H115" s="44" t="n">
        <v>0.0142372</v>
      </c>
      <c r="I115" s="44" t="n">
        <v>0.00314529</v>
      </c>
      <c r="J115" s="44" t="n">
        <v>0.0105499</v>
      </c>
      <c r="K115" s="44" t="n">
        <v>0.013688</v>
      </c>
      <c r="L115" s="44" t="n">
        <v>0.00307839</v>
      </c>
      <c r="M115" s="44" t="n">
        <v>0.0105499</v>
      </c>
      <c r="N115" s="44" t="n">
        <v>0.0137617</v>
      </c>
      <c r="O115" s="44" t="n">
        <v>0.00309078</v>
      </c>
      <c r="P115" s="44" t="n">
        <v>0.0105499</v>
      </c>
      <c r="Q115" s="44" t="n">
        <v>0.0149816</v>
      </c>
      <c r="R115" s="44" t="n">
        <v>0.00318127</v>
      </c>
      <c r="S115" s="44" t="n">
        <v>0.0105499</v>
      </c>
      <c r="T115" s="44" t="n">
        <v>0.0148299</v>
      </c>
      <c r="U115" s="44" t="n">
        <v>0.00325101</v>
      </c>
      <c r="V115" s="44" t="n">
        <v>0.0105499</v>
      </c>
      <c r="W115" s="44" t="n">
        <v>0.014526</v>
      </c>
      <c r="X115" s="44" t="n">
        <v>0.00319402</v>
      </c>
      <c r="Y115" s="44" t="n">
        <v>0.0105499</v>
      </c>
      <c r="Z115" s="44" t="n">
        <v>0.0149742</v>
      </c>
      <c r="AA115" s="44" t="n">
        <v>0.00322589</v>
      </c>
      <c r="AB115" s="44" t="n">
        <v>0.0105499</v>
      </c>
      <c r="AC115" s="44" t="n">
        <v>0.0144242</v>
      </c>
      <c r="AD115" s="44" t="n">
        <v>0.00317113</v>
      </c>
      <c r="AE115" s="44" t="n">
        <v>0.0105499</v>
      </c>
      <c r="AF115" s="44" t="n">
        <v>0.0143773</v>
      </c>
      <c r="AG115" s="44" t="n">
        <v>0.00320348</v>
      </c>
      <c r="AH115" s="44" t="n">
        <v>0.0105499</v>
      </c>
      <c r="AI115" s="44" t="n">
        <v>0.0130667</v>
      </c>
      <c r="AJ115" s="44" t="n">
        <v>0.00314941</v>
      </c>
      <c r="AK115" s="44" t="n">
        <v>0.0105499</v>
      </c>
      <c r="AL115" s="44" t="n">
        <v>0.01335</v>
      </c>
      <c r="AM115" s="44" t="n">
        <v>0.00315695</v>
      </c>
      <c r="AN115" s="44" t="n">
        <v>0.0105499</v>
      </c>
      <c r="AO115" s="44" t="n">
        <v>0.0139</v>
      </c>
      <c r="AP115" s="44" t="n">
        <v>0.00326818</v>
      </c>
      <c r="AQ115" s="44" t="n">
        <v>0.0105499</v>
      </c>
      <c r="AR115" s="44" t="n">
        <v>0.0130481</v>
      </c>
      <c r="AS115" s="44" t="n">
        <v>0.00322034</v>
      </c>
      <c r="AT115" s="44" t="n">
        <v>0.0105499</v>
      </c>
      <c r="AU115" s="44" t="n">
        <v>0.0130961</v>
      </c>
      <c r="AV115" s="44" t="n">
        <v>0.00318841</v>
      </c>
      <c r="AW115" s="44" t="n">
        <v>0.0105499</v>
      </c>
      <c r="AX115" s="44" t="n">
        <v>0.012288</v>
      </c>
      <c r="AY115" s="44" t="n">
        <v>0.00313853</v>
      </c>
      <c r="AZ115" s="44" t="n">
        <v>0.0105499</v>
      </c>
      <c r="BA115" s="44" t="n">
        <v>0.0132869</v>
      </c>
      <c r="BB115" s="44" t="n">
        <v>0.00329771</v>
      </c>
      <c r="BC115" s="44" t="n">
        <v>0.0105499</v>
      </c>
      <c r="BD115" s="44" t="n">
        <v>0.0122006</v>
      </c>
      <c r="BE115" s="44" t="n">
        <v>0.00316414</v>
      </c>
      <c r="BF115" s="44" t="n">
        <v>0.0105499</v>
      </c>
      <c r="BG115" s="44" t="n">
        <v>0.0122894</v>
      </c>
      <c r="BH115" s="44" t="n">
        <v>0.00315978</v>
      </c>
      <c r="BI115" s="44" t="n">
        <v>0.0105499</v>
      </c>
      <c r="BJ115" s="44" t="n">
        <v>0.0119934</v>
      </c>
      <c r="BK115" s="44" t="n">
        <v>0.00320333</v>
      </c>
      <c r="BL115" s="44" t="n">
        <v>0.0105499</v>
      </c>
      <c r="BM115" s="44" t="n">
        <v>0.0130807</v>
      </c>
      <c r="BN115" s="44" t="n">
        <v>0.00323457</v>
      </c>
      <c r="BO115" s="44" t="n">
        <v>0.0105499</v>
      </c>
      <c r="BP115" s="44" t="n">
        <v>0.0126097</v>
      </c>
      <c r="BQ115" s="44" t="n">
        <v>0.00320803</v>
      </c>
      <c r="BR115" s="44" t="n">
        <v>0.0105499</v>
      </c>
      <c r="BS115" s="44" t="n">
        <v>0.0122365</v>
      </c>
      <c r="BT115" s="44" t="n">
        <v>0.00325809</v>
      </c>
      <c r="BU115" s="44" t="n">
        <v>0.0105499</v>
      </c>
      <c r="BV115" s="44" t="n">
        <v>0.0122672</v>
      </c>
      <c r="BW115" s="44" t="n">
        <v>0.00328302</v>
      </c>
      <c r="BX115" s="44" t="n">
        <v>0.0105499</v>
      </c>
      <c r="BY115" s="44" t="n">
        <v>0.0129426</v>
      </c>
      <c r="BZ115" s="44" t="n">
        <v>0.00322982</v>
      </c>
      <c r="CA115" s="44" t="n">
        <v>0.0105499</v>
      </c>
      <c r="CB115" s="44" t="n">
        <v>0.0118617</v>
      </c>
      <c r="CC115" s="44" t="n">
        <v>0.00311351</v>
      </c>
      <c r="CD115" s="44" t="n">
        <v>0.0105499</v>
      </c>
      <c r="CE115" s="44" t="n">
        <v>0.0119633</v>
      </c>
      <c r="CF115" s="44" t="n">
        <v>0.00311606</v>
      </c>
      <c r="CG115" s="44" t="n">
        <v>0.0105499</v>
      </c>
      <c r="CH115" s="44" t="n">
        <v>0.0118108</v>
      </c>
      <c r="CI115" s="44" t="n">
        <v>0.0031715</v>
      </c>
      <c r="CJ115" s="44" t="n">
        <v>0.0105499</v>
      </c>
      <c r="CK115" s="44" t="n">
        <v>0.0115804</v>
      </c>
      <c r="CL115" s="44" t="n">
        <v>0.00321812</v>
      </c>
      <c r="CM115" s="44" t="n">
        <v>0.0105499</v>
      </c>
      <c r="CN115" s="44" t="n">
        <v>0.0120012</v>
      </c>
      <c r="CO115" s="44" t="n">
        <v>0.00320064</v>
      </c>
      <c r="CP115" s="44" t="n">
        <v>0.0105499</v>
      </c>
      <c r="CQ115" s="44" t="n">
        <v>0.0112833</v>
      </c>
      <c r="CR115" s="44" t="n">
        <v>0.0031156</v>
      </c>
      <c r="CS115" s="44" t="n">
        <v>0.0105499</v>
      </c>
      <c r="CT115" s="44" t="n">
        <v>0.011127</v>
      </c>
      <c r="CU115" s="44" t="n">
        <v>0.00324287</v>
      </c>
      <c r="CV115" s="44" t="n">
        <v>0.0105499</v>
      </c>
      <c r="CW115" s="44" t="n">
        <v>0.0100972</v>
      </c>
      <c r="CX115" s="44" t="n">
        <v>0.00309141</v>
      </c>
    </row>
    <row collapsed="false" customFormat="false" customHeight="false" hidden="false" ht="12.75" outlineLevel="0" r="116">
      <c r="A116" s="44" t="n">
        <v>0.0106499</v>
      </c>
      <c r="B116" s="44" t="n">
        <v>0.0131733</v>
      </c>
      <c r="C116" s="44" t="n">
        <v>0.00287499</v>
      </c>
      <c r="D116" s="44" t="n">
        <v>0.0106499</v>
      </c>
      <c r="E116" s="44" t="n">
        <v>0.0138859</v>
      </c>
      <c r="F116" s="44" t="n">
        <v>0.0029764</v>
      </c>
      <c r="G116" s="44" t="n">
        <v>0.0106499</v>
      </c>
      <c r="H116" s="44" t="n">
        <v>0.0137977</v>
      </c>
      <c r="I116" s="44" t="n">
        <v>0.00299393</v>
      </c>
      <c r="J116" s="44" t="n">
        <v>0.0106499</v>
      </c>
      <c r="K116" s="44" t="n">
        <v>0.0126382</v>
      </c>
      <c r="L116" s="44" t="n">
        <v>0.00290358</v>
      </c>
      <c r="M116" s="44" t="n">
        <v>0.0106499</v>
      </c>
      <c r="N116" s="44" t="n">
        <v>0.0133027</v>
      </c>
      <c r="O116" s="44" t="n">
        <v>0.00292867</v>
      </c>
      <c r="P116" s="44" t="n">
        <v>0.0106499</v>
      </c>
      <c r="Q116" s="44" t="n">
        <v>0.0136095</v>
      </c>
      <c r="R116" s="44" t="n">
        <v>0.00300158</v>
      </c>
      <c r="S116" s="44" t="n">
        <v>0.0106499</v>
      </c>
      <c r="T116" s="44" t="n">
        <v>0.0136775</v>
      </c>
      <c r="U116" s="44" t="n">
        <v>0.00305082</v>
      </c>
      <c r="V116" s="44" t="n">
        <v>0.0106499</v>
      </c>
      <c r="W116" s="44" t="n">
        <v>0.0138327</v>
      </c>
      <c r="X116" s="44" t="n">
        <v>0.0030075</v>
      </c>
      <c r="Y116" s="44" t="n">
        <v>0.0106499</v>
      </c>
      <c r="Z116" s="44" t="n">
        <v>0.0139147</v>
      </c>
      <c r="AA116" s="44" t="n">
        <v>0.00304815</v>
      </c>
      <c r="AB116" s="44" t="n">
        <v>0.0106499</v>
      </c>
      <c r="AC116" s="44" t="n">
        <v>0.0138432</v>
      </c>
      <c r="AD116" s="44" t="n">
        <v>0.0029934</v>
      </c>
      <c r="AE116" s="44" t="n">
        <v>0.0106499</v>
      </c>
      <c r="AF116" s="44" t="n">
        <v>0.0130102</v>
      </c>
      <c r="AG116" s="44" t="n">
        <v>0.00306579</v>
      </c>
      <c r="AH116" s="44" t="n">
        <v>0.0106499</v>
      </c>
      <c r="AI116" s="44" t="n">
        <v>0.0125589</v>
      </c>
      <c r="AJ116" s="44" t="n">
        <v>0.00297753</v>
      </c>
      <c r="AK116" s="44" t="n">
        <v>0.0106499</v>
      </c>
      <c r="AL116" s="44" t="n">
        <v>0.012183</v>
      </c>
      <c r="AM116" s="44" t="n">
        <v>0.00298312</v>
      </c>
      <c r="AN116" s="44" t="n">
        <v>0.0106499</v>
      </c>
      <c r="AO116" s="44" t="n">
        <v>0.0129625</v>
      </c>
      <c r="AP116" s="44" t="n">
        <v>0.00310021</v>
      </c>
      <c r="AQ116" s="44" t="n">
        <v>0.0106499</v>
      </c>
      <c r="AR116" s="44" t="n">
        <v>0.0127698</v>
      </c>
      <c r="AS116" s="44" t="n">
        <v>0.00302698</v>
      </c>
      <c r="AT116" s="44" t="n">
        <v>0.0106499</v>
      </c>
      <c r="AU116" s="44" t="n">
        <v>0.0124858</v>
      </c>
      <c r="AV116" s="44" t="n">
        <v>0.00298627</v>
      </c>
      <c r="AW116" s="44" t="n">
        <v>0.0106499</v>
      </c>
      <c r="AX116" s="44" t="n">
        <v>0.0118242</v>
      </c>
      <c r="AY116" s="44" t="n">
        <v>0.00292857</v>
      </c>
      <c r="AZ116" s="44" t="n">
        <v>0.0106499</v>
      </c>
      <c r="BA116" s="44" t="n">
        <v>0.0126716</v>
      </c>
      <c r="BB116" s="44" t="n">
        <v>0.003119</v>
      </c>
      <c r="BC116" s="44" t="n">
        <v>0.0106499</v>
      </c>
      <c r="BD116" s="44" t="n">
        <v>0.0111655</v>
      </c>
      <c r="BE116" s="44" t="n">
        <v>0.00297957</v>
      </c>
      <c r="BF116" s="44" t="n">
        <v>0.0106499</v>
      </c>
      <c r="BG116" s="44" t="n">
        <v>0.0116351</v>
      </c>
      <c r="BH116" s="44" t="n">
        <v>0.00296252</v>
      </c>
      <c r="BI116" s="44" t="n">
        <v>0.0106499</v>
      </c>
      <c r="BJ116" s="44" t="n">
        <v>0.011554</v>
      </c>
      <c r="BK116" s="44" t="n">
        <v>0.00302071</v>
      </c>
      <c r="BL116" s="44" t="n">
        <v>0.0106499</v>
      </c>
      <c r="BM116" s="44" t="n">
        <v>0.0120065</v>
      </c>
      <c r="BN116" s="44" t="n">
        <v>0.0030666</v>
      </c>
      <c r="BO116" s="44" t="n">
        <v>0.0106499</v>
      </c>
      <c r="BP116" s="44" t="n">
        <v>0.0119652</v>
      </c>
      <c r="BQ116" s="44" t="n">
        <v>0.00301662</v>
      </c>
      <c r="BR116" s="44" t="n">
        <v>0.0106499</v>
      </c>
      <c r="BS116" s="44" t="n">
        <v>0.0114699</v>
      </c>
      <c r="BT116" s="44" t="n">
        <v>0.00306083</v>
      </c>
      <c r="BU116" s="44" t="n">
        <v>0.0106499</v>
      </c>
      <c r="BV116" s="44" t="n">
        <v>0.0116275</v>
      </c>
      <c r="BW116" s="44" t="n">
        <v>0.00308868</v>
      </c>
      <c r="BX116" s="44" t="n">
        <v>0.0106499</v>
      </c>
      <c r="BY116" s="44" t="n">
        <v>0.0116047</v>
      </c>
      <c r="BZ116" s="44" t="n">
        <v>0.00305892</v>
      </c>
      <c r="CA116" s="44" t="n">
        <v>0.0106499</v>
      </c>
      <c r="CB116" s="44" t="n">
        <v>0.0114027</v>
      </c>
      <c r="CC116" s="44" t="n">
        <v>0.00295336</v>
      </c>
      <c r="CD116" s="44" t="n">
        <v>0.0106499</v>
      </c>
      <c r="CE116" s="44" t="n">
        <v>0.0107622</v>
      </c>
      <c r="CF116" s="44" t="n">
        <v>0.00295981</v>
      </c>
      <c r="CG116" s="44" t="n">
        <v>0.0106499</v>
      </c>
      <c r="CH116" s="44" t="n">
        <v>0.0110149</v>
      </c>
      <c r="CI116" s="44" t="n">
        <v>0.00298497</v>
      </c>
      <c r="CJ116" s="44" t="n">
        <v>0.0106499</v>
      </c>
      <c r="CK116" s="44" t="n">
        <v>0.0110872</v>
      </c>
      <c r="CL116" s="44" t="n">
        <v>0.0030316</v>
      </c>
      <c r="CM116" s="44" t="n">
        <v>0.0106499</v>
      </c>
      <c r="CN116" s="44" t="n">
        <v>0.0112834</v>
      </c>
      <c r="CO116" s="44" t="n">
        <v>0.00298384</v>
      </c>
      <c r="CP116" s="44" t="n">
        <v>0.0106499</v>
      </c>
      <c r="CQ116" s="44" t="n">
        <v>0.0106388</v>
      </c>
      <c r="CR116" s="44" t="n">
        <v>0.00294177</v>
      </c>
      <c r="CS116" s="44" t="n">
        <v>0.0106499</v>
      </c>
      <c r="CT116" s="44" t="n">
        <v>0.0100967</v>
      </c>
      <c r="CU116" s="44" t="n">
        <v>0.00306123</v>
      </c>
      <c r="CV116" s="44" t="n">
        <v>0.0106499</v>
      </c>
      <c r="CW116" s="44" t="n">
        <v>0.00956497</v>
      </c>
      <c r="CX116" s="44" t="n">
        <v>0.00294785</v>
      </c>
    </row>
    <row collapsed="false" customFormat="false" customHeight="false" hidden="false" ht="12.75" outlineLevel="0" r="117">
      <c r="A117" s="44" t="n">
        <v>0.0107499</v>
      </c>
      <c r="B117" s="44" t="n">
        <v>0.0121821</v>
      </c>
      <c r="C117" s="44" t="n">
        <v>0.00273437</v>
      </c>
      <c r="D117" s="44" t="n">
        <v>0.0107499</v>
      </c>
      <c r="E117" s="44" t="n">
        <v>0.0131242</v>
      </c>
      <c r="F117" s="44" t="n">
        <v>0.00278694</v>
      </c>
      <c r="G117" s="44" t="n">
        <v>0.0107499</v>
      </c>
      <c r="H117" s="44" t="n">
        <v>0.0126307</v>
      </c>
      <c r="I117" s="44" t="n">
        <v>0.00282108</v>
      </c>
      <c r="J117" s="44" t="n">
        <v>0.0107499</v>
      </c>
      <c r="K117" s="44" t="n">
        <v>0.0119887</v>
      </c>
      <c r="L117" s="44" t="n">
        <v>0.00273854</v>
      </c>
      <c r="M117" s="44" t="n">
        <v>0.0107499</v>
      </c>
      <c r="N117" s="44" t="n">
        <v>0.0122236</v>
      </c>
      <c r="O117" s="44" t="n">
        <v>0.00274019</v>
      </c>
      <c r="P117" s="44" t="n">
        <v>0.0107499</v>
      </c>
      <c r="Q117" s="44" t="n">
        <v>0.0129943</v>
      </c>
      <c r="R117" s="44" t="n">
        <v>0.00286388</v>
      </c>
      <c r="S117" s="44" t="n">
        <v>0.0107499</v>
      </c>
      <c r="T117" s="44" t="n">
        <v>0.0130428</v>
      </c>
      <c r="U117" s="44" t="n">
        <v>0.00288676</v>
      </c>
      <c r="V117" s="44" t="n">
        <v>0.0107499</v>
      </c>
      <c r="W117" s="44" t="n">
        <v>0.012695</v>
      </c>
      <c r="X117" s="44" t="n">
        <v>0.00285418</v>
      </c>
      <c r="Y117" s="44" t="n">
        <v>0.0107499</v>
      </c>
      <c r="Z117" s="44" t="n">
        <v>0.0124938</v>
      </c>
      <c r="AA117" s="44" t="n">
        <v>0.00287335</v>
      </c>
      <c r="AB117" s="44" t="n">
        <v>0.0107499</v>
      </c>
      <c r="AC117" s="44" t="n">
        <v>0.0123149</v>
      </c>
      <c r="AD117" s="44" t="n">
        <v>0.00282543</v>
      </c>
      <c r="AE117" s="44" t="n">
        <v>0.0107499</v>
      </c>
      <c r="AF117" s="44" t="n">
        <v>0.0121557</v>
      </c>
      <c r="AG117" s="44" t="n">
        <v>0.00286559</v>
      </c>
      <c r="AH117" s="44" t="n">
        <v>0.0107499</v>
      </c>
      <c r="AI117" s="44" t="n">
        <v>0.0113675</v>
      </c>
      <c r="AJ117" s="44" t="n">
        <v>0.00281249</v>
      </c>
      <c r="AK117" s="44" t="n">
        <v>0.0107499</v>
      </c>
      <c r="AL117" s="44" t="n">
        <v>0.0112504</v>
      </c>
      <c r="AM117" s="44" t="n">
        <v>0.00279953</v>
      </c>
      <c r="AN117" s="44" t="n">
        <v>0.0107499</v>
      </c>
      <c r="AO117" s="44" t="n">
        <v>0.0125573</v>
      </c>
      <c r="AP117" s="44" t="n">
        <v>0.00291662</v>
      </c>
      <c r="AQ117" s="44" t="n">
        <v>0.0107499</v>
      </c>
      <c r="AR117" s="44" t="n">
        <v>0.0114075</v>
      </c>
      <c r="AS117" s="44" t="n">
        <v>0.00287073</v>
      </c>
      <c r="AT117" s="44" t="n">
        <v>0.0107499</v>
      </c>
      <c r="AU117" s="44" t="n">
        <v>0.011143</v>
      </c>
      <c r="AV117" s="44" t="n">
        <v>0.00283197</v>
      </c>
      <c r="AW117" s="44" t="n">
        <v>0.0107499</v>
      </c>
      <c r="AX117" s="44" t="n">
        <v>0.0112285</v>
      </c>
      <c r="AY117" s="44" t="n">
        <v>0.00274985</v>
      </c>
      <c r="AZ117" s="44" t="n">
        <v>0.0107499</v>
      </c>
      <c r="BA117" s="44" t="n">
        <v>0.011158</v>
      </c>
      <c r="BB117" s="44" t="n">
        <v>0.00294713</v>
      </c>
      <c r="BC117" s="44" t="n">
        <v>0.0107499</v>
      </c>
      <c r="BD117" s="44" t="n">
        <v>0.0110727</v>
      </c>
      <c r="BE117" s="44" t="n">
        <v>0.00281453</v>
      </c>
      <c r="BF117" s="44" t="n">
        <v>0.0107499</v>
      </c>
      <c r="BG117" s="44" t="n">
        <v>0.0113567</v>
      </c>
      <c r="BH117" s="44" t="n">
        <v>0.00279748</v>
      </c>
      <c r="BI117" s="44" t="n">
        <v>0.0107499</v>
      </c>
      <c r="BJ117" s="44" t="n">
        <v>0.0109534</v>
      </c>
      <c r="BK117" s="44" t="n">
        <v>0.002842</v>
      </c>
      <c r="BL117" s="44" t="n">
        <v>0.0107499</v>
      </c>
      <c r="BM117" s="44" t="n">
        <v>0.0116012</v>
      </c>
      <c r="BN117" s="44" t="n">
        <v>0.00288496</v>
      </c>
      <c r="BO117" s="44" t="n">
        <v>0.0107499</v>
      </c>
      <c r="BP117" s="44" t="n">
        <v>0.010974</v>
      </c>
      <c r="BQ117" s="44" t="n">
        <v>0.002876</v>
      </c>
      <c r="BR117" s="44" t="n">
        <v>0.0107499</v>
      </c>
      <c r="BS117" s="44" t="n">
        <v>0.0104445</v>
      </c>
      <c r="BT117" s="44" t="n">
        <v>0.00288602</v>
      </c>
      <c r="BU117" s="44" t="n">
        <v>0.0107499</v>
      </c>
      <c r="BV117" s="44" t="n">
        <v>0.0111637</v>
      </c>
      <c r="BW117" s="44" t="n">
        <v>0.002909</v>
      </c>
      <c r="BX117" s="44" t="n">
        <v>0.0107499</v>
      </c>
      <c r="BY117" s="44" t="n">
        <v>0.0114484</v>
      </c>
      <c r="BZ117" s="44" t="n">
        <v>0.00289095</v>
      </c>
      <c r="CA117" s="44" t="n">
        <v>0.0107499</v>
      </c>
      <c r="CB117" s="44" t="n">
        <v>0.0109682</v>
      </c>
      <c r="CC117" s="44" t="n">
        <v>0.00278636</v>
      </c>
      <c r="CD117" s="44" t="n">
        <v>0.0107499</v>
      </c>
      <c r="CE117" s="44" t="n">
        <v>0.0105034</v>
      </c>
      <c r="CF117" s="44" t="n">
        <v>0.00280258</v>
      </c>
      <c r="CG117" s="44" t="n">
        <v>0.0107499</v>
      </c>
      <c r="CH117" s="44" t="n">
        <v>0.00971604</v>
      </c>
      <c r="CI117" s="44" t="n">
        <v>0.00283556</v>
      </c>
      <c r="CJ117" s="44" t="n">
        <v>0.0107499</v>
      </c>
      <c r="CK117" s="44" t="n">
        <v>0.0108968</v>
      </c>
      <c r="CL117" s="44" t="n">
        <v>0.00286363</v>
      </c>
      <c r="CM117" s="44" t="n">
        <v>0.0107499</v>
      </c>
      <c r="CN117" s="44" t="n">
        <v>0.0105949</v>
      </c>
      <c r="CO117" s="44" t="n">
        <v>0.00280903</v>
      </c>
      <c r="CP117" s="44" t="n">
        <v>0.0107499</v>
      </c>
      <c r="CQ117" s="44" t="n">
        <v>0.00951575</v>
      </c>
      <c r="CR117" s="44" t="n">
        <v>0.00277868</v>
      </c>
      <c r="CS117" s="44" t="n">
        <v>0.0107499</v>
      </c>
      <c r="CT117" s="44" t="n">
        <v>0.00925687</v>
      </c>
      <c r="CU117" s="44" t="n">
        <v>0.00286396</v>
      </c>
      <c r="CV117" s="44" t="n">
        <v>0.0107499</v>
      </c>
      <c r="CW117" s="44" t="n">
        <v>0.00917923</v>
      </c>
      <c r="CX117" s="44" t="n">
        <v>0.00275742</v>
      </c>
    </row>
    <row collapsed="false" customFormat="false" customHeight="false" hidden="false" ht="12.75" outlineLevel="0" r="118">
      <c r="A118" s="44" t="n">
        <v>0.0108499</v>
      </c>
      <c r="B118" s="44" t="n">
        <v>0.0116743</v>
      </c>
      <c r="C118" s="44" t="n">
        <v>0.00256151</v>
      </c>
      <c r="D118" s="44" t="n">
        <v>0.0108499</v>
      </c>
      <c r="E118" s="44" t="n">
        <v>0.0116593</v>
      </c>
      <c r="F118" s="44" t="n">
        <v>0.00265218</v>
      </c>
      <c r="G118" s="44" t="n">
        <v>0.0108499</v>
      </c>
      <c r="H118" s="44" t="n">
        <v>0.0116932</v>
      </c>
      <c r="I118" s="44" t="n">
        <v>0.00264822</v>
      </c>
      <c r="J118" s="44" t="n">
        <v>0.0108499</v>
      </c>
      <c r="K118" s="44" t="n">
        <v>0.0114565</v>
      </c>
      <c r="L118" s="44" t="n">
        <v>0.00258034</v>
      </c>
      <c r="M118" s="44" t="n">
        <v>0.0108499</v>
      </c>
      <c r="N118" s="44" t="n">
        <v>0.0111299</v>
      </c>
      <c r="O118" s="44" t="n">
        <v>0.0025898</v>
      </c>
      <c r="P118" s="44" t="n">
        <v>0.0108499</v>
      </c>
      <c r="Q118" s="44" t="n">
        <v>0.0119543</v>
      </c>
      <c r="R118" s="44" t="n">
        <v>0.00270568</v>
      </c>
      <c r="S118" s="44" t="n">
        <v>0.0108499</v>
      </c>
      <c r="T118" s="44" t="n">
        <v>0.0122566</v>
      </c>
      <c r="U118" s="44" t="n">
        <v>0.00273148</v>
      </c>
      <c r="V118" s="44" t="n">
        <v>0.0108499</v>
      </c>
      <c r="W118" s="44" t="n">
        <v>0.0117868</v>
      </c>
      <c r="X118" s="44" t="n">
        <v>0.00268426</v>
      </c>
      <c r="Y118" s="44" t="n">
        <v>0.0108499</v>
      </c>
      <c r="Z118" s="44" t="n">
        <v>0.0120153</v>
      </c>
      <c r="AA118" s="44" t="n">
        <v>0.00271319</v>
      </c>
      <c r="AB118" s="44" t="n">
        <v>0.0108499</v>
      </c>
      <c r="AC118" s="44" t="n">
        <v>0.0119291</v>
      </c>
      <c r="AD118" s="44" t="n">
        <v>0.00266234</v>
      </c>
      <c r="AE118" s="44" t="n">
        <v>0.0108499</v>
      </c>
      <c r="AF118" s="44" t="n">
        <v>0.0114965</v>
      </c>
      <c r="AG118" s="44" t="n">
        <v>0.00268786</v>
      </c>
      <c r="AH118" s="44" t="n">
        <v>0.0108499</v>
      </c>
      <c r="AI118" s="44" t="n">
        <v>0.0104788</v>
      </c>
      <c r="AJ118" s="44" t="n">
        <v>0.00265624</v>
      </c>
      <c r="AK118" s="44" t="n">
        <v>0.0108499</v>
      </c>
      <c r="AL118" s="44" t="n">
        <v>0.0109183</v>
      </c>
      <c r="AM118" s="44" t="n">
        <v>0.00263156</v>
      </c>
      <c r="AN118" s="44" t="n">
        <v>0.0108499</v>
      </c>
      <c r="AO118" s="44" t="n">
        <v>0.0111608</v>
      </c>
      <c r="AP118" s="44" t="n">
        <v>0.00276134</v>
      </c>
      <c r="AQ118" s="44" t="n">
        <v>0.0108499</v>
      </c>
      <c r="AR118" s="44" t="n">
        <v>0.0108948</v>
      </c>
      <c r="AS118" s="44" t="n">
        <v>0.00271644</v>
      </c>
      <c r="AT118" s="44" t="n">
        <v>0.0108499</v>
      </c>
      <c r="AU118" s="44" t="n">
        <v>0.0108598</v>
      </c>
      <c r="AV118" s="44" t="n">
        <v>0.00268158</v>
      </c>
      <c r="AW118" s="44" t="n">
        <v>0.0108499</v>
      </c>
      <c r="AX118" s="44" t="n">
        <v>0.00991988</v>
      </c>
      <c r="AY118" s="44" t="n">
        <v>0.00259653</v>
      </c>
      <c r="AZ118" s="44" t="n">
        <v>0.0108499</v>
      </c>
      <c r="BA118" s="44" t="n">
        <v>0.0105232</v>
      </c>
      <c r="BB118" s="44" t="n">
        <v>0.00277134</v>
      </c>
      <c r="BC118" s="44" t="n">
        <v>0.0108499</v>
      </c>
      <c r="BD118" s="44" t="n">
        <v>0.0102378</v>
      </c>
      <c r="BE118" s="44" t="n">
        <v>0.00266121</v>
      </c>
      <c r="BF118" s="44" t="n">
        <v>0.0108499</v>
      </c>
      <c r="BG118" s="44" t="n">
        <v>0.0112005</v>
      </c>
      <c r="BH118" s="44" t="n">
        <v>0.00263244</v>
      </c>
      <c r="BI118" s="44" t="n">
        <v>0.0108499</v>
      </c>
      <c r="BJ118" s="44" t="n">
        <v>0.0102063</v>
      </c>
      <c r="BK118" s="44" t="n">
        <v>0.00270333</v>
      </c>
      <c r="BL118" s="44" t="n">
        <v>0.0108499</v>
      </c>
      <c r="BM118" s="44" t="n">
        <v>0.0111275</v>
      </c>
      <c r="BN118" s="44" t="n">
        <v>0.00271699</v>
      </c>
      <c r="BO118" s="44" t="n">
        <v>0.0108499</v>
      </c>
      <c r="BP118" s="44" t="n">
        <v>0.0100072</v>
      </c>
      <c r="BQ118" s="44" t="n">
        <v>0.00269631</v>
      </c>
      <c r="BR118" s="44" t="n">
        <v>0.0108499</v>
      </c>
      <c r="BS118" s="44" t="n">
        <v>0.00981953</v>
      </c>
      <c r="BT118" s="44" t="n">
        <v>0.0027454</v>
      </c>
      <c r="BU118" s="44" t="n">
        <v>0.0108499</v>
      </c>
      <c r="BV118" s="44" t="n">
        <v>0.0102799</v>
      </c>
      <c r="BW118" s="44" t="n">
        <v>0.00276739</v>
      </c>
      <c r="BX118" s="44" t="n">
        <v>0.0108499</v>
      </c>
      <c r="BY118" s="44" t="n">
        <v>0.0106183</v>
      </c>
      <c r="BZ118" s="44" t="n">
        <v>0.00271713</v>
      </c>
      <c r="CA118" s="44" t="n">
        <v>0.0108499</v>
      </c>
      <c r="CB118" s="44" t="n">
        <v>0.0100404</v>
      </c>
      <c r="CC118" s="44" t="n">
        <v>0.00263207</v>
      </c>
      <c r="CD118" s="44" t="n">
        <v>0.0108499</v>
      </c>
      <c r="CE118" s="44" t="n">
        <v>0.00935102</v>
      </c>
      <c r="CF118" s="44" t="n">
        <v>0.00261703</v>
      </c>
      <c r="CG118" s="44" t="n">
        <v>0.0108499</v>
      </c>
      <c r="CH118" s="44" t="n">
        <v>0.00964768</v>
      </c>
      <c r="CI118" s="44" t="n">
        <v>0.00266368</v>
      </c>
      <c r="CJ118" s="44" t="n">
        <v>0.0108499</v>
      </c>
      <c r="CK118" s="44" t="n">
        <v>0.010223</v>
      </c>
      <c r="CL118" s="44" t="n">
        <v>0.00270933</v>
      </c>
      <c r="CM118" s="44" t="n">
        <v>0.0108499</v>
      </c>
      <c r="CN118" s="44" t="n">
        <v>0.00934003</v>
      </c>
      <c r="CO118" s="44" t="n">
        <v>0.00265767</v>
      </c>
      <c r="CP118" s="44" t="n">
        <v>0.0108499</v>
      </c>
      <c r="CQ118" s="44" t="n">
        <v>0.00905188</v>
      </c>
      <c r="CR118" s="44" t="n">
        <v>0.00259607</v>
      </c>
      <c r="CS118" s="44" t="n">
        <v>0.0108499</v>
      </c>
      <c r="CT118" s="44" t="n">
        <v>0.00910062</v>
      </c>
      <c r="CU118" s="44" t="n">
        <v>0.00270771</v>
      </c>
      <c r="CV118" s="44" t="n">
        <v>0.0108499</v>
      </c>
      <c r="CW118" s="44" t="n">
        <v>0.00772903</v>
      </c>
      <c r="CX118" s="44" t="n">
        <v>0.00261875</v>
      </c>
    </row>
    <row collapsed="false" customFormat="false" customHeight="false" hidden="false" ht="12.75" outlineLevel="0" r="119">
      <c r="A119" s="44" t="n">
        <v>0.0109499</v>
      </c>
      <c r="B119" s="44" t="n">
        <v>0.0109272</v>
      </c>
      <c r="C119" s="44" t="n">
        <v>0.00240429</v>
      </c>
      <c r="D119" s="44" t="n">
        <v>0.0109499</v>
      </c>
      <c r="E119" s="44" t="n">
        <v>0.011425</v>
      </c>
      <c r="F119" s="44" t="n">
        <v>0.00250081</v>
      </c>
      <c r="G119" s="44" t="n">
        <v>0.0109499</v>
      </c>
      <c r="H119" s="44" t="n">
        <v>0.0115663</v>
      </c>
      <c r="I119" s="44" t="n">
        <v>0.00247342</v>
      </c>
      <c r="J119" s="44" t="n">
        <v>0.0109499</v>
      </c>
      <c r="K119" s="44" t="n">
        <v>0.010768</v>
      </c>
      <c r="L119" s="44" t="n">
        <v>0.00243483</v>
      </c>
      <c r="M119" s="44" t="n">
        <v>0.0109499</v>
      </c>
      <c r="N119" s="44" t="n">
        <v>0.0106856</v>
      </c>
      <c r="O119" s="44" t="n">
        <v>0.00242476</v>
      </c>
      <c r="P119" s="44" t="n">
        <v>0.0109499</v>
      </c>
      <c r="Q119" s="44" t="n">
        <v>0.0109386</v>
      </c>
      <c r="R119" s="44" t="n">
        <v>0.00257092</v>
      </c>
      <c r="S119" s="44" t="n">
        <v>0.0109499</v>
      </c>
      <c r="T119" s="44" t="n">
        <v>0.0119734</v>
      </c>
      <c r="U119" s="44" t="n">
        <v>0.00256254</v>
      </c>
      <c r="V119" s="44" t="n">
        <v>0.0109499</v>
      </c>
      <c r="W119" s="44" t="n">
        <v>0.010776</v>
      </c>
      <c r="X119" s="44" t="n">
        <v>0.00255144</v>
      </c>
      <c r="Y119" s="44" t="n">
        <v>0.0109499</v>
      </c>
      <c r="Z119" s="44" t="n">
        <v>0.0112682</v>
      </c>
      <c r="AA119" s="44" t="n">
        <v>0.00255303</v>
      </c>
      <c r="AB119" s="44" t="n">
        <v>0.0109499</v>
      </c>
      <c r="AC119" s="44" t="n">
        <v>0.0106645</v>
      </c>
      <c r="AD119" s="44" t="n">
        <v>0.00252465</v>
      </c>
      <c r="AE119" s="44" t="n">
        <v>0.0109499</v>
      </c>
      <c r="AF119" s="44" t="n">
        <v>0.0106029</v>
      </c>
      <c r="AG119" s="44" t="n">
        <v>0.00254626</v>
      </c>
      <c r="AH119" s="44" t="n">
        <v>0.0109499</v>
      </c>
      <c r="AI119" s="44" t="n">
        <v>0.0101809</v>
      </c>
      <c r="AJ119" s="44" t="n">
        <v>0.00248925</v>
      </c>
      <c r="AK119" s="44" t="n">
        <v>0.0109499</v>
      </c>
      <c r="AL119" s="44" t="n">
        <v>0.0101371</v>
      </c>
      <c r="AM119" s="44" t="n">
        <v>0.00249093</v>
      </c>
      <c r="AN119" s="44" t="n">
        <v>0.0109499</v>
      </c>
      <c r="AO119" s="44" t="n">
        <v>0.0107702</v>
      </c>
      <c r="AP119" s="44" t="n">
        <v>0.00261291</v>
      </c>
      <c r="AQ119" s="44" t="n">
        <v>0.0109499</v>
      </c>
      <c r="AR119" s="44" t="n">
        <v>0.0100647</v>
      </c>
      <c r="AS119" s="44" t="n">
        <v>0.00256214</v>
      </c>
      <c r="AT119" s="44" t="n">
        <v>0.0109499</v>
      </c>
      <c r="AU119" s="44" t="n">
        <v>0.0106352</v>
      </c>
      <c r="AV119" s="44" t="n">
        <v>0.00251361</v>
      </c>
      <c r="AW119" s="44" t="n">
        <v>0.0109499</v>
      </c>
      <c r="AX119" s="44" t="n">
        <v>0.00971968</v>
      </c>
      <c r="AY119" s="44" t="n">
        <v>0.002452</v>
      </c>
      <c r="AZ119" s="44" t="n">
        <v>0.0109499</v>
      </c>
      <c r="BA119" s="44" t="n">
        <v>0.0102107</v>
      </c>
      <c r="BB119" s="44" t="n">
        <v>0.00261705</v>
      </c>
      <c r="BC119" s="44" t="n">
        <v>0.0109499</v>
      </c>
      <c r="BD119" s="44" t="n">
        <v>0.00946627</v>
      </c>
      <c r="BE119" s="44" t="n">
        <v>0.00251668</v>
      </c>
      <c r="BF119" s="44" t="n">
        <v>0.0109499</v>
      </c>
      <c r="BG119" s="44" t="n">
        <v>0.00982842</v>
      </c>
      <c r="BH119" s="44" t="n">
        <v>0.00247423</v>
      </c>
      <c r="BI119" s="44" t="n">
        <v>0.0109499</v>
      </c>
      <c r="BJ119" s="44" t="n">
        <v>0.00969361</v>
      </c>
      <c r="BK119" s="44" t="n">
        <v>0.00252657</v>
      </c>
      <c r="BL119" s="44" t="n">
        <v>0.0109499</v>
      </c>
      <c r="BM119" s="44" t="n">
        <v>0.0101656</v>
      </c>
      <c r="BN119" s="44" t="n">
        <v>0.00256464</v>
      </c>
      <c r="BO119" s="44" t="n">
        <v>0.0109499</v>
      </c>
      <c r="BP119" s="44" t="n">
        <v>0.00984602</v>
      </c>
      <c r="BQ119" s="44" t="n">
        <v>0.0025508</v>
      </c>
      <c r="BR119" s="44" t="n">
        <v>0.0109499</v>
      </c>
      <c r="BS119" s="44" t="n">
        <v>0.00943867</v>
      </c>
      <c r="BT119" s="44" t="n">
        <v>0.00257645</v>
      </c>
      <c r="BU119" s="44" t="n">
        <v>0.0109499</v>
      </c>
      <c r="BV119" s="44" t="n">
        <v>0.00951817</v>
      </c>
      <c r="BW119" s="44" t="n">
        <v>0.0026131</v>
      </c>
      <c r="BX119" s="44" t="n">
        <v>0.0109499</v>
      </c>
      <c r="BY119" s="44" t="n">
        <v>0.00979803</v>
      </c>
      <c r="BZ119" s="44" t="n">
        <v>0.00255697</v>
      </c>
      <c r="CA119" s="44" t="n">
        <v>0.0109499</v>
      </c>
      <c r="CB119" s="44" t="n">
        <v>0.00921524</v>
      </c>
      <c r="CC119" s="44" t="n">
        <v>0.00246019</v>
      </c>
      <c r="CD119" s="44" t="n">
        <v>0.0109499</v>
      </c>
      <c r="CE119" s="44" t="n">
        <v>0.00828656</v>
      </c>
      <c r="CF119" s="44" t="n">
        <v>0.00246957</v>
      </c>
      <c r="CG119" s="44" t="n">
        <v>0.0109499</v>
      </c>
      <c r="CH119" s="44" t="n">
        <v>0.00940354</v>
      </c>
      <c r="CI119" s="44" t="n">
        <v>0.00251525</v>
      </c>
      <c r="CJ119" s="44" t="n">
        <v>0.0109499</v>
      </c>
      <c r="CK119" s="44" t="n">
        <v>0.00924151</v>
      </c>
      <c r="CL119" s="44" t="n">
        <v>0.00256187</v>
      </c>
      <c r="CM119" s="44" t="n">
        <v>0.0109499</v>
      </c>
      <c r="CN119" s="44" t="n">
        <v>0.00889081</v>
      </c>
      <c r="CO119" s="44" t="n">
        <v>0.00250142</v>
      </c>
      <c r="CP119" s="44" t="n">
        <v>0.0109499</v>
      </c>
      <c r="CQ119" s="44" t="n">
        <v>0.00861731</v>
      </c>
      <c r="CR119" s="44" t="n">
        <v>0.00246814</v>
      </c>
      <c r="CS119" s="44" t="n">
        <v>0.0109499</v>
      </c>
      <c r="CT119" s="44" t="n">
        <v>0.00849027</v>
      </c>
      <c r="CU119" s="44" t="n">
        <v>0.00253681</v>
      </c>
      <c r="CV119" s="44" t="n">
        <v>0.0109499</v>
      </c>
      <c r="CW119" s="44" t="n">
        <v>0.00746536</v>
      </c>
      <c r="CX119" s="44" t="n">
        <v>0.0024752</v>
      </c>
    </row>
    <row collapsed="false" customFormat="false" customHeight="false" hidden="false" ht="12.75" outlineLevel="0" r="120">
      <c r="A120" s="44" t="n">
        <v>0.0110499</v>
      </c>
      <c r="B120" s="44" t="n">
        <v>0.00963326</v>
      </c>
      <c r="C120" s="44" t="n">
        <v>0.00228124</v>
      </c>
      <c r="D120" s="44" t="n">
        <v>0.0110499</v>
      </c>
      <c r="E120" s="44" t="n">
        <v>0.0105656</v>
      </c>
      <c r="F120" s="44" t="n">
        <v>0.00233675</v>
      </c>
      <c r="G120" s="44" t="n">
        <v>0.0110499</v>
      </c>
      <c r="H120" s="44" t="n">
        <v>0.010453</v>
      </c>
      <c r="I120" s="44" t="n">
        <v>0.0023367</v>
      </c>
      <c r="J120" s="44" t="n">
        <v>0.0110499</v>
      </c>
      <c r="K120" s="44" t="n">
        <v>0.0100747</v>
      </c>
      <c r="L120" s="44" t="n">
        <v>0.00228249</v>
      </c>
      <c r="M120" s="44" t="n">
        <v>0.0110499</v>
      </c>
      <c r="N120" s="44" t="n">
        <v>0.0100313</v>
      </c>
      <c r="O120" s="44" t="n">
        <v>0.0022734</v>
      </c>
      <c r="P120" s="44" t="n">
        <v>0.0110499</v>
      </c>
      <c r="Q120" s="44" t="n">
        <v>0.0105236</v>
      </c>
      <c r="R120" s="44" t="n">
        <v>0.00239709</v>
      </c>
      <c r="S120" s="44" t="n">
        <v>0.0110499</v>
      </c>
      <c r="T120" s="44" t="n">
        <v>0.0103768</v>
      </c>
      <c r="U120" s="44" t="n">
        <v>0.00241019</v>
      </c>
      <c r="V120" s="44" t="n">
        <v>0.0110499</v>
      </c>
      <c r="W120" s="44" t="n">
        <v>0.0103268</v>
      </c>
      <c r="X120" s="44" t="n">
        <v>0.00239226</v>
      </c>
      <c r="Y120" s="44" t="n">
        <v>0.0110499</v>
      </c>
      <c r="Z120" s="44" t="n">
        <v>0.0105211</v>
      </c>
      <c r="AA120" s="44" t="n">
        <v>0.00240753</v>
      </c>
      <c r="AB120" s="44" t="n">
        <v>0.0110499</v>
      </c>
      <c r="AC120" s="44" t="n">
        <v>0.0101957</v>
      </c>
      <c r="AD120" s="44" t="n">
        <v>0.00239672</v>
      </c>
      <c r="AE120" s="44" t="n">
        <v>0.0110499</v>
      </c>
      <c r="AF120" s="44" t="n">
        <v>0.00987539</v>
      </c>
      <c r="AG120" s="44" t="n">
        <v>0.00238024</v>
      </c>
      <c r="AH120" s="44" t="n">
        <v>0.0110499</v>
      </c>
      <c r="AI120" s="44" t="n">
        <v>0.00987819</v>
      </c>
      <c r="AJ120" s="44" t="n">
        <v>0.00233788</v>
      </c>
      <c r="AK120" s="44" t="n">
        <v>0.0110499</v>
      </c>
      <c r="AL120" s="44" t="n">
        <v>0.00954137</v>
      </c>
      <c r="AM120" s="44" t="n">
        <v>0.0023591</v>
      </c>
      <c r="AN120" s="44" t="n">
        <v>0.0110499</v>
      </c>
      <c r="AO120" s="44" t="n">
        <v>0.0103991</v>
      </c>
      <c r="AP120" s="44" t="n">
        <v>0.00244396</v>
      </c>
      <c r="AQ120" s="44" t="n">
        <v>0.0110499</v>
      </c>
      <c r="AR120" s="44" t="n">
        <v>0.00913207</v>
      </c>
      <c r="AS120" s="44" t="n">
        <v>0.00242737</v>
      </c>
      <c r="AT120" s="44" t="n">
        <v>0.0110499</v>
      </c>
      <c r="AU120" s="44" t="n">
        <v>0.00942426</v>
      </c>
      <c r="AV120" s="44" t="n">
        <v>0.00237396</v>
      </c>
      <c r="AW120" s="44" t="n">
        <v>0.0110499</v>
      </c>
      <c r="AX120" s="44" t="n">
        <v>0.00941695</v>
      </c>
      <c r="AY120" s="44" t="n">
        <v>0.0023104</v>
      </c>
      <c r="AZ120" s="44" t="n">
        <v>0.0110499</v>
      </c>
      <c r="BA120" s="44" t="n">
        <v>0.00981518</v>
      </c>
      <c r="BB120" s="44" t="n">
        <v>0.0024608</v>
      </c>
      <c r="BC120" s="44" t="n">
        <v>0.0110499</v>
      </c>
      <c r="BD120" s="44" t="n">
        <v>0.00899264</v>
      </c>
      <c r="BE120" s="44" t="n">
        <v>0.0023702</v>
      </c>
      <c r="BF120" s="44" t="n">
        <v>0.0110499</v>
      </c>
      <c r="BG120" s="44" t="n">
        <v>0.00913018</v>
      </c>
      <c r="BH120" s="44" t="n">
        <v>0.00232482</v>
      </c>
      <c r="BI120" s="44" t="n">
        <v>0.0110499</v>
      </c>
      <c r="BJ120" s="44" t="n">
        <v>0.00901979</v>
      </c>
      <c r="BK120" s="44" t="n">
        <v>0.00238399</v>
      </c>
      <c r="BL120" s="44" t="n">
        <v>0.0110499</v>
      </c>
      <c r="BM120" s="44" t="n">
        <v>0.00985801</v>
      </c>
      <c r="BN120" s="44" t="n">
        <v>0.00241035</v>
      </c>
      <c r="BO120" s="44" t="n">
        <v>0.0110499</v>
      </c>
      <c r="BP120" s="44" t="n">
        <v>0.00940657</v>
      </c>
      <c r="BQ120" s="44" t="n">
        <v>0.0023965</v>
      </c>
      <c r="BR120" s="44" t="n">
        <v>0.0110499</v>
      </c>
      <c r="BS120" s="44" t="n">
        <v>0.00835469</v>
      </c>
      <c r="BT120" s="44" t="n">
        <v>0.00244364</v>
      </c>
      <c r="BU120" s="44" t="n">
        <v>0.0110499</v>
      </c>
      <c r="BV120" s="44" t="n">
        <v>0.00909336</v>
      </c>
      <c r="BW120" s="44" t="n">
        <v>0.0024588</v>
      </c>
      <c r="BX120" s="44" t="n">
        <v>0.0110499</v>
      </c>
      <c r="BY120" s="44" t="n">
        <v>0.00917791</v>
      </c>
      <c r="BZ120" s="44" t="n">
        <v>0.00242416</v>
      </c>
      <c r="CA120" s="44" t="n">
        <v>0.0110499</v>
      </c>
      <c r="CB120" s="44" t="n">
        <v>0.0089418</v>
      </c>
      <c r="CC120" s="44" t="n">
        <v>0.0023098</v>
      </c>
      <c r="CD120" s="44" t="n">
        <v>0.0110499</v>
      </c>
      <c r="CE120" s="44" t="n">
        <v>0.00839887</v>
      </c>
      <c r="CF120" s="44" t="n">
        <v>0.00230942</v>
      </c>
      <c r="CG120" s="44" t="n">
        <v>0.0110499</v>
      </c>
      <c r="CH120" s="44" t="n">
        <v>0.00885178</v>
      </c>
      <c r="CI120" s="44" t="n">
        <v>0.00236681</v>
      </c>
      <c r="CJ120" s="44" t="n">
        <v>0.0110499</v>
      </c>
      <c r="CK120" s="44" t="n">
        <v>0.00895831</v>
      </c>
      <c r="CL120" s="44" t="n">
        <v>0.00240953</v>
      </c>
      <c r="CM120" s="44" t="n">
        <v>0.0110499</v>
      </c>
      <c r="CN120" s="44" t="n">
        <v>0.00870038</v>
      </c>
      <c r="CO120" s="44" t="n">
        <v>0.00234614</v>
      </c>
      <c r="CP120" s="44" t="n">
        <v>0.0110499</v>
      </c>
      <c r="CQ120" s="44" t="n">
        <v>0.00778235</v>
      </c>
      <c r="CR120" s="44" t="n">
        <v>0.00231775</v>
      </c>
      <c r="CS120" s="44" t="n">
        <v>0.0110499</v>
      </c>
      <c r="CT120" s="44" t="n">
        <v>0.00752347</v>
      </c>
      <c r="CU120" s="44" t="n">
        <v>0.00236982</v>
      </c>
      <c r="CV120" s="44" t="n">
        <v>0.0110499</v>
      </c>
      <c r="CW120" s="44" t="n">
        <v>0.00710403</v>
      </c>
      <c r="CX120" s="44" t="n">
        <v>0.00230918</v>
      </c>
    </row>
    <row collapsed="false" customFormat="false" customHeight="false" hidden="false" ht="12.75" outlineLevel="0" r="121">
      <c r="A121" s="44" t="n">
        <v>0.0111499</v>
      </c>
      <c r="B121" s="44" t="n">
        <v>0.00940865</v>
      </c>
      <c r="C121" s="44" t="n">
        <v>0.00215819</v>
      </c>
      <c r="D121" s="44" t="n">
        <v>0.0111499</v>
      </c>
      <c r="E121" s="44" t="n">
        <v>0.00958414</v>
      </c>
      <c r="F121" s="44" t="n">
        <v>0.00221273</v>
      </c>
      <c r="G121" s="44" t="n">
        <v>0.0111499</v>
      </c>
      <c r="H121" s="44" t="n">
        <v>0.00949598</v>
      </c>
      <c r="I121" s="44" t="n">
        <v>0.00223709</v>
      </c>
      <c r="J121" s="44" t="n">
        <v>0.0111499</v>
      </c>
      <c r="K121" s="44" t="n">
        <v>0.00951316</v>
      </c>
      <c r="L121" s="44" t="n">
        <v>0.00214089</v>
      </c>
      <c r="M121" s="44" t="n">
        <v>0.0111499</v>
      </c>
      <c r="N121" s="44" t="n">
        <v>0.00901564</v>
      </c>
      <c r="O121" s="44" t="n">
        <v>0.00213668</v>
      </c>
      <c r="P121" s="44" t="n">
        <v>0.0111499</v>
      </c>
      <c r="Q121" s="44" t="n">
        <v>0.00951774</v>
      </c>
      <c r="R121" s="44" t="n">
        <v>0.00226525</v>
      </c>
      <c r="S121" s="44" t="n">
        <v>0.0111499</v>
      </c>
      <c r="T121" s="44" t="n">
        <v>0.0100545</v>
      </c>
      <c r="U121" s="44" t="n">
        <v>0.00225687</v>
      </c>
      <c r="V121" s="44" t="n">
        <v>0.0111499</v>
      </c>
      <c r="W121" s="44" t="n">
        <v>0.00977504</v>
      </c>
      <c r="X121" s="44" t="n">
        <v>0.00224968</v>
      </c>
      <c r="Y121" s="44" t="n">
        <v>0.0111499</v>
      </c>
      <c r="Z121" s="44" t="n">
        <v>0.0101549</v>
      </c>
      <c r="AA121" s="44" t="n">
        <v>0.00227276</v>
      </c>
      <c r="AB121" s="44" t="n">
        <v>0.0111499</v>
      </c>
      <c r="AC121" s="44" t="n">
        <v>0.0096928</v>
      </c>
      <c r="AD121" s="44" t="n">
        <v>0.00223168</v>
      </c>
      <c r="AE121" s="44" t="n">
        <v>0.0111499</v>
      </c>
      <c r="AF121" s="44" t="n">
        <v>0.0095336</v>
      </c>
      <c r="AG121" s="44" t="n">
        <v>0.00224059</v>
      </c>
      <c r="AH121" s="44" t="n">
        <v>0.0111499</v>
      </c>
      <c r="AI121" s="44" t="n">
        <v>0.00884304</v>
      </c>
      <c r="AJ121" s="44" t="n">
        <v>0.00222558</v>
      </c>
      <c r="AK121" s="44" t="n">
        <v>0.0111499</v>
      </c>
      <c r="AL121" s="44" t="n">
        <v>0.00844274</v>
      </c>
      <c r="AM121" s="44" t="n">
        <v>0.00221359</v>
      </c>
      <c r="AN121" s="44" t="n">
        <v>0.0111499</v>
      </c>
      <c r="AO121" s="44" t="n">
        <v>0.00950551</v>
      </c>
      <c r="AP121" s="44" t="n">
        <v>0.00232677</v>
      </c>
      <c r="AQ121" s="44" t="n">
        <v>0.0111499</v>
      </c>
      <c r="AR121" s="44" t="n">
        <v>0.00850707</v>
      </c>
      <c r="AS121" s="44" t="n">
        <v>0.00225843</v>
      </c>
      <c r="AT121" s="44" t="n">
        <v>0.0111499</v>
      </c>
      <c r="AU121" s="44" t="n">
        <v>0.00861371</v>
      </c>
      <c r="AV121" s="44" t="n">
        <v>0.00222845</v>
      </c>
      <c r="AW121" s="44" t="n">
        <v>0.0111499</v>
      </c>
      <c r="AX121" s="44" t="n">
        <v>0.00811812</v>
      </c>
      <c r="AY121" s="44" t="n">
        <v>0.00217271</v>
      </c>
      <c r="AZ121" s="44" t="n">
        <v>0.0111499</v>
      </c>
      <c r="BA121" s="44" t="n">
        <v>0.00840893</v>
      </c>
      <c r="BB121" s="44" t="n">
        <v>0.0023192</v>
      </c>
      <c r="BC121" s="44" t="n">
        <v>0.0111499</v>
      </c>
      <c r="BD121" s="44" t="n">
        <v>0.00872408</v>
      </c>
      <c r="BE121" s="44" t="n">
        <v>0.00221883</v>
      </c>
      <c r="BF121" s="44" t="n">
        <v>0.0111499</v>
      </c>
      <c r="BG121" s="44" t="n">
        <v>0.00885674</v>
      </c>
      <c r="BH121" s="44" t="n">
        <v>0.0021881</v>
      </c>
      <c r="BI121" s="44" t="n">
        <v>0.0111499</v>
      </c>
      <c r="BJ121" s="44" t="n">
        <v>0.00836061</v>
      </c>
      <c r="BK121" s="44" t="n">
        <v>0.00226778</v>
      </c>
      <c r="BL121" s="44" t="n">
        <v>0.0111499</v>
      </c>
      <c r="BM121" s="44" t="n">
        <v>0.00929161</v>
      </c>
      <c r="BN121" s="44" t="n">
        <v>0.00229218</v>
      </c>
      <c r="BO121" s="44" t="n">
        <v>0.0111499</v>
      </c>
      <c r="BP121" s="44" t="n">
        <v>0.00867903</v>
      </c>
      <c r="BQ121" s="44" t="n">
        <v>0.00224025</v>
      </c>
      <c r="BR121" s="44" t="n">
        <v>0.0111499</v>
      </c>
      <c r="BS121" s="44" t="n">
        <v>0.0076418</v>
      </c>
      <c r="BT121" s="44" t="n">
        <v>0.00229032</v>
      </c>
      <c r="BU121" s="44" t="n">
        <v>0.0111499</v>
      </c>
      <c r="BV121" s="44" t="n">
        <v>0.00878575</v>
      </c>
      <c r="BW121" s="44" t="n">
        <v>0.00231134</v>
      </c>
      <c r="BX121" s="44" t="n">
        <v>0.0111499</v>
      </c>
      <c r="BY121" s="44" t="n">
        <v>0.00896307</v>
      </c>
      <c r="BZ121" s="44" t="n">
        <v>0.00226986</v>
      </c>
      <c r="CA121" s="44" t="n">
        <v>0.0111499</v>
      </c>
      <c r="CB121" s="44" t="n">
        <v>0.00838028</v>
      </c>
      <c r="CC121" s="44" t="n">
        <v>0.00216625</v>
      </c>
      <c r="CD121" s="44" t="n">
        <v>0.0111499</v>
      </c>
      <c r="CE121" s="44" t="n">
        <v>0.00812543</v>
      </c>
      <c r="CF121" s="44" t="n">
        <v>0.00217953</v>
      </c>
      <c r="CG121" s="44" t="n">
        <v>0.0111499</v>
      </c>
      <c r="CH121" s="44" t="n">
        <v>0.00851975</v>
      </c>
      <c r="CI121" s="44" t="n">
        <v>0.00223595</v>
      </c>
      <c r="CJ121" s="44" t="n">
        <v>0.0111499</v>
      </c>
      <c r="CK121" s="44" t="n">
        <v>0.0085628</v>
      </c>
      <c r="CL121" s="44" t="n">
        <v>0.00226402</v>
      </c>
      <c r="CM121" s="44" t="n">
        <v>0.0111499</v>
      </c>
      <c r="CN121" s="44" t="n">
        <v>0.00793866</v>
      </c>
      <c r="CO121" s="44" t="n">
        <v>0.0021811</v>
      </c>
      <c r="CP121" s="44" t="n">
        <v>0.0111499</v>
      </c>
      <c r="CQ121" s="44" t="n">
        <v>0.00727942</v>
      </c>
      <c r="CR121" s="44" t="n">
        <v>0.00219372</v>
      </c>
      <c r="CS121" s="44" t="n">
        <v>0.0111499</v>
      </c>
      <c r="CT121" s="44" t="n">
        <v>0.00710355</v>
      </c>
      <c r="CU121" s="44" t="n">
        <v>0.00224384</v>
      </c>
      <c r="CV121" s="44" t="n">
        <v>0.0111499</v>
      </c>
      <c r="CW121" s="44" t="n">
        <v>0.00697219</v>
      </c>
      <c r="CX121" s="44" t="n">
        <v>0.00218125</v>
      </c>
    </row>
    <row collapsed="false" customFormat="false" customHeight="false" hidden="false" ht="12.75" outlineLevel="0" r="122">
      <c r="A122" s="44" t="n">
        <v>0.0112499</v>
      </c>
      <c r="B122" s="44" t="n">
        <v>0.00881294</v>
      </c>
      <c r="C122" s="44" t="n">
        <v>0.00199218</v>
      </c>
      <c r="D122" s="44" t="n">
        <v>0.0112499</v>
      </c>
      <c r="E122" s="44" t="n">
        <v>0.00900797</v>
      </c>
      <c r="F122" s="44" t="n">
        <v>0.00207308</v>
      </c>
      <c r="G122" s="44" t="n">
        <v>0.0112499</v>
      </c>
      <c r="H122" s="44" t="n">
        <v>0.00935926</v>
      </c>
      <c r="I122" s="44" t="n">
        <v>0.00207889</v>
      </c>
      <c r="J122" s="44" t="n">
        <v>0.0112499</v>
      </c>
      <c r="K122" s="44" t="n">
        <v>0.00869773</v>
      </c>
      <c r="L122" s="44" t="n">
        <v>0.00202175</v>
      </c>
      <c r="M122" s="44" t="n">
        <v>0.0112499</v>
      </c>
      <c r="N122" s="44" t="n">
        <v>0.00859083</v>
      </c>
      <c r="O122" s="44" t="n">
        <v>0.00204</v>
      </c>
      <c r="P122" s="44" t="n">
        <v>0.0112499</v>
      </c>
      <c r="Q122" s="44" t="n">
        <v>0.0089318</v>
      </c>
      <c r="R122" s="44" t="n">
        <v>0.00211486</v>
      </c>
      <c r="S122" s="44" t="n">
        <v>0.0112499</v>
      </c>
      <c r="T122" s="44" t="n">
        <v>0.00933672</v>
      </c>
      <c r="U122" s="44" t="n">
        <v>0.00211918</v>
      </c>
      <c r="V122" s="44" t="n">
        <v>0.0112499</v>
      </c>
      <c r="W122" s="44" t="n">
        <v>0.00898403</v>
      </c>
      <c r="X122" s="44" t="n">
        <v>0.00213152</v>
      </c>
      <c r="Y122" s="44" t="n">
        <v>0.0112499</v>
      </c>
      <c r="Z122" s="44" t="n">
        <v>0.00962268</v>
      </c>
      <c r="AA122" s="44" t="n">
        <v>0.002138</v>
      </c>
      <c r="AB122" s="44" t="n">
        <v>0.0112499</v>
      </c>
      <c r="AC122" s="44" t="n">
        <v>0.00944866</v>
      </c>
      <c r="AD122" s="44" t="n">
        <v>0.00209203</v>
      </c>
      <c r="AE122" s="44" t="n">
        <v>0.0112499</v>
      </c>
      <c r="AF122" s="44" t="n">
        <v>0.00917715</v>
      </c>
      <c r="AG122" s="44" t="n">
        <v>0.00212048</v>
      </c>
      <c r="AH122" s="44" t="n">
        <v>0.0112499</v>
      </c>
      <c r="AI122" s="44" t="n">
        <v>0.00800808</v>
      </c>
      <c r="AJ122" s="44" t="n">
        <v>0.00207128</v>
      </c>
      <c r="AK122" s="44" t="n">
        <v>0.0112499</v>
      </c>
      <c r="AL122" s="44" t="n">
        <v>0.00767613</v>
      </c>
      <c r="AM122" s="44" t="n">
        <v>0.00207589</v>
      </c>
      <c r="AN122" s="44" t="n">
        <v>0.0112499</v>
      </c>
      <c r="AO122" s="44" t="n">
        <v>0.00922719</v>
      </c>
      <c r="AP122" s="44" t="n">
        <v>0.00216759</v>
      </c>
      <c r="AQ122" s="44" t="n">
        <v>0.0112499</v>
      </c>
      <c r="AR122" s="44" t="n">
        <v>0.00809203</v>
      </c>
      <c r="AS122" s="44" t="n">
        <v>0.00213343</v>
      </c>
      <c r="AT122" s="44" t="n">
        <v>0.0112499</v>
      </c>
      <c r="AU122" s="44" t="n">
        <v>0.0082182</v>
      </c>
      <c r="AV122" s="44" t="n">
        <v>0.00208197</v>
      </c>
      <c r="AW122" s="44" t="n">
        <v>0.0112499</v>
      </c>
      <c r="AX122" s="44" t="n">
        <v>0.00765913</v>
      </c>
      <c r="AY122" s="44" t="n">
        <v>0.00204478</v>
      </c>
      <c r="AZ122" s="44" t="n">
        <v>0.0112499</v>
      </c>
      <c r="BA122" s="44" t="n">
        <v>0.00820385</v>
      </c>
      <c r="BB122" s="44" t="n">
        <v>0.00220201</v>
      </c>
      <c r="BC122" s="44" t="n">
        <v>0.0112499</v>
      </c>
      <c r="BD122" s="44" t="n">
        <v>0.00803072</v>
      </c>
      <c r="BE122" s="44" t="n">
        <v>0.00207527</v>
      </c>
      <c r="BF122" s="44" t="n">
        <v>0.0112499</v>
      </c>
      <c r="BG122" s="44" t="n">
        <v>0.00837823</v>
      </c>
      <c r="BH122" s="44" t="n">
        <v>0.00206408</v>
      </c>
      <c r="BI122" s="44" t="n">
        <v>0.0112499</v>
      </c>
      <c r="BJ122" s="44" t="n">
        <v>0.00803346</v>
      </c>
      <c r="BK122" s="44" t="n">
        <v>0.00210372</v>
      </c>
      <c r="BL122" s="44" t="n">
        <v>0.0112499</v>
      </c>
      <c r="BM122" s="44" t="n">
        <v>0.00860801</v>
      </c>
      <c r="BN122" s="44" t="n">
        <v>0.00213203</v>
      </c>
      <c r="BO122" s="44" t="n">
        <v>0.0112499</v>
      </c>
      <c r="BP122" s="44" t="n">
        <v>0.00789778</v>
      </c>
      <c r="BQ122" s="44" t="n">
        <v>0.00212502</v>
      </c>
      <c r="BR122" s="44" t="n">
        <v>0.0112499</v>
      </c>
      <c r="BS122" s="44" t="n">
        <v>0.00743183</v>
      </c>
      <c r="BT122" s="44" t="n">
        <v>0.00215555</v>
      </c>
      <c r="BU122" s="44" t="n">
        <v>0.0112499</v>
      </c>
      <c r="BV122" s="44" t="n">
        <v>0.00786289</v>
      </c>
      <c r="BW122" s="44" t="n">
        <v>0.00218927</v>
      </c>
      <c r="BX122" s="44" t="n">
        <v>0.0112499</v>
      </c>
      <c r="BY122" s="44" t="n">
        <v>0.00825506</v>
      </c>
      <c r="BZ122" s="44" t="n">
        <v>0.00214584</v>
      </c>
      <c r="CA122" s="44" t="n">
        <v>0.0112499</v>
      </c>
      <c r="CB122" s="44" t="n">
        <v>0.00814591</v>
      </c>
      <c r="CC122" s="44" t="n">
        <v>0.00206371</v>
      </c>
      <c r="CD122" s="44" t="n">
        <v>0.0112499</v>
      </c>
      <c r="CE122" s="44" t="n">
        <v>0.00718305</v>
      </c>
      <c r="CF122" s="44" t="n">
        <v>0.00205942</v>
      </c>
      <c r="CG122" s="44" t="n">
        <v>0.0112499</v>
      </c>
      <c r="CH122" s="44" t="n">
        <v>0.00729905</v>
      </c>
      <c r="CI122" s="44" t="n">
        <v>0.00208653</v>
      </c>
      <c r="CJ122" s="44" t="n">
        <v>0.0112499</v>
      </c>
      <c r="CK122" s="44" t="n">
        <v>0.00739581</v>
      </c>
      <c r="CL122" s="44" t="n">
        <v>0.00210875</v>
      </c>
      <c r="CM122" s="44" t="n">
        <v>0.0112499</v>
      </c>
      <c r="CN122" s="44" t="n">
        <v>0.00764569</v>
      </c>
      <c r="CO122" s="44" t="n">
        <v>0.00209028</v>
      </c>
      <c r="CP122" s="44" t="n">
        <v>0.0112499</v>
      </c>
      <c r="CQ122" s="44" t="n">
        <v>0.00692786</v>
      </c>
      <c r="CR122" s="44" t="n">
        <v>0.00205212</v>
      </c>
      <c r="CS122" s="44" t="n">
        <v>0.0112499</v>
      </c>
      <c r="CT122" s="44" t="n">
        <v>0.00683011</v>
      </c>
      <c r="CU122" s="44" t="n">
        <v>0.00211591</v>
      </c>
      <c r="CV122" s="44" t="n">
        <v>0.0112499</v>
      </c>
      <c r="CW122" s="44" t="n">
        <v>0.00647415</v>
      </c>
      <c r="CX122" s="44" t="n">
        <v>0.00206699</v>
      </c>
    </row>
    <row collapsed="false" customFormat="false" customHeight="false" hidden="false" ht="12.75" outlineLevel="0" r="123">
      <c r="A123" s="44" t="n">
        <v>0.0113499</v>
      </c>
      <c r="B123" s="44" t="n">
        <v>0.00850044</v>
      </c>
      <c r="C123" s="44" t="n">
        <v>0.00189648</v>
      </c>
      <c r="D123" s="44" t="n">
        <v>0.0113499</v>
      </c>
      <c r="E123" s="44" t="n">
        <v>0.00884683</v>
      </c>
      <c r="F123" s="44" t="n">
        <v>0.00195003</v>
      </c>
      <c r="G123" s="44" t="n">
        <v>0.0113499</v>
      </c>
      <c r="H123" s="44" t="n">
        <v>0.00886609</v>
      </c>
      <c r="I123" s="44" t="n">
        <v>0.0019744</v>
      </c>
      <c r="J123" s="44" t="n">
        <v>0.0113499</v>
      </c>
      <c r="K123" s="44" t="n">
        <v>0.00815574</v>
      </c>
      <c r="L123" s="44" t="n">
        <v>0.00189968</v>
      </c>
      <c r="M123" s="44" t="n">
        <v>0.0113499</v>
      </c>
      <c r="N123" s="44" t="n">
        <v>0.00807326</v>
      </c>
      <c r="O123" s="44" t="n">
        <v>0.00192183</v>
      </c>
      <c r="P123" s="44" t="n">
        <v>0.0113499</v>
      </c>
      <c r="Q123" s="44" t="n">
        <v>0.008507</v>
      </c>
      <c r="R123" s="44" t="n">
        <v>0.0019967</v>
      </c>
      <c r="S123" s="44" t="n">
        <v>0.0113499</v>
      </c>
      <c r="T123" s="44" t="n">
        <v>0.00901933</v>
      </c>
      <c r="U123" s="44" t="n">
        <v>0.00201468</v>
      </c>
      <c r="V123" s="44" t="n">
        <v>0.0113499</v>
      </c>
      <c r="W123" s="44" t="n">
        <v>0.00830043</v>
      </c>
      <c r="X123" s="44" t="n">
        <v>0.00199285</v>
      </c>
      <c r="Y123" s="44" t="n">
        <v>0.0113499</v>
      </c>
      <c r="Z123" s="44" t="n">
        <v>0.00888538</v>
      </c>
      <c r="AA123" s="44" t="n">
        <v>0.00200714</v>
      </c>
      <c r="AB123" s="44" t="n">
        <v>0.0113499</v>
      </c>
      <c r="AC123" s="44" t="n">
        <v>0.00866741</v>
      </c>
      <c r="AD123" s="44" t="n">
        <v>0.00198168</v>
      </c>
      <c r="AE123" s="44" t="n">
        <v>0.0113499</v>
      </c>
      <c r="AF123" s="44" t="n">
        <v>0.00782461</v>
      </c>
      <c r="AG123" s="44" t="n">
        <v>0.00200426</v>
      </c>
      <c r="AH123" s="44" t="n">
        <v>0.0113499</v>
      </c>
      <c r="AI123" s="44" t="n">
        <v>0.00782741</v>
      </c>
      <c r="AJ123" s="44" t="n">
        <v>0.00193945</v>
      </c>
      <c r="AK123" s="44" t="n">
        <v>0.0113499</v>
      </c>
      <c r="AL123" s="44" t="n">
        <v>0.00770543</v>
      </c>
      <c r="AM123" s="44" t="n">
        <v>0.00192746</v>
      </c>
      <c r="AN123" s="44" t="n">
        <v>0.0113499</v>
      </c>
      <c r="AO123" s="44" t="n">
        <v>0.00828481</v>
      </c>
      <c r="AP123" s="44" t="n">
        <v>0.00206505</v>
      </c>
      <c r="AQ123" s="44" t="n">
        <v>0.0113499</v>
      </c>
      <c r="AR123" s="44" t="n">
        <v>0.0078186</v>
      </c>
      <c r="AS123" s="44" t="n">
        <v>0.00201917</v>
      </c>
      <c r="AT123" s="44" t="n">
        <v>0.0113499</v>
      </c>
      <c r="AU123" s="44" t="n">
        <v>0.00752484</v>
      </c>
      <c r="AV123" s="44" t="n">
        <v>0.00196869</v>
      </c>
      <c r="AW123" s="44" t="n">
        <v>0.0113499</v>
      </c>
      <c r="AX123" s="44" t="n">
        <v>0.00713179</v>
      </c>
      <c r="AY123" s="44" t="n">
        <v>0.00192271</v>
      </c>
      <c r="AZ123" s="44" t="n">
        <v>0.0113499</v>
      </c>
      <c r="BA123" s="44" t="n">
        <v>0.00790111</v>
      </c>
      <c r="BB123" s="44" t="n">
        <v>0.00205259</v>
      </c>
      <c r="BC123" s="44" t="n">
        <v>0.0113499</v>
      </c>
      <c r="BD123" s="44" t="n">
        <v>0.00738131</v>
      </c>
      <c r="BE123" s="44" t="n">
        <v>0.0019493</v>
      </c>
      <c r="BF123" s="44" t="n">
        <v>0.0113499</v>
      </c>
      <c r="BG123" s="44" t="n">
        <v>0.00729913</v>
      </c>
      <c r="BH123" s="44" t="n">
        <v>0.00192931</v>
      </c>
      <c r="BI123" s="44" t="n">
        <v>0.0113499</v>
      </c>
      <c r="BJ123" s="44" t="n">
        <v>0.0079944</v>
      </c>
      <c r="BK123" s="44" t="n">
        <v>0.00199629</v>
      </c>
      <c r="BL123" s="44" t="n">
        <v>0.0113499</v>
      </c>
      <c r="BM123" s="44" t="n">
        <v>0.00760704</v>
      </c>
      <c r="BN123" s="44" t="n">
        <v>0.00202656</v>
      </c>
      <c r="BO123" s="44" t="n">
        <v>0.0113499</v>
      </c>
      <c r="BP123" s="44" t="n">
        <v>0.00731184</v>
      </c>
      <c r="BQ123" s="44" t="n">
        <v>0.00199807</v>
      </c>
      <c r="BR123" s="44" t="n">
        <v>0.0113499</v>
      </c>
      <c r="BS123" s="44" t="n">
        <v>0.00717305</v>
      </c>
      <c r="BT123" s="44" t="n">
        <v>0.00201981</v>
      </c>
      <c r="BU123" s="44" t="n">
        <v>0.0113499</v>
      </c>
      <c r="BV123" s="44" t="n">
        <v>0.00730137</v>
      </c>
      <c r="BW123" s="44" t="n">
        <v>0.00205255</v>
      </c>
      <c r="BX123" s="44" t="n">
        <v>0.0113499</v>
      </c>
      <c r="BY123" s="44" t="n">
        <v>0.00799139</v>
      </c>
      <c r="BZ123" s="44" t="n">
        <v>0.00202572</v>
      </c>
      <c r="CA123" s="44" t="n">
        <v>0.0113499</v>
      </c>
      <c r="CB123" s="44" t="n">
        <v>0.00695938</v>
      </c>
      <c r="CC123" s="44" t="n">
        <v>0.00192406</v>
      </c>
      <c r="CD123" s="44" t="n">
        <v>0.0113499</v>
      </c>
      <c r="CE123" s="44" t="n">
        <v>0.00684125</v>
      </c>
      <c r="CF123" s="44" t="n">
        <v>0.00193246</v>
      </c>
      <c r="CG123" s="44" t="n">
        <v>0.0113499</v>
      </c>
      <c r="CH123" s="44" t="n">
        <v>0.00705491</v>
      </c>
      <c r="CI123" s="44" t="n">
        <v>0.00196935</v>
      </c>
      <c r="CJ123" s="44" t="n">
        <v>0.0113499</v>
      </c>
      <c r="CK123" s="44" t="n">
        <v>0.00707354</v>
      </c>
      <c r="CL123" s="44" t="n">
        <v>0.00200035</v>
      </c>
      <c r="CM123" s="44" t="n">
        <v>0.0113499</v>
      </c>
      <c r="CN123" s="44" t="n">
        <v>0.00703534</v>
      </c>
      <c r="CO123" s="44" t="n">
        <v>0.00195161</v>
      </c>
      <c r="CP123" s="44" t="n">
        <v>0.0113499</v>
      </c>
      <c r="CQ123" s="44" t="n">
        <v>0.00641516</v>
      </c>
      <c r="CR123" s="44" t="n">
        <v>0.00191931</v>
      </c>
      <c r="CS123" s="44" t="n">
        <v>0.0113499</v>
      </c>
      <c r="CT123" s="44" t="n">
        <v>0.00645902</v>
      </c>
      <c r="CU123" s="44" t="n">
        <v>0.00200459</v>
      </c>
      <c r="CV123" s="44" t="n">
        <v>0.0113499</v>
      </c>
      <c r="CW123" s="44" t="n">
        <v>0.00566848</v>
      </c>
      <c r="CX123" s="44" t="n">
        <v>0.0019332</v>
      </c>
    </row>
    <row collapsed="false" customFormat="false" customHeight="false" hidden="false" ht="12.75" outlineLevel="0" r="124">
      <c r="A124" s="44" t="n">
        <v>0.0114499</v>
      </c>
      <c r="B124" s="44" t="n">
        <v>0.00785103</v>
      </c>
      <c r="C124" s="44" t="n">
        <v>0.00176171</v>
      </c>
      <c r="D124" s="44" t="n">
        <v>0.0114499</v>
      </c>
      <c r="E124" s="44" t="n">
        <v>0.00848062</v>
      </c>
      <c r="F124" s="44" t="n">
        <v>0.00181624</v>
      </c>
      <c r="G124" s="44" t="n">
        <v>0.0114499</v>
      </c>
      <c r="H124" s="44" t="n">
        <v>0.00842664</v>
      </c>
      <c r="I124" s="44" t="n">
        <v>0.00186502</v>
      </c>
      <c r="J124" s="44" t="n">
        <v>0.0114499</v>
      </c>
      <c r="K124" s="44" t="n">
        <v>0.00785789</v>
      </c>
      <c r="L124" s="44" t="n">
        <v>0.00177175</v>
      </c>
      <c r="M124" s="44" t="n">
        <v>0.0114499</v>
      </c>
      <c r="N124" s="44" t="n">
        <v>0.00789747</v>
      </c>
      <c r="O124" s="44" t="n">
        <v>0.00181148</v>
      </c>
      <c r="P124" s="44" t="n">
        <v>0.0114499</v>
      </c>
      <c r="Q124" s="44" t="n">
        <v>0.00810172</v>
      </c>
      <c r="R124" s="44" t="n">
        <v>0.00188342</v>
      </c>
      <c r="S124" s="44" t="n">
        <v>0.0114499</v>
      </c>
      <c r="T124" s="44" t="n">
        <v>0.00816972</v>
      </c>
      <c r="U124" s="44" t="n">
        <v>0.0018682</v>
      </c>
      <c r="V124" s="44" t="n">
        <v>0.0114499</v>
      </c>
      <c r="W124" s="44" t="n">
        <v>0.00790004</v>
      </c>
      <c r="X124" s="44" t="n">
        <v>0.00187957</v>
      </c>
      <c r="Y124" s="44" t="n">
        <v>0.0114499</v>
      </c>
      <c r="Z124" s="44" t="n">
        <v>0.00892933</v>
      </c>
      <c r="AA124" s="44" t="n">
        <v>0.00189776</v>
      </c>
      <c r="AB124" s="44" t="n">
        <v>0.0114499</v>
      </c>
      <c r="AC124" s="44" t="n">
        <v>0.00835003</v>
      </c>
      <c r="AD124" s="44" t="n">
        <v>0.00184203</v>
      </c>
      <c r="AE124" s="44" t="n">
        <v>0.0114499</v>
      </c>
      <c r="AF124" s="44" t="n">
        <v>0.00724844</v>
      </c>
      <c r="AG124" s="44" t="n">
        <v>0.00188317</v>
      </c>
      <c r="AH124" s="44" t="n">
        <v>0.0114499</v>
      </c>
      <c r="AI124" s="44" t="n">
        <v>0.00726101</v>
      </c>
      <c r="AJ124" s="44" t="n">
        <v>0.00185155</v>
      </c>
      <c r="AK124" s="44" t="n">
        <v>0.0114499</v>
      </c>
      <c r="AL124" s="44" t="n">
        <v>0.00668492</v>
      </c>
      <c r="AM124" s="44" t="n">
        <v>0.00182101</v>
      </c>
      <c r="AN124" s="44" t="n">
        <v>0.0114499</v>
      </c>
      <c r="AO124" s="44" t="n">
        <v>0.00817738</v>
      </c>
      <c r="AP124" s="44" t="n">
        <v>0.00194494</v>
      </c>
      <c r="AQ124" s="44" t="n">
        <v>0.0114499</v>
      </c>
      <c r="AR124" s="44" t="n">
        <v>0.0074768</v>
      </c>
      <c r="AS124" s="44" t="n">
        <v>0.00189417</v>
      </c>
      <c r="AT124" s="44" t="n">
        <v>0.0114499</v>
      </c>
      <c r="AU124" s="44" t="n">
        <v>0.00660687</v>
      </c>
      <c r="AV124" s="44" t="n">
        <v>0.0018515</v>
      </c>
      <c r="AW124" s="44" t="n">
        <v>0.0114499</v>
      </c>
      <c r="AX124" s="44" t="n">
        <v>0.00703902</v>
      </c>
      <c r="AY124" s="44" t="n">
        <v>0.00179087</v>
      </c>
      <c r="AZ124" s="44" t="n">
        <v>0.0114499</v>
      </c>
      <c r="BA124" s="44" t="n">
        <v>0.00671947</v>
      </c>
      <c r="BB124" s="44" t="n">
        <v>0.00192759</v>
      </c>
      <c r="BC124" s="44" t="n">
        <v>0.0114499</v>
      </c>
      <c r="BD124" s="44" t="n">
        <v>0.00671725</v>
      </c>
      <c r="BE124" s="44" t="n">
        <v>0.00187606</v>
      </c>
      <c r="BF124" s="44" t="n">
        <v>0.0114499</v>
      </c>
      <c r="BG124" s="44" t="n">
        <v>0.00708917</v>
      </c>
      <c r="BH124" s="44" t="n">
        <v>0.00180529</v>
      </c>
      <c r="BI124" s="44" t="n">
        <v>0.0114499</v>
      </c>
      <c r="BJ124" s="44" t="n">
        <v>0.00698365</v>
      </c>
      <c r="BK124" s="44" t="n">
        <v>0.00187422</v>
      </c>
      <c r="BL124" s="44" t="n">
        <v>0.0114499</v>
      </c>
      <c r="BM124" s="44" t="n">
        <v>0.00757286</v>
      </c>
      <c r="BN124" s="44" t="n">
        <v>0.00191132</v>
      </c>
      <c r="BO124" s="44" t="n">
        <v>0.0114499</v>
      </c>
      <c r="BP124" s="44" t="n">
        <v>0.00718977</v>
      </c>
      <c r="BQ124" s="44" t="n">
        <v>0.00186916</v>
      </c>
      <c r="BR124" s="44" t="n">
        <v>0.0114499</v>
      </c>
      <c r="BS124" s="44" t="n">
        <v>0.00714863</v>
      </c>
      <c r="BT124" s="44" t="n">
        <v>0.0019163</v>
      </c>
      <c r="BU124" s="44" t="n">
        <v>0.0114499</v>
      </c>
      <c r="BV124" s="44" t="n">
        <v>0.00706211</v>
      </c>
      <c r="BW124" s="44" t="n">
        <v>0.00193829</v>
      </c>
      <c r="BX124" s="44" t="n">
        <v>0.0114499</v>
      </c>
      <c r="BY124" s="44" t="n">
        <v>0.00732733</v>
      </c>
      <c r="BZ124" s="44" t="n">
        <v>0.00189486</v>
      </c>
      <c r="CA124" s="44" t="n">
        <v>0.0114499</v>
      </c>
      <c r="CB124" s="44" t="n">
        <v>0.00671524</v>
      </c>
      <c r="CC124" s="44" t="n">
        <v>0.00183031</v>
      </c>
      <c r="CD124" s="44" t="n">
        <v>0.0114499</v>
      </c>
      <c r="CE124" s="44" t="n">
        <v>0.00620649</v>
      </c>
      <c r="CF124" s="44" t="n">
        <v>0.00182895</v>
      </c>
      <c r="CG124" s="44" t="n">
        <v>0.0114499</v>
      </c>
      <c r="CH124" s="44" t="n">
        <v>0.00653245</v>
      </c>
      <c r="CI124" s="44" t="n">
        <v>0.00183849</v>
      </c>
      <c r="CJ124" s="44" t="n">
        <v>0.0114499</v>
      </c>
      <c r="CK124" s="44" t="n">
        <v>0.00683429</v>
      </c>
      <c r="CL124" s="44" t="n">
        <v>0.00189781</v>
      </c>
      <c r="CM124" s="44" t="n">
        <v>0.0114499</v>
      </c>
      <c r="CN124" s="44" t="n">
        <v>0.00642987</v>
      </c>
      <c r="CO124" s="44" t="n">
        <v>0.00184614</v>
      </c>
      <c r="CP124" s="44" t="n">
        <v>0.0114499</v>
      </c>
      <c r="CQ124" s="44" t="n">
        <v>0.00610755</v>
      </c>
      <c r="CR124" s="44" t="n">
        <v>0.00181091</v>
      </c>
      <c r="CS124" s="44" t="n">
        <v>0.0114499</v>
      </c>
      <c r="CT124" s="44" t="n">
        <v>0.00630765</v>
      </c>
      <c r="CU124" s="44" t="n">
        <v>0.0018708</v>
      </c>
      <c r="CV124" s="44" t="n">
        <v>0.0114499</v>
      </c>
      <c r="CW124" s="44" t="n">
        <v>0.00555618</v>
      </c>
      <c r="CX124" s="44" t="n">
        <v>0.00180625</v>
      </c>
    </row>
    <row collapsed="false" customFormat="false" customHeight="false" hidden="false" ht="12.75" outlineLevel="0" r="125">
      <c r="A125" s="44" t="n">
        <v>0.0115499</v>
      </c>
      <c r="B125" s="44" t="n">
        <v>0.00745064</v>
      </c>
      <c r="C125" s="44" t="n">
        <v>0.00164648</v>
      </c>
      <c r="D125" s="44" t="n">
        <v>0.0115499</v>
      </c>
      <c r="E125" s="44" t="n">
        <v>0.00775308</v>
      </c>
      <c r="F125" s="44" t="n">
        <v>0.00173226</v>
      </c>
      <c r="G125" s="44" t="n">
        <v>0.0115499</v>
      </c>
      <c r="H125" s="44" t="n">
        <v>0.00728406</v>
      </c>
      <c r="I125" s="44" t="n">
        <v>0.001741</v>
      </c>
      <c r="J125" s="44" t="n">
        <v>0.0115499</v>
      </c>
      <c r="K125" s="44" t="n">
        <v>0.00735008</v>
      </c>
      <c r="L125" s="44" t="n">
        <v>0.00169264</v>
      </c>
      <c r="M125" s="44" t="n">
        <v>0.0115499</v>
      </c>
      <c r="N125" s="44" t="n">
        <v>0.00676955</v>
      </c>
      <c r="O125" s="44" t="n">
        <v>0.00169527</v>
      </c>
      <c r="P125" s="44" t="n">
        <v>0.0115499</v>
      </c>
      <c r="Q125" s="44" t="n">
        <v>0.00694938</v>
      </c>
      <c r="R125" s="44" t="n">
        <v>0.00179748</v>
      </c>
      <c r="S125" s="44" t="n">
        <v>0.0115499</v>
      </c>
      <c r="T125" s="44" t="n">
        <v>0.00791094</v>
      </c>
      <c r="U125" s="44" t="n">
        <v>0.00175785</v>
      </c>
      <c r="V125" s="44" t="n">
        <v>0.0115499</v>
      </c>
      <c r="W125" s="44" t="n">
        <v>0.00715297</v>
      </c>
      <c r="X125" s="44" t="n">
        <v>0.00177801</v>
      </c>
      <c r="Y125" s="44" t="n">
        <v>0.0115499</v>
      </c>
      <c r="Z125" s="44" t="n">
        <v>0.00807972</v>
      </c>
      <c r="AA125" s="44" t="n">
        <v>0.00178448</v>
      </c>
      <c r="AB125" s="44" t="n">
        <v>0.0115499</v>
      </c>
      <c r="AC125" s="44" t="n">
        <v>0.0076469</v>
      </c>
      <c r="AD125" s="44" t="n">
        <v>0.00173656</v>
      </c>
      <c r="AE125" s="44" t="n">
        <v>0.0115499</v>
      </c>
      <c r="AF125" s="44" t="n">
        <v>0.00728262</v>
      </c>
      <c r="AG125" s="44" t="n">
        <v>0.0017611</v>
      </c>
      <c r="AH125" s="44" t="n">
        <v>0.0115499</v>
      </c>
      <c r="AI125" s="44" t="n">
        <v>0.00660183</v>
      </c>
      <c r="AJ125" s="44" t="n">
        <v>0.0017207</v>
      </c>
      <c r="AK125" s="44" t="n">
        <v>0.0115499</v>
      </c>
      <c r="AL125" s="44" t="n">
        <v>0.00645055</v>
      </c>
      <c r="AM125" s="44" t="n">
        <v>0.00174582</v>
      </c>
      <c r="AN125" s="44" t="n">
        <v>0.0115499</v>
      </c>
      <c r="AO125" s="44" t="n">
        <v>0.00742055</v>
      </c>
      <c r="AP125" s="44" t="n">
        <v>0.00183849</v>
      </c>
      <c r="AQ125" s="44" t="n">
        <v>0.0115499</v>
      </c>
      <c r="AR125" s="44" t="n">
        <v>0.00709106</v>
      </c>
      <c r="AS125" s="44" t="n">
        <v>0.00178968</v>
      </c>
      <c r="AT125" s="44" t="n">
        <v>0.0115499</v>
      </c>
      <c r="AU125" s="44" t="n">
        <v>0.00637738</v>
      </c>
      <c r="AV125" s="44" t="n">
        <v>0.00174115</v>
      </c>
      <c r="AW125" s="44" t="n">
        <v>0.0115499</v>
      </c>
      <c r="AX125" s="44" t="n">
        <v>0.00621382</v>
      </c>
      <c r="AY125" s="44" t="n">
        <v>0.00170103</v>
      </c>
      <c r="AZ125" s="44" t="n">
        <v>0.0115499</v>
      </c>
      <c r="BA125" s="44" t="n">
        <v>0.00620678</v>
      </c>
      <c r="BB125" s="44" t="n">
        <v>0.00181334</v>
      </c>
      <c r="BC125" s="44" t="n">
        <v>0.0115499</v>
      </c>
      <c r="BD125" s="44" t="n">
        <v>0.00637545</v>
      </c>
      <c r="BE125" s="44" t="n">
        <v>0.00172859</v>
      </c>
      <c r="BF125" s="44" t="n">
        <v>0.0115499</v>
      </c>
      <c r="BG125" s="44" t="n">
        <v>0.00674737</v>
      </c>
      <c r="BH125" s="44" t="n">
        <v>0.00169982</v>
      </c>
      <c r="BI125" s="44" t="n">
        <v>0.0115499</v>
      </c>
      <c r="BJ125" s="44" t="n">
        <v>0.00636842</v>
      </c>
      <c r="BK125" s="44" t="n">
        <v>0.0017629</v>
      </c>
      <c r="BL125" s="44" t="n">
        <v>0.0115499</v>
      </c>
      <c r="BM125" s="44" t="n">
        <v>0.00701622</v>
      </c>
      <c r="BN125" s="44" t="n">
        <v>0.00178046</v>
      </c>
      <c r="BO125" s="44" t="n">
        <v>0.0115499</v>
      </c>
      <c r="BP125" s="44" t="n">
        <v>0.00672102</v>
      </c>
      <c r="BQ125" s="44" t="n">
        <v>0.001751</v>
      </c>
      <c r="BR125" s="44" t="n">
        <v>0.0115499</v>
      </c>
      <c r="BS125" s="44" t="n">
        <v>0.00571797</v>
      </c>
      <c r="BT125" s="44" t="n">
        <v>0.00178544</v>
      </c>
      <c r="BU125" s="44" t="n">
        <v>0.0115499</v>
      </c>
      <c r="BV125" s="44" t="n">
        <v>0.00697422</v>
      </c>
      <c r="BW125" s="44" t="n">
        <v>0.0018045</v>
      </c>
      <c r="BX125" s="44" t="n">
        <v>0.0115499</v>
      </c>
      <c r="BY125" s="44" t="n">
        <v>0.00674139</v>
      </c>
      <c r="BZ125" s="44" t="n">
        <v>0.00177377</v>
      </c>
      <c r="CA125" s="44" t="n">
        <v>0.0115499</v>
      </c>
      <c r="CB125" s="44" t="n">
        <v>0.00643204</v>
      </c>
      <c r="CC125" s="44" t="n">
        <v>0.00170336</v>
      </c>
      <c r="CD125" s="44" t="n">
        <v>0.0115499</v>
      </c>
      <c r="CE125" s="44" t="n">
        <v>0.00581586</v>
      </c>
      <c r="CF125" s="44" t="n">
        <v>0.00170981</v>
      </c>
      <c r="CG125" s="44" t="n">
        <v>0.0115499</v>
      </c>
      <c r="CH125" s="44" t="n">
        <v>0.00664475</v>
      </c>
      <c r="CI125" s="44" t="n">
        <v>0.00174278</v>
      </c>
      <c r="CJ125" s="44" t="n">
        <v>0.0115499</v>
      </c>
      <c r="CK125" s="44" t="n">
        <v>0.0064339</v>
      </c>
      <c r="CL125" s="44" t="n">
        <v>0.00178941</v>
      </c>
      <c r="CM125" s="44" t="n">
        <v>0.0115499</v>
      </c>
      <c r="CN125" s="44" t="n">
        <v>0.00629803</v>
      </c>
      <c r="CO125" s="44" t="n">
        <v>0.00173872</v>
      </c>
      <c r="CP125" s="44" t="n">
        <v>0.0115499</v>
      </c>
      <c r="CQ125" s="44" t="n">
        <v>0.00576575</v>
      </c>
      <c r="CR125" s="44" t="n">
        <v>0.00170642</v>
      </c>
      <c r="CS125" s="44" t="n">
        <v>0.0115499</v>
      </c>
      <c r="CT125" s="44" t="n">
        <v>0.00603909</v>
      </c>
      <c r="CU125" s="44" t="n">
        <v>0.0017497</v>
      </c>
      <c r="CV125" s="44" t="n">
        <v>0.0115499</v>
      </c>
      <c r="CW125" s="44" t="n">
        <v>0.00497024</v>
      </c>
      <c r="CX125" s="44" t="n">
        <v>0.00171445</v>
      </c>
    </row>
    <row collapsed="false" customFormat="false" customHeight="false" hidden="false" ht="12.75" outlineLevel="0" r="126">
      <c r="A126" s="44" t="n">
        <v>0.0116499</v>
      </c>
      <c r="B126" s="44" t="n">
        <v>0.00724556</v>
      </c>
      <c r="C126" s="44" t="n">
        <v>0.00156151</v>
      </c>
      <c r="D126" s="44" t="n">
        <v>0.0116499</v>
      </c>
      <c r="E126" s="44" t="n">
        <v>0.00710855</v>
      </c>
      <c r="F126" s="44" t="n">
        <v>0.00161312</v>
      </c>
      <c r="G126" s="44" t="n">
        <v>0.0116499</v>
      </c>
      <c r="H126" s="44" t="n">
        <v>0.00684461</v>
      </c>
      <c r="I126" s="44" t="n">
        <v>0.00166678</v>
      </c>
      <c r="J126" s="44" t="n">
        <v>0.0116499</v>
      </c>
      <c r="K126" s="44" t="n">
        <v>0.00721336</v>
      </c>
      <c r="L126" s="44" t="n">
        <v>0.00157057</v>
      </c>
      <c r="M126" s="44" t="n">
        <v>0.0116499</v>
      </c>
      <c r="N126" s="44" t="n">
        <v>0.00669142</v>
      </c>
      <c r="O126" s="44" t="n">
        <v>0.00160836</v>
      </c>
      <c r="P126" s="44" t="n">
        <v>0.0116499</v>
      </c>
      <c r="Q126" s="44" t="n">
        <v>0.00667106</v>
      </c>
      <c r="R126" s="44" t="n">
        <v>0.00166174</v>
      </c>
      <c r="S126" s="44" t="n">
        <v>0.0116499</v>
      </c>
      <c r="T126" s="44" t="n">
        <v>0.00751543</v>
      </c>
      <c r="U126" s="44" t="n">
        <v>0.00165922</v>
      </c>
      <c r="V126" s="44" t="n">
        <v>0.0116499</v>
      </c>
      <c r="W126" s="44" t="n">
        <v>0.00649379</v>
      </c>
      <c r="X126" s="44" t="n">
        <v>0.00165301</v>
      </c>
      <c r="Y126" s="44" t="n">
        <v>0.0116499</v>
      </c>
      <c r="Z126" s="44" t="n">
        <v>0.00711292</v>
      </c>
      <c r="AA126" s="44" t="n">
        <v>0.00167803</v>
      </c>
      <c r="AB126" s="44" t="n">
        <v>0.0116499</v>
      </c>
      <c r="AC126" s="44" t="n">
        <v>0.00692913</v>
      </c>
      <c r="AD126" s="44" t="n">
        <v>0.00164281</v>
      </c>
      <c r="AE126" s="44" t="n">
        <v>0.0116499</v>
      </c>
      <c r="AF126" s="44" t="n">
        <v>0.00693106</v>
      </c>
      <c r="AG126" s="44" t="n">
        <v>0.00167419</v>
      </c>
      <c r="AH126" s="44" t="n">
        <v>0.0116499</v>
      </c>
      <c r="AI126" s="44" t="n">
        <v>0.00656276</v>
      </c>
      <c r="AJ126" s="44" t="n">
        <v>0.00161718</v>
      </c>
      <c r="AK126" s="44" t="n">
        <v>0.0116499</v>
      </c>
      <c r="AL126" s="44" t="n">
        <v>0.00620152</v>
      </c>
      <c r="AM126" s="44" t="n">
        <v>0.00160421</v>
      </c>
      <c r="AN126" s="44" t="n">
        <v>0.0116499</v>
      </c>
      <c r="AO126" s="44" t="n">
        <v>0.00693715</v>
      </c>
      <c r="AP126" s="44" t="n">
        <v>0.00171545</v>
      </c>
      <c r="AQ126" s="44" t="n">
        <v>0.0116499</v>
      </c>
      <c r="AR126" s="44" t="n">
        <v>0.00578735</v>
      </c>
      <c r="AS126" s="44" t="n">
        <v>0.00166468</v>
      </c>
      <c r="AT126" s="44" t="n">
        <v>0.0116499</v>
      </c>
      <c r="AU126" s="44" t="n">
        <v>0.00606488</v>
      </c>
      <c r="AV126" s="44" t="n">
        <v>0.00163275</v>
      </c>
      <c r="AW126" s="44" t="n">
        <v>0.0116499</v>
      </c>
      <c r="AX126" s="44" t="n">
        <v>0.00571577</v>
      </c>
      <c r="AY126" s="44" t="n">
        <v>0.00159263</v>
      </c>
      <c r="AZ126" s="44" t="n">
        <v>0.0116499</v>
      </c>
      <c r="BA126" s="44" t="n">
        <v>0.0059724</v>
      </c>
      <c r="BB126" s="44" t="n">
        <v>0.0017108</v>
      </c>
      <c r="BC126" s="44" t="n">
        <v>0.0116499</v>
      </c>
      <c r="BD126" s="44" t="n">
        <v>0.00630221</v>
      </c>
      <c r="BE126" s="44" t="n">
        <v>0.0016534</v>
      </c>
      <c r="BF126" s="44" t="n">
        <v>0.0116499</v>
      </c>
      <c r="BG126" s="44" t="n">
        <v>0.00657647</v>
      </c>
      <c r="BH126" s="44" t="n">
        <v>0.00161486</v>
      </c>
      <c r="BI126" s="44" t="n">
        <v>0.0116499</v>
      </c>
      <c r="BJ126" s="44" t="n">
        <v>0.00635377</v>
      </c>
      <c r="BK126" s="44" t="n">
        <v>0.00165059</v>
      </c>
      <c r="BL126" s="44" t="n">
        <v>0.0116499</v>
      </c>
      <c r="BM126" s="44" t="n">
        <v>0.0067086</v>
      </c>
      <c r="BN126" s="44" t="n">
        <v>0.001675</v>
      </c>
      <c r="BO126" s="44" t="n">
        <v>0.0116499</v>
      </c>
      <c r="BP126" s="44" t="n">
        <v>0.00660872</v>
      </c>
      <c r="BQ126" s="44" t="n">
        <v>0.00165822</v>
      </c>
      <c r="BR126" s="44" t="n">
        <v>0.0116499</v>
      </c>
      <c r="BS126" s="44" t="n">
        <v>0.00571308</v>
      </c>
      <c r="BT126" s="44" t="n">
        <v>0.00168876</v>
      </c>
      <c r="BU126" s="44" t="n">
        <v>0.0116499</v>
      </c>
      <c r="BV126" s="44" t="n">
        <v>0.00660313</v>
      </c>
      <c r="BW126" s="44" t="n">
        <v>0.00170978</v>
      </c>
      <c r="BX126" s="44" t="n">
        <v>0.0116499</v>
      </c>
      <c r="BY126" s="44" t="n">
        <v>0.00653631</v>
      </c>
      <c r="BZ126" s="44" t="n">
        <v>0.00168392</v>
      </c>
      <c r="CA126" s="44" t="n">
        <v>0.0116499</v>
      </c>
      <c r="CB126" s="44" t="n">
        <v>0.00592911</v>
      </c>
      <c r="CC126" s="44" t="n">
        <v>0.00159398</v>
      </c>
      <c r="CD126" s="44" t="n">
        <v>0.0116499</v>
      </c>
      <c r="CE126" s="44" t="n">
        <v>0.00566938</v>
      </c>
      <c r="CF126" s="44" t="n">
        <v>0.00159457</v>
      </c>
      <c r="CG126" s="44" t="n">
        <v>0.0116499</v>
      </c>
      <c r="CH126" s="44" t="n">
        <v>0.00636155</v>
      </c>
      <c r="CI126" s="44" t="n">
        <v>0.00165294</v>
      </c>
      <c r="CJ126" s="44" t="n">
        <v>0.0116499</v>
      </c>
      <c r="CK126" s="44" t="n">
        <v>0.00613116</v>
      </c>
      <c r="CL126" s="44" t="n">
        <v>0.0016566</v>
      </c>
      <c r="CM126" s="44" t="n">
        <v>0.0116499</v>
      </c>
      <c r="CN126" s="44" t="n">
        <v>0.00593182</v>
      </c>
      <c r="CO126" s="44" t="n">
        <v>0.00163618</v>
      </c>
      <c r="CP126" s="44" t="n">
        <v>0.0116499</v>
      </c>
      <c r="CQ126" s="44" t="n">
        <v>0.00490149</v>
      </c>
      <c r="CR126" s="44" t="n">
        <v>0.00159411</v>
      </c>
      <c r="CS126" s="44" t="n">
        <v>0.0116499</v>
      </c>
      <c r="CT126" s="44" t="n">
        <v>0.0050137</v>
      </c>
      <c r="CU126" s="44" t="n">
        <v>0.00164912</v>
      </c>
      <c r="CV126" s="44" t="n">
        <v>0.0116499</v>
      </c>
      <c r="CW126" s="44" t="n">
        <v>0.00465774</v>
      </c>
      <c r="CX126" s="44" t="n">
        <v>0.00159727</v>
      </c>
    </row>
    <row collapsed="false" customFormat="false" customHeight="false" hidden="false" ht="12.75" outlineLevel="0" r="127">
      <c r="A127" s="44" t="n">
        <v>0.0117499</v>
      </c>
      <c r="B127" s="44" t="n">
        <v>0.00682564</v>
      </c>
      <c r="C127" s="44" t="n">
        <v>0.00148437</v>
      </c>
      <c r="D127" s="44" t="n">
        <v>0.0117499</v>
      </c>
      <c r="E127" s="44" t="n">
        <v>0.00661539</v>
      </c>
      <c r="F127" s="44" t="n">
        <v>0.00150862</v>
      </c>
      <c r="G127" s="44" t="n">
        <v>0.0117499</v>
      </c>
      <c r="H127" s="44" t="n">
        <v>0.00665906</v>
      </c>
      <c r="I127" s="44" t="n">
        <v>0.00155447</v>
      </c>
      <c r="J127" s="44" t="n">
        <v>0.0117499</v>
      </c>
      <c r="K127" s="44" t="n">
        <v>0.00699363</v>
      </c>
      <c r="L127" s="44" t="n">
        <v>0.00145925</v>
      </c>
      <c r="M127" s="44" t="n">
        <v>0.0117499</v>
      </c>
      <c r="N127" s="44" t="n">
        <v>0.00623244</v>
      </c>
      <c r="O127" s="44" t="n">
        <v>0.00146968</v>
      </c>
      <c r="P127" s="44" t="n">
        <v>0.0117499</v>
      </c>
      <c r="Q127" s="44" t="n">
        <v>0.0061486</v>
      </c>
      <c r="R127" s="44" t="n">
        <v>0.00153185</v>
      </c>
      <c r="S127" s="44" t="n">
        <v>0.0117499</v>
      </c>
      <c r="T127" s="44" t="n">
        <v>0.00671465</v>
      </c>
      <c r="U127" s="44" t="n">
        <v>0.00157621</v>
      </c>
      <c r="V127" s="44" t="n">
        <v>0.0117499</v>
      </c>
      <c r="W127" s="44" t="n">
        <v>0.00586391</v>
      </c>
      <c r="X127" s="44" t="n">
        <v>0.00153777</v>
      </c>
      <c r="Y127" s="44" t="n">
        <v>0.0117499</v>
      </c>
      <c r="Z127" s="44" t="n">
        <v>0.00684925</v>
      </c>
      <c r="AA127" s="44" t="n">
        <v>0.00158038</v>
      </c>
      <c r="AB127" s="44" t="n">
        <v>0.0117499</v>
      </c>
      <c r="AC127" s="44" t="n">
        <v>0.00602581</v>
      </c>
      <c r="AD127" s="44" t="n">
        <v>0.00152172</v>
      </c>
      <c r="AE127" s="44" t="n">
        <v>0.0117499</v>
      </c>
      <c r="AF127" s="44" t="n">
        <v>0.00661367</v>
      </c>
      <c r="AG127" s="44" t="n">
        <v>0.00155114</v>
      </c>
      <c r="AH127" s="44" t="n">
        <v>0.0117499</v>
      </c>
      <c r="AI127" s="44" t="n">
        <v>0.00637722</v>
      </c>
      <c r="AJ127" s="44" t="n">
        <v>0.00154198</v>
      </c>
      <c r="AK127" s="44" t="n">
        <v>0.0117499</v>
      </c>
      <c r="AL127" s="44" t="n">
        <v>0.00611363</v>
      </c>
      <c r="AM127" s="44" t="n">
        <v>0.00151144</v>
      </c>
      <c r="AN127" s="44" t="n">
        <v>0.0117499</v>
      </c>
      <c r="AO127" s="44" t="n">
        <v>0.00634633</v>
      </c>
      <c r="AP127" s="44" t="n">
        <v>0.00162463</v>
      </c>
      <c r="AQ127" s="44" t="n">
        <v>0.0117499</v>
      </c>
      <c r="AR127" s="44" t="n">
        <v>0.00561157</v>
      </c>
      <c r="AS127" s="44" t="n">
        <v>0.00155823</v>
      </c>
      <c r="AT127" s="44" t="n">
        <v>0.0117499</v>
      </c>
      <c r="AU127" s="44" t="n">
        <v>0.0058598</v>
      </c>
      <c r="AV127" s="44" t="n">
        <v>0.00151947</v>
      </c>
      <c r="AW127" s="44" t="n">
        <v>0.0117499</v>
      </c>
      <c r="AX127" s="44" t="n">
        <v>0.00547652</v>
      </c>
      <c r="AY127" s="44" t="n">
        <v>0.00148911</v>
      </c>
      <c r="AZ127" s="44" t="n">
        <v>0.0117499</v>
      </c>
      <c r="BA127" s="44" t="n">
        <v>0.00570873</v>
      </c>
      <c r="BB127" s="44" t="n">
        <v>0.00157798</v>
      </c>
      <c r="BC127" s="44" t="n">
        <v>0.0117499</v>
      </c>
      <c r="BD127" s="44" t="n">
        <v>0.0060483</v>
      </c>
      <c r="BE127" s="44" t="n">
        <v>0.00153719</v>
      </c>
      <c r="BF127" s="44" t="n">
        <v>0.0117499</v>
      </c>
      <c r="BG127" s="44" t="n">
        <v>0.00604913</v>
      </c>
      <c r="BH127" s="44" t="n">
        <v>0.00149084</v>
      </c>
      <c r="BI127" s="44" t="n">
        <v>0.0117499</v>
      </c>
      <c r="BJ127" s="44" t="n">
        <v>0.00595338</v>
      </c>
      <c r="BK127" s="44" t="n">
        <v>0.0015334</v>
      </c>
      <c r="BL127" s="44" t="n">
        <v>0.0117499</v>
      </c>
      <c r="BM127" s="44" t="n">
        <v>0.00649376</v>
      </c>
      <c r="BN127" s="44" t="n">
        <v>0.00156953</v>
      </c>
      <c r="BO127" s="44" t="n">
        <v>0.0117499</v>
      </c>
      <c r="BP127" s="44" t="n">
        <v>0.00583235</v>
      </c>
      <c r="BQ127" s="44" t="n">
        <v>0.00154787</v>
      </c>
      <c r="BR127" s="44" t="n">
        <v>0.0117499</v>
      </c>
      <c r="BS127" s="44" t="n">
        <v>0.00507832</v>
      </c>
      <c r="BT127" s="44" t="n">
        <v>0.00159598</v>
      </c>
      <c r="BU127" s="44" t="n">
        <v>0.0117499</v>
      </c>
      <c r="BV127" s="44" t="n">
        <v>0.00645664</v>
      </c>
      <c r="BW127" s="44" t="n">
        <v>0.00160333</v>
      </c>
      <c r="BX127" s="44" t="n">
        <v>0.0117499</v>
      </c>
      <c r="BY127" s="44" t="n">
        <v>0.00643377</v>
      </c>
      <c r="BZ127" s="44" t="n">
        <v>0.00156478</v>
      </c>
      <c r="CA127" s="44" t="n">
        <v>0.0117499</v>
      </c>
      <c r="CB127" s="44" t="n">
        <v>0.00555313</v>
      </c>
      <c r="CC127" s="44" t="n">
        <v>0.00149242</v>
      </c>
      <c r="CD127" s="44" t="n">
        <v>0.0117499</v>
      </c>
      <c r="CE127" s="44" t="n">
        <v>0.00514692</v>
      </c>
      <c r="CF127" s="44" t="n">
        <v>0.00150277</v>
      </c>
      <c r="CG127" s="44" t="n">
        <v>0.0117499</v>
      </c>
      <c r="CH127" s="44" t="n">
        <v>0.00575608</v>
      </c>
      <c r="CI127" s="44" t="n">
        <v>0.0015465</v>
      </c>
      <c r="CJ127" s="44" t="n">
        <v>0.0117499</v>
      </c>
      <c r="CK127" s="44" t="n">
        <v>0.00538897</v>
      </c>
      <c r="CL127" s="44" t="n">
        <v>0.00157066</v>
      </c>
      <c r="CM127" s="44" t="n">
        <v>0.0117499</v>
      </c>
      <c r="CN127" s="44" t="n">
        <v>0.00557538</v>
      </c>
      <c r="CO127" s="44" t="n">
        <v>0.00154048</v>
      </c>
      <c r="CP127" s="44" t="n">
        <v>0.0117499</v>
      </c>
      <c r="CQ127" s="44" t="n">
        <v>0.00480872</v>
      </c>
      <c r="CR127" s="44" t="n">
        <v>0.00149939</v>
      </c>
      <c r="CS127" s="44" t="n">
        <v>0.0117499</v>
      </c>
      <c r="CT127" s="44" t="n">
        <v>0.00463773</v>
      </c>
      <c r="CU127" s="44" t="n">
        <v>0.00154853</v>
      </c>
      <c r="CV127" s="44" t="n">
        <v>0.0117499</v>
      </c>
      <c r="CW127" s="44" t="n">
        <v>0.00450637</v>
      </c>
      <c r="CX127" s="44" t="n">
        <v>0.00154063</v>
      </c>
    </row>
    <row collapsed="false" customFormat="false" customHeight="false" hidden="false" ht="12.75" outlineLevel="0" r="128">
      <c r="A128" s="44" t="n">
        <v>0.0118499</v>
      </c>
      <c r="B128" s="44" t="n">
        <v>0.00660103</v>
      </c>
      <c r="C128" s="44" t="n">
        <v>0.00139062</v>
      </c>
      <c r="D128" s="44" t="n">
        <v>0.0118499</v>
      </c>
      <c r="E128" s="44" t="n">
        <v>0.00630777</v>
      </c>
      <c r="F128" s="44" t="n">
        <v>0.00142562</v>
      </c>
      <c r="G128" s="44" t="n">
        <v>0.0118499</v>
      </c>
      <c r="H128" s="44" t="n">
        <v>0.00600965</v>
      </c>
      <c r="I128" s="44" t="n">
        <v>0.00147537</v>
      </c>
      <c r="J128" s="44" t="n">
        <v>0.0118499</v>
      </c>
      <c r="K128" s="44" t="n">
        <v>0.00652976</v>
      </c>
      <c r="L128" s="44" t="n">
        <v>0.0013987</v>
      </c>
      <c r="M128" s="44" t="n">
        <v>0.0118499</v>
      </c>
      <c r="N128" s="44" t="n">
        <v>0.00616896</v>
      </c>
      <c r="O128" s="44" t="n">
        <v>0.00139644</v>
      </c>
      <c r="P128" s="44" t="n">
        <v>0.0118499</v>
      </c>
      <c r="Q128" s="44" t="n">
        <v>0.00595328</v>
      </c>
      <c r="R128" s="44" t="n">
        <v>0.00144494</v>
      </c>
      <c r="S128" s="44" t="n">
        <v>0.0118499</v>
      </c>
      <c r="T128" s="44" t="n">
        <v>0.00668535</v>
      </c>
      <c r="U128" s="44" t="n">
        <v>0.00146488</v>
      </c>
      <c r="V128" s="44" t="n">
        <v>0.0118499</v>
      </c>
      <c r="W128" s="44" t="n">
        <v>0.00555629</v>
      </c>
      <c r="X128" s="44" t="n">
        <v>0.00147722</v>
      </c>
      <c r="Y128" s="44" t="n">
        <v>0.0118499</v>
      </c>
      <c r="Z128" s="44" t="n">
        <v>0.00646839</v>
      </c>
      <c r="AA128" s="44" t="n">
        <v>0.00146905</v>
      </c>
      <c r="AB128" s="44" t="n">
        <v>0.0118499</v>
      </c>
      <c r="AC128" s="44" t="n">
        <v>0.00606487</v>
      </c>
      <c r="AD128" s="44" t="n">
        <v>0.00145238</v>
      </c>
      <c r="AE128" s="44" t="n">
        <v>0.0118499</v>
      </c>
      <c r="AF128" s="44" t="n">
        <v>0.00614981</v>
      </c>
      <c r="AG128" s="44" t="n">
        <v>0.00146227</v>
      </c>
      <c r="AH128" s="44" t="n">
        <v>0.0118499</v>
      </c>
      <c r="AI128" s="44" t="n">
        <v>0.00600612</v>
      </c>
      <c r="AJ128" s="44" t="n">
        <v>0.00141601</v>
      </c>
      <c r="AK128" s="44" t="n">
        <v>0.0118499</v>
      </c>
      <c r="AL128" s="44" t="n">
        <v>0.00530309</v>
      </c>
      <c r="AM128" s="44" t="n">
        <v>0.00143234</v>
      </c>
      <c r="AN128" s="44" t="n">
        <v>0.0118499</v>
      </c>
      <c r="AO128" s="44" t="n">
        <v>0.00579457</v>
      </c>
      <c r="AP128" s="44" t="n">
        <v>0.00149865</v>
      </c>
      <c r="AQ128" s="44" t="n">
        <v>0.0118499</v>
      </c>
      <c r="AR128" s="44" t="n">
        <v>0.00510375</v>
      </c>
      <c r="AS128" s="44" t="n">
        <v>0.00147034</v>
      </c>
      <c r="AT128" s="44" t="n">
        <v>0.0118499</v>
      </c>
      <c r="AU128" s="44" t="n">
        <v>0.00519574</v>
      </c>
      <c r="AV128" s="44" t="n">
        <v>0.00141302</v>
      </c>
      <c r="AW128" s="44" t="n">
        <v>0.0118499</v>
      </c>
      <c r="AX128" s="44" t="n">
        <v>0.00483199</v>
      </c>
      <c r="AY128" s="44" t="n">
        <v>0.00139829</v>
      </c>
      <c r="AZ128" s="44" t="n">
        <v>0.0118499</v>
      </c>
      <c r="BA128" s="44" t="n">
        <v>0.00532299</v>
      </c>
      <c r="BB128" s="44" t="n">
        <v>0.00148814</v>
      </c>
      <c r="BC128" s="44" t="n">
        <v>0.0118499</v>
      </c>
      <c r="BD128" s="44" t="n">
        <v>0.00551119</v>
      </c>
      <c r="BE128" s="44" t="n">
        <v>0.00143856</v>
      </c>
      <c r="BF128" s="44" t="n">
        <v>0.0118499</v>
      </c>
      <c r="BG128" s="44" t="n">
        <v>0.00588799</v>
      </c>
      <c r="BH128" s="44" t="n">
        <v>0.00142931</v>
      </c>
      <c r="BI128" s="44" t="n">
        <v>0.0118499</v>
      </c>
      <c r="BJ128" s="44" t="n">
        <v>0.00556764</v>
      </c>
      <c r="BK128" s="44" t="n">
        <v>0.00144356</v>
      </c>
      <c r="BL128" s="44" t="n">
        <v>0.0118499</v>
      </c>
      <c r="BM128" s="44" t="n">
        <v>0.00612754</v>
      </c>
      <c r="BN128" s="44" t="n">
        <v>0.00146113</v>
      </c>
      <c r="BO128" s="44" t="n">
        <v>0.0118499</v>
      </c>
      <c r="BP128" s="44" t="n">
        <v>0.00541243</v>
      </c>
      <c r="BQ128" s="44" t="n">
        <v>0.00146779</v>
      </c>
      <c r="BR128" s="44" t="n">
        <v>0.0118499</v>
      </c>
      <c r="BS128" s="44" t="n">
        <v>0.00512226</v>
      </c>
      <c r="BT128" s="44" t="n">
        <v>0.00149247</v>
      </c>
      <c r="BU128" s="44" t="n">
        <v>0.0118499</v>
      </c>
      <c r="BV128" s="44" t="n">
        <v>0.0061295</v>
      </c>
      <c r="BW128" s="44" t="n">
        <v>0.00150275</v>
      </c>
      <c r="BX128" s="44" t="n">
        <v>0.0118499</v>
      </c>
      <c r="BY128" s="44" t="n">
        <v>0.00550604</v>
      </c>
      <c r="BZ128" s="44" t="n">
        <v>0.00147689</v>
      </c>
      <c r="CA128" s="44" t="n">
        <v>0.0118499</v>
      </c>
      <c r="CB128" s="44" t="n">
        <v>0.00455216</v>
      </c>
      <c r="CC128" s="44" t="n">
        <v>0.00142308</v>
      </c>
      <c r="CD128" s="44" t="n">
        <v>0.0118499</v>
      </c>
      <c r="CE128" s="44" t="n">
        <v>0.00499067</v>
      </c>
      <c r="CF128" s="44" t="n">
        <v>0.00141293</v>
      </c>
      <c r="CG128" s="44" t="n">
        <v>0.0118499</v>
      </c>
      <c r="CH128" s="44" t="n">
        <v>0.00528245</v>
      </c>
      <c r="CI128" s="44" t="n">
        <v>0.00145665</v>
      </c>
      <c r="CJ128" s="44" t="n">
        <v>0.0118499</v>
      </c>
      <c r="CK128" s="44" t="n">
        <v>0.00539386</v>
      </c>
      <c r="CL128" s="44" t="n">
        <v>0.00147496</v>
      </c>
      <c r="CM128" s="44" t="n">
        <v>0.0118499</v>
      </c>
      <c r="CN128" s="44" t="n">
        <v>0.00475995</v>
      </c>
      <c r="CO128" s="44" t="n">
        <v>0.00146235</v>
      </c>
      <c r="CP128" s="44" t="n">
        <v>0.0118499</v>
      </c>
      <c r="CQ128" s="44" t="n">
        <v>0.00462317</v>
      </c>
      <c r="CR128" s="44" t="n">
        <v>0.00140075</v>
      </c>
      <c r="CS128" s="44" t="n">
        <v>0.0118499</v>
      </c>
      <c r="CT128" s="44" t="n">
        <v>0.00442777</v>
      </c>
      <c r="CU128" s="44" t="n">
        <v>0.00146259</v>
      </c>
      <c r="CV128" s="44" t="n">
        <v>0.0118499</v>
      </c>
      <c r="CW128" s="44" t="n">
        <v>0.00457962</v>
      </c>
      <c r="CX128" s="44" t="n">
        <v>0.00142149</v>
      </c>
    </row>
    <row collapsed="false" customFormat="false" customHeight="false" hidden="false" ht="12.75" outlineLevel="0" r="129">
      <c r="A129" s="44" t="n">
        <v>0.0119499</v>
      </c>
      <c r="B129" s="44" t="n">
        <v>0.0059565</v>
      </c>
      <c r="C129" s="44" t="n">
        <v>0.00129784</v>
      </c>
      <c r="D129" s="44" t="n">
        <v>0.0119499</v>
      </c>
      <c r="E129" s="44" t="n">
        <v>0.00599527</v>
      </c>
      <c r="F129" s="44" t="n">
        <v>0.00132796</v>
      </c>
      <c r="G129" s="44" t="n">
        <v>0.0119499</v>
      </c>
      <c r="H129" s="44" t="n">
        <v>0.00608777</v>
      </c>
      <c r="I129" s="44" t="n">
        <v>0.00136893</v>
      </c>
      <c r="J129" s="44" t="n">
        <v>0.0119499</v>
      </c>
      <c r="K129" s="44" t="n">
        <v>0.00623191</v>
      </c>
      <c r="L129" s="44" t="n">
        <v>0.00129421</v>
      </c>
      <c r="M129" s="44" t="n">
        <v>0.0119499</v>
      </c>
      <c r="N129" s="44" t="n">
        <v>0.00587111</v>
      </c>
      <c r="O129" s="44" t="n">
        <v>0.00131929</v>
      </c>
      <c r="P129" s="44" t="n">
        <v>0.0119499</v>
      </c>
      <c r="Q129" s="44" t="n">
        <v>0.00556754</v>
      </c>
      <c r="R129" s="44" t="n">
        <v>0.00136681</v>
      </c>
      <c r="S129" s="44" t="n">
        <v>0.0119499</v>
      </c>
      <c r="T129" s="44" t="n">
        <v>0.00580644</v>
      </c>
      <c r="U129" s="44" t="n">
        <v>0.00137992</v>
      </c>
      <c r="V129" s="44" t="n">
        <v>0.0119499</v>
      </c>
      <c r="W129" s="44" t="n">
        <v>0.00555141</v>
      </c>
      <c r="X129" s="44" t="n">
        <v>0.00134148</v>
      </c>
      <c r="Y129" s="44" t="n">
        <v>0.0119499</v>
      </c>
      <c r="Z129" s="44" t="n">
        <v>0.00626819</v>
      </c>
      <c r="AA129" s="44" t="n">
        <v>0.00139678</v>
      </c>
      <c r="AB129" s="44" t="n">
        <v>0.0119499</v>
      </c>
      <c r="AC129" s="44" t="n">
        <v>0.00554729</v>
      </c>
      <c r="AD129" s="44" t="n">
        <v>0.00135277</v>
      </c>
      <c r="AE129" s="44" t="n">
        <v>0.0119499</v>
      </c>
      <c r="AF129" s="44" t="n">
        <v>0.00544668</v>
      </c>
      <c r="AG129" s="44" t="n">
        <v>0.00138122</v>
      </c>
      <c r="AH129" s="44" t="n">
        <v>0.0119499</v>
      </c>
      <c r="AI129" s="44" t="n">
        <v>0.00561061</v>
      </c>
      <c r="AJ129" s="44" t="n">
        <v>0.00133593</v>
      </c>
      <c r="AK129" s="44" t="n">
        <v>0.0119499</v>
      </c>
      <c r="AL129" s="44" t="n">
        <v>0.00480992</v>
      </c>
      <c r="AM129" s="44" t="n">
        <v>0.00132296</v>
      </c>
      <c r="AN129" s="44" t="n">
        <v>0.0119499</v>
      </c>
      <c r="AO129" s="44" t="n">
        <v>0.00571645</v>
      </c>
      <c r="AP129" s="44" t="n">
        <v>0.00142443</v>
      </c>
      <c r="AQ129" s="44" t="n">
        <v>0.0119499</v>
      </c>
      <c r="AR129" s="44" t="n">
        <v>0.0044934</v>
      </c>
      <c r="AS129" s="44" t="n">
        <v>0.00138343</v>
      </c>
      <c r="AT129" s="44" t="n">
        <v>0.0119499</v>
      </c>
      <c r="AU129" s="44" t="n">
        <v>0.00491254</v>
      </c>
      <c r="AV129" s="44" t="n">
        <v>0.00133783</v>
      </c>
      <c r="AW129" s="44" t="n">
        <v>0.0119499</v>
      </c>
      <c r="AX129" s="44" t="n">
        <v>0.00461714</v>
      </c>
      <c r="AY129" s="44" t="n">
        <v>0.00131138</v>
      </c>
      <c r="AZ129" s="44" t="n">
        <v>0.0119499</v>
      </c>
      <c r="BA129" s="44" t="n">
        <v>0.00524486</v>
      </c>
      <c r="BB129" s="44" t="n">
        <v>0.00141392</v>
      </c>
      <c r="BC129" s="44" t="n">
        <v>0.0119499</v>
      </c>
      <c r="BD129" s="44" t="n">
        <v>0.00527682</v>
      </c>
      <c r="BE129" s="44" t="n">
        <v>0.00135457</v>
      </c>
      <c r="BF129" s="44" t="n">
        <v>0.0119499</v>
      </c>
      <c r="BG129" s="44" t="n">
        <v>0.00547784</v>
      </c>
      <c r="BH129" s="44" t="n">
        <v>0.00133849</v>
      </c>
      <c r="BI129" s="44" t="n">
        <v>0.0119499</v>
      </c>
      <c r="BJ129" s="44" t="n">
        <v>0.00535768</v>
      </c>
      <c r="BK129" s="44" t="n">
        <v>0.00136348</v>
      </c>
      <c r="BL129" s="44" t="n">
        <v>0.0119499</v>
      </c>
      <c r="BM129" s="44" t="n">
        <v>0.00499473</v>
      </c>
      <c r="BN129" s="44" t="n">
        <v>0.00140351</v>
      </c>
      <c r="BO129" s="44" t="n">
        <v>0.0119499</v>
      </c>
      <c r="BP129" s="44" t="n">
        <v>0.00509993</v>
      </c>
      <c r="BQ129" s="44" t="n">
        <v>0.00138381</v>
      </c>
      <c r="BR129" s="44" t="n">
        <v>0.0119499</v>
      </c>
      <c r="BS129" s="44" t="n">
        <v>0.00468769</v>
      </c>
      <c r="BT129" s="44" t="n">
        <v>0.00140458</v>
      </c>
      <c r="BU129" s="44" t="n">
        <v>0.0119499</v>
      </c>
      <c r="BV129" s="44" t="n">
        <v>0.00508946</v>
      </c>
      <c r="BW129" s="44" t="n">
        <v>0.00141583</v>
      </c>
      <c r="BX129" s="44" t="n">
        <v>0.0119499</v>
      </c>
      <c r="BY129" s="44" t="n">
        <v>0.00511541</v>
      </c>
      <c r="BZ129" s="44" t="n">
        <v>0.00138216</v>
      </c>
      <c r="CA129" s="44" t="n">
        <v>0.0119499</v>
      </c>
      <c r="CB129" s="44" t="n">
        <v>0.00443008</v>
      </c>
      <c r="CC129" s="44" t="n">
        <v>0.00131859</v>
      </c>
      <c r="CD129" s="44" t="n">
        <v>0.0119499</v>
      </c>
      <c r="CE129" s="44" t="n">
        <v>0.00474164</v>
      </c>
      <c r="CF129" s="44" t="n">
        <v>0.00133676</v>
      </c>
      <c r="CG129" s="44" t="n">
        <v>0.0119499</v>
      </c>
      <c r="CH129" s="44" t="n">
        <v>0.00493089</v>
      </c>
      <c r="CI129" s="44" t="n">
        <v>0.00134337</v>
      </c>
      <c r="CJ129" s="44" t="n">
        <v>0.0119499</v>
      </c>
      <c r="CK129" s="44" t="n">
        <v>0.00481768</v>
      </c>
      <c r="CL129" s="44" t="n">
        <v>0.00137437</v>
      </c>
      <c r="CM129" s="44" t="n">
        <v>0.0119499</v>
      </c>
      <c r="CN129" s="44" t="n">
        <v>0.0048869</v>
      </c>
      <c r="CO129" s="44" t="n">
        <v>0.00132759</v>
      </c>
      <c r="CP129" s="44" t="n">
        <v>0.0119499</v>
      </c>
      <c r="CQ129" s="44" t="n">
        <v>0.00457434</v>
      </c>
      <c r="CR129" s="44" t="n">
        <v>0.00133337</v>
      </c>
      <c r="CS129" s="44" t="n">
        <v>0.0119499</v>
      </c>
      <c r="CT129" s="44" t="n">
        <v>0.00420804</v>
      </c>
      <c r="CU129" s="44" t="n">
        <v>0.00135615</v>
      </c>
      <c r="CV129" s="44" t="n">
        <v>0.0119499</v>
      </c>
      <c r="CW129" s="44" t="n">
        <v>0.00445266</v>
      </c>
      <c r="CX129" s="44" t="n">
        <v>0.00133457</v>
      </c>
    </row>
    <row collapsed="false" customFormat="false" customHeight="false" hidden="false" ht="12.75" outlineLevel="0" r="130">
      <c r="A130" s="44" t="n">
        <v>0.0120499</v>
      </c>
      <c r="B130" s="44" t="n">
        <v>0.00550728</v>
      </c>
      <c r="C130" s="44" t="n">
        <v>0.00122558</v>
      </c>
      <c r="D130" s="44" t="n">
        <v>0.0120499</v>
      </c>
      <c r="E130" s="44" t="n">
        <v>0.00522867</v>
      </c>
      <c r="F130" s="44" t="n">
        <v>0.00124007</v>
      </c>
      <c r="G130" s="44" t="n">
        <v>0.0120499</v>
      </c>
      <c r="H130" s="44" t="n">
        <v>0.00523328</v>
      </c>
      <c r="I130" s="44" t="n">
        <v>0.00129373</v>
      </c>
      <c r="J130" s="44" t="n">
        <v>0.0120499</v>
      </c>
      <c r="K130" s="44" t="n">
        <v>0.00522605</v>
      </c>
      <c r="L130" s="44" t="n">
        <v>0.00120436</v>
      </c>
      <c r="M130" s="44" t="n">
        <v>0.0120499</v>
      </c>
      <c r="N130" s="44" t="n">
        <v>0.0055049</v>
      </c>
      <c r="O130" s="44" t="n">
        <v>0.00122945</v>
      </c>
      <c r="P130" s="44" t="n">
        <v>0.0120499</v>
      </c>
      <c r="Q130" s="44" t="n">
        <v>0.00525993</v>
      </c>
      <c r="R130" s="44" t="n">
        <v>0.00126427</v>
      </c>
      <c r="S130" s="44" t="n">
        <v>0.0120499</v>
      </c>
      <c r="T130" s="44" t="n">
        <v>0.00543535</v>
      </c>
      <c r="U130" s="44" t="n">
        <v>0.00129593</v>
      </c>
      <c r="V130" s="44" t="n">
        <v>0.0120499</v>
      </c>
      <c r="W130" s="44" t="n">
        <v>0.00510219</v>
      </c>
      <c r="X130" s="44" t="n">
        <v>0.00128191</v>
      </c>
      <c r="Y130" s="44" t="n">
        <v>0.0120499</v>
      </c>
      <c r="Z130" s="44" t="n">
        <v>0.00582874</v>
      </c>
      <c r="AA130" s="44" t="n">
        <v>0.0012835</v>
      </c>
      <c r="AB130" s="44" t="n">
        <v>0.0120499</v>
      </c>
      <c r="AC130" s="44" t="n">
        <v>0.00500042</v>
      </c>
      <c r="AD130" s="44" t="n">
        <v>0.00126488</v>
      </c>
      <c r="AE130" s="44" t="n">
        <v>0.0120499</v>
      </c>
      <c r="AF130" s="44" t="n">
        <v>0.00469473</v>
      </c>
      <c r="AG130" s="44" t="n">
        <v>0.0012738</v>
      </c>
      <c r="AH130" s="44" t="n">
        <v>0.0120499</v>
      </c>
      <c r="AI130" s="44" t="n">
        <v>0.00542018</v>
      </c>
      <c r="AJ130" s="44" t="n">
        <v>0.00125097</v>
      </c>
      <c r="AK130" s="44" t="n">
        <v>0.0120499</v>
      </c>
      <c r="AL130" s="44" t="n">
        <v>0.00446813</v>
      </c>
      <c r="AM130" s="44" t="n">
        <v>0.00123898</v>
      </c>
      <c r="AN130" s="44" t="n">
        <v>0.0120499</v>
      </c>
      <c r="AO130" s="44" t="n">
        <v>0.00566274</v>
      </c>
      <c r="AP130" s="44" t="n">
        <v>0.00133556</v>
      </c>
      <c r="AQ130" s="44" t="n">
        <v>0.0120499</v>
      </c>
      <c r="AR130" s="44" t="n">
        <v>0.00494262</v>
      </c>
      <c r="AS130" s="44" t="n">
        <v>0.00126429</v>
      </c>
      <c r="AT130" s="44" t="n">
        <v>0.0120499</v>
      </c>
      <c r="AU130" s="44" t="n">
        <v>0.00425824</v>
      </c>
      <c r="AV130" s="44" t="n">
        <v>0.00125091</v>
      </c>
      <c r="AW130" s="44" t="n">
        <v>0.0120499</v>
      </c>
      <c r="AX130" s="44" t="n">
        <v>0.00447066</v>
      </c>
      <c r="AY130" s="44" t="n">
        <v>0.00122837</v>
      </c>
      <c r="AZ130" s="44" t="n">
        <v>0.0120499</v>
      </c>
      <c r="BA130" s="44" t="n">
        <v>0.00460522</v>
      </c>
      <c r="BB130" s="44" t="n">
        <v>0.00132603</v>
      </c>
      <c r="BC130" s="44" t="n">
        <v>0.0120499</v>
      </c>
      <c r="BD130" s="44" t="n">
        <v>0.00505709</v>
      </c>
      <c r="BE130" s="44" t="n">
        <v>0.00127156</v>
      </c>
      <c r="BF130" s="44" t="n">
        <v>0.0120499</v>
      </c>
      <c r="BG130" s="44" t="n">
        <v>0.00572686</v>
      </c>
      <c r="BH130" s="44" t="n">
        <v>0.00124181</v>
      </c>
      <c r="BI130" s="44" t="n">
        <v>0.0120499</v>
      </c>
      <c r="BJ130" s="44" t="n">
        <v>0.00544069</v>
      </c>
      <c r="BK130" s="44" t="n">
        <v>0.00128243</v>
      </c>
      <c r="BL130" s="44" t="n">
        <v>0.0120499</v>
      </c>
      <c r="BM130" s="44" t="n">
        <v>0.00485313</v>
      </c>
      <c r="BN130" s="44" t="n">
        <v>0.00131074</v>
      </c>
      <c r="BO130" s="44" t="n">
        <v>0.0120499</v>
      </c>
      <c r="BP130" s="44" t="n">
        <v>0.0047679</v>
      </c>
      <c r="BQ130" s="44" t="n">
        <v>0.00126955</v>
      </c>
      <c r="BR130" s="44" t="n">
        <v>0.0120499</v>
      </c>
      <c r="BS130" s="44" t="n">
        <v>0.0044582</v>
      </c>
      <c r="BT130" s="44" t="n">
        <v>0.00132255</v>
      </c>
      <c r="BU130" s="44" t="n">
        <v>0.0120499</v>
      </c>
      <c r="BV130" s="44" t="n">
        <v>0.00480625</v>
      </c>
      <c r="BW130" s="44" t="n">
        <v>0.00131036</v>
      </c>
      <c r="BX130" s="44" t="n">
        <v>0.0120499</v>
      </c>
      <c r="BY130" s="44" t="n">
        <v>0.004466</v>
      </c>
      <c r="BZ130" s="44" t="n">
        <v>0.00130502</v>
      </c>
      <c r="CA130" s="44" t="n">
        <v>0.0120499</v>
      </c>
      <c r="CB130" s="44" t="n">
        <v>0.00423477</v>
      </c>
      <c r="CC130" s="44" t="n">
        <v>0.00126488</v>
      </c>
      <c r="CD130" s="44" t="n">
        <v>0.0120499</v>
      </c>
      <c r="CE130" s="44" t="n">
        <v>0.00396039</v>
      </c>
      <c r="CF130" s="44" t="n">
        <v>0.00123715</v>
      </c>
      <c r="CG130" s="44" t="n">
        <v>0.0120499</v>
      </c>
      <c r="CH130" s="44" t="n">
        <v>0.00472093</v>
      </c>
      <c r="CI130" s="44" t="n">
        <v>0.0012545</v>
      </c>
      <c r="CJ130" s="44" t="n">
        <v>0.0120499</v>
      </c>
      <c r="CK130" s="44" t="n">
        <v>0.00465167</v>
      </c>
      <c r="CL130" s="44" t="n">
        <v>0.00126304</v>
      </c>
      <c r="CM130" s="44" t="n">
        <v>0.0120499</v>
      </c>
      <c r="CN130" s="44" t="n">
        <v>0.00433514</v>
      </c>
      <c r="CO130" s="44" t="n">
        <v>0.00125532</v>
      </c>
      <c r="CP130" s="44" t="n">
        <v>0.0120499</v>
      </c>
      <c r="CQ130" s="44" t="n">
        <v>0.00449622</v>
      </c>
      <c r="CR130" s="44" t="n">
        <v>0.00125134</v>
      </c>
      <c r="CS130" s="44" t="n">
        <v>0.0120499</v>
      </c>
      <c r="CT130" s="44" t="n">
        <v>0.00420804</v>
      </c>
      <c r="CU130" s="44" t="n">
        <v>0.00127021</v>
      </c>
      <c r="CV130" s="44" t="n">
        <v>0.0120499</v>
      </c>
      <c r="CW130" s="44" t="n">
        <v>0.00442337</v>
      </c>
      <c r="CX130" s="44" t="n">
        <v>0.00123594</v>
      </c>
    </row>
    <row collapsed="false" customFormat="false" customHeight="false" hidden="false" ht="12.75" outlineLevel="0" r="131">
      <c r="A131" s="44" t="n">
        <v>0.0121499</v>
      </c>
      <c r="B131" s="44" t="n">
        <v>0.00482857</v>
      </c>
      <c r="C131" s="44" t="n">
        <v>0.00114159</v>
      </c>
      <c r="D131" s="44" t="n">
        <v>0.0121499</v>
      </c>
      <c r="E131" s="44" t="n">
        <v>0.00454019</v>
      </c>
      <c r="F131" s="44" t="n">
        <v>0.00115609</v>
      </c>
      <c r="G131" s="44" t="n">
        <v>0.0121499</v>
      </c>
      <c r="H131" s="44" t="n">
        <v>0.00454481</v>
      </c>
      <c r="I131" s="44" t="n">
        <v>0.00123026</v>
      </c>
      <c r="J131" s="44" t="n">
        <v>0.0121499</v>
      </c>
      <c r="K131" s="44" t="n">
        <v>0.00514793</v>
      </c>
      <c r="L131" s="44" t="n">
        <v>0.001136</v>
      </c>
      <c r="M131" s="44" t="n">
        <v>0.0121499</v>
      </c>
      <c r="N131" s="44" t="n">
        <v>0.00523634</v>
      </c>
      <c r="O131" s="44" t="n">
        <v>0.00112984</v>
      </c>
      <c r="P131" s="44" t="n">
        <v>0.0121499</v>
      </c>
      <c r="Q131" s="44" t="n">
        <v>0.00491813</v>
      </c>
      <c r="R131" s="44" t="n">
        <v>0.00122424</v>
      </c>
      <c r="S131" s="44" t="n">
        <v>0.0121499</v>
      </c>
      <c r="T131" s="44" t="n">
        <v>0.00517656</v>
      </c>
      <c r="U131" s="44" t="n">
        <v>0.00120804</v>
      </c>
      <c r="V131" s="44" t="n">
        <v>0.0121499</v>
      </c>
      <c r="W131" s="44" t="n">
        <v>0.00493618</v>
      </c>
      <c r="X131" s="44" t="n">
        <v>0.00118621</v>
      </c>
      <c r="Y131" s="44" t="n">
        <v>0.0121499</v>
      </c>
      <c r="Z131" s="44" t="n">
        <v>0.00522327</v>
      </c>
      <c r="AA131" s="44" t="n">
        <v>0.00121514</v>
      </c>
      <c r="AB131" s="44" t="n">
        <v>0.0121499</v>
      </c>
      <c r="AC131" s="44" t="n">
        <v>0.00481487</v>
      </c>
      <c r="AD131" s="44" t="n">
        <v>0.00116527</v>
      </c>
      <c r="AE131" s="44" t="n">
        <v>0.0121499</v>
      </c>
      <c r="AF131" s="44" t="n">
        <v>0.00439688</v>
      </c>
      <c r="AG131" s="44" t="n">
        <v>0.00119665</v>
      </c>
      <c r="AH131" s="44" t="n">
        <v>0.0121499</v>
      </c>
      <c r="AI131" s="44" t="n">
        <v>0.0052737</v>
      </c>
      <c r="AJ131" s="44" t="n">
        <v>0.0011621</v>
      </c>
      <c r="AK131" s="44" t="n">
        <v>0.0121499</v>
      </c>
      <c r="AL131" s="44" t="n">
        <v>0.00387731</v>
      </c>
      <c r="AM131" s="44" t="n">
        <v>0.00119601</v>
      </c>
      <c r="AN131" s="44" t="n">
        <v>0.0121499</v>
      </c>
      <c r="AO131" s="44" t="n">
        <v>0.00542348</v>
      </c>
      <c r="AP131" s="44" t="n">
        <v>0.00123791</v>
      </c>
      <c r="AQ131" s="44" t="n">
        <v>0.0121499</v>
      </c>
      <c r="AR131" s="44" t="n">
        <v>0.00451293</v>
      </c>
      <c r="AS131" s="44" t="n">
        <v>0.00120081</v>
      </c>
      <c r="AT131" s="44" t="n">
        <v>0.0121499</v>
      </c>
      <c r="AU131" s="44" t="n">
        <v>0.00404828</v>
      </c>
      <c r="AV131" s="44" t="n">
        <v>0.00116205</v>
      </c>
      <c r="AW131" s="44" t="n">
        <v>0.0121499</v>
      </c>
      <c r="AX131" s="44" t="n">
        <v>0.00427046</v>
      </c>
      <c r="AY131" s="44" t="n">
        <v>0.00114829</v>
      </c>
      <c r="AZ131" s="44" t="n">
        <v>0.0121499</v>
      </c>
      <c r="BA131" s="44" t="n">
        <v>0.00375072</v>
      </c>
      <c r="BB131" s="44" t="n">
        <v>0.00124498</v>
      </c>
      <c r="BC131" s="44" t="n">
        <v>0.0121499</v>
      </c>
      <c r="BD131" s="44" t="n">
        <v>0.0042856</v>
      </c>
      <c r="BE131" s="44" t="n">
        <v>0.00120906</v>
      </c>
      <c r="BF131" s="44" t="n">
        <v>0.0121499</v>
      </c>
      <c r="BG131" s="44" t="n">
        <v>0.00468682</v>
      </c>
      <c r="BH131" s="44" t="n">
        <v>0.00117736</v>
      </c>
      <c r="BI131" s="44" t="n">
        <v>0.0121499</v>
      </c>
      <c r="BJ131" s="44" t="n">
        <v>0.00472779</v>
      </c>
      <c r="BK131" s="44" t="n">
        <v>0.0012004</v>
      </c>
      <c r="BL131" s="44" t="n">
        <v>0.0121499</v>
      </c>
      <c r="BM131" s="44" t="n">
        <v>0.00448692</v>
      </c>
      <c r="BN131" s="44" t="n">
        <v>0.0012082</v>
      </c>
      <c r="BO131" s="44" t="n">
        <v>0.0121499</v>
      </c>
      <c r="BP131" s="44" t="n">
        <v>0.00475325</v>
      </c>
      <c r="BQ131" s="44" t="n">
        <v>0.00121584</v>
      </c>
      <c r="BR131" s="44" t="n">
        <v>0.0121499</v>
      </c>
      <c r="BS131" s="44" t="n">
        <v>0.0045998</v>
      </c>
      <c r="BT131" s="44" t="n">
        <v>0.00124149</v>
      </c>
      <c r="BU131" s="44" t="n">
        <v>0.0121499</v>
      </c>
      <c r="BV131" s="44" t="n">
        <v>0.00498203</v>
      </c>
      <c r="BW131" s="44" t="n">
        <v>0.00123517</v>
      </c>
      <c r="BX131" s="44" t="n">
        <v>0.0121499</v>
      </c>
      <c r="BY131" s="44" t="n">
        <v>0.00425604</v>
      </c>
      <c r="BZ131" s="44" t="n">
        <v>0.00121615</v>
      </c>
      <c r="CA131" s="44" t="n">
        <v>0.0121499</v>
      </c>
      <c r="CB131" s="44" t="n">
        <v>0.0043129</v>
      </c>
      <c r="CC131" s="44" t="n">
        <v>0.00118285</v>
      </c>
      <c r="CD131" s="44" t="n">
        <v>0.0121499</v>
      </c>
      <c r="CE131" s="44" t="n">
        <v>0.00371625</v>
      </c>
      <c r="CF131" s="44" t="n">
        <v>0.00117856</v>
      </c>
      <c r="CG131" s="44" t="n">
        <v>0.0121499</v>
      </c>
      <c r="CH131" s="44" t="n">
        <v>0.00452561</v>
      </c>
      <c r="CI131" s="44" t="n">
        <v>0.00119591</v>
      </c>
      <c r="CJ131" s="44" t="n">
        <v>0.0121499</v>
      </c>
      <c r="CK131" s="44" t="n">
        <v>0.00435382</v>
      </c>
      <c r="CL131" s="44" t="n">
        <v>0.00119957</v>
      </c>
      <c r="CM131" s="44" t="n">
        <v>0.0121499</v>
      </c>
      <c r="CN131" s="44" t="n">
        <v>0.00399335</v>
      </c>
      <c r="CO131" s="44" t="n">
        <v>0.00117427</v>
      </c>
      <c r="CP131" s="44" t="n">
        <v>0.0121499</v>
      </c>
      <c r="CQ131" s="44" t="n">
        <v>0.00432044</v>
      </c>
      <c r="CR131" s="44" t="n">
        <v>0.001182</v>
      </c>
      <c r="CS131" s="44" t="n">
        <v>0.0121499</v>
      </c>
      <c r="CT131" s="44" t="n">
        <v>0.00433011</v>
      </c>
      <c r="CU131" s="44" t="n">
        <v>0.00117548</v>
      </c>
      <c r="CV131" s="44" t="n">
        <v>0.0121499</v>
      </c>
      <c r="CW131" s="44" t="n">
        <v>0.00425247</v>
      </c>
      <c r="CX131" s="44" t="n">
        <v>0.00116367</v>
      </c>
    </row>
    <row collapsed="false" customFormat="false" customHeight="false" hidden="false" ht="12.75" outlineLevel="0" r="132">
      <c r="A132" s="44" t="n">
        <v>0.0122499</v>
      </c>
      <c r="B132" s="44" t="n">
        <v>0.00480415</v>
      </c>
      <c r="C132" s="44" t="n">
        <v>0.00106737</v>
      </c>
      <c r="D132" s="44" t="n">
        <v>0.0122499</v>
      </c>
      <c r="E132" s="44" t="n">
        <v>0.00444742</v>
      </c>
      <c r="F132" s="44" t="n">
        <v>0.00107796</v>
      </c>
      <c r="G132" s="44" t="n">
        <v>0.0122499</v>
      </c>
      <c r="H132" s="44" t="n">
        <v>0.00468152</v>
      </c>
      <c r="I132" s="44" t="n">
        <v>0.00115994</v>
      </c>
      <c r="J132" s="44" t="n">
        <v>0.0122499</v>
      </c>
      <c r="K132" s="44" t="n">
        <v>0.00480613</v>
      </c>
      <c r="L132" s="44" t="n">
        <v>0.00105104</v>
      </c>
      <c r="M132" s="44" t="n">
        <v>0.0122499</v>
      </c>
      <c r="N132" s="44" t="n">
        <v>0.00495314</v>
      </c>
      <c r="O132" s="44" t="n">
        <v>0.00105074</v>
      </c>
      <c r="P132" s="44" t="n">
        <v>0.0122499</v>
      </c>
      <c r="Q132" s="44" t="n">
        <v>0.0044152</v>
      </c>
      <c r="R132" s="44" t="n">
        <v>0.00113927</v>
      </c>
      <c r="S132" s="44" t="n">
        <v>0.0122499</v>
      </c>
      <c r="T132" s="44" t="n">
        <v>0.00512773</v>
      </c>
      <c r="U132" s="44" t="n">
        <v>0.00112504</v>
      </c>
      <c r="V132" s="44" t="n">
        <v>0.0122499</v>
      </c>
      <c r="W132" s="44" t="n">
        <v>0.00381801</v>
      </c>
      <c r="X132" s="44" t="n">
        <v>0.00112664</v>
      </c>
      <c r="Y132" s="44" t="n">
        <v>0.0122499</v>
      </c>
      <c r="Z132" s="44" t="n">
        <v>0.00530628</v>
      </c>
      <c r="AA132" s="44" t="n">
        <v>0.00112139</v>
      </c>
      <c r="AB132" s="44" t="n">
        <v>0.0122499</v>
      </c>
      <c r="AC132" s="44" t="n">
        <v>0.00468792</v>
      </c>
      <c r="AD132" s="44" t="n">
        <v>0.0010891</v>
      </c>
      <c r="AE132" s="44" t="n">
        <v>0.0122499</v>
      </c>
      <c r="AF132" s="44" t="n">
        <v>0.00440664</v>
      </c>
      <c r="AG132" s="44" t="n">
        <v>0.00109704</v>
      </c>
      <c r="AH132" s="44" t="n">
        <v>0.0122499</v>
      </c>
      <c r="AI132" s="44" t="n">
        <v>0.0042239</v>
      </c>
      <c r="AJ132" s="44" t="n">
        <v>0.0010996</v>
      </c>
      <c r="AK132" s="44" t="n">
        <v>0.0122499</v>
      </c>
      <c r="AL132" s="44" t="n">
        <v>0.00406285</v>
      </c>
      <c r="AM132" s="44" t="n">
        <v>0.00111105</v>
      </c>
      <c r="AN132" s="44" t="n">
        <v>0.0122499</v>
      </c>
      <c r="AO132" s="44" t="n">
        <v>0.00437856</v>
      </c>
      <c r="AP132" s="44" t="n">
        <v>0.00111779</v>
      </c>
      <c r="AQ132" s="44" t="n">
        <v>0.0122499</v>
      </c>
      <c r="AR132" s="44" t="n">
        <v>0.00425903</v>
      </c>
      <c r="AS132" s="44" t="n">
        <v>0.00113148</v>
      </c>
      <c r="AT132" s="44" t="n">
        <v>0.0122499</v>
      </c>
      <c r="AU132" s="44" t="n">
        <v>0.00381391</v>
      </c>
      <c r="AV132" s="44" t="n">
        <v>0.00108295</v>
      </c>
      <c r="AW132" s="44" t="n">
        <v>0.0122499</v>
      </c>
      <c r="AX132" s="44" t="n">
        <v>0.00404097</v>
      </c>
      <c r="AY132" s="44" t="n">
        <v>0.0010565</v>
      </c>
      <c r="AZ132" s="44" t="n">
        <v>0.0122499</v>
      </c>
      <c r="BA132" s="44" t="n">
        <v>0.00357983</v>
      </c>
      <c r="BB132" s="44" t="n">
        <v>0.00115806</v>
      </c>
      <c r="BC132" s="44" t="n">
        <v>0.0122499</v>
      </c>
      <c r="BD132" s="44" t="n">
        <v>0.00443697</v>
      </c>
      <c r="BE132" s="44" t="n">
        <v>0.00112899</v>
      </c>
      <c r="BF132" s="44" t="n">
        <v>0.0122499</v>
      </c>
      <c r="BG132" s="44" t="n">
        <v>0.00480401</v>
      </c>
      <c r="BH132" s="44" t="n">
        <v>0.00108556</v>
      </c>
      <c r="BI132" s="44" t="n">
        <v>0.0122499</v>
      </c>
      <c r="BJ132" s="44" t="n">
        <v>0.00462526</v>
      </c>
      <c r="BK132" s="44" t="n">
        <v>0.00111348</v>
      </c>
      <c r="BL132" s="44" t="n">
        <v>0.0122499</v>
      </c>
      <c r="BM132" s="44" t="n">
        <v>0.00452598</v>
      </c>
      <c r="BN132" s="44" t="n">
        <v>0.00113007</v>
      </c>
      <c r="BO132" s="44" t="n">
        <v>0.0122499</v>
      </c>
      <c r="BP132" s="44" t="n">
        <v>0.00430403</v>
      </c>
      <c r="BQ132" s="44" t="n">
        <v>0.00111233</v>
      </c>
      <c r="BR132" s="44" t="n">
        <v>0.0122499</v>
      </c>
      <c r="BS132" s="44" t="n">
        <v>0.00386738</v>
      </c>
      <c r="BT132" s="44" t="n">
        <v>0.00118583</v>
      </c>
      <c r="BU132" s="44" t="n">
        <v>0.0122499</v>
      </c>
      <c r="BV132" s="44" t="n">
        <v>0.00465489</v>
      </c>
      <c r="BW132" s="44" t="n">
        <v>0.00116583</v>
      </c>
      <c r="BX132" s="44" t="n">
        <v>0.0122499</v>
      </c>
      <c r="BY132" s="44" t="n">
        <v>0.00445623</v>
      </c>
      <c r="BZ132" s="44" t="n">
        <v>0.00113998</v>
      </c>
      <c r="CA132" s="44" t="n">
        <v>0.0122499</v>
      </c>
      <c r="CB132" s="44" t="n">
        <v>0.00408341</v>
      </c>
      <c r="CC132" s="44" t="n">
        <v>0.00111058</v>
      </c>
      <c r="CD132" s="44" t="n">
        <v>0.0122499</v>
      </c>
      <c r="CE132" s="44" t="n">
        <v>0.00336469</v>
      </c>
      <c r="CF132" s="44" t="n">
        <v>0.00110434</v>
      </c>
      <c r="CG132" s="44" t="n">
        <v>0.0122499</v>
      </c>
      <c r="CH132" s="44" t="n">
        <v>0.0044719</v>
      </c>
      <c r="CI132" s="44" t="n">
        <v>0.00111876</v>
      </c>
      <c r="CJ132" s="44" t="n">
        <v>0.0122499</v>
      </c>
      <c r="CK132" s="44" t="n">
        <v>0.00411944</v>
      </c>
      <c r="CL132" s="44" t="n">
        <v>0.00111851</v>
      </c>
      <c r="CM132" s="44" t="n">
        <v>0.0122499</v>
      </c>
      <c r="CN132" s="44" t="n">
        <v>0.00378339</v>
      </c>
      <c r="CO132" s="44" t="n">
        <v>0.0010854</v>
      </c>
      <c r="CP132" s="44" t="n">
        <v>0.0122499</v>
      </c>
      <c r="CQ132" s="44" t="n">
        <v>0.00314856</v>
      </c>
      <c r="CR132" s="44" t="n">
        <v>0.00110095</v>
      </c>
      <c r="CS132" s="44" t="n">
        <v>0.0122499</v>
      </c>
      <c r="CT132" s="44" t="n">
        <v>0.00408109</v>
      </c>
      <c r="CU132" s="44" t="n">
        <v>0.00111884</v>
      </c>
      <c r="CV132" s="44" t="n">
        <v>0.0122499</v>
      </c>
      <c r="CW132" s="44" t="n">
        <v>0.00342239</v>
      </c>
      <c r="CX132" s="44" t="n">
        <v>0.00109238</v>
      </c>
    </row>
    <row collapsed="false" customFormat="false" customHeight="false" hidden="false" ht="12.75" outlineLevel="0" r="133">
      <c r="A133" s="44" t="n">
        <v>0.0123499</v>
      </c>
      <c r="B133" s="44" t="n">
        <v>0.00477486</v>
      </c>
      <c r="C133" s="44" t="n">
        <v>0.00100292</v>
      </c>
      <c r="D133" s="44" t="n">
        <v>0.0123499</v>
      </c>
      <c r="E133" s="44" t="n">
        <v>0.00411051</v>
      </c>
      <c r="F133" s="44" t="n">
        <v>0.000994952</v>
      </c>
      <c r="G133" s="44" t="n">
        <v>0.0123499</v>
      </c>
      <c r="H133" s="44" t="n">
        <v>0.00447645</v>
      </c>
      <c r="I133" s="44" t="n">
        <v>0.00105252</v>
      </c>
      <c r="J133" s="44" t="n">
        <v>0.0123499</v>
      </c>
      <c r="K133" s="44" t="n">
        <v>0.00467429</v>
      </c>
      <c r="L133" s="44" t="n">
        <v>0.000982683</v>
      </c>
      <c r="M133" s="44" t="n">
        <v>0.0123499</v>
      </c>
      <c r="N133" s="44" t="n">
        <v>0.00395216</v>
      </c>
      <c r="O133" s="44" t="n">
        <v>0.000989216</v>
      </c>
      <c r="P133" s="44" t="n">
        <v>0.0123499</v>
      </c>
      <c r="Q133" s="44" t="n">
        <v>0.00389762</v>
      </c>
      <c r="R133" s="44" t="n">
        <v>0.00104748</v>
      </c>
      <c r="S133" s="44" t="n">
        <v>0.0123499</v>
      </c>
      <c r="T133" s="44" t="n">
        <v>0.00498613</v>
      </c>
      <c r="U133" s="44" t="n">
        <v>0.00102543</v>
      </c>
      <c r="V133" s="44" t="n">
        <v>0.0123499</v>
      </c>
      <c r="W133" s="44" t="n">
        <v>0.00414516</v>
      </c>
      <c r="X133" s="44" t="n">
        <v>0.0010407</v>
      </c>
      <c r="Y133" s="44" t="n">
        <v>0.0123499</v>
      </c>
      <c r="Z133" s="44" t="n">
        <v>0.00466175</v>
      </c>
      <c r="AA133" s="44" t="n">
        <v>0.00107354</v>
      </c>
      <c r="AB133" s="44" t="n">
        <v>0.0123499</v>
      </c>
      <c r="AC133" s="44" t="n">
        <v>0.00447307</v>
      </c>
      <c r="AD133" s="44" t="n">
        <v>0.00100316</v>
      </c>
      <c r="AE133" s="44" t="n">
        <v>0.0123499</v>
      </c>
      <c r="AF133" s="44" t="n">
        <v>0.00416738</v>
      </c>
      <c r="AG133" s="44" t="n">
        <v>0.00105114</v>
      </c>
      <c r="AH133" s="44" t="n">
        <v>0.0123499</v>
      </c>
      <c r="AI133" s="44" t="n">
        <v>0.00402858</v>
      </c>
      <c r="AJ133" s="44" t="n">
        <v>0.00101464</v>
      </c>
      <c r="AK133" s="44" t="n">
        <v>0.0123499</v>
      </c>
      <c r="AL133" s="44" t="n">
        <v>0.00387242</v>
      </c>
      <c r="AM133" s="44" t="n">
        <v>0.00103879</v>
      </c>
      <c r="AN133" s="44" t="n">
        <v>0.0123499</v>
      </c>
      <c r="AO133" s="44" t="n">
        <v>0.00404164</v>
      </c>
      <c r="AP133" s="44" t="n">
        <v>0.00108849</v>
      </c>
      <c r="AQ133" s="44" t="n">
        <v>0.0123499</v>
      </c>
      <c r="AR133" s="44" t="n">
        <v>0.00362914</v>
      </c>
      <c r="AS133" s="44" t="n">
        <v>0.00104944</v>
      </c>
      <c r="AT133" s="44" t="n">
        <v>0.0123499</v>
      </c>
      <c r="AU133" s="44" t="n">
        <v>0.00371625</v>
      </c>
      <c r="AV133" s="44" t="n">
        <v>0.000986266</v>
      </c>
      <c r="AW133" s="44" t="n">
        <v>0.0123499</v>
      </c>
      <c r="AX133" s="44" t="n">
        <v>0.00344527</v>
      </c>
      <c r="AY133" s="44" t="n">
        <v>0.000997902</v>
      </c>
      <c r="AZ133" s="44" t="n">
        <v>0.0123499</v>
      </c>
      <c r="BA133" s="44" t="n">
        <v>0.00340893</v>
      </c>
      <c r="BB133" s="44" t="n">
        <v>0.00109166</v>
      </c>
      <c r="BC133" s="44" t="n">
        <v>0.0123499</v>
      </c>
      <c r="BD133" s="44" t="n">
        <v>0.00424166</v>
      </c>
      <c r="BE133" s="44" t="n">
        <v>0.00104207</v>
      </c>
      <c r="BF133" s="44" t="n">
        <v>0.0123499</v>
      </c>
      <c r="BG133" s="44" t="n">
        <v>0.00438409</v>
      </c>
      <c r="BH133" s="44" t="n">
        <v>0.00104845</v>
      </c>
      <c r="BI133" s="44" t="n">
        <v>0.0123499</v>
      </c>
      <c r="BJ133" s="44" t="n">
        <v>0.00402467</v>
      </c>
      <c r="BK133" s="44" t="n">
        <v>0.0010461</v>
      </c>
      <c r="BL133" s="44" t="n">
        <v>0.0123499</v>
      </c>
      <c r="BM133" s="44" t="n">
        <v>0.00430137</v>
      </c>
      <c r="BN133" s="44" t="n">
        <v>0.00104023</v>
      </c>
      <c r="BO133" s="44" t="n">
        <v>0.0123499</v>
      </c>
      <c r="BP133" s="44" t="n">
        <v>0.00395735</v>
      </c>
      <c r="BQ133" s="44" t="n">
        <v>0.0010342</v>
      </c>
      <c r="BR133" s="44" t="n">
        <v>0.0123499</v>
      </c>
      <c r="BS133" s="44" t="n">
        <v>0.00358418</v>
      </c>
      <c r="BT133" s="44" t="n">
        <v>0.00109305</v>
      </c>
      <c r="BU133" s="44" t="n">
        <v>0.0123499</v>
      </c>
      <c r="BV133" s="44" t="n">
        <v>0.00444493</v>
      </c>
      <c r="BW133" s="44" t="n">
        <v>0.00109259</v>
      </c>
      <c r="BX133" s="44" t="n">
        <v>0.0123499</v>
      </c>
      <c r="BY133" s="44" t="n">
        <v>0.0042951</v>
      </c>
      <c r="BZ133" s="44" t="n">
        <v>0.00105013</v>
      </c>
      <c r="CA133" s="44" t="n">
        <v>0.0123499</v>
      </c>
      <c r="CB133" s="44" t="n">
        <v>0.00358536</v>
      </c>
      <c r="CC133" s="44" t="n">
        <v>0.00103441</v>
      </c>
      <c r="CD133" s="44" t="n">
        <v>0.0123499</v>
      </c>
      <c r="CE133" s="44" t="n">
        <v>0.00319867</v>
      </c>
      <c r="CF133" s="44" t="n">
        <v>0.00103598</v>
      </c>
      <c r="CG133" s="44" t="n">
        <v>0.0123499</v>
      </c>
      <c r="CH133" s="44" t="n">
        <v>0.00422288</v>
      </c>
      <c r="CI133" s="44" t="n">
        <v>0.00104845</v>
      </c>
      <c r="CJ133" s="44" t="n">
        <v>0.0123499</v>
      </c>
      <c r="CK133" s="44" t="n">
        <v>0.00396319</v>
      </c>
      <c r="CL133" s="44" t="n">
        <v>0.00105113</v>
      </c>
      <c r="CM133" s="44" t="n">
        <v>0.0123499</v>
      </c>
      <c r="CN133" s="44" t="n">
        <v>0.00362225</v>
      </c>
      <c r="CO133" s="44" t="n">
        <v>0.00102485</v>
      </c>
      <c r="CP133" s="44" t="n">
        <v>0.0123499</v>
      </c>
      <c r="CQ133" s="44" t="n">
        <v>0.00308509</v>
      </c>
      <c r="CR133" s="44" t="n">
        <v>0.00101989</v>
      </c>
      <c r="CS133" s="44" t="n">
        <v>0.0123499</v>
      </c>
      <c r="CT133" s="44" t="n">
        <v>0.00391995</v>
      </c>
      <c r="CU133" s="44" t="n">
        <v>0.00106123</v>
      </c>
      <c r="CV133" s="44" t="n">
        <v>0.0123499</v>
      </c>
      <c r="CW133" s="44" t="n">
        <v>0.00338333</v>
      </c>
      <c r="CX133" s="44" t="n">
        <v>0.00101231</v>
      </c>
    </row>
    <row collapsed="false" customFormat="false" customHeight="false" hidden="false" ht="12.75" outlineLevel="0" r="134">
      <c r="A134" s="44" t="n">
        <v>0.0124499</v>
      </c>
      <c r="B134" s="44" t="n">
        <v>0.00450142</v>
      </c>
      <c r="C134" s="44" t="n">
        <v>0.000935538</v>
      </c>
      <c r="D134" s="44" t="n">
        <v>0.0124499</v>
      </c>
      <c r="E134" s="44" t="n">
        <v>0.00390543</v>
      </c>
      <c r="F134" s="44" t="n">
        <v>0.000928546</v>
      </c>
      <c r="G134" s="44" t="n">
        <v>0.0124499</v>
      </c>
      <c r="H134" s="44" t="n">
        <v>0.00420301</v>
      </c>
      <c r="I134" s="44" t="n">
        <v>0.000976349</v>
      </c>
      <c r="J134" s="44" t="n">
        <v>0.0124499</v>
      </c>
      <c r="K134" s="44" t="n">
        <v>0.00436668</v>
      </c>
      <c r="L134" s="44" t="n">
        <v>0.000928972</v>
      </c>
      <c r="M134" s="44" t="n">
        <v>0.0124499</v>
      </c>
      <c r="N134" s="44" t="n">
        <v>0.00382521</v>
      </c>
      <c r="O134" s="44" t="n">
        <v>0.000945271</v>
      </c>
      <c r="P134" s="44" t="n">
        <v>0.0124499</v>
      </c>
      <c r="Q134" s="44" t="n">
        <v>0.00383903</v>
      </c>
      <c r="R134" s="44" t="n">
        <v>0.000985954</v>
      </c>
      <c r="S134" s="44" t="n">
        <v>0.0124499</v>
      </c>
      <c r="T134" s="44" t="n">
        <v>0.00466386</v>
      </c>
      <c r="U134" s="44" t="n">
        <v>0.000957068</v>
      </c>
      <c r="V134" s="44" t="n">
        <v>0.0124499</v>
      </c>
      <c r="W134" s="44" t="n">
        <v>0.00360805</v>
      </c>
      <c r="X134" s="44" t="n">
        <v>0.000968435</v>
      </c>
      <c r="Y134" s="44" t="n">
        <v>0.0124499</v>
      </c>
      <c r="Z134" s="44" t="n">
        <v>0.00451038</v>
      </c>
      <c r="AA134" s="44" t="n">
        <v>0.000993464</v>
      </c>
      <c r="AB134" s="44" t="n">
        <v>0.0124499</v>
      </c>
      <c r="AC134" s="44" t="n">
        <v>0.00352092</v>
      </c>
      <c r="AD134" s="44" t="n">
        <v>0.000962146</v>
      </c>
      <c r="AE134" s="44" t="n">
        <v>0.0124499</v>
      </c>
      <c r="AF134" s="44" t="n">
        <v>0.00418692</v>
      </c>
      <c r="AG134" s="44" t="n">
        <v>0.000970085</v>
      </c>
      <c r="AH134" s="44" t="n">
        <v>0.0124499</v>
      </c>
      <c r="AI134" s="44" t="n">
        <v>0.00427761</v>
      </c>
      <c r="AJ134" s="44" t="n">
        <v>0.000954094</v>
      </c>
      <c r="AK134" s="44" t="n">
        <v>0.0124499</v>
      </c>
      <c r="AL134" s="44" t="n">
        <v>0.00401402</v>
      </c>
      <c r="AM134" s="44" t="n">
        <v>0.000979215</v>
      </c>
      <c r="AN134" s="44" t="n">
        <v>0.0124499</v>
      </c>
      <c r="AO134" s="44" t="n">
        <v>0.00414418</v>
      </c>
      <c r="AP134" s="44" t="n">
        <v>0.00100744</v>
      </c>
      <c r="AQ134" s="44" t="n">
        <v>0.0124499</v>
      </c>
      <c r="AR134" s="44" t="n">
        <v>0.00328246</v>
      </c>
      <c r="AS134" s="44" t="n">
        <v>0.000987921</v>
      </c>
      <c r="AT134" s="44" t="n">
        <v>0.0124499</v>
      </c>
      <c r="AU134" s="44" t="n">
        <v>0.00338422</v>
      </c>
      <c r="AV134" s="44" t="n">
        <v>0.000953063</v>
      </c>
      <c r="AW134" s="44" t="n">
        <v>0.0124499</v>
      </c>
      <c r="AX134" s="44" t="n">
        <v>0.00337691</v>
      </c>
      <c r="AY134" s="44" t="n">
        <v>0.000937355</v>
      </c>
      <c r="AZ134" s="44" t="n">
        <v>0.0124499</v>
      </c>
      <c r="BA134" s="44" t="n">
        <v>0.00348217</v>
      </c>
      <c r="BB134" s="44" t="n">
        <v>0.00099986</v>
      </c>
      <c r="BC134" s="44" t="n">
        <v>0.0124499</v>
      </c>
      <c r="BD134" s="44" t="n">
        <v>0.00423189</v>
      </c>
      <c r="BE134" s="44" t="n">
        <v>0.00099129</v>
      </c>
      <c r="BF134" s="44" t="n">
        <v>0.0124499</v>
      </c>
      <c r="BG134" s="44" t="n">
        <v>0.00436456</v>
      </c>
      <c r="BH134" s="44" t="n">
        <v>0.000964469</v>
      </c>
      <c r="BI134" s="44" t="n">
        <v>0.0124499</v>
      </c>
      <c r="BJ134" s="44" t="n">
        <v>0.00384401</v>
      </c>
      <c r="BK134" s="44" t="n">
        <v>0.000960162</v>
      </c>
      <c r="BL134" s="44" t="n">
        <v>0.0124499</v>
      </c>
      <c r="BM134" s="44" t="n">
        <v>0.00394493</v>
      </c>
      <c r="BN134" s="44" t="n">
        <v>0.000966012</v>
      </c>
      <c r="BO134" s="44" t="n">
        <v>0.0124499</v>
      </c>
      <c r="BP134" s="44" t="n">
        <v>0.00380598</v>
      </c>
      <c r="BQ134" s="44" t="n">
        <v>0.000959982</v>
      </c>
      <c r="BR134" s="44" t="n">
        <v>0.0124499</v>
      </c>
      <c r="BS134" s="44" t="n">
        <v>0.00352558</v>
      </c>
      <c r="BT134" s="44" t="n">
        <v>0.00102469</v>
      </c>
      <c r="BU134" s="44" t="n">
        <v>0.0124499</v>
      </c>
      <c r="BV134" s="44" t="n">
        <v>0.0043961</v>
      </c>
      <c r="BW134" s="44" t="n">
        <v>0.00101349</v>
      </c>
      <c r="BX134" s="44" t="n">
        <v>0.0124499</v>
      </c>
      <c r="BY134" s="44" t="n">
        <v>0.00357733</v>
      </c>
      <c r="BZ134" s="44" t="n">
        <v>0.00100521</v>
      </c>
      <c r="CA134" s="44" t="n">
        <v>0.0124499</v>
      </c>
      <c r="CB134" s="44" t="n">
        <v>0.00398087</v>
      </c>
      <c r="CC134" s="44" t="n">
        <v>0.000966051</v>
      </c>
      <c r="CD134" s="44" t="n">
        <v>0.0124499</v>
      </c>
      <c r="CE134" s="44" t="n">
        <v>0.00328656</v>
      </c>
      <c r="CF134" s="44" t="n">
        <v>0.000951993</v>
      </c>
      <c r="CG134" s="44" t="n">
        <v>0.0124499</v>
      </c>
      <c r="CH134" s="44" t="n">
        <v>0.00421311</v>
      </c>
      <c r="CI134" s="44" t="n">
        <v>0.000947862</v>
      </c>
      <c r="CJ134" s="44" t="n">
        <v>0.0124499</v>
      </c>
      <c r="CK134" s="44" t="n">
        <v>0.00394366</v>
      </c>
      <c r="CL134" s="44" t="n">
        <v>0.000971051</v>
      </c>
      <c r="CM134" s="44" t="n">
        <v>0.0124499</v>
      </c>
      <c r="CN134" s="44" t="n">
        <v>0.00356854</v>
      </c>
      <c r="CO134" s="44" t="n">
        <v>0.00094673</v>
      </c>
      <c r="CP134" s="44" t="n">
        <v>0.0124499</v>
      </c>
      <c r="CQ134" s="44" t="n">
        <v>0.00288001</v>
      </c>
      <c r="CR134" s="44" t="n">
        <v>0.000942745</v>
      </c>
      <c r="CS134" s="44" t="n">
        <v>0.0124499</v>
      </c>
      <c r="CT134" s="44" t="n">
        <v>0.003793</v>
      </c>
      <c r="CU134" s="44" t="n">
        <v>0.000981148</v>
      </c>
      <c r="CV134" s="44" t="n">
        <v>0.0124499</v>
      </c>
      <c r="CW134" s="44" t="n">
        <v>0.00276321</v>
      </c>
      <c r="CX134" s="44" t="n">
        <v>0.00093711</v>
      </c>
    </row>
    <row collapsed="false" customFormat="false" customHeight="false" hidden="false" ht="12.75" outlineLevel="0" r="135">
      <c r="A135" s="44" t="s">
        <v>118</v>
      </c>
      <c r="B135" s="44" t="s">
        <v>119</v>
      </c>
      <c r="D135" s="44" t="s">
        <v>118</v>
      </c>
      <c r="E135" s="44" t="s">
        <v>119</v>
      </c>
      <c r="G135" s="44" t="s">
        <v>118</v>
      </c>
      <c r="H135" s="44" t="s">
        <v>119</v>
      </c>
      <c r="J135" s="44" t="s">
        <v>118</v>
      </c>
      <c r="K135" s="44" t="s">
        <v>119</v>
      </c>
      <c r="M135" s="44" t="s">
        <v>118</v>
      </c>
      <c r="N135" s="44" t="s">
        <v>119</v>
      </c>
      <c r="P135" s="44" t="s">
        <v>118</v>
      </c>
      <c r="Q135" s="44" t="s">
        <v>119</v>
      </c>
      <c r="S135" s="44" t="s">
        <v>118</v>
      </c>
      <c r="T135" s="44" t="s">
        <v>119</v>
      </c>
      <c r="V135" s="44" t="s">
        <v>118</v>
      </c>
      <c r="W135" s="44" t="s">
        <v>119</v>
      </c>
      <c r="Y135" s="44" t="s">
        <v>118</v>
      </c>
      <c r="Z135" s="44" t="s">
        <v>119</v>
      </c>
      <c r="AB135" s="44" t="s">
        <v>118</v>
      </c>
      <c r="AC135" s="44" t="s">
        <v>119</v>
      </c>
      <c r="AE135" s="44" t="s">
        <v>118</v>
      </c>
      <c r="AF135" s="44" t="s">
        <v>119</v>
      </c>
      <c r="AH135" s="44" t="s">
        <v>118</v>
      </c>
      <c r="AI135" s="44" t="s">
        <v>119</v>
      </c>
      <c r="AK135" s="44" t="s">
        <v>118</v>
      </c>
      <c r="AL135" s="44" t="s">
        <v>119</v>
      </c>
      <c r="AN135" s="44" t="s">
        <v>118</v>
      </c>
      <c r="AO135" s="44" t="s">
        <v>119</v>
      </c>
      <c r="AQ135" s="44" t="s">
        <v>118</v>
      </c>
      <c r="AR135" s="44" t="s">
        <v>119</v>
      </c>
      <c r="AT135" s="44" t="s">
        <v>118</v>
      </c>
      <c r="AU135" s="44" t="s">
        <v>119</v>
      </c>
      <c r="AW135" s="44" t="s">
        <v>118</v>
      </c>
      <c r="AX135" s="44" t="s">
        <v>119</v>
      </c>
      <c r="AZ135" s="44" t="s">
        <v>118</v>
      </c>
      <c r="BA135" s="44" t="s">
        <v>119</v>
      </c>
      <c r="BC135" s="44" t="s">
        <v>118</v>
      </c>
      <c r="BD135" s="44" t="s">
        <v>119</v>
      </c>
      <c r="BF135" s="44" t="s">
        <v>118</v>
      </c>
      <c r="BG135" s="44" t="s">
        <v>119</v>
      </c>
      <c r="BI135" s="44" t="s">
        <v>118</v>
      </c>
      <c r="BJ135" s="44" t="s">
        <v>119</v>
      </c>
      <c r="BL135" s="44" t="s">
        <v>118</v>
      </c>
      <c r="BM135" s="44" t="s">
        <v>119</v>
      </c>
      <c r="BO135" s="44" t="s">
        <v>118</v>
      </c>
      <c r="BP135" s="44" t="s">
        <v>119</v>
      </c>
      <c r="BR135" s="44" t="s">
        <v>118</v>
      </c>
      <c r="BS135" s="44" t="s">
        <v>119</v>
      </c>
      <c r="BU135" s="44" t="s">
        <v>118</v>
      </c>
      <c r="BV135" s="44" t="s">
        <v>119</v>
      </c>
      <c r="BX135" s="44" t="s">
        <v>118</v>
      </c>
      <c r="BY135" s="44" t="s">
        <v>119</v>
      </c>
      <c r="CA135" s="44" t="s">
        <v>118</v>
      </c>
      <c r="CB135" s="44" t="s">
        <v>119</v>
      </c>
      <c r="CD135" s="44" t="s">
        <v>118</v>
      </c>
      <c r="CE135" s="44" t="s">
        <v>119</v>
      </c>
      <c r="CG135" s="44" t="s">
        <v>118</v>
      </c>
      <c r="CH135" s="44" t="s">
        <v>119</v>
      </c>
      <c r="CJ135" s="44" t="s">
        <v>118</v>
      </c>
      <c r="CK135" s="44" t="s">
        <v>119</v>
      </c>
      <c r="CM135" s="44" t="s">
        <v>118</v>
      </c>
      <c r="CN135" s="44" t="s">
        <v>119</v>
      </c>
      <c r="CP135" s="44" t="s">
        <v>118</v>
      </c>
      <c r="CQ135" s="44" t="s">
        <v>119</v>
      </c>
      <c r="CS135" s="44" t="s">
        <v>118</v>
      </c>
      <c r="CT135" s="44" t="s">
        <v>119</v>
      </c>
      <c r="CV135" s="44" t="s">
        <v>118</v>
      </c>
      <c r="CW135" s="44" t="s">
        <v>119</v>
      </c>
    </row>
    <row collapsed="false" customFormat="false" customHeight="false" hidden="false" ht="12.75" outlineLevel="0" r="137">
      <c r="A137" s="44" t="s">
        <v>120</v>
      </c>
      <c r="B137" s="44" t="s">
        <v>121</v>
      </c>
      <c r="D137" s="44" t="s">
        <v>120</v>
      </c>
      <c r="E137" s="44" t="s">
        <v>121</v>
      </c>
      <c r="G137" s="44" t="s">
        <v>120</v>
      </c>
      <c r="H137" s="44" t="s">
        <v>121</v>
      </c>
      <c r="J137" s="44" t="s">
        <v>120</v>
      </c>
      <c r="K137" s="44" t="s">
        <v>121</v>
      </c>
      <c r="M137" s="44" t="s">
        <v>120</v>
      </c>
      <c r="N137" s="44" t="s">
        <v>121</v>
      </c>
      <c r="P137" s="44" t="s">
        <v>120</v>
      </c>
      <c r="Q137" s="44" t="s">
        <v>121</v>
      </c>
      <c r="S137" s="44" t="s">
        <v>120</v>
      </c>
      <c r="T137" s="44" t="s">
        <v>121</v>
      </c>
      <c r="V137" s="44" t="s">
        <v>120</v>
      </c>
      <c r="W137" s="44" t="s">
        <v>121</v>
      </c>
      <c r="Y137" s="44" t="s">
        <v>120</v>
      </c>
      <c r="Z137" s="44" t="s">
        <v>121</v>
      </c>
      <c r="AB137" s="44" t="s">
        <v>120</v>
      </c>
      <c r="AC137" s="44" t="s">
        <v>121</v>
      </c>
      <c r="AE137" s="44" t="s">
        <v>120</v>
      </c>
      <c r="AF137" s="44" t="s">
        <v>121</v>
      </c>
      <c r="AH137" s="44" t="s">
        <v>120</v>
      </c>
      <c r="AI137" s="44" t="s">
        <v>121</v>
      </c>
      <c r="AK137" s="44" t="s">
        <v>120</v>
      </c>
      <c r="AL137" s="44" t="s">
        <v>121</v>
      </c>
      <c r="AN137" s="44" t="s">
        <v>120</v>
      </c>
      <c r="AO137" s="44" t="s">
        <v>121</v>
      </c>
      <c r="AQ137" s="44" t="s">
        <v>120</v>
      </c>
      <c r="AR137" s="44" t="s">
        <v>121</v>
      </c>
      <c r="AT137" s="44" t="s">
        <v>120</v>
      </c>
      <c r="AU137" s="44" t="s">
        <v>121</v>
      </c>
      <c r="AW137" s="44" t="s">
        <v>120</v>
      </c>
      <c r="AX137" s="44" t="s">
        <v>121</v>
      </c>
      <c r="AZ137" s="44" t="s">
        <v>120</v>
      </c>
      <c r="BA137" s="44" t="s">
        <v>121</v>
      </c>
      <c r="BC137" s="44" t="s">
        <v>120</v>
      </c>
      <c r="BD137" s="44" t="s">
        <v>121</v>
      </c>
      <c r="BF137" s="44" t="s">
        <v>120</v>
      </c>
      <c r="BG137" s="44" t="s">
        <v>121</v>
      </c>
      <c r="BI137" s="44" t="s">
        <v>120</v>
      </c>
      <c r="BJ137" s="44" t="s">
        <v>121</v>
      </c>
      <c r="BL137" s="44" t="s">
        <v>120</v>
      </c>
      <c r="BM137" s="44" t="s">
        <v>121</v>
      </c>
      <c r="BO137" s="44" t="s">
        <v>120</v>
      </c>
      <c r="BP137" s="44" t="s">
        <v>121</v>
      </c>
      <c r="BR137" s="44" t="s">
        <v>120</v>
      </c>
      <c r="BS137" s="44" t="s">
        <v>121</v>
      </c>
      <c r="BU137" s="44" t="s">
        <v>120</v>
      </c>
      <c r="BV137" s="44" t="s">
        <v>121</v>
      </c>
      <c r="BX137" s="44" t="s">
        <v>120</v>
      </c>
      <c r="BY137" s="44" t="s">
        <v>121</v>
      </c>
      <c r="CA137" s="44" t="s">
        <v>120</v>
      </c>
      <c r="CB137" s="44" t="s">
        <v>121</v>
      </c>
      <c r="CD137" s="44" t="s">
        <v>120</v>
      </c>
      <c r="CE137" s="44" t="s">
        <v>121</v>
      </c>
      <c r="CG137" s="44" t="s">
        <v>120</v>
      </c>
      <c r="CH137" s="44" t="s">
        <v>121</v>
      </c>
      <c r="CJ137" s="44" t="s">
        <v>120</v>
      </c>
      <c r="CK137" s="44" t="s">
        <v>121</v>
      </c>
      <c r="CM137" s="44" t="s">
        <v>120</v>
      </c>
      <c r="CN137" s="44" t="s">
        <v>121</v>
      </c>
      <c r="CP137" s="44" t="s">
        <v>120</v>
      </c>
      <c r="CQ137" s="44" t="s">
        <v>121</v>
      </c>
      <c r="CS137" s="44" t="s">
        <v>120</v>
      </c>
      <c r="CT137" s="44" t="s">
        <v>121</v>
      </c>
      <c r="CV137" s="44" t="s">
        <v>120</v>
      </c>
      <c r="CW137" s="44" t="s">
        <v>121</v>
      </c>
    </row>
    <row collapsed="false" customFormat="false" customHeight="false" hidden="false" ht="12.75" outlineLevel="0" r="139">
      <c r="A139" s="44" t="s">
        <v>122</v>
      </c>
      <c r="B139" s="44" t="n">
        <v>5</v>
      </c>
      <c r="D139" s="44" t="s">
        <v>122</v>
      </c>
      <c r="E139" s="44" t="n">
        <v>5</v>
      </c>
      <c r="G139" s="44" t="s">
        <v>122</v>
      </c>
      <c r="H139" s="44" t="n">
        <v>5</v>
      </c>
      <c r="J139" s="44" t="s">
        <v>122</v>
      </c>
      <c r="K139" s="44" t="n">
        <v>5</v>
      </c>
      <c r="M139" s="44" t="s">
        <v>122</v>
      </c>
      <c r="N139" s="44" t="n">
        <v>5</v>
      </c>
      <c r="P139" s="44" t="s">
        <v>122</v>
      </c>
      <c r="Q139" s="44" t="n">
        <v>5</v>
      </c>
      <c r="S139" s="44" t="s">
        <v>122</v>
      </c>
      <c r="T139" s="44" t="n">
        <v>5</v>
      </c>
      <c r="V139" s="44" t="s">
        <v>122</v>
      </c>
      <c r="W139" s="44" t="n">
        <v>5</v>
      </c>
      <c r="Y139" s="44" t="s">
        <v>122</v>
      </c>
      <c r="Z139" s="44" t="n">
        <v>5</v>
      </c>
      <c r="AB139" s="44" t="s">
        <v>122</v>
      </c>
      <c r="AC139" s="44" t="n">
        <v>5</v>
      </c>
      <c r="AE139" s="44" t="s">
        <v>122</v>
      </c>
      <c r="AF139" s="44" t="n">
        <v>5</v>
      </c>
      <c r="AH139" s="44" t="s">
        <v>122</v>
      </c>
      <c r="AI139" s="44" t="n">
        <v>5</v>
      </c>
      <c r="AK139" s="44" t="s">
        <v>122</v>
      </c>
      <c r="AL139" s="44" t="n">
        <v>5</v>
      </c>
      <c r="AN139" s="44" t="s">
        <v>122</v>
      </c>
      <c r="AO139" s="44" t="n">
        <v>5</v>
      </c>
      <c r="AQ139" s="44" t="s">
        <v>122</v>
      </c>
      <c r="AR139" s="44" t="n">
        <v>5</v>
      </c>
      <c r="AT139" s="44" t="s">
        <v>122</v>
      </c>
      <c r="AU139" s="44" t="n">
        <v>5</v>
      </c>
      <c r="AW139" s="44" t="s">
        <v>122</v>
      </c>
      <c r="AX139" s="44" t="n">
        <v>5</v>
      </c>
      <c r="AZ139" s="44" t="s">
        <v>122</v>
      </c>
      <c r="BA139" s="44" t="n">
        <v>5</v>
      </c>
      <c r="BC139" s="44" t="s">
        <v>122</v>
      </c>
      <c r="BD139" s="44" t="n">
        <v>5</v>
      </c>
      <c r="BF139" s="44" t="s">
        <v>122</v>
      </c>
      <c r="BG139" s="44" t="n">
        <v>5</v>
      </c>
      <c r="BI139" s="44" t="s">
        <v>122</v>
      </c>
      <c r="BJ139" s="44" t="n">
        <v>5</v>
      </c>
      <c r="BL139" s="44" t="s">
        <v>122</v>
      </c>
      <c r="BM139" s="44" t="n">
        <v>5</v>
      </c>
      <c r="BO139" s="44" t="s">
        <v>122</v>
      </c>
      <c r="BP139" s="44" t="n">
        <v>5</v>
      </c>
      <c r="BR139" s="44" t="s">
        <v>122</v>
      </c>
      <c r="BS139" s="44" t="n">
        <v>5</v>
      </c>
      <c r="BU139" s="44" t="s">
        <v>122</v>
      </c>
      <c r="BV139" s="44" t="n">
        <v>5</v>
      </c>
      <c r="BX139" s="44" t="s">
        <v>122</v>
      </c>
      <c r="BY139" s="44" t="n">
        <v>5</v>
      </c>
      <c r="CA139" s="44" t="s">
        <v>122</v>
      </c>
      <c r="CB139" s="44" t="n">
        <v>5</v>
      </c>
      <c r="CD139" s="44" t="s">
        <v>122</v>
      </c>
      <c r="CE139" s="44" t="n">
        <v>5</v>
      </c>
      <c r="CG139" s="44" t="s">
        <v>122</v>
      </c>
      <c r="CH139" s="44" t="n">
        <v>5</v>
      </c>
      <c r="CJ139" s="44" t="s">
        <v>122</v>
      </c>
      <c r="CK139" s="44" t="n">
        <v>5</v>
      </c>
      <c r="CM139" s="44" t="s">
        <v>122</v>
      </c>
      <c r="CN139" s="44" t="n">
        <v>5</v>
      </c>
      <c r="CP139" s="44" t="s">
        <v>122</v>
      </c>
      <c r="CQ139" s="44" t="n">
        <v>5</v>
      </c>
      <c r="CS139" s="44" t="s">
        <v>122</v>
      </c>
      <c r="CT139" s="44" t="n">
        <v>5</v>
      </c>
      <c r="CV139" s="44" t="s">
        <v>122</v>
      </c>
      <c r="CW139" s="44" t="n">
        <v>5</v>
      </c>
    </row>
    <row collapsed="false" customFormat="false" customHeight="false" hidden="false" ht="12.75" outlineLevel="0" r="141">
      <c r="A141" s="44" t="s">
        <v>123</v>
      </c>
      <c r="B141" s="44" t="n">
        <v>5</v>
      </c>
      <c r="D141" s="44" t="s">
        <v>123</v>
      </c>
      <c r="E141" s="44" t="n">
        <v>5</v>
      </c>
      <c r="G141" s="44" t="s">
        <v>123</v>
      </c>
      <c r="H141" s="44" t="n">
        <v>5</v>
      </c>
      <c r="J141" s="44" t="s">
        <v>123</v>
      </c>
      <c r="K141" s="44" t="n">
        <v>5</v>
      </c>
      <c r="M141" s="44" t="s">
        <v>123</v>
      </c>
      <c r="N141" s="44" t="n">
        <v>5</v>
      </c>
      <c r="P141" s="44" t="s">
        <v>123</v>
      </c>
      <c r="Q141" s="44" t="n">
        <v>5</v>
      </c>
      <c r="S141" s="44" t="s">
        <v>123</v>
      </c>
      <c r="T141" s="44" t="n">
        <v>5</v>
      </c>
      <c r="V141" s="44" t="s">
        <v>123</v>
      </c>
      <c r="W141" s="44" t="n">
        <v>5</v>
      </c>
      <c r="Y141" s="44" t="s">
        <v>123</v>
      </c>
      <c r="Z141" s="44" t="n">
        <v>5</v>
      </c>
      <c r="AB141" s="44" t="s">
        <v>123</v>
      </c>
      <c r="AC141" s="44" t="n">
        <v>5</v>
      </c>
      <c r="AE141" s="44" t="s">
        <v>123</v>
      </c>
      <c r="AF141" s="44" t="n">
        <v>5</v>
      </c>
      <c r="AH141" s="44" t="s">
        <v>123</v>
      </c>
      <c r="AI141" s="44" t="n">
        <v>5</v>
      </c>
      <c r="AK141" s="44" t="s">
        <v>123</v>
      </c>
      <c r="AL141" s="44" t="n">
        <v>5</v>
      </c>
      <c r="AN141" s="44" t="s">
        <v>123</v>
      </c>
      <c r="AO141" s="44" t="n">
        <v>5</v>
      </c>
      <c r="AQ141" s="44" t="s">
        <v>123</v>
      </c>
      <c r="AR141" s="44" t="n">
        <v>5</v>
      </c>
      <c r="AT141" s="44" t="s">
        <v>123</v>
      </c>
      <c r="AU141" s="44" t="n">
        <v>5</v>
      </c>
      <c r="AW141" s="44" t="s">
        <v>123</v>
      </c>
      <c r="AX141" s="44" t="n">
        <v>5</v>
      </c>
      <c r="AZ141" s="44" t="s">
        <v>123</v>
      </c>
      <c r="BA141" s="44" t="n">
        <v>5</v>
      </c>
      <c r="BC141" s="44" t="s">
        <v>123</v>
      </c>
      <c r="BD141" s="44" t="n">
        <v>5</v>
      </c>
      <c r="BF141" s="44" t="s">
        <v>123</v>
      </c>
      <c r="BG141" s="44" t="n">
        <v>5</v>
      </c>
      <c r="BI141" s="44" t="s">
        <v>123</v>
      </c>
      <c r="BJ141" s="44" t="n">
        <v>5</v>
      </c>
      <c r="BL141" s="44" t="s">
        <v>123</v>
      </c>
      <c r="BM141" s="44" t="n">
        <v>5</v>
      </c>
      <c r="BO141" s="44" t="s">
        <v>123</v>
      </c>
      <c r="BP141" s="44" t="n">
        <v>5</v>
      </c>
      <c r="BR141" s="44" t="s">
        <v>123</v>
      </c>
      <c r="BS141" s="44" t="n">
        <v>5</v>
      </c>
      <c r="BU141" s="44" t="s">
        <v>123</v>
      </c>
      <c r="BV141" s="44" t="n">
        <v>5</v>
      </c>
      <c r="BX141" s="44" t="s">
        <v>123</v>
      </c>
      <c r="BY141" s="44" t="n">
        <v>5</v>
      </c>
      <c r="CA141" s="44" t="s">
        <v>123</v>
      </c>
      <c r="CB141" s="44" t="n">
        <v>5</v>
      </c>
      <c r="CD141" s="44" t="s">
        <v>123</v>
      </c>
      <c r="CE141" s="44" t="n">
        <v>5</v>
      </c>
      <c r="CG141" s="44" t="s">
        <v>123</v>
      </c>
      <c r="CH141" s="44" t="n">
        <v>5</v>
      </c>
      <c r="CJ141" s="44" t="s">
        <v>123</v>
      </c>
      <c r="CK141" s="44" t="n">
        <v>5</v>
      </c>
      <c r="CM141" s="44" t="s">
        <v>123</v>
      </c>
      <c r="CN141" s="44" t="n">
        <v>5</v>
      </c>
      <c r="CP141" s="44" t="s">
        <v>123</v>
      </c>
      <c r="CQ141" s="44" t="n">
        <v>5</v>
      </c>
      <c r="CS141" s="44" t="s">
        <v>123</v>
      </c>
      <c r="CT141" s="44" t="n">
        <v>5</v>
      </c>
      <c r="CV141" s="44" t="s">
        <v>123</v>
      </c>
      <c r="CW141" s="44" t="n">
        <v>5</v>
      </c>
    </row>
    <row collapsed="false" customFormat="false" customHeight="false" hidden="false" ht="12.75" outlineLevel="0" r="143">
      <c r="A143" s="44" t="s">
        <v>124</v>
      </c>
      <c r="B143" s="44" t="n">
        <v>10</v>
      </c>
      <c r="D143" s="44" t="s">
        <v>124</v>
      </c>
      <c r="E143" s="44" t="n">
        <v>10</v>
      </c>
      <c r="G143" s="44" t="s">
        <v>124</v>
      </c>
      <c r="H143" s="44" t="n">
        <v>10</v>
      </c>
      <c r="J143" s="44" t="s">
        <v>124</v>
      </c>
      <c r="K143" s="44" t="n">
        <v>10</v>
      </c>
      <c r="M143" s="44" t="s">
        <v>124</v>
      </c>
      <c r="N143" s="44" t="n">
        <v>10</v>
      </c>
      <c r="P143" s="44" t="s">
        <v>124</v>
      </c>
      <c r="Q143" s="44" t="n">
        <v>10</v>
      </c>
      <c r="S143" s="44" t="s">
        <v>124</v>
      </c>
      <c r="T143" s="44" t="n">
        <v>10</v>
      </c>
      <c r="V143" s="44" t="s">
        <v>124</v>
      </c>
      <c r="W143" s="44" t="n">
        <v>10</v>
      </c>
      <c r="Y143" s="44" t="s">
        <v>124</v>
      </c>
      <c r="Z143" s="44" t="n">
        <v>10</v>
      </c>
      <c r="AB143" s="44" t="s">
        <v>124</v>
      </c>
      <c r="AC143" s="44" t="n">
        <v>10</v>
      </c>
      <c r="AE143" s="44" t="s">
        <v>124</v>
      </c>
      <c r="AF143" s="44" t="n">
        <v>10</v>
      </c>
      <c r="AH143" s="44" t="s">
        <v>124</v>
      </c>
      <c r="AI143" s="44" t="n">
        <v>10</v>
      </c>
      <c r="AK143" s="44" t="s">
        <v>124</v>
      </c>
      <c r="AL143" s="44" t="n">
        <v>10</v>
      </c>
      <c r="AN143" s="44" t="s">
        <v>124</v>
      </c>
      <c r="AO143" s="44" t="n">
        <v>10</v>
      </c>
      <c r="AQ143" s="44" t="s">
        <v>124</v>
      </c>
      <c r="AR143" s="44" t="n">
        <v>10</v>
      </c>
      <c r="AT143" s="44" t="s">
        <v>124</v>
      </c>
      <c r="AU143" s="44" t="n">
        <v>10</v>
      </c>
      <c r="AW143" s="44" t="s">
        <v>124</v>
      </c>
      <c r="AX143" s="44" t="n">
        <v>10</v>
      </c>
      <c r="AZ143" s="44" t="s">
        <v>124</v>
      </c>
      <c r="BA143" s="44" t="n">
        <v>10</v>
      </c>
      <c r="BC143" s="44" t="s">
        <v>124</v>
      </c>
      <c r="BD143" s="44" t="n">
        <v>10</v>
      </c>
      <c r="BF143" s="44" t="s">
        <v>124</v>
      </c>
      <c r="BG143" s="44" t="n">
        <v>10</v>
      </c>
      <c r="BI143" s="44" t="s">
        <v>124</v>
      </c>
      <c r="BJ143" s="44" t="n">
        <v>10</v>
      </c>
      <c r="BL143" s="44" t="s">
        <v>124</v>
      </c>
      <c r="BM143" s="44" t="n">
        <v>10</v>
      </c>
      <c r="BO143" s="44" t="s">
        <v>124</v>
      </c>
      <c r="BP143" s="44" t="n">
        <v>10</v>
      </c>
      <c r="BR143" s="44" t="s">
        <v>124</v>
      </c>
      <c r="BS143" s="44" t="n">
        <v>10</v>
      </c>
      <c r="BU143" s="44" t="s">
        <v>124</v>
      </c>
      <c r="BV143" s="44" t="n">
        <v>10</v>
      </c>
      <c r="BX143" s="44" t="s">
        <v>124</v>
      </c>
      <c r="BY143" s="44" t="n">
        <v>10</v>
      </c>
      <c r="CA143" s="44" t="s">
        <v>124</v>
      </c>
      <c r="CB143" s="44" t="n">
        <v>10</v>
      </c>
      <c r="CD143" s="44" t="s">
        <v>124</v>
      </c>
      <c r="CE143" s="44" t="n">
        <v>10</v>
      </c>
      <c r="CG143" s="44" t="s">
        <v>124</v>
      </c>
      <c r="CH143" s="44" t="n">
        <v>10</v>
      </c>
      <c r="CJ143" s="44" t="s">
        <v>124</v>
      </c>
      <c r="CK143" s="44" t="n">
        <v>10</v>
      </c>
      <c r="CM143" s="44" t="s">
        <v>124</v>
      </c>
      <c r="CN143" s="44" t="n">
        <v>10</v>
      </c>
      <c r="CP143" s="44" t="s">
        <v>124</v>
      </c>
      <c r="CQ143" s="44" t="n">
        <v>10</v>
      </c>
      <c r="CS143" s="44" t="s">
        <v>124</v>
      </c>
      <c r="CT143" s="44" t="n">
        <v>10</v>
      </c>
      <c r="CV143" s="44" t="s">
        <v>124</v>
      </c>
      <c r="CW143" s="44" t="n">
        <v>10</v>
      </c>
    </row>
    <row collapsed="false" customFormat="false" customHeight="false" hidden="false" ht="12.75" outlineLevel="0" r="145">
      <c r="A145" s="44" t="s">
        <v>125</v>
      </c>
      <c r="B145" s="44" t="n">
        <v>20</v>
      </c>
      <c r="D145" s="44" t="s">
        <v>125</v>
      </c>
      <c r="E145" s="44" t="n">
        <v>20</v>
      </c>
      <c r="G145" s="44" t="s">
        <v>125</v>
      </c>
      <c r="H145" s="44" t="n">
        <v>20</v>
      </c>
      <c r="J145" s="44" t="s">
        <v>125</v>
      </c>
      <c r="K145" s="44" t="n">
        <v>20</v>
      </c>
      <c r="M145" s="44" t="s">
        <v>125</v>
      </c>
      <c r="N145" s="44" t="n">
        <v>20</v>
      </c>
      <c r="P145" s="44" t="s">
        <v>125</v>
      </c>
      <c r="Q145" s="44" t="n">
        <v>20</v>
      </c>
      <c r="S145" s="44" t="s">
        <v>125</v>
      </c>
      <c r="T145" s="44" t="n">
        <v>20</v>
      </c>
      <c r="V145" s="44" t="s">
        <v>125</v>
      </c>
      <c r="W145" s="44" t="n">
        <v>20</v>
      </c>
      <c r="Y145" s="44" t="s">
        <v>125</v>
      </c>
      <c r="Z145" s="44" t="n">
        <v>20</v>
      </c>
      <c r="AB145" s="44" t="s">
        <v>125</v>
      </c>
      <c r="AC145" s="44" t="n">
        <v>20</v>
      </c>
      <c r="AE145" s="44" t="s">
        <v>125</v>
      </c>
      <c r="AF145" s="44" t="n">
        <v>20</v>
      </c>
      <c r="AH145" s="44" t="s">
        <v>125</v>
      </c>
      <c r="AI145" s="44" t="n">
        <v>20</v>
      </c>
      <c r="AK145" s="44" t="s">
        <v>125</v>
      </c>
      <c r="AL145" s="44" t="n">
        <v>20</v>
      </c>
      <c r="AN145" s="44" t="s">
        <v>125</v>
      </c>
      <c r="AO145" s="44" t="n">
        <v>20</v>
      </c>
      <c r="AQ145" s="44" t="s">
        <v>125</v>
      </c>
      <c r="AR145" s="44" t="n">
        <v>20</v>
      </c>
      <c r="AT145" s="44" t="s">
        <v>125</v>
      </c>
      <c r="AU145" s="44" t="n">
        <v>20</v>
      </c>
      <c r="AW145" s="44" t="s">
        <v>125</v>
      </c>
      <c r="AX145" s="44" t="n">
        <v>20</v>
      </c>
      <c r="AZ145" s="44" t="s">
        <v>125</v>
      </c>
      <c r="BA145" s="44" t="n">
        <v>20</v>
      </c>
      <c r="BC145" s="44" t="s">
        <v>125</v>
      </c>
      <c r="BD145" s="44" t="n">
        <v>20</v>
      </c>
      <c r="BF145" s="44" t="s">
        <v>125</v>
      </c>
      <c r="BG145" s="44" t="n">
        <v>20</v>
      </c>
      <c r="BI145" s="44" t="s">
        <v>125</v>
      </c>
      <c r="BJ145" s="44" t="n">
        <v>20</v>
      </c>
      <c r="BL145" s="44" t="s">
        <v>125</v>
      </c>
      <c r="BM145" s="44" t="n">
        <v>20</v>
      </c>
      <c r="BO145" s="44" t="s">
        <v>125</v>
      </c>
      <c r="BP145" s="44" t="n">
        <v>20</v>
      </c>
      <c r="BR145" s="44" t="s">
        <v>125</v>
      </c>
      <c r="BS145" s="44" t="n">
        <v>20</v>
      </c>
      <c r="BU145" s="44" t="s">
        <v>125</v>
      </c>
      <c r="BV145" s="44" t="n">
        <v>20</v>
      </c>
      <c r="BX145" s="44" t="s">
        <v>125</v>
      </c>
      <c r="BY145" s="44" t="n">
        <v>20</v>
      </c>
      <c r="CA145" s="44" t="s">
        <v>125</v>
      </c>
      <c r="CB145" s="44" t="n">
        <v>20</v>
      </c>
      <c r="CD145" s="44" t="s">
        <v>125</v>
      </c>
      <c r="CE145" s="44" t="n">
        <v>20</v>
      </c>
      <c r="CG145" s="44" t="s">
        <v>125</v>
      </c>
      <c r="CH145" s="44" t="n">
        <v>20</v>
      </c>
      <c r="CJ145" s="44" t="s">
        <v>125</v>
      </c>
      <c r="CK145" s="44" t="n">
        <v>20</v>
      </c>
      <c r="CM145" s="44" t="s">
        <v>125</v>
      </c>
      <c r="CN145" s="44" t="n">
        <v>20</v>
      </c>
      <c r="CP145" s="44" t="s">
        <v>125</v>
      </c>
      <c r="CQ145" s="44" t="n">
        <v>20</v>
      </c>
      <c r="CS145" s="44" t="s">
        <v>125</v>
      </c>
      <c r="CT145" s="44" t="n">
        <v>20</v>
      </c>
      <c r="CV145" s="44" t="s">
        <v>125</v>
      </c>
      <c r="CW145" s="44" t="n">
        <v>20</v>
      </c>
    </row>
    <row collapsed="false" customFormat="false" customHeight="false" hidden="false" ht="12.75" outlineLevel="0" r="147">
      <c r="A147" s="44" t="s">
        <v>126</v>
      </c>
      <c r="B147" s="44" t="n">
        <v>1</v>
      </c>
      <c r="D147" s="44" t="s">
        <v>126</v>
      </c>
      <c r="E147" s="44" t="n">
        <v>1</v>
      </c>
      <c r="G147" s="44" t="s">
        <v>126</v>
      </c>
      <c r="H147" s="44" t="n">
        <v>1</v>
      </c>
      <c r="J147" s="44" t="s">
        <v>126</v>
      </c>
      <c r="K147" s="44" t="n">
        <v>1</v>
      </c>
      <c r="M147" s="44" t="s">
        <v>126</v>
      </c>
      <c r="N147" s="44" t="n">
        <v>1</v>
      </c>
      <c r="P147" s="44" t="s">
        <v>126</v>
      </c>
      <c r="Q147" s="44" t="n">
        <v>1</v>
      </c>
      <c r="S147" s="44" t="s">
        <v>126</v>
      </c>
      <c r="T147" s="44" t="n">
        <v>1</v>
      </c>
      <c r="V147" s="44" t="s">
        <v>126</v>
      </c>
      <c r="W147" s="44" t="n">
        <v>1</v>
      </c>
      <c r="Y147" s="44" t="s">
        <v>126</v>
      </c>
      <c r="Z147" s="44" t="n">
        <v>1</v>
      </c>
      <c r="AB147" s="44" t="s">
        <v>126</v>
      </c>
      <c r="AC147" s="44" t="n">
        <v>1</v>
      </c>
      <c r="AE147" s="44" t="s">
        <v>126</v>
      </c>
      <c r="AF147" s="44" t="n">
        <v>1</v>
      </c>
      <c r="AH147" s="44" t="s">
        <v>126</v>
      </c>
      <c r="AI147" s="44" t="n">
        <v>1</v>
      </c>
      <c r="AK147" s="44" t="s">
        <v>126</v>
      </c>
      <c r="AL147" s="44" t="n">
        <v>1</v>
      </c>
      <c r="AN147" s="44" t="s">
        <v>126</v>
      </c>
      <c r="AO147" s="44" t="n">
        <v>1</v>
      </c>
      <c r="AQ147" s="44" t="s">
        <v>126</v>
      </c>
      <c r="AR147" s="44" t="n">
        <v>1</v>
      </c>
      <c r="AT147" s="44" t="s">
        <v>126</v>
      </c>
      <c r="AU147" s="44" t="n">
        <v>1</v>
      </c>
      <c r="AW147" s="44" t="s">
        <v>126</v>
      </c>
      <c r="AX147" s="44" t="n">
        <v>1</v>
      </c>
      <c r="AZ147" s="44" t="s">
        <v>126</v>
      </c>
      <c r="BA147" s="44" t="n">
        <v>1</v>
      </c>
      <c r="BC147" s="44" t="s">
        <v>126</v>
      </c>
      <c r="BD147" s="44" t="n">
        <v>1</v>
      </c>
      <c r="BF147" s="44" t="s">
        <v>126</v>
      </c>
      <c r="BG147" s="44" t="n">
        <v>1</v>
      </c>
      <c r="BI147" s="44" t="s">
        <v>126</v>
      </c>
      <c r="BJ147" s="44" t="n">
        <v>1</v>
      </c>
      <c r="BL147" s="44" t="s">
        <v>126</v>
      </c>
      <c r="BM147" s="44" t="n">
        <v>1</v>
      </c>
      <c r="BO147" s="44" t="s">
        <v>126</v>
      </c>
      <c r="BP147" s="44" t="n">
        <v>1</v>
      </c>
      <c r="BR147" s="44" t="s">
        <v>126</v>
      </c>
      <c r="BS147" s="44" t="n">
        <v>1</v>
      </c>
      <c r="BU147" s="44" t="s">
        <v>126</v>
      </c>
      <c r="BV147" s="44" t="n">
        <v>1</v>
      </c>
      <c r="BX147" s="44" t="s">
        <v>126</v>
      </c>
      <c r="BY147" s="44" t="n">
        <v>1</v>
      </c>
      <c r="CA147" s="44" t="s">
        <v>126</v>
      </c>
      <c r="CB147" s="44" t="n">
        <v>1</v>
      </c>
      <c r="CD147" s="44" t="s">
        <v>126</v>
      </c>
      <c r="CE147" s="44" t="n">
        <v>1</v>
      </c>
      <c r="CG147" s="44" t="s">
        <v>126</v>
      </c>
      <c r="CH147" s="44" t="n">
        <v>1</v>
      </c>
      <c r="CJ147" s="44" t="s">
        <v>126</v>
      </c>
      <c r="CK147" s="44" t="n">
        <v>1</v>
      </c>
      <c r="CM147" s="44" t="s">
        <v>126</v>
      </c>
      <c r="CN147" s="44" t="n">
        <v>1</v>
      </c>
      <c r="CP147" s="44" t="s">
        <v>126</v>
      </c>
      <c r="CQ147" s="44" t="n">
        <v>1</v>
      </c>
      <c r="CS147" s="44" t="s">
        <v>126</v>
      </c>
      <c r="CT147" s="44" t="n">
        <v>1</v>
      </c>
      <c r="CV147" s="44" t="s">
        <v>126</v>
      </c>
      <c r="CW147" s="44" t="n">
        <v>1</v>
      </c>
    </row>
    <row collapsed="false" customFormat="false" customHeight="false" hidden="false" ht="12.75" outlineLevel="0" r="149">
      <c r="A149" s="44" t="s">
        <v>127</v>
      </c>
      <c r="B149" s="44" t="n">
        <v>1</v>
      </c>
      <c r="D149" s="44" t="s">
        <v>127</v>
      </c>
      <c r="E149" s="44" t="n">
        <v>1</v>
      </c>
      <c r="G149" s="44" t="s">
        <v>127</v>
      </c>
      <c r="H149" s="44" t="n">
        <v>1</v>
      </c>
      <c r="J149" s="44" t="s">
        <v>127</v>
      </c>
      <c r="K149" s="44" t="n">
        <v>1</v>
      </c>
      <c r="M149" s="44" t="s">
        <v>127</v>
      </c>
      <c r="N149" s="44" t="n">
        <v>1</v>
      </c>
      <c r="P149" s="44" t="s">
        <v>127</v>
      </c>
      <c r="Q149" s="44" t="n">
        <v>1</v>
      </c>
      <c r="S149" s="44" t="s">
        <v>127</v>
      </c>
      <c r="T149" s="44" t="n">
        <v>1</v>
      </c>
      <c r="V149" s="44" t="s">
        <v>127</v>
      </c>
      <c r="W149" s="44" t="n">
        <v>1</v>
      </c>
      <c r="Y149" s="44" t="s">
        <v>127</v>
      </c>
      <c r="Z149" s="44" t="n">
        <v>1</v>
      </c>
      <c r="AB149" s="44" t="s">
        <v>127</v>
      </c>
      <c r="AC149" s="44" t="n">
        <v>1</v>
      </c>
      <c r="AE149" s="44" t="s">
        <v>127</v>
      </c>
      <c r="AF149" s="44" t="n">
        <v>1</v>
      </c>
      <c r="AH149" s="44" t="s">
        <v>127</v>
      </c>
      <c r="AI149" s="44" t="n">
        <v>1</v>
      </c>
      <c r="AK149" s="44" t="s">
        <v>127</v>
      </c>
      <c r="AL149" s="44" t="n">
        <v>1</v>
      </c>
      <c r="AN149" s="44" t="s">
        <v>127</v>
      </c>
      <c r="AO149" s="44" t="n">
        <v>1</v>
      </c>
      <c r="AQ149" s="44" t="s">
        <v>127</v>
      </c>
      <c r="AR149" s="44" t="n">
        <v>1</v>
      </c>
      <c r="AT149" s="44" t="s">
        <v>127</v>
      </c>
      <c r="AU149" s="44" t="n">
        <v>1</v>
      </c>
      <c r="AW149" s="44" t="s">
        <v>127</v>
      </c>
      <c r="AX149" s="44" t="n">
        <v>1</v>
      </c>
      <c r="AZ149" s="44" t="s">
        <v>127</v>
      </c>
      <c r="BA149" s="44" t="n">
        <v>1</v>
      </c>
      <c r="BC149" s="44" t="s">
        <v>127</v>
      </c>
      <c r="BD149" s="44" t="n">
        <v>1</v>
      </c>
      <c r="BF149" s="44" t="s">
        <v>127</v>
      </c>
      <c r="BG149" s="44" t="n">
        <v>1</v>
      </c>
      <c r="BI149" s="44" t="s">
        <v>127</v>
      </c>
      <c r="BJ149" s="44" t="n">
        <v>1</v>
      </c>
      <c r="BL149" s="44" t="s">
        <v>127</v>
      </c>
      <c r="BM149" s="44" t="n">
        <v>1</v>
      </c>
      <c r="BO149" s="44" t="s">
        <v>127</v>
      </c>
      <c r="BP149" s="44" t="n">
        <v>1</v>
      </c>
      <c r="BR149" s="44" t="s">
        <v>127</v>
      </c>
      <c r="BS149" s="44" t="n">
        <v>1</v>
      </c>
      <c r="BU149" s="44" t="s">
        <v>127</v>
      </c>
      <c r="BV149" s="44" t="n">
        <v>1</v>
      </c>
      <c r="BX149" s="44" t="s">
        <v>127</v>
      </c>
      <c r="BY149" s="44" t="n">
        <v>1</v>
      </c>
      <c r="CA149" s="44" t="s">
        <v>127</v>
      </c>
      <c r="CB149" s="44" t="n">
        <v>1</v>
      </c>
      <c r="CD149" s="44" t="s">
        <v>127</v>
      </c>
      <c r="CE149" s="44" t="n">
        <v>1</v>
      </c>
      <c r="CG149" s="44" t="s">
        <v>127</v>
      </c>
      <c r="CH149" s="44" t="n">
        <v>1</v>
      </c>
      <c r="CJ149" s="44" t="s">
        <v>127</v>
      </c>
      <c r="CK149" s="44" t="n">
        <v>1</v>
      </c>
      <c r="CM149" s="44" t="s">
        <v>127</v>
      </c>
      <c r="CN149" s="44" t="n">
        <v>1</v>
      </c>
      <c r="CP149" s="44" t="s">
        <v>127</v>
      </c>
      <c r="CQ149" s="44" t="n">
        <v>1</v>
      </c>
      <c r="CS149" s="44" t="s">
        <v>127</v>
      </c>
      <c r="CT149" s="44" t="n">
        <v>1</v>
      </c>
      <c r="CV149" s="44" t="s">
        <v>127</v>
      </c>
      <c r="CW149" s="44" t="n">
        <v>1</v>
      </c>
    </row>
    <row collapsed="false" customFormat="false" customHeight="false" hidden="false" ht="12.75" outlineLevel="0" r="151">
      <c r="A151" s="44" t="s">
        <v>128</v>
      </c>
      <c r="B151" s="44" t="n">
        <v>2.69499</v>
      </c>
      <c r="D151" s="44" t="s">
        <v>128</v>
      </c>
      <c r="E151" s="44" t="n">
        <v>2.75557</v>
      </c>
      <c r="G151" s="44" t="s">
        <v>128</v>
      </c>
      <c r="H151" s="44" t="n">
        <v>2.84615</v>
      </c>
      <c r="J151" s="44" t="s">
        <v>128</v>
      </c>
      <c r="K151" s="44" t="n">
        <v>2.8318</v>
      </c>
      <c r="M151" s="44" t="s">
        <v>128</v>
      </c>
      <c r="N151" s="44" t="n">
        <v>2.92098</v>
      </c>
      <c r="P151" s="44" t="s">
        <v>128</v>
      </c>
      <c r="Q151" s="44" t="n">
        <v>2.9601</v>
      </c>
      <c r="S151" s="44" t="s">
        <v>128</v>
      </c>
      <c r="T151" s="44" t="n">
        <v>3.02515</v>
      </c>
      <c r="V151" s="44" t="s">
        <v>128</v>
      </c>
      <c r="W151" s="44" t="n">
        <v>3.00603</v>
      </c>
      <c r="Y151" s="44" t="s">
        <v>128</v>
      </c>
      <c r="Z151" s="44" t="n">
        <v>3.0587</v>
      </c>
      <c r="AB151" s="44" t="s">
        <v>128</v>
      </c>
      <c r="AC151" s="44" t="n">
        <v>3.0931</v>
      </c>
      <c r="AE151" s="44" t="s">
        <v>128</v>
      </c>
      <c r="AF151" s="44" t="n">
        <v>3.09305</v>
      </c>
      <c r="AH151" s="44" t="s">
        <v>128</v>
      </c>
      <c r="AI151" s="44" t="n">
        <v>3.11822</v>
      </c>
      <c r="AK151" s="44" t="s">
        <v>128</v>
      </c>
      <c r="AL151" s="44" t="n">
        <v>3.13367</v>
      </c>
      <c r="AN151" s="44" t="s">
        <v>128</v>
      </c>
      <c r="AO151" s="44" t="n">
        <v>3.23814</v>
      </c>
      <c r="AQ151" s="44" t="s">
        <v>128</v>
      </c>
      <c r="AR151" s="44" t="n">
        <v>3.28193</v>
      </c>
      <c r="AT151" s="44" t="s">
        <v>128</v>
      </c>
      <c r="AU151" s="44" t="n">
        <v>3.21641</v>
      </c>
      <c r="AW151" s="44" t="s">
        <v>128</v>
      </c>
      <c r="AX151" s="44" t="n">
        <v>3.24679</v>
      </c>
      <c r="AZ151" s="44" t="s">
        <v>128</v>
      </c>
      <c r="BA151" s="44" t="n">
        <v>3.35042</v>
      </c>
      <c r="BC151" s="44" t="s">
        <v>128</v>
      </c>
      <c r="BD151" s="44" t="n">
        <v>3.37801</v>
      </c>
      <c r="BF151" s="44" t="s">
        <v>128</v>
      </c>
      <c r="BG151" s="44" t="n">
        <v>3.36612</v>
      </c>
      <c r="BI151" s="44" t="s">
        <v>128</v>
      </c>
      <c r="BJ151" s="44" t="n">
        <v>3.40219</v>
      </c>
      <c r="BL151" s="44" t="s">
        <v>128</v>
      </c>
      <c r="BM151" s="44" t="n">
        <v>3.48331</v>
      </c>
      <c r="BO151" s="44" t="s">
        <v>128</v>
      </c>
      <c r="BP151" s="44" t="n">
        <v>3.47654</v>
      </c>
      <c r="BR151" s="44" t="s">
        <v>128</v>
      </c>
      <c r="BS151" s="44" t="n">
        <v>3.49868</v>
      </c>
      <c r="BU151" s="44" t="s">
        <v>128</v>
      </c>
      <c r="BV151" s="44" t="n">
        <v>3.62759</v>
      </c>
      <c r="BX151" s="44" t="s">
        <v>128</v>
      </c>
      <c r="BY151" s="44" t="n">
        <v>3.61505</v>
      </c>
      <c r="CA151" s="44" t="s">
        <v>128</v>
      </c>
      <c r="CB151" s="44" t="n">
        <v>3.63214</v>
      </c>
      <c r="CD151" s="44" t="s">
        <v>128</v>
      </c>
      <c r="CE151" s="44" t="n">
        <v>3.63606</v>
      </c>
      <c r="CG151" s="44" t="s">
        <v>128</v>
      </c>
      <c r="CH151" s="44" t="n">
        <v>3.78146</v>
      </c>
      <c r="CJ151" s="44" t="s">
        <v>128</v>
      </c>
      <c r="CK151" s="44" t="n">
        <v>3.77349</v>
      </c>
      <c r="CM151" s="44" t="s">
        <v>128</v>
      </c>
      <c r="CN151" s="44" t="n">
        <v>3.81233</v>
      </c>
      <c r="CP151" s="44" t="s">
        <v>128</v>
      </c>
      <c r="CQ151" s="44" t="n">
        <v>3.84735</v>
      </c>
      <c r="CS151" s="44" t="s">
        <v>128</v>
      </c>
      <c r="CT151" s="44" t="n">
        <v>3.92025</v>
      </c>
      <c r="CV151" s="44" t="s">
        <v>128</v>
      </c>
      <c r="CW151" s="44" t="n">
        <v>3.90599</v>
      </c>
    </row>
    <row collapsed="false" customFormat="false" customHeight="false" hidden="false" ht="12.75" outlineLevel="0" r="153">
      <c r="A153" s="44" t="s">
        <v>129</v>
      </c>
      <c r="B153" s="44" t="n">
        <v>0.623437</v>
      </c>
      <c r="D153" s="44" t="s">
        <v>129</v>
      </c>
      <c r="E153" s="44" t="n">
        <v>0.627806</v>
      </c>
      <c r="G153" s="44" t="s">
        <v>129</v>
      </c>
      <c r="H153" s="44" t="n">
        <v>0.635133</v>
      </c>
      <c r="J153" s="44" t="s">
        <v>129</v>
      </c>
      <c r="K153" s="44" t="n">
        <v>0.624762</v>
      </c>
      <c r="M153" s="44" t="s">
        <v>129</v>
      </c>
      <c r="N153" s="44" t="n">
        <v>0.630622</v>
      </c>
      <c r="P153" s="44" t="s">
        <v>129</v>
      </c>
      <c r="Q153" s="44" t="n">
        <v>0.627213</v>
      </c>
      <c r="S153" s="44" t="s">
        <v>129</v>
      </c>
      <c r="T153" s="44" t="n">
        <v>0.630139</v>
      </c>
      <c r="V153" s="44" t="s">
        <v>129</v>
      </c>
      <c r="W153" s="44" t="n">
        <v>0.620379</v>
      </c>
      <c r="Y153" s="44" t="s">
        <v>129</v>
      </c>
      <c r="Z153" s="44" t="n">
        <v>0.624771</v>
      </c>
      <c r="AB153" s="44" t="s">
        <v>129</v>
      </c>
      <c r="AC153" s="44" t="n">
        <v>0.628188</v>
      </c>
      <c r="AE153" s="44" t="s">
        <v>129</v>
      </c>
      <c r="AF153" s="44" t="n">
        <v>0.622819</v>
      </c>
      <c r="AH153" s="44" t="s">
        <v>129</v>
      </c>
      <c r="AI153" s="44" t="n">
        <v>0.621854</v>
      </c>
      <c r="AK153" s="44" t="s">
        <v>129</v>
      </c>
      <c r="AL153" s="44" t="n">
        <v>0.619036</v>
      </c>
      <c r="AN153" s="44" t="s">
        <v>129</v>
      </c>
      <c r="AO153" s="44" t="n">
        <v>0.633677</v>
      </c>
      <c r="AQ153" s="44" t="s">
        <v>129</v>
      </c>
      <c r="AR153" s="44" t="n">
        <v>0.634651</v>
      </c>
      <c r="AT153" s="44" t="s">
        <v>129</v>
      </c>
      <c r="AU153" s="44" t="n">
        <v>0.621959</v>
      </c>
      <c r="AW153" s="44" t="s">
        <v>129</v>
      </c>
      <c r="AX153" s="44" t="n">
        <v>0.618053</v>
      </c>
      <c r="AZ153" s="44" t="s">
        <v>129</v>
      </c>
      <c r="BA153" s="44" t="n">
        <v>0.631235</v>
      </c>
      <c r="BC153" s="44" t="s">
        <v>129</v>
      </c>
      <c r="BD153" s="44" t="n">
        <v>0.630753</v>
      </c>
      <c r="BF153" s="44" t="s">
        <v>129</v>
      </c>
      <c r="BG153" s="44" t="n">
        <v>0.623422</v>
      </c>
      <c r="BI153" s="44" t="s">
        <v>129</v>
      </c>
      <c r="BJ153" s="44" t="n">
        <v>0.622943</v>
      </c>
      <c r="BL153" s="44" t="s">
        <v>129</v>
      </c>
      <c r="BM153" s="44" t="n">
        <v>0.631246</v>
      </c>
      <c r="BO153" s="44" t="s">
        <v>129</v>
      </c>
      <c r="BP153" s="44" t="n">
        <v>0.621964</v>
      </c>
      <c r="BR153" s="44" t="s">
        <v>129</v>
      </c>
      <c r="BS153" s="44" t="n">
        <v>0.621959</v>
      </c>
      <c r="BU153" s="44" t="s">
        <v>129</v>
      </c>
      <c r="BV153" s="44" t="n">
        <v>0.635139</v>
      </c>
      <c r="BX153" s="44" t="s">
        <v>129</v>
      </c>
      <c r="BY153" s="44" t="n">
        <v>0.628305</v>
      </c>
      <c r="CA153" s="44" t="s">
        <v>129</v>
      </c>
      <c r="CB153" s="44" t="n">
        <v>0.623912</v>
      </c>
      <c r="CD153" s="44" t="s">
        <v>129</v>
      </c>
      <c r="CE153" s="44" t="n">
        <v>0.618544</v>
      </c>
      <c r="CG153" s="44" t="s">
        <v>129</v>
      </c>
      <c r="CH153" s="44" t="n">
        <v>0.63368</v>
      </c>
      <c r="CJ153" s="44" t="s">
        <v>129</v>
      </c>
      <c r="CK153" s="44" t="n">
        <v>0.62733</v>
      </c>
      <c r="CM153" s="44" t="s">
        <v>129</v>
      </c>
      <c r="CN153" s="44" t="n">
        <v>0.628798</v>
      </c>
      <c r="CP153" s="44" t="s">
        <v>129</v>
      </c>
      <c r="CQ153" s="44" t="n">
        <v>0.627327</v>
      </c>
      <c r="CS153" s="44" t="s">
        <v>129</v>
      </c>
      <c r="CT153" s="44" t="n">
        <v>0.634662</v>
      </c>
      <c r="CV153" s="44" t="s">
        <v>129</v>
      </c>
      <c r="CW153" s="44" t="n">
        <v>0.628311</v>
      </c>
    </row>
    <row collapsed="false" customFormat="false" customHeight="false" hidden="false" ht="12.75" outlineLevel="0" r="155">
      <c r="A155" s="44" t="s">
        <v>130</v>
      </c>
      <c r="B155" s="44" t="n">
        <v>125</v>
      </c>
      <c r="D155" s="44" t="s">
        <v>130</v>
      </c>
      <c r="E155" s="44" t="n">
        <v>125</v>
      </c>
      <c r="G155" s="44" t="s">
        <v>130</v>
      </c>
      <c r="H155" s="44" t="n">
        <v>125</v>
      </c>
      <c r="J155" s="44" t="s">
        <v>130</v>
      </c>
      <c r="K155" s="44" t="n">
        <v>125</v>
      </c>
      <c r="M155" s="44" t="s">
        <v>130</v>
      </c>
      <c r="N155" s="44" t="n">
        <v>125</v>
      </c>
      <c r="P155" s="44" t="s">
        <v>130</v>
      </c>
      <c r="Q155" s="44" t="n">
        <v>125</v>
      </c>
      <c r="S155" s="44" t="s">
        <v>130</v>
      </c>
      <c r="T155" s="44" t="n">
        <v>125</v>
      </c>
      <c r="V155" s="44" t="s">
        <v>130</v>
      </c>
      <c r="W155" s="44" t="n">
        <v>125</v>
      </c>
      <c r="Y155" s="44" t="s">
        <v>130</v>
      </c>
      <c r="Z155" s="44" t="n">
        <v>125</v>
      </c>
      <c r="AB155" s="44" t="s">
        <v>130</v>
      </c>
      <c r="AC155" s="44" t="n">
        <v>125</v>
      </c>
      <c r="AE155" s="44" t="s">
        <v>130</v>
      </c>
      <c r="AF155" s="44" t="n">
        <v>125</v>
      </c>
      <c r="AH155" s="44" t="s">
        <v>130</v>
      </c>
      <c r="AI155" s="44" t="n">
        <v>125</v>
      </c>
      <c r="AK155" s="44" t="s">
        <v>130</v>
      </c>
      <c r="AL155" s="44" t="n">
        <v>125</v>
      </c>
      <c r="AN155" s="44" t="s">
        <v>130</v>
      </c>
      <c r="AO155" s="44" t="n">
        <v>125</v>
      </c>
      <c r="AQ155" s="44" t="s">
        <v>130</v>
      </c>
      <c r="AR155" s="44" t="n">
        <v>125</v>
      </c>
      <c r="AT155" s="44" t="s">
        <v>130</v>
      </c>
      <c r="AU155" s="44" t="n">
        <v>125</v>
      </c>
      <c r="AW155" s="44" t="s">
        <v>130</v>
      </c>
      <c r="AX155" s="44" t="n">
        <v>125</v>
      </c>
      <c r="AZ155" s="44" t="s">
        <v>130</v>
      </c>
      <c r="BA155" s="44" t="n">
        <v>125</v>
      </c>
      <c r="BC155" s="44" t="s">
        <v>130</v>
      </c>
      <c r="BD155" s="44" t="n">
        <v>125</v>
      </c>
      <c r="BF155" s="44" t="s">
        <v>130</v>
      </c>
      <c r="BG155" s="44" t="n">
        <v>125</v>
      </c>
      <c r="BI155" s="44" t="s">
        <v>130</v>
      </c>
      <c r="BJ155" s="44" t="n">
        <v>125</v>
      </c>
      <c r="BL155" s="44" t="s">
        <v>130</v>
      </c>
      <c r="BM155" s="44" t="n">
        <v>125</v>
      </c>
      <c r="BO155" s="44" t="s">
        <v>130</v>
      </c>
      <c r="BP155" s="44" t="n">
        <v>125</v>
      </c>
      <c r="BR155" s="44" t="s">
        <v>130</v>
      </c>
      <c r="BS155" s="44" t="n">
        <v>125</v>
      </c>
      <c r="BU155" s="44" t="s">
        <v>130</v>
      </c>
      <c r="BV155" s="44" t="n">
        <v>125</v>
      </c>
      <c r="BX155" s="44" t="s">
        <v>130</v>
      </c>
      <c r="BY155" s="44" t="n">
        <v>125</v>
      </c>
      <c r="CA155" s="44" t="s">
        <v>130</v>
      </c>
      <c r="CB155" s="44" t="n">
        <v>125</v>
      </c>
      <c r="CD155" s="44" t="s">
        <v>130</v>
      </c>
      <c r="CE155" s="44" t="n">
        <v>125</v>
      </c>
      <c r="CG155" s="44" t="s">
        <v>130</v>
      </c>
      <c r="CH155" s="44" t="n">
        <v>125</v>
      </c>
      <c r="CJ155" s="44" t="s">
        <v>130</v>
      </c>
      <c r="CK155" s="44" t="n">
        <v>125</v>
      </c>
      <c r="CM155" s="44" t="s">
        <v>130</v>
      </c>
      <c r="CN155" s="44" t="n">
        <v>125</v>
      </c>
      <c r="CP155" s="44" t="s">
        <v>130</v>
      </c>
      <c r="CQ155" s="44" t="n">
        <v>125</v>
      </c>
      <c r="CS155" s="44" t="s">
        <v>130</v>
      </c>
      <c r="CT155" s="44" t="n">
        <v>125</v>
      </c>
      <c r="CV155" s="44" t="s">
        <v>130</v>
      </c>
      <c r="CW155" s="44" t="n">
        <v>125</v>
      </c>
    </row>
    <row collapsed="false" customFormat="false" customHeight="false" hidden="false" ht="12.75" outlineLevel="0" r="157">
      <c r="A157" s="44" t="s">
        <v>131</v>
      </c>
      <c r="B157" s="44" t="n">
        <v>12500</v>
      </c>
      <c r="D157" s="44" t="s">
        <v>131</v>
      </c>
      <c r="E157" s="44" t="n">
        <v>12500</v>
      </c>
      <c r="G157" s="44" t="s">
        <v>131</v>
      </c>
      <c r="H157" s="44" t="n">
        <v>12500</v>
      </c>
      <c r="J157" s="44" t="s">
        <v>131</v>
      </c>
      <c r="K157" s="44" t="n">
        <v>12500</v>
      </c>
      <c r="M157" s="44" t="s">
        <v>131</v>
      </c>
      <c r="N157" s="44" t="n">
        <v>12500</v>
      </c>
      <c r="P157" s="44" t="s">
        <v>131</v>
      </c>
      <c r="Q157" s="44" t="n">
        <v>12500</v>
      </c>
      <c r="S157" s="44" t="s">
        <v>131</v>
      </c>
      <c r="T157" s="44" t="n">
        <v>12500</v>
      </c>
      <c r="V157" s="44" t="s">
        <v>131</v>
      </c>
      <c r="W157" s="44" t="n">
        <v>12500</v>
      </c>
      <c r="Y157" s="44" t="s">
        <v>131</v>
      </c>
      <c r="Z157" s="44" t="n">
        <v>12500</v>
      </c>
      <c r="AB157" s="44" t="s">
        <v>131</v>
      </c>
      <c r="AC157" s="44" t="n">
        <v>12500</v>
      </c>
      <c r="AE157" s="44" t="s">
        <v>131</v>
      </c>
      <c r="AF157" s="44" t="n">
        <v>12500</v>
      </c>
      <c r="AH157" s="44" t="s">
        <v>131</v>
      </c>
      <c r="AI157" s="44" t="n">
        <v>12500</v>
      </c>
      <c r="AK157" s="44" t="s">
        <v>131</v>
      </c>
      <c r="AL157" s="44" t="n">
        <v>12500</v>
      </c>
      <c r="AN157" s="44" t="s">
        <v>131</v>
      </c>
      <c r="AO157" s="44" t="n">
        <v>12500</v>
      </c>
      <c r="AQ157" s="44" t="s">
        <v>131</v>
      </c>
      <c r="AR157" s="44" t="n">
        <v>12500</v>
      </c>
      <c r="AT157" s="44" t="s">
        <v>131</v>
      </c>
      <c r="AU157" s="44" t="n">
        <v>12500</v>
      </c>
      <c r="AW157" s="44" t="s">
        <v>131</v>
      </c>
      <c r="AX157" s="44" t="n">
        <v>12500</v>
      </c>
      <c r="AZ157" s="44" t="s">
        <v>131</v>
      </c>
      <c r="BA157" s="44" t="n">
        <v>12500</v>
      </c>
      <c r="BC157" s="44" t="s">
        <v>131</v>
      </c>
      <c r="BD157" s="44" t="n">
        <v>12500</v>
      </c>
      <c r="BF157" s="44" t="s">
        <v>131</v>
      </c>
      <c r="BG157" s="44" t="n">
        <v>12500</v>
      </c>
      <c r="BI157" s="44" t="s">
        <v>131</v>
      </c>
      <c r="BJ157" s="44" t="n">
        <v>12500</v>
      </c>
      <c r="BL157" s="44" t="s">
        <v>131</v>
      </c>
      <c r="BM157" s="44" t="n">
        <v>12500</v>
      </c>
      <c r="BO157" s="44" t="s">
        <v>131</v>
      </c>
      <c r="BP157" s="44" t="n">
        <v>12500</v>
      </c>
      <c r="BR157" s="44" t="s">
        <v>131</v>
      </c>
      <c r="BS157" s="44" t="n">
        <v>12500</v>
      </c>
      <c r="BU157" s="44" t="s">
        <v>131</v>
      </c>
      <c r="BV157" s="44" t="n">
        <v>12500</v>
      </c>
      <c r="BX157" s="44" t="s">
        <v>131</v>
      </c>
      <c r="BY157" s="44" t="n">
        <v>12500</v>
      </c>
      <c r="CA157" s="44" t="s">
        <v>131</v>
      </c>
      <c r="CB157" s="44" t="n">
        <v>12500</v>
      </c>
      <c r="CD157" s="44" t="s">
        <v>131</v>
      </c>
      <c r="CE157" s="44" t="n">
        <v>12500</v>
      </c>
      <c r="CG157" s="44" t="s">
        <v>131</v>
      </c>
      <c r="CH157" s="44" t="n">
        <v>12500</v>
      </c>
      <c r="CJ157" s="44" t="s">
        <v>131</v>
      </c>
      <c r="CK157" s="44" t="n">
        <v>12500</v>
      </c>
      <c r="CM157" s="44" t="s">
        <v>131</v>
      </c>
      <c r="CN157" s="44" t="n">
        <v>12500</v>
      </c>
      <c r="CP157" s="44" t="s">
        <v>131</v>
      </c>
      <c r="CQ157" s="44" t="n">
        <v>12500</v>
      </c>
      <c r="CS157" s="44" t="s">
        <v>131</v>
      </c>
      <c r="CT157" s="44" t="n">
        <v>12500</v>
      </c>
      <c r="CV157" s="44" t="s">
        <v>131</v>
      </c>
      <c r="CW157" s="44" t="n">
        <v>12500</v>
      </c>
    </row>
    <row collapsed="false" customFormat="false" customHeight="false" hidden="false" ht="12.75" outlineLevel="0" r="159">
      <c r="A159" s="44" t="s">
        <v>132</v>
      </c>
      <c r="B159" s="44" t="n">
        <v>0.2</v>
      </c>
      <c r="D159" s="44" t="s">
        <v>132</v>
      </c>
      <c r="E159" s="44" t="n">
        <v>0.2</v>
      </c>
      <c r="G159" s="44" t="s">
        <v>132</v>
      </c>
      <c r="H159" s="44" t="n">
        <v>0.2</v>
      </c>
      <c r="J159" s="44" t="s">
        <v>132</v>
      </c>
      <c r="K159" s="44" t="n">
        <v>0.2</v>
      </c>
      <c r="M159" s="44" t="s">
        <v>132</v>
      </c>
      <c r="N159" s="44" t="n">
        <v>0.2</v>
      </c>
      <c r="P159" s="44" t="s">
        <v>132</v>
      </c>
      <c r="Q159" s="44" t="n">
        <v>0.2</v>
      </c>
      <c r="S159" s="44" t="s">
        <v>132</v>
      </c>
      <c r="T159" s="44" t="n">
        <v>0.2</v>
      </c>
      <c r="V159" s="44" t="s">
        <v>132</v>
      </c>
      <c r="W159" s="44" t="n">
        <v>0.2</v>
      </c>
      <c r="Y159" s="44" t="s">
        <v>132</v>
      </c>
      <c r="Z159" s="44" t="n">
        <v>0.2</v>
      </c>
      <c r="AB159" s="44" t="s">
        <v>132</v>
      </c>
      <c r="AC159" s="44" t="n">
        <v>0.2</v>
      </c>
      <c r="AE159" s="44" t="s">
        <v>132</v>
      </c>
      <c r="AF159" s="44" t="n">
        <v>0.2</v>
      </c>
      <c r="AH159" s="44" t="s">
        <v>132</v>
      </c>
      <c r="AI159" s="44" t="n">
        <v>0.2</v>
      </c>
      <c r="AK159" s="44" t="s">
        <v>132</v>
      </c>
      <c r="AL159" s="44" t="n">
        <v>0.2</v>
      </c>
      <c r="AN159" s="44" t="s">
        <v>132</v>
      </c>
      <c r="AO159" s="44" t="n">
        <v>0.2</v>
      </c>
      <c r="AQ159" s="44" t="s">
        <v>132</v>
      </c>
      <c r="AR159" s="44" t="n">
        <v>0.2</v>
      </c>
      <c r="AT159" s="44" t="s">
        <v>132</v>
      </c>
      <c r="AU159" s="44" t="n">
        <v>0.2</v>
      </c>
      <c r="AW159" s="44" t="s">
        <v>132</v>
      </c>
      <c r="AX159" s="44" t="n">
        <v>0.2</v>
      </c>
      <c r="AZ159" s="44" t="s">
        <v>132</v>
      </c>
      <c r="BA159" s="44" t="n">
        <v>0.2</v>
      </c>
      <c r="BC159" s="44" t="s">
        <v>132</v>
      </c>
      <c r="BD159" s="44" t="n">
        <v>0.2</v>
      </c>
      <c r="BF159" s="44" t="s">
        <v>132</v>
      </c>
      <c r="BG159" s="44" t="n">
        <v>0.2</v>
      </c>
      <c r="BI159" s="44" t="s">
        <v>132</v>
      </c>
      <c r="BJ159" s="44" t="n">
        <v>0.2</v>
      </c>
      <c r="BL159" s="44" t="s">
        <v>132</v>
      </c>
      <c r="BM159" s="44" t="n">
        <v>0.2</v>
      </c>
      <c r="BO159" s="44" t="s">
        <v>132</v>
      </c>
      <c r="BP159" s="44" t="n">
        <v>0.2</v>
      </c>
      <c r="BR159" s="44" t="s">
        <v>132</v>
      </c>
      <c r="BS159" s="44" t="n">
        <v>0.2</v>
      </c>
      <c r="BU159" s="44" t="s">
        <v>132</v>
      </c>
      <c r="BV159" s="44" t="n">
        <v>0.2</v>
      </c>
      <c r="BX159" s="44" t="s">
        <v>132</v>
      </c>
      <c r="BY159" s="44" t="n">
        <v>0.2</v>
      </c>
      <c r="CA159" s="44" t="s">
        <v>132</v>
      </c>
      <c r="CB159" s="44" t="n">
        <v>0.2</v>
      </c>
      <c r="CD159" s="44" t="s">
        <v>132</v>
      </c>
      <c r="CE159" s="44" t="n">
        <v>0.2</v>
      </c>
      <c r="CG159" s="44" t="s">
        <v>132</v>
      </c>
      <c r="CH159" s="44" t="n">
        <v>0.2</v>
      </c>
      <c r="CJ159" s="44" t="s">
        <v>132</v>
      </c>
      <c r="CK159" s="44" t="n">
        <v>0.2</v>
      </c>
      <c r="CM159" s="44" t="s">
        <v>132</v>
      </c>
      <c r="CN159" s="44" t="n">
        <v>0.2</v>
      </c>
      <c r="CP159" s="44" t="s">
        <v>132</v>
      </c>
      <c r="CQ159" s="44" t="n">
        <v>0.2</v>
      </c>
      <c r="CS159" s="44" t="s">
        <v>132</v>
      </c>
      <c r="CT159" s="44" t="n">
        <v>0.2</v>
      </c>
      <c r="CV159" s="44" t="s">
        <v>132</v>
      </c>
      <c r="CW159" s="44" t="n">
        <v>0.2</v>
      </c>
    </row>
    <row collapsed="false" customFormat="false" customHeight="false" hidden="false" ht="12.75" outlineLevel="0" r="161">
      <c r="A161" s="44" t="s">
        <v>133</v>
      </c>
      <c r="B161" s="44" t="n">
        <v>0.02</v>
      </c>
      <c r="D161" s="44" t="s">
        <v>133</v>
      </c>
      <c r="E161" s="44" t="n">
        <v>0.02</v>
      </c>
      <c r="G161" s="44" t="s">
        <v>133</v>
      </c>
      <c r="H161" s="44" t="n">
        <v>0.02</v>
      </c>
      <c r="J161" s="44" t="s">
        <v>133</v>
      </c>
      <c r="K161" s="44" t="n">
        <v>0.02</v>
      </c>
      <c r="M161" s="44" t="s">
        <v>133</v>
      </c>
      <c r="N161" s="44" t="n">
        <v>0.02</v>
      </c>
      <c r="P161" s="44" t="s">
        <v>133</v>
      </c>
      <c r="Q161" s="44" t="n">
        <v>0.02</v>
      </c>
      <c r="S161" s="44" t="s">
        <v>133</v>
      </c>
      <c r="T161" s="44" t="n">
        <v>0.02</v>
      </c>
      <c r="V161" s="44" t="s">
        <v>133</v>
      </c>
      <c r="W161" s="44" t="n">
        <v>0.02</v>
      </c>
      <c r="Y161" s="44" t="s">
        <v>133</v>
      </c>
      <c r="Z161" s="44" t="n">
        <v>0.02</v>
      </c>
      <c r="AB161" s="44" t="s">
        <v>133</v>
      </c>
      <c r="AC161" s="44" t="n">
        <v>0.02</v>
      </c>
      <c r="AE161" s="44" t="s">
        <v>133</v>
      </c>
      <c r="AF161" s="44" t="n">
        <v>0.02</v>
      </c>
      <c r="AH161" s="44" t="s">
        <v>133</v>
      </c>
      <c r="AI161" s="44" t="n">
        <v>0.02</v>
      </c>
      <c r="AK161" s="44" t="s">
        <v>133</v>
      </c>
      <c r="AL161" s="44" t="n">
        <v>0.02</v>
      </c>
      <c r="AN161" s="44" t="s">
        <v>133</v>
      </c>
      <c r="AO161" s="44" t="n">
        <v>0.02</v>
      </c>
      <c r="AQ161" s="44" t="s">
        <v>133</v>
      </c>
      <c r="AR161" s="44" t="n">
        <v>0.02</v>
      </c>
      <c r="AT161" s="44" t="s">
        <v>133</v>
      </c>
      <c r="AU161" s="44" t="n">
        <v>0.02</v>
      </c>
      <c r="AW161" s="44" t="s">
        <v>133</v>
      </c>
      <c r="AX161" s="44" t="n">
        <v>0.02</v>
      </c>
      <c r="AZ161" s="44" t="s">
        <v>133</v>
      </c>
      <c r="BA161" s="44" t="n">
        <v>0.02</v>
      </c>
      <c r="BC161" s="44" t="s">
        <v>133</v>
      </c>
      <c r="BD161" s="44" t="n">
        <v>0.02</v>
      </c>
      <c r="BF161" s="44" t="s">
        <v>133</v>
      </c>
      <c r="BG161" s="44" t="n">
        <v>0.02</v>
      </c>
      <c r="BI161" s="44" t="s">
        <v>133</v>
      </c>
      <c r="BJ161" s="44" t="n">
        <v>0.02</v>
      </c>
      <c r="BL161" s="44" t="s">
        <v>133</v>
      </c>
      <c r="BM161" s="44" t="n">
        <v>0.02</v>
      </c>
      <c r="BO161" s="44" t="s">
        <v>133</v>
      </c>
      <c r="BP161" s="44" t="n">
        <v>0.02</v>
      </c>
      <c r="BR161" s="44" t="s">
        <v>133</v>
      </c>
      <c r="BS161" s="44" t="n">
        <v>0.02</v>
      </c>
      <c r="BU161" s="44" t="s">
        <v>133</v>
      </c>
      <c r="BV161" s="44" t="n">
        <v>0.02</v>
      </c>
      <c r="BX161" s="44" t="s">
        <v>133</v>
      </c>
      <c r="BY161" s="44" t="n">
        <v>0.02</v>
      </c>
      <c r="CA161" s="44" t="s">
        <v>133</v>
      </c>
      <c r="CB161" s="44" t="n">
        <v>0.02</v>
      </c>
      <c r="CD161" s="44" t="s">
        <v>133</v>
      </c>
      <c r="CE161" s="44" t="n">
        <v>0.02</v>
      </c>
      <c r="CG161" s="44" t="s">
        <v>133</v>
      </c>
      <c r="CH161" s="44" t="n">
        <v>0.02</v>
      </c>
      <c r="CJ161" s="44" t="s">
        <v>133</v>
      </c>
      <c r="CK161" s="44" t="n">
        <v>0.02</v>
      </c>
      <c r="CM161" s="44" t="s">
        <v>133</v>
      </c>
      <c r="CN161" s="44" t="n">
        <v>0.02</v>
      </c>
      <c r="CP161" s="44" t="s">
        <v>133</v>
      </c>
      <c r="CQ161" s="44" t="n">
        <v>0.02</v>
      </c>
      <c r="CS161" s="44" t="s">
        <v>133</v>
      </c>
      <c r="CT161" s="44" t="n">
        <v>0.02</v>
      </c>
      <c r="CV161" s="44" t="s">
        <v>133</v>
      </c>
      <c r="CW161" s="44" t="n">
        <v>0.02</v>
      </c>
    </row>
    <row collapsed="false" customFormat="false" customHeight="false" hidden="false" ht="12.75" outlineLevel="0" r="163">
      <c r="A163" s="44" t="s">
        <v>134</v>
      </c>
      <c r="B163" s="44" t="n">
        <v>1000</v>
      </c>
      <c r="D163" s="44" t="s">
        <v>134</v>
      </c>
      <c r="E163" s="44" t="n">
        <v>1000</v>
      </c>
      <c r="G163" s="44" t="s">
        <v>134</v>
      </c>
      <c r="H163" s="44" t="n">
        <v>1000</v>
      </c>
      <c r="J163" s="44" t="s">
        <v>134</v>
      </c>
      <c r="K163" s="44" t="n">
        <v>1000</v>
      </c>
      <c r="M163" s="44" t="s">
        <v>134</v>
      </c>
      <c r="N163" s="44" t="n">
        <v>1000</v>
      </c>
      <c r="P163" s="44" t="s">
        <v>134</v>
      </c>
      <c r="Q163" s="44" t="n">
        <v>1000</v>
      </c>
      <c r="S163" s="44" t="s">
        <v>134</v>
      </c>
      <c r="T163" s="44" t="n">
        <v>1000</v>
      </c>
      <c r="V163" s="44" t="s">
        <v>134</v>
      </c>
      <c r="W163" s="44" t="n">
        <v>1000</v>
      </c>
      <c r="Y163" s="44" t="s">
        <v>134</v>
      </c>
      <c r="Z163" s="44" t="n">
        <v>1000</v>
      </c>
      <c r="AB163" s="44" t="s">
        <v>134</v>
      </c>
      <c r="AC163" s="44" t="n">
        <v>1000</v>
      </c>
      <c r="AE163" s="44" t="s">
        <v>134</v>
      </c>
      <c r="AF163" s="44" t="n">
        <v>1000</v>
      </c>
      <c r="AH163" s="44" t="s">
        <v>134</v>
      </c>
      <c r="AI163" s="44" t="n">
        <v>1000</v>
      </c>
      <c r="AK163" s="44" t="s">
        <v>134</v>
      </c>
      <c r="AL163" s="44" t="n">
        <v>1000</v>
      </c>
      <c r="AN163" s="44" t="s">
        <v>134</v>
      </c>
      <c r="AO163" s="44" t="n">
        <v>1000</v>
      </c>
      <c r="AQ163" s="44" t="s">
        <v>134</v>
      </c>
      <c r="AR163" s="44" t="n">
        <v>1000</v>
      </c>
      <c r="AT163" s="44" t="s">
        <v>134</v>
      </c>
      <c r="AU163" s="44" t="n">
        <v>1000</v>
      </c>
      <c r="AW163" s="44" t="s">
        <v>134</v>
      </c>
      <c r="AX163" s="44" t="n">
        <v>1000</v>
      </c>
      <c r="AZ163" s="44" t="s">
        <v>134</v>
      </c>
      <c r="BA163" s="44" t="n">
        <v>1000</v>
      </c>
      <c r="BC163" s="44" t="s">
        <v>134</v>
      </c>
      <c r="BD163" s="44" t="n">
        <v>1000</v>
      </c>
      <c r="BF163" s="44" t="s">
        <v>134</v>
      </c>
      <c r="BG163" s="44" t="n">
        <v>1000</v>
      </c>
      <c r="BI163" s="44" t="s">
        <v>134</v>
      </c>
      <c r="BJ163" s="44" t="n">
        <v>1000</v>
      </c>
      <c r="BL163" s="44" t="s">
        <v>134</v>
      </c>
      <c r="BM163" s="44" t="n">
        <v>1000</v>
      </c>
      <c r="BO163" s="44" t="s">
        <v>134</v>
      </c>
      <c r="BP163" s="44" t="n">
        <v>1000</v>
      </c>
      <c r="BR163" s="44" t="s">
        <v>134</v>
      </c>
      <c r="BS163" s="44" t="n">
        <v>1000</v>
      </c>
      <c r="BU163" s="44" t="s">
        <v>134</v>
      </c>
      <c r="BV163" s="44" t="n">
        <v>1000</v>
      </c>
      <c r="BX163" s="44" t="s">
        <v>134</v>
      </c>
      <c r="BY163" s="44" t="n">
        <v>1000</v>
      </c>
      <c r="CA163" s="44" t="s">
        <v>134</v>
      </c>
      <c r="CB163" s="44" t="n">
        <v>1000</v>
      </c>
      <c r="CD163" s="44" t="s">
        <v>134</v>
      </c>
      <c r="CE163" s="44" t="n">
        <v>1000</v>
      </c>
      <c r="CG163" s="44" t="s">
        <v>134</v>
      </c>
      <c r="CH163" s="44" t="n">
        <v>1000</v>
      </c>
      <c r="CJ163" s="44" t="s">
        <v>134</v>
      </c>
      <c r="CK163" s="44" t="n">
        <v>1000</v>
      </c>
      <c r="CM163" s="44" t="s">
        <v>134</v>
      </c>
      <c r="CN163" s="44" t="n">
        <v>1000</v>
      </c>
      <c r="CP163" s="44" t="s">
        <v>134</v>
      </c>
      <c r="CQ163" s="44" t="n">
        <v>1000</v>
      </c>
      <c r="CS163" s="44" t="s">
        <v>134</v>
      </c>
      <c r="CT163" s="44" t="n">
        <v>1000</v>
      </c>
      <c r="CV163" s="44" t="s">
        <v>134</v>
      </c>
      <c r="CW163" s="44" t="n">
        <v>1000</v>
      </c>
    </row>
    <row collapsed="false" customFormat="false" customHeight="false" hidden="false" ht="12.75" outlineLevel="0" r="165">
      <c r="A165" s="44" t="s">
        <v>135</v>
      </c>
      <c r="B165" s="44" t="n">
        <v>0.05</v>
      </c>
      <c r="D165" s="44" t="s">
        <v>135</v>
      </c>
      <c r="E165" s="44" t="n">
        <v>0.05</v>
      </c>
      <c r="G165" s="44" t="s">
        <v>135</v>
      </c>
      <c r="H165" s="44" t="n">
        <v>0.05</v>
      </c>
      <c r="J165" s="44" t="s">
        <v>135</v>
      </c>
      <c r="K165" s="44" t="n">
        <v>0.05</v>
      </c>
      <c r="M165" s="44" t="s">
        <v>135</v>
      </c>
      <c r="N165" s="44" t="n">
        <v>0.05</v>
      </c>
      <c r="P165" s="44" t="s">
        <v>135</v>
      </c>
      <c r="Q165" s="44" t="n">
        <v>0.05</v>
      </c>
      <c r="S165" s="44" t="s">
        <v>135</v>
      </c>
      <c r="T165" s="44" t="n">
        <v>0.05</v>
      </c>
      <c r="V165" s="44" t="s">
        <v>135</v>
      </c>
      <c r="W165" s="44" t="n">
        <v>0.05</v>
      </c>
      <c r="Y165" s="44" t="s">
        <v>135</v>
      </c>
      <c r="Z165" s="44" t="n">
        <v>0.05</v>
      </c>
      <c r="AB165" s="44" t="s">
        <v>135</v>
      </c>
      <c r="AC165" s="44" t="n">
        <v>0.05</v>
      </c>
      <c r="AE165" s="44" t="s">
        <v>135</v>
      </c>
      <c r="AF165" s="44" t="n">
        <v>0.05</v>
      </c>
      <c r="AH165" s="44" t="s">
        <v>135</v>
      </c>
      <c r="AI165" s="44" t="n">
        <v>0.05</v>
      </c>
      <c r="AK165" s="44" t="s">
        <v>135</v>
      </c>
      <c r="AL165" s="44" t="n">
        <v>0.05</v>
      </c>
      <c r="AN165" s="44" t="s">
        <v>135</v>
      </c>
      <c r="AO165" s="44" t="n">
        <v>0.05</v>
      </c>
      <c r="AQ165" s="44" t="s">
        <v>135</v>
      </c>
      <c r="AR165" s="44" t="n">
        <v>0.05</v>
      </c>
      <c r="AT165" s="44" t="s">
        <v>135</v>
      </c>
      <c r="AU165" s="44" t="n">
        <v>0.05</v>
      </c>
      <c r="AW165" s="44" t="s">
        <v>135</v>
      </c>
      <c r="AX165" s="44" t="n">
        <v>0.05</v>
      </c>
      <c r="AZ165" s="44" t="s">
        <v>135</v>
      </c>
      <c r="BA165" s="44" t="n">
        <v>0.05</v>
      </c>
      <c r="BC165" s="44" t="s">
        <v>135</v>
      </c>
      <c r="BD165" s="44" t="n">
        <v>0.05</v>
      </c>
      <c r="BF165" s="44" t="s">
        <v>135</v>
      </c>
      <c r="BG165" s="44" t="n">
        <v>0.05</v>
      </c>
      <c r="BI165" s="44" t="s">
        <v>135</v>
      </c>
      <c r="BJ165" s="44" t="n">
        <v>0.05</v>
      </c>
      <c r="BL165" s="44" t="s">
        <v>135</v>
      </c>
      <c r="BM165" s="44" t="n">
        <v>0.05</v>
      </c>
      <c r="BO165" s="44" t="s">
        <v>135</v>
      </c>
      <c r="BP165" s="44" t="n">
        <v>0.05</v>
      </c>
      <c r="BR165" s="44" t="s">
        <v>135</v>
      </c>
      <c r="BS165" s="44" t="n">
        <v>0.05</v>
      </c>
      <c r="BU165" s="44" t="s">
        <v>135</v>
      </c>
      <c r="BV165" s="44" t="n">
        <v>0.05</v>
      </c>
      <c r="BX165" s="44" t="s">
        <v>135</v>
      </c>
      <c r="BY165" s="44" t="n">
        <v>0.05</v>
      </c>
      <c r="CA165" s="44" t="s">
        <v>135</v>
      </c>
      <c r="CB165" s="44" t="n">
        <v>0.05</v>
      </c>
      <c r="CD165" s="44" t="s">
        <v>135</v>
      </c>
      <c r="CE165" s="44" t="n">
        <v>0.05</v>
      </c>
      <c r="CG165" s="44" t="s">
        <v>135</v>
      </c>
      <c r="CH165" s="44" t="n">
        <v>0.05</v>
      </c>
      <c r="CJ165" s="44" t="s">
        <v>135</v>
      </c>
      <c r="CK165" s="44" t="n">
        <v>0.05</v>
      </c>
      <c r="CM165" s="44" t="s">
        <v>135</v>
      </c>
      <c r="CN165" s="44" t="n">
        <v>0.05</v>
      </c>
      <c r="CP165" s="44" t="s">
        <v>135</v>
      </c>
      <c r="CQ165" s="44" t="n">
        <v>0.05</v>
      </c>
      <c r="CS165" s="44" t="s">
        <v>135</v>
      </c>
      <c r="CT165" s="44" t="n">
        <v>0.05</v>
      </c>
      <c r="CV165" s="44" t="s">
        <v>135</v>
      </c>
      <c r="CW165" s="44" t="n">
        <v>0.05</v>
      </c>
    </row>
    <row collapsed="false" customFormat="false" customHeight="false" hidden="false" ht="12.75" outlineLevel="0" r="167">
      <c r="A167" s="44" t="s">
        <v>136</v>
      </c>
      <c r="B167" s="44" t="n">
        <v>-0.162266</v>
      </c>
      <c r="D167" s="44" t="s">
        <v>136</v>
      </c>
      <c r="E167" s="44" t="n">
        <v>-0.156429</v>
      </c>
      <c r="G167" s="44" t="s">
        <v>136</v>
      </c>
      <c r="H167" s="44" t="n">
        <v>-0.152901</v>
      </c>
      <c r="J167" s="44" t="s">
        <v>136</v>
      </c>
      <c r="K167" s="44" t="n">
        <v>-0.15721</v>
      </c>
      <c r="M167" s="44" t="s">
        <v>136</v>
      </c>
      <c r="N167" s="44" t="n">
        <v>-0.156169</v>
      </c>
      <c r="P167" s="44" t="s">
        <v>136</v>
      </c>
      <c r="Q167" s="44" t="n">
        <v>-0.154227</v>
      </c>
      <c r="S167" s="44" t="s">
        <v>136</v>
      </c>
      <c r="T167" s="44" t="n">
        <v>-0.150299</v>
      </c>
      <c r="V167" s="44" t="s">
        <v>136</v>
      </c>
      <c r="W167" s="44" t="n">
        <v>-0.150844</v>
      </c>
      <c r="Y167" s="44" t="s">
        <v>136</v>
      </c>
      <c r="Z167" s="44" t="n">
        <v>-0.15227</v>
      </c>
      <c r="AB167" s="44" t="s">
        <v>136</v>
      </c>
      <c r="AC167" s="44" t="n">
        <v>-0.156703</v>
      </c>
      <c r="AE167" s="44" t="s">
        <v>136</v>
      </c>
      <c r="AF167" s="44" t="n">
        <v>-0.162056</v>
      </c>
      <c r="AH167" s="44" t="s">
        <v>136</v>
      </c>
      <c r="AI167" s="44" t="n">
        <v>-0.170294</v>
      </c>
      <c r="AK167" s="44" t="s">
        <v>136</v>
      </c>
      <c r="AL167" s="44" t="n">
        <v>-0.170832</v>
      </c>
      <c r="AN167" s="44" t="s">
        <v>136</v>
      </c>
      <c r="AO167" s="44" t="n">
        <v>-0.179608</v>
      </c>
      <c r="AQ167" s="44" t="s">
        <v>136</v>
      </c>
      <c r="AR167" s="44" t="n">
        <v>-0.189448</v>
      </c>
      <c r="AT167" s="44" t="s">
        <v>136</v>
      </c>
      <c r="AU167" s="44" t="n">
        <v>-0.200073</v>
      </c>
      <c r="AW167" s="44" t="s">
        <v>136</v>
      </c>
      <c r="AX167" s="44" t="n">
        <v>-0.210615</v>
      </c>
      <c r="AZ167" s="44" t="s">
        <v>136</v>
      </c>
      <c r="BA167" s="44" t="n">
        <v>-0.224181</v>
      </c>
      <c r="BC167" s="44" t="s">
        <v>136</v>
      </c>
      <c r="BD167" s="44" t="n">
        <v>-0.237575</v>
      </c>
      <c r="BF167" s="44" t="s">
        <v>136</v>
      </c>
      <c r="BG167" s="44" t="n">
        <v>-0.251153</v>
      </c>
      <c r="BI167" s="44" t="s">
        <v>136</v>
      </c>
      <c r="BJ167" s="44" t="n">
        <v>-0.266577</v>
      </c>
      <c r="BL167" s="44" t="s">
        <v>136</v>
      </c>
      <c r="BM167" s="44" t="n">
        <v>-0.282982</v>
      </c>
      <c r="BO167" s="44" t="s">
        <v>136</v>
      </c>
      <c r="BP167" s="44" t="n">
        <v>-0.298626</v>
      </c>
      <c r="BR167" s="44" t="s">
        <v>136</v>
      </c>
      <c r="BS167" s="44" t="n">
        <v>-0.316247</v>
      </c>
      <c r="BU167" s="44" t="s">
        <v>136</v>
      </c>
      <c r="BV167" s="44" t="n">
        <v>-0.333049</v>
      </c>
      <c r="BX167" s="44" t="s">
        <v>136</v>
      </c>
      <c r="BY167" s="44" t="n">
        <v>-0.35215</v>
      </c>
      <c r="CA167" s="44" t="s">
        <v>136</v>
      </c>
      <c r="CB167" s="44" t="n">
        <v>-0.372493</v>
      </c>
      <c r="CD167" s="44" t="s">
        <v>136</v>
      </c>
      <c r="CE167" s="44" t="n">
        <v>-0.395028</v>
      </c>
      <c r="CG167" s="44" t="s">
        <v>136</v>
      </c>
      <c r="CH167" s="44" t="n">
        <v>-0.415599</v>
      </c>
      <c r="CJ167" s="44" t="s">
        <v>136</v>
      </c>
      <c r="CK167" s="44" t="n">
        <v>-0.439175</v>
      </c>
      <c r="CM167" s="44" t="s">
        <v>136</v>
      </c>
      <c r="CN167" s="44" t="n">
        <v>-0.46267</v>
      </c>
      <c r="CP167" s="44" t="s">
        <v>136</v>
      </c>
      <c r="CQ167" s="44" t="n">
        <v>-0.485709</v>
      </c>
      <c r="CS167" s="44" t="s">
        <v>136</v>
      </c>
      <c r="CT167" s="44" t="n">
        <v>-0.510449</v>
      </c>
      <c r="CV167" s="44" t="s">
        <v>136</v>
      </c>
      <c r="CW167" s="44" t="n">
        <v>-0.534245</v>
      </c>
    </row>
    <row collapsed="false" customFormat="false" customHeight="false" hidden="false" ht="12.75" outlineLevel="0" r="169">
      <c r="A169" s="44" t="s">
        <v>137</v>
      </c>
      <c r="B169" s="44" t="s">
        <v>119</v>
      </c>
      <c r="D169" s="44" t="s">
        <v>137</v>
      </c>
      <c r="E169" s="44" t="s">
        <v>119</v>
      </c>
      <c r="G169" s="44" t="s">
        <v>137</v>
      </c>
      <c r="H169" s="44" t="s">
        <v>119</v>
      </c>
      <c r="J169" s="44" t="s">
        <v>137</v>
      </c>
      <c r="K169" s="44" t="s">
        <v>119</v>
      </c>
      <c r="M169" s="44" t="s">
        <v>137</v>
      </c>
      <c r="N169" s="44" t="s">
        <v>119</v>
      </c>
      <c r="P169" s="44" t="s">
        <v>137</v>
      </c>
      <c r="Q169" s="44" t="s">
        <v>119</v>
      </c>
      <c r="S169" s="44" t="s">
        <v>137</v>
      </c>
      <c r="T169" s="44" t="s">
        <v>119</v>
      </c>
      <c r="V169" s="44" t="s">
        <v>137</v>
      </c>
      <c r="W169" s="44" t="s">
        <v>119</v>
      </c>
      <c r="Y169" s="44" t="s">
        <v>137</v>
      </c>
      <c r="Z169" s="44" t="s">
        <v>119</v>
      </c>
      <c r="AB169" s="44" t="s">
        <v>137</v>
      </c>
      <c r="AC169" s="44" t="s">
        <v>119</v>
      </c>
      <c r="AE169" s="44" t="s">
        <v>137</v>
      </c>
      <c r="AF169" s="44" t="s">
        <v>119</v>
      </c>
      <c r="AH169" s="44" t="s">
        <v>137</v>
      </c>
      <c r="AI169" s="44" t="s">
        <v>119</v>
      </c>
      <c r="AK169" s="44" t="s">
        <v>137</v>
      </c>
      <c r="AL169" s="44" t="s">
        <v>119</v>
      </c>
      <c r="AN169" s="44" t="s">
        <v>137</v>
      </c>
      <c r="AO169" s="44" t="s">
        <v>119</v>
      </c>
      <c r="AQ169" s="44" t="s">
        <v>137</v>
      </c>
      <c r="AR169" s="44" t="s">
        <v>119</v>
      </c>
      <c r="AT169" s="44" t="s">
        <v>137</v>
      </c>
      <c r="AU169" s="44" t="s">
        <v>119</v>
      </c>
      <c r="AW169" s="44" t="s">
        <v>137</v>
      </c>
      <c r="AX169" s="44" t="s">
        <v>119</v>
      </c>
      <c r="AZ169" s="44" t="s">
        <v>137</v>
      </c>
      <c r="BA169" s="44" t="s">
        <v>119</v>
      </c>
      <c r="BC169" s="44" t="s">
        <v>137</v>
      </c>
      <c r="BD169" s="44" t="s">
        <v>119</v>
      </c>
      <c r="BF169" s="44" t="s">
        <v>137</v>
      </c>
      <c r="BG169" s="44" t="s">
        <v>119</v>
      </c>
      <c r="BI169" s="44" t="s">
        <v>137</v>
      </c>
      <c r="BJ169" s="44" t="s">
        <v>119</v>
      </c>
      <c r="BL169" s="44" t="s">
        <v>137</v>
      </c>
      <c r="BM169" s="44" t="s">
        <v>119</v>
      </c>
      <c r="BO169" s="44" t="s">
        <v>137</v>
      </c>
      <c r="BP169" s="44" t="s">
        <v>119</v>
      </c>
      <c r="BR169" s="44" t="s">
        <v>137</v>
      </c>
      <c r="BS169" s="44" t="s">
        <v>119</v>
      </c>
      <c r="BU169" s="44" t="s">
        <v>137</v>
      </c>
      <c r="BV169" s="44" t="s">
        <v>119</v>
      </c>
      <c r="BX169" s="44" t="s">
        <v>137</v>
      </c>
      <c r="BY169" s="44" t="s">
        <v>119</v>
      </c>
      <c r="CA169" s="44" t="s">
        <v>137</v>
      </c>
      <c r="CB169" s="44" t="s">
        <v>119</v>
      </c>
      <c r="CD169" s="44" t="s">
        <v>137</v>
      </c>
      <c r="CE169" s="44" t="s">
        <v>119</v>
      </c>
      <c r="CG169" s="44" t="s">
        <v>137</v>
      </c>
      <c r="CH169" s="44" t="s">
        <v>119</v>
      </c>
      <c r="CJ169" s="44" t="s">
        <v>137</v>
      </c>
      <c r="CK169" s="44" t="s">
        <v>119</v>
      </c>
      <c r="CM169" s="44" t="s">
        <v>137</v>
      </c>
      <c r="CN169" s="44" t="s">
        <v>119</v>
      </c>
      <c r="CP169" s="44" t="s">
        <v>137</v>
      </c>
      <c r="CQ169" s="44" t="s">
        <v>119</v>
      </c>
      <c r="CS169" s="44" t="s">
        <v>137</v>
      </c>
      <c r="CT169" s="44" t="s">
        <v>119</v>
      </c>
      <c r="CV169" s="44" t="s">
        <v>137</v>
      </c>
      <c r="CW169" s="44" t="s">
        <v>119</v>
      </c>
    </row>
    <row collapsed="false" customFormat="false" customHeight="false" hidden="false" ht="12.75" outlineLevel="0" r="171">
      <c r="A171" s="44" t="s">
        <v>138</v>
      </c>
      <c r="B171" s="44" t="s">
        <v>119</v>
      </c>
      <c r="D171" s="44" t="s">
        <v>138</v>
      </c>
      <c r="E171" s="44" t="s">
        <v>119</v>
      </c>
      <c r="G171" s="44" t="s">
        <v>138</v>
      </c>
      <c r="H171" s="44" t="s">
        <v>119</v>
      </c>
      <c r="J171" s="44" t="s">
        <v>138</v>
      </c>
      <c r="K171" s="44" t="s">
        <v>119</v>
      </c>
      <c r="M171" s="44" t="s">
        <v>138</v>
      </c>
      <c r="N171" s="44" t="s">
        <v>119</v>
      </c>
      <c r="P171" s="44" t="s">
        <v>138</v>
      </c>
      <c r="Q171" s="44" t="s">
        <v>119</v>
      </c>
      <c r="S171" s="44" t="s">
        <v>138</v>
      </c>
      <c r="T171" s="44" t="s">
        <v>119</v>
      </c>
      <c r="V171" s="44" t="s">
        <v>138</v>
      </c>
      <c r="W171" s="44" t="s">
        <v>119</v>
      </c>
      <c r="Y171" s="44" t="s">
        <v>138</v>
      </c>
      <c r="Z171" s="44" t="s">
        <v>119</v>
      </c>
      <c r="AB171" s="44" t="s">
        <v>138</v>
      </c>
      <c r="AC171" s="44" t="s">
        <v>119</v>
      </c>
      <c r="AE171" s="44" t="s">
        <v>138</v>
      </c>
      <c r="AF171" s="44" t="s">
        <v>119</v>
      </c>
      <c r="AH171" s="44" t="s">
        <v>138</v>
      </c>
      <c r="AI171" s="44" t="s">
        <v>119</v>
      </c>
      <c r="AK171" s="44" t="s">
        <v>138</v>
      </c>
      <c r="AL171" s="44" t="s">
        <v>119</v>
      </c>
      <c r="AN171" s="44" t="s">
        <v>138</v>
      </c>
      <c r="AO171" s="44" t="s">
        <v>119</v>
      </c>
      <c r="AQ171" s="44" t="s">
        <v>138</v>
      </c>
      <c r="AR171" s="44" t="s">
        <v>119</v>
      </c>
      <c r="AT171" s="44" t="s">
        <v>138</v>
      </c>
      <c r="AU171" s="44" t="s">
        <v>119</v>
      </c>
      <c r="AW171" s="44" t="s">
        <v>138</v>
      </c>
      <c r="AX171" s="44" t="s">
        <v>119</v>
      </c>
      <c r="AZ171" s="44" t="s">
        <v>138</v>
      </c>
      <c r="BA171" s="44" t="s">
        <v>119</v>
      </c>
      <c r="BC171" s="44" t="s">
        <v>138</v>
      </c>
      <c r="BD171" s="44" t="s">
        <v>119</v>
      </c>
      <c r="BF171" s="44" t="s">
        <v>138</v>
      </c>
      <c r="BG171" s="44" t="s">
        <v>119</v>
      </c>
      <c r="BI171" s="44" t="s">
        <v>138</v>
      </c>
      <c r="BJ171" s="44" t="s">
        <v>119</v>
      </c>
      <c r="BL171" s="44" t="s">
        <v>138</v>
      </c>
      <c r="BM171" s="44" t="s">
        <v>119</v>
      </c>
      <c r="BO171" s="44" t="s">
        <v>138</v>
      </c>
      <c r="BP171" s="44" t="s">
        <v>119</v>
      </c>
      <c r="BR171" s="44" t="s">
        <v>138</v>
      </c>
      <c r="BS171" s="44" t="s">
        <v>119</v>
      </c>
      <c r="BU171" s="44" t="s">
        <v>138</v>
      </c>
      <c r="BV171" s="44" t="s">
        <v>119</v>
      </c>
      <c r="BX171" s="44" t="s">
        <v>138</v>
      </c>
      <c r="BY171" s="44" t="s">
        <v>119</v>
      </c>
      <c r="CA171" s="44" t="s">
        <v>138</v>
      </c>
      <c r="CB171" s="44" t="s">
        <v>119</v>
      </c>
      <c r="CD171" s="44" t="s">
        <v>138</v>
      </c>
      <c r="CE171" s="44" t="s">
        <v>119</v>
      </c>
      <c r="CG171" s="44" t="s">
        <v>138</v>
      </c>
      <c r="CH171" s="44" t="s">
        <v>119</v>
      </c>
      <c r="CJ171" s="44" t="s">
        <v>138</v>
      </c>
      <c r="CK171" s="44" t="s">
        <v>119</v>
      </c>
      <c r="CM171" s="44" t="s">
        <v>138</v>
      </c>
      <c r="CN171" s="44" t="s">
        <v>119</v>
      </c>
      <c r="CP171" s="44" t="s">
        <v>138</v>
      </c>
      <c r="CQ171" s="44" t="s">
        <v>119</v>
      </c>
      <c r="CS171" s="44" t="s">
        <v>138</v>
      </c>
      <c r="CT171" s="44" t="s">
        <v>119</v>
      </c>
      <c r="CV171" s="44" t="s">
        <v>138</v>
      </c>
      <c r="CW171" s="44" t="s">
        <v>119</v>
      </c>
    </row>
    <row collapsed="false" customFormat="false" customHeight="false" hidden="false" ht="12.75" outlineLevel="0" r="173">
      <c r="A173" s="44" t="s">
        <v>139</v>
      </c>
      <c r="B173" s="44" t="s">
        <v>121</v>
      </c>
      <c r="D173" s="44" t="s">
        <v>139</v>
      </c>
      <c r="E173" s="44" t="s">
        <v>121</v>
      </c>
      <c r="G173" s="44" t="s">
        <v>139</v>
      </c>
      <c r="H173" s="44" t="s">
        <v>121</v>
      </c>
      <c r="J173" s="44" t="s">
        <v>139</v>
      </c>
      <c r="K173" s="44" t="s">
        <v>121</v>
      </c>
      <c r="M173" s="44" t="s">
        <v>139</v>
      </c>
      <c r="N173" s="44" t="s">
        <v>121</v>
      </c>
      <c r="P173" s="44" t="s">
        <v>139</v>
      </c>
      <c r="Q173" s="44" t="s">
        <v>121</v>
      </c>
      <c r="S173" s="44" t="s">
        <v>139</v>
      </c>
      <c r="T173" s="44" t="s">
        <v>121</v>
      </c>
      <c r="V173" s="44" t="s">
        <v>139</v>
      </c>
      <c r="W173" s="44" t="s">
        <v>121</v>
      </c>
      <c r="Y173" s="44" t="s">
        <v>139</v>
      </c>
      <c r="Z173" s="44" t="s">
        <v>121</v>
      </c>
      <c r="AB173" s="44" t="s">
        <v>139</v>
      </c>
      <c r="AC173" s="44" t="s">
        <v>121</v>
      </c>
      <c r="AE173" s="44" t="s">
        <v>139</v>
      </c>
      <c r="AF173" s="44" t="s">
        <v>121</v>
      </c>
      <c r="AH173" s="44" t="s">
        <v>139</v>
      </c>
      <c r="AI173" s="44" t="s">
        <v>121</v>
      </c>
      <c r="AK173" s="44" t="s">
        <v>139</v>
      </c>
      <c r="AL173" s="44" t="s">
        <v>121</v>
      </c>
      <c r="AN173" s="44" t="s">
        <v>139</v>
      </c>
      <c r="AO173" s="44" t="s">
        <v>121</v>
      </c>
      <c r="AQ173" s="44" t="s">
        <v>139</v>
      </c>
      <c r="AR173" s="44" t="s">
        <v>121</v>
      </c>
      <c r="AT173" s="44" t="s">
        <v>139</v>
      </c>
      <c r="AU173" s="44" t="s">
        <v>121</v>
      </c>
      <c r="AW173" s="44" t="s">
        <v>139</v>
      </c>
      <c r="AX173" s="44" t="s">
        <v>121</v>
      </c>
      <c r="AZ173" s="44" t="s">
        <v>139</v>
      </c>
      <c r="BA173" s="44" t="s">
        <v>121</v>
      </c>
      <c r="BC173" s="44" t="s">
        <v>139</v>
      </c>
      <c r="BD173" s="44" t="s">
        <v>121</v>
      </c>
      <c r="BF173" s="44" t="s">
        <v>139</v>
      </c>
      <c r="BG173" s="44" t="s">
        <v>121</v>
      </c>
      <c r="BI173" s="44" t="s">
        <v>139</v>
      </c>
      <c r="BJ173" s="44" t="s">
        <v>121</v>
      </c>
      <c r="BL173" s="44" t="s">
        <v>139</v>
      </c>
      <c r="BM173" s="44" t="s">
        <v>121</v>
      </c>
      <c r="BO173" s="44" t="s">
        <v>139</v>
      </c>
      <c r="BP173" s="44" t="s">
        <v>121</v>
      </c>
      <c r="BR173" s="44" t="s">
        <v>139</v>
      </c>
      <c r="BS173" s="44" t="s">
        <v>121</v>
      </c>
      <c r="BU173" s="44" t="s">
        <v>139</v>
      </c>
      <c r="BV173" s="44" t="s">
        <v>121</v>
      </c>
      <c r="BX173" s="44" t="s">
        <v>139</v>
      </c>
      <c r="BY173" s="44" t="s">
        <v>121</v>
      </c>
      <c r="CA173" s="44" t="s">
        <v>139</v>
      </c>
      <c r="CB173" s="44" t="s">
        <v>121</v>
      </c>
      <c r="CD173" s="44" t="s">
        <v>139</v>
      </c>
      <c r="CE173" s="44" t="s">
        <v>121</v>
      </c>
      <c r="CG173" s="44" t="s">
        <v>139</v>
      </c>
      <c r="CH173" s="44" t="s">
        <v>121</v>
      </c>
      <c r="CJ173" s="44" t="s">
        <v>139</v>
      </c>
      <c r="CK173" s="44" t="s">
        <v>121</v>
      </c>
      <c r="CM173" s="44" t="s">
        <v>139</v>
      </c>
      <c r="CN173" s="44" t="s">
        <v>121</v>
      </c>
      <c r="CP173" s="44" t="s">
        <v>139</v>
      </c>
      <c r="CQ173" s="44" t="s">
        <v>121</v>
      </c>
      <c r="CS173" s="44" t="s">
        <v>139</v>
      </c>
      <c r="CT173" s="44" t="s">
        <v>121</v>
      </c>
      <c r="CV173" s="44" t="s">
        <v>139</v>
      </c>
      <c r="CW173" s="44" t="s">
        <v>121</v>
      </c>
    </row>
    <row collapsed="false" customFormat="false" customHeight="false" hidden="false" ht="12.75" outlineLevel="0" r="175">
      <c r="A175" s="44" t="s">
        <v>140</v>
      </c>
      <c r="B175" s="44" t="n">
        <v>20000</v>
      </c>
      <c r="D175" s="44" t="s">
        <v>140</v>
      </c>
      <c r="E175" s="44" t="n">
        <v>20000</v>
      </c>
      <c r="G175" s="44" t="s">
        <v>140</v>
      </c>
      <c r="H175" s="44" t="n">
        <v>20000</v>
      </c>
      <c r="J175" s="44" t="s">
        <v>140</v>
      </c>
      <c r="K175" s="44" t="n">
        <v>20000</v>
      </c>
      <c r="M175" s="44" t="s">
        <v>140</v>
      </c>
      <c r="N175" s="44" t="n">
        <v>20000</v>
      </c>
      <c r="P175" s="44" t="s">
        <v>140</v>
      </c>
      <c r="Q175" s="44" t="n">
        <v>20000</v>
      </c>
      <c r="S175" s="44" t="s">
        <v>140</v>
      </c>
      <c r="T175" s="44" t="n">
        <v>20000</v>
      </c>
      <c r="V175" s="44" t="s">
        <v>140</v>
      </c>
      <c r="W175" s="44" t="n">
        <v>20000</v>
      </c>
      <c r="Y175" s="44" t="s">
        <v>140</v>
      </c>
      <c r="Z175" s="44" t="n">
        <v>20000</v>
      </c>
      <c r="AB175" s="44" t="s">
        <v>140</v>
      </c>
      <c r="AC175" s="44" t="n">
        <v>20000</v>
      </c>
      <c r="AE175" s="44" t="s">
        <v>140</v>
      </c>
      <c r="AF175" s="44" t="n">
        <v>20000</v>
      </c>
      <c r="AH175" s="44" t="s">
        <v>140</v>
      </c>
      <c r="AI175" s="44" t="n">
        <v>20000</v>
      </c>
      <c r="AK175" s="44" t="s">
        <v>140</v>
      </c>
      <c r="AL175" s="44" t="n">
        <v>20000</v>
      </c>
      <c r="AN175" s="44" t="s">
        <v>140</v>
      </c>
      <c r="AO175" s="44" t="n">
        <v>20000</v>
      </c>
      <c r="AQ175" s="44" t="s">
        <v>140</v>
      </c>
      <c r="AR175" s="44" t="n">
        <v>20000</v>
      </c>
      <c r="AT175" s="44" t="s">
        <v>140</v>
      </c>
      <c r="AU175" s="44" t="n">
        <v>20000</v>
      </c>
      <c r="AW175" s="44" t="s">
        <v>140</v>
      </c>
      <c r="AX175" s="44" t="n">
        <v>20000</v>
      </c>
      <c r="AZ175" s="44" t="s">
        <v>140</v>
      </c>
      <c r="BA175" s="44" t="n">
        <v>20000</v>
      </c>
      <c r="BC175" s="44" t="s">
        <v>140</v>
      </c>
      <c r="BD175" s="44" t="n">
        <v>20000</v>
      </c>
      <c r="BF175" s="44" t="s">
        <v>140</v>
      </c>
      <c r="BG175" s="44" t="n">
        <v>20000</v>
      </c>
      <c r="BI175" s="44" t="s">
        <v>140</v>
      </c>
      <c r="BJ175" s="44" t="n">
        <v>20000</v>
      </c>
      <c r="BL175" s="44" t="s">
        <v>140</v>
      </c>
      <c r="BM175" s="44" t="n">
        <v>20000</v>
      </c>
      <c r="BO175" s="44" t="s">
        <v>140</v>
      </c>
      <c r="BP175" s="44" t="n">
        <v>20000</v>
      </c>
      <c r="BR175" s="44" t="s">
        <v>140</v>
      </c>
      <c r="BS175" s="44" t="n">
        <v>20000</v>
      </c>
      <c r="BU175" s="44" t="s">
        <v>140</v>
      </c>
      <c r="BV175" s="44" t="n">
        <v>20000</v>
      </c>
      <c r="BX175" s="44" t="s">
        <v>140</v>
      </c>
      <c r="BY175" s="44" t="n">
        <v>20000</v>
      </c>
      <c r="CA175" s="44" t="s">
        <v>140</v>
      </c>
      <c r="CB175" s="44" t="n">
        <v>20000</v>
      </c>
      <c r="CD175" s="44" t="s">
        <v>140</v>
      </c>
      <c r="CE175" s="44" t="n">
        <v>20000</v>
      </c>
      <c r="CG175" s="44" t="s">
        <v>140</v>
      </c>
      <c r="CH175" s="44" t="n">
        <v>20000</v>
      </c>
      <c r="CJ175" s="44" t="s">
        <v>140</v>
      </c>
      <c r="CK175" s="44" t="n">
        <v>20000</v>
      </c>
      <c r="CM175" s="44" t="s">
        <v>140</v>
      </c>
      <c r="CN175" s="44" t="n">
        <v>20000</v>
      </c>
      <c r="CP175" s="44" t="s">
        <v>140</v>
      </c>
      <c r="CQ175" s="44" t="n">
        <v>20000</v>
      </c>
      <c r="CS175" s="44" t="s">
        <v>140</v>
      </c>
      <c r="CT175" s="44" t="n">
        <v>20000</v>
      </c>
      <c r="CV175" s="44" t="s">
        <v>140</v>
      </c>
      <c r="CW175" s="44" t="n">
        <v>20000</v>
      </c>
    </row>
    <row collapsed="false" customFormat="false" customHeight="false" hidden="false" ht="12.75" outlineLevel="0" r="177">
      <c r="A177" s="44" t="s">
        <v>141</v>
      </c>
      <c r="B177" s="44" t="n">
        <v>6</v>
      </c>
      <c r="D177" s="44" t="s">
        <v>141</v>
      </c>
      <c r="E177" s="44" t="n">
        <v>6</v>
      </c>
      <c r="G177" s="44" t="s">
        <v>141</v>
      </c>
      <c r="H177" s="44" t="n">
        <v>6</v>
      </c>
      <c r="J177" s="44" t="s">
        <v>141</v>
      </c>
      <c r="K177" s="44" t="n">
        <v>6</v>
      </c>
      <c r="M177" s="44" t="s">
        <v>141</v>
      </c>
      <c r="N177" s="44" t="n">
        <v>6</v>
      </c>
      <c r="P177" s="44" t="s">
        <v>141</v>
      </c>
      <c r="Q177" s="44" t="n">
        <v>6</v>
      </c>
      <c r="S177" s="44" t="s">
        <v>141</v>
      </c>
      <c r="T177" s="44" t="n">
        <v>6</v>
      </c>
      <c r="V177" s="44" t="s">
        <v>141</v>
      </c>
      <c r="W177" s="44" t="n">
        <v>6</v>
      </c>
      <c r="Y177" s="44" t="s">
        <v>141</v>
      </c>
      <c r="Z177" s="44" t="n">
        <v>6</v>
      </c>
      <c r="AB177" s="44" t="s">
        <v>141</v>
      </c>
      <c r="AC177" s="44" t="n">
        <v>6</v>
      </c>
      <c r="AE177" s="44" t="s">
        <v>141</v>
      </c>
      <c r="AF177" s="44" t="n">
        <v>6</v>
      </c>
      <c r="AH177" s="44" t="s">
        <v>141</v>
      </c>
      <c r="AI177" s="44" t="n">
        <v>6</v>
      </c>
      <c r="AK177" s="44" t="s">
        <v>141</v>
      </c>
      <c r="AL177" s="44" t="n">
        <v>6</v>
      </c>
      <c r="AN177" s="44" t="s">
        <v>141</v>
      </c>
      <c r="AO177" s="44" t="n">
        <v>6</v>
      </c>
      <c r="AQ177" s="44" t="s">
        <v>141</v>
      </c>
      <c r="AR177" s="44" t="n">
        <v>6</v>
      </c>
      <c r="AT177" s="44" t="s">
        <v>141</v>
      </c>
      <c r="AU177" s="44" t="n">
        <v>6</v>
      </c>
      <c r="AW177" s="44" t="s">
        <v>141</v>
      </c>
      <c r="AX177" s="44" t="n">
        <v>6</v>
      </c>
      <c r="AZ177" s="44" t="s">
        <v>141</v>
      </c>
      <c r="BA177" s="44" t="n">
        <v>6</v>
      </c>
      <c r="BC177" s="44" t="s">
        <v>141</v>
      </c>
      <c r="BD177" s="44" t="n">
        <v>6</v>
      </c>
      <c r="BF177" s="44" t="s">
        <v>141</v>
      </c>
      <c r="BG177" s="44" t="n">
        <v>6</v>
      </c>
      <c r="BI177" s="44" t="s">
        <v>141</v>
      </c>
      <c r="BJ177" s="44" t="n">
        <v>6</v>
      </c>
      <c r="BL177" s="44" t="s">
        <v>141</v>
      </c>
      <c r="BM177" s="44" t="n">
        <v>6</v>
      </c>
      <c r="BO177" s="44" t="s">
        <v>141</v>
      </c>
      <c r="BP177" s="44" t="n">
        <v>6</v>
      </c>
      <c r="BR177" s="44" t="s">
        <v>141</v>
      </c>
      <c r="BS177" s="44" t="n">
        <v>6</v>
      </c>
      <c r="BU177" s="44" t="s">
        <v>141</v>
      </c>
      <c r="BV177" s="44" t="n">
        <v>6</v>
      </c>
      <c r="BX177" s="44" t="s">
        <v>141</v>
      </c>
      <c r="BY177" s="44" t="n">
        <v>6</v>
      </c>
      <c r="CA177" s="44" t="s">
        <v>141</v>
      </c>
      <c r="CB177" s="44" t="n">
        <v>6</v>
      </c>
      <c r="CD177" s="44" t="s">
        <v>141</v>
      </c>
      <c r="CE177" s="44" t="n">
        <v>6</v>
      </c>
      <c r="CG177" s="44" t="s">
        <v>141</v>
      </c>
      <c r="CH177" s="44" t="n">
        <v>6</v>
      </c>
      <c r="CJ177" s="44" t="s">
        <v>141</v>
      </c>
      <c r="CK177" s="44" t="n">
        <v>6</v>
      </c>
      <c r="CM177" s="44" t="s">
        <v>141</v>
      </c>
      <c r="CN177" s="44" t="n">
        <v>6</v>
      </c>
      <c r="CP177" s="44" t="s">
        <v>141</v>
      </c>
      <c r="CQ177" s="44" t="n">
        <v>6</v>
      </c>
      <c r="CS177" s="44" t="s">
        <v>141</v>
      </c>
      <c r="CT177" s="44" t="n">
        <v>6</v>
      </c>
      <c r="CV177" s="44" t="s">
        <v>141</v>
      </c>
      <c r="CW177" s="44" t="n">
        <v>6</v>
      </c>
    </row>
    <row collapsed="false" customFormat="false" customHeight="false" hidden="false" ht="12.75" outlineLevel="0" r="179">
      <c r="A179" s="44" t="s">
        <v>142</v>
      </c>
      <c r="B179" s="44" t="n">
        <v>1</v>
      </c>
      <c r="D179" s="44" t="s">
        <v>142</v>
      </c>
      <c r="E179" s="44" t="n">
        <v>1</v>
      </c>
      <c r="G179" s="44" t="s">
        <v>142</v>
      </c>
      <c r="H179" s="44" t="n">
        <v>1</v>
      </c>
      <c r="J179" s="44" t="s">
        <v>142</v>
      </c>
      <c r="K179" s="44" t="n">
        <v>1</v>
      </c>
      <c r="M179" s="44" t="s">
        <v>142</v>
      </c>
      <c r="N179" s="44" t="n">
        <v>1</v>
      </c>
      <c r="P179" s="44" t="s">
        <v>142</v>
      </c>
      <c r="Q179" s="44" t="n">
        <v>1</v>
      </c>
      <c r="S179" s="44" t="s">
        <v>142</v>
      </c>
      <c r="T179" s="44" t="n">
        <v>1</v>
      </c>
      <c r="V179" s="44" t="s">
        <v>142</v>
      </c>
      <c r="W179" s="44" t="n">
        <v>1</v>
      </c>
      <c r="Y179" s="44" t="s">
        <v>142</v>
      </c>
      <c r="Z179" s="44" t="n">
        <v>1</v>
      </c>
      <c r="AB179" s="44" t="s">
        <v>142</v>
      </c>
      <c r="AC179" s="44" t="n">
        <v>1</v>
      </c>
      <c r="AE179" s="44" t="s">
        <v>142</v>
      </c>
      <c r="AF179" s="44" t="n">
        <v>1</v>
      </c>
      <c r="AH179" s="44" t="s">
        <v>142</v>
      </c>
      <c r="AI179" s="44" t="n">
        <v>1</v>
      </c>
      <c r="AK179" s="44" t="s">
        <v>142</v>
      </c>
      <c r="AL179" s="44" t="n">
        <v>1</v>
      </c>
      <c r="AN179" s="44" t="s">
        <v>142</v>
      </c>
      <c r="AO179" s="44" t="n">
        <v>1</v>
      </c>
      <c r="AQ179" s="44" t="s">
        <v>142</v>
      </c>
      <c r="AR179" s="44" t="n">
        <v>1</v>
      </c>
      <c r="AT179" s="44" t="s">
        <v>142</v>
      </c>
      <c r="AU179" s="44" t="n">
        <v>1</v>
      </c>
      <c r="AW179" s="44" t="s">
        <v>142</v>
      </c>
      <c r="AX179" s="44" t="n">
        <v>1</v>
      </c>
      <c r="AZ179" s="44" t="s">
        <v>142</v>
      </c>
      <c r="BA179" s="44" t="n">
        <v>1</v>
      </c>
      <c r="BC179" s="44" t="s">
        <v>142</v>
      </c>
      <c r="BD179" s="44" t="n">
        <v>1</v>
      </c>
      <c r="BF179" s="44" t="s">
        <v>142</v>
      </c>
      <c r="BG179" s="44" t="n">
        <v>1</v>
      </c>
      <c r="BI179" s="44" t="s">
        <v>142</v>
      </c>
      <c r="BJ179" s="44" t="n">
        <v>1</v>
      </c>
      <c r="BL179" s="44" t="s">
        <v>142</v>
      </c>
      <c r="BM179" s="44" t="n">
        <v>1</v>
      </c>
      <c r="BO179" s="44" t="s">
        <v>142</v>
      </c>
      <c r="BP179" s="44" t="n">
        <v>1</v>
      </c>
      <c r="BR179" s="44" t="s">
        <v>142</v>
      </c>
      <c r="BS179" s="44" t="n">
        <v>1</v>
      </c>
      <c r="BU179" s="44" t="s">
        <v>142</v>
      </c>
      <c r="BV179" s="44" t="n">
        <v>1</v>
      </c>
      <c r="BX179" s="44" t="s">
        <v>142</v>
      </c>
      <c r="BY179" s="44" t="n">
        <v>1</v>
      </c>
      <c r="CA179" s="44" t="s">
        <v>142</v>
      </c>
      <c r="CB179" s="44" t="n">
        <v>1</v>
      </c>
      <c r="CD179" s="44" t="s">
        <v>142</v>
      </c>
      <c r="CE179" s="44" t="n">
        <v>1</v>
      </c>
      <c r="CG179" s="44" t="s">
        <v>142</v>
      </c>
      <c r="CH179" s="44" t="n">
        <v>1</v>
      </c>
      <c r="CJ179" s="44" t="s">
        <v>142</v>
      </c>
      <c r="CK179" s="44" t="n">
        <v>1</v>
      </c>
      <c r="CM179" s="44" t="s">
        <v>142</v>
      </c>
      <c r="CN179" s="44" t="n">
        <v>1</v>
      </c>
      <c r="CP179" s="44" t="s">
        <v>142</v>
      </c>
      <c r="CQ179" s="44" t="n">
        <v>1</v>
      </c>
      <c r="CS179" s="44" t="s">
        <v>142</v>
      </c>
      <c r="CT179" s="44" t="n">
        <v>1</v>
      </c>
      <c r="CV179" s="44" t="s">
        <v>142</v>
      </c>
      <c r="CW179" s="44" t="n">
        <v>1</v>
      </c>
    </row>
    <row collapsed="false" customFormat="false" customHeight="false" hidden="false" ht="12.75" outlineLevel="0" r="181">
      <c r="A181" s="44" t="s">
        <v>143</v>
      </c>
      <c r="B181" s="44" t="n">
        <v>20</v>
      </c>
      <c r="D181" s="44" t="s">
        <v>143</v>
      </c>
      <c r="E181" s="44" t="n">
        <v>20</v>
      </c>
      <c r="G181" s="44" t="s">
        <v>143</v>
      </c>
      <c r="H181" s="44" t="n">
        <v>20</v>
      </c>
      <c r="J181" s="44" t="s">
        <v>143</v>
      </c>
      <c r="K181" s="44" t="n">
        <v>20</v>
      </c>
      <c r="M181" s="44" t="s">
        <v>143</v>
      </c>
      <c r="N181" s="44" t="n">
        <v>20</v>
      </c>
      <c r="P181" s="44" t="s">
        <v>143</v>
      </c>
      <c r="Q181" s="44" t="n">
        <v>20</v>
      </c>
      <c r="S181" s="44" t="s">
        <v>143</v>
      </c>
      <c r="T181" s="44" t="n">
        <v>20</v>
      </c>
      <c r="V181" s="44" t="s">
        <v>143</v>
      </c>
      <c r="W181" s="44" t="n">
        <v>20</v>
      </c>
      <c r="Y181" s="44" t="s">
        <v>143</v>
      </c>
      <c r="Z181" s="44" t="n">
        <v>20</v>
      </c>
      <c r="AB181" s="44" t="s">
        <v>143</v>
      </c>
      <c r="AC181" s="44" t="n">
        <v>20</v>
      </c>
      <c r="AE181" s="44" t="s">
        <v>143</v>
      </c>
      <c r="AF181" s="44" t="n">
        <v>20</v>
      </c>
      <c r="AH181" s="44" t="s">
        <v>143</v>
      </c>
      <c r="AI181" s="44" t="n">
        <v>20</v>
      </c>
      <c r="AK181" s="44" t="s">
        <v>143</v>
      </c>
      <c r="AL181" s="44" t="n">
        <v>20</v>
      </c>
      <c r="AN181" s="44" t="s">
        <v>143</v>
      </c>
      <c r="AO181" s="44" t="n">
        <v>20</v>
      </c>
      <c r="AQ181" s="44" t="s">
        <v>143</v>
      </c>
      <c r="AR181" s="44" t="n">
        <v>20</v>
      </c>
      <c r="AT181" s="44" t="s">
        <v>143</v>
      </c>
      <c r="AU181" s="44" t="n">
        <v>20</v>
      </c>
      <c r="AW181" s="44" t="s">
        <v>143</v>
      </c>
      <c r="AX181" s="44" t="n">
        <v>20</v>
      </c>
      <c r="AZ181" s="44" t="s">
        <v>143</v>
      </c>
      <c r="BA181" s="44" t="n">
        <v>20</v>
      </c>
      <c r="BC181" s="44" t="s">
        <v>143</v>
      </c>
      <c r="BD181" s="44" t="n">
        <v>20</v>
      </c>
      <c r="BF181" s="44" t="s">
        <v>143</v>
      </c>
      <c r="BG181" s="44" t="n">
        <v>20</v>
      </c>
      <c r="BI181" s="44" t="s">
        <v>143</v>
      </c>
      <c r="BJ181" s="44" t="n">
        <v>20</v>
      </c>
      <c r="BL181" s="44" t="s">
        <v>143</v>
      </c>
      <c r="BM181" s="44" t="n">
        <v>20</v>
      </c>
      <c r="BO181" s="44" t="s">
        <v>143</v>
      </c>
      <c r="BP181" s="44" t="n">
        <v>20</v>
      </c>
      <c r="BR181" s="44" t="s">
        <v>143</v>
      </c>
      <c r="BS181" s="44" t="n">
        <v>20</v>
      </c>
      <c r="BU181" s="44" t="s">
        <v>143</v>
      </c>
      <c r="BV181" s="44" t="n">
        <v>20</v>
      </c>
      <c r="BX181" s="44" t="s">
        <v>143</v>
      </c>
      <c r="BY181" s="44" t="n">
        <v>20</v>
      </c>
      <c r="CA181" s="44" t="s">
        <v>143</v>
      </c>
      <c r="CB181" s="44" t="n">
        <v>20</v>
      </c>
      <c r="CD181" s="44" t="s">
        <v>143</v>
      </c>
      <c r="CE181" s="44" t="n">
        <v>20</v>
      </c>
      <c r="CG181" s="44" t="s">
        <v>143</v>
      </c>
      <c r="CH181" s="44" t="n">
        <v>20</v>
      </c>
      <c r="CJ181" s="44" t="s">
        <v>143</v>
      </c>
      <c r="CK181" s="44" t="n">
        <v>20</v>
      </c>
      <c r="CM181" s="44" t="s">
        <v>143</v>
      </c>
      <c r="CN181" s="44" t="n">
        <v>20</v>
      </c>
      <c r="CP181" s="44" t="s">
        <v>143</v>
      </c>
      <c r="CQ181" s="44" t="n">
        <v>20</v>
      </c>
      <c r="CS181" s="44" t="s">
        <v>143</v>
      </c>
      <c r="CT181" s="44" t="n">
        <v>20</v>
      </c>
      <c r="CV181" s="44" t="s">
        <v>143</v>
      </c>
      <c r="CW181" s="44" t="n">
        <v>20</v>
      </c>
    </row>
    <row collapsed="false" customFormat="false" customHeight="false" hidden="false" ht="12.75" outlineLevel="0" r="183">
      <c r="A183" s="44" t="s">
        <v>144</v>
      </c>
      <c r="B183" s="44" t="n">
        <v>1</v>
      </c>
      <c r="D183" s="44" t="s">
        <v>144</v>
      </c>
      <c r="E183" s="44" t="n">
        <v>1</v>
      </c>
      <c r="G183" s="44" t="s">
        <v>144</v>
      </c>
      <c r="H183" s="44" t="n">
        <v>1</v>
      </c>
      <c r="J183" s="44" t="s">
        <v>144</v>
      </c>
      <c r="K183" s="44" t="n">
        <v>1</v>
      </c>
      <c r="M183" s="44" t="s">
        <v>144</v>
      </c>
      <c r="N183" s="44" t="n">
        <v>1</v>
      </c>
      <c r="P183" s="44" t="s">
        <v>144</v>
      </c>
      <c r="Q183" s="44" t="n">
        <v>1</v>
      </c>
      <c r="S183" s="44" t="s">
        <v>144</v>
      </c>
      <c r="T183" s="44" t="n">
        <v>1</v>
      </c>
      <c r="V183" s="44" t="s">
        <v>144</v>
      </c>
      <c r="W183" s="44" t="n">
        <v>1</v>
      </c>
      <c r="Y183" s="44" t="s">
        <v>144</v>
      </c>
      <c r="Z183" s="44" t="n">
        <v>1</v>
      </c>
      <c r="AB183" s="44" t="s">
        <v>144</v>
      </c>
      <c r="AC183" s="44" t="n">
        <v>1</v>
      </c>
      <c r="AE183" s="44" t="s">
        <v>144</v>
      </c>
      <c r="AF183" s="44" t="n">
        <v>1</v>
      </c>
      <c r="AH183" s="44" t="s">
        <v>144</v>
      </c>
      <c r="AI183" s="44" t="n">
        <v>1</v>
      </c>
      <c r="AK183" s="44" t="s">
        <v>144</v>
      </c>
      <c r="AL183" s="44" t="n">
        <v>1</v>
      </c>
      <c r="AN183" s="44" t="s">
        <v>144</v>
      </c>
      <c r="AO183" s="44" t="n">
        <v>1</v>
      </c>
      <c r="AQ183" s="44" t="s">
        <v>144</v>
      </c>
      <c r="AR183" s="44" t="n">
        <v>1</v>
      </c>
      <c r="AT183" s="44" t="s">
        <v>144</v>
      </c>
      <c r="AU183" s="44" t="n">
        <v>1</v>
      </c>
      <c r="AW183" s="44" t="s">
        <v>144</v>
      </c>
      <c r="AX183" s="44" t="n">
        <v>1</v>
      </c>
      <c r="AZ183" s="44" t="s">
        <v>144</v>
      </c>
      <c r="BA183" s="44" t="n">
        <v>1</v>
      </c>
      <c r="BC183" s="44" t="s">
        <v>144</v>
      </c>
      <c r="BD183" s="44" t="n">
        <v>1</v>
      </c>
      <c r="BF183" s="44" t="s">
        <v>144</v>
      </c>
      <c r="BG183" s="44" t="n">
        <v>1</v>
      </c>
      <c r="BI183" s="44" t="s">
        <v>144</v>
      </c>
      <c r="BJ183" s="44" t="n">
        <v>1</v>
      </c>
      <c r="BL183" s="44" t="s">
        <v>144</v>
      </c>
      <c r="BM183" s="44" t="n">
        <v>1</v>
      </c>
      <c r="BO183" s="44" t="s">
        <v>144</v>
      </c>
      <c r="BP183" s="44" t="n">
        <v>1</v>
      </c>
      <c r="BR183" s="44" t="s">
        <v>144</v>
      </c>
      <c r="BS183" s="44" t="n">
        <v>1</v>
      </c>
      <c r="BU183" s="44" t="s">
        <v>144</v>
      </c>
      <c r="BV183" s="44" t="n">
        <v>1</v>
      </c>
      <c r="BX183" s="44" t="s">
        <v>144</v>
      </c>
      <c r="BY183" s="44" t="n">
        <v>1</v>
      </c>
      <c r="CA183" s="44" t="s">
        <v>144</v>
      </c>
      <c r="CB183" s="44" t="n">
        <v>1</v>
      </c>
      <c r="CD183" s="44" t="s">
        <v>144</v>
      </c>
      <c r="CE183" s="44" t="n">
        <v>1</v>
      </c>
      <c r="CG183" s="44" t="s">
        <v>144</v>
      </c>
      <c r="CH183" s="44" t="n">
        <v>1</v>
      </c>
      <c r="CJ183" s="44" t="s">
        <v>144</v>
      </c>
      <c r="CK183" s="44" t="n">
        <v>1</v>
      </c>
      <c r="CM183" s="44" t="s">
        <v>144</v>
      </c>
      <c r="CN183" s="44" t="n">
        <v>1</v>
      </c>
      <c r="CP183" s="44" t="s">
        <v>144</v>
      </c>
      <c r="CQ183" s="44" t="n">
        <v>1</v>
      </c>
      <c r="CS183" s="44" t="s">
        <v>144</v>
      </c>
      <c r="CT183" s="44" t="n">
        <v>1</v>
      </c>
      <c r="CV183" s="44" t="s">
        <v>144</v>
      </c>
      <c r="CW183" s="44" t="n">
        <v>1</v>
      </c>
    </row>
    <row collapsed="false" customFormat="false" customHeight="false" hidden="false" ht="12.75" outlineLevel="0" r="185">
      <c r="A185" s="44" t="s">
        <v>145</v>
      </c>
      <c r="B185" s="44" t="s">
        <v>121</v>
      </c>
      <c r="D185" s="44" t="s">
        <v>145</v>
      </c>
      <c r="E185" s="44" t="s">
        <v>121</v>
      </c>
      <c r="G185" s="44" t="s">
        <v>145</v>
      </c>
      <c r="H185" s="44" t="s">
        <v>121</v>
      </c>
      <c r="J185" s="44" t="s">
        <v>145</v>
      </c>
      <c r="K185" s="44" t="s">
        <v>121</v>
      </c>
      <c r="M185" s="44" t="s">
        <v>145</v>
      </c>
      <c r="N185" s="44" t="s">
        <v>121</v>
      </c>
      <c r="P185" s="44" t="s">
        <v>145</v>
      </c>
      <c r="Q185" s="44" t="s">
        <v>121</v>
      </c>
      <c r="S185" s="44" t="s">
        <v>145</v>
      </c>
      <c r="T185" s="44" t="s">
        <v>121</v>
      </c>
      <c r="V185" s="44" t="s">
        <v>145</v>
      </c>
      <c r="W185" s="44" t="s">
        <v>121</v>
      </c>
      <c r="Y185" s="44" t="s">
        <v>145</v>
      </c>
      <c r="Z185" s="44" t="s">
        <v>121</v>
      </c>
      <c r="AB185" s="44" t="s">
        <v>145</v>
      </c>
      <c r="AC185" s="44" t="s">
        <v>121</v>
      </c>
      <c r="AE185" s="44" t="s">
        <v>145</v>
      </c>
      <c r="AF185" s="44" t="s">
        <v>121</v>
      </c>
      <c r="AH185" s="44" t="s">
        <v>145</v>
      </c>
      <c r="AI185" s="44" t="s">
        <v>121</v>
      </c>
      <c r="AK185" s="44" t="s">
        <v>145</v>
      </c>
      <c r="AL185" s="44" t="s">
        <v>121</v>
      </c>
      <c r="AN185" s="44" t="s">
        <v>145</v>
      </c>
      <c r="AO185" s="44" t="s">
        <v>121</v>
      </c>
      <c r="AQ185" s="44" t="s">
        <v>145</v>
      </c>
      <c r="AR185" s="44" t="s">
        <v>121</v>
      </c>
      <c r="AT185" s="44" t="s">
        <v>145</v>
      </c>
      <c r="AU185" s="44" t="s">
        <v>121</v>
      </c>
      <c r="AW185" s="44" t="s">
        <v>145</v>
      </c>
      <c r="AX185" s="44" t="s">
        <v>121</v>
      </c>
      <c r="AZ185" s="44" t="s">
        <v>145</v>
      </c>
      <c r="BA185" s="44" t="s">
        <v>121</v>
      </c>
      <c r="BC185" s="44" t="s">
        <v>145</v>
      </c>
      <c r="BD185" s="44" t="s">
        <v>121</v>
      </c>
      <c r="BF185" s="44" t="s">
        <v>145</v>
      </c>
      <c r="BG185" s="44" t="s">
        <v>121</v>
      </c>
      <c r="BI185" s="44" t="s">
        <v>145</v>
      </c>
      <c r="BJ185" s="44" t="s">
        <v>121</v>
      </c>
      <c r="BL185" s="44" t="s">
        <v>145</v>
      </c>
      <c r="BM185" s="44" t="s">
        <v>121</v>
      </c>
      <c r="BO185" s="44" t="s">
        <v>145</v>
      </c>
      <c r="BP185" s="44" t="s">
        <v>121</v>
      </c>
      <c r="BR185" s="44" t="s">
        <v>145</v>
      </c>
      <c r="BS185" s="44" t="s">
        <v>121</v>
      </c>
      <c r="BU185" s="44" t="s">
        <v>145</v>
      </c>
      <c r="BV185" s="44" t="s">
        <v>121</v>
      </c>
      <c r="BX185" s="44" t="s">
        <v>145</v>
      </c>
      <c r="BY185" s="44" t="s">
        <v>121</v>
      </c>
      <c r="CA185" s="44" t="s">
        <v>145</v>
      </c>
      <c r="CB185" s="44" t="s">
        <v>121</v>
      </c>
      <c r="CD185" s="44" t="s">
        <v>145</v>
      </c>
      <c r="CE185" s="44" t="s">
        <v>121</v>
      </c>
      <c r="CG185" s="44" t="s">
        <v>145</v>
      </c>
      <c r="CH185" s="44" t="s">
        <v>121</v>
      </c>
      <c r="CJ185" s="44" t="s">
        <v>145</v>
      </c>
      <c r="CK185" s="44" t="s">
        <v>121</v>
      </c>
      <c r="CM185" s="44" t="s">
        <v>145</v>
      </c>
      <c r="CN185" s="44" t="s">
        <v>121</v>
      </c>
      <c r="CP185" s="44" t="s">
        <v>145</v>
      </c>
      <c r="CQ185" s="44" t="s">
        <v>121</v>
      </c>
      <c r="CS185" s="44" t="s">
        <v>145</v>
      </c>
      <c r="CT185" s="44" t="s">
        <v>121</v>
      </c>
      <c r="CV185" s="44" t="s">
        <v>145</v>
      </c>
      <c r="CW185" s="44" t="s">
        <v>121</v>
      </c>
    </row>
    <row collapsed="false" customFormat="false" customHeight="false" hidden="false" ht="12.75" outlineLevel="0" r="187">
      <c r="A187" s="44" t="s">
        <v>146</v>
      </c>
      <c r="D187" s="44" t="s">
        <v>146</v>
      </c>
      <c r="G187" s="44" t="s">
        <v>146</v>
      </c>
      <c r="J187" s="44" t="s">
        <v>146</v>
      </c>
      <c r="M187" s="44" t="s">
        <v>146</v>
      </c>
      <c r="P187" s="44" t="s">
        <v>146</v>
      </c>
      <c r="S187" s="44" t="s">
        <v>146</v>
      </c>
      <c r="V187" s="44" t="s">
        <v>146</v>
      </c>
      <c r="Y187" s="44" t="s">
        <v>146</v>
      </c>
      <c r="AB187" s="44" t="s">
        <v>146</v>
      </c>
      <c r="AE187" s="44" t="s">
        <v>146</v>
      </c>
      <c r="AH187" s="44" t="s">
        <v>146</v>
      </c>
      <c r="AK187" s="44" t="s">
        <v>146</v>
      </c>
      <c r="AN187" s="44" t="s">
        <v>146</v>
      </c>
      <c r="AQ187" s="44" t="s">
        <v>146</v>
      </c>
      <c r="AT187" s="44" t="s">
        <v>146</v>
      </c>
      <c r="AW187" s="44" t="s">
        <v>146</v>
      </c>
      <c r="AZ187" s="44" t="s">
        <v>146</v>
      </c>
      <c r="BC187" s="44" t="s">
        <v>146</v>
      </c>
      <c r="BF187" s="44" t="s">
        <v>146</v>
      </c>
      <c r="BI187" s="44" t="s">
        <v>146</v>
      </c>
      <c r="BL187" s="44" t="s">
        <v>146</v>
      </c>
      <c r="BO187" s="44" t="s">
        <v>146</v>
      </c>
      <c r="BR187" s="44" t="s">
        <v>146</v>
      </c>
      <c r="BU187" s="44" t="s">
        <v>146</v>
      </c>
      <c r="BX187" s="44" t="s">
        <v>146</v>
      </c>
      <c r="CA187" s="44" t="s">
        <v>146</v>
      </c>
      <c r="CD187" s="44" t="s">
        <v>146</v>
      </c>
      <c r="CG187" s="44" t="s">
        <v>146</v>
      </c>
      <c r="CJ187" s="44" t="s">
        <v>146</v>
      </c>
      <c r="CM187" s="44" t="s">
        <v>146</v>
      </c>
      <c r="CP187" s="44" t="s">
        <v>146</v>
      </c>
      <c r="CS187" s="44" t="s">
        <v>146</v>
      </c>
      <c r="CV187" s="44" t="s">
        <v>146</v>
      </c>
    </row>
    <row collapsed="false" customFormat="false" customHeight="false" hidden="false" ht="12.75" outlineLevel="0" r="188">
      <c r="A188" s="44" t="s">
        <v>147</v>
      </c>
      <c r="B188" s="44" t="n">
        <v>1</v>
      </c>
      <c r="D188" s="44" t="s">
        <v>147</v>
      </c>
      <c r="E188" s="44" t="n">
        <v>1</v>
      </c>
      <c r="G188" s="44" t="s">
        <v>147</v>
      </c>
      <c r="H188" s="44" t="n">
        <v>1</v>
      </c>
      <c r="J188" s="44" t="s">
        <v>147</v>
      </c>
      <c r="K188" s="44" t="n">
        <v>1</v>
      </c>
      <c r="M188" s="44" t="s">
        <v>147</v>
      </c>
      <c r="N188" s="44" t="n">
        <v>1</v>
      </c>
      <c r="P188" s="44" t="s">
        <v>147</v>
      </c>
      <c r="Q188" s="44" t="n">
        <v>1</v>
      </c>
      <c r="S188" s="44" t="s">
        <v>147</v>
      </c>
      <c r="T188" s="44" t="n">
        <v>1</v>
      </c>
      <c r="V188" s="44" t="s">
        <v>147</v>
      </c>
      <c r="W188" s="44" t="n">
        <v>1</v>
      </c>
      <c r="Y188" s="44" t="s">
        <v>147</v>
      </c>
      <c r="Z188" s="44" t="n">
        <v>1</v>
      </c>
      <c r="AB188" s="44" t="s">
        <v>147</v>
      </c>
      <c r="AC188" s="44" t="n">
        <v>1</v>
      </c>
      <c r="AE188" s="44" t="s">
        <v>147</v>
      </c>
      <c r="AF188" s="44" t="n">
        <v>1</v>
      </c>
      <c r="AH188" s="44" t="s">
        <v>147</v>
      </c>
      <c r="AI188" s="44" t="n">
        <v>1</v>
      </c>
      <c r="AK188" s="44" t="s">
        <v>147</v>
      </c>
      <c r="AL188" s="44" t="n">
        <v>1</v>
      </c>
      <c r="AN188" s="44" t="s">
        <v>147</v>
      </c>
      <c r="AO188" s="44" t="n">
        <v>1</v>
      </c>
      <c r="AQ188" s="44" t="s">
        <v>147</v>
      </c>
      <c r="AR188" s="44" t="n">
        <v>1</v>
      </c>
      <c r="AT188" s="44" t="s">
        <v>147</v>
      </c>
      <c r="AU188" s="44" t="n">
        <v>1</v>
      </c>
      <c r="AW188" s="44" t="s">
        <v>147</v>
      </c>
      <c r="AX188" s="44" t="n">
        <v>1</v>
      </c>
      <c r="AZ188" s="44" t="s">
        <v>147</v>
      </c>
      <c r="BA188" s="44" t="n">
        <v>1</v>
      </c>
      <c r="BC188" s="44" t="s">
        <v>147</v>
      </c>
      <c r="BD188" s="44" t="n">
        <v>1</v>
      </c>
      <c r="BF188" s="44" t="s">
        <v>147</v>
      </c>
      <c r="BG188" s="44" t="n">
        <v>1</v>
      </c>
      <c r="BI188" s="44" t="s">
        <v>147</v>
      </c>
      <c r="BJ188" s="44" t="n">
        <v>1</v>
      </c>
      <c r="BL188" s="44" t="s">
        <v>147</v>
      </c>
      <c r="BM188" s="44" t="n">
        <v>1</v>
      </c>
      <c r="BO188" s="44" t="s">
        <v>147</v>
      </c>
      <c r="BP188" s="44" t="n">
        <v>1</v>
      </c>
      <c r="BR188" s="44" t="s">
        <v>147</v>
      </c>
      <c r="BS188" s="44" t="n">
        <v>1</v>
      </c>
      <c r="BU188" s="44" t="s">
        <v>147</v>
      </c>
      <c r="BV188" s="44" t="n">
        <v>1</v>
      </c>
      <c r="BX188" s="44" t="s">
        <v>147</v>
      </c>
      <c r="BY188" s="44" t="n">
        <v>1</v>
      </c>
      <c r="CA188" s="44" t="s">
        <v>147</v>
      </c>
      <c r="CB188" s="44" t="n">
        <v>1</v>
      </c>
      <c r="CD188" s="44" t="s">
        <v>147</v>
      </c>
      <c r="CE188" s="44" t="n">
        <v>1</v>
      </c>
      <c r="CG188" s="44" t="s">
        <v>147</v>
      </c>
      <c r="CH188" s="44" t="n">
        <v>1</v>
      </c>
      <c r="CJ188" s="44" t="s">
        <v>147</v>
      </c>
      <c r="CK188" s="44" t="n">
        <v>1</v>
      </c>
      <c r="CM188" s="44" t="s">
        <v>147</v>
      </c>
      <c r="CN188" s="44" t="n">
        <v>1</v>
      </c>
      <c r="CP188" s="44" t="s">
        <v>147</v>
      </c>
      <c r="CQ188" s="44" t="n">
        <v>1</v>
      </c>
      <c r="CS188" s="44" t="s">
        <v>147</v>
      </c>
      <c r="CT188" s="44" t="n">
        <v>1</v>
      </c>
      <c r="CV188" s="44" t="s">
        <v>147</v>
      </c>
      <c r="CW188" s="44" t="n">
        <v>1</v>
      </c>
    </row>
    <row collapsed="false" customFormat="false" customHeight="false" hidden="false" ht="12.75" outlineLevel="0" r="190">
      <c r="A190" s="44" t="s">
        <v>148</v>
      </c>
      <c r="B190" s="44" t="n">
        <v>1</v>
      </c>
      <c r="D190" s="44" t="s">
        <v>148</v>
      </c>
      <c r="E190" s="44" t="n">
        <v>1</v>
      </c>
      <c r="G190" s="44" t="s">
        <v>148</v>
      </c>
      <c r="H190" s="44" t="n">
        <v>1</v>
      </c>
      <c r="J190" s="44" t="s">
        <v>148</v>
      </c>
      <c r="K190" s="44" t="n">
        <v>1</v>
      </c>
      <c r="M190" s="44" t="s">
        <v>148</v>
      </c>
      <c r="N190" s="44" t="n">
        <v>1</v>
      </c>
      <c r="P190" s="44" t="s">
        <v>148</v>
      </c>
      <c r="Q190" s="44" t="n">
        <v>1</v>
      </c>
      <c r="S190" s="44" t="s">
        <v>148</v>
      </c>
      <c r="T190" s="44" t="n">
        <v>1</v>
      </c>
      <c r="V190" s="44" t="s">
        <v>148</v>
      </c>
      <c r="W190" s="44" t="n">
        <v>1</v>
      </c>
      <c r="Y190" s="44" t="s">
        <v>148</v>
      </c>
      <c r="Z190" s="44" t="n">
        <v>1</v>
      </c>
      <c r="AB190" s="44" t="s">
        <v>148</v>
      </c>
      <c r="AC190" s="44" t="n">
        <v>1</v>
      </c>
      <c r="AE190" s="44" t="s">
        <v>148</v>
      </c>
      <c r="AF190" s="44" t="n">
        <v>1</v>
      </c>
      <c r="AH190" s="44" t="s">
        <v>148</v>
      </c>
      <c r="AI190" s="44" t="n">
        <v>1</v>
      </c>
      <c r="AK190" s="44" t="s">
        <v>148</v>
      </c>
      <c r="AL190" s="44" t="n">
        <v>1</v>
      </c>
      <c r="AN190" s="44" t="s">
        <v>148</v>
      </c>
      <c r="AO190" s="44" t="n">
        <v>1</v>
      </c>
      <c r="AQ190" s="44" t="s">
        <v>148</v>
      </c>
      <c r="AR190" s="44" t="n">
        <v>1</v>
      </c>
      <c r="AT190" s="44" t="s">
        <v>148</v>
      </c>
      <c r="AU190" s="44" t="n">
        <v>1</v>
      </c>
      <c r="AW190" s="44" t="s">
        <v>148</v>
      </c>
      <c r="AX190" s="44" t="n">
        <v>1</v>
      </c>
      <c r="AZ190" s="44" t="s">
        <v>148</v>
      </c>
      <c r="BA190" s="44" t="n">
        <v>1</v>
      </c>
      <c r="BC190" s="44" t="s">
        <v>148</v>
      </c>
      <c r="BD190" s="44" t="n">
        <v>1</v>
      </c>
      <c r="BF190" s="44" t="s">
        <v>148</v>
      </c>
      <c r="BG190" s="44" t="n">
        <v>1</v>
      </c>
      <c r="BI190" s="44" t="s">
        <v>148</v>
      </c>
      <c r="BJ190" s="44" t="n">
        <v>1</v>
      </c>
      <c r="BL190" s="44" t="s">
        <v>148</v>
      </c>
      <c r="BM190" s="44" t="n">
        <v>1</v>
      </c>
      <c r="BO190" s="44" t="s">
        <v>148</v>
      </c>
      <c r="BP190" s="44" t="n">
        <v>1</v>
      </c>
      <c r="BR190" s="44" t="s">
        <v>148</v>
      </c>
      <c r="BS190" s="44" t="n">
        <v>1</v>
      </c>
      <c r="BU190" s="44" t="s">
        <v>148</v>
      </c>
      <c r="BV190" s="44" t="n">
        <v>1</v>
      </c>
      <c r="BX190" s="44" t="s">
        <v>148</v>
      </c>
      <c r="BY190" s="44" t="n">
        <v>1</v>
      </c>
      <c r="CA190" s="44" t="s">
        <v>148</v>
      </c>
      <c r="CB190" s="44" t="n">
        <v>1</v>
      </c>
      <c r="CD190" s="44" t="s">
        <v>148</v>
      </c>
      <c r="CE190" s="44" t="n">
        <v>1</v>
      </c>
      <c r="CG190" s="44" t="s">
        <v>148</v>
      </c>
      <c r="CH190" s="44" t="n">
        <v>1</v>
      </c>
      <c r="CJ190" s="44" t="s">
        <v>148</v>
      </c>
      <c r="CK190" s="44" t="n">
        <v>1</v>
      </c>
      <c r="CM190" s="44" t="s">
        <v>148</v>
      </c>
      <c r="CN190" s="44" t="n">
        <v>1</v>
      </c>
      <c r="CP190" s="44" t="s">
        <v>148</v>
      </c>
      <c r="CQ190" s="44" t="n">
        <v>1</v>
      </c>
      <c r="CS190" s="44" t="s">
        <v>148</v>
      </c>
      <c r="CT190" s="44" t="n">
        <v>1</v>
      </c>
      <c r="CV190" s="44" t="s">
        <v>148</v>
      </c>
      <c r="CW190" s="44" t="n">
        <v>1</v>
      </c>
    </row>
    <row collapsed="false" customFormat="false" customHeight="false" hidden="false" ht="12.75" outlineLevel="0" r="192">
      <c r="A192" s="44" t="s">
        <v>149</v>
      </c>
      <c r="B192" s="44" t="n">
        <v>1</v>
      </c>
      <c r="D192" s="44" t="s">
        <v>149</v>
      </c>
      <c r="E192" s="44" t="n">
        <v>1</v>
      </c>
      <c r="G192" s="44" t="s">
        <v>149</v>
      </c>
      <c r="H192" s="44" t="n">
        <v>1</v>
      </c>
      <c r="J192" s="44" t="s">
        <v>149</v>
      </c>
      <c r="K192" s="44" t="n">
        <v>1</v>
      </c>
      <c r="M192" s="44" t="s">
        <v>149</v>
      </c>
      <c r="N192" s="44" t="n">
        <v>1</v>
      </c>
      <c r="P192" s="44" t="s">
        <v>149</v>
      </c>
      <c r="Q192" s="44" t="n">
        <v>1</v>
      </c>
      <c r="S192" s="44" t="s">
        <v>149</v>
      </c>
      <c r="T192" s="44" t="n">
        <v>1</v>
      </c>
      <c r="V192" s="44" t="s">
        <v>149</v>
      </c>
      <c r="W192" s="44" t="n">
        <v>1</v>
      </c>
      <c r="Y192" s="44" t="s">
        <v>149</v>
      </c>
      <c r="Z192" s="44" t="n">
        <v>1</v>
      </c>
      <c r="AB192" s="44" t="s">
        <v>149</v>
      </c>
      <c r="AC192" s="44" t="n">
        <v>1</v>
      </c>
      <c r="AE192" s="44" t="s">
        <v>149</v>
      </c>
      <c r="AF192" s="44" t="n">
        <v>1</v>
      </c>
      <c r="AH192" s="44" t="s">
        <v>149</v>
      </c>
      <c r="AI192" s="44" t="n">
        <v>1</v>
      </c>
      <c r="AK192" s="44" t="s">
        <v>149</v>
      </c>
      <c r="AL192" s="44" t="n">
        <v>1</v>
      </c>
      <c r="AN192" s="44" t="s">
        <v>149</v>
      </c>
      <c r="AO192" s="44" t="n">
        <v>1</v>
      </c>
      <c r="AQ192" s="44" t="s">
        <v>149</v>
      </c>
      <c r="AR192" s="44" t="n">
        <v>1</v>
      </c>
      <c r="AT192" s="44" t="s">
        <v>149</v>
      </c>
      <c r="AU192" s="44" t="n">
        <v>1</v>
      </c>
      <c r="AW192" s="44" t="s">
        <v>149</v>
      </c>
      <c r="AX192" s="44" t="n">
        <v>1</v>
      </c>
      <c r="AZ192" s="44" t="s">
        <v>149</v>
      </c>
      <c r="BA192" s="44" t="n">
        <v>1</v>
      </c>
      <c r="BC192" s="44" t="s">
        <v>149</v>
      </c>
      <c r="BD192" s="44" t="n">
        <v>1</v>
      </c>
      <c r="BF192" s="44" t="s">
        <v>149</v>
      </c>
      <c r="BG192" s="44" t="n">
        <v>1</v>
      </c>
      <c r="BI192" s="44" t="s">
        <v>149</v>
      </c>
      <c r="BJ192" s="44" t="n">
        <v>1</v>
      </c>
      <c r="BL192" s="44" t="s">
        <v>149</v>
      </c>
      <c r="BM192" s="44" t="n">
        <v>1</v>
      </c>
      <c r="BO192" s="44" t="s">
        <v>149</v>
      </c>
      <c r="BP192" s="44" t="n">
        <v>1</v>
      </c>
      <c r="BR192" s="44" t="s">
        <v>149</v>
      </c>
      <c r="BS192" s="44" t="n">
        <v>1</v>
      </c>
      <c r="BU192" s="44" t="s">
        <v>149</v>
      </c>
      <c r="BV192" s="44" t="n">
        <v>1</v>
      </c>
      <c r="BX192" s="44" t="s">
        <v>149</v>
      </c>
      <c r="BY192" s="44" t="n">
        <v>1</v>
      </c>
      <c r="CA192" s="44" t="s">
        <v>149</v>
      </c>
      <c r="CB192" s="44" t="n">
        <v>1</v>
      </c>
      <c r="CD192" s="44" t="s">
        <v>149</v>
      </c>
      <c r="CE192" s="44" t="n">
        <v>1</v>
      </c>
      <c r="CG192" s="44" t="s">
        <v>149</v>
      </c>
      <c r="CH192" s="44" t="n">
        <v>1</v>
      </c>
      <c r="CJ192" s="44" t="s">
        <v>149</v>
      </c>
      <c r="CK192" s="44" t="n">
        <v>1</v>
      </c>
      <c r="CM192" s="44" t="s">
        <v>149</v>
      </c>
      <c r="CN192" s="44" t="n">
        <v>1</v>
      </c>
      <c r="CP192" s="44" t="s">
        <v>149</v>
      </c>
      <c r="CQ192" s="44" t="n">
        <v>1</v>
      </c>
      <c r="CS192" s="44" t="s">
        <v>149</v>
      </c>
      <c r="CT192" s="44" t="n">
        <v>1</v>
      </c>
      <c r="CV192" s="44" t="s">
        <v>149</v>
      </c>
      <c r="CW192" s="44" t="n">
        <v>1</v>
      </c>
    </row>
    <row collapsed="false" customFormat="false" customHeight="false" hidden="false" ht="12.75" outlineLevel="0" r="194">
      <c r="A194" s="44" t="s">
        <v>150</v>
      </c>
      <c r="B194" s="44" t="n">
        <v>1</v>
      </c>
      <c r="D194" s="44" t="s">
        <v>150</v>
      </c>
      <c r="E194" s="44" t="n">
        <v>1</v>
      </c>
      <c r="G194" s="44" t="s">
        <v>150</v>
      </c>
      <c r="H194" s="44" t="n">
        <v>1</v>
      </c>
      <c r="J194" s="44" t="s">
        <v>150</v>
      </c>
      <c r="K194" s="44" t="n">
        <v>1</v>
      </c>
      <c r="M194" s="44" t="s">
        <v>150</v>
      </c>
      <c r="N194" s="44" t="n">
        <v>1</v>
      </c>
      <c r="P194" s="44" t="s">
        <v>150</v>
      </c>
      <c r="Q194" s="44" t="n">
        <v>1</v>
      </c>
      <c r="S194" s="44" t="s">
        <v>150</v>
      </c>
      <c r="T194" s="44" t="n">
        <v>1</v>
      </c>
      <c r="V194" s="44" t="s">
        <v>150</v>
      </c>
      <c r="W194" s="44" t="n">
        <v>1</v>
      </c>
      <c r="Y194" s="44" t="s">
        <v>150</v>
      </c>
      <c r="Z194" s="44" t="n">
        <v>1</v>
      </c>
      <c r="AB194" s="44" t="s">
        <v>150</v>
      </c>
      <c r="AC194" s="44" t="n">
        <v>1</v>
      </c>
      <c r="AE194" s="44" t="s">
        <v>150</v>
      </c>
      <c r="AF194" s="44" t="n">
        <v>1</v>
      </c>
      <c r="AH194" s="44" t="s">
        <v>150</v>
      </c>
      <c r="AI194" s="44" t="n">
        <v>1</v>
      </c>
      <c r="AK194" s="44" t="s">
        <v>150</v>
      </c>
      <c r="AL194" s="44" t="n">
        <v>1</v>
      </c>
      <c r="AN194" s="44" t="s">
        <v>150</v>
      </c>
      <c r="AO194" s="44" t="n">
        <v>1</v>
      </c>
      <c r="AQ194" s="44" t="s">
        <v>150</v>
      </c>
      <c r="AR194" s="44" t="n">
        <v>1</v>
      </c>
      <c r="AT194" s="44" t="s">
        <v>150</v>
      </c>
      <c r="AU194" s="44" t="n">
        <v>1</v>
      </c>
      <c r="AW194" s="44" t="s">
        <v>150</v>
      </c>
      <c r="AX194" s="44" t="n">
        <v>1</v>
      </c>
      <c r="AZ194" s="44" t="s">
        <v>150</v>
      </c>
      <c r="BA194" s="44" t="n">
        <v>1</v>
      </c>
      <c r="BC194" s="44" t="s">
        <v>150</v>
      </c>
      <c r="BD194" s="44" t="n">
        <v>1</v>
      </c>
      <c r="BF194" s="44" t="s">
        <v>150</v>
      </c>
      <c r="BG194" s="44" t="n">
        <v>1</v>
      </c>
      <c r="BI194" s="44" t="s">
        <v>150</v>
      </c>
      <c r="BJ194" s="44" t="n">
        <v>1</v>
      </c>
      <c r="BL194" s="44" t="s">
        <v>150</v>
      </c>
      <c r="BM194" s="44" t="n">
        <v>1</v>
      </c>
      <c r="BO194" s="44" t="s">
        <v>150</v>
      </c>
      <c r="BP194" s="44" t="n">
        <v>1</v>
      </c>
      <c r="BR194" s="44" t="s">
        <v>150</v>
      </c>
      <c r="BS194" s="44" t="n">
        <v>1</v>
      </c>
      <c r="BU194" s="44" t="s">
        <v>150</v>
      </c>
      <c r="BV194" s="44" t="n">
        <v>1</v>
      </c>
      <c r="BX194" s="44" t="s">
        <v>150</v>
      </c>
      <c r="BY194" s="44" t="n">
        <v>1</v>
      </c>
      <c r="CA194" s="44" t="s">
        <v>150</v>
      </c>
      <c r="CB194" s="44" t="n">
        <v>1</v>
      </c>
      <c r="CD194" s="44" t="s">
        <v>150</v>
      </c>
      <c r="CE194" s="44" t="n">
        <v>1</v>
      </c>
      <c r="CG194" s="44" t="s">
        <v>150</v>
      </c>
      <c r="CH194" s="44" t="n">
        <v>1</v>
      </c>
      <c r="CJ194" s="44" t="s">
        <v>150</v>
      </c>
      <c r="CK194" s="44" t="n">
        <v>1</v>
      </c>
      <c r="CM194" s="44" t="s">
        <v>150</v>
      </c>
      <c r="CN194" s="44" t="n">
        <v>1</v>
      </c>
      <c r="CP194" s="44" t="s">
        <v>150</v>
      </c>
      <c r="CQ194" s="44" t="n">
        <v>1</v>
      </c>
      <c r="CS194" s="44" t="s">
        <v>150</v>
      </c>
      <c r="CT194" s="44" t="n">
        <v>1</v>
      </c>
      <c r="CV194" s="44" t="s">
        <v>150</v>
      </c>
      <c r="CW194" s="44" t="n">
        <v>1</v>
      </c>
    </row>
    <row collapsed="false" customFormat="false" customHeight="false" hidden="false" ht="12.75" outlineLevel="0" r="196">
      <c r="A196" s="44" t="s">
        <v>151</v>
      </c>
      <c r="B196" s="44" t="n">
        <v>1</v>
      </c>
      <c r="D196" s="44" t="s">
        <v>151</v>
      </c>
      <c r="E196" s="44" t="n">
        <v>1</v>
      </c>
      <c r="G196" s="44" t="s">
        <v>151</v>
      </c>
      <c r="H196" s="44" t="n">
        <v>1</v>
      </c>
      <c r="J196" s="44" t="s">
        <v>151</v>
      </c>
      <c r="K196" s="44" t="n">
        <v>1</v>
      </c>
      <c r="M196" s="44" t="s">
        <v>151</v>
      </c>
      <c r="N196" s="44" t="n">
        <v>1</v>
      </c>
      <c r="P196" s="44" t="s">
        <v>151</v>
      </c>
      <c r="Q196" s="44" t="n">
        <v>1</v>
      </c>
      <c r="S196" s="44" t="s">
        <v>151</v>
      </c>
      <c r="T196" s="44" t="n">
        <v>1</v>
      </c>
      <c r="V196" s="44" t="s">
        <v>151</v>
      </c>
      <c r="W196" s="44" t="n">
        <v>1</v>
      </c>
      <c r="Y196" s="44" t="s">
        <v>151</v>
      </c>
      <c r="Z196" s="44" t="n">
        <v>1</v>
      </c>
      <c r="AB196" s="44" t="s">
        <v>151</v>
      </c>
      <c r="AC196" s="44" t="n">
        <v>1</v>
      </c>
      <c r="AE196" s="44" t="s">
        <v>151</v>
      </c>
      <c r="AF196" s="44" t="n">
        <v>1</v>
      </c>
      <c r="AH196" s="44" t="s">
        <v>151</v>
      </c>
      <c r="AI196" s="44" t="n">
        <v>1</v>
      </c>
      <c r="AK196" s="44" t="s">
        <v>151</v>
      </c>
      <c r="AL196" s="44" t="n">
        <v>1</v>
      </c>
      <c r="AN196" s="44" t="s">
        <v>151</v>
      </c>
      <c r="AO196" s="44" t="n">
        <v>1</v>
      </c>
      <c r="AQ196" s="44" t="s">
        <v>151</v>
      </c>
      <c r="AR196" s="44" t="n">
        <v>1</v>
      </c>
      <c r="AT196" s="44" t="s">
        <v>151</v>
      </c>
      <c r="AU196" s="44" t="n">
        <v>1</v>
      </c>
      <c r="AW196" s="44" t="s">
        <v>151</v>
      </c>
      <c r="AX196" s="44" t="n">
        <v>1</v>
      </c>
      <c r="AZ196" s="44" t="s">
        <v>151</v>
      </c>
      <c r="BA196" s="44" t="n">
        <v>1</v>
      </c>
      <c r="BC196" s="44" t="s">
        <v>151</v>
      </c>
      <c r="BD196" s="44" t="n">
        <v>1</v>
      </c>
      <c r="BF196" s="44" t="s">
        <v>151</v>
      </c>
      <c r="BG196" s="44" t="n">
        <v>1</v>
      </c>
      <c r="BI196" s="44" t="s">
        <v>151</v>
      </c>
      <c r="BJ196" s="44" t="n">
        <v>1</v>
      </c>
      <c r="BL196" s="44" t="s">
        <v>151</v>
      </c>
      <c r="BM196" s="44" t="n">
        <v>1</v>
      </c>
      <c r="BO196" s="44" t="s">
        <v>151</v>
      </c>
      <c r="BP196" s="44" t="n">
        <v>1</v>
      </c>
      <c r="BR196" s="44" t="s">
        <v>151</v>
      </c>
      <c r="BS196" s="44" t="n">
        <v>1</v>
      </c>
      <c r="BU196" s="44" t="s">
        <v>151</v>
      </c>
      <c r="BV196" s="44" t="n">
        <v>1</v>
      </c>
      <c r="BX196" s="44" t="s">
        <v>151</v>
      </c>
      <c r="BY196" s="44" t="n">
        <v>1</v>
      </c>
      <c r="CA196" s="44" t="s">
        <v>151</v>
      </c>
      <c r="CB196" s="44" t="n">
        <v>1</v>
      </c>
      <c r="CD196" s="44" t="s">
        <v>151</v>
      </c>
      <c r="CE196" s="44" t="n">
        <v>1</v>
      </c>
      <c r="CG196" s="44" t="s">
        <v>151</v>
      </c>
      <c r="CH196" s="44" t="n">
        <v>1</v>
      </c>
      <c r="CJ196" s="44" t="s">
        <v>151</v>
      </c>
      <c r="CK196" s="44" t="n">
        <v>1</v>
      </c>
      <c r="CM196" s="44" t="s">
        <v>151</v>
      </c>
      <c r="CN196" s="44" t="n">
        <v>1</v>
      </c>
      <c r="CP196" s="44" t="s">
        <v>151</v>
      </c>
      <c r="CQ196" s="44" t="n">
        <v>1</v>
      </c>
      <c r="CS196" s="44" t="s">
        <v>151</v>
      </c>
      <c r="CT196" s="44" t="n">
        <v>1</v>
      </c>
      <c r="CV196" s="44" t="s">
        <v>151</v>
      </c>
      <c r="CW196" s="44" t="n">
        <v>1</v>
      </c>
    </row>
    <row collapsed="false" customFormat="false" customHeight="false" hidden="false" ht="12.75" outlineLevel="0" r="198">
      <c r="A198" s="44" t="s">
        <v>152</v>
      </c>
      <c r="B198" s="44" t="n">
        <v>1</v>
      </c>
      <c r="D198" s="44" t="s">
        <v>152</v>
      </c>
      <c r="E198" s="44" t="n">
        <v>1</v>
      </c>
      <c r="G198" s="44" t="s">
        <v>152</v>
      </c>
      <c r="H198" s="44" t="n">
        <v>1</v>
      </c>
      <c r="J198" s="44" t="s">
        <v>152</v>
      </c>
      <c r="K198" s="44" t="n">
        <v>1</v>
      </c>
      <c r="M198" s="44" t="s">
        <v>152</v>
      </c>
      <c r="N198" s="44" t="n">
        <v>1</v>
      </c>
      <c r="P198" s="44" t="s">
        <v>152</v>
      </c>
      <c r="Q198" s="44" t="n">
        <v>1</v>
      </c>
      <c r="S198" s="44" t="s">
        <v>152</v>
      </c>
      <c r="T198" s="44" t="n">
        <v>1</v>
      </c>
      <c r="V198" s="44" t="s">
        <v>152</v>
      </c>
      <c r="W198" s="44" t="n">
        <v>1</v>
      </c>
      <c r="Y198" s="44" t="s">
        <v>152</v>
      </c>
      <c r="Z198" s="44" t="n">
        <v>1</v>
      </c>
      <c r="AB198" s="44" t="s">
        <v>152</v>
      </c>
      <c r="AC198" s="44" t="n">
        <v>1</v>
      </c>
      <c r="AE198" s="44" t="s">
        <v>152</v>
      </c>
      <c r="AF198" s="44" t="n">
        <v>1</v>
      </c>
      <c r="AH198" s="44" t="s">
        <v>152</v>
      </c>
      <c r="AI198" s="44" t="n">
        <v>1</v>
      </c>
      <c r="AK198" s="44" t="s">
        <v>152</v>
      </c>
      <c r="AL198" s="44" t="n">
        <v>1</v>
      </c>
      <c r="AN198" s="44" t="s">
        <v>152</v>
      </c>
      <c r="AO198" s="44" t="n">
        <v>1</v>
      </c>
      <c r="AQ198" s="44" t="s">
        <v>152</v>
      </c>
      <c r="AR198" s="44" t="n">
        <v>1</v>
      </c>
      <c r="AT198" s="44" t="s">
        <v>152</v>
      </c>
      <c r="AU198" s="44" t="n">
        <v>1</v>
      </c>
      <c r="AW198" s="44" t="s">
        <v>152</v>
      </c>
      <c r="AX198" s="44" t="n">
        <v>1</v>
      </c>
      <c r="AZ198" s="44" t="s">
        <v>152</v>
      </c>
      <c r="BA198" s="44" t="n">
        <v>1</v>
      </c>
      <c r="BC198" s="44" t="s">
        <v>152</v>
      </c>
      <c r="BD198" s="44" t="n">
        <v>1</v>
      </c>
      <c r="BF198" s="44" t="s">
        <v>152</v>
      </c>
      <c r="BG198" s="44" t="n">
        <v>1</v>
      </c>
      <c r="BI198" s="44" t="s">
        <v>152</v>
      </c>
      <c r="BJ198" s="44" t="n">
        <v>1</v>
      </c>
      <c r="BL198" s="44" t="s">
        <v>152</v>
      </c>
      <c r="BM198" s="44" t="n">
        <v>1</v>
      </c>
      <c r="BO198" s="44" t="s">
        <v>152</v>
      </c>
      <c r="BP198" s="44" t="n">
        <v>1</v>
      </c>
      <c r="BR198" s="44" t="s">
        <v>152</v>
      </c>
      <c r="BS198" s="44" t="n">
        <v>1</v>
      </c>
      <c r="BU198" s="44" t="s">
        <v>152</v>
      </c>
      <c r="BV198" s="44" t="n">
        <v>1</v>
      </c>
      <c r="BX198" s="44" t="s">
        <v>152</v>
      </c>
      <c r="BY198" s="44" t="n">
        <v>1</v>
      </c>
      <c r="CA198" s="44" t="s">
        <v>152</v>
      </c>
      <c r="CB198" s="44" t="n">
        <v>1</v>
      </c>
      <c r="CD198" s="44" t="s">
        <v>152</v>
      </c>
      <c r="CE198" s="44" t="n">
        <v>1</v>
      </c>
      <c r="CG198" s="44" t="s">
        <v>152</v>
      </c>
      <c r="CH198" s="44" t="n">
        <v>1</v>
      </c>
      <c r="CJ198" s="44" t="s">
        <v>152</v>
      </c>
      <c r="CK198" s="44" t="n">
        <v>1</v>
      </c>
      <c r="CM198" s="44" t="s">
        <v>152</v>
      </c>
      <c r="CN198" s="44" t="n">
        <v>1</v>
      </c>
      <c r="CP198" s="44" t="s">
        <v>152</v>
      </c>
      <c r="CQ198" s="44" t="n">
        <v>1</v>
      </c>
      <c r="CS198" s="44" t="s">
        <v>152</v>
      </c>
      <c r="CT198" s="44" t="n">
        <v>1</v>
      </c>
      <c r="CV198" s="44" t="s">
        <v>152</v>
      </c>
      <c r="CW198" s="44" t="n">
        <v>1</v>
      </c>
    </row>
    <row collapsed="false" customFormat="false" customHeight="false" hidden="false" ht="12.75" outlineLevel="0" r="200">
      <c r="A200" s="44" t="s">
        <v>153</v>
      </c>
      <c r="B200" s="44" t="n">
        <v>1</v>
      </c>
      <c r="D200" s="44" t="s">
        <v>153</v>
      </c>
      <c r="E200" s="44" t="n">
        <v>1</v>
      </c>
      <c r="G200" s="44" t="s">
        <v>153</v>
      </c>
      <c r="H200" s="44" t="n">
        <v>1</v>
      </c>
      <c r="J200" s="44" t="s">
        <v>153</v>
      </c>
      <c r="K200" s="44" t="n">
        <v>1</v>
      </c>
      <c r="M200" s="44" t="s">
        <v>153</v>
      </c>
      <c r="N200" s="44" t="n">
        <v>1</v>
      </c>
      <c r="P200" s="44" t="s">
        <v>153</v>
      </c>
      <c r="Q200" s="44" t="n">
        <v>1</v>
      </c>
      <c r="S200" s="44" t="s">
        <v>153</v>
      </c>
      <c r="T200" s="44" t="n">
        <v>1</v>
      </c>
      <c r="V200" s="44" t="s">
        <v>153</v>
      </c>
      <c r="W200" s="44" t="n">
        <v>1</v>
      </c>
      <c r="Y200" s="44" t="s">
        <v>153</v>
      </c>
      <c r="Z200" s="44" t="n">
        <v>1</v>
      </c>
      <c r="AB200" s="44" t="s">
        <v>153</v>
      </c>
      <c r="AC200" s="44" t="n">
        <v>1</v>
      </c>
      <c r="AE200" s="44" t="s">
        <v>153</v>
      </c>
      <c r="AF200" s="44" t="n">
        <v>1</v>
      </c>
      <c r="AH200" s="44" t="s">
        <v>153</v>
      </c>
      <c r="AI200" s="44" t="n">
        <v>1</v>
      </c>
      <c r="AK200" s="44" t="s">
        <v>153</v>
      </c>
      <c r="AL200" s="44" t="n">
        <v>1</v>
      </c>
      <c r="AN200" s="44" t="s">
        <v>153</v>
      </c>
      <c r="AO200" s="44" t="n">
        <v>1</v>
      </c>
      <c r="AQ200" s="44" t="s">
        <v>153</v>
      </c>
      <c r="AR200" s="44" t="n">
        <v>1</v>
      </c>
      <c r="AT200" s="44" t="s">
        <v>153</v>
      </c>
      <c r="AU200" s="44" t="n">
        <v>1</v>
      </c>
      <c r="AW200" s="44" t="s">
        <v>153</v>
      </c>
      <c r="AX200" s="44" t="n">
        <v>1</v>
      </c>
      <c r="AZ200" s="44" t="s">
        <v>153</v>
      </c>
      <c r="BA200" s="44" t="n">
        <v>1</v>
      </c>
      <c r="BC200" s="44" t="s">
        <v>153</v>
      </c>
      <c r="BD200" s="44" t="n">
        <v>1</v>
      </c>
      <c r="BF200" s="44" t="s">
        <v>153</v>
      </c>
      <c r="BG200" s="44" t="n">
        <v>1</v>
      </c>
      <c r="BI200" s="44" t="s">
        <v>153</v>
      </c>
      <c r="BJ200" s="44" t="n">
        <v>1</v>
      </c>
      <c r="BL200" s="44" t="s">
        <v>153</v>
      </c>
      <c r="BM200" s="44" t="n">
        <v>1</v>
      </c>
      <c r="BO200" s="44" t="s">
        <v>153</v>
      </c>
      <c r="BP200" s="44" t="n">
        <v>1</v>
      </c>
      <c r="BR200" s="44" t="s">
        <v>153</v>
      </c>
      <c r="BS200" s="44" t="n">
        <v>1</v>
      </c>
      <c r="BU200" s="44" t="s">
        <v>153</v>
      </c>
      <c r="BV200" s="44" t="n">
        <v>1</v>
      </c>
      <c r="BX200" s="44" t="s">
        <v>153</v>
      </c>
      <c r="BY200" s="44" t="n">
        <v>1</v>
      </c>
      <c r="CA200" s="44" t="s">
        <v>153</v>
      </c>
      <c r="CB200" s="44" t="n">
        <v>1</v>
      </c>
      <c r="CD200" s="44" t="s">
        <v>153</v>
      </c>
      <c r="CE200" s="44" t="n">
        <v>1</v>
      </c>
      <c r="CG200" s="44" t="s">
        <v>153</v>
      </c>
      <c r="CH200" s="44" t="n">
        <v>1</v>
      </c>
      <c r="CJ200" s="44" t="s">
        <v>153</v>
      </c>
      <c r="CK200" s="44" t="n">
        <v>1</v>
      </c>
      <c r="CM200" s="44" t="s">
        <v>153</v>
      </c>
      <c r="CN200" s="44" t="n">
        <v>1</v>
      </c>
      <c r="CP200" s="44" t="s">
        <v>153</v>
      </c>
      <c r="CQ200" s="44" t="n">
        <v>1</v>
      </c>
      <c r="CS200" s="44" t="s">
        <v>153</v>
      </c>
      <c r="CT200" s="44" t="n">
        <v>1</v>
      </c>
      <c r="CV200" s="44" t="s">
        <v>153</v>
      </c>
      <c r="CW200" s="44" t="n">
        <v>1</v>
      </c>
    </row>
    <row collapsed="false" customFormat="false" customHeight="false" hidden="false" ht="12.75" outlineLevel="0" r="202">
      <c r="A202" s="44" t="s">
        <v>154</v>
      </c>
      <c r="B202" s="44" t="n">
        <v>1</v>
      </c>
      <c r="D202" s="44" t="s">
        <v>154</v>
      </c>
      <c r="E202" s="44" t="n">
        <v>1</v>
      </c>
      <c r="G202" s="44" t="s">
        <v>154</v>
      </c>
      <c r="H202" s="44" t="n">
        <v>1</v>
      </c>
      <c r="J202" s="44" t="s">
        <v>154</v>
      </c>
      <c r="K202" s="44" t="n">
        <v>1</v>
      </c>
      <c r="M202" s="44" t="s">
        <v>154</v>
      </c>
      <c r="N202" s="44" t="n">
        <v>1</v>
      </c>
      <c r="P202" s="44" t="s">
        <v>154</v>
      </c>
      <c r="Q202" s="44" t="n">
        <v>1</v>
      </c>
      <c r="S202" s="44" t="s">
        <v>154</v>
      </c>
      <c r="T202" s="44" t="n">
        <v>1</v>
      </c>
      <c r="V202" s="44" t="s">
        <v>154</v>
      </c>
      <c r="W202" s="44" t="n">
        <v>1</v>
      </c>
      <c r="Y202" s="44" t="s">
        <v>154</v>
      </c>
      <c r="Z202" s="44" t="n">
        <v>1</v>
      </c>
      <c r="AB202" s="44" t="s">
        <v>154</v>
      </c>
      <c r="AC202" s="44" t="n">
        <v>1</v>
      </c>
      <c r="AE202" s="44" t="s">
        <v>154</v>
      </c>
      <c r="AF202" s="44" t="n">
        <v>1</v>
      </c>
      <c r="AH202" s="44" t="s">
        <v>154</v>
      </c>
      <c r="AI202" s="44" t="n">
        <v>1</v>
      </c>
      <c r="AK202" s="44" t="s">
        <v>154</v>
      </c>
      <c r="AL202" s="44" t="n">
        <v>1</v>
      </c>
      <c r="AN202" s="44" t="s">
        <v>154</v>
      </c>
      <c r="AO202" s="44" t="n">
        <v>1</v>
      </c>
      <c r="AQ202" s="44" t="s">
        <v>154</v>
      </c>
      <c r="AR202" s="44" t="n">
        <v>1</v>
      </c>
      <c r="AT202" s="44" t="s">
        <v>154</v>
      </c>
      <c r="AU202" s="44" t="n">
        <v>1</v>
      </c>
      <c r="AW202" s="44" t="s">
        <v>154</v>
      </c>
      <c r="AX202" s="44" t="n">
        <v>1</v>
      </c>
      <c r="AZ202" s="44" t="s">
        <v>154</v>
      </c>
      <c r="BA202" s="44" t="n">
        <v>1</v>
      </c>
      <c r="BC202" s="44" t="s">
        <v>154</v>
      </c>
      <c r="BD202" s="44" t="n">
        <v>1</v>
      </c>
      <c r="BF202" s="44" t="s">
        <v>154</v>
      </c>
      <c r="BG202" s="44" t="n">
        <v>1</v>
      </c>
      <c r="BI202" s="44" t="s">
        <v>154</v>
      </c>
      <c r="BJ202" s="44" t="n">
        <v>1</v>
      </c>
      <c r="BL202" s="44" t="s">
        <v>154</v>
      </c>
      <c r="BM202" s="44" t="n">
        <v>1</v>
      </c>
      <c r="BO202" s="44" t="s">
        <v>154</v>
      </c>
      <c r="BP202" s="44" t="n">
        <v>1</v>
      </c>
      <c r="BR202" s="44" t="s">
        <v>154</v>
      </c>
      <c r="BS202" s="44" t="n">
        <v>1</v>
      </c>
      <c r="BU202" s="44" t="s">
        <v>154</v>
      </c>
      <c r="BV202" s="44" t="n">
        <v>1</v>
      </c>
      <c r="BX202" s="44" t="s">
        <v>154</v>
      </c>
      <c r="BY202" s="44" t="n">
        <v>1</v>
      </c>
      <c r="CA202" s="44" t="s">
        <v>154</v>
      </c>
      <c r="CB202" s="44" t="n">
        <v>1</v>
      </c>
      <c r="CD202" s="44" t="s">
        <v>154</v>
      </c>
      <c r="CE202" s="44" t="n">
        <v>1</v>
      </c>
      <c r="CG202" s="44" t="s">
        <v>154</v>
      </c>
      <c r="CH202" s="44" t="n">
        <v>1</v>
      </c>
      <c r="CJ202" s="44" t="s">
        <v>154</v>
      </c>
      <c r="CK202" s="44" t="n">
        <v>1</v>
      </c>
      <c r="CM202" s="44" t="s">
        <v>154</v>
      </c>
      <c r="CN202" s="44" t="n">
        <v>1</v>
      </c>
      <c r="CP202" s="44" t="s">
        <v>154</v>
      </c>
      <c r="CQ202" s="44" t="n">
        <v>1</v>
      </c>
      <c r="CS202" s="44" t="s">
        <v>154</v>
      </c>
      <c r="CT202" s="44" t="n">
        <v>1</v>
      </c>
      <c r="CV202" s="44" t="s">
        <v>154</v>
      </c>
      <c r="CW202" s="44" t="n">
        <v>1</v>
      </c>
    </row>
    <row collapsed="false" customFormat="false" customHeight="false" hidden="false" ht="12.75" outlineLevel="0" r="204">
      <c r="A204" s="44" t="s">
        <v>155</v>
      </c>
      <c r="B204" s="44" t="n">
        <v>1</v>
      </c>
      <c r="D204" s="44" t="s">
        <v>155</v>
      </c>
      <c r="E204" s="44" t="n">
        <v>1</v>
      </c>
      <c r="G204" s="44" t="s">
        <v>155</v>
      </c>
      <c r="H204" s="44" t="n">
        <v>1</v>
      </c>
      <c r="J204" s="44" t="s">
        <v>155</v>
      </c>
      <c r="K204" s="44" t="n">
        <v>1</v>
      </c>
      <c r="M204" s="44" t="s">
        <v>155</v>
      </c>
      <c r="N204" s="44" t="n">
        <v>1</v>
      </c>
      <c r="P204" s="44" t="s">
        <v>155</v>
      </c>
      <c r="Q204" s="44" t="n">
        <v>1</v>
      </c>
      <c r="S204" s="44" t="s">
        <v>155</v>
      </c>
      <c r="T204" s="44" t="n">
        <v>1</v>
      </c>
      <c r="V204" s="44" t="s">
        <v>155</v>
      </c>
      <c r="W204" s="44" t="n">
        <v>1</v>
      </c>
      <c r="Y204" s="44" t="s">
        <v>155</v>
      </c>
      <c r="Z204" s="44" t="n">
        <v>1</v>
      </c>
      <c r="AB204" s="44" t="s">
        <v>155</v>
      </c>
      <c r="AC204" s="44" t="n">
        <v>1</v>
      </c>
      <c r="AE204" s="44" t="s">
        <v>155</v>
      </c>
      <c r="AF204" s="44" t="n">
        <v>1</v>
      </c>
      <c r="AH204" s="44" t="s">
        <v>155</v>
      </c>
      <c r="AI204" s="44" t="n">
        <v>1</v>
      </c>
      <c r="AK204" s="44" t="s">
        <v>155</v>
      </c>
      <c r="AL204" s="44" t="n">
        <v>1</v>
      </c>
      <c r="AN204" s="44" t="s">
        <v>155</v>
      </c>
      <c r="AO204" s="44" t="n">
        <v>1</v>
      </c>
      <c r="AQ204" s="44" t="s">
        <v>155</v>
      </c>
      <c r="AR204" s="44" t="n">
        <v>1</v>
      </c>
      <c r="AT204" s="44" t="s">
        <v>155</v>
      </c>
      <c r="AU204" s="44" t="n">
        <v>1</v>
      </c>
      <c r="AW204" s="44" t="s">
        <v>155</v>
      </c>
      <c r="AX204" s="44" t="n">
        <v>1</v>
      </c>
      <c r="AZ204" s="44" t="s">
        <v>155</v>
      </c>
      <c r="BA204" s="44" t="n">
        <v>1</v>
      </c>
      <c r="BC204" s="44" t="s">
        <v>155</v>
      </c>
      <c r="BD204" s="44" t="n">
        <v>1</v>
      </c>
      <c r="BF204" s="44" t="s">
        <v>155</v>
      </c>
      <c r="BG204" s="44" t="n">
        <v>1</v>
      </c>
      <c r="BI204" s="44" t="s">
        <v>155</v>
      </c>
      <c r="BJ204" s="44" t="n">
        <v>1</v>
      </c>
      <c r="BL204" s="44" t="s">
        <v>155</v>
      </c>
      <c r="BM204" s="44" t="n">
        <v>1</v>
      </c>
      <c r="BO204" s="44" t="s">
        <v>155</v>
      </c>
      <c r="BP204" s="44" t="n">
        <v>1</v>
      </c>
      <c r="BR204" s="44" t="s">
        <v>155</v>
      </c>
      <c r="BS204" s="44" t="n">
        <v>1</v>
      </c>
      <c r="BU204" s="44" t="s">
        <v>155</v>
      </c>
      <c r="BV204" s="44" t="n">
        <v>1</v>
      </c>
      <c r="BX204" s="44" t="s">
        <v>155</v>
      </c>
      <c r="BY204" s="44" t="n">
        <v>1</v>
      </c>
      <c r="CA204" s="44" t="s">
        <v>155</v>
      </c>
      <c r="CB204" s="44" t="n">
        <v>1</v>
      </c>
      <c r="CD204" s="44" t="s">
        <v>155</v>
      </c>
      <c r="CE204" s="44" t="n">
        <v>1</v>
      </c>
      <c r="CG204" s="44" t="s">
        <v>155</v>
      </c>
      <c r="CH204" s="44" t="n">
        <v>1</v>
      </c>
      <c r="CJ204" s="44" t="s">
        <v>155</v>
      </c>
      <c r="CK204" s="44" t="n">
        <v>1</v>
      </c>
      <c r="CM204" s="44" t="s">
        <v>155</v>
      </c>
      <c r="CN204" s="44" t="n">
        <v>1</v>
      </c>
      <c r="CP204" s="44" t="s">
        <v>155</v>
      </c>
      <c r="CQ204" s="44" t="n">
        <v>1</v>
      </c>
      <c r="CS204" s="44" t="s">
        <v>155</v>
      </c>
      <c r="CT204" s="44" t="n">
        <v>1</v>
      </c>
      <c r="CV204" s="44" t="s">
        <v>155</v>
      </c>
      <c r="CW204" s="44" t="n">
        <v>1</v>
      </c>
    </row>
    <row collapsed="false" customFormat="false" customHeight="false" hidden="false" ht="12.75" outlineLevel="0" r="206">
      <c r="A206" s="44" t="s">
        <v>156</v>
      </c>
      <c r="B206" s="44" t="s">
        <v>121</v>
      </c>
      <c r="D206" s="44" t="s">
        <v>156</v>
      </c>
      <c r="E206" s="44" t="s">
        <v>121</v>
      </c>
      <c r="G206" s="44" t="s">
        <v>156</v>
      </c>
      <c r="H206" s="44" t="s">
        <v>121</v>
      </c>
      <c r="J206" s="44" t="s">
        <v>156</v>
      </c>
      <c r="K206" s="44" t="s">
        <v>121</v>
      </c>
      <c r="M206" s="44" t="s">
        <v>156</v>
      </c>
      <c r="N206" s="44" t="s">
        <v>121</v>
      </c>
      <c r="P206" s="44" t="s">
        <v>156</v>
      </c>
      <c r="Q206" s="44" t="s">
        <v>121</v>
      </c>
      <c r="S206" s="44" t="s">
        <v>156</v>
      </c>
      <c r="T206" s="44" t="s">
        <v>121</v>
      </c>
      <c r="V206" s="44" t="s">
        <v>156</v>
      </c>
      <c r="W206" s="44" t="s">
        <v>121</v>
      </c>
      <c r="Y206" s="44" t="s">
        <v>156</v>
      </c>
      <c r="Z206" s="44" t="s">
        <v>121</v>
      </c>
      <c r="AB206" s="44" t="s">
        <v>156</v>
      </c>
      <c r="AC206" s="44" t="s">
        <v>121</v>
      </c>
      <c r="AE206" s="44" t="s">
        <v>156</v>
      </c>
      <c r="AF206" s="44" t="s">
        <v>121</v>
      </c>
      <c r="AH206" s="44" t="s">
        <v>156</v>
      </c>
      <c r="AI206" s="44" t="s">
        <v>121</v>
      </c>
      <c r="AK206" s="44" t="s">
        <v>156</v>
      </c>
      <c r="AL206" s="44" t="s">
        <v>121</v>
      </c>
      <c r="AN206" s="44" t="s">
        <v>156</v>
      </c>
      <c r="AO206" s="44" t="s">
        <v>121</v>
      </c>
      <c r="AQ206" s="44" t="s">
        <v>156</v>
      </c>
      <c r="AR206" s="44" t="s">
        <v>121</v>
      </c>
      <c r="AT206" s="44" t="s">
        <v>156</v>
      </c>
      <c r="AU206" s="44" t="s">
        <v>121</v>
      </c>
      <c r="AW206" s="44" t="s">
        <v>156</v>
      </c>
      <c r="AX206" s="44" t="s">
        <v>121</v>
      </c>
      <c r="AZ206" s="44" t="s">
        <v>156</v>
      </c>
      <c r="BA206" s="44" t="s">
        <v>121</v>
      </c>
      <c r="BC206" s="44" t="s">
        <v>156</v>
      </c>
      <c r="BD206" s="44" t="s">
        <v>121</v>
      </c>
      <c r="BF206" s="44" t="s">
        <v>156</v>
      </c>
      <c r="BG206" s="44" t="s">
        <v>121</v>
      </c>
      <c r="BI206" s="44" t="s">
        <v>156</v>
      </c>
      <c r="BJ206" s="44" t="s">
        <v>121</v>
      </c>
      <c r="BL206" s="44" t="s">
        <v>156</v>
      </c>
      <c r="BM206" s="44" t="s">
        <v>121</v>
      </c>
      <c r="BO206" s="44" t="s">
        <v>156</v>
      </c>
      <c r="BP206" s="44" t="s">
        <v>121</v>
      </c>
      <c r="BR206" s="44" t="s">
        <v>156</v>
      </c>
      <c r="BS206" s="44" t="s">
        <v>121</v>
      </c>
      <c r="BU206" s="44" t="s">
        <v>156</v>
      </c>
      <c r="BV206" s="44" t="s">
        <v>121</v>
      </c>
      <c r="BX206" s="44" t="s">
        <v>156</v>
      </c>
      <c r="BY206" s="44" t="s">
        <v>121</v>
      </c>
      <c r="CA206" s="44" t="s">
        <v>156</v>
      </c>
      <c r="CB206" s="44" t="s">
        <v>121</v>
      </c>
      <c r="CD206" s="44" t="s">
        <v>156</v>
      </c>
      <c r="CE206" s="44" t="s">
        <v>121</v>
      </c>
      <c r="CG206" s="44" t="s">
        <v>156</v>
      </c>
      <c r="CH206" s="44" t="s">
        <v>121</v>
      </c>
      <c r="CJ206" s="44" t="s">
        <v>156</v>
      </c>
      <c r="CK206" s="44" t="s">
        <v>121</v>
      </c>
      <c r="CM206" s="44" t="s">
        <v>156</v>
      </c>
      <c r="CN206" s="44" t="s">
        <v>121</v>
      </c>
      <c r="CP206" s="44" t="s">
        <v>156</v>
      </c>
      <c r="CQ206" s="44" t="s">
        <v>121</v>
      </c>
      <c r="CS206" s="44" t="s">
        <v>156</v>
      </c>
      <c r="CT206" s="44" t="s">
        <v>121</v>
      </c>
      <c r="CV206" s="44" t="s">
        <v>156</v>
      </c>
      <c r="CW206" s="44" t="s">
        <v>121</v>
      </c>
    </row>
    <row collapsed="false" customFormat="false" customHeight="false" hidden="false" ht="12.75" outlineLevel="0" r="208">
      <c r="A208" s="44" t="s">
        <v>157</v>
      </c>
      <c r="B208" s="44" t="n">
        <v>1</v>
      </c>
      <c r="D208" s="44" t="s">
        <v>157</v>
      </c>
      <c r="E208" s="44" t="n">
        <v>1</v>
      </c>
      <c r="G208" s="44" t="s">
        <v>157</v>
      </c>
      <c r="H208" s="44" t="n">
        <v>1</v>
      </c>
      <c r="J208" s="44" t="s">
        <v>157</v>
      </c>
      <c r="K208" s="44" t="n">
        <v>1</v>
      </c>
      <c r="M208" s="44" t="s">
        <v>157</v>
      </c>
      <c r="N208" s="44" t="n">
        <v>1</v>
      </c>
      <c r="P208" s="44" t="s">
        <v>157</v>
      </c>
      <c r="Q208" s="44" t="n">
        <v>1</v>
      </c>
      <c r="S208" s="44" t="s">
        <v>157</v>
      </c>
      <c r="T208" s="44" t="n">
        <v>1</v>
      </c>
      <c r="V208" s="44" t="s">
        <v>157</v>
      </c>
      <c r="W208" s="44" t="n">
        <v>1</v>
      </c>
      <c r="Y208" s="44" t="s">
        <v>157</v>
      </c>
      <c r="Z208" s="44" t="n">
        <v>1</v>
      </c>
      <c r="AB208" s="44" t="s">
        <v>157</v>
      </c>
      <c r="AC208" s="44" t="n">
        <v>1</v>
      </c>
      <c r="AE208" s="44" t="s">
        <v>157</v>
      </c>
      <c r="AF208" s="44" t="n">
        <v>1</v>
      </c>
      <c r="AH208" s="44" t="s">
        <v>157</v>
      </c>
      <c r="AI208" s="44" t="n">
        <v>1</v>
      </c>
      <c r="AK208" s="44" t="s">
        <v>157</v>
      </c>
      <c r="AL208" s="44" t="n">
        <v>1</v>
      </c>
      <c r="AN208" s="44" t="s">
        <v>157</v>
      </c>
      <c r="AO208" s="44" t="n">
        <v>1</v>
      </c>
      <c r="AQ208" s="44" t="s">
        <v>157</v>
      </c>
      <c r="AR208" s="44" t="n">
        <v>1</v>
      </c>
      <c r="AT208" s="44" t="s">
        <v>157</v>
      </c>
      <c r="AU208" s="44" t="n">
        <v>1</v>
      </c>
      <c r="AW208" s="44" t="s">
        <v>157</v>
      </c>
      <c r="AX208" s="44" t="n">
        <v>1</v>
      </c>
      <c r="AZ208" s="44" t="s">
        <v>157</v>
      </c>
      <c r="BA208" s="44" t="n">
        <v>1</v>
      </c>
      <c r="BC208" s="44" t="s">
        <v>157</v>
      </c>
      <c r="BD208" s="44" t="n">
        <v>1</v>
      </c>
      <c r="BF208" s="44" t="s">
        <v>157</v>
      </c>
      <c r="BG208" s="44" t="n">
        <v>1</v>
      </c>
      <c r="BI208" s="44" t="s">
        <v>157</v>
      </c>
      <c r="BJ208" s="44" t="n">
        <v>1</v>
      </c>
      <c r="BL208" s="44" t="s">
        <v>157</v>
      </c>
      <c r="BM208" s="44" t="n">
        <v>1</v>
      </c>
      <c r="BO208" s="44" t="s">
        <v>157</v>
      </c>
      <c r="BP208" s="44" t="n">
        <v>1</v>
      </c>
      <c r="BR208" s="44" t="s">
        <v>157</v>
      </c>
      <c r="BS208" s="44" t="n">
        <v>1</v>
      </c>
      <c r="BU208" s="44" t="s">
        <v>157</v>
      </c>
      <c r="BV208" s="44" t="n">
        <v>1</v>
      </c>
      <c r="BX208" s="44" t="s">
        <v>157</v>
      </c>
      <c r="BY208" s="44" t="n">
        <v>1</v>
      </c>
      <c r="CA208" s="44" t="s">
        <v>157</v>
      </c>
      <c r="CB208" s="44" t="n">
        <v>1</v>
      </c>
      <c r="CD208" s="44" t="s">
        <v>157</v>
      </c>
      <c r="CE208" s="44" t="n">
        <v>1</v>
      </c>
      <c r="CG208" s="44" t="s">
        <v>157</v>
      </c>
      <c r="CH208" s="44" t="n">
        <v>1</v>
      </c>
      <c r="CJ208" s="44" t="s">
        <v>157</v>
      </c>
      <c r="CK208" s="44" t="n">
        <v>1</v>
      </c>
      <c r="CM208" s="44" t="s">
        <v>157</v>
      </c>
      <c r="CN208" s="44" t="n">
        <v>1</v>
      </c>
      <c r="CP208" s="44" t="s">
        <v>157</v>
      </c>
      <c r="CQ208" s="44" t="n">
        <v>1</v>
      </c>
      <c r="CS208" s="44" t="s">
        <v>157</v>
      </c>
      <c r="CT208" s="44" t="n">
        <v>1</v>
      </c>
      <c r="CV208" s="44" t="s">
        <v>157</v>
      </c>
      <c r="CW208" s="44" t="n">
        <v>1</v>
      </c>
    </row>
    <row collapsed="false" customFormat="false" customHeight="false" hidden="false" ht="12.75" outlineLevel="0" r="210">
      <c r="A210" s="44" t="s">
        <v>158</v>
      </c>
      <c r="B210" s="44" t="n">
        <v>1</v>
      </c>
      <c r="D210" s="44" t="s">
        <v>158</v>
      </c>
      <c r="E210" s="44" t="n">
        <v>1</v>
      </c>
      <c r="G210" s="44" t="s">
        <v>158</v>
      </c>
      <c r="H210" s="44" t="n">
        <v>1</v>
      </c>
      <c r="J210" s="44" t="s">
        <v>158</v>
      </c>
      <c r="K210" s="44" t="n">
        <v>1</v>
      </c>
      <c r="M210" s="44" t="s">
        <v>158</v>
      </c>
      <c r="N210" s="44" t="n">
        <v>1</v>
      </c>
      <c r="P210" s="44" t="s">
        <v>158</v>
      </c>
      <c r="Q210" s="44" t="n">
        <v>1</v>
      </c>
      <c r="S210" s="44" t="s">
        <v>158</v>
      </c>
      <c r="T210" s="44" t="n">
        <v>1</v>
      </c>
      <c r="V210" s="44" t="s">
        <v>158</v>
      </c>
      <c r="W210" s="44" t="n">
        <v>1</v>
      </c>
      <c r="Y210" s="44" t="s">
        <v>158</v>
      </c>
      <c r="Z210" s="44" t="n">
        <v>1</v>
      </c>
      <c r="AB210" s="44" t="s">
        <v>158</v>
      </c>
      <c r="AC210" s="44" t="n">
        <v>1</v>
      </c>
      <c r="AE210" s="44" t="s">
        <v>158</v>
      </c>
      <c r="AF210" s="44" t="n">
        <v>1</v>
      </c>
      <c r="AH210" s="44" t="s">
        <v>158</v>
      </c>
      <c r="AI210" s="44" t="n">
        <v>1</v>
      </c>
      <c r="AK210" s="44" t="s">
        <v>158</v>
      </c>
      <c r="AL210" s="44" t="n">
        <v>1</v>
      </c>
      <c r="AN210" s="44" t="s">
        <v>158</v>
      </c>
      <c r="AO210" s="44" t="n">
        <v>1</v>
      </c>
      <c r="AQ210" s="44" t="s">
        <v>158</v>
      </c>
      <c r="AR210" s="44" t="n">
        <v>1</v>
      </c>
      <c r="AT210" s="44" t="s">
        <v>158</v>
      </c>
      <c r="AU210" s="44" t="n">
        <v>1</v>
      </c>
      <c r="AW210" s="44" t="s">
        <v>158</v>
      </c>
      <c r="AX210" s="44" t="n">
        <v>1</v>
      </c>
      <c r="AZ210" s="44" t="s">
        <v>158</v>
      </c>
      <c r="BA210" s="44" t="n">
        <v>1</v>
      </c>
      <c r="BC210" s="44" t="s">
        <v>158</v>
      </c>
      <c r="BD210" s="44" t="n">
        <v>1</v>
      </c>
      <c r="BF210" s="44" t="s">
        <v>158</v>
      </c>
      <c r="BG210" s="44" t="n">
        <v>1</v>
      </c>
      <c r="BI210" s="44" t="s">
        <v>158</v>
      </c>
      <c r="BJ210" s="44" t="n">
        <v>1</v>
      </c>
      <c r="BL210" s="44" t="s">
        <v>158</v>
      </c>
      <c r="BM210" s="44" t="n">
        <v>1</v>
      </c>
      <c r="BO210" s="44" t="s">
        <v>158</v>
      </c>
      <c r="BP210" s="44" t="n">
        <v>1</v>
      </c>
      <c r="BR210" s="44" t="s">
        <v>158</v>
      </c>
      <c r="BS210" s="44" t="n">
        <v>1</v>
      </c>
      <c r="BU210" s="44" t="s">
        <v>158</v>
      </c>
      <c r="BV210" s="44" t="n">
        <v>1</v>
      </c>
      <c r="BX210" s="44" t="s">
        <v>158</v>
      </c>
      <c r="BY210" s="44" t="n">
        <v>1</v>
      </c>
      <c r="CA210" s="44" t="s">
        <v>158</v>
      </c>
      <c r="CB210" s="44" t="n">
        <v>1</v>
      </c>
      <c r="CD210" s="44" t="s">
        <v>158</v>
      </c>
      <c r="CE210" s="44" t="n">
        <v>1</v>
      </c>
      <c r="CG210" s="44" t="s">
        <v>158</v>
      </c>
      <c r="CH210" s="44" t="n">
        <v>1</v>
      </c>
      <c r="CJ210" s="44" t="s">
        <v>158</v>
      </c>
      <c r="CK210" s="44" t="n">
        <v>1</v>
      </c>
      <c r="CM210" s="44" t="s">
        <v>158</v>
      </c>
      <c r="CN210" s="44" t="n">
        <v>1</v>
      </c>
      <c r="CP210" s="44" t="s">
        <v>158</v>
      </c>
      <c r="CQ210" s="44" t="n">
        <v>1</v>
      </c>
      <c r="CS210" s="44" t="s">
        <v>158</v>
      </c>
      <c r="CT210" s="44" t="n">
        <v>1</v>
      </c>
      <c r="CV210" s="44" t="s">
        <v>158</v>
      </c>
      <c r="CW210" s="44" t="n">
        <v>1</v>
      </c>
    </row>
    <row collapsed="false" customFormat="false" customHeight="false" hidden="false" ht="12.75" outlineLevel="0" r="212">
      <c r="A212" s="44" t="s">
        <v>159</v>
      </c>
      <c r="B212" s="44" t="n">
        <v>1</v>
      </c>
      <c r="D212" s="44" t="s">
        <v>159</v>
      </c>
      <c r="E212" s="44" t="n">
        <v>1</v>
      </c>
      <c r="G212" s="44" t="s">
        <v>159</v>
      </c>
      <c r="H212" s="44" t="n">
        <v>1</v>
      </c>
      <c r="J212" s="44" t="s">
        <v>159</v>
      </c>
      <c r="K212" s="44" t="n">
        <v>1</v>
      </c>
      <c r="M212" s="44" t="s">
        <v>159</v>
      </c>
      <c r="N212" s="44" t="n">
        <v>1</v>
      </c>
      <c r="P212" s="44" t="s">
        <v>159</v>
      </c>
      <c r="Q212" s="44" t="n">
        <v>1</v>
      </c>
      <c r="S212" s="44" t="s">
        <v>159</v>
      </c>
      <c r="T212" s="44" t="n">
        <v>1</v>
      </c>
      <c r="V212" s="44" t="s">
        <v>159</v>
      </c>
      <c r="W212" s="44" t="n">
        <v>1</v>
      </c>
      <c r="Y212" s="44" t="s">
        <v>159</v>
      </c>
      <c r="Z212" s="44" t="n">
        <v>1</v>
      </c>
      <c r="AB212" s="44" t="s">
        <v>159</v>
      </c>
      <c r="AC212" s="44" t="n">
        <v>1</v>
      </c>
      <c r="AE212" s="44" t="s">
        <v>159</v>
      </c>
      <c r="AF212" s="44" t="n">
        <v>1</v>
      </c>
      <c r="AH212" s="44" t="s">
        <v>159</v>
      </c>
      <c r="AI212" s="44" t="n">
        <v>1</v>
      </c>
      <c r="AK212" s="44" t="s">
        <v>159</v>
      </c>
      <c r="AL212" s="44" t="n">
        <v>1</v>
      </c>
      <c r="AN212" s="44" t="s">
        <v>159</v>
      </c>
      <c r="AO212" s="44" t="n">
        <v>1</v>
      </c>
      <c r="AQ212" s="44" t="s">
        <v>159</v>
      </c>
      <c r="AR212" s="44" t="n">
        <v>1</v>
      </c>
      <c r="AT212" s="44" t="s">
        <v>159</v>
      </c>
      <c r="AU212" s="44" t="n">
        <v>1</v>
      </c>
      <c r="AW212" s="44" t="s">
        <v>159</v>
      </c>
      <c r="AX212" s="44" t="n">
        <v>1</v>
      </c>
      <c r="AZ212" s="44" t="s">
        <v>159</v>
      </c>
      <c r="BA212" s="44" t="n">
        <v>1</v>
      </c>
      <c r="BC212" s="44" t="s">
        <v>159</v>
      </c>
      <c r="BD212" s="44" t="n">
        <v>1</v>
      </c>
      <c r="BF212" s="44" t="s">
        <v>159</v>
      </c>
      <c r="BG212" s="44" t="n">
        <v>1</v>
      </c>
      <c r="BI212" s="44" t="s">
        <v>159</v>
      </c>
      <c r="BJ212" s="44" t="n">
        <v>1</v>
      </c>
      <c r="BL212" s="44" t="s">
        <v>159</v>
      </c>
      <c r="BM212" s="44" t="n">
        <v>1</v>
      </c>
      <c r="BO212" s="44" t="s">
        <v>159</v>
      </c>
      <c r="BP212" s="44" t="n">
        <v>1</v>
      </c>
      <c r="BR212" s="44" t="s">
        <v>159</v>
      </c>
      <c r="BS212" s="44" t="n">
        <v>1</v>
      </c>
      <c r="BU212" s="44" t="s">
        <v>159</v>
      </c>
      <c r="BV212" s="44" t="n">
        <v>1</v>
      </c>
      <c r="BX212" s="44" t="s">
        <v>159</v>
      </c>
      <c r="BY212" s="44" t="n">
        <v>1</v>
      </c>
      <c r="CA212" s="44" t="s">
        <v>159</v>
      </c>
      <c r="CB212" s="44" t="n">
        <v>1</v>
      </c>
      <c r="CD212" s="44" t="s">
        <v>159</v>
      </c>
      <c r="CE212" s="44" t="n">
        <v>1</v>
      </c>
      <c r="CG212" s="44" t="s">
        <v>159</v>
      </c>
      <c r="CH212" s="44" t="n">
        <v>1</v>
      </c>
      <c r="CJ212" s="44" t="s">
        <v>159</v>
      </c>
      <c r="CK212" s="44" t="n">
        <v>1</v>
      </c>
      <c r="CM212" s="44" t="s">
        <v>159</v>
      </c>
      <c r="CN212" s="44" t="n">
        <v>1</v>
      </c>
      <c r="CP212" s="44" t="s">
        <v>159</v>
      </c>
      <c r="CQ212" s="44" t="n">
        <v>1</v>
      </c>
      <c r="CS212" s="44" t="s">
        <v>159</v>
      </c>
      <c r="CT212" s="44" t="n">
        <v>1</v>
      </c>
      <c r="CV212" s="44" t="s">
        <v>159</v>
      </c>
      <c r="CW212" s="44" t="n">
        <v>1</v>
      </c>
    </row>
    <row collapsed="false" customFormat="false" customHeight="false" hidden="false" ht="12.75" outlineLevel="0" r="214">
      <c r="A214" s="44" t="s">
        <v>160</v>
      </c>
      <c r="B214" s="44" t="n">
        <v>1</v>
      </c>
      <c r="D214" s="44" t="s">
        <v>160</v>
      </c>
      <c r="E214" s="44" t="n">
        <v>1</v>
      </c>
      <c r="G214" s="44" t="s">
        <v>160</v>
      </c>
      <c r="H214" s="44" t="n">
        <v>1</v>
      </c>
      <c r="J214" s="44" t="s">
        <v>160</v>
      </c>
      <c r="K214" s="44" t="n">
        <v>1</v>
      </c>
      <c r="M214" s="44" t="s">
        <v>160</v>
      </c>
      <c r="N214" s="44" t="n">
        <v>1</v>
      </c>
      <c r="P214" s="44" t="s">
        <v>160</v>
      </c>
      <c r="Q214" s="44" t="n">
        <v>1</v>
      </c>
      <c r="S214" s="44" t="s">
        <v>160</v>
      </c>
      <c r="T214" s="44" t="n">
        <v>1</v>
      </c>
      <c r="V214" s="44" t="s">
        <v>160</v>
      </c>
      <c r="W214" s="44" t="n">
        <v>1</v>
      </c>
      <c r="Y214" s="44" t="s">
        <v>160</v>
      </c>
      <c r="Z214" s="44" t="n">
        <v>1</v>
      </c>
      <c r="AB214" s="44" t="s">
        <v>160</v>
      </c>
      <c r="AC214" s="44" t="n">
        <v>1</v>
      </c>
      <c r="AE214" s="44" t="s">
        <v>160</v>
      </c>
      <c r="AF214" s="44" t="n">
        <v>1</v>
      </c>
      <c r="AH214" s="44" t="s">
        <v>160</v>
      </c>
      <c r="AI214" s="44" t="n">
        <v>1</v>
      </c>
      <c r="AK214" s="44" t="s">
        <v>160</v>
      </c>
      <c r="AL214" s="44" t="n">
        <v>1</v>
      </c>
      <c r="AN214" s="44" t="s">
        <v>160</v>
      </c>
      <c r="AO214" s="44" t="n">
        <v>1</v>
      </c>
      <c r="AQ214" s="44" t="s">
        <v>160</v>
      </c>
      <c r="AR214" s="44" t="n">
        <v>1</v>
      </c>
      <c r="AT214" s="44" t="s">
        <v>160</v>
      </c>
      <c r="AU214" s="44" t="n">
        <v>1</v>
      </c>
      <c r="AW214" s="44" t="s">
        <v>160</v>
      </c>
      <c r="AX214" s="44" t="n">
        <v>1</v>
      </c>
      <c r="AZ214" s="44" t="s">
        <v>160</v>
      </c>
      <c r="BA214" s="44" t="n">
        <v>1</v>
      </c>
      <c r="BC214" s="44" t="s">
        <v>160</v>
      </c>
      <c r="BD214" s="44" t="n">
        <v>1</v>
      </c>
      <c r="BF214" s="44" t="s">
        <v>160</v>
      </c>
      <c r="BG214" s="44" t="n">
        <v>1</v>
      </c>
      <c r="BI214" s="44" t="s">
        <v>160</v>
      </c>
      <c r="BJ214" s="44" t="n">
        <v>1</v>
      </c>
      <c r="BL214" s="44" t="s">
        <v>160</v>
      </c>
      <c r="BM214" s="44" t="n">
        <v>1</v>
      </c>
      <c r="BO214" s="44" t="s">
        <v>160</v>
      </c>
      <c r="BP214" s="44" t="n">
        <v>1</v>
      </c>
      <c r="BR214" s="44" t="s">
        <v>160</v>
      </c>
      <c r="BS214" s="44" t="n">
        <v>1</v>
      </c>
      <c r="BU214" s="44" t="s">
        <v>160</v>
      </c>
      <c r="BV214" s="44" t="n">
        <v>1</v>
      </c>
      <c r="BX214" s="44" t="s">
        <v>160</v>
      </c>
      <c r="BY214" s="44" t="n">
        <v>1</v>
      </c>
      <c r="CA214" s="44" t="s">
        <v>160</v>
      </c>
      <c r="CB214" s="44" t="n">
        <v>1</v>
      </c>
      <c r="CD214" s="44" t="s">
        <v>160</v>
      </c>
      <c r="CE214" s="44" t="n">
        <v>1</v>
      </c>
      <c r="CG214" s="44" t="s">
        <v>160</v>
      </c>
      <c r="CH214" s="44" t="n">
        <v>1</v>
      </c>
      <c r="CJ214" s="44" t="s">
        <v>160</v>
      </c>
      <c r="CK214" s="44" t="n">
        <v>1</v>
      </c>
      <c r="CM214" s="44" t="s">
        <v>160</v>
      </c>
      <c r="CN214" s="44" t="n">
        <v>1</v>
      </c>
      <c r="CP214" s="44" t="s">
        <v>160</v>
      </c>
      <c r="CQ214" s="44" t="n">
        <v>1</v>
      </c>
      <c r="CS214" s="44" t="s">
        <v>160</v>
      </c>
      <c r="CT214" s="44" t="n">
        <v>1</v>
      </c>
      <c r="CV214" s="44" t="s">
        <v>160</v>
      </c>
      <c r="CW214" s="44" t="n">
        <v>1</v>
      </c>
    </row>
    <row collapsed="false" customFormat="false" customHeight="false" hidden="false" ht="12.75" outlineLevel="0" r="216">
      <c r="A216" s="44" t="s">
        <v>161</v>
      </c>
      <c r="B216" s="44" t="n">
        <v>1</v>
      </c>
      <c r="D216" s="44" t="s">
        <v>161</v>
      </c>
      <c r="E216" s="44" t="n">
        <v>1</v>
      </c>
      <c r="G216" s="44" t="s">
        <v>161</v>
      </c>
      <c r="H216" s="44" t="n">
        <v>1</v>
      </c>
      <c r="J216" s="44" t="s">
        <v>161</v>
      </c>
      <c r="K216" s="44" t="n">
        <v>1</v>
      </c>
      <c r="M216" s="44" t="s">
        <v>161</v>
      </c>
      <c r="N216" s="44" t="n">
        <v>1</v>
      </c>
      <c r="P216" s="44" t="s">
        <v>161</v>
      </c>
      <c r="Q216" s="44" t="n">
        <v>1</v>
      </c>
      <c r="S216" s="44" t="s">
        <v>161</v>
      </c>
      <c r="T216" s="44" t="n">
        <v>1</v>
      </c>
      <c r="V216" s="44" t="s">
        <v>161</v>
      </c>
      <c r="W216" s="44" t="n">
        <v>1</v>
      </c>
      <c r="Y216" s="44" t="s">
        <v>161</v>
      </c>
      <c r="Z216" s="44" t="n">
        <v>1</v>
      </c>
      <c r="AB216" s="44" t="s">
        <v>161</v>
      </c>
      <c r="AC216" s="44" t="n">
        <v>1</v>
      </c>
      <c r="AE216" s="44" t="s">
        <v>161</v>
      </c>
      <c r="AF216" s="44" t="n">
        <v>1</v>
      </c>
      <c r="AH216" s="44" t="s">
        <v>161</v>
      </c>
      <c r="AI216" s="44" t="n">
        <v>1</v>
      </c>
      <c r="AK216" s="44" t="s">
        <v>161</v>
      </c>
      <c r="AL216" s="44" t="n">
        <v>1</v>
      </c>
      <c r="AN216" s="44" t="s">
        <v>161</v>
      </c>
      <c r="AO216" s="44" t="n">
        <v>1</v>
      </c>
      <c r="AQ216" s="44" t="s">
        <v>161</v>
      </c>
      <c r="AR216" s="44" t="n">
        <v>1</v>
      </c>
      <c r="AT216" s="44" t="s">
        <v>161</v>
      </c>
      <c r="AU216" s="44" t="n">
        <v>1</v>
      </c>
      <c r="AW216" s="44" t="s">
        <v>161</v>
      </c>
      <c r="AX216" s="44" t="n">
        <v>1</v>
      </c>
      <c r="AZ216" s="44" t="s">
        <v>161</v>
      </c>
      <c r="BA216" s="44" t="n">
        <v>1</v>
      </c>
      <c r="BC216" s="44" t="s">
        <v>161</v>
      </c>
      <c r="BD216" s="44" t="n">
        <v>1</v>
      </c>
      <c r="BF216" s="44" t="s">
        <v>161</v>
      </c>
      <c r="BG216" s="44" t="n">
        <v>1</v>
      </c>
      <c r="BI216" s="44" t="s">
        <v>161</v>
      </c>
      <c r="BJ216" s="44" t="n">
        <v>1</v>
      </c>
      <c r="BL216" s="44" t="s">
        <v>161</v>
      </c>
      <c r="BM216" s="44" t="n">
        <v>1</v>
      </c>
      <c r="BO216" s="44" t="s">
        <v>161</v>
      </c>
      <c r="BP216" s="44" t="n">
        <v>1</v>
      </c>
      <c r="BR216" s="44" t="s">
        <v>161</v>
      </c>
      <c r="BS216" s="44" t="n">
        <v>1</v>
      </c>
      <c r="BU216" s="44" t="s">
        <v>161</v>
      </c>
      <c r="BV216" s="44" t="n">
        <v>1</v>
      </c>
      <c r="BX216" s="44" t="s">
        <v>161</v>
      </c>
      <c r="BY216" s="44" t="n">
        <v>1</v>
      </c>
      <c r="CA216" s="44" t="s">
        <v>161</v>
      </c>
      <c r="CB216" s="44" t="n">
        <v>1</v>
      </c>
      <c r="CD216" s="44" t="s">
        <v>161</v>
      </c>
      <c r="CE216" s="44" t="n">
        <v>1</v>
      </c>
      <c r="CG216" s="44" t="s">
        <v>161</v>
      </c>
      <c r="CH216" s="44" t="n">
        <v>1</v>
      </c>
      <c r="CJ216" s="44" t="s">
        <v>161</v>
      </c>
      <c r="CK216" s="44" t="n">
        <v>1</v>
      </c>
      <c r="CM216" s="44" t="s">
        <v>161</v>
      </c>
      <c r="CN216" s="44" t="n">
        <v>1</v>
      </c>
      <c r="CP216" s="44" t="s">
        <v>161</v>
      </c>
      <c r="CQ216" s="44" t="n">
        <v>1</v>
      </c>
      <c r="CS216" s="44" t="s">
        <v>161</v>
      </c>
      <c r="CT216" s="44" t="n">
        <v>1</v>
      </c>
      <c r="CV216" s="44" t="s">
        <v>161</v>
      </c>
      <c r="CW216" s="44" t="n">
        <v>1</v>
      </c>
    </row>
    <row collapsed="false" customFormat="false" customHeight="false" hidden="false" ht="12.75" outlineLevel="0" r="218">
      <c r="A218" s="44" t="s">
        <v>162</v>
      </c>
      <c r="B218" s="44" t="n">
        <v>1</v>
      </c>
      <c r="D218" s="44" t="s">
        <v>162</v>
      </c>
      <c r="E218" s="44" t="n">
        <v>1</v>
      </c>
      <c r="G218" s="44" t="s">
        <v>162</v>
      </c>
      <c r="H218" s="44" t="n">
        <v>1</v>
      </c>
      <c r="J218" s="44" t="s">
        <v>162</v>
      </c>
      <c r="K218" s="44" t="n">
        <v>1</v>
      </c>
      <c r="M218" s="44" t="s">
        <v>162</v>
      </c>
      <c r="N218" s="44" t="n">
        <v>1</v>
      </c>
      <c r="P218" s="44" t="s">
        <v>162</v>
      </c>
      <c r="Q218" s="44" t="n">
        <v>1</v>
      </c>
      <c r="S218" s="44" t="s">
        <v>162</v>
      </c>
      <c r="T218" s="44" t="n">
        <v>1</v>
      </c>
      <c r="V218" s="44" t="s">
        <v>162</v>
      </c>
      <c r="W218" s="44" t="n">
        <v>1</v>
      </c>
      <c r="Y218" s="44" t="s">
        <v>162</v>
      </c>
      <c r="Z218" s="44" t="n">
        <v>1</v>
      </c>
      <c r="AB218" s="44" t="s">
        <v>162</v>
      </c>
      <c r="AC218" s="44" t="n">
        <v>1</v>
      </c>
      <c r="AE218" s="44" t="s">
        <v>162</v>
      </c>
      <c r="AF218" s="44" t="n">
        <v>1</v>
      </c>
      <c r="AH218" s="44" t="s">
        <v>162</v>
      </c>
      <c r="AI218" s="44" t="n">
        <v>1</v>
      </c>
      <c r="AK218" s="44" t="s">
        <v>162</v>
      </c>
      <c r="AL218" s="44" t="n">
        <v>1</v>
      </c>
      <c r="AN218" s="44" t="s">
        <v>162</v>
      </c>
      <c r="AO218" s="44" t="n">
        <v>1</v>
      </c>
      <c r="AQ218" s="44" t="s">
        <v>162</v>
      </c>
      <c r="AR218" s="44" t="n">
        <v>1</v>
      </c>
      <c r="AT218" s="44" t="s">
        <v>162</v>
      </c>
      <c r="AU218" s="44" t="n">
        <v>1</v>
      </c>
      <c r="AW218" s="44" t="s">
        <v>162</v>
      </c>
      <c r="AX218" s="44" t="n">
        <v>1</v>
      </c>
      <c r="AZ218" s="44" t="s">
        <v>162</v>
      </c>
      <c r="BA218" s="44" t="n">
        <v>1</v>
      </c>
      <c r="BC218" s="44" t="s">
        <v>162</v>
      </c>
      <c r="BD218" s="44" t="n">
        <v>1</v>
      </c>
      <c r="BF218" s="44" t="s">
        <v>162</v>
      </c>
      <c r="BG218" s="44" t="n">
        <v>1</v>
      </c>
      <c r="BI218" s="44" t="s">
        <v>162</v>
      </c>
      <c r="BJ218" s="44" t="n">
        <v>1</v>
      </c>
      <c r="BL218" s="44" t="s">
        <v>162</v>
      </c>
      <c r="BM218" s="44" t="n">
        <v>1</v>
      </c>
      <c r="BO218" s="44" t="s">
        <v>162</v>
      </c>
      <c r="BP218" s="44" t="n">
        <v>1</v>
      </c>
      <c r="BR218" s="44" t="s">
        <v>162</v>
      </c>
      <c r="BS218" s="44" t="n">
        <v>1</v>
      </c>
      <c r="BU218" s="44" t="s">
        <v>162</v>
      </c>
      <c r="BV218" s="44" t="n">
        <v>1</v>
      </c>
      <c r="BX218" s="44" t="s">
        <v>162</v>
      </c>
      <c r="BY218" s="44" t="n">
        <v>1</v>
      </c>
      <c r="CA218" s="44" t="s">
        <v>162</v>
      </c>
      <c r="CB218" s="44" t="n">
        <v>1</v>
      </c>
      <c r="CD218" s="44" t="s">
        <v>162</v>
      </c>
      <c r="CE218" s="44" t="n">
        <v>1</v>
      </c>
      <c r="CG218" s="44" t="s">
        <v>162</v>
      </c>
      <c r="CH218" s="44" t="n">
        <v>1</v>
      </c>
      <c r="CJ218" s="44" t="s">
        <v>162</v>
      </c>
      <c r="CK218" s="44" t="n">
        <v>1</v>
      </c>
      <c r="CM218" s="44" t="s">
        <v>162</v>
      </c>
      <c r="CN218" s="44" t="n">
        <v>1</v>
      </c>
      <c r="CP218" s="44" t="s">
        <v>162</v>
      </c>
      <c r="CQ218" s="44" t="n">
        <v>1</v>
      </c>
      <c r="CS218" s="44" t="s">
        <v>162</v>
      </c>
      <c r="CT218" s="44" t="n">
        <v>1</v>
      </c>
      <c r="CV218" s="44" t="s">
        <v>162</v>
      </c>
      <c r="CW218" s="44" t="n">
        <v>1</v>
      </c>
    </row>
    <row collapsed="false" customFormat="false" customHeight="false" hidden="false" ht="12.75" outlineLevel="0" r="220">
      <c r="A220" s="44" t="s">
        <v>163</v>
      </c>
      <c r="B220" s="44" t="n">
        <v>1</v>
      </c>
      <c r="D220" s="44" t="s">
        <v>163</v>
      </c>
      <c r="E220" s="44" t="n">
        <v>1</v>
      </c>
      <c r="G220" s="44" t="s">
        <v>163</v>
      </c>
      <c r="H220" s="44" t="n">
        <v>1</v>
      </c>
      <c r="J220" s="44" t="s">
        <v>163</v>
      </c>
      <c r="K220" s="44" t="n">
        <v>1</v>
      </c>
      <c r="M220" s="44" t="s">
        <v>163</v>
      </c>
      <c r="N220" s="44" t="n">
        <v>1</v>
      </c>
      <c r="P220" s="44" t="s">
        <v>163</v>
      </c>
      <c r="Q220" s="44" t="n">
        <v>1</v>
      </c>
      <c r="S220" s="44" t="s">
        <v>163</v>
      </c>
      <c r="T220" s="44" t="n">
        <v>1</v>
      </c>
      <c r="V220" s="44" t="s">
        <v>163</v>
      </c>
      <c r="W220" s="44" t="n">
        <v>1</v>
      </c>
      <c r="Y220" s="44" t="s">
        <v>163</v>
      </c>
      <c r="Z220" s="44" t="n">
        <v>1</v>
      </c>
      <c r="AB220" s="44" t="s">
        <v>163</v>
      </c>
      <c r="AC220" s="44" t="n">
        <v>1</v>
      </c>
      <c r="AE220" s="44" t="s">
        <v>163</v>
      </c>
      <c r="AF220" s="44" t="n">
        <v>1</v>
      </c>
      <c r="AH220" s="44" t="s">
        <v>163</v>
      </c>
      <c r="AI220" s="44" t="n">
        <v>1</v>
      </c>
      <c r="AK220" s="44" t="s">
        <v>163</v>
      </c>
      <c r="AL220" s="44" t="n">
        <v>1</v>
      </c>
      <c r="AN220" s="44" t="s">
        <v>163</v>
      </c>
      <c r="AO220" s="44" t="n">
        <v>1</v>
      </c>
      <c r="AQ220" s="44" t="s">
        <v>163</v>
      </c>
      <c r="AR220" s="44" t="n">
        <v>1</v>
      </c>
      <c r="AT220" s="44" t="s">
        <v>163</v>
      </c>
      <c r="AU220" s="44" t="n">
        <v>1</v>
      </c>
      <c r="AW220" s="44" t="s">
        <v>163</v>
      </c>
      <c r="AX220" s="44" t="n">
        <v>1</v>
      </c>
      <c r="AZ220" s="44" t="s">
        <v>163</v>
      </c>
      <c r="BA220" s="44" t="n">
        <v>1</v>
      </c>
      <c r="BC220" s="44" t="s">
        <v>163</v>
      </c>
      <c r="BD220" s="44" t="n">
        <v>1</v>
      </c>
      <c r="BF220" s="44" t="s">
        <v>163</v>
      </c>
      <c r="BG220" s="44" t="n">
        <v>1</v>
      </c>
      <c r="BI220" s="44" t="s">
        <v>163</v>
      </c>
      <c r="BJ220" s="44" t="n">
        <v>1</v>
      </c>
      <c r="BL220" s="44" t="s">
        <v>163</v>
      </c>
      <c r="BM220" s="44" t="n">
        <v>1</v>
      </c>
      <c r="BO220" s="44" t="s">
        <v>163</v>
      </c>
      <c r="BP220" s="44" t="n">
        <v>1</v>
      </c>
      <c r="BR220" s="44" t="s">
        <v>163</v>
      </c>
      <c r="BS220" s="44" t="n">
        <v>1</v>
      </c>
      <c r="BU220" s="44" t="s">
        <v>163</v>
      </c>
      <c r="BV220" s="44" t="n">
        <v>1</v>
      </c>
      <c r="BX220" s="44" t="s">
        <v>163</v>
      </c>
      <c r="BY220" s="44" t="n">
        <v>1</v>
      </c>
      <c r="CA220" s="44" t="s">
        <v>163</v>
      </c>
      <c r="CB220" s="44" t="n">
        <v>1</v>
      </c>
      <c r="CD220" s="44" t="s">
        <v>163</v>
      </c>
      <c r="CE220" s="44" t="n">
        <v>1</v>
      </c>
      <c r="CG220" s="44" t="s">
        <v>163</v>
      </c>
      <c r="CH220" s="44" t="n">
        <v>1</v>
      </c>
      <c r="CJ220" s="44" t="s">
        <v>163</v>
      </c>
      <c r="CK220" s="44" t="n">
        <v>1</v>
      </c>
      <c r="CM220" s="44" t="s">
        <v>163</v>
      </c>
      <c r="CN220" s="44" t="n">
        <v>1</v>
      </c>
      <c r="CP220" s="44" t="s">
        <v>163</v>
      </c>
      <c r="CQ220" s="44" t="n">
        <v>1</v>
      </c>
      <c r="CS220" s="44" t="s">
        <v>163</v>
      </c>
      <c r="CT220" s="44" t="n">
        <v>1</v>
      </c>
      <c r="CV220" s="44" t="s">
        <v>163</v>
      </c>
      <c r="CW220" s="44" t="n">
        <v>1</v>
      </c>
    </row>
    <row collapsed="false" customFormat="false" customHeight="false" hidden="false" ht="12.75" outlineLevel="0" r="222">
      <c r="A222" s="44" t="s">
        <v>164</v>
      </c>
      <c r="B222" s="44" t="n">
        <v>1</v>
      </c>
      <c r="D222" s="44" t="s">
        <v>164</v>
      </c>
      <c r="E222" s="44" t="n">
        <v>1</v>
      </c>
      <c r="G222" s="44" t="s">
        <v>164</v>
      </c>
      <c r="H222" s="44" t="n">
        <v>1</v>
      </c>
      <c r="J222" s="44" t="s">
        <v>164</v>
      </c>
      <c r="K222" s="44" t="n">
        <v>1</v>
      </c>
      <c r="M222" s="44" t="s">
        <v>164</v>
      </c>
      <c r="N222" s="44" t="n">
        <v>1</v>
      </c>
      <c r="P222" s="44" t="s">
        <v>164</v>
      </c>
      <c r="Q222" s="44" t="n">
        <v>1</v>
      </c>
      <c r="S222" s="44" t="s">
        <v>164</v>
      </c>
      <c r="T222" s="44" t="n">
        <v>1</v>
      </c>
      <c r="V222" s="44" t="s">
        <v>164</v>
      </c>
      <c r="W222" s="44" t="n">
        <v>1</v>
      </c>
      <c r="Y222" s="44" t="s">
        <v>164</v>
      </c>
      <c r="Z222" s="44" t="n">
        <v>1</v>
      </c>
      <c r="AB222" s="44" t="s">
        <v>164</v>
      </c>
      <c r="AC222" s="44" t="n">
        <v>1</v>
      </c>
      <c r="AE222" s="44" t="s">
        <v>164</v>
      </c>
      <c r="AF222" s="44" t="n">
        <v>1</v>
      </c>
      <c r="AH222" s="44" t="s">
        <v>164</v>
      </c>
      <c r="AI222" s="44" t="n">
        <v>1</v>
      </c>
      <c r="AK222" s="44" t="s">
        <v>164</v>
      </c>
      <c r="AL222" s="44" t="n">
        <v>1</v>
      </c>
      <c r="AN222" s="44" t="s">
        <v>164</v>
      </c>
      <c r="AO222" s="44" t="n">
        <v>1</v>
      </c>
      <c r="AQ222" s="44" t="s">
        <v>164</v>
      </c>
      <c r="AR222" s="44" t="n">
        <v>1</v>
      </c>
      <c r="AT222" s="44" t="s">
        <v>164</v>
      </c>
      <c r="AU222" s="44" t="n">
        <v>1</v>
      </c>
      <c r="AW222" s="44" t="s">
        <v>164</v>
      </c>
      <c r="AX222" s="44" t="n">
        <v>1</v>
      </c>
      <c r="AZ222" s="44" t="s">
        <v>164</v>
      </c>
      <c r="BA222" s="44" t="n">
        <v>1</v>
      </c>
      <c r="BC222" s="44" t="s">
        <v>164</v>
      </c>
      <c r="BD222" s="44" t="n">
        <v>1</v>
      </c>
      <c r="BF222" s="44" t="s">
        <v>164</v>
      </c>
      <c r="BG222" s="44" t="n">
        <v>1</v>
      </c>
      <c r="BI222" s="44" t="s">
        <v>164</v>
      </c>
      <c r="BJ222" s="44" t="n">
        <v>1</v>
      </c>
      <c r="BL222" s="44" t="s">
        <v>164</v>
      </c>
      <c r="BM222" s="44" t="n">
        <v>1</v>
      </c>
      <c r="BO222" s="44" t="s">
        <v>164</v>
      </c>
      <c r="BP222" s="44" t="n">
        <v>1</v>
      </c>
      <c r="BR222" s="44" t="s">
        <v>164</v>
      </c>
      <c r="BS222" s="44" t="n">
        <v>1</v>
      </c>
      <c r="BU222" s="44" t="s">
        <v>164</v>
      </c>
      <c r="BV222" s="44" t="n">
        <v>1</v>
      </c>
      <c r="BX222" s="44" t="s">
        <v>164</v>
      </c>
      <c r="BY222" s="44" t="n">
        <v>1</v>
      </c>
      <c r="CA222" s="44" t="s">
        <v>164</v>
      </c>
      <c r="CB222" s="44" t="n">
        <v>1</v>
      </c>
      <c r="CD222" s="44" t="s">
        <v>164</v>
      </c>
      <c r="CE222" s="44" t="n">
        <v>1</v>
      </c>
      <c r="CG222" s="44" t="s">
        <v>164</v>
      </c>
      <c r="CH222" s="44" t="n">
        <v>1</v>
      </c>
      <c r="CJ222" s="44" t="s">
        <v>164</v>
      </c>
      <c r="CK222" s="44" t="n">
        <v>1</v>
      </c>
      <c r="CM222" s="44" t="s">
        <v>164</v>
      </c>
      <c r="CN222" s="44" t="n">
        <v>1</v>
      </c>
      <c r="CP222" s="44" t="s">
        <v>164</v>
      </c>
      <c r="CQ222" s="44" t="n">
        <v>1</v>
      </c>
      <c r="CS222" s="44" t="s">
        <v>164</v>
      </c>
      <c r="CT222" s="44" t="n">
        <v>1</v>
      </c>
      <c r="CV222" s="44" t="s">
        <v>164</v>
      </c>
      <c r="CW222" s="44" t="n">
        <v>1</v>
      </c>
    </row>
    <row collapsed="false" customFormat="false" customHeight="false" hidden="false" ht="12.75" outlineLevel="0" r="224">
      <c r="A224" s="44" t="s">
        <v>165</v>
      </c>
      <c r="B224" s="44" t="n">
        <v>1</v>
      </c>
      <c r="D224" s="44" t="s">
        <v>165</v>
      </c>
      <c r="E224" s="44" t="n">
        <v>1</v>
      </c>
      <c r="G224" s="44" t="s">
        <v>165</v>
      </c>
      <c r="H224" s="44" t="n">
        <v>1</v>
      </c>
      <c r="J224" s="44" t="s">
        <v>165</v>
      </c>
      <c r="K224" s="44" t="n">
        <v>1</v>
      </c>
      <c r="M224" s="44" t="s">
        <v>165</v>
      </c>
      <c r="N224" s="44" t="n">
        <v>1</v>
      </c>
      <c r="P224" s="44" t="s">
        <v>165</v>
      </c>
      <c r="Q224" s="44" t="n">
        <v>1</v>
      </c>
      <c r="S224" s="44" t="s">
        <v>165</v>
      </c>
      <c r="T224" s="44" t="n">
        <v>1</v>
      </c>
      <c r="V224" s="44" t="s">
        <v>165</v>
      </c>
      <c r="W224" s="44" t="n">
        <v>1</v>
      </c>
      <c r="Y224" s="44" t="s">
        <v>165</v>
      </c>
      <c r="Z224" s="44" t="n">
        <v>1</v>
      </c>
      <c r="AB224" s="44" t="s">
        <v>165</v>
      </c>
      <c r="AC224" s="44" t="n">
        <v>1</v>
      </c>
      <c r="AE224" s="44" t="s">
        <v>165</v>
      </c>
      <c r="AF224" s="44" t="n">
        <v>1</v>
      </c>
      <c r="AH224" s="44" t="s">
        <v>165</v>
      </c>
      <c r="AI224" s="44" t="n">
        <v>1</v>
      </c>
      <c r="AK224" s="44" t="s">
        <v>165</v>
      </c>
      <c r="AL224" s="44" t="n">
        <v>1</v>
      </c>
      <c r="AN224" s="44" t="s">
        <v>165</v>
      </c>
      <c r="AO224" s="44" t="n">
        <v>1</v>
      </c>
      <c r="AQ224" s="44" t="s">
        <v>165</v>
      </c>
      <c r="AR224" s="44" t="n">
        <v>1</v>
      </c>
      <c r="AT224" s="44" t="s">
        <v>165</v>
      </c>
      <c r="AU224" s="44" t="n">
        <v>1</v>
      </c>
      <c r="AW224" s="44" t="s">
        <v>165</v>
      </c>
      <c r="AX224" s="44" t="n">
        <v>1</v>
      </c>
      <c r="AZ224" s="44" t="s">
        <v>165</v>
      </c>
      <c r="BA224" s="44" t="n">
        <v>1</v>
      </c>
      <c r="BC224" s="44" t="s">
        <v>165</v>
      </c>
      <c r="BD224" s="44" t="n">
        <v>1</v>
      </c>
      <c r="BF224" s="44" t="s">
        <v>165</v>
      </c>
      <c r="BG224" s="44" t="n">
        <v>1</v>
      </c>
      <c r="BI224" s="44" t="s">
        <v>165</v>
      </c>
      <c r="BJ224" s="44" t="n">
        <v>1</v>
      </c>
      <c r="BL224" s="44" t="s">
        <v>165</v>
      </c>
      <c r="BM224" s="44" t="n">
        <v>1</v>
      </c>
      <c r="BO224" s="44" t="s">
        <v>165</v>
      </c>
      <c r="BP224" s="44" t="n">
        <v>1</v>
      </c>
      <c r="BR224" s="44" t="s">
        <v>165</v>
      </c>
      <c r="BS224" s="44" t="n">
        <v>1</v>
      </c>
      <c r="BU224" s="44" t="s">
        <v>165</v>
      </c>
      <c r="BV224" s="44" t="n">
        <v>1</v>
      </c>
      <c r="BX224" s="44" t="s">
        <v>165</v>
      </c>
      <c r="BY224" s="44" t="n">
        <v>1</v>
      </c>
      <c r="CA224" s="44" t="s">
        <v>165</v>
      </c>
      <c r="CB224" s="44" t="n">
        <v>1</v>
      </c>
      <c r="CD224" s="44" t="s">
        <v>165</v>
      </c>
      <c r="CE224" s="44" t="n">
        <v>1</v>
      </c>
      <c r="CG224" s="44" t="s">
        <v>165</v>
      </c>
      <c r="CH224" s="44" t="n">
        <v>1</v>
      </c>
      <c r="CJ224" s="44" t="s">
        <v>165</v>
      </c>
      <c r="CK224" s="44" t="n">
        <v>1</v>
      </c>
      <c r="CM224" s="44" t="s">
        <v>165</v>
      </c>
      <c r="CN224" s="44" t="n">
        <v>1</v>
      </c>
      <c r="CP224" s="44" t="s">
        <v>165</v>
      </c>
      <c r="CQ224" s="44" t="n">
        <v>1</v>
      </c>
      <c r="CS224" s="44" t="s">
        <v>165</v>
      </c>
      <c r="CT224" s="44" t="n">
        <v>1</v>
      </c>
      <c r="CV224" s="44" t="s">
        <v>165</v>
      </c>
      <c r="CW224" s="44" t="n">
        <v>1</v>
      </c>
    </row>
    <row collapsed="false" customFormat="false" customHeight="false" hidden="false" ht="12.75" outlineLevel="0" r="226">
      <c r="A226" s="44" t="s">
        <v>166</v>
      </c>
      <c r="B226" s="44" t="n">
        <v>1</v>
      </c>
      <c r="D226" s="44" t="s">
        <v>166</v>
      </c>
      <c r="E226" s="44" t="n">
        <v>1</v>
      </c>
      <c r="G226" s="44" t="s">
        <v>166</v>
      </c>
      <c r="H226" s="44" t="n">
        <v>1</v>
      </c>
      <c r="J226" s="44" t="s">
        <v>166</v>
      </c>
      <c r="K226" s="44" t="n">
        <v>1</v>
      </c>
      <c r="M226" s="44" t="s">
        <v>166</v>
      </c>
      <c r="N226" s="44" t="n">
        <v>1</v>
      </c>
      <c r="P226" s="44" t="s">
        <v>166</v>
      </c>
      <c r="Q226" s="44" t="n">
        <v>1</v>
      </c>
      <c r="S226" s="44" t="s">
        <v>166</v>
      </c>
      <c r="T226" s="44" t="n">
        <v>1</v>
      </c>
      <c r="V226" s="44" t="s">
        <v>166</v>
      </c>
      <c r="W226" s="44" t="n">
        <v>1</v>
      </c>
      <c r="Y226" s="44" t="s">
        <v>166</v>
      </c>
      <c r="Z226" s="44" t="n">
        <v>1</v>
      </c>
      <c r="AB226" s="44" t="s">
        <v>166</v>
      </c>
      <c r="AC226" s="44" t="n">
        <v>1</v>
      </c>
      <c r="AE226" s="44" t="s">
        <v>166</v>
      </c>
      <c r="AF226" s="44" t="n">
        <v>1</v>
      </c>
      <c r="AH226" s="44" t="s">
        <v>166</v>
      </c>
      <c r="AI226" s="44" t="n">
        <v>1</v>
      </c>
      <c r="AK226" s="44" t="s">
        <v>166</v>
      </c>
      <c r="AL226" s="44" t="n">
        <v>1</v>
      </c>
      <c r="AN226" s="44" t="s">
        <v>166</v>
      </c>
      <c r="AO226" s="44" t="n">
        <v>1</v>
      </c>
      <c r="AQ226" s="44" t="s">
        <v>166</v>
      </c>
      <c r="AR226" s="44" t="n">
        <v>1</v>
      </c>
      <c r="AT226" s="44" t="s">
        <v>166</v>
      </c>
      <c r="AU226" s="44" t="n">
        <v>1</v>
      </c>
      <c r="AW226" s="44" t="s">
        <v>166</v>
      </c>
      <c r="AX226" s="44" t="n">
        <v>1</v>
      </c>
      <c r="AZ226" s="44" t="s">
        <v>166</v>
      </c>
      <c r="BA226" s="44" t="n">
        <v>1</v>
      </c>
      <c r="BC226" s="44" t="s">
        <v>166</v>
      </c>
      <c r="BD226" s="44" t="n">
        <v>1</v>
      </c>
      <c r="BF226" s="44" t="s">
        <v>166</v>
      </c>
      <c r="BG226" s="44" t="n">
        <v>1</v>
      </c>
      <c r="BI226" s="44" t="s">
        <v>166</v>
      </c>
      <c r="BJ226" s="44" t="n">
        <v>1</v>
      </c>
      <c r="BL226" s="44" t="s">
        <v>166</v>
      </c>
      <c r="BM226" s="44" t="n">
        <v>1</v>
      </c>
      <c r="BO226" s="44" t="s">
        <v>166</v>
      </c>
      <c r="BP226" s="44" t="n">
        <v>1</v>
      </c>
      <c r="BR226" s="44" t="s">
        <v>166</v>
      </c>
      <c r="BS226" s="44" t="n">
        <v>1</v>
      </c>
      <c r="BU226" s="44" t="s">
        <v>166</v>
      </c>
      <c r="BV226" s="44" t="n">
        <v>1</v>
      </c>
      <c r="BX226" s="44" t="s">
        <v>166</v>
      </c>
      <c r="BY226" s="44" t="n">
        <v>1</v>
      </c>
      <c r="CA226" s="44" t="s">
        <v>166</v>
      </c>
      <c r="CB226" s="44" t="n">
        <v>1</v>
      </c>
      <c r="CD226" s="44" t="s">
        <v>166</v>
      </c>
      <c r="CE226" s="44" t="n">
        <v>1</v>
      </c>
      <c r="CG226" s="44" t="s">
        <v>166</v>
      </c>
      <c r="CH226" s="44" t="n">
        <v>1</v>
      </c>
      <c r="CJ226" s="44" t="s">
        <v>166</v>
      </c>
      <c r="CK226" s="44" t="n">
        <v>1</v>
      </c>
      <c r="CM226" s="44" t="s">
        <v>166</v>
      </c>
      <c r="CN226" s="44" t="n">
        <v>1</v>
      </c>
      <c r="CP226" s="44" t="s">
        <v>166</v>
      </c>
      <c r="CQ226" s="44" t="n">
        <v>1</v>
      </c>
      <c r="CS226" s="44" t="s">
        <v>166</v>
      </c>
      <c r="CT226" s="44" t="n">
        <v>1</v>
      </c>
      <c r="CV226" s="44" t="s">
        <v>166</v>
      </c>
      <c r="CW226" s="44" t="n">
        <v>1</v>
      </c>
    </row>
    <row collapsed="false" customFormat="false" customHeight="false" hidden="false" ht="12.75" outlineLevel="0" r="228">
      <c r="A228" s="44" t="s">
        <v>167</v>
      </c>
      <c r="B228" s="44" t="n">
        <v>1</v>
      </c>
      <c r="D228" s="44" t="s">
        <v>167</v>
      </c>
      <c r="E228" s="44" t="n">
        <v>1</v>
      </c>
      <c r="G228" s="44" t="s">
        <v>167</v>
      </c>
      <c r="H228" s="44" t="n">
        <v>1</v>
      </c>
      <c r="J228" s="44" t="s">
        <v>167</v>
      </c>
      <c r="K228" s="44" t="n">
        <v>1</v>
      </c>
      <c r="M228" s="44" t="s">
        <v>167</v>
      </c>
      <c r="N228" s="44" t="n">
        <v>1</v>
      </c>
      <c r="P228" s="44" t="s">
        <v>167</v>
      </c>
      <c r="Q228" s="44" t="n">
        <v>1</v>
      </c>
      <c r="S228" s="44" t="s">
        <v>167</v>
      </c>
      <c r="T228" s="44" t="n">
        <v>1</v>
      </c>
      <c r="V228" s="44" t="s">
        <v>167</v>
      </c>
      <c r="W228" s="44" t="n">
        <v>1</v>
      </c>
      <c r="Y228" s="44" t="s">
        <v>167</v>
      </c>
      <c r="Z228" s="44" t="n">
        <v>1</v>
      </c>
      <c r="AB228" s="44" t="s">
        <v>167</v>
      </c>
      <c r="AC228" s="44" t="n">
        <v>1</v>
      </c>
      <c r="AE228" s="44" t="s">
        <v>167</v>
      </c>
      <c r="AF228" s="44" t="n">
        <v>1</v>
      </c>
      <c r="AH228" s="44" t="s">
        <v>167</v>
      </c>
      <c r="AI228" s="44" t="n">
        <v>1</v>
      </c>
      <c r="AK228" s="44" t="s">
        <v>167</v>
      </c>
      <c r="AL228" s="44" t="n">
        <v>1</v>
      </c>
      <c r="AN228" s="44" t="s">
        <v>167</v>
      </c>
      <c r="AO228" s="44" t="n">
        <v>1</v>
      </c>
      <c r="AQ228" s="44" t="s">
        <v>167</v>
      </c>
      <c r="AR228" s="44" t="n">
        <v>1</v>
      </c>
      <c r="AT228" s="44" t="s">
        <v>167</v>
      </c>
      <c r="AU228" s="44" t="n">
        <v>1</v>
      </c>
      <c r="AW228" s="44" t="s">
        <v>167</v>
      </c>
      <c r="AX228" s="44" t="n">
        <v>1</v>
      </c>
      <c r="AZ228" s="44" t="s">
        <v>167</v>
      </c>
      <c r="BA228" s="44" t="n">
        <v>1</v>
      </c>
      <c r="BC228" s="44" t="s">
        <v>167</v>
      </c>
      <c r="BD228" s="44" t="n">
        <v>1</v>
      </c>
      <c r="BF228" s="44" t="s">
        <v>167</v>
      </c>
      <c r="BG228" s="44" t="n">
        <v>1</v>
      </c>
      <c r="BI228" s="44" t="s">
        <v>167</v>
      </c>
      <c r="BJ228" s="44" t="n">
        <v>1</v>
      </c>
      <c r="BL228" s="44" t="s">
        <v>167</v>
      </c>
      <c r="BM228" s="44" t="n">
        <v>1</v>
      </c>
      <c r="BO228" s="44" t="s">
        <v>167</v>
      </c>
      <c r="BP228" s="44" t="n">
        <v>1</v>
      </c>
      <c r="BR228" s="44" t="s">
        <v>167</v>
      </c>
      <c r="BS228" s="44" t="n">
        <v>1</v>
      </c>
      <c r="BU228" s="44" t="s">
        <v>167</v>
      </c>
      <c r="BV228" s="44" t="n">
        <v>1</v>
      </c>
      <c r="BX228" s="44" t="s">
        <v>167</v>
      </c>
      <c r="BY228" s="44" t="n">
        <v>1</v>
      </c>
      <c r="CA228" s="44" t="s">
        <v>167</v>
      </c>
      <c r="CB228" s="44" t="n">
        <v>1</v>
      </c>
      <c r="CD228" s="44" t="s">
        <v>167</v>
      </c>
      <c r="CE228" s="44" t="n">
        <v>1</v>
      </c>
      <c r="CG228" s="44" t="s">
        <v>167</v>
      </c>
      <c r="CH228" s="44" t="n">
        <v>1</v>
      </c>
      <c r="CJ228" s="44" t="s">
        <v>167</v>
      </c>
      <c r="CK228" s="44" t="n">
        <v>1</v>
      </c>
      <c r="CM228" s="44" t="s">
        <v>167</v>
      </c>
      <c r="CN228" s="44" t="n">
        <v>1</v>
      </c>
      <c r="CP228" s="44" t="s">
        <v>167</v>
      </c>
      <c r="CQ228" s="44" t="n">
        <v>1</v>
      </c>
      <c r="CS228" s="44" t="s">
        <v>167</v>
      </c>
      <c r="CT228" s="44" t="n">
        <v>1</v>
      </c>
      <c r="CV228" s="44" t="s">
        <v>167</v>
      </c>
      <c r="CW228" s="44" t="n">
        <v>1</v>
      </c>
    </row>
    <row collapsed="false" customFormat="false" customHeight="false" hidden="false" ht="12.75" outlineLevel="0" r="230">
      <c r="A230" s="44" t="s">
        <v>168</v>
      </c>
      <c r="B230" s="44" t="n">
        <v>1</v>
      </c>
      <c r="D230" s="44" t="s">
        <v>168</v>
      </c>
      <c r="E230" s="44" t="n">
        <v>1</v>
      </c>
      <c r="G230" s="44" t="s">
        <v>168</v>
      </c>
      <c r="H230" s="44" t="n">
        <v>1</v>
      </c>
      <c r="J230" s="44" t="s">
        <v>168</v>
      </c>
      <c r="K230" s="44" t="n">
        <v>1</v>
      </c>
      <c r="M230" s="44" t="s">
        <v>168</v>
      </c>
      <c r="N230" s="44" t="n">
        <v>1</v>
      </c>
      <c r="P230" s="44" t="s">
        <v>168</v>
      </c>
      <c r="Q230" s="44" t="n">
        <v>1</v>
      </c>
      <c r="S230" s="44" t="s">
        <v>168</v>
      </c>
      <c r="T230" s="44" t="n">
        <v>1</v>
      </c>
      <c r="V230" s="44" t="s">
        <v>168</v>
      </c>
      <c r="W230" s="44" t="n">
        <v>1</v>
      </c>
      <c r="Y230" s="44" t="s">
        <v>168</v>
      </c>
      <c r="Z230" s="44" t="n">
        <v>1</v>
      </c>
      <c r="AB230" s="44" t="s">
        <v>168</v>
      </c>
      <c r="AC230" s="44" t="n">
        <v>1</v>
      </c>
      <c r="AE230" s="44" t="s">
        <v>168</v>
      </c>
      <c r="AF230" s="44" t="n">
        <v>1</v>
      </c>
      <c r="AH230" s="44" t="s">
        <v>168</v>
      </c>
      <c r="AI230" s="44" t="n">
        <v>1</v>
      </c>
      <c r="AK230" s="44" t="s">
        <v>168</v>
      </c>
      <c r="AL230" s="44" t="n">
        <v>1</v>
      </c>
      <c r="AN230" s="44" t="s">
        <v>168</v>
      </c>
      <c r="AO230" s="44" t="n">
        <v>1</v>
      </c>
      <c r="AQ230" s="44" t="s">
        <v>168</v>
      </c>
      <c r="AR230" s="44" t="n">
        <v>1</v>
      </c>
      <c r="AT230" s="44" t="s">
        <v>168</v>
      </c>
      <c r="AU230" s="44" t="n">
        <v>1</v>
      </c>
      <c r="AW230" s="44" t="s">
        <v>168</v>
      </c>
      <c r="AX230" s="44" t="n">
        <v>1</v>
      </c>
      <c r="AZ230" s="44" t="s">
        <v>168</v>
      </c>
      <c r="BA230" s="44" t="n">
        <v>1</v>
      </c>
      <c r="BC230" s="44" t="s">
        <v>168</v>
      </c>
      <c r="BD230" s="44" t="n">
        <v>1</v>
      </c>
      <c r="BF230" s="44" t="s">
        <v>168</v>
      </c>
      <c r="BG230" s="44" t="n">
        <v>1</v>
      </c>
      <c r="BI230" s="44" t="s">
        <v>168</v>
      </c>
      <c r="BJ230" s="44" t="n">
        <v>1</v>
      </c>
      <c r="BL230" s="44" t="s">
        <v>168</v>
      </c>
      <c r="BM230" s="44" t="n">
        <v>1</v>
      </c>
      <c r="BO230" s="44" t="s">
        <v>168</v>
      </c>
      <c r="BP230" s="44" t="n">
        <v>1</v>
      </c>
      <c r="BR230" s="44" t="s">
        <v>168</v>
      </c>
      <c r="BS230" s="44" t="n">
        <v>1</v>
      </c>
      <c r="BU230" s="44" t="s">
        <v>168</v>
      </c>
      <c r="BV230" s="44" t="n">
        <v>1</v>
      </c>
      <c r="BX230" s="44" t="s">
        <v>168</v>
      </c>
      <c r="BY230" s="44" t="n">
        <v>1</v>
      </c>
      <c r="CA230" s="44" t="s">
        <v>168</v>
      </c>
      <c r="CB230" s="44" t="n">
        <v>1</v>
      </c>
      <c r="CD230" s="44" t="s">
        <v>168</v>
      </c>
      <c r="CE230" s="44" t="n">
        <v>1</v>
      </c>
      <c r="CG230" s="44" t="s">
        <v>168</v>
      </c>
      <c r="CH230" s="44" t="n">
        <v>1</v>
      </c>
      <c r="CJ230" s="44" t="s">
        <v>168</v>
      </c>
      <c r="CK230" s="44" t="n">
        <v>1</v>
      </c>
      <c r="CM230" s="44" t="s">
        <v>168</v>
      </c>
      <c r="CN230" s="44" t="n">
        <v>1</v>
      </c>
      <c r="CP230" s="44" t="s">
        <v>168</v>
      </c>
      <c r="CQ230" s="44" t="n">
        <v>1</v>
      </c>
      <c r="CS230" s="44" t="s">
        <v>168</v>
      </c>
      <c r="CT230" s="44" t="n">
        <v>1</v>
      </c>
      <c r="CV230" s="44" t="s">
        <v>168</v>
      </c>
      <c r="CW230" s="44" t="n">
        <v>1</v>
      </c>
    </row>
    <row collapsed="false" customFormat="false" customHeight="false" hidden="false" ht="12.75" outlineLevel="0" r="232">
      <c r="A232" s="44" t="s">
        <v>169</v>
      </c>
      <c r="B232" s="44" t="n">
        <v>1</v>
      </c>
      <c r="D232" s="44" t="s">
        <v>169</v>
      </c>
      <c r="E232" s="44" t="n">
        <v>1</v>
      </c>
      <c r="G232" s="44" t="s">
        <v>169</v>
      </c>
      <c r="H232" s="44" t="n">
        <v>1</v>
      </c>
      <c r="J232" s="44" t="s">
        <v>169</v>
      </c>
      <c r="K232" s="44" t="n">
        <v>1</v>
      </c>
      <c r="M232" s="44" t="s">
        <v>169</v>
      </c>
      <c r="N232" s="44" t="n">
        <v>1</v>
      </c>
      <c r="P232" s="44" t="s">
        <v>169</v>
      </c>
      <c r="Q232" s="44" t="n">
        <v>1</v>
      </c>
      <c r="S232" s="44" t="s">
        <v>169</v>
      </c>
      <c r="T232" s="44" t="n">
        <v>1</v>
      </c>
      <c r="V232" s="44" t="s">
        <v>169</v>
      </c>
      <c r="W232" s="44" t="n">
        <v>1</v>
      </c>
      <c r="Y232" s="44" t="s">
        <v>169</v>
      </c>
      <c r="Z232" s="44" t="n">
        <v>1</v>
      </c>
      <c r="AB232" s="44" t="s">
        <v>169</v>
      </c>
      <c r="AC232" s="44" t="n">
        <v>1</v>
      </c>
      <c r="AE232" s="44" t="s">
        <v>169</v>
      </c>
      <c r="AF232" s="44" t="n">
        <v>1</v>
      </c>
      <c r="AH232" s="44" t="s">
        <v>169</v>
      </c>
      <c r="AI232" s="44" t="n">
        <v>1</v>
      </c>
      <c r="AK232" s="44" t="s">
        <v>169</v>
      </c>
      <c r="AL232" s="44" t="n">
        <v>1</v>
      </c>
      <c r="AN232" s="44" t="s">
        <v>169</v>
      </c>
      <c r="AO232" s="44" t="n">
        <v>1</v>
      </c>
      <c r="AQ232" s="44" t="s">
        <v>169</v>
      </c>
      <c r="AR232" s="44" t="n">
        <v>1</v>
      </c>
      <c r="AT232" s="44" t="s">
        <v>169</v>
      </c>
      <c r="AU232" s="44" t="n">
        <v>1</v>
      </c>
      <c r="AW232" s="44" t="s">
        <v>169</v>
      </c>
      <c r="AX232" s="44" t="n">
        <v>1</v>
      </c>
      <c r="AZ232" s="44" t="s">
        <v>169</v>
      </c>
      <c r="BA232" s="44" t="n">
        <v>1</v>
      </c>
      <c r="BC232" s="44" t="s">
        <v>169</v>
      </c>
      <c r="BD232" s="44" t="n">
        <v>1</v>
      </c>
      <c r="BF232" s="44" t="s">
        <v>169</v>
      </c>
      <c r="BG232" s="44" t="n">
        <v>1</v>
      </c>
      <c r="BI232" s="44" t="s">
        <v>169</v>
      </c>
      <c r="BJ232" s="44" t="n">
        <v>1</v>
      </c>
      <c r="BL232" s="44" t="s">
        <v>169</v>
      </c>
      <c r="BM232" s="44" t="n">
        <v>1</v>
      </c>
      <c r="BO232" s="44" t="s">
        <v>169</v>
      </c>
      <c r="BP232" s="44" t="n">
        <v>1</v>
      </c>
      <c r="BR232" s="44" t="s">
        <v>169</v>
      </c>
      <c r="BS232" s="44" t="n">
        <v>1</v>
      </c>
      <c r="BU232" s="44" t="s">
        <v>169</v>
      </c>
      <c r="BV232" s="44" t="n">
        <v>1</v>
      </c>
      <c r="BX232" s="44" t="s">
        <v>169</v>
      </c>
      <c r="BY232" s="44" t="n">
        <v>1</v>
      </c>
      <c r="CA232" s="44" t="s">
        <v>169</v>
      </c>
      <c r="CB232" s="44" t="n">
        <v>1</v>
      </c>
      <c r="CD232" s="44" t="s">
        <v>169</v>
      </c>
      <c r="CE232" s="44" t="n">
        <v>1</v>
      </c>
      <c r="CG232" s="44" t="s">
        <v>169</v>
      </c>
      <c r="CH232" s="44" t="n">
        <v>1</v>
      </c>
      <c r="CJ232" s="44" t="s">
        <v>169</v>
      </c>
      <c r="CK232" s="44" t="n">
        <v>1</v>
      </c>
      <c r="CM232" s="44" t="s">
        <v>169</v>
      </c>
      <c r="CN232" s="44" t="n">
        <v>1</v>
      </c>
      <c r="CP232" s="44" t="s">
        <v>169</v>
      </c>
      <c r="CQ232" s="44" t="n">
        <v>1</v>
      </c>
      <c r="CS232" s="44" t="s">
        <v>169</v>
      </c>
      <c r="CT232" s="44" t="n">
        <v>1</v>
      </c>
      <c r="CV232" s="44" t="s">
        <v>169</v>
      </c>
      <c r="CW232" s="44" t="n">
        <v>1</v>
      </c>
    </row>
    <row collapsed="false" customFormat="false" customHeight="false" hidden="false" ht="12.75" outlineLevel="0" r="234">
      <c r="A234" s="44" t="s">
        <v>170</v>
      </c>
      <c r="B234" s="44" t="n">
        <v>1</v>
      </c>
      <c r="D234" s="44" t="s">
        <v>170</v>
      </c>
      <c r="E234" s="44" t="n">
        <v>1</v>
      </c>
      <c r="G234" s="44" t="s">
        <v>170</v>
      </c>
      <c r="H234" s="44" t="n">
        <v>1</v>
      </c>
      <c r="J234" s="44" t="s">
        <v>170</v>
      </c>
      <c r="K234" s="44" t="n">
        <v>1</v>
      </c>
      <c r="M234" s="44" t="s">
        <v>170</v>
      </c>
      <c r="N234" s="44" t="n">
        <v>1</v>
      </c>
      <c r="P234" s="44" t="s">
        <v>170</v>
      </c>
      <c r="Q234" s="44" t="n">
        <v>1</v>
      </c>
      <c r="S234" s="44" t="s">
        <v>170</v>
      </c>
      <c r="T234" s="44" t="n">
        <v>1</v>
      </c>
      <c r="V234" s="44" t="s">
        <v>170</v>
      </c>
      <c r="W234" s="44" t="n">
        <v>1</v>
      </c>
      <c r="Y234" s="44" t="s">
        <v>170</v>
      </c>
      <c r="Z234" s="44" t="n">
        <v>1</v>
      </c>
      <c r="AB234" s="44" t="s">
        <v>170</v>
      </c>
      <c r="AC234" s="44" t="n">
        <v>1</v>
      </c>
      <c r="AE234" s="44" t="s">
        <v>170</v>
      </c>
      <c r="AF234" s="44" t="n">
        <v>1</v>
      </c>
      <c r="AH234" s="44" t="s">
        <v>170</v>
      </c>
      <c r="AI234" s="44" t="n">
        <v>1</v>
      </c>
      <c r="AK234" s="44" t="s">
        <v>170</v>
      </c>
      <c r="AL234" s="44" t="n">
        <v>1</v>
      </c>
      <c r="AN234" s="44" t="s">
        <v>170</v>
      </c>
      <c r="AO234" s="44" t="n">
        <v>1</v>
      </c>
      <c r="AQ234" s="44" t="s">
        <v>170</v>
      </c>
      <c r="AR234" s="44" t="n">
        <v>1</v>
      </c>
      <c r="AT234" s="44" t="s">
        <v>170</v>
      </c>
      <c r="AU234" s="44" t="n">
        <v>1</v>
      </c>
      <c r="AW234" s="44" t="s">
        <v>170</v>
      </c>
      <c r="AX234" s="44" t="n">
        <v>1</v>
      </c>
      <c r="AZ234" s="44" t="s">
        <v>170</v>
      </c>
      <c r="BA234" s="44" t="n">
        <v>1</v>
      </c>
      <c r="BC234" s="44" t="s">
        <v>170</v>
      </c>
      <c r="BD234" s="44" t="n">
        <v>1</v>
      </c>
      <c r="BF234" s="44" t="s">
        <v>170</v>
      </c>
      <c r="BG234" s="44" t="n">
        <v>1</v>
      </c>
      <c r="BI234" s="44" t="s">
        <v>170</v>
      </c>
      <c r="BJ234" s="44" t="n">
        <v>1</v>
      </c>
      <c r="BL234" s="44" t="s">
        <v>170</v>
      </c>
      <c r="BM234" s="44" t="n">
        <v>1</v>
      </c>
      <c r="BO234" s="44" t="s">
        <v>170</v>
      </c>
      <c r="BP234" s="44" t="n">
        <v>1</v>
      </c>
      <c r="BR234" s="44" t="s">
        <v>170</v>
      </c>
      <c r="BS234" s="44" t="n">
        <v>1</v>
      </c>
      <c r="BU234" s="44" t="s">
        <v>170</v>
      </c>
      <c r="BV234" s="44" t="n">
        <v>1</v>
      </c>
      <c r="BX234" s="44" t="s">
        <v>170</v>
      </c>
      <c r="BY234" s="44" t="n">
        <v>1</v>
      </c>
      <c r="CA234" s="44" t="s">
        <v>170</v>
      </c>
      <c r="CB234" s="44" t="n">
        <v>1</v>
      </c>
      <c r="CD234" s="44" t="s">
        <v>170</v>
      </c>
      <c r="CE234" s="44" t="n">
        <v>1</v>
      </c>
      <c r="CG234" s="44" t="s">
        <v>170</v>
      </c>
      <c r="CH234" s="44" t="n">
        <v>1</v>
      </c>
      <c r="CJ234" s="44" t="s">
        <v>170</v>
      </c>
      <c r="CK234" s="44" t="n">
        <v>1</v>
      </c>
      <c r="CM234" s="44" t="s">
        <v>170</v>
      </c>
      <c r="CN234" s="44" t="n">
        <v>1</v>
      </c>
      <c r="CP234" s="44" t="s">
        <v>170</v>
      </c>
      <c r="CQ234" s="44" t="n">
        <v>1</v>
      </c>
      <c r="CS234" s="44" t="s">
        <v>170</v>
      </c>
      <c r="CT234" s="44" t="n">
        <v>1</v>
      </c>
      <c r="CV234" s="44" t="s">
        <v>170</v>
      </c>
      <c r="CW234" s="44" t="n">
        <v>1</v>
      </c>
    </row>
    <row collapsed="false" customFormat="false" customHeight="false" hidden="false" ht="12.75" outlineLevel="0" r="236">
      <c r="A236" s="44" t="s">
        <v>171</v>
      </c>
      <c r="B236" s="44" t="n">
        <v>1</v>
      </c>
      <c r="D236" s="44" t="s">
        <v>171</v>
      </c>
      <c r="E236" s="44" t="n">
        <v>1</v>
      </c>
      <c r="G236" s="44" t="s">
        <v>171</v>
      </c>
      <c r="H236" s="44" t="n">
        <v>1</v>
      </c>
      <c r="J236" s="44" t="s">
        <v>171</v>
      </c>
      <c r="K236" s="44" t="n">
        <v>1</v>
      </c>
      <c r="M236" s="44" t="s">
        <v>171</v>
      </c>
      <c r="N236" s="44" t="n">
        <v>1</v>
      </c>
      <c r="P236" s="44" t="s">
        <v>171</v>
      </c>
      <c r="Q236" s="44" t="n">
        <v>1</v>
      </c>
      <c r="S236" s="44" t="s">
        <v>171</v>
      </c>
      <c r="T236" s="44" t="n">
        <v>1</v>
      </c>
      <c r="V236" s="44" t="s">
        <v>171</v>
      </c>
      <c r="W236" s="44" t="n">
        <v>1</v>
      </c>
      <c r="Y236" s="44" t="s">
        <v>171</v>
      </c>
      <c r="Z236" s="44" t="n">
        <v>1</v>
      </c>
      <c r="AB236" s="44" t="s">
        <v>171</v>
      </c>
      <c r="AC236" s="44" t="n">
        <v>1</v>
      </c>
      <c r="AE236" s="44" t="s">
        <v>171</v>
      </c>
      <c r="AF236" s="44" t="n">
        <v>1</v>
      </c>
      <c r="AH236" s="44" t="s">
        <v>171</v>
      </c>
      <c r="AI236" s="44" t="n">
        <v>1</v>
      </c>
      <c r="AK236" s="44" t="s">
        <v>171</v>
      </c>
      <c r="AL236" s="44" t="n">
        <v>1</v>
      </c>
      <c r="AN236" s="44" t="s">
        <v>171</v>
      </c>
      <c r="AO236" s="44" t="n">
        <v>1</v>
      </c>
      <c r="AQ236" s="44" t="s">
        <v>171</v>
      </c>
      <c r="AR236" s="44" t="n">
        <v>1</v>
      </c>
      <c r="AT236" s="44" t="s">
        <v>171</v>
      </c>
      <c r="AU236" s="44" t="n">
        <v>1</v>
      </c>
      <c r="AW236" s="44" t="s">
        <v>171</v>
      </c>
      <c r="AX236" s="44" t="n">
        <v>1</v>
      </c>
      <c r="AZ236" s="44" t="s">
        <v>171</v>
      </c>
      <c r="BA236" s="44" t="n">
        <v>1</v>
      </c>
      <c r="BC236" s="44" t="s">
        <v>171</v>
      </c>
      <c r="BD236" s="44" t="n">
        <v>1</v>
      </c>
      <c r="BF236" s="44" t="s">
        <v>171</v>
      </c>
      <c r="BG236" s="44" t="n">
        <v>1</v>
      </c>
      <c r="BI236" s="44" t="s">
        <v>171</v>
      </c>
      <c r="BJ236" s="44" t="n">
        <v>1</v>
      </c>
      <c r="BL236" s="44" t="s">
        <v>171</v>
      </c>
      <c r="BM236" s="44" t="n">
        <v>1</v>
      </c>
      <c r="BO236" s="44" t="s">
        <v>171</v>
      </c>
      <c r="BP236" s="44" t="n">
        <v>1</v>
      </c>
      <c r="BR236" s="44" t="s">
        <v>171</v>
      </c>
      <c r="BS236" s="44" t="n">
        <v>1</v>
      </c>
      <c r="BU236" s="44" t="s">
        <v>171</v>
      </c>
      <c r="BV236" s="44" t="n">
        <v>1</v>
      </c>
      <c r="BX236" s="44" t="s">
        <v>171</v>
      </c>
      <c r="BY236" s="44" t="n">
        <v>1</v>
      </c>
      <c r="CA236" s="44" t="s">
        <v>171</v>
      </c>
      <c r="CB236" s="44" t="n">
        <v>1</v>
      </c>
      <c r="CD236" s="44" t="s">
        <v>171</v>
      </c>
      <c r="CE236" s="44" t="n">
        <v>1</v>
      </c>
      <c r="CG236" s="44" t="s">
        <v>171</v>
      </c>
      <c r="CH236" s="44" t="n">
        <v>1</v>
      </c>
      <c r="CJ236" s="44" t="s">
        <v>171</v>
      </c>
      <c r="CK236" s="44" t="n">
        <v>1</v>
      </c>
      <c r="CM236" s="44" t="s">
        <v>171</v>
      </c>
      <c r="CN236" s="44" t="n">
        <v>1</v>
      </c>
      <c r="CP236" s="44" t="s">
        <v>171</v>
      </c>
      <c r="CQ236" s="44" t="n">
        <v>1</v>
      </c>
      <c r="CS236" s="44" t="s">
        <v>171</v>
      </c>
      <c r="CT236" s="44" t="n">
        <v>1</v>
      </c>
      <c r="CV236" s="44" t="s">
        <v>171</v>
      </c>
      <c r="CW236" s="44" t="n">
        <v>1</v>
      </c>
    </row>
    <row collapsed="false" customFormat="false" customHeight="false" hidden="false" ht="12.75" outlineLevel="0" r="238">
      <c r="A238" s="44" t="s">
        <v>172</v>
      </c>
      <c r="B238" s="44" t="n">
        <v>1</v>
      </c>
      <c r="D238" s="44" t="s">
        <v>172</v>
      </c>
      <c r="E238" s="44" t="n">
        <v>1</v>
      </c>
      <c r="G238" s="44" t="s">
        <v>172</v>
      </c>
      <c r="H238" s="44" t="n">
        <v>1</v>
      </c>
      <c r="J238" s="44" t="s">
        <v>172</v>
      </c>
      <c r="K238" s="44" t="n">
        <v>1</v>
      </c>
      <c r="M238" s="44" t="s">
        <v>172</v>
      </c>
      <c r="N238" s="44" t="n">
        <v>1</v>
      </c>
      <c r="P238" s="44" t="s">
        <v>172</v>
      </c>
      <c r="Q238" s="44" t="n">
        <v>1</v>
      </c>
      <c r="S238" s="44" t="s">
        <v>172</v>
      </c>
      <c r="T238" s="44" t="n">
        <v>1</v>
      </c>
      <c r="V238" s="44" t="s">
        <v>172</v>
      </c>
      <c r="W238" s="44" t="n">
        <v>1</v>
      </c>
      <c r="Y238" s="44" t="s">
        <v>172</v>
      </c>
      <c r="Z238" s="44" t="n">
        <v>1</v>
      </c>
      <c r="AB238" s="44" t="s">
        <v>172</v>
      </c>
      <c r="AC238" s="44" t="n">
        <v>1</v>
      </c>
      <c r="AE238" s="44" t="s">
        <v>172</v>
      </c>
      <c r="AF238" s="44" t="n">
        <v>1</v>
      </c>
      <c r="AH238" s="44" t="s">
        <v>172</v>
      </c>
      <c r="AI238" s="44" t="n">
        <v>1</v>
      </c>
      <c r="AK238" s="44" t="s">
        <v>172</v>
      </c>
      <c r="AL238" s="44" t="n">
        <v>1</v>
      </c>
      <c r="AN238" s="44" t="s">
        <v>172</v>
      </c>
      <c r="AO238" s="44" t="n">
        <v>1</v>
      </c>
      <c r="AQ238" s="44" t="s">
        <v>172</v>
      </c>
      <c r="AR238" s="44" t="n">
        <v>1</v>
      </c>
      <c r="AT238" s="44" t="s">
        <v>172</v>
      </c>
      <c r="AU238" s="44" t="n">
        <v>1</v>
      </c>
      <c r="AW238" s="44" t="s">
        <v>172</v>
      </c>
      <c r="AX238" s="44" t="n">
        <v>1</v>
      </c>
      <c r="AZ238" s="44" t="s">
        <v>172</v>
      </c>
      <c r="BA238" s="44" t="n">
        <v>1</v>
      </c>
      <c r="BC238" s="44" t="s">
        <v>172</v>
      </c>
      <c r="BD238" s="44" t="n">
        <v>1</v>
      </c>
      <c r="BF238" s="44" t="s">
        <v>172</v>
      </c>
      <c r="BG238" s="44" t="n">
        <v>1</v>
      </c>
      <c r="BI238" s="44" t="s">
        <v>172</v>
      </c>
      <c r="BJ238" s="44" t="n">
        <v>1</v>
      </c>
      <c r="BL238" s="44" t="s">
        <v>172</v>
      </c>
      <c r="BM238" s="44" t="n">
        <v>1</v>
      </c>
      <c r="BO238" s="44" t="s">
        <v>172</v>
      </c>
      <c r="BP238" s="44" t="n">
        <v>1</v>
      </c>
      <c r="BR238" s="44" t="s">
        <v>172</v>
      </c>
      <c r="BS238" s="44" t="n">
        <v>1</v>
      </c>
      <c r="BU238" s="44" t="s">
        <v>172</v>
      </c>
      <c r="BV238" s="44" t="n">
        <v>1</v>
      </c>
      <c r="BX238" s="44" t="s">
        <v>172</v>
      </c>
      <c r="BY238" s="44" t="n">
        <v>1</v>
      </c>
      <c r="CA238" s="44" t="s">
        <v>172</v>
      </c>
      <c r="CB238" s="44" t="n">
        <v>1</v>
      </c>
      <c r="CD238" s="44" t="s">
        <v>172</v>
      </c>
      <c r="CE238" s="44" t="n">
        <v>1</v>
      </c>
      <c r="CG238" s="44" t="s">
        <v>172</v>
      </c>
      <c r="CH238" s="44" t="n">
        <v>1</v>
      </c>
      <c r="CJ238" s="44" t="s">
        <v>172</v>
      </c>
      <c r="CK238" s="44" t="n">
        <v>1</v>
      </c>
      <c r="CM238" s="44" t="s">
        <v>172</v>
      </c>
      <c r="CN238" s="44" t="n">
        <v>1</v>
      </c>
      <c r="CP238" s="44" t="s">
        <v>172</v>
      </c>
      <c r="CQ238" s="44" t="n">
        <v>1</v>
      </c>
      <c r="CS238" s="44" t="s">
        <v>172</v>
      </c>
      <c r="CT238" s="44" t="n">
        <v>1</v>
      </c>
      <c r="CV238" s="44" t="s">
        <v>172</v>
      </c>
      <c r="CW238" s="44" t="n">
        <v>1</v>
      </c>
    </row>
    <row collapsed="false" customFormat="false" customHeight="false" hidden="false" ht="12.75" outlineLevel="0" r="240">
      <c r="A240" s="44" t="s">
        <v>173</v>
      </c>
      <c r="B240" s="44" t="n">
        <v>1</v>
      </c>
      <c r="D240" s="44" t="s">
        <v>173</v>
      </c>
      <c r="E240" s="44" t="n">
        <v>1</v>
      </c>
      <c r="G240" s="44" t="s">
        <v>173</v>
      </c>
      <c r="H240" s="44" t="n">
        <v>1</v>
      </c>
      <c r="J240" s="44" t="s">
        <v>173</v>
      </c>
      <c r="K240" s="44" t="n">
        <v>1</v>
      </c>
      <c r="M240" s="44" t="s">
        <v>173</v>
      </c>
      <c r="N240" s="44" t="n">
        <v>1</v>
      </c>
      <c r="P240" s="44" t="s">
        <v>173</v>
      </c>
      <c r="Q240" s="44" t="n">
        <v>1</v>
      </c>
      <c r="S240" s="44" t="s">
        <v>173</v>
      </c>
      <c r="T240" s="44" t="n">
        <v>1</v>
      </c>
      <c r="V240" s="44" t="s">
        <v>173</v>
      </c>
      <c r="W240" s="44" t="n">
        <v>1</v>
      </c>
      <c r="Y240" s="44" t="s">
        <v>173</v>
      </c>
      <c r="Z240" s="44" t="n">
        <v>1</v>
      </c>
      <c r="AB240" s="44" t="s">
        <v>173</v>
      </c>
      <c r="AC240" s="44" t="n">
        <v>1</v>
      </c>
      <c r="AE240" s="44" t="s">
        <v>173</v>
      </c>
      <c r="AF240" s="44" t="n">
        <v>1</v>
      </c>
      <c r="AH240" s="44" t="s">
        <v>173</v>
      </c>
      <c r="AI240" s="44" t="n">
        <v>1</v>
      </c>
      <c r="AK240" s="44" t="s">
        <v>173</v>
      </c>
      <c r="AL240" s="44" t="n">
        <v>1</v>
      </c>
      <c r="AN240" s="44" t="s">
        <v>173</v>
      </c>
      <c r="AO240" s="44" t="n">
        <v>1</v>
      </c>
      <c r="AQ240" s="44" t="s">
        <v>173</v>
      </c>
      <c r="AR240" s="44" t="n">
        <v>1</v>
      </c>
      <c r="AT240" s="44" t="s">
        <v>173</v>
      </c>
      <c r="AU240" s="44" t="n">
        <v>1</v>
      </c>
      <c r="AW240" s="44" t="s">
        <v>173</v>
      </c>
      <c r="AX240" s="44" t="n">
        <v>1</v>
      </c>
      <c r="AZ240" s="44" t="s">
        <v>173</v>
      </c>
      <c r="BA240" s="44" t="n">
        <v>1</v>
      </c>
      <c r="BC240" s="44" t="s">
        <v>173</v>
      </c>
      <c r="BD240" s="44" t="n">
        <v>1</v>
      </c>
      <c r="BF240" s="44" t="s">
        <v>173</v>
      </c>
      <c r="BG240" s="44" t="n">
        <v>1</v>
      </c>
      <c r="BI240" s="44" t="s">
        <v>173</v>
      </c>
      <c r="BJ240" s="44" t="n">
        <v>1</v>
      </c>
      <c r="BL240" s="44" t="s">
        <v>173</v>
      </c>
      <c r="BM240" s="44" t="n">
        <v>1</v>
      </c>
      <c r="BO240" s="44" t="s">
        <v>173</v>
      </c>
      <c r="BP240" s="44" t="n">
        <v>1</v>
      </c>
      <c r="BR240" s="44" t="s">
        <v>173</v>
      </c>
      <c r="BS240" s="44" t="n">
        <v>1</v>
      </c>
      <c r="BU240" s="44" t="s">
        <v>173</v>
      </c>
      <c r="BV240" s="44" t="n">
        <v>1</v>
      </c>
      <c r="BX240" s="44" t="s">
        <v>173</v>
      </c>
      <c r="BY240" s="44" t="n">
        <v>1</v>
      </c>
      <c r="CA240" s="44" t="s">
        <v>173</v>
      </c>
      <c r="CB240" s="44" t="n">
        <v>1</v>
      </c>
      <c r="CD240" s="44" t="s">
        <v>173</v>
      </c>
      <c r="CE240" s="44" t="n">
        <v>1</v>
      </c>
      <c r="CG240" s="44" t="s">
        <v>173</v>
      </c>
      <c r="CH240" s="44" t="n">
        <v>1</v>
      </c>
      <c r="CJ240" s="44" t="s">
        <v>173</v>
      </c>
      <c r="CK240" s="44" t="n">
        <v>1</v>
      </c>
      <c r="CM240" s="44" t="s">
        <v>173</v>
      </c>
      <c r="CN240" s="44" t="n">
        <v>1</v>
      </c>
      <c r="CP240" s="44" t="s">
        <v>173</v>
      </c>
      <c r="CQ240" s="44" t="n">
        <v>1</v>
      </c>
      <c r="CS240" s="44" t="s">
        <v>173</v>
      </c>
      <c r="CT240" s="44" t="n">
        <v>1</v>
      </c>
      <c r="CV240" s="44" t="s">
        <v>173</v>
      </c>
      <c r="CW240" s="44" t="n">
        <v>1</v>
      </c>
    </row>
    <row collapsed="false" customFormat="false" customHeight="false" hidden="false" ht="12.75" outlineLevel="0" r="242">
      <c r="A242" s="44" t="s">
        <v>174</v>
      </c>
      <c r="B242" s="44" t="n">
        <v>1</v>
      </c>
      <c r="D242" s="44" t="s">
        <v>174</v>
      </c>
      <c r="E242" s="44" t="n">
        <v>1</v>
      </c>
      <c r="G242" s="44" t="s">
        <v>174</v>
      </c>
      <c r="H242" s="44" t="n">
        <v>1</v>
      </c>
      <c r="J242" s="44" t="s">
        <v>174</v>
      </c>
      <c r="K242" s="44" t="n">
        <v>1</v>
      </c>
      <c r="M242" s="44" t="s">
        <v>174</v>
      </c>
      <c r="N242" s="44" t="n">
        <v>1</v>
      </c>
      <c r="P242" s="44" t="s">
        <v>174</v>
      </c>
      <c r="Q242" s="44" t="n">
        <v>1</v>
      </c>
      <c r="S242" s="44" t="s">
        <v>174</v>
      </c>
      <c r="T242" s="44" t="n">
        <v>1</v>
      </c>
      <c r="V242" s="44" t="s">
        <v>174</v>
      </c>
      <c r="W242" s="44" t="n">
        <v>1</v>
      </c>
      <c r="Y242" s="44" t="s">
        <v>174</v>
      </c>
      <c r="Z242" s="44" t="n">
        <v>1</v>
      </c>
      <c r="AB242" s="44" t="s">
        <v>174</v>
      </c>
      <c r="AC242" s="44" t="n">
        <v>1</v>
      </c>
      <c r="AE242" s="44" t="s">
        <v>174</v>
      </c>
      <c r="AF242" s="44" t="n">
        <v>1</v>
      </c>
      <c r="AH242" s="44" t="s">
        <v>174</v>
      </c>
      <c r="AI242" s="44" t="n">
        <v>1</v>
      </c>
      <c r="AK242" s="44" t="s">
        <v>174</v>
      </c>
      <c r="AL242" s="44" t="n">
        <v>1</v>
      </c>
      <c r="AN242" s="44" t="s">
        <v>174</v>
      </c>
      <c r="AO242" s="44" t="n">
        <v>1</v>
      </c>
      <c r="AQ242" s="44" t="s">
        <v>174</v>
      </c>
      <c r="AR242" s="44" t="n">
        <v>1</v>
      </c>
      <c r="AT242" s="44" t="s">
        <v>174</v>
      </c>
      <c r="AU242" s="44" t="n">
        <v>1</v>
      </c>
      <c r="AW242" s="44" t="s">
        <v>174</v>
      </c>
      <c r="AX242" s="44" t="n">
        <v>1</v>
      </c>
      <c r="AZ242" s="44" t="s">
        <v>174</v>
      </c>
      <c r="BA242" s="44" t="n">
        <v>1</v>
      </c>
      <c r="BC242" s="44" t="s">
        <v>174</v>
      </c>
      <c r="BD242" s="44" t="n">
        <v>1</v>
      </c>
      <c r="BF242" s="44" t="s">
        <v>174</v>
      </c>
      <c r="BG242" s="44" t="n">
        <v>1</v>
      </c>
      <c r="BI242" s="44" t="s">
        <v>174</v>
      </c>
      <c r="BJ242" s="44" t="n">
        <v>1</v>
      </c>
      <c r="BL242" s="44" t="s">
        <v>174</v>
      </c>
      <c r="BM242" s="44" t="n">
        <v>1</v>
      </c>
      <c r="BO242" s="44" t="s">
        <v>174</v>
      </c>
      <c r="BP242" s="44" t="n">
        <v>1</v>
      </c>
      <c r="BR242" s="44" t="s">
        <v>174</v>
      </c>
      <c r="BS242" s="44" t="n">
        <v>1</v>
      </c>
      <c r="BU242" s="44" t="s">
        <v>174</v>
      </c>
      <c r="BV242" s="44" t="n">
        <v>1</v>
      </c>
      <c r="BX242" s="44" t="s">
        <v>174</v>
      </c>
      <c r="BY242" s="44" t="n">
        <v>1</v>
      </c>
      <c r="CA242" s="44" t="s">
        <v>174</v>
      </c>
      <c r="CB242" s="44" t="n">
        <v>1</v>
      </c>
      <c r="CD242" s="44" t="s">
        <v>174</v>
      </c>
      <c r="CE242" s="44" t="n">
        <v>1</v>
      </c>
      <c r="CG242" s="44" t="s">
        <v>174</v>
      </c>
      <c r="CH242" s="44" t="n">
        <v>1</v>
      </c>
      <c r="CJ242" s="44" t="s">
        <v>174</v>
      </c>
      <c r="CK242" s="44" t="n">
        <v>1</v>
      </c>
      <c r="CM242" s="44" t="s">
        <v>174</v>
      </c>
      <c r="CN242" s="44" t="n">
        <v>1</v>
      </c>
      <c r="CP242" s="44" t="s">
        <v>174</v>
      </c>
      <c r="CQ242" s="44" t="n">
        <v>1</v>
      </c>
      <c r="CS242" s="44" t="s">
        <v>174</v>
      </c>
      <c r="CT242" s="44" t="n">
        <v>1</v>
      </c>
      <c r="CV242" s="44" t="s">
        <v>174</v>
      </c>
      <c r="CW242" s="44" t="n">
        <v>1</v>
      </c>
    </row>
    <row collapsed="false" customFormat="false" customHeight="false" hidden="false" ht="12.75" outlineLevel="0" r="244">
      <c r="A244" s="44" t="s">
        <v>175</v>
      </c>
      <c r="B244" s="44" t="n">
        <v>1</v>
      </c>
      <c r="D244" s="44" t="s">
        <v>175</v>
      </c>
      <c r="E244" s="44" t="n">
        <v>1</v>
      </c>
      <c r="G244" s="44" t="s">
        <v>175</v>
      </c>
      <c r="H244" s="44" t="n">
        <v>1</v>
      </c>
      <c r="J244" s="44" t="s">
        <v>175</v>
      </c>
      <c r="K244" s="44" t="n">
        <v>1</v>
      </c>
      <c r="M244" s="44" t="s">
        <v>175</v>
      </c>
      <c r="N244" s="44" t="n">
        <v>1</v>
      </c>
      <c r="P244" s="44" t="s">
        <v>175</v>
      </c>
      <c r="Q244" s="44" t="n">
        <v>1</v>
      </c>
      <c r="S244" s="44" t="s">
        <v>175</v>
      </c>
      <c r="T244" s="44" t="n">
        <v>1</v>
      </c>
      <c r="V244" s="44" t="s">
        <v>175</v>
      </c>
      <c r="W244" s="44" t="n">
        <v>1</v>
      </c>
      <c r="Y244" s="44" t="s">
        <v>175</v>
      </c>
      <c r="Z244" s="44" t="n">
        <v>1</v>
      </c>
      <c r="AB244" s="44" t="s">
        <v>175</v>
      </c>
      <c r="AC244" s="44" t="n">
        <v>1</v>
      </c>
      <c r="AE244" s="44" t="s">
        <v>175</v>
      </c>
      <c r="AF244" s="44" t="n">
        <v>1</v>
      </c>
      <c r="AH244" s="44" t="s">
        <v>175</v>
      </c>
      <c r="AI244" s="44" t="n">
        <v>1</v>
      </c>
      <c r="AK244" s="44" t="s">
        <v>175</v>
      </c>
      <c r="AL244" s="44" t="n">
        <v>1</v>
      </c>
      <c r="AN244" s="44" t="s">
        <v>175</v>
      </c>
      <c r="AO244" s="44" t="n">
        <v>1</v>
      </c>
      <c r="AQ244" s="44" t="s">
        <v>175</v>
      </c>
      <c r="AR244" s="44" t="n">
        <v>1</v>
      </c>
      <c r="AT244" s="44" t="s">
        <v>175</v>
      </c>
      <c r="AU244" s="44" t="n">
        <v>1</v>
      </c>
      <c r="AW244" s="44" t="s">
        <v>175</v>
      </c>
      <c r="AX244" s="44" t="n">
        <v>1</v>
      </c>
      <c r="AZ244" s="44" t="s">
        <v>175</v>
      </c>
      <c r="BA244" s="44" t="n">
        <v>1</v>
      </c>
      <c r="BC244" s="44" t="s">
        <v>175</v>
      </c>
      <c r="BD244" s="44" t="n">
        <v>1</v>
      </c>
      <c r="BF244" s="44" t="s">
        <v>175</v>
      </c>
      <c r="BG244" s="44" t="n">
        <v>1</v>
      </c>
      <c r="BI244" s="44" t="s">
        <v>175</v>
      </c>
      <c r="BJ244" s="44" t="n">
        <v>1</v>
      </c>
      <c r="BL244" s="44" t="s">
        <v>175</v>
      </c>
      <c r="BM244" s="44" t="n">
        <v>1</v>
      </c>
      <c r="BO244" s="44" t="s">
        <v>175</v>
      </c>
      <c r="BP244" s="44" t="n">
        <v>1</v>
      </c>
      <c r="BR244" s="44" t="s">
        <v>175</v>
      </c>
      <c r="BS244" s="44" t="n">
        <v>1</v>
      </c>
      <c r="BU244" s="44" t="s">
        <v>175</v>
      </c>
      <c r="BV244" s="44" t="n">
        <v>1</v>
      </c>
      <c r="BX244" s="44" t="s">
        <v>175</v>
      </c>
      <c r="BY244" s="44" t="n">
        <v>1</v>
      </c>
      <c r="CA244" s="44" t="s">
        <v>175</v>
      </c>
      <c r="CB244" s="44" t="n">
        <v>1</v>
      </c>
      <c r="CD244" s="44" t="s">
        <v>175</v>
      </c>
      <c r="CE244" s="44" t="n">
        <v>1</v>
      </c>
      <c r="CG244" s="44" t="s">
        <v>175</v>
      </c>
      <c r="CH244" s="44" t="n">
        <v>1</v>
      </c>
      <c r="CJ244" s="44" t="s">
        <v>175</v>
      </c>
      <c r="CK244" s="44" t="n">
        <v>1</v>
      </c>
      <c r="CM244" s="44" t="s">
        <v>175</v>
      </c>
      <c r="CN244" s="44" t="n">
        <v>1</v>
      </c>
      <c r="CP244" s="44" t="s">
        <v>175</v>
      </c>
      <c r="CQ244" s="44" t="n">
        <v>1</v>
      </c>
      <c r="CS244" s="44" t="s">
        <v>175</v>
      </c>
      <c r="CT244" s="44" t="n">
        <v>1</v>
      </c>
      <c r="CV244" s="44" t="s">
        <v>175</v>
      </c>
      <c r="CW244" s="44" t="n">
        <v>1</v>
      </c>
    </row>
    <row collapsed="false" customFormat="false" customHeight="false" hidden="false" ht="12.75" outlineLevel="0" r="246">
      <c r="A246" s="44" t="s">
        <v>176</v>
      </c>
      <c r="B246" s="44" t="n">
        <v>1</v>
      </c>
      <c r="D246" s="44" t="s">
        <v>176</v>
      </c>
      <c r="E246" s="44" t="n">
        <v>1</v>
      </c>
      <c r="G246" s="44" t="s">
        <v>176</v>
      </c>
      <c r="H246" s="44" t="n">
        <v>1</v>
      </c>
      <c r="J246" s="44" t="s">
        <v>176</v>
      </c>
      <c r="K246" s="44" t="n">
        <v>1</v>
      </c>
      <c r="M246" s="44" t="s">
        <v>176</v>
      </c>
      <c r="N246" s="44" t="n">
        <v>1</v>
      </c>
      <c r="P246" s="44" t="s">
        <v>176</v>
      </c>
      <c r="Q246" s="44" t="n">
        <v>1</v>
      </c>
      <c r="S246" s="44" t="s">
        <v>176</v>
      </c>
      <c r="T246" s="44" t="n">
        <v>1</v>
      </c>
      <c r="V246" s="44" t="s">
        <v>176</v>
      </c>
      <c r="W246" s="44" t="n">
        <v>1</v>
      </c>
      <c r="Y246" s="44" t="s">
        <v>176</v>
      </c>
      <c r="Z246" s="44" t="n">
        <v>1</v>
      </c>
      <c r="AB246" s="44" t="s">
        <v>176</v>
      </c>
      <c r="AC246" s="44" t="n">
        <v>1</v>
      </c>
      <c r="AE246" s="44" t="s">
        <v>176</v>
      </c>
      <c r="AF246" s="44" t="n">
        <v>1</v>
      </c>
      <c r="AH246" s="44" t="s">
        <v>176</v>
      </c>
      <c r="AI246" s="44" t="n">
        <v>1</v>
      </c>
      <c r="AK246" s="44" t="s">
        <v>176</v>
      </c>
      <c r="AL246" s="44" t="n">
        <v>1</v>
      </c>
      <c r="AN246" s="44" t="s">
        <v>176</v>
      </c>
      <c r="AO246" s="44" t="n">
        <v>1</v>
      </c>
      <c r="AQ246" s="44" t="s">
        <v>176</v>
      </c>
      <c r="AR246" s="44" t="n">
        <v>1</v>
      </c>
      <c r="AT246" s="44" t="s">
        <v>176</v>
      </c>
      <c r="AU246" s="44" t="n">
        <v>1</v>
      </c>
      <c r="AW246" s="44" t="s">
        <v>176</v>
      </c>
      <c r="AX246" s="44" t="n">
        <v>1</v>
      </c>
      <c r="AZ246" s="44" t="s">
        <v>176</v>
      </c>
      <c r="BA246" s="44" t="n">
        <v>1</v>
      </c>
      <c r="BC246" s="44" t="s">
        <v>176</v>
      </c>
      <c r="BD246" s="44" t="n">
        <v>1</v>
      </c>
      <c r="BF246" s="44" t="s">
        <v>176</v>
      </c>
      <c r="BG246" s="44" t="n">
        <v>1</v>
      </c>
      <c r="BI246" s="44" t="s">
        <v>176</v>
      </c>
      <c r="BJ246" s="44" t="n">
        <v>1</v>
      </c>
      <c r="BL246" s="44" t="s">
        <v>176</v>
      </c>
      <c r="BM246" s="44" t="n">
        <v>1</v>
      </c>
      <c r="BO246" s="44" t="s">
        <v>176</v>
      </c>
      <c r="BP246" s="44" t="n">
        <v>1</v>
      </c>
      <c r="BR246" s="44" t="s">
        <v>176</v>
      </c>
      <c r="BS246" s="44" t="n">
        <v>1</v>
      </c>
      <c r="BU246" s="44" t="s">
        <v>176</v>
      </c>
      <c r="BV246" s="44" t="n">
        <v>1</v>
      </c>
      <c r="BX246" s="44" t="s">
        <v>176</v>
      </c>
      <c r="BY246" s="44" t="n">
        <v>1</v>
      </c>
      <c r="CA246" s="44" t="s">
        <v>176</v>
      </c>
      <c r="CB246" s="44" t="n">
        <v>1</v>
      </c>
      <c r="CD246" s="44" t="s">
        <v>176</v>
      </c>
      <c r="CE246" s="44" t="n">
        <v>1</v>
      </c>
      <c r="CG246" s="44" t="s">
        <v>176</v>
      </c>
      <c r="CH246" s="44" t="n">
        <v>1</v>
      </c>
      <c r="CJ246" s="44" t="s">
        <v>176</v>
      </c>
      <c r="CK246" s="44" t="n">
        <v>1</v>
      </c>
      <c r="CM246" s="44" t="s">
        <v>176</v>
      </c>
      <c r="CN246" s="44" t="n">
        <v>1</v>
      </c>
      <c r="CP246" s="44" t="s">
        <v>176</v>
      </c>
      <c r="CQ246" s="44" t="n">
        <v>1</v>
      </c>
      <c r="CS246" s="44" t="s">
        <v>176</v>
      </c>
      <c r="CT246" s="44" t="n">
        <v>1</v>
      </c>
      <c r="CV246" s="44" t="s">
        <v>176</v>
      </c>
      <c r="CW246" s="44" t="n">
        <v>1</v>
      </c>
    </row>
    <row collapsed="false" customFormat="false" customHeight="false" hidden="false" ht="12.75" outlineLevel="0" r="248">
      <c r="A248" s="44" t="s">
        <v>177</v>
      </c>
      <c r="B248" s="44" t="n">
        <v>1</v>
      </c>
      <c r="D248" s="44" t="s">
        <v>177</v>
      </c>
      <c r="E248" s="44" t="n">
        <v>1</v>
      </c>
      <c r="G248" s="44" t="s">
        <v>177</v>
      </c>
      <c r="H248" s="44" t="n">
        <v>1</v>
      </c>
      <c r="J248" s="44" t="s">
        <v>177</v>
      </c>
      <c r="K248" s="44" t="n">
        <v>1</v>
      </c>
      <c r="M248" s="44" t="s">
        <v>177</v>
      </c>
      <c r="N248" s="44" t="n">
        <v>1</v>
      </c>
      <c r="P248" s="44" t="s">
        <v>177</v>
      </c>
      <c r="Q248" s="44" t="n">
        <v>1</v>
      </c>
      <c r="S248" s="44" t="s">
        <v>177</v>
      </c>
      <c r="T248" s="44" t="n">
        <v>1</v>
      </c>
      <c r="V248" s="44" t="s">
        <v>177</v>
      </c>
      <c r="W248" s="44" t="n">
        <v>1</v>
      </c>
      <c r="Y248" s="44" t="s">
        <v>177</v>
      </c>
      <c r="Z248" s="44" t="n">
        <v>1</v>
      </c>
      <c r="AB248" s="44" t="s">
        <v>177</v>
      </c>
      <c r="AC248" s="44" t="n">
        <v>1</v>
      </c>
      <c r="AE248" s="44" t="s">
        <v>177</v>
      </c>
      <c r="AF248" s="44" t="n">
        <v>1</v>
      </c>
      <c r="AH248" s="44" t="s">
        <v>177</v>
      </c>
      <c r="AI248" s="44" t="n">
        <v>1</v>
      </c>
      <c r="AK248" s="44" t="s">
        <v>177</v>
      </c>
      <c r="AL248" s="44" t="n">
        <v>1</v>
      </c>
      <c r="AN248" s="44" t="s">
        <v>177</v>
      </c>
      <c r="AO248" s="44" t="n">
        <v>1</v>
      </c>
      <c r="AQ248" s="44" t="s">
        <v>177</v>
      </c>
      <c r="AR248" s="44" t="n">
        <v>1</v>
      </c>
      <c r="AT248" s="44" t="s">
        <v>177</v>
      </c>
      <c r="AU248" s="44" t="n">
        <v>1</v>
      </c>
      <c r="AW248" s="44" t="s">
        <v>177</v>
      </c>
      <c r="AX248" s="44" t="n">
        <v>1</v>
      </c>
      <c r="AZ248" s="44" t="s">
        <v>177</v>
      </c>
      <c r="BA248" s="44" t="n">
        <v>1</v>
      </c>
      <c r="BC248" s="44" t="s">
        <v>177</v>
      </c>
      <c r="BD248" s="44" t="n">
        <v>1</v>
      </c>
      <c r="BF248" s="44" t="s">
        <v>177</v>
      </c>
      <c r="BG248" s="44" t="n">
        <v>1</v>
      </c>
      <c r="BI248" s="44" t="s">
        <v>177</v>
      </c>
      <c r="BJ248" s="44" t="n">
        <v>1</v>
      </c>
      <c r="BL248" s="44" t="s">
        <v>177</v>
      </c>
      <c r="BM248" s="44" t="n">
        <v>1</v>
      </c>
      <c r="BO248" s="44" t="s">
        <v>177</v>
      </c>
      <c r="BP248" s="44" t="n">
        <v>1</v>
      </c>
      <c r="BR248" s="44" t="s">
        <v>177</v>
      </c>
      <c r="BS248" s="44" t="n">
        <v>1</v>
      </c>
      <c r="BU248" s="44" t="s">
        <v>177</v>
      </c>
      <c r="BV248" s="44" t="n">
        <v>1</v>
      </c>
      <c r="BX248" s="44" t="s">
        <v>177</v>
      </c>
      <c r="BY248" s="44" t="n">
        <v>1</v>
      </c>
      <c r="CA248" s="44" t="s">
        <v>177</v>
      </c>
      <c r="CB248" s="44" t="n">
        <v>1</v>
      </c>
      <c r="CD248" s="44" t="s">
        <v>177</v>
      </c>
      <c r="CE248" s="44" t="n">
        <v>1</v>
      </c>
      <c r="CG248" s="44" t="s">
        <v>177</v>
      </c>
      <c r="CH248" s="44" t="n">
        <v>1</v>
      </c>
      <c r="CJ248" s="44" t="s">
        <v>177</v>
      </c>
      <c r="CK248" s="44" t="n">
        <v>1</v>
      </c>
      <c r="CM248" s="44" t="s">
        <v>177</v>
      </c>
      <c r="CN248" s="44" t="n">
        <v>1</v>
      </c>
      <c r="CP248" s="44" t="s">
        <v>177</v>
      </c>
      <c r="CQ248" s="44" t="n">
        <v>1</v>
      </c>
      <c r="CS248" s="44" t="s">
        <v>177</v>
      </c>
      <c r="CT248" s="44" t="n">
        <v>1</v>
      </c>
      <c r="CV248" s="44" t="s">
        <v>177</v>
      </c>
      <c r="CW248" s="44" t="n">
        <v>1</v>
      </c>
    </row>
    <row collapsed="false" customFormat="false" customHeight="false" hidden="false" ht="12.75" outlineLevel="0" r="250">
      <c r="A250" s="44" t="s">
        <v>178</v>
      </c>
      <c r="B250" s="44" t="n">
        <v>1</v>
      </c>
      <c r="D250" s="44" t="s">
        <v>178</v>
      </c>
      <c r="E250" s="44" t="n">
        <v>1</v>
      </c>
      <c r="G250" s="44" t="s">
        <v>178</v>
      </c>
      <c r="H250" s="44" t="n">
        <v>1</v>
      </c>
      <c r="J250" s="44" t="s">
        <v>178</v>
      </c>
      <c r="K250" s="44" t="n">
        <v>1</v>
      </c>
      <c r="M250" s="44" t="s">
        <v>178</v>
      </c>
      <c r="N250" s="44" t="n">
        <v>1</v>
      </c>
      <c r="P250" s="44" t="s">
        <v>178</v>
      </c>
      <c r="Q250" s="44" t="n">
        <v>1</v>
      </c>
      <c r="S250" s="44" t="s">
        <v>178</v>
      </c>
      <c r="T250" s="44" t="n">
        <v>1</v>
      </c>
      <c r="V250" s="44" t="s">
        <v>178</v>
      </c>
      <c r="W250" s="44" t="n">
        <v>1</v>
      </c>
      <c r="Y250" s="44" t="s">
        <v>178</v>
      </c>
      <c r="Z250" s="44" t="n">
        <v>1</v>
      </c>
      <c r="AB250" s="44" t="s">
        <v>178</v>
      </c>
      <c r="AC250" s="44" t="n">
        <v>1</v>
      </c>
      <c r="AE250" s="44" t="s">
        <v>178</v>
      </c>
      <c r="AF250" s="44" t="n">
        <v>1</v>
      </c>
      <c r="AH250" s="44" t="s">
        <v>178</v>
      </c>
      <c r="AI250" s="44" t="n">
        <v>1</v>
      </c>
      <c r="AK250" s="44" t="s">
        <v>178</v>
      </c>
      <c r="AL250" s="44" t="n">
        <v>1</v>
      </c>
      <c r="AN250" s="44" t="s">
        <v>178</v>
      </c>
      <c r="AO250" s="44" t="n">
        <v>1</v>
      </c>
      <c r="AQ250" s="44" t="s">
        <v>178</v>
      </c>
      <c r="AR250" s="44" t="n">
        <v>1</v>
      </c>
      <c r="AT250" s="44" t="s">
        <v>178</v>
      </c>
      <c r="AU250" s="44" t="n">
        <v>1</v>
      </c>
      <c r="AW250" s="44" t="s">
        <v>178</v>
      </c>
      <c r="AX250" s="44" t="n">
        <v>1</v>
      </c>
      <c r="AZ250" s="44" t="s">
        <v>178</v>
      </c>
      <c r="BA250" s="44" t="n">
        <v>1</v>
      </c>
      <c r="BC250" s="44" t="s">
        <v>178</v>
      </c>
      <c r="BD250" s="44" t="n">
        <v>1</v>
      </c>
      <c r="BF250" s="44" t="s">
        <v>178</v>
      </c>
      <c r="BG250" s="44" t="n">
        <v>1</v>
      </c>
      <c r="BI250" s="44" t="s">
        <v>178</v>
      </c>
      <c r="BJ250" s="44" t="n">
        <v>1</v>
      </c>
      <c r="BL250" s="44" t="s">
        <v>178</v>
      </c>
      <c r="BM250" s="44" t="n">
        <v>1</v>
      </c>
      <c r="BO250" s="44" t="s">
        <v>178</v>
      </c>
      <c r="BP250" s="44" t="n">
        <v>1</v>
      </c>
      <c r="BR250" s="44" t="s">
        <v>178</v>
      </c>
      <c r="BS250" s="44" t="n">
        <v>1</v>
      </c>
      <c r="BU250" s="44" t="s">
        <v>178</v>
      </c>
      <c r="BV250" s="44" t="n">
        <v>1</v>
      </c>
      <c r="BX250" s="44" t="s">
        <v>178</v>
      </c>
      <c r="BY250" s="44" t="n">
        <v>1</v>
      </c>
      <c r="CA250" s="44" t="s">
        <v>178</v>
      </c>
      <c r="CB250" s="44" t="n">
        <v>1</v>
      </c>
      <c r="CD250" s="44" t="s">
        <v>178</v>
      </c>
      <c r="CE250" s="44" t="n">
        <v>1</v>
      </c>
      <c r="CG250" s="44" t="s">
        <v>178</v>
      </c>
      <c r="CH250" s="44" t="n">
        <v>1</v>
      </c>
      <c r="CJ250" s="44" t="s">
        <v>178</v>
      </c>
      <c r="CK250" s="44" t="n">
        <v>1</v>
      </c>
      <c r="CM250" s="44" t="s">
        <v>178</v>
      </c>
      <c r="CN250" s="44" t="n">
        <v>1</v>
      </c>
      <c r="CP250" s="44" t="s">
        <v>178</v>
      </c>
      <c r="CQ250" s="44" t="n">
        <v>1</v>
      </c>
      <c r="CS250" s="44" t="s">
        <v>178</v>
      </c>
      <c r="CT250" s="44" t="n">
        <v>1</v>
      </c>
      <c r="CV250" s="44" t="s">
        <v>178</v>
      </c>
      <c r="CW250" s="44" t="n">
        <v>1</v>
      </c>
    </row>
    <row collapsed="false" customFormat="false" customHeight="false" hidden="false" ht="12.75" outlineLevel="0" r="252">
      <c r="A252" s="44" t="s">
        <v>179</v>
      </c>
      <c r="B252" s="44" t="n">
        <v>1</v>
      </c>
      <c r="D252" s="44" t="s">
        <v>179</v>
      </c>
      <c r="E252" s="44" t="n">
        <v>1</v>
      </c>
      <c r="G252" s="44" t="s">
        <v>179</v>
      </c>
      <c r="H252" s="44" t="n">
        <v>1</v>
      </c>
      <c r="J252" s="44" t="s">
        <v>179</v>
      </c>
      <c r="K252" s="44" t="n">
        <v>1</v>
      </c>
      <c r="M252" s="44" t="s">
        <v>179</v>
      </c>
      <c r="N252" s="44" t="n">
        <v>1</v>
      </c>
      <c r="P252" s="44" t="s">
        <v>179</v>
      </c>
      <c r="Q252" s="44" t="n">
        <v>1</v>
      </c>
      <c r="S252" s="44" t="s">
        <v>179</v>
      </c>
      <c r="T252" s="44" t="n">
        <v>1</v>
      </c>
      <c r="V252" s="44" t="s">
        <v>179</v>
      </c>
      <c r="W252" s="44" t="n">
        <v>1</v>
      </c>
      <c r="Y252" s="44" t="s">
        <v>179</v>
      </c>
      <c r="Z252" s="44" t="n">
        <v>1</v>
      </c>
      <c r="AB252" s="44" t="s">
        <v>179</v>
      </c>
      <c r="AC252" s="44" t="n">
        <v>1</v>
      </c>
      <c r="AE252" s="44" t="s">
        <v>179</v>
      </c>
      <c r="AF252" s="44" t="n">
        <v>1</v>
      </c>
      <c r="AH252" s="44" t="s">
        <v>179</v>
      </c>
      <c r="AI252" s="44" t="n">
        <v>1</v>
      </c>
      <c r="AK252" s="44" t="s">
        <v>179</v>
      </c>
      <c r="AL252" s="44" t="n">
        <v>1</v>
      </c>
      <c r="AN252" s="44" t="s">
        <v>179</v>
      </c>
      <c r="AO252" s="44" t="n">
        <v>1</v>
      </c>
      <c r="AQ252" s="44" t="s">
        <v>179</v>
      </c>
      <c r="AR252" s="44" t="n">
        <v>1</v>
      </c>
      <c r="AT252" s="44" t="s">
        <v>179</v>
      </c>
      <c r="AU252" s="44" t="n">
        <v>1</v>
      </c>
      <c r="AW252" s="44" t="s">
        <v>179</v>
      </c>
      <c r="AX252" s="44" t="n">
        <v>1</v>
      </c>
      <c r="AZ252" s="44" t="s">
        <v>179</v>
      </c>
      <c r="BA252" s="44" t="n">
        <v>1</v>
      </c>
      <c r="BC252" s="44" t="s">
        <v>179</v>
      </c>
      <c r="BD252" s="44" t="n">
        <v>1</v>
      </c>
      <c r="BF252" s="44" t="s">
        <v>179</v>
      </c>
      <c r="BG252" s="44" t="n">
        <v>1</v>
      </c>
      <c r="BI252" s="44" t="s">
        <v>179</v>
      </c>
      <c r="BJ252" s="44" t="n">
        <v>1</v>
      </c>
      <c r="BL252" s="44" t="s">
        <v>179</v>
      </c>
      <c r="BM252" s="44" t="n">
        <v>1</v>
      </c>
      <c r="BO252" s="44" t="s">
        <v>179</v>
      </c>
      <c r="BP252" s="44" t="n">
        <v>1</v>
      </c>
      <c r="BR252" s="44" t="s">
        <v>179</v>
      </c>
      <c r="BS252" s="44" t="n">
        <v>1</v>
      </c>
      <c r="BU252" s="44" t="s">
        <v>179</v>
      </c>
      <c r="BV252" s="44" t="n">
        <v>1</v>
      </c>
      <c r="BX252" s="44" t="s">
        <v>179</v>
      </c>
      <c r="BY252" s="44" t="n">
        <v>1</v>
      </c>
      <c r="CA252" s="44" t="s">
        <v>179</v>
      </c>
      <c r="CB252" s="44" t="n">
        <v>1</v>
      </c>
      <c r="CD252" s="44" t="s">
        <v>179</v>
      </c>
      <c r="CE252" s="44" t="n">
        <v>1</v>
      </c>
      <c r="CG252" s="44" t="s">
        <v>179</v>
      </c>
      <c r="CH252" s="44" t="n">
        <v>1</v>
      </c>
      <c r="CJ252" s="44" t="s">
        <v>179</v>
      </c>
      <c r="CK252" s="44" t="n">
        <v>1</v>
      </c>
      <c r="CM252" s="44" t="s">
        <v>179</v>
      </c>
      <c r="CN252" s="44" t="n">
        <v>1</v>
      </c>
      <c r="CP252" s="44" t="s">
        <v>179</v>
      </c>
      <c r="CQ252" s="44" t="n">
        <v>1</v>
      </c>
      <c r="CS252" s="44" t="s">
        <v>179</v>
      </c>
      <c r="CT252" s="44" t="n">
        <v>1</v>
      </c>
      <c r="CV252" s="44" t="s">
        <v>179</v>
      </c>
      <c r="CW252" s="44" t="n">
        <v>1</v>
      </c>
    </row>
    <row collapsed="false" customFormat="false" customHeight="false" hidden="false" ht="12.75" outlineLevel="0" r="254">
      <c r="A254" s="44" t="s">
        <v>180</v>
      </c>
      <c r="B254" s="44" t="n">
        <v>1</v>
      </c>
      <c r="D254" s="44" t="s">
        <v>180</v>
      </c>
      <c r="E254" s="44" t="n">
        <v>1</v>
      </c>
      <c r="G254" s="44" t="s">
        <v>180</v>
      </c>
      <c r="H254" s="44" t="n">
        <v>1</v>
      </c>
      <c r="J254" s="44" t="s">
        <v>180</v>
      </c>
      <c r="K254" s="44" t="n">
        <v>1</v>
      </c>
      <c r="M254" s="44" t="s">
        <v>180</v>
      </c>
      <c r="N254" s="44" t="n">
        <v>1</v>
      </c>
      <c r="P254" s="44" t="s">
        <v>180</v>
      </c>
      <c r="Q254" s="44" t="n">
        <v>1</v>
      </c>
      <c r="S254" s="44" t="s">
        <v>180</v>
      </c>
      <c r="T254" s="44" t="n">
        <v>1</v>
      </c>
      <c r="V254" s="44" t="s">
        <v>180</v>
      </c>
      <c r="W254" s="44" t="n">
        <v>1</v>
      </c>
      <c r="Y254" s="44" t="s">
        <v>180</v>
      </c>
      <c r="Z254" s="44" t="n">
        <v>1</v>
      </c>
      <c r="AB254" s="44" t="s">
        <v>180</v>
      </c>
      <c r="AC254" s="44" t="n">
        <v>1</v>
      </c>
      <c r="AE254" s="44" t="s">
        <v>180</v>
      </c>
      <c r="AF254" s="44" t="n">
        <v>1</v>
      </c>
      <c r="AH254" s="44" t="s">
        <v>180</v>
      </c>
      <c r="AI254" s="44" t="n">
        <v>1</v>
      </c>
      <c r="AK254" s="44" t="s">
        <v>180</v>
      </c>
      <c r="AL254" s="44" t="n">
        <v>1</v>
      </c>
      <c r="AN254" s="44" t="s">
        <v>180</v>
      </c>
      <c r="AO254" s="44" t="n">
        <v>1</v>
      </c>
      <c r="AQ254" s="44" t="s">
        <v>180</v>
      </c>
      <c r="AR254" s="44" t="n">
        <v>1</v>
      </c>
      <c r="AT254" s="44" t="s">
        <v>180</v>
      </c>
      <c r="AU254" s="44" t="n">
        <v>1</v>
      </c>
      <c r="AW254" s="44" t="s">
        <v>180</v>
      </c>
      <c r="AX254" s="44" t="n">
        <v>1</v>
      </c>
      <c r="AZ254" s="44" t="s">
        <v>180</v>
      </c>
      <c r="BA254" s="44" t="n">
        <v>1</v>
      </c>
      <c r="BC254" s="44" t="s">
        <v>180</v>
      </c>
      <c r="BD254" s="44" t="n">
        <v>1</v>
      </c>
      <c r="BF254" s="44" t="s">
        <v>180</v>
      </c>
      <c r="BG254" s="44" t="n">
        <v>1</v>
      </c>
      <c r="BI254" s="44" t="s">
        <v>180</v>
      </c>
      <c r="BJ254" s="44" t="n">
        <v>1</v>
      </c>
      <c r="BL254" s="44" t="s">
        <v>180</v>
      </c>
      <c r="BM254" s="44" t="n">
        <v>1</v>
      </c>
      <c r="BO254" s="44" t="s">
        <v>180</v>
      </c>
      <c r="BP254" s="44" t="n">
        <v>1</v>
      </c>
      <c r="BR254" s="44" t="s">
        <v>180</v>
      </c>
      <c r="BS254" s="44" t="n">
        <v>1</v>
      </c>
      <c r="BU254" s="44" t="s">
        <v>180</v>
      </c>
      <c r="BV254" s="44" t="n">
        <v>1</v>
      </c>
      <c r="BX254" s="44" t="s">
        <v>180</v>
      </c>
      <c r="BY254" s="44" t="n">
        <v>1</v>
      </c>
      <c r="CA254" s="44" t="s">
        <v>180</v>
      </c>
      <c r="CB254" s="44" t="n">
        <v>1</v>
      </c>
      <c r="CD254" s="44" t="s">
        <v>180</v>
      </c>
      <c r="CE254" s="44" t="n">
        <v>1</v>
      </c>
      <c r="CG254" s="44" t="s">
        <v>180</v>
      </c>
      <c r="CH254" s="44" t="n">
        <v>1</v>
      </c>
      <c r="CJ254" s="44" t="s">
        <v>180</v>
      </c>
      <c r="CK254" s="44" t="n">
        <v>1</v>
      </c>
      <c r="CM254" s="44" t="s">
        <v>180</v>
      </c>
      <c r="CN254" s="44" t="n">
        <v>1</v>
      </c>
      <c r="CP254" s="44" t="s">
        <v>180</v>
      </c>
      <c r="CQ254" s="44" t="n">
        <v>1</v>
      </c>
      <c r="CS254" s="44" t="s">
        <v>180</v>
      </c>
      <c r="CT254" s="44" t="n">
        <v>1</v>
      </c>
      <c r="CV254" s="44" t="s">
        <v>180</v>
      </c>
      <c r="CW254" s="44" t="n">
        <v>1</v>
      </c>
    </row>
    <row collapsed="false" customFormat="false" customHeight="false" hidden="false" ht="12.75" outlineLevel="0" r="256">
      <c r="A256" s="44" t="s">
        <v>181</v>
      </c>
      <c r="B256" s="44" t="n">
        <v>1</v>
      </c>
      <c r="D256" s="44" t="s">
        <v>181</v>
      </c>
      <c r="E256" s="44" t="n">
        <v>1</v>
      </c>
      <c r="G256" s="44" t="s">
        <v>181</v>
      </c>
      <c r="H256" s="44" t="n">
        <v>1</v>
      </c>
      <c r="J256" s="44" t="s">
        <v>181</v>
      </c>
      <c r="K256" s="44" t="n">
        <v>1</v>
      </c>
      <c r="M256" s="44" t="s">
        <v>181</v>
      </c>
      <c r="N256" s="44" t="n">
        <v>1</v>
      </c>
      <c r="P256" s="44" t="s">
        <v>181</v>
      </c>
      <c r="Q256" s="44" t="n">
        <v>1</v>
      </c>
      <c r="S256" s="44" t="s">
        <v>181</v>
      </c>
      <c r="T256" s="44" t="n">
        <v>1</v>
      </c>
      <c r="V256" s="44" t="s">
        <v>181</v>
      </c>
      <c r="W256" s="44" t="n">
        <v>1</v>
      </c>
      <c r="Y256" s="44" t="s">
        <v>181</v>
      </c>
      <c r="Z256" s="44" t="n">
        <v>1</v>
      </c>
      <c r="AB256" s="44" t="s">
        <v>181</v>
      </c>
      <c r="AC256" s="44" t="n">
        <v>1</v>
      </c>
      <c r="AE256" s="44" t="s">
        <v>181</v>
      </c>
      <c r="AF256" s="44" t="n">
        <v>1</v>
      </c>
      <c r="AH256" s="44" t="s">
        <v>181</v>
      </c>
      <c r="AI256" s="44" t="n">
        <v>1</v>
      </c>
      <c r="AK256" s="44" t="s">
        <v>181</v>
      </c>
      <c r="AL256" s="44" t="n">
        <v>1</v>
      </c>
      <c r="AN256" s="44" t="s">
        <v>181</v>
      </c>
      <c r="AO256" s="44" t="n">
        <v>1</v>
      </c>
      <c r="AQ256" s="44" t="s">
        <v>181</v>
      </c>
      <c r="AR256" s="44" t="n">
        <v>1</v>
      </c>
      <c r="AT256" s="44" t="s">
        <v>181</v>
      </c>
      <c r="AU256" s="44" t="n">
        <v>1</v>
      </c>
      <c r="AW256" s="44" t="s">
        <v>181</v>
      </c>
      <c r="AX256" s="44" t="n">
        <v>1</v>
      </c>
      <c r="AZ256" s="44" t="s">
        <v>181</v>
      </c>
      <c r="BA256" s="44" t="n">
        <v>1</v>
      </c>
      <c r="BC256" s="44" t="s">
        <v>181</v>
      </c>
      <c r="BD256" s="44" t="n">
        <v>1</v>
      </c>
      <c r="BF256" s="44" t="s">
        <v>181</v>
      </c>
      <c r="BG256" s="44" t="n">
        <v>1</v>
      </c>
      <c r="BI256" s="44" t="s">
        <v>181</v>
      </c>
      <c r="BJ256" s="44" t="n">
        <v>1</v>
      </c>
      <c r="BL256" s="44" t="s">
        <v>181</v>
      </c>
      <c r="BM256" s="44" t="n">
        <v>1</v>
      </c>
      <c r="BO256" s="44" t="s">
        <v>181</v>
      </c>
      <c r="BP256" s="44" t="n">
        <v>1</v>
      </c>
      <c r="BR256" s="44" t="s">
        <v>181</v>
      </c>
      <c r="BS256" s="44" t="n">
        <v>1</v>
      </c>
      <c r="BU256" s="44" t="s">
        <v>181</v>
      </c>
      <c r="BV256" s="44" t="n">
        <v>1</v>
      </c>
      <c r="BX256" s="44" t="s">
        <v>181</v>
      </c>
      <c r="BY256" s="44" t="n">
        <v>1</v>
      </c>
      <c r="CA256" s="44" t="s">
        <v>181</v>
      </c>
      <c r="CB256" s="44" t="n">
        <v>1</v>
      </c>
      <c r="CD256" s="44" t="s">
        <v>181</v>
      </c>
      <c r="CE256" s="44" t="n">
        <v>1</v>
      </c>
      <c r="CG256" s="44" t="s">
        <v>181</v>
      </c>
      <c r="CH256" s="44" t="n">
        <v>1</v>
      </c>
      <c r="CJ256" s="44" t="s">
        <v>181</v>
      </c>
      <c r="CK256" s="44" t="n">
        <v>1</v>
      </c>
      <c r="CM256" s="44" t="s">
        <v>181</v>
      </c>
      <c r="CN256" s="44" t="n">
        <v>1</v>
      </c>
      <c r="CP256" s="44" t="s">
        <v>181</v>
      </c>
      <c r="CQ256" s="44" t="n">
        <v>1</v>
      </c>
      <c r="CS256" s="44" t="s">
        <v>181</v>
      </c>
      <c r="CT256" s="44" t="n">
        <v>1</v>
      </c>
      <c r="CV256" s="44" t="s">
        <v>181</v>
      </c>
      <c r="CW256" s="44" t="n">
        <v>1</v>
      </c>
    </row>
    <row collapsed="false" customFormat="false" customHeight="false" hidden="false" ht="12.75" outlineLevel="0" r="258">
      <c r="A258" s="44" t="s">
        <v>182</v>
      </c>
      <c r="B258" s="44" t="n">
        <v>1</v>
      </c>
      <c r="D258" s="44" t="s">
        <v>182</v>
      </c>
      <c r="E258" s="44" t="n">
        <v>1</v>
      </c>
      <c r="G258" s="44" t="s">
        <v>182</v>
      </c>
      <c r="H258" s="44" t="n">
        <v>1</v>
      </c>
      <c r="J258" s="44" t="s">
        <v>182</v>
      </c>
      <c r="K258" s="44" t="n">
        <v>1</v>
      </c>
      <c r="M258" s="44" t="s">
        <v>182</v>
      </c>
      <c r="N258" s="44" t="n">
        <v>1</v>
      </c>
      <c r="P258" s="44" t="s">
        <v>182</v>
      </c>
      <c r="Q258" s="44" t="n">
        <v>1</v>
      </c>
      <c r="S258" s="44" t="s">
        <v>182</v>
      </c>
      <c r="T258" s="44" t="n">
        <v>1</v>
      </c>
      <c r="V258" s="44" t="s">
        <v>182</v>
      </c>
      <c r="W258" s="44" t="n">
        <v>1</v>
      </c>
      <c r="Y258" s="44" t="s">
        <v>182</v>
      </c>
      <c r="Z258" s="44" t="n">
        <v>1</v>
      </c>
      <c r="AB258" s="44" t="s">
        <v>182</v>
      </c>
      <c r="AC258" s="44" t="n">
        <v>1</v>
      </c>
      <c r="AE258" s="44" t="s">
        <v>182</v>
      </c>
      <c r="AF258" s="44" t="n">
        <v>1</v>
      </c>
      <c r="AH258" s="44" t="s">
        <v>182</v>
      </c>
      <c r="AI258" s="44" t="n">
        <v>1</v>
      </c>
      <c r="AK258" s="44" t="s">
        <v>182</v>
      </c>
      <c r="AL258" s="44" t="n">
        <v>1</v>
      </c>
      <c r="AN258" s="44" t="s">
        <v>182</v>
      </c>
      <c r="AO258" s="44" t="n">
        <v>1</v>
      </c>
      <c r="AQ258" s="44" t="s">
        <v>182</v>
      </c>
      <c r="AR258" s="44" t="n">
        <v>1</v>
      </c>
      <c r="AT258" s="44" t="s">
        <v>182</v>
      </c>
      <c r="AU258" s="44" t="n">
        <v>1</v>
      </c>
      <c r="AW258" s="44" t="s">
        <v>182</v>
      </c>
      <c r="AX258" s="44" t="n">
        <v>1</v>
      </c>
      <c r="AZ258" s="44" t="s">
        <v>182</v>
      </c>
      <c r="BA258" s="44" t="n">
        <v>1</v>
      </c>
      <c r="BC258" s="44" t="s">
        <v>182</v>
      </c>
      <c r="BD258" s="44" t="n">
        <v>1</v>
      </c>
      <c r="BF258" s="44" t="s">
        <v>182</v>
      </c>
      <c r="BG258" s="44" t="n">
        <v>1</v>
      </c>
      <c r="BI258" s="44" t="s">
        <v>182</v>
      </c>
      <c r="BJ258" s="44" t="n">
        <v>1</v>
      </c>
      <c r="BL258" s="44" t="s">
        <v>182</v>
      </c>
      <c r="BM258" s="44" t="n">
        <v>1</v>
      </c>
      <c r="BO258" s="44" t="s">
        <v>182</v>
      </c>
      <c r="BP258" s="44" t="n">
        <v>1</v>
      </c>
      <c r="BR258" s="44" t="s">
        <v>182</v>
      </c>
      <c r="BS258" s="44" t="n">
        <v>1</v>
      </c>
      <c r="BU258" s="44" t="s">
        <v>182</v>
      </c>
      <c r="BV258" s="44" t="n">
        <v>1</v>
      </c>
      <c r="BX258" s="44" t="s">
        <v>182</v>
      </c>
      <c r="BY258" s="44" t="n">
        <v>1</v>
      </c>
      <c r="CA258" s="44" t="s">
        <v>182</v>
      </c>
      <c r="CB258" s="44" t="n">
        <v>1</v>
      </c>
      <c r="CD258" s="44" t="s">
        <v>182</v>
      </c>
      <c r="CE258" s="44" t="n">
        <v>1</v>
      </c>
      <c r="CG258" s="44" t="s">
        <v>182</v>
      </c>
      <c r="CH258" s="44" t="n">
        <v>1</v>
      </c>
      <c r="CJ258" s="44" t="s">
        <v>182</v>
      </c>
      <c r="CK258" s="44" t="n">
        <v>1</v>
      </c>
      <c r="CM258" s="44" t="s">
        <v>182</v>
      </c>
      <c r="CN258" s="44" t="n">
        <v>1</v>
      </c>
      <c r="CP258" s="44" t="s">
        <v>182</v>
      </c>
      <c r="CQ258" s="44" t="n">
        <v>1</v>
      </c>
      <c r="CS258" s="44" t="s">
        <v>182</v>
      </c>
      <c r="CT258" s="44" t="n">
        <v>1</v>
      </c>
      <c r="CV258" s="44" t="s">
        <v>182</v>
      </c>
      <c r="CW258" s="44" t="n">
        <v>1</v>
      </c>
    </row>
    <row collapsed="false" customFormat="false" customHeight="false" hidden="false" ht="12.75" outlineLevel="0" r="260">
      <c r="A260" s="44" t="s">
        <v>183</v>
      </c>
      <c r="B260" s="44" t="n">
        <v>1</v>
      </c>
      <c r="D260" s="44" t="s">
        <v>183</v>
      </c>
      <c r="E260" s="44" t="n">
        <v>1</v>
      </c>
      <c r="G260" s="44" t="s">
        <v>183</v>
      </c>
      <c r="H260" s="44" t="n">
        <v>1</v>
      </c>
      <c r="J260" s="44" t="s">
        <v>183</v>
      </c>
      <c r="K260" s="44" t="n">
        <v>1</v>
      </c>
      <c r="M260" s="44" t="s">
        <v>183</v>
      </c>
      <c r="N260" s="44" t="n">
        <v>1</v>
      </c>
      <c r="P260" s="44" t="s">
        <v>183</v>
      </c>
      <c r="Q260" s="44" t="n">
        <v>1</v>
      </c>
      <c r="S260" s="44" t="s">
        <v>183</v>
      </c>
      <c r="T260" s="44" t="n">
        <v>1</v>
      </c>
      <c r="V260" s="44" t="s">
        <v>183</v>
      </c>
      <c r="W260" s="44" t="n">
        <v>1</v>
      </c>
      <c r="Y260" s="44" t="s">
        <v>183</v>
      </c>
      <c r="Z260" s="44" t="n">
        <v>1</v>
      </c>
      <c r="AB260" s="44" t="s">
        <v>183</v>
      </c>
      <c r="AC260" s="44" t="n">
        <v>1</v>
      </c>
      <c r="AE260" s="44" t="s">
        <v>183</v>
      </c>
      <c r="AF260" s="44" t="n">
        <v>1</v>
      </c>
      <c r="AH260" s="44" t="s">
        <v>183</v>
      </c>
      <c r="AI260" s="44" t="n">
        <v>1</v>
      </c>
      <c r="AK260" s="44" t="s">
        <v>183</v>
      </c>
      <c r="AL260" s="44" t="n">
        <v>1</v>
      </c>
      <c r="AN260" s="44" t="s">
        <v>183</v>
      </c>
      <c r="AO260" s="44" t="n">
        <v>1</v>
      </c>
      <c r="AQ260" s="44" t="s">
        <v>183</v>
      </c>
      <c r="AR260" s="44" t="n">
        <v>1</v>
      </c>
      <c r="AT260" s="44" t="s">
        <v>183</v>
      </c>
      <c r="AU260" s="44" t="n">
        <v>1</v>
      </c>
      <c r="AW260" s="44" t="s">
        <v>183</v>
      </c>
      <c r="AX260" s="44" t="n">
        <v>1</v>
      </c>
      <c r="AZ260" s="44" t="s">
        <v>183</v>
      </c>
      <c r="BA260" s="44" t="n">
        <v>1</v>
      </c>
      <c r="BC260" s="44" t="s">
        <v>183</v>
      </c>
      <c r="BD260" s="44" t="n">
        <v>1</v>
      </c>
      <c r="BF260" s="44" t="s">
        <v>183</v>
      </c>
      <c r="BG260" s="44" t="n">
        <v>1</v>
      </c>
      <c r="BI260" s="44" t="s">
        <v>183</v>
      </c>
      <c r="BJ260" s="44" t="n">
        <v>1</v>
      </c>
      <c r="BL260" s="44" t="s">
        <v>183</v>
      </c>
      <c r="BM260" s="44" t="n">
        <v>1</v>
      </c>
      <c r="BO260" s="44" t="s">
        <v>183</v>
      </c>
      <c r="BP260" s="44" t="n">
        <v>1</v>
      </c>
      <c r="BR260" s="44" t="s">
        <v>183</v>
      </c>
      <c r="BS260" s="44" t="n">
        <v>1</v>
      </c>
      <c r="BU260" s="44" t="s">
        <v>183</v>
      </c>
      <c r="BV260" s="44" t="n">
        <v>1</v>
      </c>
      <c r="BX260" s="44" t="s">
        <v>183</v>
      </c>
      <c r="BY260" s="44" t="n">
        <v>1</v>
      </c>
      <c r="CA260" s="44" t="s">
        <v>183</v>
      </c>
      <c r="CB260" s="44" t="n">
        <v>1</v>
      </c>
      <c r="CD260" s="44" t="s">
        <v>183</v>
      </c>
      <c r="CE260" s="44" t="n">
        <v>1</v>
      </c>
      <c r="CG260" s="44" t="s">
        <v>183</v>
      </c>
      <c r="CH260" s="44" t="n">
        <v>1</v>
      </c>
      <c r="CJ260" s="44" t="s">
        <v>183</v>
      </c>
      <c r="CK260" s="44" t="n">
        <v>1</v>
      </c>
      <c r="CM260" s="44" t="s">
        <v>183</v>
      </c>
      <c r="CN260" s="44" t="n">
        <v>1</v>
      </c>
      <c r="CP260" s="44" t="s">
        <v>183</v>
      </c>
      <c r="CQ260" s="44" t="n">
        <v>1</v>
      </c>
      <c r="CS260" s="44" t="s">
        <v>183</v>
      </c>
      <c r="CT260" s="44" t="n">
        <v>1</v>
      </c>
      <c r="CV260" s="44" t="s">
        <v>183</v>
      </c>
      <c r="CW260" s="44" t="n">
        <v>1</v>
      </c>
    </row>
    <row collapsed="false" customFormat="false" customHeight="false" hidden="false" ht="12.75" outlineLevel="0" r="262">
      <c r="A262" s="44" t="s">
        <v>184</v>
      </c>
      <c r="B262" s="44" t="n">
        <v>1</v>
      </c>
      <c r="D262" s="44" t="s">
        <v>184</v>
      </c>
      <c r="E262" s="44" t="n">
        <v>1</v>
      </c>
      <c r="G262" s="44" t="s">
        <v>184</v>
      </c>
      <c r="H262" s="44" t="n">
        <v>1</v>
      </c>
      <c r="J262" s="44" t="s">
        <v>184</v>
      </c>
      <c r="K262" s="44" t="n">
        <v>1</v>
      </c>
      <c r="M262" s="44" t="s">
        <v>184</v>
      </c>
      <c r="N262" s="44" t="n">
        <v>1</v>
      </c>
      <c r="P262" s="44" t="s">
        <v>184</v>
      </c>
      <c r="Q262" s="44" t="n">
        <v>1</v>
      </c>
      <c r="S262" s="44" t="s">
        <v>184</v>
      </c>
      <c r="T262" s="44" t="n">
        <v>1</v>
      </c>
      <c r="V262" s="44" t="s">
        <v>184</v>
      </c>
      <c r="W262" s="44" t="n">
        <v>1</v>
      </c>
      <c r="Y262" s="44" t="s">
        <v>184</v>
      </c>
      <c r="Z262" s="44" t="n">
        <v>1</v>
      </c>
      <c r="AB262" s="44" t="s">
        <v>184</v>
      </c>
      <c r="AC262" s="44" t="n">
        <v>1</v>
      </c>
      <c r="AE262" s="44" t="s">
        <v>184</v>
      </c>
      <c r="AF262" s="44" t="n">
        <v>1</v>
      </c>
      <c r="AH262" s="44" t="s">
        <v>184</v>
      </c>
      <c r="AI262" s="44" t="n">
        <v>1</v>
      </c>
      <c r="AK262" s="44" t="s">
        <v>184</v>
      </c>
      <c r="AL262" s="44" t="n">
        <v>1</v>
      </c>
      <c r="AN262" s="44" t="s">
        <v>184</v>
      </c>
      <c r="AO262" s="44" t="n">
        <v>1</v>
      </c>
      <c r="AQ262" s="44" t="s">
        <v>184</v>
      </c>
      <c r="AR262" s="44" t="n">
        <v>1</v>
      </c>
      <c r="AT262" s="44" t="s">
        <v>184</v>
      </c>
      <c r="AU262" s="44" t="n">
        <v>1</v>
      </c>
      <c r="AW262" s="44" t="s">
        <v>184</v>
      </c>
      <c r="AX262" s="44" t="n">
        <v>1</v>
      </c>
      <c r="AZ262" s="44" t="s">
        <v>184</v>
      </c>
      <c r="BA262" s="44" t="n">
        <v>1</v>
      </c>
      <c r="BC262" s="44" t="s">
        <v>184</v>
      </c>
      <c r="BD262" s="44" t="n">
        <v>1</v>
      </c>
      <c r="BF262" s="44" t="s">
        <v>184</v>
      </c>
      <c r="BG262" s="44" t="n">
        <v>1</v>
      </c>
      <c r="BI262" s="44" t="s">
        <v>184</v>
      </c>
      <c r="BJ262" s="44" t="n">
        <v>1</v>
      </c>
      <c r="BL262" s="44" t="s">
        <v>184</v>
      </c>
      <c r="BM262" s="44" t="n">
        <v>1</v>
      </c>
      <c r="BO262" s="44" t="s">
        <v>184</v>
      </c>
      <c r="BP262" s="44" t="n">
        <v>1</v>
      </c>
      <c r="BR262" s="44" t="s">
        <v>184</v>
      </c>
      <c r="BS262" s="44" t="n">
        <v>1</v>
      </c>
      <c r="BU262" s="44" t="s">
        <v>184</v>
      </c>
      <c r="BV262" s="44" t="n">
        <v>1</v>
      </c>
      <c r="BX262" s="44" t="s">
        <v>184</v>
      </c>
      <c r="BY262" s="44" t="n">
        <v>1</v>
      </c>
      <c r="CA262" s="44" t="s">
        <v>184</v>
      </c>
      <c r="CB262" s="44" t="n">
        <v>1</v>
      </c>
      <c r="CD262" s="44" t="s">
        <v>184</v>
      </c>
      <c r="CE262" s="44" t="n">
        <v>1</v>
      </c>
      <c r="CG262" s="44" t="s">
        <v>184</v>
      </c>
      <c r="CH262" s="44" t="n">
        <v>1</v>
      </c>
      <c r="CJ262" s="44" t="s">
        <v>184</v>
      </c>
      <c r="CK262" s="44" t="n">
        <v>1</v>
      </c>
      <c r="CM262" s="44" t="s">
        <v>184</v>
      </c>
      <c r="CN262" s="44" t="n">
        <v>1</v>
      </c>
      <c r="CP262" s="44" t="s">
        <v>184</v>
      </c>
      <c r="CQ262" s="44" t="n">
        <v>1</v>
      </c>
      <c r="CS262" s="44" t="s">
        <v>184</v>
      </c>
      <c r="CT262" s="44" t="n">
        <v>1</v>
      </c>
      <c r="CV262" s="44" t="s">
        <v>184</v>
      </c>
      <c r="CW262" s="44" t="n">
        <v>1</v>
      </c>
    </row>
    <row collapsed="false" customFormat="false" customHeight="false" hidden="false" ht="12.75" outlineLevel="0" r="264">
      <c r="A264" s="44" t="s">
        <v>185</v>
      </c>
      <c r="B264" s="44" t="n">
        <v>1</v>
      </c>
      <c r="D264" s="44" t="s">
        <v>185</v>
      </c>
      <c r="E264" s="44" t="n">
        <v>1</v>
      </c>
      <c r="G264" s="44" t="s">
        <v>185</v>
      </c>
      <c r="H264" s="44" t="n">
        <v>1</v>
      </c>
      <c r="J264" s="44" t="s">
        <v>185</v>
      </c>
      <c r="K264" s="44" t="n">
        <v>1</v>
      </c>
      <c r="M264" s="44" t="s">
        <v>185</v>
      </c>
      <c r="N264" s="44" t="n">
        <v>1</v>
      </c>
      <c r="P264" s="44" t="s">
        <v>185</v>
      </c>
      <c r="Q264" s="44" t="n">
        <v>1</v>
      </c>
      <c r="S264" s="44" t="s">
        <v>185</v>
      </c>
      <c r="T264" s="44" t="n">
        <v>1</v>
      </c>
      <c r="V264" s="44" t="s">
        <v>185</v>
      </c>
      <c r="W264" s="44" t="n">
        <v>1</v>
      </c>
      <c r="Y264" s="44" t="s">
        <v>185</v>
      </c>
      <c r="Z264" s="44" t="n">
        <v>1</v>
      </c>
      <c r="AB264" s="44" t="s">
        <v>185</v>
      </c>
      <c r="AC264" s="44" t="n">
        <v>1</v>
      </c>
      <c r="AE264" s="44" t="s">
        <v>185</v>
      </c>
      <c r="AF264" s="44" t="n">
        <v>1</v>
      </c>
      <c r="AH264" s="44" t="s">
        <v>185</v>
      </c>
      <c r="AI264" s="44" t="n">
        <v>1</v>
      </c>
      <c r="AK264" s="44" t="s">
        <v>185</v>
      </c>
      <c r="AL264" s="44" t="n">
        <v>1</v>
      </c>
      <c r="AN264" s="44" t="s">
        <v>185</v>
      </c>
      <c r="AO264" s="44" t="n">
        <v>1</v>
      </c>
      <c r="AQ264" s="44" t="s">
        <v>185</v>
      </c>
      <c r="AR264" s="44" t="n">
        <v>1</v>
      </c>
      <c r="AT264" s="44" t="s">
        <v>185</v>
      </c>
      <c r="AU264" s="44" t="n">
        <v>1</v>
      </c>
      <c r="AW264" s="44" t="s">
        <v>185</v>
      </c>
      <c r="AX264" s="44" t="n">
        <v>1</v>
      </c>
      <c r="AZ264" s="44" t="s">
        <v>185</v>
      </c>
      <c r="BA264" s="44" t="n">
        <v>1</v>
      </c>
      <c r="BC264" s="44" t="s">
        <v>185</v>
      </c>
      <c r="BD264" s="44" t="n">
        <v>1</v>
      </c>
      <c r="BF264" s="44" t="s">
        <v>185</v>
      </c>
      <c r="BG264" s="44" t="n">
        <v>1</v>
      </c>
      <c r="BI264" s="44" t="s">
        <v>185</v>
      </c>
      <c r="BJ264" s="44" t="n">
        <v>1</v>
      </c>
      <c r="BL264" s="44" t="s">
        <v>185</v>
      </c>
      <c r="BM264" s="44" t="n">
        <v>1</v>
      </c>
      <c r="BO264" s="44" t="s">
        <v>185</v>
      </c>
      <c r="BP264" s="44" t="n">
        <v>1</v>
      </c>
      <c r="BR264" s="44" t="s">
        <v>185</v>
      </c>
      <c r="BS264" s="44" t="n">
        <v>1</v>
      </c>
      <c r="BU264" s="44" t="s">
        <v>185</v>
      </c>
      <c r="BV264" s="44" t="n">
        <v>1</v>
      </c>
      <c r="BX264" s="44" t="s">
        <v>185</v>
      </c>
      <c r="BY264" s="44" t="n">
        <v>1</v>
      </c>
      <c r="CA264" s="44" t="s">
        <v>185</v>
      </c>
      <c r="CB264" s="44" t="n">
        <v>1</v>
      </c>
      <c r="CD264" s="44" t="s">
        <v>185</v>
      </c>
      <c r="CE264" s="44" t="n">
        <v>1</v>
      </c>
      <c r="CG264" s="44" t="s">
        <v>185</v>
      </c>
      <c r="CH264" s="44" t="n">
        <v>1</v>
      </c>
      <c r="CJ264" s="44" t="s">
        <v>185</v>
      </c>
      <c r="CK264" s="44" t="n">
        <v>1</v>
      </c>
      <c r="CM264" s="44" t="s">
        <v>185</v>
      </c>
      <c r="CN264" s="44" t="n">
        <v>1</v>
      </c>
      <c r="CP264" s="44" t="s">
        <v>185</v>
      </c>
      <c r="CQ264" s="44" t="n">
        <v>1</v>
      </c>
      <c r="CS264" s="44" t="s">
        <v>185</v>
      </c>
      <c r="CT264" s="44" t="n">
        <v>1</v>
      </c>
      <c r="CV264" s="44" t="s">
        <v>185</v>
      </c>
      <c r="CW264" s="44" t="n">
        <v>1</v>
      </c>
    </row>
    <row collapsed="false" customFormat="false" customHeight="false" hidden="false" ht="12.75" outlineLevel="0" r="266">
      <c r="A266" s="44" t="s">
        <v>186</v>
      </c>
      <c r="B266" s="44" t="n">
        <v>1</v>
      </c>
      <c r="D266" s="44" t="s">
        <v>186</v>
      </c>
      <c r="E266" s="44" t="n">
        <v>1</v>
      </c>
      <c r="G266" s="44" t="s">
        <v>186</v>
      </c>
      <c r="H266" s="44" t="n">
        <v>1</v>
      </c>
      <c r="J266" s="44" t="s">
        <v>186</v>
      </c>
      <c r="K266" s="44" t="n">
        <v>1</v>
      </c>
      <c r="M266" s="44" t="s">
        <v>186</v>
      </c>
      <c r="N266" s="44" t="n">
        <v>1</v>
      </c>
      <c r="P266" s="44" t="s">
        <v>186</v>
      </c>
      <c r="Q266" s="44" t="n">
        <v>1</v>
      </c>
      <c r="S266" s="44" t="s">
        <v>186</v>
      </c>
      <c r="T266" s="44" t="n">
        <v>1</v>
      </c>
      <c r="V266" s="44" t="s">
        <v>186</v>
      </c>
      <c r="W266" s="44" t="n">
        <v>1</v>
      </c>
      <c r="Y266" s="44" t="s">
        <v>186</v>
      </c>
      <c r="Z266" s="44" t="n">
        <v>1</v>
      </c>
      <c r="AB266" s="44" t="s">
        <v>186</v>
      </c>
      <c r="AC266" s="44" t="n">
        <v>1</v>
      </c>
      <c r="AE266" s="44" t="s">
        <v>186</v>
      </c>
      <c r="AF266" s="44" t="n">
        <v>1</v>
      </c>
      <c r="AH266" s="44" t="s">
        <v>186</v>
      </c>
      <c r="AI266" s="44" t="n">
        <v>1</v>
      </c>
      <c r="AK266" s="44" t="s">
        <v>186</v>
      </c>
      <c r="AL266" s="44" t="n">
        <v>1</v>
      </c>
      <c r="AN266" s="44" t="s">
        <v>186</v>
      </c>
      <c r="AO266" s="44" t="n">
        <v>1</v>
      </c>
      <c r="AQ266" s="44" t="s">
        <v>186</v>
      </c>
      <c r="AR266" s="44" t="n">
        <v>1</v>
      </c>
      <c r="AT266" s="44" t="s">
        <v>186</v>
      </c>
      <c r="AU266" s="44" t="n">
        <v>1</v>
      </c>
      <c r="AW266" s="44" t="s">
        <v>186</v>
      </c>
      <c r="AX266" s="44" t="n">
        <v>1</v>
      </c>
      <c r="AZ266" s="44" t="s">
        <v>186</v>
      </c>
      <c r="BA266" s="44" t="n">
        <v>1</v>
      </c>
      <c r="BC266" s="44" t="s">
        <v>186</v>
      </c>
      <c r="BD266" s="44" t="n">
        <v>1</v>
      </c>
      <c r="BF266" s="44" t="s">
        <v>186</v>
      </c>
      <c r="BG266" s="44" t="n">
        <v>1</v>
      </c>
      <c r="BI266" s="44" t="s">
        <v>186</v>
      </c>
      <c r="BJ266" s="44" t="n">
        <v>1</v>
      </c>
      <c r="BL266" s="44" t="s">
        <v>186</v>
      </c>
      <c r="BM266" s="44" t="n">
        <v>1</v>
      </c>
      <c r="BO266" s="44" t="s">
        <v>186</v>
      </c>
      <c r="BP266" s="44" t="n">
        <v>1</v>
      </c>
      <c r="BR266" s="44" t="s">
        <v>186</v>
      </c>
      <c r="BS266" s="44" t="n">
        <v>1</v>
      </c>
      <c r="BU266" s="44" t="s">
        <v>186</v>
      </c>
      <c r="BV266" s="44" t="n">
        <v>1</v>
      </c>
      <c r="BX266" s="44" t="s">
        <v>186</v>
      </c>
      <c r="BY266" s="44" t="n">
        <v>1</v>
      </c>
      <c r="CA266" s="44" t="s">
        <v>186</v>
      </c>
      <c r="CB266" s="44" t="n">
        <v>1</v>
      </c>
      <c r="CD266" s="44" t="s">
        <v>186</v>
      </c>
      <c r="CE266" s="44" t="n">
        <v>1</v>
      </c>
      <c r="CG266" s="44" t="s">
        <v>186</v>
      </c>
      <c r="CH266" s="44" t="n">
        <v>1</v>
      </c>
      <c r="CJ266" s="44" t="s">
        <v>186</v>
      </c>
      <c r="CK266" s="44" t="n">
        <v>1</v>
      </c>
      <c r="CM266" s="44" t="s">
        <v>186</v>
      </c>
      <c r="CN266" s="44" t="n">
        <v>1</v>
      </c>
      <c r="CP266" s="44" t="s">
        <v>186</v>
      </c>
      <c r="CQ266" s="44" t="n">
        <v>1</v>
      </c>
      <c r="CS266" s="44" t="s">
        <v>186</v>
      </c>
      <c r="CT266" s="44" t="n">
        <v>1</v>
      </c>
      <c r="CV266" s="44" t="s">
        <v>186</v>
      </c>
      <c r="CW266" s="44" t="n">
        <v>1</v>
      </c>
    </row>
    <row collapsed="false" customFormat="false" customHeight="false" hidden="false" ht="12.75" outlineLevel="0" r="268">
      <c r="A268" s="44" t="s">
        <v>187</v>
      </c>
      <c r="D268" s="44" t="s">
        <v>187</v>
      </c>
      <c r="G268" s="44" t="s">
        <v>187</v>
      </c>
      <c r="J268" s="44" t="s">
        <v>187</v>
      </c>
      <c r="M268" s="44" t="s">
        <v>187</v>
      </c>
      <c r="P268" s="44" t="s">
        <v>187</v>
      </c>
      <c r="S268" s="44" t="s">
        <v>187</v>
      </c>
      <c r="V268" s="44" t="s">
        <v>187</v>
      </c>
      <c r="Y268" s="44" t="s">
        <v>187</v>
      </c>
      <c r="AB268" s="44" t="s">
        <v>187</v>
      </c>
      <c r="AE268" s="44" t="s">
        <v>187</v>
      </c>
      <c r="AH268" s="44" t="s">
        <v>187</v>
      </c>
      <c r="AK268" s="44" t="s">
        <v>187</v>
      </c>
      <c r="AN268" s="44" t="s">
        <v>187</v>
      </c>
      <c r="AQ268" s="44" t="s">
        <v>187</v>
      </c>
      <c r="AT268" s="44" t="s">
        <v>187</v>
      </c>
      <c r="AW268" s="44" t="s">
        <v>187</v>
      </c>
      <c r="AZ268" s="44" t="s">
        <v>187</v>
      </c>
      <c r="BC268" s="44" t="s">
        <v>187</v>
      </c>
      <c r="BF268" s="44" t="s">
        <v>187</v>
      </c>
      <c r="BI268" s="44" t="s">
        <v>187</v>
      </c>
      <c r="BL268" s="44" t="s">
        <v>187</v>
      </c>
      <c r="BO268" s="44" t="s">
        <v>187</v>
      </c>
      <c r="BR268" s="44" t="s">
        <v>187</v>
      </c>
      <c r="BU268" s="44" t="s">
        <v>187</v>
      </c>
      <c r="BX268" s="44" t="s">
        <v>187</v>
      </c>
      <c r="CA268" s="44" t="s">
        <v>187</v>
      </c>
      <c r="CD268" s="44" t="s">
        <v>187</v>
      </c>
      <c r="CG268" s="44" t="s">
        <v>187</v>
      </c>
      <c r="CJ268" s="44" t="s">
        <v>187</v>
      </c>
      <c r="CM268" s="44" t="s">
        <v>187</v>
      </c>
      <c r="CP268" s="44" t="s">
        <v>187</v>
      </c>
      <c r="CS268" s="44" t="s">
        <v>187</v>
      </c>
      <c r="CV268" s="44" t="s">
        <v>187</v>
      </c>
    </row>
    <row collapsed="false" customFormat="false" customHeight="false" hidden="false" ht="12.75" outlineLevel="0" r="269">
      <c r="A269" s="44" t="s">
        <v>188</v>
      </c>
      <c r="B269" s="44" t="s">
        <v>121</v>
      </c>
      <c r="D269" s="44" t="s">
        <v>188</v>
      </c>
      <c r="E269" s="44" t="s">
        <v>121</v>
      </c>
      <c r="G269" s="44" t="s">
        <v>188</v>
      </c>
      <c r="H269" s="44" t="s">
        <v>121</v>
      </c>
      <c r="J269" s="44" t="s">
        <v>188</v>
      </c>
      <c r="K269" s="44" t="s">
        <v>121</v>
      </c>
      <c r="M269" s="44" t="s">
        <v>188</v>
      </c>
      <c r="N269" s="44" t="s">
        <v>121</v>
      </c>
      <c r="P269" s="44" t="s">
        <v>188</v>
      </c>
      <c r="Q269" s="44" t="s">
        <v>121</v>
      </c>
      <c r="S269" s="44" t="s">
        <v>188</v>
      </c>
      <c r="T269" s="44" t="s">
        <v>121</v>
      </c>
      <c r="V269" s="44" t="s">
        <v>188</v>
      </c>
      <c r="W269" s="44" t="s">
        <v>121</v>
      </c>
      <c r="Y269" s="44" t="s">
        <v>188</v>
      </c>
      <c r="Z269" s="44" t="s">
        <v>121</v>
      </c>
      <c r="AB269" s="44" t="s">
        <v>188</v>
      </c>
      <c r="AC269" s="44" t="s">
        <v>121</v>
      </c>
      <c r="AE269" s="44" t="s">
        <v>188</v>
      </c>
      <c r="AF269" s="44" t="s">
        <v>121</v>
      </c>
      <c r="AH269" s="44" t="s">
        <v>188</v>
      </c>
      <c r="AI269" s="44" t="s">
        <v>121</v>
      </c>
      <c r="AK269" s="44" t="s">
        <v>188</v>
      </c>
      <c r="AL269" s="44" t="s">
        <v>121</v>
      </c>
      <c r="AN269" s="44" t="s">
        <v>188</v>
      </c>
      <c r="AO269" s="44" t="s">
        <v>121</v>
      </c>
      <c r="AQ269" s="44" t="s">
        <v>188</v>
      </c>
      <c r="AR269" s="44" t="s">
        <v>121</v>
      </c>
      <c r="AT269" s="44" t="s">
        <v>188</v>
      </c>
      <c r="AU269" s="44" t="s">
        <v>121</v>
      </c>
      <c r="AW269" s="44" t="s">
        <v>188</v>
      </c>
      <c r="AX269" s="44" t="s">
        <v>121</v>
      </c>
      <c r="AZ269" s="44" t="s">
        <v>188</v>
      </c>
      <c r="BA269" s="44" t="s">
        <v>121</v>
      </c>
      <c r="BC269" s="44" t="s">
        <v>188</v>
      </c>
      <c r="BD269" s="44" t="s">
        <v>121</v>
      </c>
      <c r="BF269" s="44" t="s">
        <v>188</v>
      </c>
      <c r="BG269" s="44" t="s">
        <v>121</v>
      </c>
      <c r="BI269" s="44" t="s">
        <v>188</v>
      </c>
      <c r="BJ269" s="44" t="s">
        <v>121</v>
      </c>
      <c r="BL269" s="44" t="s">
        <v>188</v>
      </c>
      <c r="BM269" s="44" t="s">
        <v>121</v>
      </c>
      <c r="BO269" s="44" t="s">
        <v>188</v>
      </c>
      <c r="BP269" s="44" t="s">
        <v>121</v>
      </c>
      <c r="BR269" s="44" t="s">
        <v>188</v>
      </c>
      <c r="BS269" s="44" t="s">
        <v>121</v>
      </c>
      <c r="BU269" s="44" t="s">
        <v>188</v>
      </c>
      <c r="BV269" s="44" t="s">
        <v>121</v>
      </c>
      <c r="BX269" s="44" t="s">
        <v>188</v>
      </c>
      <c r="BY269" s="44" t="s">
        <v>121</v>
      </c>
      <c r="CA269" s="44" t="s">
        <v>188</v>
      </c>
      <c r="CB269" s="44" t="s">
        <v>121</v>
      </c>
      <c r="CD269" s="44" t="s">
        <v>188</v>
      </c>
      <c r="CE269" s="44" t="s">
        <v>121</v>
      </c>
      <c r="CG269" s="44" t="s">
        <v>188</v>
      </c>
      <c r="CH269" s="44" t="s">
        <v>121</v>
      </c>
      <c r="CJ269" s="44" t="s">
        <v>188</v>
      </c>
      <c r="CK269" s="44" t="s">
        <v>121</v>
      </c>
      <c r="CM269" s="44" t="s">
        <v>188</v>
      </c>
      <c r="CN269" s="44" t="s">
        <v>121</v>
      </c>
      <c r="CP269" s="44" t="s">
        <v>188</v>
      </c>
      <c r="CQ269" s="44" t="s">
        <v>121</v>
      </c>
      <c r="CS269" s="44" t="s">
        <v>188</v>
      </c>
      <c r="CT269" s="44" t="s">
        <v>121</v>
      </c>
      <c r="CV269" s="44" t="s">
        <v>188</v>
      </c>
      <c r="CW269" s="44" t="s">
        <v>121</v>
      </c>
    </row>
    <row collapsed="false" customFormat="false" customHeight="false" hidden="false" ht="12.75" outlineLevel="0" r="271">
      <c r="A271" s="44" t="s">
        <v>189</v>
      </c>
      <c r="B271" s="44" t="s">
        <v>190</v>
      </c>
      <c r="D271" s="44" t="s">
        <v>189</v>
      </c>
      <c r="E271" s="44" t="s">
        <v>190</v>
      </c>
      <c r="G271" s="44" t="s">
        <v>189</v>
      </c>
      <c r="H271" s="44" t="s">
        <v>190</v>
      </c>
      <c r="J271" s="44" t="s">
        <v>189</v>
      </c>
      <c r="K271" s="44" t="s">
        <v>190</v>
      </c>
      <c r="M271" s="44" t="s">
        <v>189</v>
      </c>
      <c r="N271" s="44" t="s">
        <v>190</v>
      </c>
      <c r="P271" s="44" t="s">
        <v>189</v>
      </c>
      <c r="Q271" s="44" t="s">
        <v>190</v>
      </c>
      <c r="S271" s="44" t="s">
        <v>189</v>
      </c>
      <c r="T271" s="44" t="s">
        <v>190</v>
      </c>
      <c r="V271" s="44" t="s">
        <v>189</v>
      </c>
      <c r="W271" s="44" t="s">
        <v>190</v>
      </c>
      <c r="Y271" s="44" t="s">
        <v>189</v>
      </c>
      <c r="Z271" s="44" t="s">
        <v>190</v>
      </c>
      <c r="AB271" s="44" t="s">
        <v>189</v>
      </c>
      <c r="AC271" s="44" t="s">
        <v>190</v>
      </c>
      <c r="AE271" s="44" t="s">
        <v>189</v>
      </c>
      <c r="AF271" s="44" t="s">
        <v>190</v>
      </c>
      <c r="AH271" s="44" t="s">
        <v>189</v>
      </c>
      <c r="AI271" s="44" t="s">
        <v>190</v>
      </c>
      <c r="AK271" s="44" t="s">
        <v>189</v>
      </c>
      <c r="AL271" s="44" t="s">
        <v>190</v>
      </c>
      <c r="AN271" s="44" t="s">
        <v>189</v>
      </c>
      <c r="AO271" s="44" t="s">
        <v>190</v>
      </c>
      <c r="AQ271" s="44" t="s">
        <v>189</v>
      </c>
      <c r="AR271" s="44" t="s">
        <v>190</v>
      </c>
      <c r="AT271" s="44" t="s">
        <v>189</v>
      </c>
      <c r="AU271" s="44" t="s">
        <v>190</v>
      </c>
      <c r="AW271" s="44" t="s">
        <v>189</v>
      </c>
      <c r="AX271" s="44" t="s">
        <v>190</v>
      </c>
      <c r="AZ271" s="44" t="s">
        <v>189</v>
      </c>
      <c r="BA271" s="44" t="s">
        <v>190</v>
      </c>
      <c r="BC271" s="44" t="s">
        <v>189</v>
      </c>
      <c r="BD271" s="44" t="s">
        <v>190</v>
      </c>
      <c r="BF271" s="44" t="s">
        <v>189</v>
      </c>
      <c r="BG271" s="44" t="s">
        <v>190</v>
      </c>
      <c r="BI271" s="44" t="s">
        <v>189</v>
      </c>
      <c r="BJ271" s="44" t="s">
        <v>190</v>
      </c>
      <c r="BL271" s="44" t="s">
        <v>189</v>
      </c>
      <c r="BM271" s="44" t="s">
        <v>190</v>
      </c>
      <c r="BO271" s="44" t="s">
        <v>189</v>
      </c>
      <c r="BP271" s="44" t="s">
        <v>190</v>
      </c>
      <c r="BR271" s="44" t="s">
        <v>189</v>
      </c>
      <c r="BS271" s="44" t="s">
        <v>190</v>
      </c>
      <c r="BU271" s="44" t="s">
        <v>189</v>
      </c>
      <c r="BV271" s="44" t="s">
        <v>190</v>
      </c>
      <c r="BX271" s="44" t="s">
        <v>189</v>
      </c>
      <c r="BY271" s="44" t="s">
        <v>190</v>
      </c>
      <c r="CA271" s="44" t="s">
        <v>189</v>
      </c>
      <c r="CB271" s="44" t="s">
        <v>190</v>
      </c>
      <c r="CD271" s="44" t="s">
        <v>189</v>
      </c>
      <c r="CE271" s="44" t="s">
        <v>190</v>
      </c>
      <c r="CG271" s="44" t="s">
        <v>189</v>
      </c>
      <c r="CH271" s="44" t="s">
        <v>190</v>
      </c>
      <c r="CJ271" s="44" t="s">
        <v>189</v>
      </c>
      <c r="CK271" s="44" t="s">
        <v>190</v>
      </c>
      <c r="CM271" s="44" t="s">
        <v>189</v>
      </c>
      <c r="CN271" s="44" t="s">
        <v>190</v>
      </c>
      <c r="CP271" s="44" t="s">
        <v>189</v>
      </c>
      <c r="CQ271" s="44" t="s">
        <v>190</v>
      </c>
      <c r="CS271" s="44" t="s">
        <v>189</v>
      </c>
      <c r="CT271" s="44" t="s">
        <v>190</v>
      </c>
      <c r="CV271" s="44" t="s">
        <v>189</v>
      </c>
      <c r="CW271" s="44" t="s">
        <v>190</v>
      </c>
    </row>
    <row collapsed="false" customFormat="false" customHeight="false" hidden="false" ht="12.75" outlineLevel="0" r="273">
      <c r="A273" s="44" t="s">
        <v>191</v>
      </c>
      <c r="B273" s="44" t="s">
        <v>190</v>
      </c>
      <c r="D273" s="44" t="s">
        <v>191</v>
      </c>
      <c r="E273" s="44" t="s">
        <v>190</v>
      </c>
      <c r="G273" s="44" t="s">
        <v>191</v>
      </c>
      <c r="H273" s="44" t="s">
        <v>190</v>
      </c>
      <c r="J273" s="44" t="s">
        <v>191</v>
      </c>
      <c r="K273" s="44" t="s">
        <v>190</v>
      </c>
      <c r="M273" s="44" t="s">
        <v>191</v>
      </c>
      <c r="N273" s="44" t="s">
        <v>190</v>
      </c>
      <c r="P273" s="44" t="s">
        <v>191</v>
      </c>
      <c r="Q273" s="44" t="s">
        <v>190</v>
      </c>
      <c r="S273" s="44" t="s">
        <v>191</v>
      </c>
      <c r="T273" s="44" t="s">
        <v>190</v>
      </c>
      <c r="V273" s="44" t="s">
        <v>191</v>
      </c>
      <c r="W273" s="44" t="s">
        <v>190</v>
      </c>
      <c r="Y273" s="44" t="s">
        <v>191</v>
      </c>
      <c r="Z273" s="44" t="s">
        <v>190</v>
      </c>
      <c r="AB273" s="44" t="s">
        <v>191</v>
      </c>
      <c r="AC273" s="44" t="s">
        <v>190</v>
      </c>
      <c r="AE273" s="44" t="s">
        <v>191</v>
      </c>
      <c r="AF273" s="44" t="s">
        <v>190</v>
      </c>
      <c r="AH273" s="44" t="s">
        <v>191</v>
      </c>
      <c r="AI273" s="44" t="s">
        <v>190</v>
      </c>
      <c r="AK273" s="44" t="s">
        <v>191</v>
      </c>
      <c r="AL273" s="44" t="s">
        <v>190</v>
      </c>
      <c r="AN273" s="44" t="s">
        <v>191</v>
      </c>
      <c r="AO273" s="44" t="s">
        <v>190</v>
      </c>
      <c r="AQ273" s="44" t="s">
        <v>191</v>
      </c>
      <c r="AR273" s="44" t="s">
        <v>190</v>
      </c>
      <c r="AT273" s="44" t="s">
        <v>191</v>
      </c>
      <c r="AU273" s="44" t="s">
        <v>190</v>
      </c>
      <c r="AW273" s="44" t="s">
        <v>191</v>
      </c>
      <c r="AX273" s="44" t="s">
        <v>190</v>
      </c>
      <c r="AZ273" s="44" t="s">
        <v>191</v>
      </c>
      <c r="BA273" s="44" t="s">
        <v>190</v>
      </c>
      <c r="BC273" s="44" t="s">
        <v>191</v>
      </c>
      <c r="BD273" s="44" t="s">
        <v>190</v>
      </c>
      <c r="BF273" s="44" t="s">
        <v>191</v>
      </c>
      <c r="BG273" s="44" t="s">
        <v>190</v>
      </c>
      <c r="BI273" s="44" t="s">
        <v>191</v>
      </c>
      <c r="BJ273" s="44" t="s">
        <v>190</v>
      </c>
      <c r="BL273" s="44" t="s">
        <v>191</v>
      </c>
      <c r="BM273" s="44" t="s">
        <v>190</v>
      </c>
      <c r="BO273" s="44" t="s">
        <v>191</v>
      </c>
      <c r="BP273" s="44" t="s">
        <v>190</v>
      </c>
      <c r="BR273" s="44" t="s">
        <v>191</v>
      </c>
      <c r="BS273" s="44" t="s">
        <v>190</v>
      </c>
      <c r="BU273" s="44" t="s">
        <v>191</v>
      </c>
      <c r="BV273" s="44" t="s">
        <v>190</v>
      </c>
      <c r="BX273" s="44" t="s">
        <v>191</v>
      </c>
      <c r="BY273" s="44" t="s">
        <v>190</v>
      </c>
      <c r="CA273" s="44" t="s">
        <v>191</v>
      </c>
      <c r="CB273" s="44" t="s">
        <v>190</v>
      </c>
      <c r="CD273" s="44" t="s">
        <v>191</v>
      </c>
      <c r="CE273" s="44" t="s">
        <v>190</v>
      </c>
      <c r="CG273" s="44" t="s">
        <v>191</v>
      </c>
      <c r="CH273" s="44" t="s">
        <v>190</v>
      </c>
      <c r="CJ273" s="44" t="s">
        <v>191</v>
      </c>
      <c r="CK273" s="44" t="s">
        <v>190</v>
      </c>
      <c r="CM273" s="44" t="s">
        <v>191</v>
      </c>
      <c r="CN273" s="44" t="s">
        <v>190</v>
      </c>
      <c r="CP273" s="44" t="s">
        <v>191</v>
      </c>
      <c r="CQ273" s="44" t="s">
        <v>190</v>
      </c>
      <c r="CS273" s="44" t="s">
        <v>191</v>
      </c>
      <c r="CT273" s="44" t="s">
        <v>190</v>
      </c>
      <c r="CV273" s="44" t="s">
        <v>191</v>
      </c>
      <c r="CW273" s="44" t="s">
        <v>190</v>
      </c>
    </row>
    <row collapsed="false" customFormat="false" customHeight="false" hidden="false" ht="12.75" outlineLevel="0" r="275">
      <c r="A275" s="44" t="s">
        <v>192</v>
      </c>
      <c r="B275" s="44" t="s">
        <v>121</v>
      </c>
      <c r="D275" s="44" t="s">
        <v>192</v>
      </c>
      <c r="E275" s="44" t="s">
        <v>121</v>
      </c>
      <c r="G275" s="44" t="s">
        <v>192</v>
      </c>
      <c r="H275" s="44" t="s">
        <v>121</v>
      </c>
      <c r="J275" s="44" t="s">
        <v>192</v>
      </c>
      <c r="K275" s="44" t="s">
        <v>121</v>
      </c>
      <c r="M275" s="44" t="s">
        <v>192</v>
      </c>
      <c r="N275" s="44" t="s">
        <v>121</v>
      </c>
      <c r="P275" s="44" t="s">
        <v>192</v>
      </c>
      <c r="Q275" s="44" t="s">
        <v>121</v>
      </c>
      <c r="S275" s="44" t="s">
        <v>192</v>
      </c>
      <c r="T275" s="44" t="s">
        <v>121</v>
      </c>
      <c r="V275" s="44" t="s">
        <v>192</v>
      </c>
      <c r="W275" s="44" t="s">
        <v>121</v>
      </c>
      <c r="Y275" s="44" t="s">
        <v>192</v>
      </c>
      <c r="Z275" s="44" t="s">
        <v>121</v>
      </c>
      <c r="AB275" s="44" t="s">
        <v>192</v>
      </c>
      <c r="AC275" s="44" t="s">
        <v>121</v>
      </c>
      <c r="AE275" s="44" t="s">
        <v>192</v>
      </c>
      <c r="AF275" s="44" t="s">
        <v>121</v>
      </c>
      <c r="AH275" s="44" t="s">
        <v>192</v>
      </c>
      <c r="AI275" s="44" t="s">
        <v>121</v>
      </c>
      <c r="AK275" s="44" t="s">
        <v>192</v>
      </c>
      <c r="AL275" s="44" t="s">
        <v>121</v>
      </c>
      <c r="AN275" s="44" t="s">
        <v>192</v>
      </c>
      <c r="AO275" s="44" t="s">
        <v>121</v>
      </c>
      <c r="AQ275" s="44" t="s">
        <v>192</v>
      </c>
      <c r="AR275" s="44" t="s">
        <v>121</v>
      </c>
      <c r="AT275" s="44" t="s">
        <v>192</v>
      </c>
      <c r="AU275" s="44" t="s">
        <v>121</v>
      </c>
      <c r="AW275" s="44" t="s">
        <v>192</v>
      </c>
      <c r="AX275" s="44" t="s">
        <v>121</v>
      </c>
      <c r="AZ275" s="44" t="s">
        <v>192</v>
      </c>
      <c r="BA275" s="44" t="s">
        <v>121</v>
      </c>
      <c r="BC275" s="44" t="s">
        <v>192</v>
      </c>
      <c r="BD275" s="44" t="s">
        <v>121</v>
      </c>
      <c r="BF275" s="44" t="s">
        <v>192</v>
      </c>
      <c r="BG275" s="44" t="s">
        <v>121</v>
      </c>
      <c r="BI275" s="44" t="s">
        <v>192</v>
      </c>
      <c r="BJ275" s="44" t="s">
        <v>121</v>
      </c>
      <c r="BL275" s="44" t="s">
        <v>192</v>
      </c>
      <c r="BM275" s="44" t="s">
        <v>121</v>
      </c>
      <c r="BO275" s="44" t="s">
        <v>192</v>
      </c>
      <c r="BP275" s="44" t="s">
        <v>121</v>
      </c>
      <c r="BR275" s="44" t="s">
        <v>192</v>
      </c>
      <c r="BS275" s="44" t="s">
        <v>121</v>
      </c>
      <c r="BU275" s="44" t="s">
        <v>192</v>
      </c>
      <c r="BV275" s="44" t="s">
        <v>121</v>
      </c>
      <c r="BX275" s="44" t="s">
        <v>192</v>
      </c>
      <c r="BY275" s="44" t="s">
        <v>121</v>
      </c>
      <c r="CA275" s="44" t="s">
        <v>192</v>
      </c>
      <c r="CB275" s="44" t="s">
        <v>121</v>
      </c>
      <c r="CD275" s="44" t="s">
        <v>192</v>
      </c>
      <c r="CE275" s="44" t="s">
        <v>121</v>
      </c>
      <c r="CG275" s="44" t="s">
        <v>192</v>
      </c>
      <c r="CH275" s="44" t="s">
        <v>121</v>
      </c>
      <c r="CJ275" s="44" t="s">
        <v>192</v>
      </c>
      <c r="CK275" s="44" t="s">
        <v>121</v>
      </c>
      <c r="CM275" s="44" t="s">
        <v>192</v>
      </c>
      <c r="CN275" s="44" t="s">
        <v>121</v>
      </c>
      <c r="CP275" s="44" t="s">
        <v>192</v>
      </c>
      <c r="CQ275" s="44" t="s">
        <v>121</v>
      </c>
      <c r="CS275" s="44" t="s">
        <v>192</v>
      </c>
      <c r="CT275" s="44" t="s">
        <v>121</v>
      </c>
      <c r="CV275" s="44" t="s">
        <v>192</v>
      </c>
      <c r="CW275" s="44" t="s">
        <v>121</v>
      </c>
    </row>
    <row collapsed="false" customFormat="false" customHeight="false" hidden="false" ht="12.75" outlineLevel="0" r="277">
      <c r="A277" s="44" t="s">
        <v>193</v>
      </c>
      <c r="B277" s="44" t="s">
        <v>190</v>
      </c>
      <c r="D277" s="44" t="s">
        <v>193</v>
      </c>
      <c r="E277" s="44" t="s">
        <v>190</v>
      </c>
      <c r="G277" s="44" t="s">
        <v>193</v>
      </c>
      <c r="H277" s="44" t="s">
        <v>190</v>
      </c>
      <c r="J277" s="44" t="s">
        <v>193</v>
      </c>
      <c r="K277" s="44" t="s">
        <v>190</v>
      </c>
      <c r="M277" s="44" t="s">
        <v>193</v>
      </c>
      <c r="N277" s="44" t="s">
        <v>190</v>
      </c>
      <c r="P277" s="44" t="s">
        <v>193</v>
      </c>
      <c r="Q277" s="44" t="s">
        <v>190</v>
      </c>
      <c r="S277" s="44" t="s">
        <v>193</v>
      </c>
      <c r="T277" s="44" t="s">
        <v>190</v>
      </c>
      <c r="V277" s="44" t="s">
        <v>193</v>
      </c>
      <c r="W277" s="44" t="s">
        <v>190</v>
      </c>
      <c r="Y277" s="44" t="s">
        <v>193</v>
      </c>
      <c r="Z277" s="44" t="s">
        <v>190</v>
      </c>
      <c r="AB277" s="44" t="s">
        <v>193</v>
      </c>
      <c r="AC277" s="44" t="s">
        <v>190</v>
      </c>
      <c r="AE277" s="44" t="s">
        <v>193</v>
      </c>
      <c r="AF277" s="44" t="s">
        <v>190</v>
      </c>
      <c r="AH277" s="44" t="s">
        <v>193</v>
      </c>
      <c r="AI277" s="44" t="s">
        <v>190</v>
      </c>
      <c r="AK277" s="44" t="s">
        <v>193</v>
      </c>
      <c r="AL277" s="44" t="s">
        <v>190</v>
      </c>
      <c r="AN277" s="44" t="s">
        <v>193</v>
      </c>
      <c r="AO277" s="44" t="s">
        <v>190</v>
      </c>
      <c r="AQ277" s="44" t="s">
        <v>193</v>
      </c>
      <c r="AR277" s="44" t="s">
        <v>190</v>
      </c>
      <c r="AT277" s="44" t="s">
        <v>193</v>
      </c>
      <c r="AU277" s="44" t="s">
        <v>190</v>
      </c>
      <c r="AW277" s="44" t="s">
        <v>193</v>
      </c>
      <c r="AX277" s="44" t="s">
        <v>190</v>
      </c>
      <c r="AZ277" s="44" t="s">
        <v>193</v>
      </c>
      <c r="BA277" s="44" t="s">
        <v>190</v>
      </c>
      <c r="BC277" s="44" t="s">
        <v>193</v>
      </c>
      <c r="BD277" s="44" t="s">
        <v>190</v>
      </c>
      <c r="BF277" s="44" t="s">
        <v>193</v>
      </c>
      <c r="BG277" s="44" t="s">
        <v>190</v>
      </c>
      <c r="BI277" s="44" t="s">
        <v>193</v>
      </c>
      <c r="BJ277" s="44" t="s">
        <v>190</v>
      </c>
      <c r="BL277" s="44" t="s">
        <v>193</v>
      </c>
      <c r="BM277" s="44" t="s">
        <v>190</v>
      </c>
      <c r="BO277" s="44" t="s">
        <v>193</v>
      </c>
      <c r="BP277" s="44" t="s">
        <v>190</v>
      </c>
      <c r="BR277" s="44" t="s">
        <v>193</v>
      </c>
      <c r="BS277" s="44" t="s">
        <v>190</v>
      </c>
      <c r="BU277" s="44" t="s">
        <v>193</v>
      </c>
      <c r="BV277" s="44" t="s">
        <v>190</v>
      </c>
      <c r="BX277" s="44" t="s">
        <v>193</v>
      </c>
      <c r="BY277" s="44" t="s">
        <v>190</v>
      </c>
      <c r="CA277" s="44" t="s">
        <v>193</v>
      </c>
      <c r="CB277" s="44" t="s">
        <v>190</v>
      </c>
      <c r="CD277" s="44" t="s">
        <v>193</v>
      </c>
      <c r="CE277" s="44" t="s">
        <v>190</v>
      </c>
      <c r="CG277" s="44" t="s">
        <v>193</v>
      </c>
      <c r="CH277" s="44" t="s">
        <v>190</v>
      </c>
      <c r="CJ277" s="44" t="s">
        <v>193</v>
      </c>
      <c r="CK277" s="44" t="s">
        <v>190</v>
      </c>
      <c r="CM277" s="44" t="s">
        <v>193</v>
      </c>
      <c r="CN277" s="44" t="s">
        <v>190</v>
      </c>
      <c r="CP277" s="44" t="s">
        <v>193</v>
      </c>
      <c r="CQ277" s="44" t="s">
        <v>190</v>
      </c>
      <c r="CS277" s="44" t="s">
        <v>193</v>
      </c>
      <c r="CT277" s="44" t="s">
        <v>190</v>
      </c>
      <c r="CV277" s="44" t="s">
        <v>193</v>
      </c>
      <c r="CW277" s="44" t="s">
        <v>190</v>
      </c>
    </row>
    <row collapsed="false" customFormat="false" customHeight="false" hidden="false" ht="12.75" outlineLevel="0" r="279">
      <c r="A279" s="44" t="s">
        <v>194</v>
      </c>
      <c r="B279" s="44" t="s">
        <v>121</v>
      </c>
      <c r="D279" s="44" t="s">
        <v>194</v>
      </c>
      <c r="E279" s="44" t="s">
        <v>121</v>
      </c>
      <c r="G279" s="44" t="s">
        <v>194</v>
      </c>
      <c r="H279" s="44" t="s">
        <v>121</v>
      </c>
      <c r="J279" s="44" t="s">
        <v>194</v>
      </c>
      <c r="K279" s="44" t="s">
        <v>121</v>
      </c>
      <c r="M279" s="44" t="s">
        <v>194</v>
      </c>
      <c r="N279" s="44" t="s">
        <v>121</v>
      </c>
      <c r="P279" s="44" t="s">
        <v>194</v>
      </c>
      <c r="Q279" s="44" t="s">
        <v>121</v>
      </c>
      <c r="S279" s="44" t="s">
        <v>194</v>
      </c>
      <c r="T279" s="44" t="s">
        <v>121</v>
      </c>
      <c r="V279" s="44" t="s">
        <v>194</v>
      </c>
      <c r="W279" s="44" t="s">
        <v>121</v>
      </c>
      <c r="Y279" s="44" t="s">
        <v>194</v>
      </c>
      <c r="Z279" s="44" t="s">
        <v>121</v>
      </c>
      <c r="AB279" s="44" t="s">
        <v>194</v>
      </c>
      <c r="AC279" s="44" t="s">
        <v>121</v>
      </c>
      <c r="AE279" s="44" t="s">
        <v>194</v>
      </c>
      <c r="AF279" s="44" t="s">
        <v>121</v>
      </c>
      <c r="AH279" s="44" t="s">
        <v>194</v>
      </c>
      <c r="AI279" s="44" t="s">
        <v>121</v>
      </c>
      <c r="AK279" s="44" t="s">
        <v>194</v>
      </c>
      <c r="AL279" s="44" t="s">
        <v>121</v>
      </c>
      <c r="AN279" s="44" t="s">
        <v>194</v>
      </c>
      <c r="AO279" s="44" t="s">
        <v>121</v>
      </c>
      <c r="AQ279" s="44" t="s">
        <v>194</v>
      </c>
      <c r="AR279" s="44" t="s">
        <v>121</v>
      </c>
      <c r="AT279" s="44" t="s">
        <v>194</v>
      </c>
      <c r="AU279" s="44" t="s">
        <v>121</v>
      </c>
      <c r="AW279" s="44" t="s">
        <v>194</v>
      </c>
      <c r="AX279" s="44" t="s">
        <v>121</v>
      </c>
      <c r="AZ279" s="44" t="s">
        <v>194</v>
      </c>
      <c r="BA279" s="44" t="s">
        <v>121</v>
      </c>
      <c r="BC279" s="44" t="s">
        <v>194</v>
      </c>
      <c r="BD279" s="44" t="s">
        <v>121</v>
      </c>
      <c r="BF279" s="44" t="s">
        <v>194</v>
      </c>
      <c r="BG279" s="44" t="s">
        <v>121</v>
      </c>
      <c r="BI279" s="44" t="s">
        <v>194</v>
      </c>
      <c r="BJ279" s="44" t="s">
        <v>121</v>
      </c>
      <c r="BL279" s="44" t="s">
        <v>194</v>
      </c>
      <c r="BM279" s="44" t="s">
        <v>121</v>
      </c>
      <c r="BO279" s="44" t="s">
        <v>194</v>
      </c>
      <c r="BP279" s="44" t="s">
        <v>121</v>
      </c>
      <c r="BR279" s="44" t="s">
        <v>194</v>
      </c>
      <c r="BS279" s="44" t="s">
        <v>121</v>
      </c>
      <c r="BU279" s="44" t="s">
        <v>194</v>
      </c>
      <c r="BV279" s="44" t="s">
        <v>121</v>
      </c>
      <c r="BX279" s="44" t="s">
        <v>194</v>
      </c>
      <c r="BY279" s="44" t="s">
        <v>121</v>
      </c>
      <c r="CA279" s="44" t="s">
        <v>194</v>
      </c>
      <c r="CB279" s="44" t="s">
        <v>121</v>
      </c>
      <c r="CD279" s="44" t="s">
        <v>194</v>
      </c>
      <c r="CE279" s="44" t="s">
        <v>121</v>
      </c>
      <c r="CG279" s="44" t="s">
        <v>194</v>
      </c>
      <c r="CH279" s="44" t="s">
        <v>121</v>
      </c>
      <c r="CJ279" s="44" t="s">
        <v>194</v>
      </c>
      <c r="CK279" s="44" t="s">
        <v>121</v>
      </c>
      <c r="CM279" s="44" t="s">
        <v>194</v>
      </c>
      <c r="CN279" s="44" t="s">
        <v>121</v>
      </c>
      <c r="CP279" s="44" t="s">
        <v>194</v>
      </c>
      <c r="CQ279" s="44" t="s">
        <v>121</v>
      </c>
      <c r="CS279" s="44" t="s">
        <v>194</v>
      </c>
      <c r="CT279" s="44" t="s">
        <v>121</v>
      </c>
      <c r="CV279" s="44" t="s">
        <v>194</v>
      </c>
      <c r="CW279" s="44" t="s">
        <v>121</v>
      </c>
    </row>
    <row collapsed="false" customFormat="false" customHeight="false" hidden="false" ht="12.75" outlineLevel="0" r="281">
      <c r="A281" s="44" t="s">
        <v>195</v>
      </c>
      <c r="B281" s="44" t="s">
        <v>190</v>
      </c>
      <c r="D281" s="44" t="s">
        <v>195</v>
      </c>
      <c r="E281" s="44" t="s">
        <v>190</v>
      </c>
      <c r="G281" s="44" t="s">
        <v>195</v>
      </c>
      <c r="H281" s="44" t="s">
        <v>190</v>
      </c>
      <c r="J281" s="44" t="s">
        <v>195</v>
      </c>
      <c r="K281" s="44" t="s">
        <v>190</v>
      </c>
      <c r="M281" s="44" t="s">
        <v>195</v>
      </c>
      <c r="N281" s="44" t="s">
        <v>190</v>
      </c>
      <c r="P281" s="44" t="s">
        <v>195</v>
      </c>
      <c r="Q281" s="44" t="s">
        <v>190</v>
      </c>
      <c r="S281" s="44" t="s">
        <v>195</v>
      </c>
      <c r="T281" s="44" t="s">
        <v>190</v>
      </c>
      <c r="V281" s="44" t="s">
        <v>195</v>
      </c>
      <c r="W281" s="44" t="s">
        <v>190</v>
      </c>
      <c r="Y281" s="44" t="s">
        <v>195</v>
      </c>
      <c r="Z281" s="44" t="s">
        <v>190</v>
      </c>
      <c r="AB281" s="44" t="s">
        <v>195</v>
      </c>
      <c r="AC281" s="44" t="s">
        <v>190</v>
      </c>
      <c r="AE281" s="44" t="s">
        <v>195</v>
      </c>
      <c r="AF281" s="44" t="s">
        <v>190</v>
      </c>
      <c r="AH281" s="44" t="s">
        <v>195</v>
      </c>
      <c r="AI281" s="44" t="s">
        <v>190</v>
      </c>
      <c r="AK281" s="44" t="s">
        <v>195</v>
      </c>
      <c r="AL281" s="44" t="s">
        <v>190</v>
      </c>
      <c r="AN281" s="44" t="s">
        <v>195</v>
      </c>
      <c r="AO281" s="44" t="s">
        <v>190</v>
      </c>
      <c r="AQ281" s="44" t="s">
        <v>195</v>
      </c>
      <c r="AR281" s="44" t="s">
        <v>190</v>
      </c>
      <c r="AT281" s="44" t="s">
        <v>195</v>
      </c>
      <c r="AU281" s="44" t="s">
        <v>190</v>
      </c>
      <c r="AW281" s="44" t="s">
        <v>195</v>
      </c>
      <c r="AX281" s="44" t="s">
        <v>190</v>
      </c>
      <c r="AZ281" s="44" t="s">
        <v>195</v>
      </c>
      <c r="BA281" s="44" t="s">
        <v>190</v>
      </c>
      <c r="BC281" s="44" t="s">
        <v>195</v>
      </c>
      <c r="BD281" s="44" t="s">
        <v>190</v>
      </c>
      <c r="BF281" s="44" t="s">
        <v>195</v>
      </c>
      <c r="BG281" s="44" t="s">
        <v>190</v>
      </c>
      <c r="BI281" s="44" t="s">
        <v>195</v>
      </c>
      <c r="BJ281" s="44" t="s">
        <v>190</v>
      </c>
      <c r="BL281" s="44" t="s">
        <v>195</v>
      </c>
      <c r="BM281" s="44" t="s">
        <v>190</v>
      </c>
      <c r="BO281" s="44" t="s">
        <v>195</v>
      </c>
      <c r="BP281" s="44" t="s">
        <v>190</v>
      </c>
      <c r="BR281" s="44" t="s">
        <v>195</v>
      </c>
      <c r="BS281" s="44" t="s">
        <v>190</v>
      </c>
      <c r="BU281" s="44" t="s">
        <v>195</v>
      </c>
      <c r="BV281" s="44" t="s">
        <v>190</v>
      </c>
      <c r="BX281" s="44" t="s">
        <v>195</v>
      </c>
      <c r="BY281" s="44" t="s">
        <v>190</v>
      </c>
      <c r="CA281" s="44" t="s">
        <v>195</v>
      </c>
      <c r="CB281" s="44" t="s">
        <v>190</v>
      </c>
      <c r="CD281" s="44" t="s">
        <v>195</v>
      </c>
      <c r="CE281" s="44" t="s">
        <v>190</v>
      </c>
      <c r="CG281" s="44" t="s">
        <v>195</v>
      </c>
      <c r="CH281" s="44" t="s">
        <v>190</v>
      </c>
      <c r="CJ281" s="44" t="s">
        <v>195</v>
      </c>
      <c r="CK281" s="44" t="s">
        <v>190</v>
      </c>
      <c r="CM281" s="44" t="s">
        <v>195</v>
      </c>
      <c r="CN281" s="44" t="s">
        <v>190</v>
      </c>
      <c r="CP281" s="44" t="s">
        <v>195</v>
      </c>
      <c r="CQ281" s="44" t="s">
        <v>190</v>
      </c>
      <c r="CS281" s="44" t="s">
        <v>195</v>
      </c>
      <c r="CT281" s="44" t="s">
        <v>190</v>
      </c>
      <c r="CV281" s="44" t="s">
        <v>195</v>
      </c>
      <c r="CW281" s="44" t="s">
        <v>190</v>
      </c>
    </row>
    <row collapsed="false" customFormat="false" customHeight="false" hidden="false" ht="12.75" outlineLevel="0" r="283">
      <c r="A283" s="44" t="s">
        <v>196</v>
      </c>
      <c r="B283" s="44" t="n">
        <v>1</v>
      </c>
      <c r="D283" s="44" t="s">
        <v>196</v>
      </c>
      <c r="E283" s="44" t="n">
        <v>1</v>
      </c>
      <c r="G283" s="44" t="s">
        <v>196</v>
      </c>
      <c r="H283" s="44" t="n">
        <v>1</v>
      </c>
      <c r="J283" s="44" t="s">
        <v>196</v>
      </c>
      <c r="K283" s="44" t="n">
        <v>1</v>
      </c>
      <c r="M283" s="44" t="s">
        <v>196</v>
      </c>
      <c r="N283" s="44" t="n">
        <v>1</v>
      </c>
      <c r="P283" s="44" t="s">
        <v>196</v>
      </c>
      <c r="Q283" s="44" t="n">
        <v>1</v>
      </c>
      <c r="S283" s="44" t="s">
        <v>196</v>
      </c>
      <c r="T283" s="44" t="n">
        <v>1</v>
      </c>
      <c r="V283" s="44" t="s">
        <v>196</v>
      </c>
      <c r="W283" s="44" t="n">
        <v>1</v>
      </c>
      <c r="Y283" s="44" t="s">
        <v>196</v>
      </c>
      <c r="Z283" s="44" t="n">
        <v>1</v>
      </c>
      <c r="AB283" s="44" t="s">
        <v>196</v>
      </c>
      <c r="AC283" s="44" t="n">
        <v>1</v>
      </c>
      <c r="AE283" s="44" t="s">
        <v>196</v>
      </c>
      <c r="AF283" s="44" t="n">
        <v>1</v>
      </c>
      <c r="AH283" s="44" t="s">
        <v>196</v>
      </c>
      <c r="AI283" s="44" t="n">
        <v>1</v>
      </c>
      <c r="AK283" s="44" t="s">
        <v>196</v>
      </c>
      <c r="AL283" s="44" t="n">
        <v>1</v>
      </c>
      <c r="AN283" s="44" t="s">
        <v>196</v>
      </c>
      <c r="AO283" s="44" t="n">
        <v>1</v>
      </c>
      <c r="AQ283" s="44" t="s">
        <v>196</v>
      </c>
      <c r="AR283" s="44" t="n">
        <v>1</v>
      </c>
      <c r="AT283" s="44" t="s">
        <v>196</v>
      </c>
      <c r="AU283" s="44" t="n">
        <v>1</v>
      </c>
      <c r="AW283" s="44" t="s">
        <v>196</v>
      </c>
      <c r="AX283" s="44" t="n">
        <v>1</v>
      </c>
      <c r="AZ283" s="44" t="s">
        <v>196</v>
      </c>
      <c r="BA283" s="44" t="n">
        <v>1</v>
      </c>
      <c r="BC283" s="44" t="s">
        <v>196</v>
      </c>
      <c r="BD283" s="44" t="n">
        <v>1</v>
      </c>
      <c r="BF283" s="44" t="s">
        <v>196</v>
      </c>
      <c r="BG283" s="44" t="n">
        <v>1</v>
      </c>
      <c r="BI283" s="44" t="s">
        <v>196</v>
      </c>
      <c r="BJ283" s="44" t="n">
        <v>1</v>
      </c>
      <c r="BL283" s="44" t="s">
        <v>196</v>
      </c>
      <c r="BM283" s="44" t="n">
        <v>1</v>
      </c>
      <c r="BO283" s="44" t="s">
        <v>196</v>
      </c>
      <c r="BP283" s="44" t="n">
        <v>1</v>
      </c>
      <c r="BR283" s="44" t="s">
        <v>196</v>
      </c>
      <c r="BS283" s="44" t="n">
        <v>1</v>
      </c>
      <c r="BU283" s="44" t="s">
        <v>196</v>
      </c>
      <c r="BV283" s="44" t="n">
        <v>1</v>
      </c>
      <c r="BX283" s="44" t="s">
        <v>196</v>
      </c>
      <c r="BY283" s="44" t="n">
        <v>1</v>
      </c>
      <c r="CA283" s="44" t="s">
        <v>196</v>
      </c>
      <c r="CB283" s="44" t="n">
        <v>1</v>
      </c>
      <c r="CD283" s="44" t="s">
        <v>196</v>
      </c>
      <c r="CE283" s="44" t="n">
        <v>1</v>
      </c>
      <c r="CG283" s="44" t="s">
        <v>196</v>
      </c>
      <c r="CH283" s="44" t="n">
        <v>1</v>
      </c>
      <c r="CJ283" s="44" t="s">
        <v>196</v>
      </c>
      <c r="CK283" s="44" t="n">
        <v>1</v>
      </c>
      <c r="CM283" s="44" t="s">
        <v>196</v>
      </c>
      <c r="CN283" s="44" t="n">
        <v>1</v>
      </c>
      <c r="CP283" s="44" t="s">
        <v>196</v>
      </c>
      <c r="CQ283" s="44" t="n">
        <v>1</v>
      </c>
      <c r="CS283" s="44" t="s">
        <v>196</v>
      </c>
      <c r="CT283" s="44" t="n">
        <v>1</v>
      </c>
      <c r="CV283" s="44" t="s">
        <v>196</v>
      </c>
      <c r="CW283" s="44" t="n">
        <v>1</v>
      </c>
    </row>
    <row collapsed="false" customFormat="false" customHeight="false" hidden="false" ht="12.75" outlineLevel="0" r="285">
      <c r="A285" s="44" t="s">
        <v>197</v>
      </c>
      <c r="B285" s="44" t="n">
        <v>1</v>
      </c>
      <c r="D285" s="44" t="s">
        <v>197</v>
      </c>
      <c r="E285" s="44" t="n">
        <v>1</v>
      </c>
      <c r="G285" s="44" t="s">
        <v>197</v>
      </c>
      <c r="H285" s="44" t="n">
        <v>1</v>
      </c>
      <c r="J285" s="44" t="s">
        <v>197</v>
      </c>
      <c r="K285" s="44" t="n">
        <v>1</v>
      </c>
      <c r="M285" s="44" t="s">
        <v>197</v>
      </c>
      <c r="N285" s="44" t="n">
        <v>1</v>
      </c>
      <c r="P285" s="44" t="s">
        <v>197</v>
      </c>
      <c r="Q285" s="44" t="n">
        <v>1</v>
      </c>
      <c r="S285" s="44" t="s">
        <v>197</v>
      </c>
      <c r="T285" s="44" t="n">
        <v>1</v>
      </c>
      <c r="V285" s="44" t="s">
        <v>197</v>
      </c>
      <c r="W285" s="44" t="n">
        <v>1</v>
      </c>
      <c r="Y285" s="44" t="s">
        <v>197</v>
      </c>
      <c r="Z285" s="44" t="n">
        <v>1</v>
      </c>
      <c r="AB285" s="44" t="s">
        <v>197</v>
      </c>
      <c r="AC285" s="44" t="n">
        <v>1</v>
      </c>
      <c r="AE285" s="44" t="s">
        <v>197</v>
      </c>
      <c r="AF285" s="44" t="n">
        <v>1</v>
      </c>
      <c r="AH285" s="44" t="s">
        <v>197</v>
      </c>
      <c r="AI285" s="44" t="n">
        <v>1</v>
      </c>
      <c r="AK285" s="44" t="s">
        <v>197</v>
      </c>
      <c r="AL285" s="44" t="n">
        <v>1</v>
      </c>
      <c r="AN285" s="44" t="s">
        <v>197</v>
      </c>
      <c r="AO285" s="44" t="n">
        <v>1</v>
      </c>
      <c r="AQ285" s="44" t="s">
        <v>197</v>
      </c>
      <c r="AR285" s="44" t="n">
        <v>1</v>
      </c>
      <c r="AT285" s="44" t="s">
        <v>197</v>
      </c>
      <c r="AU285" s="44" t="n">
        <v>1</v>
      </c>
      <c r="AW285" s="44" t="s">
        <v>197</v>
      </c>
      <c r="AX285" s="44" t="n">
        <v>1</v>
      </c>
      <c r="AZ285" s="44" t="s">
        <v>197</v>
      </c>
      <c r="BA285" s="44" t="n">
        <v>1</v>
      </c>
      <c r="BC285" s="44" t="s">
        <v>197</v>
      </c>
      <c r="BD285" s="44" t="n">
        <v>1</v>
      </c>
      <c r="BF285" s="44" t="s">
        <v>197</v>
      </c>
      <c r="BG285" s="44" t="n">
        <v>1</v>
      </c>
      <c r="BI285" s="44" t="s">
        <v>197</v>
      </c>
      <c r="BJ285" s="44" t="n">
        <v>1</v>
      </c>
      <c r="BL285" s="44" t="s">
        <v>197</v>
      </c>
      <c r="BM285" s="44" t="n">
        <v>1</v>
      </c>
      <c r="BO285" s="44" t="s">
        <v>197</v>
      </c>
      <c r="BP285" s="44" t="n">
        <v>1</v>
      </c>
      <c r="BR285" s="44" t="s">
        <v>197</v>
      </c>
      <c r="BS285" s="44" t="n">
        <v>1</v>
      </c>
      <c r="BU285" s="44" t="s">
        <v>197</v>
      </c>
      <c r="BV285" s="44" t="n">
        <v>1</v>
      </c>
      <c r="BX285" s="44" t="s">
        <v>197</v>
      </c>
      <c r="BY285" s="44" t="n">
        <v>1</v>
      </c>
      <c r="CA285" s="44" t="s">
        <v>197</v>
      </c>
      <c r="CB285" s="44" t="n">
        <v>1</v>
      </c>
      <c r="CD285" s="44" t="s">
        <v>197</v>
      </c>
      <c r="CE285" s="44" t="n">
        <v>1</v>
      </c>
      <c r="CG285" s="44" t="s">
        <v>197</v>
      </c>
      <c r="CH285" s="44" t="n">
        <v>1</v>
      </c>
      <c r="CJ285" s="44" t="s">
        <v>197</v>
      </c>
      <c r="CK285" s="44" t="n">
        <v>1</v>
      </c>
      <c r="CM285" s="44" t="s">
        <v>197</v>
      </c>
      <c r="CN285" s="44" t="n">
        <v>1</v>
      </c>
      <c r="CP285" s="44" t="s">
        <v>197</v>
      </c>
      <c r="CQ285" s="44" t="n">
        <v>1</v>
      </c>
      <c r="CS285" s="44" t="s">
        <v>197</v>
      </c>
      <c r="CT285" s="44" t="n">
        <v>1</v>
      </c>
      <c r="CV285" s="44" t="s">
        <v>197</v>
      </c>
      <c r="CW285" s="44" t="n">
        <v>1</v>
      </c>
    </row>
    <row collapsed="false" customFormat="false" customHeight="false" hidden="false" ht="12.75" outlineLevel="0" r="287">
      <c r="A287" s="44" t="s">
        <v>198</v>
      </c>
      <c r="B287" s="44" t="n">
        <v>1</v>
      </c>
      <c r="D287" s="44" t="s">
        <v>198</v>
      </c>
      <c r="E287" s="44" t="n">
        <v>1</v>
      </c>
      <c r="G287" s="44" t="s">
        <v>198</v>
      </c>
      <c r="H287" s="44" t="n">
        <v>1</v>
      </c>
      <c r="J287" s="44" t="s">
        <v>198</v>
      </c>
      <c r="K287" s="44" t="n">
        <v>1</v>
      </c>
      <c r="M287" s="44" t="s">
        <v>198</v>
      </c>
      <c r="N287" s="44" t="n">
        <v>1</v>
      </c>
      <c r="P287" s="44" t="s">
        <v>198</v>
      </c>
      <c r="Q287" s="44" t="n">
        <v>1</v>
      </c>
      <c r="S287" s="44" t="s">
        <v>198</v>
      </c>
      <c r="T287" s="44" t="n">
        <v>1</v>
      </c>
      <c r="V287" s="44" t="s">
        <v>198</v>
      </c>
      <c r="W287" s="44" t="n">
        <v>1</v>
      </c>
      <c r="Y287" s="44" t="s">
        <v>198</v>
      </c>
      <c r="Z287" s="44" t="n">
        <v>1</v>
      </c>
      <c r="AB287" s="44" t="s">
        <v>198</v>
      </c>
      <c r="AC287" s="44" t="n">
        <v>1</v>
      </c>
      <c r="AE287" s="44" t="s">
        <v>198</v>
      </c>
      <c r="AF287" s="44" t="n">
        <v>1</v>
      </c>
      <c r="AH287" s="44" t="s">
        <v>198</v>
      </c>
      <c r="AI287" s="44" t="n">
        <v>1</v>
      </c>
      <c r="AK287" s="44" t="s">
        <v>198</v>
      </c>
      <c r="AL287" s="44" t="n">
        <v>1</v>
      </c>
      <c r="AN287" s="44" t="s">
        <v>198</v>
      </c>
      <c r="AO287" s="44" t="n">
        <v>1</v>
      </c>
      <c r="AQ287" s="44" t="s">
        <v>198</v>
      </c>
      <c r="AR287" s="44" t="n">
        <v>1</v>
      </c>
      <c r="AT287" s="44" t="s">
        <v>198</v>
      </c>
      <c r="AU287" s="44" t="n">
        <v>1</v>
      </c>
      <c r="AW287" s="44" t="s">
        <v>198</v>
      </c>
      <c r="AX287" s="44" t="n">
        <v>1</v>
      </c>
      <c r="AZ287" s="44" t="s">
        <v>198</v>
      </c>
      <c r="BA287" s="44" t="n">
        <v>1</v>
      </c>
      <c r="BC287" s="44" t="s">
        <v>198</v>
      </c>
      <c r="BD287" s="44" t="n">
        <v>1</v>
      </c>
      <c r="BF287" s="44" t="s">
        <v>198</v>
      </c>
      <c r="BG287" s="44" t="n">
        <v>1</v>
      </c>
      <c r="BI287" s="44" t="s">
        <v>198</v>
      </c>
      <c r="BJ287" s="44" t="n">
        <v>1</v>
      </c>
      <c r="BL287" s="44" t="s">
        <v>198</v>
      </c>
      <c r="BM287" s="44" t="n">
        <v>1</v>
      </c>
      <c r="BO287" s="44" t="s">
        <v>198</v>
      </c>
      <c r="BP287" s="44" t="n">
        <v>1</v>
      </c>
      <c r="BR287" s="44" t="s">
        <v>198</v>
      </c>
      <c r="BS287" s="44" t="n">
        <v>1</v>
      </c>
      <c r="BU287" s="44" t="s">
        <v>198</v>
      </c>
      <c r="BV287" s="44" t="n">
        <v>1</v>
      </c>
      <c r="BX287" s="44" t="s">
        <v>198</v>
      </c>
      <c r="BY287" s="44" t="n">
        <v>1</v>
      </c>
      <c r="CA287" s="44" t="s">
        <v>198</v>
      </c>
      <c r="CB287" s="44" t="n">
        <v>1</v>
      </c>
      <c r="CD287" s="44" t="s">
        <v>198</v>
      </c>
      <c r="CE287" s="44" t="n">
        <v>1</v>
      </c>
      <c r="CG287" s="44" t="s">
        <v>198</v>
      </c>
      <c r="CH287" s="44" t="n">
        <v>1</v>
      </c>
      <c r="CJ287" s="44" t="s">
        <v>198</v>
      </c>
      <c r="CK287" s="44" t="n">
        <v>1</v>
      </c>
      <c r="CM287" s="44" t="s">
        <v>198</v>
      </c>
      <c r="CN287" s="44" t="n">
        <v>1</v>
      </c>
      <c r="CP287" s="44" t="s">
        <v>198</v>
      </c>
      <c r="CQ287" s="44" t="n">
        <v>1</v>
      </c>
      <c r="CS287" s="44" t="s">
        <v>198</v>
      </c>
      <c r="CT287" s="44" t="n">
        <v>1</v>
      </c>
      <c r="CV287" s="44" t="s">
        <v>198</v>
      </c>
      <c r="CW287" s="44" t="n">
        <v>1</v>
      </c>
    </row>
    <row collapsed="false" customFormat="false" customHeight="false" hidden="false" ht="12.75" outlineLevel="0" r="289">
      <c r="A289" s="44" t="s">
        <v>199</v>
      </c>
      <c r="B289" s="44" t="s">
        <v>190</v>
      </c>
      <c r="D289" s="44" t="s">
        <v>199</v>
      </c>
      <c r="E289" s="44" t="s">
        <v>190</v>
      </c>
      <c r="G289" s="44" t="s">
        <v>199</v>
      </c>
      <c r="H289" s="44" t="s">
        <v>190</v>
      </c>
      <c r="J289" s="44" t="s">
        <v>199</v>
      </c>
      <c r="K289" s="44" t="s">
        <v>190</v>
      </c>
      <c r="M289" s="44" t="s">
        <v>199</v>
      </c>
      <c r="N289" s="44" t="s">
        <v>190</v>
      </c>
      <c r="P289" s="44" t="s">
        <v>199</v>
      </c>
      <c r="Q289" s="44" t="s">
        <v>190</v>
      </c>
      <c r="S289" s="44" t="s">
        <v>199</v>
      </c>
      <c r="T289" s="44" t="s">
        <v>190</v>
      </c>
      <c r="V289" s="44" t="s">
        <v>199</v>
      </c>
      <c r="W289" s="44" t="s">
        <v>190</v>
      </c>
      <c r="Y289" s="44" t="s">
        <v>199</v>
      </c>
      <c r="Z289" s="44" t="s">
        <v>190</v>
      </c>
      <c r="AB289" s="44" t="s">
        <v>199</v>
      </c>
      <c r="AC289" s="44" t="s">
        <v>190</v>
      </c>
      <c r="AE289" s="44" t="s">
        <v>199</v>
      </c>
      <c r="AF289" s="44" t="s">
        <v>190</v>
      </c>
      <c r="AH289" s="44" t="s">
        <v>199</v>
      </c>
      <c r="AI289" s="44" t="s">
        <v>190</v>
      </c>
      <c r="AK289" s="44" t="s">
        <v>199</v>
      </c>
      <c r="AL289" s="44" t="s">
        <v>190</v>
      </c>
      <c r="AN289" s="44" t="s">
        <v>199</v>
      </c>
      <c r="AO289" s="44" t="s">
        <v>190</v>
      </c>
      <c r="AQ289" s="44" t="s">
        <v>199</v>
      </c>
      <c r="AR289" s="44" t="s">
        <v>190</v>
      </c>
      <c r="AT289" s="44" t="s">
        <v>199</v>
      </c>
      <c r="AU289" s="44" t="s">
        <v>190</v>
      </c>
      <c r="AW289" s="44" t="s">
        <v>199</v>
      </c>
      <c r="AX289" s="44" t="s">
        <v>190</v>
      </c>
      <c r="AZ289" s="44" t="s">
        <v>199</v>
      </c>
      <c r="BA289" s="44" t="s">
        <v>190</v>
      </c>
      <c r="BC289" s="44" t="s">
        <v>199</v>
      </c>
      <c r="BD289" s="44" t="s">
        <v>190</v>
      </c>
      <c r="BF289" s="44" t="s">
        <v>199</v>
      </c>
      <c r="BG289" s="44" t="s">
        <v>190</v>
      </c>
      <c r="BI289" s="44" t="s">
        <v>199</v>
      </c>
      <c r="BJ289" s="44" t="s">
        <v>190</v>
      </c>
      <c r="BL289" s="44" t="s">
        <v>199</v>
      </c>
      <c r="BM289" s="44" t="s">
        <v>190</v>
      </c>
      <c r="BO289" s="44" t="s">
        <v>199</v>
      </c>
      <c r="BP289" s="44" t="s">
        <v>190</v>
      </c>
      <c r="BR289" s="44" t="s">
        <v>199</v>
      </c>
      <c r="BS289" s="44" t="s">
        <v>190</v>
      </c>
      <c r="BU289" s="44" t="s">
        <v>199</v>
      </c>
      <c r="BV289" s="44" t="s">
        <v>190</v>
      </c>
      <c r="BX289" s="44" t="s">
        <v>199</v>
      </c>
      <c r="BY289" s="44" t="s">
        <v>190</v>
      </c>
      <c r="CA289" s="44" t="s">
        <v>199</v>
      </c>
      <c r="CB289" s="44" t="s">
        <v>190</v>
      </c>
      <c r="CD289" s="44" t="s">
        <v>199</v>
      </c>
      <c r="CE289" s="44" t="s">
        <v>190</v>
      </c>
      <c r="CG289" s="44" t="s">
        <v>199</v>
      </c>
      <c r="CH289" s="44" t="s">
        <v>190</v>
      </c>
      <c r="CJ289" s="44" t="s">
        <v>199</v>
      </c>
      <c r="CK289" s="44" t="s">
        <v>190</v>
      </c>
      <c r="CM289" s="44" t="s">
        <v>199</v>
      </c>
      <c r="CN289" s="44" t="s">
        <v>190</v>
      </c>
      <c r="CP289" s="44" t="s">
        <v>199</v>
      </c>
      <c r="CQ289" s="44" t="s">
        <v>190</v>
      </c>
      <c r="CS289" s="44" t="s">
        <v>199</v>
      </c>
      <c r="CT289" s="44" t="s">
        <v>190</v>
      </c>
      <c r="CV289" s="44" t="s">
        <v>199</v>
      </c>
      <c r="CW289" s="44" t="s">
        <v>190</v>
      </c>
    </row>
    <row collapsed="false" customFormat="false" customHeight="false" hidden="false" ht="12.75" outlineLevel="0" r="291">
      <c r="A291" s="44" t="s">
        <v>200</v>
      </c>
      <c r="B291" s="44" t="s">
        <v>190</v>
      </c>
      <c r="D291" s="44" t="s">
        <v>200</v>
      </c>
      <c r="E291" s="44" t="s">
        <v>190</v>
      </c>
      <c r="G291" s="44" t="s">
        <v>200</v>
      </c>
      <c r="H291" s="44" t="s">
        <v>190</v>
      </c>
      <c r="J291" s="44" t="s">
        <v>200</v>
      </c>
      <c r="K291" s="44" t="s">
        <v>190</v>
      </c>
      <c r="M291" s="44" t="s">
        <v>200</v>
      </c>
      <c r="N291" s="44" t="s">
        <v>190</v>
      </c>
      <c r="P291" s="44" t="s">
        <v>200</v>
      </c>
      <c r="Q291" s="44" t="s">
        <v>190</v>
      </c>
      <c r="S291" s="44" t="s">
        <v>200</v>
      </c>
      <c r="T291" s="44" t="s">
        <v>190</v>
      </c>
      <c r="V291" s="44" t="s">
        <v>200</v>
      </c>
      <c r="W291" s="44" t="s">
        <v>190</v>
      </c>
      <c r="Y291" s="44" t="s">
        <v>200</v>
      </c>
      <c r="Z291" s="44" t="s">
        <v>190</v>
      </c>
      <c r="AB291" s="44" t="s">
        <v>200</v>
      </c>
      <c r="AC291" s="44" t="s">
        <v>190</v>
      </c>
      <c r="AE291" s="44" t="s">
        <v>200</v>
      </c>
      <c r="AF291" s="44" t="s">
        <v>190</v>
      </c>
      <c r="AH291" s="44" t="s">
        <v>200</v>
      </c>
      <c r="AI291" s="44" t="s">
        <v>190</v>
      </c>
      <c r="AK291" s="44" t="s">
        <v>200</v>
      </c>
      <c r="AL291" s="44" t="s">
        <v>190</v>
      </c>
      <c r="AN291" s="44" t="s">
        <v>200</v>
      </c>
      <c r="AO291" s="44" t="s">
        <v>190</v>
      </c>
      <c r="AQ291" s="44" t="s">
        <v>200</v>
      </c>
      <c r="AR291" s="44" t="s">
        <v>190</v>
      </c>
      <c r="AT291" s="44" t="s">
        <v>200</v>
      </c>
      <c r="AU291" s="44" t="s">
        <v>190</v>
      </c>
      <c r="AW291" s="44" t="s">
        <v>200</v>
      </c>
      <c r="AX291" s="44" t="s">
        <v>190</v>
      </c>
      <c r="AZ291" s="44" t="s">
        <v>200</v>
      </c>
      <c r="BA291" s="44" t="s">
        <v>190</v>
      </c>
      <c r="BC291" s="44" t="s">
        <v>200</v>
      </c>
      <c r="BD291" s="44" t="s">
        <v>190</v>
      </c>
      <c r="BF291" s="44" t="s">
        <v>200</v>
      </c>
      <c r="BG291" s="44" t="s">
        <v>190</v>
      </c>
      <c r="BI291" s="44" t="s">
        <v>200</v>
      </c>
      <c r="BJ291" s="44" t="s">
        <v>190</v>
      </c>
      <c r="BL291" s="44" t="s">
        <v>200</v>
      </c>
      <c r="BM291" s="44" t="s">
        <v>190</v>
      </c>
      <c r="BO291" s="44" t="s">
        <v>200</v>
      </c>
      <c r="BP291" s="44" t="s">
        <v>190</v>
      </c>
      <c r="BR291" s="44" t="s">
        <v>200</v>
      </c>
      <c r="BS291" s="44" t="s">
        <v>190</v>
      </c>
      <c r="BU291" s="44" t="s">
        <v>200</v>
      </c>
      <c r="BV291" s="44" t="s">
        <v>190</v>
      </c>
      <c r="BX291" s="44" t="s">
        <v>200</v>
      </c>
      <c r="BY291" s="44" t="s">
        <v>190</v>
      </c>
      <c r="CA291" s="44" t="s">
        <v>200</v>
      </c>
      <c r="CB291" s="44" t="s">
        <v>190</v>
      </c>
      <c r="CD291" s="44" t="s">
        <v>200</v>
      </c>
      <c r="CE291" s="44" t="s">
        <v>190</v>
      </c>
      <c r="CG291" s="44" t="s">
        <v>200</v>
      </c>
      <c r="CH291" s="44" t="s">
        <v>190</v>
      </c>
      <c r="CJ291" s="44" t="s">
        <v>200</v>
      </c>
      <c r="CK291" s="44" t="s">
        <v>190</v>
      </c>
      <c r="CM291" s="44" t="s">
        <v>200</v>
      </c>
      <c r="CN291" s="44" t="s">
        <v>190</v>
      </c>
      <c r="CP291" s="44" t="s">
        <v>200</v>
      </c>
      <c r="CQ291" s="44" t="s">
        <v>190</v>
      </c>
      <c r="CS291" s="44" t="s">
        <v>200</v>
      </c>
      <c r="CT291" s="44" t="s">
        <v>190</v>
      </c>
      <c r="CV291" s="44" t="s">
        <v>200</v>
      </c>
      <c r="CW291" s="44" t="s">
        <v>190</v>
      </c>
    </row>
    <row collapsed="false" customFormat="false" customHeight="false" hidden="false" ht="12.75" outlineLevel="0" r="293">
      <c r="A293" s="44" t="s">
        <v>201</v>
      </c>
      <c r="B293" s="44" t="n">
        <v>1</v>
      </c>
      <c r="D293" s="44" t="s">
        <v>201</v>
      </c>
      <c r="E293" s="44" t="n">
        <v>1</v>
      </c>
      <c r="G293" s="44" t="s">
        <v>201</v>
      </c>
      <c r="H293" s="44" t="n">
        <v>1</v>
      </c>
      <c r="J293" s="44" t="s">
        <v>201</v>
      </c>
      <c r="K293" s="44" t="n">
        <v>1</v>
      </c>
      <c r="M293" s="44" t="s">
        <v>201</v>
      </c>
      <c r="N293" s="44" t="n">
        <v>1</v>
      </c>
      <c r="P293" s="44" t="s">
        <v>201</v>
      </c>
      <c r="Q293" s="44" t="n">
        <v>1</v>
      </c>
      <c r="S293" s="44" t="s">
        <v>201</v>
      </c>
      <c r="T293" s="44" t="n">
        <v>1</v>
      </c>
      <c r="V293" s="44" t="s">
        <v>201</v>
      </c>
      <c r="W293" s="44" t="n">
        <v>1</v>
      </c>
      <c r="Y293" s="44" t="s">
        <v>201</v>
      </c>
      <c r="Z293" s="44" t="n">
        <v>1</v>
      </c>
      <c r="AB293" s="44" t="s">
        <v>201</v>
      </c>
      <c r="AC293" s="44" t="n">
        <v>1</v>
      </c>
      <c r="AE293" s="44" t="s">
        <v>201</v>
      </c>
      <c r="AF293" s="44" t="n">
        <v>1</v>
      </c>
      <c r="AH293" s="44" t="s">
        <v>201</v>
      </c>
      <c r="AI293" s="44" t="n">
        <v>1</v>
      </c>
      <c r="AK293" s="44" t="s">
        <v>201</v>
      </c>
      <c r="AL293" s="44" t="n">
        <v>1</v>
      </c>
      <c r="AN293" s="44" t="s">
        <v>201</v>
      </c>
      <c r="AO293" s="44" t="n">
        <v>1</v>
      </c>
      <c r="AQ293" s="44" t="s">
        <v>201</v>
      </c>
      <c r="AR293" s="44" t="n">
        <v>1</v>
      </c>
      <c r="AT293" s="44" t="s">
        <v>201</v>
      </c>
      <c r="AU293" s="44" t="n">
        <v>1</v>
      </c>
      <c r="AW293" s="44" t="s">
        <v>201</v>
      </c>
      <c r="AX293" s="44" t="n">
        <v>1</v>
      </c>
      <c r="AZ293" s="44" t="s">
        <v>201</v>
      </c>
      <c r="BA293" s="44" t="n">
        <v>1</v>
      </c>
      <c r="BC293" s="44" t="s">
        <v>201</v>
      </c>
      <c r="BD293" s="44" t="n">
        <v>1</v>
      </c>
      <c r="BF293" s="44" t="s">
        <v>201</v>
      </c>
      <c r="BG293" s="44" t="n">
        <v>1</v>
      </c>
      <c r="BI293" s="44" t="s">
        <v>201</v>
      </c>
      <c r="BJ293" s="44" t="n">
        <v>1</v>
      </c>
      <c r="BL293" s="44" t="s">
        <v>201</v>
      </c>
      <c r="BM293" s="44" t="n">
        <v>1</v>
      </c>
      <c r="BO293" s="44" t="s">
        <v>201</v>
      </c>
      <c r="BP293" s="44" t="n">
        <v>1</v>
      </c>
      <c r="BR293" s="44" t="s">
        <v>201</v>
      </c>
      <c r="BS293" s="44" t="n">
        <v>1</v>
      </c>
      <c r="BU293" s="44" t="s">
        <v>201</v>
      </c>
      <c r="BV293" s="44" t="n">
        <v>1</v>
      </c>
      <c r="BX293" s="44" t="s">
        <v>201</v>
      </c>
      <c r="BY293" s="44" t="n">
        <v>1</v>
      </c>
      <c r="CA293" s="44" t="s">
        <v>201</v>
      </c>
      <c r="CB293" s="44" t="n">
        <v>1</v>
      </c>
      <c r="CD293" s="44" t="s">
        <v>201</v>
      </c>
      <c r="CE293" s="44" t="n">
        <v>1</v>
      </c>
      <c r="CG293" s="44" t="s">
        <v>201</v>
      </c>
      <c r="CH293" s="44" t="n">
        <v>1</v>
      </c>
      <c r="CJ293" s="44" t="s">
        <v>201</v>
      </c>
      <c r="CK293" s="44" t="n">
        <v>1</v>
      </c>
      <c r="CM293" s="44" t="s">
        <v>201</v>
      </c>
      <c r="CN293" s="44" t="n">
        <v>1</v>
      </c>
      <c r="CP293" s="44" t="s">
        <v>201</v>
      </c>
      <c r="CQ293" s="44" t="n">
        <v>1</v>
      </c>
      <c r="CS293" s="44" t="s">
        <v>201</v>
      </c>
      <c r="CT293" s="44" t="n">
        <v>1</v>
      </c>
      <c r="CV293" s="44" t="s">
        <v>201</v>
      </c>
      <c r="CW293" s="44" t="n">
        <v>1</v>
      </c>
    </row>
    <row collapsed="false" customFormat="false" customHeight="false" hidden="false" ht="12.75" outlineLevel="0" r="295">
      <c r="A295" s="44" t="s">
        <v>202</v>
      </c>
      <c r="B295" s="44" t="n">
        <v>1</v>
      </c>
      <c r="D295" s="44" t="s">
        <v>202</v>
      </c>
      <c r="E295" s="44" t="n">
        <v>1</v>
      </c>
      <c r="G295" s="44" t="s">
        <v>202</v>
      </c>
      <c r="H295" s="44" t="n">
        <v>1</v>
      </c>
      <c r="J295" s="44" t="s">
        <v>202</v>
      </c>
      <c r="K295" s="44" t="n">
        <v>1</v>
      </c>
      <c r="M295" s="44" t="s">
        <v>202</v>
      </c>
      <c r="N295" s="44" t="n">
        <v>1</v>
      </c>
      <c r="P295" s="44" t="s">
        <v>202</v>
      </c>
      <c r="Q295" s="44" t="n">
        <v>1</v>
      </c>
      <c r="S295" s="44" t="s">
        <v>202</v>
      </c>
      <c r="T295" s="44" t="n">
        <v>1</v>
      </c>
      <c r="V295" s="44" t="s">
        <v>202</v>
      </c>
      <c r="W295" s="44" t="n">
        <v>1</v>
      </c>
      <c r="Y295" s="44" t="s">
        <v>202</v>
      </c>
      <c r="Z295" s="44" t="n">
        <v>1</v>
      </c>
      <c r="AB295" s="44" t="s">
        <v>202</v>
      </c>
      <c r="AC295" s="44" t="n">
        <v>1</v>
      </c>
      <c r="AE295" s="44" t="s">
        <v>202</v>
      </c>
      <c r="AF295" s="44" t="n">
        <v>1</v>
      </c>
      <c r="AH295" s="44" t="s">
        <v>202</v>
      </c>
      <c r="AI295" s="44" t="n">
        <v>1</v>
      </c>
      <c r="AK295" s="44" t="s">
        <v>202</v>
      </c>
      <c r="AL295" s="44" t="n">
        <v>1</v>
      </c>
      <c r="AN295" s="44" t="s">
        <v>202</v>
      </c>
      <c r="AO295" s="44" t="n">
        <v>1</v>
      </c>
      <c r="AQ295" s="44" t="s">
        <v>202</v>
      </c>
      <c r="AR295" s="44" t="n">
        <v>1</v>
      </c>
      <c r="AT295" s="44" t="s">
        <v>202</v>
      </c>
      <c r="AU295" s="44" t="n">
        <v>1</v>
      </c>
      <c r="AW295" s="44" t="s">
        <v>202</v>
      </c>
      <c r="AX295" s="44" t="n">
        <v>1</v>
      </c>
      <c r="AZ295" s="44" t="s">
        <v>202</v>
      </c>
      <c r="BA295" s="44" t="n">
        <v>1</v>
      </c>
      <c r="BC295" s="44" t="s">
        <v>202</v>
      </c>
      <c r="BD295" s="44" t="n">
        <v>1</v>
      </c>
      <c r="BF295" s="44" t="s">
        <v>202</v>
      </c>
      <c r="BG295" s="44" t="n">
        <v>1</v>
      </c>
      <c r="BI295" s="44" t="s">
        <v>202</v>
      </c>
      <c r="BJ295" s="44" t="n">
        <v>1</v>
      </c>
      <c r="BL295" s="44" t="s">
        <v>202</v>
      </c>
      <c r="BM295" s="44" t="n">
        <v>1</v>
      </c>
      <c r="BO295" s="44" t="s">
        <v>202</v>
      </c>
      <c r="BP295" s="44" t="n">
        <v>1</v>
      </c>
      <c r="BR295" s="44" t="s">
        <v>202</v>
      </c>
      <c r="BS295" s="44" t="n">
        <v>1</v>
      </c>
      <c r="BU295" s="44" t="s">
        <v>202</v>
      </c>
      <c r="BV295" s="44" t="n">
        <v>1</v>
      </c>
      <c r="BX295" s="44" t="s">
        <v>202</v>
      </c>
      <c r="BY295" s="44" t="n">
        <v>1</v>
      </c>
      <c r="CA295" s="44" t="s">
        <v>202</v>
      </c>
      <c r="CB295" s="44" t="n">
        <v>1</v>
      </c>
      <c r="CD295" s="44" t="s">
        <v>202</v>
      </c>
      <c r="CE295" s="44" t="n">
        <v>1</v>
      </c>
      <c r="CG295" s="44" t="s">
        <v>202</v>
      </c>
      <c r="CH295" s="44" t="n">
        <v>1</v>
      </c>
      <c r="CJ295" s="44" t="s">
        <v>202</v>
      </c>
      <c r="CK295" s="44" t="n">
        <v>1</v>
      </c>
      <c r="CM295" s="44" t="s">
        <v>202</v>
      </c>
      <c r="CN295" s="44" t="n">
        <v>1</v>
      </c>
      <c r="CP295" s="44" t="s">
        <v>202</v>
      </c>
      <c r="CQ295" s="44" t="n">
        <v>1</v>
      </c>
      <c r="CS295" s="44" t="s">
        <v>202</v>
      </c>
      <c r="CT295" s="44" t="n">
        <v>1</v>
      </c>
      <c r="CV295" s="44" t="s">
        <v>202</v>
      </c>
      <c r="CW295" s="44" t="n">
        <v>1</v>
      </c>
    </row>
    <row collapsed="false" customFormat="false" customHeight="false" hidden="false" ht="12.75" outlineLevel="0" r="297">
      <c r="A297" s="44" t="s">
        <v>203</v>
      </c>
      <c r="B297" s="44" t="s">
        <v>190</v>
      </c>
      <c r="D297" s="44" t="s">
        <v>203</v>
      </c>
      <c r="E297" s="44" t="s">
        <v>190</v>
      </c>
      <c r="G297" s="44" t="s">
        <v>203</v>
      </c>
      <c r="H297" s="44" t="s">
        <v>190</v>
      </c>
      <c r="J297" s="44" t="s">
        <v>203</v>
      </c>
      <c r="K297" s="44" t="s">
        <v>190</v>
      </c>
      <c r="M297" s="44" t="s">
        <v>203</v>
      </c>
      <c r="N297" s="44" t="s">
        <v>190</v>
      </c>
      <c r="P297" s="44" t="s">
        <v>203</v>
      </c>
      <c r="Q297" s="44" t="s">
        <v>190</v>
      </c>
      <c r="S297" s="44" t="s">
        <v>203</v>
      </c>
      <c r="T297" s="44" t="s">
        <v>190</v>
      </c>
      <c r="V297" s="44" t="s">
        <v>203</v>
      </c>
      <c r="W297" s="44" t="s">
        <v>190</v>
      </c>
      <c r="Y297" s="44" t="s">
        <v>203</v>
      </c>
      <c r="Z297" s="44" t="s">
        <v>190</v>
      </c>
      <c r="AB297" s="44" t="s">
        <v>203</v>
      </c>
      <c r="AC297" s="44" t="s">
        <v>190</v>
      </c>
      <c r="AE297" s="44" t="s">
        <v>203</v>
      </c>
      <c r="AF297" s="44" t="s">
        <v>190</v>
      </c>
      <c r="AH297" s="44" t="s">
        <v>203</v>
      </c>
      <c r="AI297" s="44" t="s">
        <v>190</v>
      </c>
      <c r="AK297" s="44" t="s">
        <v>203</v>
      </c>
      <c r="AL297" s="44" t="s">
        <v>190</v>
      </c>
      <c r="AN297" s="44" t="s">
        <v>203</v>
      </c>
      <c r="AO297" s="44" t="s">
        <v>190</v>
      </c>
      <c r="AQ297" s="44" t="s">
        <v>203</v>
      </c>
      <c r="AR297" s="44" t="s">
        <v>190</v>
      </c>
      <c r="AT297" s="44" t="s">
        <v>203</v>
      </c>
      <c r="AU297" s="44" t="s">
        <v>190</v>
      </c>
      <c r="AW297" s="44" t="s">
        <v>203</v>
      </c>
      <c r="AX297" s="44" t="s">
        <v>190</v>
      </c>
      <c r="AZ297" s="44" t="s">
        <v>203</v>
      </c>
      <c r="BA297" s="44" t="s">
        <v>190</v>
      </c>
      <c r="BC297" s="44" t="s">
        <v>203</v>
      </c>
      <c r="BD297" s="44" t="s">
        <v>190</v>
      </c>
      <c r="BF297" s="44" t="s">
        <v>203</v>
      </c>
      <c r="BG297" s="44" t="s">
        <v>190</v>
      </c>
      <c r="BI297" s="44" t="s">
        <v>203</v>
      </c>
      <c r="BJ297" s="44" t="s">
        <v>190</v>
      </c>
      <c r="BL297" s="44" t="s">
        <v>203</v>
      </c>
      <c r="BM297" s="44" t="s">
        <v>190</v>
      </c>
      <c r="BO297" s="44" t="s">
        <v>203</v>
      </c>
      <c r="BP297" s="44" t="s">
        <v>190</v>
      </c>
      <c r="BR297" s="44" t="s">
        <v>203</v>
      </c>
      <c r="BS297" s="44" t="s">
        <v>190</v>
      </c>
      <c r="BU297" s="44" t="s">
        <v>203</v>
      </c>
      <c r="BV297" s="44" t="s">
        <v>190</v>
      </c>
      <c r="BX297" s="44" t="s">
        <v>203</v>
      </c>
      <c r="BY297" s="44" t="s">
        <v>190</v>
      </c>
      <c r="CA297" s="44" t="s">
        <v>203</v>
      </c>
      <c r="CB297" s="44" t="s">
        <v>190</v>
      </c>
      <c r="CD297" s="44" t="s">
        <v>203</v>
      </c>
      <c r="CE297" s="44" t="s">
        <v>190</v>
      </c>
      <c r="CG297" s="44" t="s">
        <v>203</v>
      </c>
      <c r="CH297" s="44" t="s">
        <v>190</v>
      </c>
      <c r="CJ297" s="44" t="s">
        <v>203</v>
      </c>
      <c r="CK297" s="44" t="s">
        <v>190</v>
      </c>
      <c r="CM297" s="44" t="s">
        <v>203</v>
      </c>
      <c r="CN297" s="44" t="s">
        <v>190</v>
      </c>
      <c r="CP297" s="44" t="s">
        <v>203</v>
      </c>
      <c r="CQ297" s="44" t="s">
        <v>190</v>
      </c>
      <c r="CS297" s="44" t="s">
        <v>203</v>
      </c>
      <c r="CT297" s="44" t="s">
        <v>190</v>
      </c>
      <c r="CV297" s="44" t="s">
        <v>203</v>
      </c>
      <c r="CW297" s="44" t="s">
        <v>190</v>
      </c>
    </row>
    <row collapsed="false" customFormat="false" customHeight="false" hidden="false" ht="12.75" outlineLevel="0" r="299">
      <c r="A299" s="44" t="s">
        <v>204</v>
      </c>
      <c r="B299" s="44" t="s">
        <v>190</v>
      </c>
      <c r="D299" s="44" t="s">
        <v>204</v>
      </c>
      <c r="E299" s="44" t="s">
        <v>190</v>
      </c>
      <c r="G299" s="44" t="s">
        <v>204</v>
      </c>
      <c r="H299" s="44" t="s">
        <v>190</v>
      </c>
      <c r="J299" s="44" t="s">
        <v>204</v>
      </c>
      <c r="K299" s="44" t="s">
        <v>190</v>
      </c>
      <c r="M299" s="44" t="s">
        <v>204</v>
      </c>
      <c r="N299" s="44" t="s">
        <v>190</v>
      </c>
      <c r="P299" s="44" t="s">
        <v>204</v>
      </c>
      <c r="Q299" s="44" t="s">
        <v>190</v>
      </c>
      <c r="S299" s="44" t="s">
        <v>204</v>
      </c>
      <c r="T299" s="44" t="s">
        <v>190</v>
      </c>
      <c r="V299" s="44" t="s">
        <v>204</v>
      </c>
      <c r="W299" s="44" t="s">
        <v>190</v>
      </c>
      <c r="Y299" s="44" t="s">
        <v>204</v>
      </c>
      <c r="Z299" s="44" t="s">
        <v>190</v>
      </c>
      <c r="AB299" s="44" t="s">
        <v>204</v>
      </c>
      <c r="AC299" s="44" t="s">
        <v>190</v>
      </c>
      <c r="AE299" s="44" t="s">
        <v>204</v>
      </c>
      <c r="AF299" s="44" t="s">
        <v>190</v>
      </c>
      <c r="AH299" s="44" t="s">
        <v>204</v>
      </c>
      <c r="AI299" s="44" t="s">
        <v>190</v>
      </c>
      <c r="AK299" s="44" t="s">
        <v>204</v>
      </c>
      <c r="AL299" s="44" t="s">
        <v>190</v>
      </c>
      <c r="AN299" s="44" t="s">
        <v>204</v>
      </c>
      <c r="AO299" s="44" t="s">
        <v>190</v>
      </c>
      <c r="AQ299" s="44" t="s">
        <v>204</v>
      </c>
      <c r="AR299" s="44" t="s">
        <v>190</v>
      </c>
      <c r="AT299" s="44" t="s">
        <v>204</v>
      </c>
      <c r="AU299" s="44" t="s">
        <v>190</v>
      </c>
      <c r="AW299" s="44" t="s">
        <v>204</v>
      </c>
      <c r="AX299" s="44" t="s">
        <v>190</v>
      </c>
      <c r="AZ299" s="44" t="s">
        <v>204</v>
      </c>
      <c r="BA299" s="44" t="s">
        <v>190</v>
      </c>
      <c r="BC299" s="44" t="s">
        <v>204</v>
      </c>
      <c r="BD299" s="44" t="s">
        <v>190</v>
      </c>
      <c r="BF299" s="44" t="s">
        <v>204</v>
      </c>
      <c r="BG299" s="44" t="s">
        <v>190</v>
      </c>
      <c r="BI299" s="44" t="s">
        <v>204</v>
      </c>
      <c r="BJ299" s="44" t="s">
        <v>190</v>
      </c>
      <c r="BL299" s="44" t="s">
        <v>204</v>
      </c>
      <c r="BM299" s="44" t="s">
        <v>190</v>
      </c>
      <c r="BO299" s="44" t="s">
        <v>204</v>
      </c>
      <c r="BP299" s="44" t="s">
        <v>190</v>
      </c>
      <c r="BR299" s="44" t="s">
        <v>204</v>
      </c>
      <c r="BS299" s="44" t="s">
        <v>190</v>
      </c>
      <c r="BU299" s="44" t="s">
        <v>204</v>
      </c>
      <c r="BV299" s="44" t="s">
        <v>190</v>
      </c>
      <c r="BX299" s="44" t="s">
        <v>204</v>
      </c>
      <c r="BY299" s="44" t="s">
        <v>190</v>
      </c>
      <c r="CA299" s="44" t="s">
        <v>204</v>
      </c>
      <c r="CB299" s="44" t="s">
        <v>190</v>
      </c>
      <c r="CD299" s="44" t="s">
        <v>204</v>
      </c>
      <c r="CE299" s="44" t="s">
        <v>190</v>
      </c>
      <c r="CG299" s="44" t="s">
        <v>204</v>
      </c>
      <c r="CH299" s="44" t="s">
        <v>190</v>
      </c>
      <c r="CJ299" s="44" t="s">
        <v>204</v>
      </c>
      <c r="CK299" s="44" t="s">
        <v>190</v>
      </c>
      <c r="CM299" s="44" t="s">
        <v>204</v>
      </c>
      <c r="CN299" s="44" t="s">
        <v>190</v>
      </c>
      <c r="CP299" s="44" t="s">
        <v>204</v>
      </c>
      <c r="CQ299" s="44" t="s">
        <v>190</v>
      </c>
      <c r="CS299" s="44" t="s">
        <v>204</v>
      </c>
      <c r="CT299" s="44" t="s">
        <v>190</v>
      </c>
      <c r="CV299" s="44" t="s">
        <v>204</v>
      </c>
      <c r="CW299" s="44" t="s">
        <v>190</v>
      </c>
    </row>
    <row collapsed="false" customFormat="false" customHeight="false" hidden="false" ht="12.75" outlineLevel="0" r="301">
      <c r="A301" s="44" t="s">
        <v>205</v>
      </c>
      <c r="D301" s="44" t="s">
        <v>205</v>
      </c>
      <c r="G301" s="44" t="s">
        <v>205</v>
      </c>
      <c r="J301" s="44" t="s">
        <v>205</v>
      </c>
      <c r="M301" s="44" t="s">
        <v>205</v>
      </c>
      <c r="P301" s="44" t="s">
        <v>205</v>
      </c>
      <c r="S301" s="44" t="s">
        <v>205</v>
      </c>
      <c r="V301" s="44" t="s">
        <v>205</v>
      </c>
      <c r="Y301" s="44" t="s">
        <v>205</v>
      </c>
      <c r="AB301" s="44" t="s">
        <v>205</v>
      </c>
      <c r="AE301" s="44" t="s">
        <v>205</v>
      </c>
      <c r="AH301" s="44" t="s">
        <v>205</v>
      </c>
      <c r="AK301" s="44" t="s">
        <v>205</v>
      </c>
      <c r="AN301" s="44" t="s">
        <v>205</v>
      </c>
      <c r="AQ301" s="44" t="s">
        <v>205</v>
      </c>
      <c r="AT301" s="44" t="s">
        <v>205</v>
      </c>
      <c r="AW301" s="44" t="s">
        <v>205</v>
      </c>
      <c r="AZ301" s="44" t="s">
        <v>205</v>
      </c>
      <c r="BC301" s="44" t="s">
        <v>205</v>
      </c>
      <c r="BF301" s="44" t="s">
        <v>205</v>
      </c>
      <c r="BI301" s="44" t="s">
        <v>205</v>
      </c>
      <c r="BL301" s="44" t="s">
        <v>205</v>
      </c>
      <c r="BO301" s="44" t="s">
        <v>205</v>
      </c>
      <c r="BR301" s="44" t="s">
        <v>205</v>
      </c>
      <c r="BU301" s="44" t="s">
        <v>205</v>
      </c>
      <c r="BX301" s="44" t="s">
        <v>205</v>
      </c>
      <c r="CA301" s="44" t="s">
        <v>205</v>
      </c>
      <c r="CD301" s="44" t="s">
        <v>205</v>
      </c>
      <c r="CG301" s="44" t="s">
        <v>205</v>
      </c>
      <c r="CJ301" s="44" t="s">
        <v>205</v>
      </c>
      <c r="CM301" s="44" t="s">
        <v>205</v>
      </c>
      <c r="CP301" s="44" t="s">
        <v>205</v>
      </c>
      <c r="CS301" s="44" t="s">
        <v>205</v>
      </c>
      <c r="CV301" s="44" t="s">
        <v>205</v>
      </c>
    </row>
    <row collapsed="false" customFormat="false" customHeight="false" hidden="false" ht="12.75" outlineLevel="0" r="302">
      <c r="A302" s="44" t="s">
        <v>206</v>
      </c>
      <c r="B302" s="44" t="n">
        <v>1</v>
      </c>
      <c r="D302" s="44" t="s">
        <v>206</v>
      </c>
      <c r="E302" s="44" t="n">
        <v>1</v>
      </c>
      <c r="G302" s="44" t="s">
        <v>206</v>
      </c>
      <c r="H302" s="44" t="n">
        <v>1</v>
      </c>
      <c r="J302" s="44" t="s">
        <v>206</v>
      </c>
      <c r="K302" s="44" t="n">
        <v>1</v>
      </c>
      <c r="M302" s="44" t="s">
        <v>206</v>
      </c>
      <c r="N302" s="44" t="n">
        <v>1</v>
      </c>
      <c r="P302" s="44" t="s">
        <v>206</v>
      </c>
      <c r="Q302" s="44" t="n">
        <v>1</v>
      </c>
      <c r="S302" s="44" t="s">
        <v>206</v>
      </c>
      <c r="T302" s="44" t="n">
        <v>1</v>
      </c>
      <c r="V302" s="44" t="s">
        <v>206</v>
      </c>
      <c r="W302" s="44" t="n">
        <v>1</v>
      </c>
      <c r="Y302" s="44" t="s">
        <v>206</v>
      </c>
      <c r="Z302" s="44" t="n">
        <v>1</v>
      </c>
      <c r="AB302" s="44" t="s">
        <v>206</v>
      </c>
      <c r="AC302" s="44" t="n">
        <v>1</v>
      </c>
      <c r="AE302" s="44" t="s">
        <v>206</v>
      </c>
      <c r="AF302" s="44" t="n">
        <v>1</v>
      </c>
      <c r="AH302" s="44" t="s">
        <v>206</v>
      </c>
      <c r="AI302" s="44" t="n">
        <v>1</v>
      </c>
      <c r="AK302" s="44" t="s">
        <v>206</v>
      </c>
      <c r="AL302" s="44" t="n">
        <v>1</v>
      </c>
      <c r="AN302" s="44" t="s">
        <v>206</v>
      </c>
      <c r="AO302" s="44" t="n">
        <v>1</v>
      </c>
      <c r="AQ302" s="44" t="s">
        <v>206</v>
      </c>
      <c r="AR302" s="44" t="n">
        <v>1</v>
      </c>
      <c r="AT302" s="44" t="s">
        <v>206</v>
      </c>
      <c r="AU302" s="44" t="n">
        <v>1</v>
      </c>
      <c r="AW302" s="44" t="s">
        <v>206</v>
      </c>
      <c r="AX302" s="44" t="n">
        <v>1</v>
      </c>
      <c r="AZ302" s="44" t="s">
        <v>206</v>
      </c>
      <c r="BA302" s="44" t="n">
        <v>1</v>
      </c>
      <c r="BC302" s="44" t="s">
        <v>206</v>
      </c>
      <c r="BD302" s="44" t="n">
        <v>1</v>
      </c>
      <c r="BF302" s="44" t="s">
        <v>206</v>
      </c>
      <c r="BG302" s="44" t="n">
        <v>1</v>
      </c>
      <c r="BI302" s="44" t="s">
        <v>206</v>
      </c>
      <c r="BJ302" s="44" t="n">
        <v>1</v>
      </c>
      <c r="BL302" s="44" t="s">
        <v>206</v>
      </c>
      <c r="BM302" s="44" t="n">
        <v>1</v>
      </c>
      <c r="BO302" s="44" t="s">
        <v>206</v>
      </c>
      <c r="BP302" s="44" t="n">
        <v>1</v>
      </c>
      <c r="BR302" s="44" t="s">
        <v>206</v>
      </c>
      <c r="BS302" s="44" t="n">
        <v>1</v>
      </c>
      <c r="BU302" s="44" t="s">
        <v>206</v>
      </c>
      <c r="BV302" s="44" t="n">
        <v>1</v>
      </c>
      <c r="BX302" s="44" t="s">
        <v>206</v>
      </c>
      <c r="BY302" s="44" t="n">
        <v>1</v>
      </c>
      <c r="CA302" s="44" t="s">
        <v>206</v>
      </c>
      <c r="CB302" s="44" t="n">
        <v>1</v>
      </c>
      <c r="CD302" s="44" t="s">
        <v>206</v>
      </c>
      <c r="CE302" s="44" t="n">
        <v>1</v>
      </c>
      <c r="CG302" s="44" t="s">
        <v>206</v>
      </c>
      <c r="CH302" s="44" t="n">
        <v>1</v>
      </c>
      <c r="CJ302" s="44" t="s">
        <v>206</v>
      </c>
      <c r="CK302" s="44" t="n">
        <v>1</v>
      </c>
      <c r="CM302" s="44" t="s">
        <v>206</v>
      </c>
      <c r="CN302" s="44" t="n">
        <v>1</v>
      </c>
      <c r="CP302" s="44" t="s">
        <v>206</v>
      </c>
      <c r="CQ302" s="44" t="n">
        <v>1</v>
      </c>
      <c r="CS302" s="44" t="s">
        <v>206</v>
      </c>
      <c r="CT302" s="44" t="n">
        <v>1</v>
      </c>
      <c r="CV302" s="44" t="s">
        <v>206</v>
      </c>
      <c r="CW302" s="44" t="n">
        <v>1</v>
      </c>
    </row>
    <row collapsed="false" customFormat="false" customHeight="false" hidden="false" ht="12.75" outlineLevel="0" r="304">
      <c r="A304" s="44" t="s">
        <v>207</v>
      </c>
      <c r="B304" s="44" t="n">
        <v>1</v>
      </c>
      <c r="D304" s="44" t="s">
        <v>207</v>
      </c>
      <c r="E304" s="44" t="n">
        <v>1</v>
      </c>
      <c r="G304" s="44" t="s">
        <v>207</v>
      </c>
      <c r="H304" s="44" t="n">
        <v>1</v>
      </c>
      <c r="J304" s="44" t="s">
        <v>207</v>
      </c>
      <c r="K304" s="44" t="n">
        <v>1</v>
      </c>
      <c r="M304" s="44" t="s">
        <v>207</v>
      </c>
      <c r="N304" s="44" t="n">
        <v>1</v>
      </c>
      <c r="P304" s="44" t="s">
        <v>207</v>
      </c>
      <c r="Q304" s="44" t="n">
        <v>1</v>
      </c>
      <c r="S304" s="44" t="s">
        <v>207</v>
      </c>
      <c r="T304" s="44" t="n">
        <v>1</v>
      </c>
      <c r="V304" s="44" t="s">
        <v>207</v>
      </c>
      <c r="W304" s="44" t="n">
        <v>1</v>
      </c>
      <c r="Y304" s="44" t="s">
        <v>207</v>
      </c>
      <c r="Z304" s="44" t="n">
        <v>1</v>
      </c>
      <c r="AB304" s="44" t="s">
        <v>207</v>
      </c>
      <c r="AC304" s="44" t="n">
        <v>1</v>
      </c>
      <c r="AE304" s="44" t="s">
        <v>207</v>
      </c>
      <c r="AF304" s="44" t="n">
        <v>1</v>
      </c>
      <c r="AH304" s="44" t="s">
        <v>207</v>
      </c>
      <c r="AI304" s="44" t="n">
        <v>1</v>
      </c>
      <c r="AK304" s="44" t="s">
        <v>207</v>
      </c>
      <c r="AL304" s="44" t="n">
        <v>1</v>
      </c>
      <c r="AN304" s="44" t="s">
        <v>207</v>
      </c>
      <c r="AO304" s="44" t="n">
        <v>1</v>
      </c>
      <c r="AQ304" s="44" t="s">
        <v>207</v>
      </c>
      <c r="AR304" s="44" t="n">
        <v>1</v>
      </c>
      <c r="AT304" s="44" t="s">
        <v>207</v>
      </c>
      <c r="AU304" s="44" t="n">
        <v>1</v>
      </c>
      <c r="AW304" s="44" t="s">
        <v>207</v>
      </c>
      <c r="AX304" s="44" t="n">
        <v>1</v>
      </c>
      <c r="AZ304" s="44" t="s">
        <v>207</v>
      </c>
      <c r="BA304" s="44" t="n">
        <v>1</v>
      </c>
      <c r="BC304" s="44" t="s">
        <v>207</v>
      </c>
      <c r="BD304" s="44" t="n">
        <v>1</v>
      </c>
      <c r="BF304" s="44" t="s">
        <v>207</v>
      </c>
      <c r="BG304" s="44" t="n">
        <v>1</v>
      </c>
      <c r="BI304" s="44" t="s">
        <v>207</v>
      </c>
      <c r="BJ304" s="44" t="n">
        <v>1</v>
      </c>
      <c r="BL304" s="44" t="s">
        <v>207</v>
      </c>
      <c r="BM304" s="44" t="n">
        <v>1</v>
      </c>
      <c r="BO304" s="44" t="s">
        <v>207</v>
      </c>
      <c r="BP304" s="44" t="n">
        <v>1</v>
      </c>
      <c r="BR304" s="44" t="s">
        <v>207</v>
      </c>
      <c r="BS304" s="44" t="n">
        <v>1</v>
      </c>
      <c r="BU304" s="44" t="s">
        <v>207</v>
      </c>
      <c r="BV304" s="44" t="n">
        <v>1</v>
      </c>
      <c r="BX304" s="44" t="s">
        <v>207</v>
      </c>
      <c r="BY304" s="44" t="n">
        <v>1</v>
      </c>
      <c r="CA304" s="44" t="s">
        <v>207</v>
      </c>
      <c r="CB304" s="44" t="n">
        <v>1</v>
      </c>
      <c r="CD304" s="44" t="s">
        <v>207</v>
      </c>
      <c r="CE304" s="44" t="n">
        <v>1</v>
      </c>
      <c r="CG304" s="44" t="s">
        <v>207</v>
      </c>
      <c r="CH304" s="44" t="n">
        <v>1</v>
      </c>
      <c r="CJ304" s="44" t="s">
        <v>207</v>
      </c>
      <c r="CK304" s="44" t="n">
        <v>1</v>
      </c>
      <c r="CM304" s="44" t="s">
        <v>207</v>
      </c>
      <c r="CN304" s="44" t="n">
        <v>1</v>
      </c>
      <c r="CP304" s="44" t="s">
        <v>207</v>
      </c>
      <c r="CQ304" s="44" t="n">
        <v>1</v>
      </c>
      <c r="CS304" s="44" t="s">
        <v>207</v>
      </c>
      <c r="CT304" s="44" t="n">
        <v>1</v>
      </c>
      <c r="CV304" s="44" t="s">
        <v>207</v>
      </c>
      <c r="CW304" s="44" t="n">
        <v>1</v>
      </c>
    </row>
    <row collapsed="false" customFormat="false" customHeight="false" hidden="false" ht="12.75" outlineLevel="0" r="306">
      <c r="A306" s="44" t="s">
        <v>208</v>
      </c>
      <c r="B306" s="44" t="n">
        <v>1</v>
      </c>
      <c r="D306" s="44" t="s">
        <v>208</v>
      </c>
      <c r="E306" s="44" t="n">
        <v>1</v>
      </c>
      <c r="G306" s="44" t="s">
        <v>208</v>
      </c>
      <c r="H306" s="44" t="n">
        <v>1</v>
      </c>
      <c r="J306" s="44" t="s">
        <v>208</v>
      </c>
      <c r="K306" s="44" t="n">
        <v>1</v>
      </c>
      <c r="M306" s="44" t="s">
        <v>208</v>
      </c>
      <c r="N306" s="44" t="n">
        <v>1</v>
      </c>
      <c r="P306" s="44" t="s">
        <v>208</v>
      </c>
      <c r="Q306" s="44" t="n">
        <v>1</v>
      </c>
      <c r="S306" s="44" t="s">
        <v>208</v>
      </c>
      <c r="T306" s="44" t="n">
        <v>1</v>
      </c>
      <c r="V306" s="44" t="s">
        <v>208</v>
      </c>
      <c r="W306" s="44" t="n">
        <v>1</v>
      </c>
      <c r="Y306" s="44" t="s">
        <v>208</v>
      </c>
      <c r="Z306" s="44" t="n">
        <v>1</v>
      </c>
      <c r="AB306" s="44" t="s">
        <v>208</v>
      </c>
      <c r="AC306" s="44" t="n">
        <v>1</v>
      </c>
      <c r="AE306" s="44" t="s">
        <v>208</v>
      </c>
      <c r="AF306" s="44" t="n">
        <v>1</v>
      </c>
      <c r="AH306" s="44" t="s">
        <v>208</v>
      </c>
      <c r="AI306" s="44" t="n">
        <v>1</v>
      </c>
      <c r="AK306" s="44" t="s">
        <v>208</v>
      </c>
      <c r="AL306" s="44" t="n">
        <v>1</v>
      </c>
      <c r="AN306" s="44" t="s">
        <v>208</v>
      </c>
      <c r="AO306" s="44" t="n">
        <v>1</v>
      </c>
      <c r="AQ306" s="44" t="s">
        <v>208</v>
      </c>
      <c r="AR306" s="44" t="n">
        <v>1</v>
      </c>
      <c r="AT306" s="44" t="s">
        <v>208</v>
      </c>
      <c r="AU306" s="44" t="n">
        <v>1</v>
      </c>
      <c r="AW306" s="44" t="s">
        <v>208</v>
      </c>
      <c r="AX306" s="44" t="n">
        <v>1</v>
      </c>
      <c r="AZ306" s="44" t="s">
        <v>208</v>
      </c>
      <c r="BA306" s="44" t="n">
        <v>1</v>
      </c>
      <c r="BC306" s="44" t="s">
        <v>208</v>
      </c>
      <c r="BD306" s="44" t="n">
        <v>1</v>
      </c>
      <c r="BF306" s="44" t="s">
        <v>208</v>
      </c>
      <c r="BG306" s="44" t="n">
        <v>1</v>
      </c>
      <c r="BI306" s="44" t="s">
        <v>208</v>
      </c>
      <c r="BJ306" s="44" t="n">
        <v>1</v>
      </c>
      <c r="BL306" s="44" t="s">
        <v>208</v>
      </c>
      <c r="BM306" s="44" t="n">
        <v>1</v>
      </c>
      <c r="BO306" s="44" t="s">
        <v>208</v>
      </c>
      <c r="BP306" s="44" t="n">
        <v>1</v>
      </c>
      <c r="BR306" s="44" t="s">
        <v>208</v>
      </c>
      <c r="BS306" s="44" t="n">
        <v>1</v>
      </c>
      <c r="BU306" s="44" t="s">
        <v>208</v>
      </c>
      <c r="BV306" s="44" t="n">
        <v>1</v>
      </c>
      <c r="BX306" s="44" t="s">
        <v>208</v>
      </c>
      <c r="BY306" s="44" t="n">
        <v>1</v>
      </c>
      <c r="CA306" s="44" t="s">
        <v>208</v>
      </c>
      <c r="CB306" s="44" t="n">
        <v>1</v>
      </c>
      <c r="CD306" s="44" t="s">
        <v>208</v>
      </c>
      <c r="CE306" s="44" t="n">
        <v>1</v>
      </c>
      <c r="CG306" s="44" t="s">
        <v>208</v>
      </c>
      <c r="CH306" s="44" t="n">
        <v>1</v>
      </c>
      <c r="CJ306" s="44" t="s">
        <v>208</v>
      </c>
      <c r="CK306" s="44" t="n">
        <v>1</v>
      </c>
      <c r="CM306" s="44" t="s">
        <v>208</v>
      </c>
      <c r="CN306" s="44" t="n">
        <v>1</v>
      </c>
      <c r="CP306" s="44" t="s">
        <v>208</v>
      </c>
      <c r="CQ306" s="44" t="n">
        <v>1</v>
      </c>
      <c r="CS306" s="44" t="s">
        <v>208</v>
      </c>
      <c r="CT306" s="44" t="n">
        <v>1</v>
      </c>
      <c r="CV306" s="44" t="s">
        <v>208</v>
      </c>
      <c r="CW306" s="44" t="n">
        <v>1</v>
      </c>
    </row>
    <row collapsed="false" customFormat="false" customHeight="false" hidden="false" ht="12.75" outlineLevel="0" r="308">
      <c r="A308" s="44" t="s">
        <v>209</v>
      </c>
      <c r="B308" s="44" t="n">
        <v>1</v>
      </c>
      <c r="D308" s="44" t="s">
        <v>209</v>
      </c>
      <c r="E308" s="44" t="n">
        <v>1</v>
      </c>
      <c r="G308" s="44" t="s">
        <v>209</v>
      </c>
      <c r="H308" s="44" t="n">
        <v>1</v>
      </c>
      <c r="J308" s="44" t="s">
        <v>209</v>
      </c>
      <c r="K308" s="44" t="n">
        <v>1</v>
      </c>
      <c r="M308" s="44" t="s">
        <v>209</v>
      </c>
      <c r="N308" s="44" t="n">
        <v>1</v>
      </c>
      <c r="P308" s="44" t="s">
        <v>209</v>
      </c>
      <c r="Q308" s="44" t="n">
        <v>1</v>
      </c>
      <c r="S308" s="44" t="s">
        <v>209</v>
      </c>
      <c r="T308" s="44" t="n">
        <v>1</v>
      </c>
      <c r="V308" s="44" t="s">
        <v>209</v>
      </c>
      <c r="W308" s="44" t="n">
        <v>1</v>
      </c>
      <c r="Y308" s="44" t="s">
        <v>209</v>
      </c>
      <c r="Z308" s="44" t="n">
        <v>1</v>
      </c>
      <c r="AB308" s="44" t="s">
        <v>209</v>
      </c>
      <c r="AC308" s="44" t="n">
        <v>1</v>
      </c>
      <c r="AE308" s="44" t="s">
        <v>209</v>
      </c>
      <c r="AF308" s="44" t="n">
        <v>1</v>
      </c>
      <c r="AH308" s="44" t="s">
        <v>209</v>
      </c>
      <c r="AI308" s="44" t="n">
        <v>1</v>
      </c>
      <c r="AK308" s="44" t="s">
        <v>209</v>
      </c>
      <c r="AL308" s="44" t="n">
        <v>1</v>
      </c>
      <c r="AN308" s="44" t="s">
        <v>209</v>
      </c>
      <c r="AO308" s="44" t="n">
        <v>1</v>
      </c>
      <c r="AQ308" s="44" t="s">
        <v>209</v>
      </c>
      <c r="AR308" s="44" t="n">
        <v>1</v>
      </c>
      <c r="AT308" s="44" t="s">
        <v>209</v>
      </c>
      <c r="AU308" s="44" t="n">
        <v>1</v>
      </c>
      <c r="AW308" s="44" t="s">
        <v>209</v>
      </c>
      <c r="AX308" s="44" t="n">
        <v>1</v>
      </c>
      <c r="AZ308" s="44" t="s">
        <v>209</v>
      </c>
      <c r="BA308" s="44" t="n">
        <v>1</v>
      </c>
      <c r="BC308" s="44" t="s">
        <v>209</v>
      </c>
      <c r="BD308" s="44" t="n">
        <v>1</v>
      </c>
      <c r="BF308" s="44" t="s">
        <v>209</v>
      </c>
      <c r="BG308" s="44" t="n">
        <v>1</v>
      </c>
      <c r="BI308" s="44" t="s">
        <v>209</v>
      </c>
      <c r="BJ308" s="44" t="n">
        <v>1</v>
      </c>
      <c r="BL308" s="44" t="s">
        <v>209</v>
      </c>
      <c r="BM308" s="44" t="n">
        <v>1</v>
      </c>
      <c r="BO308" s="44" t="s">
        <v>209</v>
      </c>
      <c r="BP308" s="44" t="n">
        <v>1</v>
      </c>
      <c r="BR308" s="44" t="s">
        <v>209</v>
      </c>
      <c r="BS308" s="44" t="n">
        <v>1</v>
      </c>
      <c r="BU308" s="44" t="s">
        <v>209</v>
      </c>
      <c r="BV308" s="44" t="n">
        <v>1</v>
      </c>
      <c r="BX308" s="44" t="s">
        <v>209</v>
      </c>
      <c r="BY308" s="44" t="n">
        <v>1</v>
      </c>
      <c r="CA308" s="44" t="s">
        <v>209</v>
      </c>
      <c r="CB308" s="44" t="n">
        <v>1</v>
      </c>
      <c r="CD308" s="44" t="s">
        <v>209</v>
      </c>
      <c r="CE308" s="44" t="n">
        <v>1</v>
      </c>
      <c r="CG308" s="44" t="s">
        <v>209</v>
      </c>
      <c r="CH308" s="44" t="n">
        <v>1</v>
      </c>
      <c r="CJ308" s="44" t="s">
        <v>209</v>
      </c>
      <c r="CK308" s="44" t="n">
        <v>1</v>
      </c>
      <c r="CM308" s="44" t="s">
        <v>209</v>
      </c>
      <c r="CN308" s="44" t="n">
        <v>1</v>
      </c>
      <c r="CP308" s="44" t="s">
        <v>209</v>
      </c>
      <c r="CQ308" s="44" t="n">
        <v>1</v>
      </c>
      <c r="CS308" s="44" t="s">
        <v>209</v>
      </c>
      <c r="CT308" s="44" t="n">
        <v>1</v>
      </c>
      <c r="CV308" s="44" t="s">
        <v>209</v>
      </c>
      <c r="CW308" s="44" t="n">
        <v>1</v>
      </c>
    </row>
    <row collapsed="false" customFormat="false" customHeight="false" hidden="false" ht="12.75" outlineLevel="0" r="310">
      <c r="A310" s="44" t="s">
        <v>210</v>
      </c>
      <c r="B310" s="44" t="n">
        <v>1</v>
      </c>
      <c r="D310" s="44" t="s">
        <v>210</v>
      </c>
      <c r="E310" s="44" t="n">
        <v>1</v>
      </c>
      <c r="G310" s="44" t="s">
        <v>210</v>
      </c>
      <c r="H310" s="44" t="n">
        <v>1</v>
      </c>
      <c r="J310" s="44" t="s">
        <v>210</v>
      </c>
      <c r="K310" s="44" t="n">
        <v>1</v>
      </c>
      <c r="M310" s="44" t="s">
        <v>210</v>
      </c>
      <c r="N310" s="44" t="n">
        <v>1</v>
      </c>
      <c r="P310" s="44" t="s">
        <v>210</v>
      </c>
      <c r="Q310" s="44" t="n">
        <v>1</v>
      </c>
      <c r="S310" s="44" t="s">
        <v>210</v>
      </c>
      <c r="T310" s="44" t="n">
        <v>1</v>
      </c>
      <c r="V310" s="44" t="s">
        <v>210</v>
      </c>
      <c r="W310" s="44" t="n">
        <v>1</v>
      </c>
      <c r="Y310" s="44" t="s">
        <v>210</v>
      </c>
      <c r="Z310" s="44" t="n">
        <v>1</v>
      </c>
      <c r="AB310" s="44" t="s">
        <v>210</v>
      </c>
      <c r="AC310" s="44" t="n">
        <v>1</v>
      </c>
      <c r="AE310" s="44" t="s">
        <v>210</v>
      </c>
      <c r="AF310" s="44" t="n">
        <v>1</v>
      </c>
      <c r="AH310" s="44" t="s">
        <v>210</v>
      </c>
      <c r="AI310" s="44" t="n">
        <v>1</v>
      </c>
      <c r="AK310" s="44" t="s">
        <v>210</v>
      </c>
      <c r="AL310" s="44" t="n">
        <v>1</v>
      </c>
      <c r="AN310" s="44" t="s">
        <v>210</v>
      </c>
      <c r="AO310" s="44" t="n">
        <v>1</v>
      </c>
      <c r="AQ310" s="44" t="s">
        <v>210</v>
      </c>
      <c r="AR310" s="44" t="n">
        <v>1</v>
      </c>
      <c r="AT310" s="44" t="s">
        <v>210</v>
      </c>
      <c r="AU310" s="44" t="n">
        <v>1</v>
      </c>
      <c r="AW310" s="44" t="s">
        <v>210</v>
      </c>
      <c r="AX310" s="44" t="n">
        <v>1</v>
      </c>
      <c r="AZ310" s="44" t="s">
        <v>210</v>
      </c>
      <c r="BA310" s="44" t="n">
        <v>1</v>
      </c>
      <c r="BC310" s="44" t="s">
        <v>210</v>
      </c>
      <c r="BD310" s="44" t="n">
        <v>1</v>
      </c>
      <c r="BF310" s="44" t="s">
        <v>210</v>
      </c>
      <c r="BG310" s="44" t="n">
        <v>1</v>
      </c>
      <c r="BI310" s="44" t="s">
        <v>210</v>
      </c>
      <c r="BJ310" s="44" t="n">
        <v>1</v>
      </c>
      <c r="BL310" s="44" t="s">
        <v>210</v>
      </c>
      <c r="BM310" s="44" t="n">
        <v>1</v>
      </c>
      <c r="BO310" s="44" t="s">
        <v>210</v>
      </c>
      <c r="BP310" s="44" t="n">
        <v>1</v>
      </c>
      <c r="BR310" s="44" t="s">
        <v>210</v>
      </c>
      <c r="BS310" s="44" t="n">
        <v>1</v>
      </c>
      <c r="BU310" s="44" t="s">
        <v>210</v>
      </c>
      <c r="BV310" s="44" t="n">
        <v>1</v>
      </c>
      <c r="BX310" s="44" t="s">
        <v>210</v>
      </c>
      <c r="BY310" s="44" t="n">
        <v>1</v>
      </c>
      <c r="CA310" s="44" t="s">
        <v>210</v>
      </c>
      <c r="CB310" s="44" t="n">
        <v>1</v>
      </c>
      <c r="CD310" s="44" t="s">
        <v>210</v>
      </c>
      <c r="CE310" s="44" t="n">
        <v>1</v>
      </c>
      <c r="CG310" s="44" t="s">
        <v>210</v>
      </c>
      <c r="CH310" s="44" t="n">
        <v>1</v>
      </c>
      <c r="CJ310" s="44" t="s">
        <v>210</v>
      </c>
      <c r="CK310" s="44" t="n">
        <v>1</v>
      </c>
      <c r="CM310" s="44" t="s">
        <v>210</v>
      </c>
      <c r="CN310" s="44" t="n">
        <v>1</v>
      </c>
      <c r="CP310" s="44" t="s">
        <v>210</v>
      </c>
      <c r="CQ310" s="44" t="n">
        <v>1</v>
      </c>
      <c r="CS310" s="44" t="s">
        <v>210</v>
      </c>
      <c r="CT310" s="44" t="n">
        <v>1</v>
      </c>
      <c r="CV310" s="44" t="s">
        <v>210</v>
      </c>
      <c r="CW310" s="44" t="n">
        <v>1</v>
      </c>
    </row>
    <row collapsed="false" customFormat="false" customHeight="false" hidden="false" ht="12.75" outlineLevel="0" r="312">
      <c r="A312" s="44" t="s">
        <v>211</v>
      </c>
      <c r="B312" s="44" t="n">
        <v>1</v>
      </c>
      <c r="D312" s="44" t="s">
        <v>211</v>
      </c>
      <c r="E312" s="44" t="n">
        <v>1</v>
      </c>
      <c r="G312" s="44" t="s">
        <v>211</v>
      </c>
      <c r="H312" s="44" t="n">
        <v>1</v>
      </c>
      <c r="J312" s="44" t="s">
        <v>211</v>
      </c>
      <c r="K312" s="44" t="n">
        <v>1</v>
      </c>
      <c r="M312" s="44" t="s">
        <v>211</v>
      </c>
      <c r="N312" s="44" t="n">
        <v>1</v>
      </c>
      <c r="P312" s="44" t="s">
        <v>211</v>
      </c>
      <c r="Q312" s="44" t="n">
        <v>1</v>
      </c>
      <c r="S312" s="44" t="s">
        <v>211</v>
      </c>
      <c r="T312" s="44" t="n">
        <v>1</v>
      </c>
      <c r="V312" s="44" t="s">
        <v>211</v>
      </c>
      <c r="W312" s="44" t="n">
        <v>1</v>
      </c>
      <c r="Y312" s="44" t="s">
        <v>211</v>
      </c>
      <c r="Z312" s="44" t="n">
        <v>1</v>
      </c>
      <c r="AB312" s="44" t="s">
        <v>211</v>
      </c>
      <c r="AC312" s="44" t="n">
        <v>1</v>
      </c>
      <c r="AE312" s="44" t="s">
        <v>211</v>
      </c>
      <c r="AF312" s="44" t="n">
        <v>1</v>
      </c>
      <c r="AH312" s="44" t="s">
        <v>211</v>
      </c>
      <c r="AI312" s="44" t="n">
        <v>1</v>
      </c>
      <c r="AK312" s="44" t="s">
        <v>211</v>
      </c>
      <c r="AL312" s="44" t="n">
        <v>1</v>
      </c>
      <c r="AN312" s="44" t="s">
        <v>211</v>
      </c>
      <c r="AO312" s="44" t="n">
        <v>1</v>
      </c>
      <c r="AQ312" s="44" t="s">
        <v>211</v>
      </c>
      <c r="AR312" s="44" t="n">
        <v>1</v>
      </c>
      <c r="AT312" s="44" t="s">
        <v>211</v>
      </c>
      <c r="AU312" s="44" t="n">
        <v>1</v>
      </c>
      <c r="AW312" s="44" t="s">
        <v>211</v>
      </c>
      <c r="AX312" s="44" t="n">
        <v>1</v>
      </c>
      <c r="AZ312" s="44" t="s">
        <v>211</v>
      </c>
      <c r="BA312" s="44" t="n">
        <v>1</v>
      </c>
      <c r="BC312" s="44" t="s">
        <v>211</v>
      </c>
      <c r="BD312" s="44" t="n">
        <v>1</v>
      </c>
      <c r="BF312" s="44" t="s">
        <v>211</v>
      </c>
      <c r="BG312" s="44" t="n">
        <v>1</v>
      </c>
      <c r="BI312" s="44" t="s">
        <v>211</v>
      </c>
      <c r="BJ312" s="44" t="n">
        <v>1</v>
      </c>
      <c r="BL312" s="44" t="s">
        <v>211</v>
      </c>
      <c r="BM312" s="44" t="n">
        <v>1</v>
      </c>
      <c r="BO312" s="44" t="s">
        <v>211</v>
      </c>
      <c r="BP312" s="44" t="n">
        <v>1</v>
      </c>
      <c r="BR312" s="44" t="s">
        <v>211</v>
      </c>
      <c r="BS312" s="44" t="n">
        <v>1</v>
      </c>
      <c r="BU312" s="44" t="s">
        <v>211</v>
      </c>
      <c r="BV312" s="44" t="n">
        <v>1</v>
      </c>
      <c r="BX312" s="44" t="s">
        <v>211</v>
      </c>
      <c r="BY312" s="44" t="n">
        <v>1</v>
      </c>
      <c r="CA312" s="44" t="s">
        <v>211</v>
      </c>
      <c r="CB312" s="44" t="n">
        <v>1</v>
      </c>
      <c r="CD312" s="44" t="s">
        <v>211</v>
      </c>
      <c r="CE312" s="44" t="n">
        <v>1</v>
      </c>
      <c r="CG312" s="44" t="s">
        <v>211</v>
      </c>
      <c r="CH312" s="44" t="n">
        <v>1</v>
      </c>
      <c r="CJ312" s="44" t="s">
        <v>211</v>
      </c>
      <c r="CK312" s="44" t="n">
        <v>1</v>
      </c>
      <c r="CM312" s="44" t="s">
        <v>211</v>
      </c>
      <c r="CN312" s="44" t="n">
        <v>1</v>
      </c>
      <c r="CP312" s="44" t="s">
        <v>211</v>
      </c>
      <c r="CQ312" s="44" t="n">
        <v>1</v>
      </c>
      <c r="CS312" s="44" t="s">
        <v>211</v>
      </c>
      <c r="CT312" s="44" t="n">
        <v>1</v>
      </c>
      <c r="CV312" s="44" t="s">
        <v>211</v>
      </c>
      <c r="CW312" s="44" t="n">
        <v>1</v>
      </c>
    </row>
    <row collapsed="false" customFormat="false" customHeight="false" hidden="false" ht="12.75" outlineLevel="0" r="314">
      <c r="A314" s="44" t="s">
        <v>212</v>
      </c>
      <c r="B314" s="44" t="n">
        <v>1</v>
      </c>
      <c r="D314" s="44" t="s">
        <v>212</v>
      </c>
      <c r="E314" s="44" t="n">
        <v>1</v>
      </c>
      <c r="G314" s="44" t="s">
        <v>212</v>
      </c>
      <c r="H314" s="44" t="n">
        <v>1</v>
      </c>
      <c r="J314" s="44" t="s">
        <v>212</v>
      </c>
      <c r="K314" s="44" t="n">
        <v>1</v>
      </c>
      <c r="M314" s="44" t="s">
        <v>212</v>
      </c>
      <c r="N314" s="44" t="n">
        <v>1</v>
      </c>
      <c r="P314" s="44" t="s">
        <v>212</v>
      </c>
      <c r="Q314" s="44" t="n">
        <v>1</v>
      </c>
      <c r="S314" s="44" t="s">
        <v>212</v>
      </c>
      <c r="T314" s="44" t="n">
        <v>1</v>
      </c>
      <c r="V314" s="44" t="s">
        <v>212</v>
      </c>
      <c r="W314" s="44" t="n">
        <v>1</v>
      </c>
      <c r="Y314" s="44" t="s">
        <v>212</v>
      </c>
      <c r="Z314" s="44" t="n">
        <v>1</v>
      </c>
      <c r="AB314" s="44" t="s">
        <v>212</v>
      </c>
      <c r="AC314" s="44" t="n">
        <v>1</v>
      </c>
      <c r="AE314" s="44" t="s">
        <v>212</v>
      </c>
      <c r="AF314" s="44" t="n">
        <v>1</v>
      </c>
      <c r="AH314" s="44" t="s">
        <v>212</v>
      </c>
      <c r="AI314" s="44" t="n">
        <v>1</v>
      </c>
      <c r="AK314" s="44" t="s">
        <v>212</v>
      </c>
      <c r="AL314" s="44" t="n">
        <v>1</v>
      </c>
      <c r="AN314" s="44" t="s">
        <v>212</v>
      </c>
      <c r="AO314" s="44" t="n">
        <v>1</v>
      </c>
      <c r="AQ314" s="44" t="s">
        <v>212</v>
      </c>
      <c r="AR314" s="44" t="n">
        <v>1</v>
      </c>
      <c r="AT314" s="44" t="s">
        <v>212</v>
      </c>
      <c r="AU314" s="44" t="n">
        <v>1</v>
      </c>
      <c r="AW314" s="44" t="s">
        <v>212</v>
      </c>
      <c r="AX314" s="44" t="n">
        <v>1</v>
      </c>
      <c r="AZ314" s="44" t="s">
        <v>212</v>
      </c>
      <c r="BA314" s="44" t="n">
        <v>1</v>
      </c>
      <c r="BC314" s="44" t="s">
        <v>212</v>
      </c>
      <c r="BD314" s="44" t="n">
        <v>1</v>
      </c>
      <c r="BF314" s="44" t="s">
        <v>212</v>
      </c>
      <c r="BG314" s="44" t="n">
        <v>1</v>
      </c>
      <c r="BI314" s="44" t="s">
        <v>212</v>
      </c>
      <c r="BJ314" s="44" t="n">
        <v>1</v>
      </c>
      <c r="BL314" s="44" t="s">
        <v>212</v>
      </c>
      <c r="BM314" s="44" t="n">
        <v>1</v>
      </c>
      <c r="BO314" s="44" t="s">
        <v>212</v>
      </c>
      <c r="BP314" s="44" t="n">
        <v>1</v>
      </c>
      <c r="BR314" s="44" t="s">
        <v>212</v>
      </c>
      <c r="BS314" s="44" t="n">
        <v>1</v>
      </c>
      <c r="BU314" s="44" t="s">
        <v>212</v>
      </c>
      <c r="BV314" s="44" t="n">
        <v>1</v>
      </c>
      <c r="BX314" s="44" t="s">
        <v>212</v>
      </c>
      <c r="BY314" s="44" t="n">
        <v>1</v>
      </c>
      <c r="CA314" s="44" t="s">
        <v>212</v>
      </c>
      <c r="CB314" s="44" t="n">
        <v>1</v>
      </c>
      <c r="CD314" s="44" t="s">
        <v>212</v>
      </c>
      <c r="CE314" s="44" t="n">
        <v>1</v>
      </c>
      <c r="CG314" s="44" t="s">
        <v>212</v>
      </c>
      <c r="CH314" s="44" t="n">
        <v>1</v>
      </c>
      <c r="CJ314" s="44" t="s">
        <v>212</v>
      </c>
      <c r="CK314" s="44" t="n">
        <v>1</v>
      </c>
      <c r="CM314" s="44" t="s">
        <v>212</v>
      </c>
      <c r="CN314" s="44" t="n">
        <v>1</v>
      </c>
      <c r="CP314" s="44" t="s">
        <v>212</v>
      </c>
      <c r="CQ314" s="44" t="n">
        <v>1</v>
      </c>
      <c r="CS314" s="44" t="s">
        <v>212</v>
      </c>
      <c r="CT314" s="44" t="n">
        <v>1</v>
      </c>
      <c r="CV314" s="44" t="s">
        <v>212</v>
      </c>
      <c r="CW314" s="44" t="n">
        <v>1</v>
      </c>
    </row>
    <row collapsed="false" customFormat="false" customHeight="false" hidden="false" ht="12.75" outlineLevel="0" r="316">
      <c r="A316" s="44" t="s">
        <v>213</v>
      </c>
      <c r="B316" s="44" t="n">
        <v>1</v>
      </c>
      <c r="D316" s="44" t="s">
        <v>213</v>
      </c>
      <c r="E316" s="44" t="n">
        <v>1</v>
      </c>
      <c r="G316" s="44" t="s">
        <v>213</v>
      </c>
      <c r="H316" s="44" t="n">
        <v>1</v>
      </c>
      <c r="J316" s="44" t="s">
        <v>213</v>
      </c>
      <c r="K316" s="44" t="n">
        <v>1</v>
      </c>
      <c r="M316" s="44" t="s">
        <v>213</v>
      </c>
      <c r="N316" s="44" t="n">
        <v>1</v>
      </c>
      <c r="P316" s="44" t="s">
        <v>213</v>
      </c>
      <c r="Q316" s="44" t="n">
        <v>1</v>
      </c>
      <c r="S316" s="44" t="s">
        <v>213</v>
      </c>
      <c r="T316" s="44" t="n">
        <v>1</v>
      </c>
      <c r="V316" s="44" t="s">
        <v>213</v>
      </c>
      <c r="W316" s="44" t="n">
        <v>1</v>
      </c>
      <c r="Y316" s="44" t="s">
        <v>213</v>
      </c>
      <c r="Z316" s="44" t="n">
        <v>1</v>
      </c>
      <c r="AB316" s="44" t="s">
        <v>213</v>
      </c>
      <c r="AC316" s="44" t="n">
        <v>1</v>
      </c>
      <c r="AE316" s="44" t="s">
        <v>213</v>
      </c>
      <c r="AF316" s="44" t="n">
        <v>1</v>
      </c>
      <c r="AH316" s="44" t="s">
        <v>213</v>
      </c>
      <c r="AI316" s="44" t="n">
        <v>1</v>
      </c>
      <c r="AK316" s="44" t="s">
        <v>213</v>
      </c>
      <c r="AL316" s="44" t="n">
        <v>1</v>
      </c>
      <c r="AN316" s="44" t="s">
        <v>213</v>
      </c>
      <c r="AO316" s="44" t="n">
        <v>1</v>
      </c>
      <c r="AQ316" s="44" t="s">
        <v>213</v>
      </c>
      <c r="AR316" s="44" t="n">
        <v>1</v>
      </c>
      <c r="AT316" s="44" t="s">
        <v>213</v>
      </c>
      <c r="AU316" s="44" t="n">
        <v>1</v>
      </c>
      <c r="AW316" s="44" t="s">
        <v>213</v>
      </c>
      <c r="AX316" s="44" t="n">
        <v>1</v>
      </c>
      <c r="AZ316" s="44" t="s">
        <v>213</v>
      </c>
      <c r="BA316" s="44" t="n">
        <v>1</v>
      </c>
      <c r="BC316" s="44" t="s">
        <v>213</v>
      </c>
      <c r="BD316" s="44" t="n">
        <v>1</v>
      </c>
      <c r="BF316" s="44" t="s">
        <v>213</v>
      </c>
      <c r="BG316" s="44" t="n">
        <v>1</v>
      </c>
      <c r="BI316" s="44" t="s">
        <v>213</v>
      </c>
      <c r="BJ316" s="44" t="n">
        <v>1</v>
      </c>
      <c r="BL316" s="44" t="s">
        <v>213</v>
      </c>
      <c r="BM316" s="44" t="n">
        <v>1</v>
      </c>
      <c r="BO316" s="44" t="s">
        <v>213</v>
      </c>
      <c r="BP316" s="44" t="n">
        <v>1</v>
      </c>
      <c r="BR316" s="44" t="s">
        <v>213</v>
      </c>
      <c r="BS316" s="44" t="n">
        <v>1</v>
      </c>
      <c r="BU316" s="44" t="s">
        <v>213</v>
      </c>
      <c r="BV316" s="44" t="n">
        <v>1</v>
      </c>
      <c r="BX316" s="44" t="s">
        <v>213</v>
      </c>
      <c r="BY316" s="44" t="n">
        <v>1</v>
      </c>
      <c r="CA316" s="44" t="s">
        <v>213</v>
      </c>
      <c r="CB316" s="44" t="n">
        <v>1</v>
      </c>
      <c r="CD316" s="44" t="s">
        <v>213</v>
      </c>
      <c r="CE316" s="44" t="n">
        <v>1</v>
      </c>
      <c r="CG316" s="44" t="s">
        <v>213</v>
      </c>
      <c r="CH316" s="44" t="n">
        <v>1</v>
      </c>
      <c r="CJ316" s="44" t="s">
        <v>213</v>
      </c>
      <c r="CK316" s="44" t="n">
        <v>1</v>
      </c>
      <c r="CM316" s="44" t="s">
        <v>213</v>
      </c>
      <c r="CN316" s="44" t="n">
        <v>1</v>
      </c>
      <c r="CP316" s="44" t="s">
        <v>213</v>
      </c>
      <c r="CQ316" s="44" t="n">
        <v>1</v>
      </c>
      <c r="CS316" s="44" t="s">
        <v>213</v>
      </c>
      <c r="CT316" s="44" t="n">
        <v>1</v>
      </c>
      <c r="CV316" s="44" t="s">
        <v>213</v>
      </c>
      <c r="CW316" s="44" t="n">
        <v>1</v>
      </c>
    </row>
    <row collapsed="false" customFormat="false" customHeight="false" hidden="false" ht="12.75" outlineLevel="0" r="320">
      <c r="A320" s="44" t="s">
        <v>208</v>
      </c>
      <c r="B320" s="44" t="n">
        <v>1</v>
      </c>
      <c r="D320" s="44" t="s">
        <v>208</v>
      </c>
      <c r="E320" s="44" t="n">
        <v>1</v>
      </c>
      <c r="G320" s="44" t="s">
        <v>208</v>
      </c>
      <c r="H320" s="44" t="n">
        <v>1</v>
      </c>
      <c r="J320" s="44" t="s">
        <v>208</v>
      </c>
      <c r="K320" s="44" t="n">
        <v>1</v>
      </c>
      <c r="M320" s="44" t="s">
        <v>208</v>
      </c>
      <c r="N320" s="44" t="n">
        <v>1</v>
      </c>
      <c r="P320" s="44" t="s">
        <v>208</v>
      </c>
      <c r="Q320" s="44" t="n">
        <v>1</v>
      </c>
      <c r="S320" s="44" t="s">
        <v>208</v>
      </c>
      <c r="T320" s="44" t="n">
        <v>1</v>
      </c>
      <c r="V320" s="44" t="s">
        <v>208</v>
      </c>
      <c r="W320" s="44" t="n">
        <v>1</v>
      </c>
      <c r="Y320" s="44" t="s">
        <v>208</v>
      </c>
      <c r="Z320" s="44" t="n">
        <v>1</v>
      </c>
      <c r="AB320" s="44" t="s">
        <v>208</v>
      </c>
      <c r="AC320" s="44" t="n">
        <v>1</v>
      </c>
      <c r="AE320" s="44" t="s">
        <v>208</v>
      </c>
      <c r="AF320" s="44" t="n">
        <v>1</v>
      </c>
      <c r="AH320" s="44" t="s">
        <v>208</v>
      </c>
      <c r="AI320" s="44" t="n">
        <v>1</v>
      </c>
      <c r="AK320" s="44" t="s">
        <v>208</v>
      </c>
      <c r="AL320" s="44" t="n">
        <v>1</v>
      </c>
      <c r="AN320" s="44" t="s">
        <v>208</v>
      </c>
      <c r="AO320" s="44" t="n">
        <v>1</v>
      </c>
      <c r="AQ320" s="44" t="s">
        <v>208</v>
      </c>
      <c r="AR320" s="44" t="n">
        <v>1</v>
      </c>
      <c r="AT320" s="44" t="s">
        <v>208</v>
      </c>
      <c r="AU320" s="44" t="n">
        <v>1</v>
      </c>
      <c r="AW320" s="44" t="s">
        <v>208</v>
      </c>
      <c r="AX320" s="44" t="n">
        <v>1</v>
      </c>
      <c r="AZ320" s="44" t="s">
        <v>208</v>
      </c>
      <c r="BA320" s="44" t="n">
        <v>1</v>
      </c>
      <c r="BC320" s="44" t="s">
        <v>208</v>
      </c>
      <c r="BD320" s="44" t="n">
        <v>1</v>
      </c>
      <c r="BF320" s="44" t="s">
        <v>208</v>
      </c>
      <c r="BG320" s="44" t="n">
        <v>1</v>
      </c>
      <c r="BI320" s="44" t="s">
        <v>208</v>
      </c>
      <c r="BJ320" s="44" t="n">
        <v>1</v>
      </c>
      <c r="BL320" s="44" t="s">
        <v>208</v>
      </c>
      <c r="BM320" s="44" t="n">
        <v>1</v>
      </c>
      <c r="BO320" s="44" t="s">
        <v>208</v>
      </c>
      <c r="BP320" s="44" t="n">
        <v>1</v>
      </c>
      <c r="BR320" s="44" t="s">
        <v>208</v>
      </c>
      <c r="BS320" s="44" t="n">
        <v>1</v>
      </c>
      <c r="BU320" s="44" t="s">
        <v>208</v>
      </c>
      <c r="BV320" s="44" t="n">
        <v>1</v>
      </c>
      <c r="BX320" s="44" t="s">
        <v>208</v>
      </c>
      <c r="BY320" s="44" t="n">
        <v>1</v>
      </c>
      <c r="CA320" s="44" t="s">
        <v>208</v>
      </c>
      <c r="CB320" s="44" t="n">
        <v>1</v>
      </c>
      <c r="CD320" s="44" t="s">
        <v>208</v>
      </c>
      <c r="CE320" s="44" t="n">
        <v>1</v>
      </c>
      <c r="CG320" s="44" t="s">
        <v>208</v>
      </c>
      <c r="CH320" s="44" t="n">
        <v>1</v>
      </c>
      <c r="CJ320" s="44" t="s">
        <v>208</v>
      </c>
      <c r="CK320" s="44" t="n">
        <v>1</v>
      </c>
      <c r="CM320" s="44" t="s">
        <v>208</v>
      </c>
      <c r="CN320" s="44" t="n">
        <v>1</v>
      </c>
      <c r="CP320" s="44" t="s">
        <v>208</v>
      </c>
      <c r="CQ320" s="44" t="n">
        <v>1</v>
      </c>
      <c r="CS320" s="44" t="s">
        <v>208</v>
      </c>
      <c r="CT320" s="44" t="n">
        <v>1</v>
      </c>
      <c r="CV320" s="44" t="s">
        <v>208</v>
      </c>
      <c r="CW320" s="44" t="n">
        <v>1</v>
      </c>
    </row>
    <row collapsed="false" customFormat="false" customHeight="false" hidden="false" ht="12.75" outlineLevel="0" r="322">
      <c r="A322" s="44" t="s">
        <v>209</v>
      </c>
      <c r="B322" s="44" t="n">
        <v>1</v>
      </c>
      <c r="D322" s="44" t="s">
        <v>209</v>
      </c>
      <c r="E322" s="44" t="n">
        <v>1</v>
      </c>
      <c r="G322" s="44" t="s">
        <v>209</v>
      </c>
      <c r="H322" s="44" t="n">
        <v>1</v>
      </c>
      <c r="J322" s="44" t="s">
        <v>209</v>
      </c>
      <c r="K322" s="44" t="n">
        <v>1</v>
      </c>
      <c r="M322" s="44" t="s">
        <v>209</v>
      </c>
      <c r="N322" s="44" t="n">
        <v>1</v>
      </c>
      <c r="P322" s="44" t="s">
        <v>209</v>
      </c>
      <c r="Q322" s="44" t="n">
        <v>1</v>
      </c>
      <c r="S322" s="44" t="s">
        <v>209</v>
      </c>
      <c r="T322" s="44" t="n">
        <v>1</v>
      </c>
      <c r="V322" s="44" t="s">
        <v>209</v>
      </c>
      <c r="W322" s="44" t="n">
        <v>1</v>
      </c>
      <c r="Y322" s="44" t="s">
        <v>209</v>
      </c>
      <c r="Z322" s="44" t="n">
        <v>1</v>
      </c>
      <c r="AB322" s="44" t="s">
        <v>209</v>
      </c>
      <c r="AC322" s="44" t="n">
        <v>1</v>
      </c>
      <c r="AE322" s="44" t="s">
        <v>209</v>
      </c>
      <c r="AF322" s="44" t="n">
        <v>1</v>
      </c>
      <c r="AH322" s="44" t="s">
        <v>209</v>
      </c>
      <c r="AI322" s="44" t="n">
        <v>1</v>
      </c>
      <c r="AK322" s="44" t="s">
        <v>209</v>
      </c>
      <c r="AL322" s="44" t="n">
        <v>1</v>
      </c>
      <c r="AN322" s="44" t="s">
        <v>209</v>
      </c>
      <c r="AO322" s="44" t="n">
        <v>1</v>
      </c>
      <c r="AQ322" s="44" t="s">
        <v>209</v>
      </c>
      <c r="AR322" s="44" t="n">
        <v>1</v>
      </c>
      <c r="AT322" s="44" t="s">
        <v>209</v>
      </c>
      <c r="AU322" s="44" t="n">
        <v>1</v>
      </c>
      <c r="AW322" s="44" t="s">
        <v>209</v>
      </c>
      <c r="AX322" s="44" t="n">
        <v>1</v>
      </c>
      <c r="AZ322" s="44" t="s">
        <v>209</v>
      </c>
      <c r="BA322" s="44" t="n">
        <v>1</v>
      </c>
      <c r="BC322" s="44" t="s">
        <v>209</v>
      </c>
      <c r="BD322" s="44" t="n">
        <v>1</v>
      </c>
      <c r="BF322" s="44" t="s">
        <v>209</v>
      </c>
      <c r="BG322" s="44" t="n">
        <v>1</v>
      </c>
      <c r="BI322" s="44" t="s">
        <v>209</v>
      </c>
      <c r="BJ322" s="44" t="n">
        <v>1</v>
      </c>
      <c r="BL322" s="44" t="s">
        <v>209</v>
      </c>
      <c r="BM322" s="44" t="n">
        <v>1</v>
      </c>
      <c r="BO322" s="44" t="s">
        <v>209</v>
      </c>
      <c r="BP322" s="44" t="n">
        <v>1</v>
      </c>
      <c r="BR322" s="44" t="s">
        <v>209</v>
      </c>
      <c r="BS322" s="44" t="n">
        <v>1</v>
      </c>
      <c r="BU322" s="44" t="s">
        <v>209</v>
      </c>
      <c r="BV322" s="44" t="n">
        <v>1</v>
      </c>
      <c r="BX322" s="44" t="s">
        <v>209</v>
      </c>
      <c r="BY322" s="44" t="n">
        <v>1</v>
      </c>
      <c r="CA322" s="44" t="s">
        <v>209</v>
      </c>
      <c r="CB322" s="44" t="n">
        <v>1</v>
      </c>
      <c r="CD322" s="44" t="s">
        <v>209</v>
      </c>
      <c r="CE322" s="44" t="n">
        <v>1</v>
      </c>
      <c r="CG322" s="44" t="s">
        <v>209</v>
      </c>
      <c r="CH322" s="44" t="n">
        <v>1</v>
      </c>
      <c r="CJ322" s="44" t="s">
        <v>209</v>
      </c>
      <c r="CK322" s="44" t="n">
        <v>1</v>
      </c>
      <c r="CM322" s="44" t="s">
        <v>209</v>
      </c>
      <c r="CN322" s="44" t="n">
        <v>1</v>
      </c>
      <c r="CP322" s="44" t="s">
        <v>209</v>
      </c>
      <c r="CQ322" s="44" t="n">
        <v>1</v>
      </c>
      <c r="CS322" s="44" t="s">
        <v>209</v>
      </c>
      <c r="CT322" s="44" t="n">
        <v>1</v>
      </c>
      <c r="CV322" s="44" t="s">
        <v>209</v>
      </c>
      <c r="CW322" s="44" t="n">
        <v>1</v>
      </c>
    </row>
    <row collapsed="false" customFormat="false" customHeight="false" hidden="false" ht="12.75" outlineLevel="0" r="324">
      <c r="A324" s="44" t="s">
        <v>210</v>
      </c>
      <c r="B324" s="44" t="n">
        <v>1</v>
      </c>
      <c r="D324" s="44" t="s">
        <v>210</v>
      </c>
      <c r="E324" s="44" t="n">
        <v>1</v>
      </c>
      <c r="G324" s="44" t="s">
        <v>210</v>
      </c>
      <c r="H324" s="44" t="n">
        <v>1</v>
      </c>
      <c r="J324" s="44" t="s">
        <v>210</v>
      </c>
      <c r="K324" s="44" t="n">
        <v>1</v>
      </c>
      <c r="M324" s="44" t="s">
        <v>210</v>
      </c>
      <c r="N324" s="44" t="n">
        <v>1</v>
      </c>
      <c r="P324" s="44" t="s">
        <v>210</v>
      </c>
      <c r="Q324" s="44" t="n">
        <v>1</v>
      </c>
      <c r="S324" s="44" t="s">
        <v>210</v>
      </c>
      <c r="T324" s="44" t="n">
        <v>1</v>
      </c>
      <c r="V324" s="44" t="s">
        <v>210</v>
      </c>
      <c r="W324" s="44" t="n">
        <v>1</v>
      </c>
      <c r="Y324" s="44" t="s">
        <v>210</v>
      </c>
      <c r="Z324" s="44" t="n">
        <v>1</v>
      </c>
      <c r="AB324" s="44" t="s">
        <v>210</v>
      </c>
      <c r="AC324" s="44" t="n">
        <v>1</v>
      </c>
      <c r="AE324" s="44" t="s">
        <v>210</v>
      </c>
      <c r="AF324" s="44" t="n">
        <v>1</v>
      </c>
      <c r="AH324" s="44" t="s">
        <v>210</v>
      </c>
      <c r="AI324" s="44" t="n">
        <v>1</v>
      </c>
      <c r="AK324" s="44" t="s">
        <v>210</v>
      </c>
      <c r="AL324" s="44" t="n">
        <v>1</v>
      </c>
      <c r="AN324" s="44" t="s">
        <v>210</v>
      </c>
      <c r="AO324" s="44" t="n">
        <v>1</v>
      </c>
      <c r="AQ324" s="44" t="s">
        <v>210</v>
      </c>
      <c r="AR324" s="44" t="n">
        <v>1</v>
      </c>
      <c r="AT324" s="44" t="s">
        <v>210</v>
      </c>
      <c r="AU324" s="44" t="n">
        <v>1</v>
      </c>
      <c r="AW324" s="44" t="s">
        <v>210</v>
      </c>
      <c r="AX324" s="44" t="n">
        <v>1</v>
      </c>
      <c r="AZ324" s="44" t="s">
        <v>210</v>
      </c>
      <c r="BA324" s="44" t="n">
        <v>1</v>
      </c>
      <c r="BC324" s="44" t="s">
        <v>210</v>
      </c>
      <c r="BD324" s="44" t="n">
        <v>1</v>
      </c>
      <c r="BF324" s="44" t="s">
        <v>210</v>
      </c>
      <c r="BG324" s="44" t="n">
        <v>1</v>
      </c>
      <c r="BI324" s="44" t="s">
        <v>210</v>
      </c>
      <c r="BJ324" s="44" t="n">
        <v>1</v>
      </c>
      <c r="BL324" s="44" t="s">
        <v>210</v>
      </c>
      <c r="BM324" s="44" t="n">
        <v>1</v>
      </c>
      <c r="BO324" s="44" t="s">
        <v>210</v>
      </c>
      <c r="BP324" s="44" t="n">
        <v>1</v>
      </c>
      <c r="BR324" s="44" t="s">
        <v>210</v>
      </c>
      <c r="BS324" s="44" t="n">
        <v>1</v>
      </c>
      <c r="BU324" s="44" t="s">
        <v>210</v>
      </c>
      <c r="BV324" s="44" t="n">
        <v>1</v>
      </c>
      <c r="BX324" s="44" t="s">
        <v>210</v>
      </c>
      <c r="BY324" s="44" t="n">
        <v>1</v>
      </c>
      <c r="CA324" s="44" t="s">
        <v>210</v>
      </c>
      <c r="CB324" s="44" t="n">
        <v>1</v>
      </c>
      <c r="CD324" s="44" t="s">
        <v>210</v>
      </c>
      <c r="CE324" s="44" t="n">
        <v>1</v>
      </c>
      <c r="CG324" s="44" t="s">
        <v>210</v>
      </c>
      <c r="CH324" s="44" t="n">
        <v>1</v>
      </c>
      <c r="CJ324" s="44" t="s">
        <v>210</v>
      </c>
      <c r="CK324" s="44" t="n">
        <v>1</v>
      </c>
      <c r="CM324" s="44" t="s">
        <v>210</v>
      </c>
      <c r="CN324" s="44" t="n">
        <v>1</v>
      </c>
      <c r="CP324" s="44" t="s">
        <v>210</v>
      </c>
      <c r="CQ324" s="44" t="n">
        <v>1</v>
      </c>
      <c r="CS324" s="44" t="s">
        <v>210</v>
      </c>
      <c r="CT324" s="44" t="n">
        <v>1</v>
      </c>
      <c r="CV324" s="44" t="s">
        <v>210</v>
      </c>
      <c r="CW324" s="44" t="n">
        <v>1</v>
      </c>
    </row>
    <row collapsed="false" customFormat="false" customHeight="false" hidden="false" ht="12.75" outlineLevel="0" r="326">
      <c r="A326" s="44" t="s">
        <v>211</v>
      </c>
      <c r="B326" s="44" t="n">
        <v>1</v>
      </c>
      <c r="D326" s="44" t="s">
        <v>211</v>
      </c>
      <c r="E326" s="44" t="n">
        <v>1</v>
      </c>
      <c r="G326" s="44" t="s">
        <v>211</v>
      </c>
      <c r="H326" s="44" t="n">
        <v>1</v>
      </c>
      <c r="J326" s="44" t="s">
        <v>211</v>
      </c>
      <c r="K326" s="44" t="n">
        <v>1</v>
      </c>
      <c r="M326" s="44" t="s">
        <v>211</v>
      </c>
      <c r="N326" s="44" t="n">
        <v>1</v>
      </c>
      <c r="P326" s="44" t="s">
        <v>211</v>
      </c>
      <c r="Q326" s="44" t="n">
        <v>1</v>
      </c>
      <c r="S326" s="44" t="s">
        <v>211</v>
      </c>
      <c r="T326" s="44" t="n">
        <v>1</v>
      </c>
      <c r="V326" s="44" t="s">
        <v>211</v>
      </c>
      <c r="W326" s="44" t="n">
        <v>1</v>
      </c>
      <c r="Y326" s="44" t="s">
        <v>211</v>
      </c>
      <c r="Z326" s="44" t="n">
        <v>1</v>
      </c>
      <c r="AB326" s="44" t="s">
        <v>211</v>
      </c>
      <c r="AC326" s="44" t="n">
        <v>1</v>
      </c>
      <c r="AE326" s="44" t="s">
        <v>211</v>
      </c>
      <c r="AF326" s="44" t="n">
        <v>1</v>
      </c>
      <c r="AH326" s="44" t="s">
        <v>211</v>
      </c>
      <c r="AI326" s="44" t="n">
        <v>1</v>
      </c>
      <c r="AK326" s="44" t="s">
        <v>211</v>
      </c>
      <c r="AL326" s="44" t="n">
        <v>1</v>
      </c>
      <c r="AN326" s="44" t="s">
        <v>211</v>
      </c>
      <c r="AO326" s="44" t="n">
        <v>1</v>
      </c>
      <c r="AQ326" s="44" t="s">
        <v>211</v>
      </c>
      <c r="AR326" s="44" t="n">
        <v>1</v>
      </c>
      <c r="AT326" s="44" t="s">
        <v>211</v>
      </c>
      <c r="AU326" s="44" t="n">
        <v>1</v>
      </c>
      <c r="AW326" s="44" t="s">
        <v>211</v>
      </c>
      <c r="AX326" s="44" t="n">
        <v>1</v>
      </c>
      <c r="AZ326" s="44" t="s">
        <v>211</v>
      </c>
      <c r="BA326" s="44" t="n">
        <v>1</v>
      </c>
      <c r="BC326" s="44" t="s">
        <v>211</v>
      </c>
      <c r="BD326" s="44" t="n">
        <v>1</v>
      </c>
      <c r="BF326" s="44" t="s">
        <v>211</v>
      </c>
      <c r="BG326" s="44" t="n">
        <v>1</v>
      </c>
      <c r="BI326" s="44" t="s">
        <v>211</v>
      </c>
      <c r="BJ326" s="44" t="n">
        <v>1</v>
      </c>
      <c r="BL326" s="44" t="s">
        <v>211</v>
      </c>
      <c r="BM326" s="44" t="n">
        <v>1</v>
      </c>
      <c r="BO326" s="44" t="s">
        <v>211</v>
      </c>
      <c r="BP326" s="44" t="n">
        <v>1</v>
      </c>
      <c r="BR326" s="44" t="s">
        <v>211</v>
      </c>
      <c r="BS326" s="44" t="n">
        <v>1</v>
      </c>
      <c r="BU326" s="44" t="s">
        <v>211</v>
      </c>
      <c r="BV326" s="44" t="n">
        <v>1</v>
      </c>
      <c r="BX326" s="44" t="s">
        <v>211</v>
      </c>
      <c r="BY326" s="44" t="n">
        <v>1</v>
      </c>
      <c r="CA326" s="44" t="s">
        <v>211</v>
      </c>
      <c r="CB326" s="44" t="n">
        <v>1</v>
      </c>
      <c r="CD326" s="44" t="s">
        <v>211</v>
      </c>
      <c r="CE326" s="44" t="n">
        <v>1</v>
      </c>
      <c r="CG326" s="44" t="s">
        <v>211</v>
      </c>
      <c r="CH326" s="44" t="n">
        <v>1</v>
      </c>
      <c r="CJ326" s="44" t="s">
        <v>211</v>
      </c>
      <c r="CK326" s="44" t="n">
        <v>1</v>
      </c>
      <c r="CM326" s="44" t="s">
        <v>211</v>
      </c>
      <c r="CN326" s="44" t="n">
        <v>1</v>
      </c>
      <c r="CP326" s="44" t="s">
        <v>211</v>
      </c>
      <c r="CQ326" s="44" t="n">
        <v>1</v>
      </c>
      <c r="CS326" s="44" t="s">
        <v>211</v>
      </c>
      <c r="CT326" s="44" t="n">
        <v>1</v>
      </c>
      <c r="CV326" s="44" t="s">
        <v>211</v>
      </c>
      <c r="CW326" s="44" t="n">
        <v>1</v>
      </c>
    </row>
    <row collapsed="false" customFormat="false" customHeight="false" hidden="false" ht="12.75" outlineLevel="0" r="328">
      <c r="A328" s="44" t="s">
        <v>212</v>
      </c>
      <c r="B328" s="44" t="n">
        <v>1</v>
      </c>
      <c r="D328" s="44" t="s">
        <v>212</v>
      </c>
      <c r="E328" s="44" t="n">
        <v>1</v>
      </c>
      <c r="G328" s="44" t="s">
        <v>212</v>
      </c>
      <c r="H328" s="44" t="n">
        <v>1</v>
      </c>
      <c r="J328" s="44" t="s">
        <v>212</v>
      </c>
      <c r="K328" s="44" t="n">
        <v>1</v>
      </c>
      <c r="M328" s="44" t="s">
        <v>212</v>
      </c>
      <c r="N328" s="44" t="n">
        <v>1</v>
      </c>
      <c r="P328" s="44" t="s">
        <v>212</v>
      </c>
      <c r="Q328" s="44" t="n">
        <v>1</v>
      </c>
      <c r="S328" s="44" t="s">
        <v>212</v>
      </c>
      <c r="T328" s="44" t="n">
        <v>1</v>
      </c>
      <c r="V328" s="44" t="s">
        <v>212</v>
      </c>
      <c r="W328" s="44" t="n">
        <v>1</v>
      </c>
      <c r="Y328" s="44" t="s">
        <v>212</v>
      </c>
      <c r="Z328" s="44" t="n">
        <v>1</v>
      </c>
      <c r="AB328" s="44" t="s">
        <v>212</v>
      </c>
      <c r="AC328" s="44" t="n">
        <v>1</v>
      </c>
      <c r="AE328" s="44" t="s">
        <v>212</v>
      </c>
      <c r="AF328" s="44" t="n">
        <v>1</v>
      </c>
      <c r="AH328" s="44" t="s">
        <v>212</v>
      </c>
      <c r="AI328" s="44" t="n">
        <v>1</v>
      </c>
      <c r="AK328" s="44" t="s">
        <v>212</v>
      </c>
      <c r="AL328" s="44" t="n">
        <v>1</v>
      </c>
      <c r="AN328" s="44" t="s">
        <v>212</v>
      </c>
      <c r="AO328" s="44" t="n">
        <v>1</v>
      </c>
      <c r="AQ328" s="44" t="s">
        <v>212</v>
      </c>
      <c r="AR328" s="44" t="n">
        <v>1</v>
      </c>
      <c r="AT328" s="44" t="s">
        <v>212</v>
      </c>
      <c r="AU328" s="44" t="n">
        <v>1</v>
      </c>
      <c r="AW328" s="44" t="s">
        <v>212</v>
      </c>
      <c r="AX328" s="44" t="n">
        <v>1</v>
      </c>
      <c r="AZ328" s="44" t="s">
        <v>212</v>
      </c>
      <c r="BA328" s="44" t="n">
        <v>1</v>
      </c>
      <c r="BC328" s="44" t="s">
        <v>212</v>
      </c>
      <c r="BD328" s="44" t="n">
        <v>1</v>
      </c>
      <c r="BF328" s="44" t="s">
        <v>212</v>
      </c>
      <c r="BG328" s="44" t="n">
        <v>1</v>
      </c>
      <c r="BI328" s="44" t="s">
        <v>212</v>
      </c>
      <c r="BJ328" s="44" t="n">
        <v>1</v>
      </c>
      <c r="BL328" s="44" t="s">
        <v>212</v>
      </c>
      <c r="BM328" s="44" t="n">
        <v>1</v>
      </c>
      <c r="BO328" s="44" t="s">
        <v>212</v>
      </c>
      <c r="BP328" s="44" t="n">
        <v>1</v>
      </c>
      <c r="BR328" s="44" t="s">
        <v>212</v>
      </c>
      <c r="BS328" s="44" t="n">
        <v>1</v>
      </c>
      <c r="BU328" s="44" t="s">
        <v>212</v>
      </c>
      <c r="BV328" s="44" t="n">
        <v>1</v>
      </c>
      <c r="BX328" s="44" t="s">
        <v>212</v>
      </c>
      <c r="BY328" s="44" t="n">
        <v>1</v>
      </c>
      <c r="CA328" s="44" t="s">
        <v>212</v>
      </c>
      <c r="CB328" s="44" t="n">
        <v>1</v>
      </c>
      <c r="CD328" s="44" t="s">
        <v>212</v>
      </c>
      <c r="CE328" s="44" t="n">
        <v>1</v>
      </c>
      <c r="CG328" s="44" t="s">
        <v>212</v>
      </c>
      <c r="CH328" s="44" t="n">
        <v>1</v>
      </c>
      <c r="CJ328" s="44" t="s">
        <v>212</v>
      </c>
      <c r="CK328" s="44" t="n">
        <v>1</v>
      </c>
      <c r="CM328" s="44" t="s">
        <v>212</v>
      </c>
      <c r="CN328" s="44" t="n">
        <v>1</v>
      </c>
      <c r="CP328" s="44" t="s">
        <v>212</v>
      </c>
      <c r="CQ328" s="44" t="n">
        <v>1</v>
      </c>
      <c r="CS328" s="44" t="s">
        <v>212</v>
      </c>
      <c r="CT328" s="44" t="n">
        <v>1</v>
      </c>
      <c r="CV328" s="44" t="s">
        <v>212</v>
      </c>
      <c r="CW328" s="44" t="n"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26"/>
  <sheetViews>
    <sheetView colorId="64" defaultGridColor="true" rightToLeft="false" showFormulas="false" showGridLines="true" showOutlineSymbols="true" showRowColHeaders="true" showZeros="true" tabSelected="false" topLeftCell="A46" view="normal" windowProtection="false" workbookViewId="0" zoomScale="100" zoomScaleNormal="100" zoomScalePageLayoutView="100">
      <selection activeCell="A1" activeCellId="0" pane="topLeft" sqref="A1"/>
    </sheetView>
  </sheetViews>
  <sheetFormatPr defaultRowHeight="12.75"/>
  <cols>
    <col collapsed="false" hidden="false" max="1" min="1" style="220" width="9.28571428571429"/>
    <col collapsed="false" hidden="false" max="2" min="2" style="220" width="13.7040816326531"/>
    <col collapsed="false" hidden="false" max="3" min="3" style="220" width="11.5714285714286"/>
    <col collapsed="false" hidden="false" max="5" min="4" style="220" width="12.4183673469388"/>
    <col collapsed="false" hidden="false" max="6" min="6" style="220" width="9.28571428571429"/>
    <col collapsed="false" hidden="false" max="8" min="7" style="220" width="12.4183673469388"/>
    <col collapsed="false" hidden="false" max="9" min="9" style="220" width="9.28571428571429"/>
    <col collapsed="false" hidden="false" max="1025" min="10" style="220" width="9.14285714285714"/>
  </cols>
  <sheetData>
    <row collapsed="false" customFormat="false" customHeight="false" hidden="false" ht="38.25" outlineLevel="0" r="1">
      <c r="A1" s="222" t="s">
        <v>346</v>
      </c>
      <c r="B1" s="222" t="s">
        <v>88</v>
      </c>
      <c r="C1" s="222" t="s">
        <v>89</v>
      </c>
      <c r="D1" s="222" t="s">
        <v>95</v>
      </c>
      <c r="E1" s="222" t="s">
        <v>102</v>
      </c>
      <c r="F1" s="222" t="s">
        <v>347</v>
      </c>
      <c r="G1" s="222" t="s">
        <v>101</v>
      </c>
      <c r="H1" s="222" t="s">
        <v>110</v>
      </c>
      <c r="I1" s="222" t="s">
        <v>111</v>
      </c>
      <c r="J1" s="222" t="s">
        <v>117</v>
      </c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</row>
    <row collapsed="false" customFormat="false" customHeight="false" hidden="false" ht="12.75" outlineLevel="0" r="2">
      <c r="A2" s="224" t="n">
        <f aca="false">Calc!A9</f>
        <v>4.99E-005</v>
      </c>
      <c r="B2" s="224" t="n">
        <f aca="false">Calc!B9</f>
        <v>1.02528</v>
      </c>
      <c r="C2" s="224" t="n">
        <f aca="false">Calc!C9</f>
        <v>0.36129</v>
      </c>
      <c r="D2" s="224" t="n">
        <f aca="false">Calc!I9</f>
        <v>7132943842282830</v>
      </c>
      <c r="E2" s="224" t="n">
        <f aca="false">Calc!P9</f>
        <v>0</v>
      </c>
      <c r="F2" s="225" t="n">
        <f aca="false">Calc!S9</f>
        <v>0</v>
      </c>
      <c r="G2" s="224" t="n">
        <f aca="false">Calc!O9</f>
        <v>7132943842282830</v>
      </c>
      <c r="H2" s="226" t="str">
        <f aca="false">Calc!X9</f>
        <v/>
      </c>
      <c r="I2" s="226" t="str">
        <f aca="false">Calc!Y9</f>
        <v/>
      </c>
      <c r="J2" s="227" t="n">
        <f aca="false">Calc!AE9</f>
        <v>1385.27455085819</v>
      </c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</row>
    <row collapsed="false" customFormat="false" customHeight="false" hidden="false" ht="12.75" outlineLevel="0" r="3">
      <c r="A3" s="224" t="n">
        <f aca="false">Calc!A10</f>
        <v>0.0001499</v>
      </c>
      <c r="B3" s="224" t="n">
        <f aca="false">Calc!B10</f>
        <v>2.85829</v>
      </c>
      <c r="C3" s="224" t="n">
        <f aca="false">Calc!C10</f>
        <v>0.541885</v>
      </c>
      <c r="D3" s="224" t="n">
        <f aca="false">Calc!I10</f>
        <v>24227357978840700</v>
      </c>
      <c r="E3" s="224" t="n">
        <f aca="false">Calc!P10</f>
        <v>0</v>
      </c>
      <c r="F3" s="225" t="n">
        <f aca="false">Calc!S10</f>
        <v>0</v>
      </c>
      <c r="G3" s="224" t="n">
        <f aca="false">Calc!O10</f>
        <v>24227357978840700</v>
      </c>
      <c r="H3" s="226" t="str">
        <f aca="false">Calc!X10</f>
        <v/>
      </c>
      <c r="I3" s="226" t="str">
        <f aca="false">Calc!Y10</f>
        <v/>
      </c>
      <c r="J3" s="227" t="n">
        <f aca="false">Calc!AE10</f>
        <v>1167.55366030386</v>
      </c>
    </row>
    <row collapsed="false" customFormat="false" customHeight="false" hidden="false" ht="12.75" outlineLevel="0" r="4">
      <c r="A4" s="224" t="n">
        <f aca="false">Calc!A11</f>
        <v>0.0002499</v>
      </c>
      <c r="B4" s="224" t="n">
        <f aca="false">Calc!B11</f>
        <v>3.62985</v>
      </c>
      <c r="C4" s="224" t="n">
        <f aca="false">Calc!C11</f>
        <v>0.609492</v>
      </c>
      <c r="D4" s="224" t="n">
        <f aca="false">Calc!I11</f>
        <v>33156920272910100</v>
      </c>
      <c r="E4" s="224" t="n">
        <f aca="false">Calc!P11</f>
        <v>7.88003505249978E-005</v>
      </c>
      <c r="F4" s="225" t="n">
        <f aca="false">Calc!S11</f>
        <v>10865.3258189669</v>
      </c>
      <c r="G4" s="224" t="n">
        <f aca="false">Calc!O11</f>
        <v>33156920272910100</v>
      </c>
      <c r="H4" s="226" t="str">
        <f aca="false">Calc!X11</f>
        <v/>
      </c>
      <c r="I4" s="226" t="str">
        <f aca="false">Calc!Y11</f>
        <v/>
      </c>
      <c r="J4" s="227" t="n">
        <f aca="false">Calc!AE11</f>
        <v>1095.33759612232</v>
      </c>
    </row>
    <row collapsed="false" customFormat="false" customHeight="false" hidden="false" ht="12.75" outlineLevel="0" r="5">
      <c r="A5" s="224" t="n">
        <f aca="false">Calc!A12</f>
        <v>0.0003499</v>
      </c>
      <c r="B5" s="224" t="n">
        <f aca="false">Calc!B12</f>
        <v>3.89091</v>
      </c>
      <c r="C5" s="224" t="n">
        <f aca="false">Calc!C12</f>
        <v>0.624895</v>
      </c>
      <c r="D5" s="224" t="n">
        <f aca="false">Calc!I12</f>
        <v>36427160437229200</v>
      </c>
      <c r="E5" s="224" t="n">
        <f aca="false">Calc!P12</f>
        <v>7.59856198820142E-005</v>
      </c>
      <c r="F5" s="225" t="n">
        <f aca="false">Calc!S12</f>
        <v>10957.6677315325</v>
      </c>
      <c r="G5" s="224" t="n">
        <f aca="false">Calc!O12</f>
        <v>36427160437229200</v>
      </c>
      <c r="H5" s="226" t="str">
        <f aca="false">Calc!X12</f>
        <v/>
      </c>
      <c r="I5" s="226" t="e">
        <f aca="false">Calc!Y12</f>
        <v>#NAME?</v>
      </c>
      <c r="J5" s="227" t="n">
        <f aca="false">Calc!AE12</f>
        <v>1072.64781132174</v>
      </c>
    </row>
    <row collapsed="false" customFormat="false" customHeight="false" hidden="false" ht="12.75" outlineLevel="0" r="6">
      <c r="A6" s="224" t="n">
        <f aca="false">Calc!A13</f>
        <v>0.0004499</v>
      </c>
      <c r="B6" s="224" t="n">
        <f aca="false">Calc!B13</f>
        <v>3.85429</v>
      </c>
      <c r="C6" s="224" t="n">
        <f aca="false">Calc!C13</f>
        <v>0.609984</v>
      </c>
      <c r="D6" s="224" t="n">
        <f aca="false">Calc!I13</f>
        <v>35960639175556000</v>
      </c>
      <c r="E6" s="224" t="n">
        <f aca="false">Calc!P13</f>
        <v>7.29521529266433E-005</v>
      </c>
      <c r="F6" s="225" t="n">
        <f aca="false">Calc!S13</f>
        <v>11560.9564811141</v>
      </c>
      <c r="G6" s="224" t="n">
        <f aca="false">Calc!O13</f>
        <v>35960639175556000</v>
      </c>
      <c r="H6" s="228" t="n">
        <f aca="false">Calc!X13</f>
        <v>0.785665978053867</v>
      </c>
      <c r="I6" s="229" t="n">
        <f aca="false">Calc!Y13</f>
        <v>58.1870360859649</v>
      </c>
      <c r="J6" s="227" t="n">
        <f aca="false">Calc!AE13</f>
        <v>1075.78255200862</v>
      </c>
    </row>
    <row collapsed="false" customFormat="false" customHeight="false" hidden="false" ht="12.75" outlineLevel="0" r="7">
      <c r="A7" s="224" t="n">
        <f aca="false">Calc!A14</f>
        <v>0.0005499</v>
      </c>
      <c r="B7" s="224" t="n">
        <f aca="false">Calc!B14</f>
        <v>3.74956</v>
      </c>
      <c r="C7" s="224" t="n">
        <f aca="false">Calc!C14</f>
        <v>0.582281</v>
      </c>
      <c r="D7" s="224" t="n">
        <f aca="false">Calc!I14</f>
        <v>34640506713742100</v>
      </c>
      <c r="E7" s="224" t="n">
        <f aca="false">Calc!P14</f>
        <v>7.19542967670074E-005</v>
      </c>
      <c r="F7" s="225" t="n">
        <f aca="false">Calc!S14</f>
        <v>11905.769287813</v>
      </c>
      <c r="G7" s="224" t="n">
        <f aca="false">Calc!O14</f>
        <v>34640506713742100</v>
      </c>
      <c r="H7" s="228" t="n">
        <f aca="false">Calc!X14</f>
        <v>0.783829099599213</v>
      </c>
      <c r="I7" s="229" t="n">
        <f aca="false">Calc!Y14</f>
        <v>56.8282718836547</v>
      </c>
      <c r="J7" s="227" t="n">
        <f aca="false">Calc!AE14</f>
        <v>1084.83320889339</v>
      </c>
    </row>
    <row collapsed="false" customFormat="false" customHeight="false" hidden="false" ht="12.75" outlineLevel="0" r="8">
      <c r="A8" s="224" t="n">
        <f aca="false">Calc!A15</f>
        <v>0.0006499</v>
      </c>
      <c r="B8" s="224" t="n">
        <f aca="false">Calc!B15</f>
        <v>3.62474</v>
      </c>
      <c r="C8" s="224" t="n">
        <f aca="false">Calc!C15</f>
        <v>0.549475</v>
      </c>
      <c r="D8" s="224" t="n">
        <f aca="false">Calc!I15</f>
        <v>33094189745940200</v>
      </c>
      <c r="E8" s="224" t="n">
        <f aca="false">Calc!P15</f>
        <v>7.23239269490315E-005</v>
      </c>
      <c r="F8" s="225" t="n">
        <f aca="false">Calc!S15</f>
        <v>12008.6086889953</v>
      </c>
      <c r="G8" s="224" t="n">
        <f aca="false">Calc!O15</f>
        <v>33094189745940200</v>
      </c>
      <c r="H8" s="228" t="n">
        <f aca="false">Calc!X15</f>
        <v>0.78159030941271</v>
      </c>
      <c r="I8" s="229" t="n">
        <f aca="false">Calc!Y15</f>
        <v>54.0140447896616</v>
      </c>
      <c r="J8" s="227" t="n">
        <f aca="false">Calc!AE15</f>
        <v>1095.78985393202</v>
      </c>
    </row>
    <row collapsed="false" customFormat="false" customHeight="false" hidden="false" ht="12.75" outlineLevel="0" r="9">
      <c r="A9" s="224" t="n">
        <f aca="false">Calc!A16</f>
        <v>0.0007499</v>
      </c>
      <c r="B9" s="224" t="n">
        <f aca="false">Calc!B16</f>
        <v>3.49432</v>
      </c>
      <c r="C9" s="224" t="n">
        <f aca="false">Calc!C16</f>
        <v>0.517407</v>
      </c>
      <c r="D9" s="224" t="n">
        <f aca="false">Calc!I16</f>
        <v>31509624705700300</v>
      </c>
      <c r="E9" s="224" t="n">
        <f aca="false">Calc!P16</f>
        <v>7.28735090753209E-005</v>
      </c>
      <c r="F9" s="225" t="n">
        <f aca="false">Calc!S16</f>
        <v>12074.2659662192</v>
      </c>
      <c r="G9" s="224" t="n">
        <f aca="false">Calc!O16</f>
        <v>31509624705700300</v>
      </c>
      <c r="H9" s="228" t="n">
        <f aca="false">Calc!X16</f>
        <v>0.779189965365535</v>
      </c>
      <c r="I9" s="229" t="n">
        <f aca="false">Calc!Y16</f>
        <v>51.0399798707167</v>
      </c>
      <c r="J9" s="227" t="n">
        <f aca="false">Calc!AE16</f>
        <v>1107.44234896497</v>
      </c>
    </row>
    <row collapsed="false" customFormat="false" customHeight="false" hidden="false" ht="12.75" outlineLevel="0" r="10">
      <c r="A10" s="224" t="n">
        <f aca="false">Calc!A17</f>
        <v>0.0008499</v>
      </c>
      <c r="B10" s="224" t="n">
        <f aca="false">Calc!B17</f>
        <v>3.3584</v>
      </c>
      <c r="C10" s="224" t="n">
        <f aca="false">Calc!C17</f>
        <v>0.486844</v>
      </c>
      <c r="D10" s="224" t="n">
        <f aca="false">Calc!I17</f>
        <v>29891736272606900</v>
      </c>
      <c r="E10" s="224" t="n">
        <f aca="false">Calc!P17</f>
        <v>7.3301428388468E-005</v>
      </c>
      <c r="F10" s="225" t="n">
        <f aca="false">Calc!S17</f>
        <v>12159.0625666404</v>
      </c>
      <c r="G10" s="224" t="n">
        <f aca="false">Calc!O17</f>
        <v>29891736272606900</v>
      </c>
      <c r="H10" s="228" t="n">
        <f aca="false">Calc!X17</f>
        <v>0.776617324694065</v>
      </c>
      <c r="I10" s="229" t="n">
        <f aca="false">Calc!Y17</f>
        <v>48.1366264909611</v>
      </c>
      <c r="J10" s="227" t="n">
        <f aca="false">Calc!AE17</f>
        <v>1119.81723894375</v>
      </c>
    </row>
    <row collapsed="false" customFormat="false" customHeight="false" hidden="false" ht="12.75" outlineLevel="0" r="11">
      <c r="A11" s="224" t="n">
        <f aca="false">Calc!A18</f>
        <v>0.0009499</v>
      </c>
      <c r="B11" s="224" t="n">
        <f aca="false">Calc!B18</f>
        <v>3.22163</v>
      </c>
      <c r="C11" s="224" t="n">
        <f aca="false">Calc!C18</f>
        <v>0.458134</v>
      </c>
      <c r="D11" s="224" t="n">
        <f aca="false">Calc!I18</f>
        <v>28297879556163500</v>
      </c>
      <c r="E11" s="224" t="n">
        <f aca="false">Calc!P18</f>
        <v>7.36122391207309E-005</v>
      </c>
      <c r="F11" s="225" t="n">
        <f aca="false">Calc!S18</f>
        <v>12255.4193107308</v>
      </c>
      <c r="G11" s="224" t="n">
        <f aca="false">Calc!O18</f>
        <v>28297879556163500</v>
      </c>
      <c r="H11" s="228" t="n">
        <f aca="false">Calc!X18</f>
        <v>0.773949930604088</v>
      </c>
      <c r="I11" s="229" t="n">
        <f aca="false">Calc!Y18</f>
        <v>45.3775257646265</v>
      </c>
      <c r="J11" s="227" t="n">
        <f aca="false">Calc!AE18</f>
        <v>1132.51762322911</v>
      </c>
    </row>
    <row collapsed="false" customFormat="false" customHeight="false" hidden="false" ht="12.75" outlineLevel="0" r="12">
      <c r="A12" s="224" t="n">
        <f aca="false">Calc!A19</f>
        <v>0.0010499</v>
      </c>
      <c r="B12" s="224" t="n">
        <f aca="false">Calc!B19</f>
        <v>3.08619</v>
      </c>
      <c r="C12" s="224" t="n">
        <f aca="false">Calc!C19</f>
        <v>0.431353</v>
      </c>
      <c r="D12" s="224" t="n">
        <f aca="false">Calc!I19</f>
        <v>26752924575107000</v>
      </c>
      <c r="E12" s="224" t="n">
        <f aca="false">Calc!P19</f>
        <v>7.38232674017368E-005</v>
      </c>
      <c r="F12" s="225" t="n">
        <f aca="false">Calc!S19</f>
        <v>12357.7713135225</v>
      </c>
      <c r="G12" s="224" t="n">
        <f aca="false">Calc!O19</f>
        <v>26752924575107000</v>
      </c>
      <c r="H12" s="228" t="n">
        <f aca="false">Calc!X19</f>
        <v>0.771224615462259</v>
      </c>
      <c r="I12" s="229" t="n">
        <f aca="false">Calc!Y19</f>
        <v>42.7774555358926</v>
      </c>
      <c r="J12" s="227" t="n">
        <f aca="false">Calc!AE19</f>
        <v>1145.35076073371</v>
      </c>
    </row>
    <row collapsed="false" customFormat="false" customHeight="false" hidden="false" ht="12.75" outlineLevel="0" r="13">
      <c r="A13" s="224" t="n">
        <f aca="false">Calc!A20</f>
        <v>0.0011499</v>
      </c>
      <c r="B13" s="224" t="n">
        <f aca="false">Calc!B20</f>
        <v>2.95279</v>
      </c>
      <c r="C13" s="224" t="n">
        <f aca="false">Calc!C20</f>
        <v>0.406259</v>
      </c>
      <c r="D13" s="224" t="n">
        <f aca="false">Calc!I20</f>
        <v>25263397175589000</v>
      </c>
      <c r="E13" s="224" t="n">
        <f aca="false">Calc!P20</f>
        <v>7.39480258867385E-005</v>
      </c>
      <c r="F13" s="225" t="n">
        <f aca="false">Calc!S20</f>
        <v>12463.5343063966</v>
      </c>
      <c r="G13" s="224" t="n">
        <f aca="false">Calc!O20</f>
        <v>25263397175589000</v>
      </c>
      <c r="H13" s="228" t="n">
        <f aca="false">Calc!X20</f>
        <v>0.768452146655414</v>
      </c>
      <c r="I13" s="229" t="n">
        <f aca="false">Calc!Y20</f>
        <v>40.3275753875216</v>
      </c>
      <c r="J13" s="227" t="n">
        <f aca="false">Calc!AE20</f>
        <v>1158.25145536677</v>
      </c>
    </row>
    <row collapsed="false" customFormat="false" customHeight="false" hidden="false" ht="12.75" outlineLevel="0" r="14">
      <c r="A14" s="224" t="n">
        <f aca="false">Calc!A21</f>
        <v>0.0012499</v>
      </c>
      <c r="B14" s="224" t="n">
        <f aca="false">Calc!B21</f>
        <v>2.82144</v>
      </c>
      <c r="C14" s="224" t="n">
        <f aca="false">Calc!C21</f>
        <v>0.382572</v>
      </c>
      <c r="D14" s="224" t="n">
        <f aca="false">Calc!I21</f>
        <v>23827630108026100</v>
      </c>
      <c r="E14" s="224" t="n">
        <f aca="false">Calc!P21</f>
        <v>7.40075213074163E-005</v>
      </c>
      <c r="F14" s="225" t="n">
        <f aca="false">Calc!S21</f>
        <v>12569.6652612926</v>
      </c>
      <c r="G14" s="224" t="n">
        <f aca="false">Calc!O21</f>
        <v>23827630108026100</v>
      </c>
      <c r="H14" s="228" t="n">
        <f aca="false">Calc!X21</f>
        <v>0.765629598328279</v>
      </c>
      <c r="I14" s="229" t="n">
        <f aca="false">Calc!Y21</f>
        <v>38.0051050446592</v>
      </c>
      <c r="J14" s="227" t="n">
        <f aca="false">Calc!AE21</f>
        <v>1171.21893825369</v>
      </c>
    </row>
    <row collapsed="false" customFormat="false" customHeight="false" hidden="false" ht="12.75" outlineLevel="0" r="15">
      <c r="A15" s="224" t="n">
        <f aca="false">Calc!A22</f>
        <v>0.0013499</v>
      </c>
      <c r="B15" s="224" t="n">
        <f aca="false">Calc!B22</f>
        <v>2.69331</v>
      </c>
      <c r="C15" s="224" t="n">
        <f aca="false">Calc!C22</f>
        <v>0.360458</v>
      </c>
      <c r="D15" s="224" t="n">
        <f aca="false">Calc!I22</f>
        <v>22456291055661500</v>
      </c>
      <c r="E15" s="224" t="n">
        <f aca="false">Calc!P22</f>
        <v>7.39810891907247E-005</v>
      </c>
      <c r="F15" s="225" t="n">
        <f aca="false">Calc!S22</f>
        <v>12679.8546813527</v>
      </c>
      <c r="G15" s="224" t="n">
        <f aca="false">Calc!O22</f>
        <v>22456291055661500</v>
      </c>
      <c r="H15" s="228" t="n">
        <f aca="false">Calc!X22</f>
        <v>0.762780019729167</v>
      </c>
      <c r="I15" s="229" t="n">
        <f aca="false">Calc!Y22</f>
        <v>35.8306143044032</v>
      </c>
      <c r="J15" s="227" t="n">
        <f aca="false">Calc!AE22</f>
        <v>1184.13436780551</v>
      </c>
    </row>
    <row collapsed="false" customFormat="false" customHeight="false" hidden="false" ht="12.75" outlineLevel="0" r="16">
      <c r="A16" s="224" t="n">
        <f aca="false">Calc!A23</f>
        <v>0.0014499</v>
      </c>
      <c r="B16" s="224" t="n">
        <f aca="false">Calc!B23</f>
        <v>2.56927</v>
      </c>
      <c r="C16" s="224" t="n">
        <f aca="false">Calc!C23</f>
        <v>0.339678</v>
      </c>
      <c r="D16" s="224" t="n">
        <f aca="false">Calc!I23</f>
        <v>21155974638805200</v>
      </c>
      <c r="E16" s="224" t="n">
        <f aca="false">Calc!P23</f>
        <v>7.39256897774816E-005</v>
      </c>
      <c r="F16" s="225" t="n">
        <f aca="false">Calc!S23</f>
        <v>12784.122382635</v>
      </c>
      <c r="G16" s="224" t="n">
        <f aca="false">Calc!O23</f>
        <v>21155974638805200</v>
      </c>
      <c r="H16" s="228" t="n">
        <f aca="false">Calc!X23</f>
        <v>0.75992293448829</v>
      </c>
      <c r="I16" s="229" t="n">
        <f aca="false">Calc!Y23</f>
        <v>33.7811631217169</v>
      </c>
      <c r="J16" s="227" t="n">
        <f aca="false">Calc!AE23</f>
        <v>1196.90018558417</v>
      </c>
    </row>
    <row collapsed="false" customFormat="false" customHeight="false" hidden="false" ht="12.75" outlineLevel="0" r="17">
      <c r="A17" s="224" t="n">
        <f aca="false">Calc!A24</f>
        <v>0.0015499</v>
      </c>
      <c r="B17" s="224" t="n">
        <f aca="false">Calc!B24</f>
        <v>2.44784</v>
      </c>
      <c r="C17" s="224" t="n">
        <f aca="false">Calc!C24</f>
        <v>0.320235</v>
      </c>
      <c r="D17" s="224" t="n">
        <f aca="false">Calc!I24</f>
        <v>19908759707753300</v>
      </c>
      <c r="E17" s="224" t="n">
        <f aca="false">Calc!P24</f>
        <v>7.37606266491341E-005</v>
      </c>
      <c r="F17" s="225" t="n">
        <f aca="false">Calc!S24</f>
        <v>12899.4130867774</v>
      </c>
      <c r="G17" s="224" t="n">
        <f aca="false">Calc!O24</f>
        <v>19908759707753300</v>
      </c>
      <c r="H17" s="228" t="n">
        <f aca="false">Calc!X24</f>
        <v>0.757023739279914</v>
      </c>
      <c r="I17" s="229" t="n">
        <f aca="false">Calc!Y24</f>
        <v>31.8607909916547</v>
      </c>
      <c r="J17" s="227" t="n">
        <f aca="false">Calc!AE24</f>
        <v>1209.6605192596</v>
      </c>
    </row>
    <row collapsed="false" customFormat="false" customHeight="false" hidden="false" ht="12.75" outlineLevel="0" r="18">
      <c r="A18" s="224" t="n">
        <f aca="false">Calc!A25</f>
        <v>0.0016499</v>
      </c>
      <c r="B18" s="224" t="n">
        <f aca="false">Calc!B25</f>
        <v>2.33057</v>
      </c>
      <c r="C18" s="224" t="n">
        <f aca="false">Calc!C25</f>
        <v>0.301985</v>
      </c>
      <c r="D18" s="224" t="n">
        <f aca="false">Calc!I25</f>
        <v>18728247707966400</v>
      </c>
      <c r="E18" s="224" t="n">
        <f aca="false">Calc!P25</f>
        <v>7.35520585729832E-005</v>
      </c>
      <c r="F18" s="225" t="n">
        <f aca="false">Calc!S25</f>
        <v>13013.5720807955</v>
      </c>
      <c r="G18" s="224" t="n">
        <f aca="false">Calc!O25</f>
        <v>18728247707966400</v>
      </c>
      <c r="H18" s="228" t="n">
        <f aca="false">Calc!X25</f>
        <v>0.754119126692214</v>
      </c>
      <c r="I18" s="229" t="n">
        <f aca="false">Calc!Y25</f>
        <v>30.0565589900471</v>
      </c>
      <c r="J18" s="227" t="n">
        <f aca="false">Calc!AE25</f>
        <v>1222.24371727898</v>
      </c>
    </row>
    <row collapsed="false" customFormat="false" customHeight="false" hidden="false" ht="12.75" outlineLevel="0" r="19">
      <c r="A19" s="224" t="n">
        <f aca="false">Calc!A26</f>
        <v>0.0017499</v>
      </c>
      <c r="B19" s="224" t="n">
        <f aca="false">Calc!B26</f>
        <v>2.21684</v>
      </c>
      <c r="C19" s="224" t="n">
        <f aca="false">Calc!C26</f>
        <v>0.284804</v>
      </c>
      <c r="D19" s="224" t="n">
        <f aca="false">Calc!I26</f>
        <v>17605699975024100</v>
      </c>
      <c r="E19" s="224" t="n">
        <f aca="false">Calc!P26</f>
        <v>7.32972304984058E-005</v>
      </c>
      <c r="F19" s="225" t="n">
        <f aca="false">Calc!S26</f>
        <v>13128.5455652436</v>
      </c>
      <c r="G19" s="224" t="n">
        <f aca="false">Calc!O26</f>
        <v>17605699975024100</v>
      </c>
      <c r="H19" s="228" t="n">
        <f aca="false">Calc!X26</f>
        <v>0.751194779118685</v>
      </c>
      <c r="I19" s="229" t="n">
        <f aca="false">Calc!Y26</f>
        <v>28.3532389362048</v>
      </c>
      <c r="J19" s="227" t="n">
        <f aca="false">Calc!AE26</f>
        <v>1234.70411297656</v>
      </c>
    </row>
    <row collapsed="false" customFormat="false" customHeight="false" hidden="false" ht="12.75" outlineLevel="0" r="20">
      <c r="A20" s="224" t="n">
        <f aca="false">Calc!A27</f>
        <v>0.0018499</v>
      </c>
      <c r="B20" s="224" t="n">
        <f aca="false">Calc!B27</f>
        <v>2.10676</v>
      </c>
      <c r="C20" s="224" t="n">
        <f aca="false">Calc!C27</f>
        <v>0.268641</v>
      </c>
      <c r="D20" s="224" t="n">
        <f aca="false">Calc!I27</f>
        <v>16539968009497500</v>
      </c>
      <c r="E20" s="224" t="n">
        <f aca="false">Calc!P27</f>
        <v>7.29886426767674E-005</v>
      </c>
      <c r="F20" s="225" t="n">
        <f aca="false">Calc!S27</f>
        <v>13246.6345990308</v>
      </c>
      <c r="G20" s="224" t="n">
        <f aca="false">Calc!O27</f>
        <v>16539968009497500</v>
      </c>
      <c r="H20" s="228" t="n">
        <f aca="false">Calc!X27</f>
        <v>0.748254063483063</v>
      </c>
      <c r="I20" s="229" t="n">
        <f aca="false">Calc!Y27</f>
        <v>26.7495403836003</v>
      </c>
      <c r="J20" s="227" t="n">
        <f aca="false">Calc!AE27</f>
        <v>1247.01875117929</v>
      </c>
    </row>
    <row collapsed="false" customFormat="false" customHeight="false" hidden="false" ht="12.75" outlineLevel="0" r="21">
      <c r="A21" s="224" t="n">
        <f aca="false">Calc!A28</f>
        <v>0.0019499</v>
      </c>
      <c r="B21" s="224" t="n">
        <f aca="false">Calc!B28</f>
        <v>2.00099</v>
      </c>
      <c r="C21" s="224" t="n">
        <f aca="false">Calc!C28</f>
        <v>0.253516</v>
      </c>
      <c r="D21" s="224" t="n">
        <f aca="false">Calc!I28</f>
        <v>15535100296298000</v>
      </c>
      <c r="E21" s="224" t="n">
        <f aca="false">Calc!P28</f>
        <v>7.26403463471849E-005</v>
      </c>
      <c r="F21" s="225" t="n">
        <f aca="false">Calc!S28</f>
        <v>13365.8308789799</v>
      </c>
      <c r="G21" s="224" t="n">
        <f aca="false">Calc!O28</f>
        <v>15535100296298000</v>
      </c>
      <c r="H21" s="228" t="n">
        <f aca="false">Calc!X28</f>
        <v>0.745316583918299</v>
      </c>
      <c r="I21" s="229" t="n">
        <f aca="false">Calc!Y28</f>
        <v>25.2448678546311</v>
      </c>
      <c r="J21" s="227" t="n">
        <f aca="false">Calc!AE28</f>
        <v>1259.09975478911</v>
      </c>
    </row>
    <row collapsed="false" customFormat="false" customHeight="false" hidden="false" ht="12.75" outlineLevel="0" r="22">
      <c r="A22" s="224" t="n">
        <f aca="false">Calc!A29</f>
        <v>0.0020499</v>
      </c>
      <c r="B22" s="224" t="n">
        <f aca="false">Calc!B29</f>
        <v>1.89894</v>
      </c>
      <c r="C22" s="224" t="n">
        <f aca="false">Calc!C29</f>
        <v>0.239359</v>
      </c>
      <c r="D22" s="224" t="n">
        <f aca="false">Calc!I29</f>
        <v>14583243862017500</v>
      </c>
      <c r="E22" s="224" t="n">
        <f aca="false">Calc!P29</f>
        <v>7.22258278401225E-005</v>
      </c>
      <c r="F22" s="225" t="n">
        <f aca="false">Calc!S29</f>
        <v>13492.4287635514</v>
      </c>
      <c r="G22" s="224" t="n">
        <f aca="false">Calc!O29</f>
        <v>14583243862017500</v>
      </c>
      <c r="H22" s="228" t="n">
        <f aca="false">Calc!X29</f>
        <v>0.74236839142106</v>
      </c>
      <c r="I22" s="229" t="n">
        <f aca="false">Calc!Y29</f>
        <v>23.8340889750562</v>
      </c>
      <c r="J22" s="227" t="n">
        <f aca="false">Calc!AE29</f>
        <v>1270.99971060059</v>
      </c>
    </row>
    <row collapsed="false" customFormat="false" customHeight="false" hidden="false" ht="12.75" outlineLevel="0" r="23">
      <c r="A23" s="224" t="n">
        <f aca="false">Calc!A30</f>
        <v>0.0021499</v>
      </c>
      <c r="B23" s="224" t="n">
        <f aca="false">Calc!B30</f>
        <v>1.8014</v>
      </c>
      <c r="C23" s="224" t="n">
        <f aca="false">Calc!C30</f>
        <v>0.226083</v>
      </c>
      <c r="D23" s="224" t="n">
        <f aca="false">Calc!I30</f>
        <v>13689584349206500</v>
      </c>
      <c r="E23" s="224" t="n">
        <f aca="false">Calc!P30</f>
        <v>7.1787479429067E-005</v>
      </c>
      <c r="F23" s="225" t="n">
        <f aca="false">Calc!S30</f>
        <v>13618.9138983113</v>
      </c>
      <c r="G23" s="224" t="n">
        <f aca="false">Calc!O30</f>
        <v>13689584349206500</v>
      </c>
      <c r="H23" s="228" t="n">
        <f aca="false">Calc!X30</f>
        <v>0.7394355718853</v>
      </c>
      <c r="I23" s="229" t="n">
        <f aca="false">Calc!Y30</f>
        <v>22.5101559437621</v>
      </c>
      <c r="J23" s="227" t="n">
        <f aca="false">Calc!AE30</f>
        <v>1282.61037358978</v>
      </c>
    </row>
    <row collapsed="false" customFormat="false" customHeight="false" hidden="false" ht="12.75" outlineLevel="0" r="24">
      <c r="A24" s="224" t="n">
        <f aca="false">Calc!A31</f>
        <v>0.0022499</v>
      </c>
      <c r="B24" s="224" t="n">
        <f aca="false">Calc!B31</f>
        <v>1.70771</v>
      </c>
      <c r="C24" s="224" t="n">
        <f aca="false">Calc!C31</f>
        <v>0.213593</v>
      </c>
      <c r="D24" s="224" t="n">
        <f aca="false">Calc!I31</f>
        <v>12845970111505300</v>
      </c>
      <c r="E24" s="224" t="n">
        <f aca="false">Calc!P31</f>
        <v>7.13140897979178E-005</v>
      </c>
      <c r="F24" s="225" t="n">
        <f aca="false">Calc!S31</f>
        <v>13748.5429664687</v>
      </c>
      <c r="G24" s="224" t="n">
        <f aca="false">Calc!O31</f>
        <v>12845970111505300</v>
      </c>
      <c r="H24" s="228" t="n">
        <f aca="false">Calc!X31</f>
        <v>0.736502286581711</v>
      </c>
      <c r="I24" s="229" t="n">
        <f aca="false">Calc!Y31</f>
        <v>21.2631944179138</v>
      </c>
      <c r="J24" s="227" t="n">
        <f aca="false">Calc!AE31</f>
        <v>1293.99312492349</v>
      </c>
    </row>
    <row collapsed="false" customFormat="false" customHeight="false" hidden="false" ht="12.75" outlineLevel="0" r="25">
      <c r="A25" s="224" t="n">
        <f aca="false">Calc!A32</f>
        <v>0.0023499</v>
      </c>
      <c r="B25" s="224" t="n">
        <f aca="false">Calc!B32</f>
        <v>1.61797</v>
      </c>
      <c r="C25" s="224" t="n">
        <f aca="false">Calc!C32</f>
        <v>0.201816</v>
      </c>
      <c r="D25" s="224" t="n">
        <f aca="false">Calc!I32</f>
        <v>12051435426874400</v>
      </c>
      <c r="E25" s="224" t="n">
        <f aca="false">Calc!P32</f>
        <v>7.08190794071963E-005</v>
      </c>
      <c r="F25" s="225" t="n">
        <f aca="false">Calc!S32</f>
        <v>13879.3949724333</v>
      </c>
      <c r="G25" s="224" t="n">
        <f aca="false">Calc!O32</f>
        <v>12051435426874400</v>
      </c>
      <c r="H25" s="228" t="n">
        <f aca="false">Calc!X32</f>
        <v>0.733575221236574</v>
      </c>
      <c r="I25" s="229" t="n">
        <f aca="false">Calc!Y32</f>
        <v>20.0874795484379</v>
      </c>
      <c r="J25" s="227" t="n">
        <f aca="false">Calc!AE32</f>
        <v>1305.12007495232</v>
      </c>
    </row>
    <row collapsed="false" customFormat="false" customHeight="false" hidden="false" ht="12.75" outlineLevel="0" r="26">
      <c r="A26" s="224" t="n">
        <f aca="false">Calc!A33</f>
        <v>0.0024499</v>
      </c>
      <c r="B26" s="224" t="n">
        <f aca="false">Calc!B33</f>
        <v>1.53225</v>
      </c>
      <c r="C26" s="224" t="n">
        <f aca="false">Calc!C33</f>
        <v>0.190824</v>
      </c>
      <c r="D26" s="224" t="n">
        <f aca="false">Calc!I33</f>
        <v>11304792156430900</v>
      </c>
      <c r="E26" s="224" t="n">
        <f aca="false">Calc!P33</f>
        <v>7.02816878410319E-005</v>
      </c>
      <c r="F26" s="225" t="n">
        <f aca="false">Calc!S33</f>
        <v>14016.3121587604</v>
      </c>
      <c r="G26" s="224" t="n">
        <f aca="false">Calc!O33</f>
        <v>11304792156430900</v>
      </c>
      <c r="H26" s="228" t="n">
        <f aca="false">Calc!X33</f>
        <v>0.730661149714447</v>
      </c>
      <c r="I26" s="229" t="n">
        <f aca="false">Calc!Y33</f>
        <v>18.9870435201539</v>
      </c>
      <c r="J26" s="227" t="n">
        <f aca="false">Calc!AE33</f>
        <v>1315.9655600263</v>
      </c>
    </row>
    <row collapsed="false" customFormat="false" customHeight="false" hidden="false" ht="12.75" outlineLevel="0" r="27">
      <c r="A27" s="224" t="n">
        <f aca="false">Calc!A34</f>
        <v>0.0025499</v>
      </c>
      <c r="B27" s="224" t="n">
        <f aca="false">Calc!B34</f>
        <v>1.45035</v>
      </c>
      <c r="C27" s="224" t="n">
        <f aca="false">Calc!C34</f>
        <v>0.180481</v>
      </c>
      <c r="D27" s="224" t="n">
        <f aca="false">Calc!I34</f>
        <v>10602611747998900</v>
      </c>
      <c r="E27" s="224" t="n">
        <f aca="false">Calc!P34</f>
        <v>6.97194850596455E-005</v>
      </c>
      <c r="F27" s="225" t="n">
        <f aca="false">Calc!S34</f>
        <v>14156.5830447254</v>
      </c>
      <c r="G27" s="224" t="n">
        <f aca="false">Calc!O34</f>
        <v>10602611747998900</v>
      </c>
      <c r="H27" s="228" t="n">
        <f aca="false">Calc!X34</f>
        <v>0.727758166164364</v>
      </c>
      <c r="I27" s="229" t="n">
        <f aca="false">Calc!Y34</f>
        <v>17.9512888104518</v>
      </c>
      <c r="J27" s="227" t="n">
        <f aca="false">Calc!AE34</f>
        <v>1326.53777127788</v>
      </c>
    </row>
    <row collapsed="false" customFormat="false" customHeight="false" hidden="false" ht="12.75" outlineLevel="0" r="28">
      <c r="A28" s="224" t="n">
        <f aca="false">Calc!A35</f>
        <v>0.0026499</v>
      </c>
      <c r="B28" s="224" t="n">
        <f aca="false">Calc!B35</f>
        <v>1.37305</v>
      </c>
      <c r="C28" s="224" t="n">
        <f aca="false">Calc!C35</f>
        <v>0.170775</v>
      </c>
      <c r="D28" s="224" t="n">
        <f aca="false">Calc!I35</f>
        <v>9949873671104590</v>
      </c>
      <c r="E28" s="224" t="n">
        <f aca="false">Calc!P35</f>
        <v>6.91730120276577E-005</v>
      </c>
      <c r="F28" s="225" t="n">
        <f aca="false">Calc!S35</f>
        <v>14292.1651063499</v>
      </c>
      <c r="G28" s="224" t="n">
        <f aca="false">Calc!O35</f>
        <v>9949873671104590</v>
      </c>
      <c r="H28" s="228" t="n">
        <f aca="false">Calc!X35</f>
        <v>0.724900905732898</v>
      </c>
      <c r="I28" s="229" t="n">
        <f aca="false">Calc!Y35</f>
        <v>16.9792235557134</v>
      </c>
      <c r="J28" s="227" t="n">
        <f aca="false">Calc!AE35</f>
        <v>1336.71599871667</v>
      </c>
    </row>
    <row collapsed="false" customFormat="false" customHeight="false" hidden="false" ht="12.75" outlineLevel="0" r="29">
      <c r="A29" s="224" t="n">
        <f aca="false">Calc!A36</f>
        <v>0.0027499</v>
      </c>
      <c r="B29" s="224" t="n">
        <f aca="false">Calc!B36</f>
        <v>1.29888</v>
      </c>
      <c r="C29" s="224" t="n">
        <f aca="false">Calc!C36</f>
        <v>0.16162</v>
      </c>
      <c r="D29" s="224" t="n">
        <f aca="false">Calc!I36</f>
        <v>9332678772147270</v>
      </c>
      <c r="E29" s="224" t="n">
        <f aca="false">Calc!P36</f>
        <v>6.85829545810346E-005</v>
      </c>
      <c r="F29" s="225" t="n">
        <f aca="false">Calc!S36</f>
        <v>14436.2983047226</v>
      </c>
      <c r="G29" s="224" t="n">
        <f aca="false">Calc!O36</f>
        <v>9332678772147270</v>
      </c>
      <c r="H29" s="228" t="n">
        <f aca="false">Calc!X36</f>
        <v>0.72204125200905</v>
      </c>
      <c r="I29" s="229" t="n">
        <f aca="false">Calc!Y36</f>
        <v>16.0630153182944</v>
      </c>
      <c r="J29" s="227" t="n">
        <f aca="false">Calc!AE36</f>
        <v>1346.67583300225</v>
      </c>
    </row>
    <row collapsed="false" customFormat="false" customHeight="false" hidden="false" ht="12.75" outlineLevel="0" r="30">
      <c r="A30" s="224" t="n">
        <f aca="false">Calc!A37</f>
        <v>0.0028499</v>
      </c>
      <c r="B30" s="224" t="n">
        <f aca="false">Calc!B37</f>
        <v>1.2284</v>
      </c>
      <c r="C30" s="224" t="n">
        <f aca="false">Calc!C37</f>
        <v>0.152742</v>
      </c>
      <c r="D30" s="224" t="n">
        <f aca="false">Calc!I37</f>
        <v>8754445669875410</v>
      </c>
      <c r="E30" s="224" t="n">
        <f aca="false">Calc!P37</f>
        <v>6.80912867044117E-005</v>
      </c>
      <c r="F30" s="225" t="n">
        <f aca="false">Calc!S37</f>
        <v>14558.9439561373</v>
      </c>
      <c r="G30" s="224" t="n">
        <f aca="false">Calc!O37</f>
        <v>8754445669875410</v>
      </c>
      <c r="H30" s="228" t="n">
        <f aca="false">Calc!X37</f>
        <v>0.719205677997943</v>
      </c>
      <c r="I30" s="229" t="n">
        <f aca="false">Calc!Y37</f>
        <v>15.1765849538143</v>
      </c>
      <c r="J30" s="227" t="n">
        <f aca="false">Calc!AE37</f>
        <v>1356.3270280855</v>
      </c>
    </row>
    <row collapsed="false" customFormat="false" customHeight="false" hidden="false" ht="12.75" outlineLevel="0" r="31">
      <c r="A31" s="224" t="n">
        <f aca="false">Calc!A38</f>
        <v>0.0029499</v>
      </c>
      <c r="B31" s="224" t="n">
        <f aca="false">Calc!B38</f>
        <v>1.16126</v>
      </c>
      <c r="C31" s="224" t="n">
        <f aca="false">Calc!C38</f>
        <v>0.14462</v>
      </c>
      <c r="D31" s="224" t="n">
        <f aca="false">Calc!I38</f>
        <v>8211088727205680</v>
      </c>
      <c r="E31" s="224" t="n">
        <f aca="false">Calc!P38</f>
        <v>6.74815871503216E-005</v>
      </c>
      <c r="F31" s="225" t="n">
        <f aca="false">Calc!S38</f>
        <v>14706.9366628815</v>
      </c>
      <c r="G31" s="224" t="n">
        <f aca="false">Calc!O38</f>
        <v>8211088727205680</v>
      </c>
      <c r="H31" s="228" t="n">
        <f aca="false">Calc!X38</f>
        <v>0.716386251284457</v>
      </c>
      <c r="I31" s="229" t="n">
        <f aca="false">Calc!Y38</f>
        <v>14.3632395264035</v>
      </c>
      <c r="J31" s="227" t="n">
        <f aca="false">Calc!AE38</f>
        <v>1365.70106068785</v>
      </c>
    </row>
    <row collapsed="false" customFormat="false" customHeight="false" hidden="false" ht="12.75" outlineLevel="0" r="32">
      <c r="A32" s="224" t="n">
        <f aca="false">Calc!A39</f>
        <v>0.0030499</v>
      </c>
      <c r="B32" s="224" t="n">
        <f aca="false">Calc!B39</f>
        <v>1.09763</v>
      </c>
      <c r="C32" s="224" t="n">
        <f aca="false">Calc!C39</f>
        <v>0.136995</v>
      </c>
      <c r="D32" s="224" t="n">
        <f aca="false">Calc!I39</f>
        <v>7702864378172590</v>
      </c>
      <c r="E32" s="224" t="n">
        <f aca="false">Calc!P39</f>
        <v>6.68561197684216E-005</v>
      </c>
      <c r="F32" s="225" t="n">
        <f aca="false">Calc!S39</f>
        <v>14858.9992073627</v>
      </c>
      <c r="G32" s="224" t="n">
        <f aca="false">Calc!O39</f>
        <v>7702864378172590</v>
      </c>
      <c r="H32" s="228" t="n">
        <f aca="false">Calc!X39</f>
        <v>0.713596659505112</v>
      </c>
      <c r="I32" s="229" t="n">
        <f aca="false">Calc!Y39</f>
        <v>13.6002856717621</v>
      </c>
      <c r="J32" s="227" t="n">
        <f aca="false">Calc!AE39</f>
        <v>1374.75784996504</v>
      </c>
    </row>
    <row collapsed="false" customFormat="false" customHeight="false" hidden="false" ht="12.75" outlineLevel="0" r="33">
      <c r="A33" s="224" t="n">
        <f aca="false">Calc!A40</f>
        <v>0.0031499</v>
      </c>
      <c r="B33" s="224" t="n">
        <f aca="false">Calc!B40</f>
        <v>1.03727</v>
      </c>
      <c r="C33" s="224" t="n">
        <f aca="false">Calc!C40</f>
        <v>0.129895</v>
      </c>
      <c r="D33" s="224" t="n">
        <f aca="false">Calc!I40</f>
        <v>7226807255739610</v>
      </c>
      <c r="E33" s="224" t="n">
        <f aca="false">Calc!P40</f>
        <v>6.61802002928448E-005</v>
      </c>
      <c r="F33" s="225" t="n">
        <f aca="false">Calc!S40</f>
        <v>15023.5631036112</v>
      </c>
      <c r="G33" s="224" t="n">
        <f aca="false">Calc!O40</f>
        <v>7226807255739610</v>
      </c>
      <c r="H33" s="228" t="n">
        <f aca="false">Calc!X40</f>
        <v>0.710833630109503</v>
      </c>
      <c r="I33" s="229" t="n">
        <f aca="false">Calc!Y40</f>
        <v>12.8900719403051</v>
      </c>
      <c r="J33" s="227" t="n">
        <f aca="false">Calc!AE40</f>
        <v>1383.51489359941</v>
      </c>
    </row>
    <row collapsed="false" customFormat="false" customHeight="false" hidden="false" ht="12.75" outlineLevel="0" r="34">
      <c r="A34" s="224" t="n">
        <f aca="false">Calc!A41</f>
        <v>0.0032499</v>
      </c>
      <c r="B34" s="224" t="n">
        <f aca="false">Calc!B41</f>
        <v>0.979624</v>
      </c>
      <c r="C34" s="224" t="n">
        <f aca="false">Calc!C41</f>
        <v>0.123161</v>
      </c>
      <c r="D34" s="224" t="n">
        <f aca="false">Calc!I41</f>
        <v>6777655477861600</v>
      </c>
      <c r="E34" s="224" t="n">
        <f aca="false">Calc!P41</f>
        <v>6.54829998228375E-005</v>
      </c>
      <c r="F34" s="225" t="n">
        <f aca="false">Calc!S41</f>
        <v>15194.8843367101</v>
      </c>
      <c r="G34" s="224" t="n">
        <f aca="false">Calc!O41</f>
        <v>6777655477861600</v>
      </c>
      <c r="H34" s="228" t="n">
        <f aca="false">Calc!X41</f>
        <v>0.708077509851315</v>
      </c>
      <c r="I34" s="229" t="n">
        <f aca="false">Calc!Y41</f>
        <v>12.2176553230559</v>
      </c>
      <c r="J34" s="227" t="n">
        <f aca="false">Calc!AE41</f>
        <v>1392.03889939645</v>
      </c>
    </row>
    <row collapsed="false" customFormat="false" customHeight="false" hidden="false" ht="12.75" outlineLevel="0" r="35">
      <c r="A35" s="224" t="n">
        <f aca="false">Calc!A42</f>
        <v>0.0033499</v>
      </c>
      <c r="B35" s="224" t="n">
        <f aca="false">Calc!B42</f>
        <v>0.92479</v>
      </c>
      <c r="C35" s="224" t="n">
        <f aca="false">Calc!C42</f>
        <v>0.116784</v>
      </c>
      <c r="D35" s="224" t="n">
        <f aca="false">Calc!I42</f>
        <v>6355404294101230</v>
      </c>
      <c r="E35" s="224" t="n">
        <f aca="false">Calc!P42</f>
        <v>6.47828333343241E-005</v>
      </c>
      <c r="F35" s="225" t="n">
        <f aca="false">Calc!S42</f>
        <v>15369.1387527595</v>
      </c>
      <c r="G35" s="224" t="n">
        <f aca="false">Calc!O42</f>
        <v>6355404294101230</v>
      </c>
      <c r="H35" s="228" t="n">
        <f aca="false">Calc!X42</f>
        <v>0.705338187118026</v>
      </c>
      <c r="I35" s="229" t="n">
        <f aca="false">Calc!Y42</f>
        <v>11.5803101541213</v>
      </c>
      <c r="J35" s="227" t="n">
        <f aca="false">Calc!AE42</f>
        <v>1400.30278748941</v>
      </c>
    </row>
    <row collapsed="false" customFormat="false" customHeight="false" hidden="false" ht="12.75" outlineLevel="0" r="36">
      <c r="A36" s="224" t="n">
        <f aca="false">Calc!A43</f>
        <v>0.0034499</v>
      </c>
      <c r="B36" s="224" t="n">
        <f aca="false">Calc!B43</f>
        <v>0.872612</v>
      </c>
      <c r="C36" s="224" t="n">
        <f aca="false">Calc!C43</f>
        <v>0.110778</v>
      </c>
      <c r="D36" s="224" t="n">
        <f aca="false">Calc!I43</f>
        <v>5958129488975960</v>
      </c>
      <c r="E36" s="224" t="n">
        <f aca="false">Calc!P43</f>
        <v>6.40555839203326E-005</v>
      </c>
      <c r="F36" s="225" t="n">
        <f aca="false">Calc!S43</f>
        <v>15552.5126328733</v>
      </c>
      <c r="G36" s="224" t="n">
        <f aca="false">Calc!O43</f>
        <v>5958129488975960</v>
      </c>
      <c r="H36" s="228" t="n">
        <f aca="false">Calc!X43</f>
        <v>0.702613653089566</v>
      </c>
      <c r="I36" s="229" t="n">
        <f aca="false">Calc!Y43</f>
        <v>10.9796852243818</v>
      </c>
      <c r="J36" s="227" t="n">
        <f aca="false">Calc!AE43</f>
        <v>1408.31721032694</v>
      </c>
    </row>
    <row collapsed="false" customFormat="false" customHeight="false" hidden="false" ht="12.75" outlineLevel="0" r="37">
      <c r="A37" s="224" t="n">
        <f aca="false">Calc!A44</f>
        <v>0.0035499</v>
      </c>
      <c r="B37" s="224" t="n">
        <f aca="false">Calc!B44</f>
        <v>0.823618</v>
      </c>
      <c r="C37" s="224" t="n">
        <f aca="false">Calc!C44</f>
        <v>0.10512</v>
      </c>
      <c r="D37" s="224" t="n">
        <f aca="false">Calc!I44</f>
        <v>5589119782351900</v>
      </c>
      <c r="E37" s="224" t="n">
        <f aca="false">Calc!P44</f>
        <v>6.33517635783459E-005</v>
      </c>
      <c r="F37" s="225" t="n">
        <f aca="false">Calc!S44</f>
        <v>15733.0247114971</v>
      </c>
      <c r="G37" s="224" t="n">
        <f aca="false">Calc!O44</f>
        <v>5589119782351900</v>
      </c>
      <c r="H37" s="228" t="n">
        <f aca="false">Calc!X44</f>
        <v>0.699939476899929</v>
      </c>
      <c r="I37" s="229" t="n">
        <f aca="false">Calc!Y44</f>
        <v>10.4140978626566</v>
      </c>
      <c r="J37" s="227" t="n">
        <f aca="false">Calc!AE44</f>
        <v>1415.98600487852</v>
      </c>
    </row>
    <row collapsed="false" customFormat="false" customHeight="false" hidden="false" ht="12.75" outlineLevel="0" r="38">
      <c r="A38" s="224" t="n">
        <f aca="false">Calc!A45</f>
        <v>0.0036499</v>
      </c>
      <c r="B38" s="224" t="n">
        <f aca="false">Calc!B45</f>
        <v>0.776796</v>
      </c>
      <c r="C38" s="224" t="n">
        <f aca="false">Calc!C45</f>
        <v>0.0997545</v>
      </c>
      <c r="D38" s="224" t="n">
        <f aca="false">Calc!I45</f>
        <v>5240117478900220</v>
      </c>
      <c r="E38" s="224" t="n">
        <f aca="false">Calc!P45</f>
        <v>6.2623878895807E-005</v>
      </c>
      <c r="F38" s="225" t="n">
        <f aca="false">Calc!S45</f>
        <v>15922.7680756907</v>
      </c>
      <c r="G38" s="224" t="n">
        <f aca="false">Calc!O45</f>
        <v>5240117478900220</v>
      </c>
      <c r="H38" s="228" t="n">
        <f aca="false">Calc!X45</f>
        <v>0.69726762195907</v>
      </c>
      <c r="I38" s="229" t="n">
        <f aca="false">Calc!Y45</f>
        <v>9.87729457105011</v>
      </c>
      <c r="J38" s="227" t="n">
        <f aca="false">Calc!AE45</f>
        <v>1423.45408497593</v>
      </c>
    </row>
    <row collapsed="false" customFormat="false" customHeight="false" hidden="false" ht="12.75" outlineLevel="0" r="39">
      <c r="A39" s="224" t="n">
        <f aca="false">Calc!A46</f>
        <v>0.0037499</v>
      </c>
      <c r="B39" s="224" t="n">
        <f aca="false">Calc!B46</f>
        <v>0.732353</v>
      </c>
      <c r="C39" s="224" t="n">
        <f aca="false">Calc!C46</f>
        <v>0.0947604</v>
      </c>
      <c r="D39" s="224" t="n">
        <f aca="false">Calc!I46</f>
        <v>4912154763705850</v>
      </c>
      <c r="E39" s="224" t="n">
        <f aca="false">Calc!P46</f>
        <v>6.1827765900437E-005</v>
      </c>
      <c r="F39" s="225" t="n">
        <f aca="false">Calc!S46</f>
        <v>16133.9084526571</v>
      </c>
      <c r="G39" s="224" t="n">
        <f aca="false">Calc!O46</f>
        <v>4912154763705850</v>
      </c>
      <c r="H39" s="228" t="n">
        <f aca="false">Calc!X46</f>
        <v>0.694615016538997</v>
      </c>
      <c r="I39" s="229" t="n">
        <f aca="false">Calc!Y46</f>
        <v>9.37832834878786</v>
      </c>
      <c r="J39" s="227" t="n">
        <f aca="false">Calc!AE46</f>
        <v>1430.67797280674</v>
      </c>
    </row>
    <row collapsed="false" customFormat="false" customHeight="false" hidden="false" ht="12.75" outlineLevel="0" r="40">
      <c r="A40" s="224" t="n">
        <f aca="false">Calc!A47</f>
        <v>0.0038499</v>
      </c>
      <c r="B40" s="224" t="n">
        <f aca="false">Calc!B47</f>
        <v>0.69082</v>
      </c>
      <c r="C40" s="224" t="n">
        <f aca="false">Calc!C47</f>
        <v>0.0899078</v>
      </c>
      <c r="D40" s="224" t="n">
        <f aca="false">Calc!I47</f>
        <v>4608586025899590</v>
      </c>
      <c r="E40" s="224" t="n">
        <f aca="false">Calc!P47</f>
        <v>6.11612136091523E-005</v>
      </c>
      <c r="F40" s="225" t="n">
        <f aca="false">Calc!S47</f>
        <v>16314.9746300821</v>
      </c>
      <c r="G40" s="224" t="n">
        <f aca="false">Calc!O47</f>
        <v>4608586025899590</v>
      </c>
      <c r="H40" s="228" t="n">
        <f aca="false">Calc!X47</f>
        <v>0.692022324269432</v>
      </c>
      <c r="I40" s="229" t="n">
        <f aca="false">Calc!Y47</f>
        <v>8.89464359324211</v>
      </c>
      <c r="J40" s="227" t="n">
        <f aca="false">Calc!AE47</f>
        <v>1437.55696055821</v>
      </c>
    </row>
    <row collapsed="false" customFormat="false" customHeight="false" hidden="false" ht="12.75" outlineLevel="0" r="41">
      <c r="A41" s="224" t="n">
        <f aca="false">Calc!A48</f>
        <v>0.0039499</v>
      </c>
      <c r="B41" s="224" t="n">
        <f aca="false">Calc!B48</f>
        <v>0.651015</v>
      </c>
      <c r="C41" s="224" t="n">
        <f aca="false">Calc!C48</f>
        <v>0.0854234</v>
      </c>
      <c r="D41" s="224" t="n">
        <f aca="false">Calc!I48</f>
        <v>4320303762359760</v>
      </c>
      <c r="E41" s="224" t="n">
        <f aca="false">Calc!P48</f>
        <v>6.03686275451228E-005</v>
      </c>
      <c r="F41" s="225" t="n">
        <f aca="false">Calc!S48</f>
        <v>16533.9114471309</v>
      </c>
      <c r="G41" s="224" t="n">
        <f aca="false">Calc!O48</f>
        <v>4320303762359760</v>
      </c>
      <c r="H41" s="228" t="n">
        <f aca="false">Calc!X48</f>
        <v>0.689423004784096</v>
      </c>
      <c r="I41" s="229" t="n">
        <f aca="false">Calc!Y48</f>
        <v>8.44772810354357</v>
      </c>
      <c r="J41" s="227" t="n">
        <f aca="false">Calc!AE48</f>
        <v>1444.27488512606</v>
      </c>
    </row>
    <row collapsed="false" customFormat="false" customHeight="false" hidden="false" ht="12.75" outlineLevel="0" r="42">
      <c r="A42" s="224" t="n">
        <f aca="false">Calc!A49</f>
        <v>0.0040499</v>
      </c>
      <c r="B42" s="224" t="n">
        <f aca="false">Calc!B49</f>
        <v>0.612959</v>
      </c>
      <c r="C42" s="224" t="n">
        <f aca="false">Calc!C49</f>
        <v>0.0811246</v>
      </c>
      <c r="D42" s="224" t="n">
        <f aca="false">Calc!I49</f>
        <v>4047128628949140</v>
      </c>
      <c r="E42" s="224" t="n">
        <f aca="false">Calc!P49</f>
        <v>5.95771807436491E-005</v>
      </c>
      <c r="F42" s="225" t="n">
        <f aca="false">Calc!S49</f>
        <v>16757.7604460594</v>
      </c>
      <c r="G42" s="224" t="n">
        <f aca="false">Calc!O49</f>
        <v>4047128628949140</v>
      </c>
      <c r="H42" s="228" t="n">
        <f aca="false">Calc!X49</f>
        <v>0.686821478063307</v>
      </c>
      <c r="I42" s="229" t="n">
        <f aca="false">Calc!Y49</f>
        <v>8.0187007452997</v>
      </c>
      <c r="J42" s="227" t="n">
        <f aca="false">Calc!AE49</f>
        <v>1450.82124672081</v>
      </c>
    </row>
    <row collapsed="false" customFormat="false" customHeight="false" hidden="false" ht="12.75" outlineLevel="0" r="43">
      <c r="A43" s="224" t="n">
        <f aca="false">Calc!A50</f>
        <v>0.0041499</v>
      </c>
      <c r="B43" s="224" t="n">
        <f aca="false">Calc!B50</f>
        <v>0.577124</v>
      </c>
      <c r="C43" s="224" t="n">
        <f aca="false">Calc!C50</f>
        <v>0.0770865</v>
      </c>
      <c r="D43" s="224" t="n">
        <f aca="false">Calc!I50</f>
        <v>3792086185908160</v>
      </c>
      <c r="E43" s="224" t="n">
        <f aca="false">Calc!P50</f>
        <v>5.87802990871387E-005</v>
      </c>
      <c r="F43" s="225" t="n">
        <f aca="false">Calc!S50</f>
        <v>16988.6320889989</v>
      </c>
      <c r="G43" s="224" t="n">
        <f aca="false">Calc!O50</f>
        <v>3792086185908160</v>
      </c>
      <c r="H43" s="228" t="n">
        <f aca="false">Calc!X50</f>
        <v>0.684256040793433</v>
      </c>
      <c r="I43" s="229" t="n">
        <f aca="false">Calc!Y50</f>
        <v>7.61523577925924</v>
      </c>
      <c r="J43" s="227" t="n">
        <f aca="false">Calc!AE50</f>
        <v>1457.10504137274</v>
      </c>
    </row>
    <row collapsed="false" customFormat="false" customHeight="false" hidden="false" ht="12.75" outlineLevel="0" r="44">
      <c r="A44" s="224" t="n">
        <f aca="false">Calc!A51</f>
        <v>0.0042499</v>
      </c>
      <c r="B44" s="224" t="n">
        <f aca="false">Calc!B51</f>
        <v>0.544101</v>
      </c>
      <c r="C44" s="224" t="n">
        <f aca="false">Calc!C51</f>
        <v>0.0732662</v>
      </c>
      <c r="D44" s="224" t="n">
        <f aca="false">Calc!I51</f>
        <v>3558946252789220</v>
      </c>
      <c r="E44" s="224" t="n">
        <f aca="false">Calc!P51</f>
        <v>5.80803218856445E-005</v>
      </c>
      <c r="F44" s="225" t="n">
        <f aca="false">Calc!S51</f>
        <v>17196.5097091559</v>
      </c>
      <c r="G44" s="224" t="n">
        <f aca="false">Calc!O51</f>
        <v>3558946252789220</v>
      </c>
      <c r="H44" s="228" t="n">
        <f aca="false">Calc!X51</f>
        <v>0.6817813375843</v>
      </c>
      <c r="I44" s="229" t="n">
        <f aca="false">Calc!Y51</f>
        <v>7.23318147280279</v>
      </c>
      <c r="J44" s="227" t="n">
        <f aca="false">Calc!AE51</f>
        <v>1463.00686120681</v>
      </c>
    </row>
    <row collapsed="false" customFormat="false" customHeight="false" hidden="false" ht="12.75" outlineLevel="0" r="45">
      <c r="A45" s="224" t="n">
        <f aca="false">Calc!A52</f>
        <v>0.0043499</v>
      </c>
      <c r="B45" s="224" t="n">
        <f aca="false">Calc!B52</f>
        <v>0.512041</v>
      </c>
      <c r="C45" s="224" t="n">
        <f aca="false">Calc!C52</f>
        <v>0.0696529</v>
      </c>
      <c r="D45" s="224" t="n">
        <f aca="false">Calc!I52</f>
        <v>3334347137827980</v>
      </c>
      <c r="E45" s="224" t="n">
        <f aca="false">Calc!P52</f>
        <v>5.72682456630961E-005</v>
      </c>
      <c r="F45" s="225" t="n">
        <f aca="false">Calc!S52</f>
        <v>17443.2281771993</v>
      </c>
      <c r="G45" s="224" t="n">
        <f aca="false">Calc!O52</f>
        <v>3334347137827980</v>
      </c>
      <c r="H45" s="228" t="n">
        <f aca="false">Calc!X52</f>
        <v>0.679265848994818</v>
      </c>
      <c r="I45" s="229" t="n">
        <f aca="false">Calc!Y52</f>
        <v>6.87280274207934</v>
      </c>
      <c r="J45" s="227" t="n">
        <f aca="false">Calc!AE52</f>
        <v>1468.8471658503</v>
      </c>
    </row>
    <row collapsed="false" customFormat="false" customHeight="false" hidden="false" ht="12.75" outlineLevel="0" r="46">
      <c r="A46" s="224" t="n">
        <f aca="false">Calc!A53</f>
        <v>0.0044499</v>
      </c>
      <c r="B46" s="224" t="n">
        <f aca="false">Calc!B53</f>
        <v>0.482168</v>
      </c>
      <c r="C46" s="224" t="n">
        <f aca="false">Calc!C53</f>
        <v>0.066232</v>
      </c>
      <c r="D46" s="224" t="n">
        <f aca="false">Calc!I53</f>
        <v>3126622200397880</v>
      </c>
      <c r="E46" s="224" t="n">
        <f aca="false">Calc!P53</f>
        <v>5.65000521210655E-005</v>
      </c>
      <c r="F46" s="225" t="n">
        <f aca="false">Calc!S53</f>
        <v>17682.8709446895</v>
      </c>
      <c r="G46" s="224" t="n">
        <f aca="false">Calc!O53</f>
        <v>3126622200397880</v>
      </c>
      <c r="H46" s="228" t="n">
        <f aca="false">Calc!X53</f>
        <v>0.676810442458658</v>
      </c>
      <c r="I46" s="229" t="n">
        <f aca="false">Calc!Y53</f>
        <v>6.53226064476297</v>
      </c>
      <c r="J46" s="227" t="n">
        <f aca="false">Calc!AE53</f>
        <v>1474.39556070482</v>
      </c>
    </row>
    <row collapsed="false" customFormat="false" customHeight="false" hidden="false" ht="12.75" outlineLevel="0" r="47">
      <c r="A47" s="224" t="n">
        <f aca="false">Calc!A54</f>
        <v>0.0045499</v>
      </c>
      <c r="B47" s="224" t="n">
        <f aca="false">Calc!B54</f>
        <v>0.453842</v>
      </c>
      <c r="C47" s="224" t="n">
        <f aca="false">Calc!C54</f>
        <v>0.0630162</v>
      </c>
      <c r="D47" s="224" t="n">
        <f aca="false">Calc!I54</f>
        <v>2931046234871820</v>
      </c>
      <c r="E47" s="224" t="n">
        <f aca="false">Calc!P54</f>
        <v>5.56984559288782E-005</v>
      </c>
      <c r="F47" s="225" t="n">
        <f aca="false">Calc!S54</f>
        <v>17939.557952781</v>
      </c>
      <c r="G47" s="224" t="n">
        <f aca="false">Calc!O54</f>
        <v>2931046234871820</v>
      </c>
      <c r="H47" s="228" t="n">
        <f aca="false">Calc!X54</f>
        <v>0.674371406662413</v>
      </c>
      <c r="I47" s="229" t="n">
        <f aca="false">Calc!Y54</f>
        <v>6.21178563064145</v>
      </c>
      <c r="J47" s="227" t="n">
        <f aca="false">Calc!AE54</f>
        <v>1479.75989357568</v>
      </c>
    </row>
    <row collapsed="false" customFormat="false" customHeight="false" hidden="false" ht="12.75" outlineLevel="0" r="48">
      <c r="A48" s="224" t="n">
        <f aca="false">Calc!A55</f>
        <v>0.0046499</v>
      </c>
      <c r="B48" s="224" t="n">
        <f aca="false">Calc!B55</f>
        <v>0.427294</v>
      </c>
      <c r="C48" s="224" t="n">
        <f aca="false">Calc!C55</f>
        <v>0.0599537</v>
      </c>
      <c r="D48" s="224" t="n">
        <f aca="false">Calc!I55</f>
        <v>2748983842134610</v>
      </c>
      <c r="E48" s="224" t="n">
        <f aca="false">Calc!P55</f>
        <v>5.49344892728111E-005</v>
      </c>
      <c r="F48" s="225" t="n">
        <f aca="false">Calc!S55</f>
        <v>18190.9559722004</v>
      </c>
      <c r="G48" s="224" t="n">
        <f aca="false">Calc!O55</f>
        <v>2748983842134610</v>
      </c>
      <c r="H48" s="228" t="n">
        <f aca="false">Calc!X55</f>
        <v>0.671976304778702</v>
      </c>
      <c r="I48" s="229" t="n">
        <f aca="false">Calc!Y55</f>
        <v>5.90696016938447</v>
      </c>
      <c r="J48" s="227" t="n">
        <f aca="false">Calc!AE55</f>
        <v>1484.88693547954</v>
      </c>
    </row>
    <row collapsed="false" customFormat="false" customHeight="false" hidden="false" ht="12.75" outlineLevel="0" r="49">
      <c r="A49" s="224" t="n">
        <f aca="false">Calc!A56</f>
        <v>0.0047499</v>
      </c>
      <c r="B49" s="224" t="n">
        <f aca="false">Calc!B56</f>
        <v>0.401713</v>
      </c>
      <c r="C49" s="224" t="n">
        <f aca="false">Calc!C56</f>
        <v>0.057023</v>
      </c>
      <c r="D49" s="224" t="n">
        <f aca="false">Calc!I56</f>
        <v>2574693173309650</v>
      </c>
      <c r="E49" s="224" t="n">
        <f aca="false">Calc!P56</f>
        <v>5.41286557640397E-005</v>
      </c>
      <c r="F49" s="225" t="n">
        <f aca="false">Calc!S56</f>
        <v>18463.4985397179</v>
      </c>
      <c r="G49" s="224" t="n">
        <f aca="false">Calc!O56</f>
        <v>2574693173309650</v>
      </c>
      <c r="H49" s="228" t="n">
        <f aca="false">Calc!X56</f>
        <v>0.669556869386586</v>
      </c>
      <c r="I49" s="229" t="n">
        <f aca="false">Calc!Y56</f>
        <v>5.61481156873772</v>
      </c>
      <c r="J49" s="227" t="n">
        <f aca="false">Calc!AE56</f>
        <v>1489.92659040893</v>
      </c>
    </row>
    <row collapsed="false" customFormat="false" customHeight="false" hidden="false" ht="12.75" outlineLevel="0" r="50">
      <c r="A50" s="224" t="n">
        <f aca="false">Calc!A57</f>
        <v>0.0048499</v>
      </c>
      <c r="B50" s="224" t="n">
        <f aca="false">Calc!B57</f>
        <v>0.37811</v>
      </c>
      <c r="C50" s="224" t="n">
        <f aca="false">Calc!C57</f>
        <v>0.0542799</v>
      </c>
      <c r="D50" s="224" t="n">
        <f aca="false">Calc!I57</f>
        <v>2414878703535610</v>
      </c>
      <c r="E50" s="224" t="n">
        <f aca="false">Calc!P57</f>
        <v>5.33690769908542E-005</v>
      </c>
      <c r="F50" s="225" t="n">
        <f aca="false">Calc!S57</f>
        <v>18727.7617655081</v>
      </c>
      <c r="G50" s="224" t="n">
        <f aca="false">Calc!O57</f>
        <v>2414878703535610</v>
      </c>
      <c r="H50" s="228" t="n">
        <f aca="false">Calc!X57</f>
        <v>0.667216008971517</v>
      </c>
      <c r="I50" s="229" t="n">
        <f aca="false">Calc!Y57</f>
        <v>5.34124594602523</v>
      </c>
      <c r="J50" s="227" t="n">
        <f aca="false">Calc!AE57</f>
        <v>1494.67112754868</v>
      </c>
    </row>
    <row collapsed="false" customFormat="false" customHeight="false" hidden="false" ht="12.75" outlineLevel="0" r="51">
      <c r="A51" s="224" t="n">
        <f aca="false">Calc!A58</f>
        <v>0.0049499</v>
      </c>
      <c r="B51" s="224" t="n">
        <f aca="false">Calc!B58</f>
        <v>0.356005</v>
      </c>
      <c r="C51" s="224" t="n">
        <f aca="false">Calc!C58</f>
        <v>0.051691</v>
      </c>
      <c r="D51" s="224" t="n">
        <f aca="false">Calc!I58</f>
        <v>2266083458860130</v>
      </c>
      <c r="E51" s="224" t="n">
        <f aca="false">Calc!P58</f>
        <v>5.26159457329905E-005</v>
      </c>
      <c r="F51" s="225" t="n">
        <f aca="false">Calc!S58</f>
        <v>18997.1209443676</v>
      </c>
      <c r="G51" s="224" t="n">
        <f aca="false">Calc!O58</f>
        <v>2266083458860130</v>
      </c>
      <c r="H51" s="228" t="n">
        <f aca="false">Calc!X58</f>
        <v>0.664918176769155</v>
      </c>
      <c r="I51" s="229" t="n">
        <f aca="false">Calc!Y58</f>
        <v>5.08388205247346</v>
      </c>
      <c r="J51" s="227" t="n">
        <f aca="false">Calc!AE58</f>
        <v>1499.20463117666</v>
      </c>
    </row>
    <row collapsed="false" customFormat="false" customHeight="false" hidden="false" ht="12.75" outlineLevel="0" r="52">
      <c r="A52" s="224" t="n">
        <f aca="false">Calc!A59</f>
        <v>0.0050499</v>
      </c>
      <c r="B52" s="224" t="n">
        <f aca="false">Calc!B59</f>
        <v>0.335073</v>
      </c>
      <c r="C52" s="224" t="n">
        <f aca="false">Calc!C59</f>
        <v>0.0491881</v>
      </c>
      <c r="D52" s="224" t="n">
        <f aca="false">Calc!I59</f>
        <v>2125971438414310</v>
      </c>
      <c r="E52" s="224" t="n">
        <f aca="false">Calc!P59</f>
        <v>5.18890040355604E-005</v>
      </c>
      <c r="F52" s="225" t="n">
        <f aca="false">Calc!S59</f>
        <v>19264.4030492721</v>
      </c>
      <c r="G52" s="224" t="n">
        <f aca="false">Calc!O59</f>
        <v>2125971438414310</v>
      </c>
      <c r="H52" s="228" t="n">
        <f aca="false">Calc!X59</f>
        <v>0.662637145000226</v>
      </c>
      <c r="I52" s="229" t="n">
        <f aca="false">Calc!Y59</f>
        <v>4.83636463994926</v>
      </c>
      <c r="J52" s="227" t="n">
        <f aca="false">Calc!AE59</f>
        <v>1503.58553250214</v>
      </c>
    </row>
    <row collapsed="false" customFormat="false" customHeight="false" hidden="false" ht="12.75" outlineLevel="0" r="53">
      <c r="A53" s="224" t="n">
        <f aca="false">Calc!A60</f>
        <v>0.0051499</v>
      </c>
      <c r="B53" s="224" t="n">
        <f aca="false">Calc!B60</f>
        <v>0.314643</v>
      </c>
      <c r="C53" s="224" t="n">
        <f aca="false">Calc!C60</f>
        <v>0.0468551</v>
      </c>
      <c r="D53" s="224" t="n">
        <f aca="false">Calc!I60</f>
        <v>1989964370513320</v>
      </c>
      <c r="E53" s="224" t="n">
        <f aca="false">Calc!P60</f>
        <v>5.10027320322818E-005</v>
      </c>
      <c r="F53" s="225" t="n">
        <f aca="false">Calc!S60</f>
        <v>19600.2192852592</v>
      </c>
      <c r="G53" s="224" t="n">
        <f aca="false">Calc!O60</f>
        <v>1989964370513320</v>
      </c>
      <c r="H53" s="228" t="n">
        <f aca="false">Calc!X60</f>
        <v>0.660300425105849</v>
      </c>
      <c r="I53" s="229" t="n">
        <f aca="false">Calc!Y60</f>
        <v>4.60562747002238</v>
      </c>
      <c r="J53" s="227" t="n">
        <f aca="false">Calc!AE60</f>
        <v>1507.95194824938</v>
      </c>
    </row>
    <row collapsed="false" customFormat="false" customHeight="false" hidden="false" ht="12.75" outlineLevel="0" r="54">
      <c r="A54" s="224" t="n">
        <f aca="false">Calc!A61</f>
        <v>0.0052499</v>
      </c>
      <c r="B54" s="224" t="n">
        <f aca="false">Calc!B61</f>
        <v>0.295742</v>
      </c>
      <c r="C54" s="224" t="n">
        <f aca="false">Calc!C61</f>
        <v>0.0446197</v>
      </c>
      <c r="D54" s="224" t="n">
        <f aca="false">Calc!I61</f>
        <v>1864797110184120</v>
      </c>
      <c r="E54" s="224" t="n">
        <f aca="false">Calc!P61</f>
        <v>5.02153745178701E-005</v>
      </c>
      <c r="F54" s="225" t="n">
        <f aca="false">Calc!S61</f>
        <v>19908.4470933919</v>
      </c>
      <c r="G54" s="224" t="n">
        <f aca="false">Calc!O61</f>
        <v>1864797110184120</v>
      </c>
      <c r="H54" s="228" t="n">
        <f aca="false">Calc!X61</f>
        <v>0.658029708666231</v>
      </c>
      <c r="I54" s="229" t="n">
        <f aca="false">Calc!Y61</f>
        <v>4.38360918121703</v>
      </c>
      <c r="J54" s="227" t="n">
        <f aca="false">Calc!AE61</f>
        <v>1512.07921983826</v>
      </c>
    </row>
    <row collapsed="false" customFormat="false" customHeight="false" hidden="false" ht="12.75" outlineLevel="0" r="55">
      <c r="A55" s="224" t="n">
        <f aca="false">Calc!A62</f>
        <v>0.0053499</v>
      </c>
      <c r="B55" s="224" t="n">
        <f aca="false">Calc!B62</f>
        <v>0.277846</v>
      </c>
      <c r="C55" s="224" t="n">
        <f aca="false">Calc!C62</f>
        <v>0.0424703</v>
      </c>
      <c r="D55" s="224" t="n">
        <f aca="false">Calc!I62</f>
        <v>1746876132224580</v>
      </c>
      <c r="E55" s="224" t="n">
        <f aca="false">Calc!P62</f>
        <v>4.9454500476555E-005</v>
      </c>
      <c r="F55" s="225" t="n">
        <f aca="false">Calc!S62</f>
        <v>20215.5410090328</v>
      </c>
      <c r="G55" s="224" t="n">
        <f aca="false">Calc!O62</f>
        <v>1746876132224580</v>
      </c>
      <c r="H55" s="228" t="n">
        <f aca="false">Calc!X62</f>
        <v>0.655771423332952</v>
      </c>
      <c r="I55" s="229" t="n">
        <f aca="false">Calc!Y62</f>
        <v>4.16958890080201</v>
      </c>
      <c r="J55" s="227" t="n">
        <f aca="false">Calc!AE62</f>
        <v>1516.07259417461</v>
      </c>
    </row>
    <row collapsed="false" customFormat="false" customHeight="false" hidden="false" ht="12.75" outlineLevel="0" r="56">
      <c r="A56" s="224" t="n">
        <f aca="false">Calc!A63</f>
        <v>0.0054499</v>
      </c>
      <c r="B56" s="224" t="n">
        <f aca="false">Calc!B63</f>
        <v>0.261308</v>
      </c>
      <c r="C56" s="224" t="n">
        <f aca="false">Calc!C63</f>
        <v>0.0404811</v>
      </c>
      <c r="D56" s="224" t="n">
        <f aca="false">Calc!I63</f>
        <v>1638419307940450</v>
      </c>
      <c r="E56" s="224" t="n">
        <f aca="false">Calc!P63</f>
        <v>4.86934416254524E-005</v>
      </c>
      <c r="F56" s="225" t="n">
        <f aca="false">Calc!S63</f>
        <v>20532.1904171238</v>
      </c>
      <c r="G56" s="224" t="n">
        <f aca="false">Calc!O63</f>
        <v>1638419307940450</v>
      </c>
      <c r="H56" s="228" t="n">
        <f aca="false">Calc!X63</f>
        <v>0.653579374543954</v>
      </c>
      <c r="I56" s="229" t="n">
        <f aca="false">Calc!Y63</f>
        <v>3.97183805368985</v>
      </c>
      <c r="J56" s="227" t="n">
        <f aca="false">Calc!AE63</f>
        <v>1519.84448681152</v>
      </c>
    </row>
    <row collapsed="false" customFormat="false" customHeight="false" hidden="false" ht="12.75" outlineLevel="0" r="57">
      <c r="A57" s="224" t="n">
        <f aca="false">Calc!A64</f>
        <v>0.0055499</v>
      </c>
      <c r="B57" s="224" t="n">
        <f aca="false">Calc!B64</f>
        <v>0.245542</v>
      </c>
      <c r="C57" s="224" t="n">
        <f aca="false">Calc!C64</f>
        <v>0.0385719</v>
      </c>
      <c r="D57" s="224" t="n">
        <f aca="false">Calc!I64</f>
        <v>1535491452734930</v>
      </c>
      <c r="E57" s="224" t="n">
        <f aca="false">Calc!P64</f>
        <v>4.79235632424187E-005</v>
      </c>
      <c r="F57" s="225" t="n">
        <f aca="false">Calc!S64</f>
        <v>20862.64808521</v>
      </c>
      <c r="G57" s="224" t="n">
        <f aca="false">Calc!O64</f>
        <v>1535491452734930</v>
      </c>
      <c r="H57" s="228" t="n">
        <f aca="false">Calc!X64</f>
        <v>0.651384048594085</v>
      </c>
      <c r="I57" s="229" t="n">
        <f aca="false">Calc!Y64</f>
        <v>3.78211951347522</v>
      </c>
      <c r="J57" s="227" t="n">
        <f aca="false">Calc!AE64</f>
        <v>1523.5207686979</v>
      </c>
    </row>
    <row collapsed="false" customFormat="false" customHeight="false" hidden="false" ht="12.75" outlineLevel="0" r="58">
      <c r="A58" s="224" t="n">
        <f aca="false">Calc!A65</f>
        <v>0.0056499</v>
      </c>
      <c r="B58" s="224" t="n">
        <f aca="false">Calc!B65</f>
        <v>0.230825</v>
      </c>
      <c r="C58" s="224" t="n">
        <f aca="false">Calc!C65</f>
        <v>0.0367467</v>
      </c>
      <c r="D58" s="224" t="n">
        <f aca="false">Calc!I65</f>
        <v>1439826951286910</v>
      </c>
      <c r="E58" s="224" t="n">
        <f aca="false">Calc!P65</f>
        <v>4.71860443706459E-005</v>
      </c>
      <c r="F58" s="225" t="n">
        <f aca="false">Calc!S65</f>
        <v>21189.2653792299</v>
      </c>
      <c r="G58" s="224" t="n">
        <f aca="false">Calc!O65</f>
        <v>1439826951286910</v>
      </c>
      <c r="H58" s="228" t="n">
        <f aca="false">Calc!X65</f>
        <v>0.649230303664754</v>
      </c>
      <c r="I58" s="229" t="n">
        <f aca="false">Calc!Y65</f>
        <v>3.60191677033796</v>
      </c>
      <c r="J58" s="227" t="n">
        <f aca="false">Calc!AE65</f>
        <v>1527.03067423759</v>
      </c>
    </row>
    <row collapsed="false" customFormat="false" customHeight="false" hidden="false" ht="12.75" outlineLevel="0" r="59">
      <c r="A59" s="224" t="n">
        <f aca="false">Calc!A66</f>
        <v>0.0057499</v>
      </c>
      <c r="B59" s="224" t="n">
        <f aca="false">Calc!B66</f>
        <v>0.217055</v>
      </c>
      <c r="C59" s="224" t="n">
        <f aca="false">Calc!C66</f>
        <v>0.0350064</v>
      </c>
      <c r="D59" s="224" t="n">
        <f aca="false">Calc!I66</f>
        <v>1350685112988700</v>
      </c>
      <c r="E59" s="224" t="n">
        <f aca="false">Calc!P66</f>
        <v>4.64827257090944E-005</v>
      </c>
      <c r="F59" s="225" t="n">
        <f aca="false">Calc!S66</f>
        <v>21510.3399265703</v>
      </c>
      <c r="G59" s="224" t="n">
        <f aca="false">Calc!O66</f>
        <v>1350685112988700</v>
      </c>
      <c r="H59" s="228" t="n">
        <f aca="false">Calc!X66</f>
        <v>0.647112464808991</v>
      </c>
      <c r="I59" s="229" t="n">
        <f aca="false">Calc!Y66</f>
        <v>3.43004227597604</v>
      </c>
      <c r="J59" s="227" t="n">
        <f aca="false">Calc!AE66</f>
        <v>1530.39028077425</v>
      </c>
    </row>
    <row collapsed="false" customFormat="false" customHeight="false" hidden="false" ht="12.75" outlineLevel="0" r="60">
      <c r="A60" s="224" t="n">
        <f aca="false">Calc!A67</f>
        <v>0.0058499</v>
      </c>
      <c r="B60" s="224" t="n">
        <f aca="false">Calc!B67</f>
        <v>0.203613</v>
      </c>
      <c r="C60" s="224" t="n">
        <f aca="false">Calc!C67</f>
        <v>0.0333033</v>
      </c>
      <c r="D60" s="224" t="n">
        <f aca="false">Calc!I67</f>
        <v>1264012780965970</v>
      </c>
      <c r="E60" s="224" t="n">
        <f aca="false">Calc!P67</f>
        <v>4.5741284560727E-005</v>
      </c>
      <c r="F60" s="225" t="n">
        <f aca="false">Calc!S67</f>
        <v>21859.4360267986</v>
      </c>
      <c r="G60" s="224" t="n">
        <f aca="false">Calc!O67</f>
        <v>1264012780965970</v>
      </c>
      <c r="H60" s="228" t="n">
        <f aca="false">Calc!X67</f>
        <v>0.644937297722941</v>
      </c>
      <c r="I60" s="229" t="n">
        <f aca="false">Calc!Y67</f>
        <v>3.26197069403839</v>
      </c>
      <c r="J60" s="227" t="n">
        <f aca="false">Calc!AE67</f>
        <v>1533.747798767</v>
      </c>
    </row>
    <row collapsed="false" customFormat="false" customHeight="false" hidden="false" ht="12.75" outlineLevel="0" r="61">
      <c r="A61" s="224" t="n">
        <f aca="false">Calc!A68</f>
        <v>0.0059499</v>
      </c>
      <c r="B61" s="224" t="n">
        <f aca="false">Calc!B68</f>
        <v>0.191181</v>
      </c>
      <c r="C61" s="224" t="n">
        <f aca="false">Calc!C68</f>
        <v>0.0317389</v>
      </c>
      <c r="D61" s="224" t="n">
        <f aca="false">Calc!I68</f>
        <v>1184160970027500</v>
      </c>
      <c r="E61" s="224" t="n">
        <f aca="false">Calc!P68</f>
        <v>4.49740629284301E-005</v>
      </c>
      <c r="F61" s="225" t="n">
        <f aca="false">Calc!S68</f>
        <v>22232.7103256428</v>
      </c>
      <c r="G61" s="224" t="n">
        <f aca="false">Calc!O68</f>
        <v>1184160970027500</v>
      </c>
      <c r="H61" s="228" t="n">
        <f aca="false">Calc!X68</f>
        <v>0.642818759321177</v>
      </c>
      <c r="I61" s="229" t="n">
        <f aca="false">Calc!Y68</f>
        <v>3.10803260303501</v>
      </c>
      <c r="J61" s="227" t="n">
        <f aca="false">Calc!AE68</f>
        <v>1536.9289473458</v>
      </c>
    </row>
    <row collapsed="false" customFormat="false" customHeight="false" hidden="false" ht="12.75" outlineLevel="0" r="62">
      <c r="A62" s="224" t="n">
        <f aca="false">Calc!A69</f>
        <v>0.0060499</v>
      </c>
      <c r="B62" s="224" t="n">
        <f aca="false">Calc!B69</f>
        <v>0.179638</v>
      </c>
      <c r="C62" s="224" t="n">
        <f aca="false">Calc!C69</f>
        <v>0.030234</v>
      </c>
      <c r="D62" s="224" t="n">
        <f aca="false">Calc!I69</f>
        <v>1110287849279560</v>
      </c>
      <c r="E62" s="224" t="n">
        <f aca="false">Calc!P69</f>
        <v>4.43102318660033E-005</v>
      </c>
      <c r="F62" s="225" t="n">
        <f aca="false">Calc!S69</f>
        <v>22566.1045719032</v>
      </c>
      <c r="G62" s="224" t="n">
        <f aca="false">Calc!O69</f>
        <v>1110287849279560</v>
      </c>
      <c r="H62" s="228" t="n">
        <f aca="false">Calc!X69</f>
        <v>0.640748058244217</v>
      </c>
      <c r="I62" s="229" t="n">
        <f aca="false">Calc!Y69</f>
        <v>2.95779799964481</v>
      </c>
      <c r="J62" s="227" t="n">
        <f aca="false">Calc!AE69</f>
        <v>1539.9550093402</v>
      </c>
    </row>
    <row collapsed="false" customFormat="false" customHeight="false" hidden="false" ht="12.75" outlineLevel="0" r="63">
      <c r="A63" s="224" t="n">
        <f aca="false">Calc!A70</f>
        <v>0.0061499</v>
      </c>
      <c r="B63" s="224" t="n">
        <f aca="false">Calc!B70</f>
        <v>0.168168</v>
      </c>
      <c r="C63" s="224" t="n">
        <f aca="false">Calc!C70</f>
        <v>0.0287896</v>
      </c>
      <c r="D63" s="224" t="n">
        <f aca="false">Calc!I70</f>
        <v>1037141572389610</v>
      </c>
      <c r="E63" s="224" t="n">
        <f aca="false">Calc!P70</f>
        <v>4.35006703610678E-005</v>
      </c>
      <c r="F63" s="225" t="n">
        <f aca="false">Calc!S70</f>
        <v>22986.3658859518</v>
      </c>
      <c r="G63" s="224" t="n">
        <f aca="false">Calc!O70</f>
        <v>1037141572389610</v>
      </c>
      <c r="H63" s="228" t="n">
        <f aca="false">Calc!X70</f>
        <v>0.638578737359539</v>
      </c>
      <c r="I63" s="229" t="n">
        <f aca="false">Calc!Y70</f>
        <v>2.8143560465767</v>
      </c>
      <c r="J63" s="227" t="n">
        <f aca="false">Calc!AE70</f>
        <v>1543.03859040915</v>
      </c>
    </row>
    <row collapsed="false" customFormat="false" customHeight="false" hidden="false" ht="12.75" outlineLevel="0" r="64">
      <c r="A64" s="224" t="n">
        <f aca="false">Calc!A71</f>
        <v>0.0062499</v>
      </c>
      <c r="B64" s="224" t="n">
        <f aca="false">Calc!B71</f>
        <v>0.158828</v>
      </c>
      <c r="C64" s="224" t="n">
        <f aca="false">Calc!C71</f>
        <v>0.0273893</v>
      </c>
      <c r="D64" s="224" t="n">
        <f aca="false">Calc!I71</f>
        <v>977772529288657</v>
      </c>
      <c r="E64" s="224" t="n">
        <f aca="false">Calc!P71</f>
        <v>4.31277706219776E-005</v>
      </c>
      <c r="F64" s="225" t="n">
        <f aca="false">Calc!S71</f>
        <v>23185.3290984385</v>
      </c>
      <c r="G64" s="224" t="n">
        <f aca="false">Calc!O71</f>
        <v>977772529288657</v>
      </c>
      <c r="H64" s="228" t="n">
        <f aca="false">Calc!X71</f>
        <v>0.636719616900712</v>
      </c>
      <c r="I64" s="229" t="n">
        <f aca="false">Calc!Y71</f>
        <v>2.6761950863952</v>
      </c>
      <c r="J64" s="227" t="n">
        <f aca="false">Calc!AE71</f>
        <v>1545.61203338139</v>
      </c>
    </row>
    <row collapsed="false" customFormat="false" customHeight="false" hidden="false" ht="12.75" outlineLevel="0" r="65">
      <c r="A65" s="224" t="n">
        <f aca="false">Calc!A72</f>
        <v>0.0063499</v>
      </c>
      <c r="B65" s="224" t="n">
        <f aca="false">Calc!B72</f>
        <v>0.149223</v>
      </c>
      <c r="C65" s="224" t="n">
        <f aca="false">Calc!C72</f>
        <v>0.0260895</v>
      </c>
      <c r="D65" s="224" t="n">
        <f aca="false">Calc!I72</f>
        <v>916903108915604</v>
      </c>
      <c r="E65" s="224" t="n">
        <f aca="false">Calc!P72</f>
        <v>4.24825868110349E-005</v>
      </c>
      <c r="F65" s="225" t="n">
        <f aca="false">Calc!S72</f>
        <v>23537.6606553246</v>
      </c>
      <c r="G65" s="224" t="n">
        <f aca="false">Calc!O72</f>
        <v>916903108915604</v>
      </c>
      <c r="H65" s="228" t="n">
        <f aca="false">Calc!X72</f>
        <v>0.634710021111386</v>
      </c>
      <c r="I65" s="229" t="n">
        <f aca="false">Calc!Y72</f>
        <v>2.54770675289054</v>
      </c>
      <c r="J65" s="227" t="n">
        <f aca="false">Calc!AE72</f>
        <v>1548.32327546465</v>
      </c>
    </row>
    <row collapsed="false" customFormat="false" customHeight="false" hidden="false" ht="12.75" outlineLevel="0" r="66">
      <c r="A66" s="224" t="n">
        <f aca="false">Calc!A73</f>
        <v>0.0064499</v>
      </c>
      <c r="B66" s="224" t="n">
        <f aca="false">Calc!B73</f>
        <v>0.13998</v>
      </c>
      <c r="C66" s="224" t="n">
        <f aca="false">Calc!C73</f>
        <v>0.0248883</v>
      </c>
      <c r="D66" s="224" t="n">
        <f aca="false">Calc!I73</f>
        <v>858506603042325</v>
      </c>
      <c r="E66" s="224" t="n">
        <f aca="false">Calc!P73</f>
        <v>4.16969275509492E-005</v>
      </c>
      <c r="F66" s="225" t="n">
        <f aca="false">Calc!S73</f>
        <v>23981.3589046398</v>
      </c>
      <c r="G66" s="224" t="n">
        <f aca="false">Calc!O73</f>
        <v>858506603042325</v>
      </c>
      <c r="H66" s="228" t="n">
        <f aca="false">Calc!X73</f>
        <v>0.632670859384287</v>
      </c>
      <c r="I66" s="229" t="n">
        <f aca="false">Calc!Y73</f>
        <v>2.43039314303462</v>
      </c>
      <c r="J66" s="227" t="n">
        <f aca="false">Calc!AE73</f>
        <v>1551.00094485408</v>
      </c>
    </row>
    <row collapsed="false" customFormat="false" customHeight="false" hidden="false" ht="12.75" outlineLevel="0" r="67">
      <c r="A67" s="224" t="n">
        <f aca="false">Calc!A74</f>
        <v>0.0065499</v>
      </c>
      <c r="B67" s="224" t="n">
        <f aca="false">Calc!B74</f>
        <v>0.13164</v>
      </c>
      <c r="C67" s="224" t="n">
        <f aca="false">Calc!C74</f>
        <v>0.0237311</v>
      </c>
      <c r="D67" s="224" t="n">
        <f aca="false">Calc!I74</f>
        <v>805968056995729</v>
      </c>
      <c r="E67" s="224" t="n">
        <f aca="false">Calc!P74</f>
        <v>4.10716490073909E-005</v>
      </c>
      <c r="F67" s="225" t="n">
        <f aca="false">Calc!S74</f>
        <v>24346.6170992677</v>
      </c>
      <c r="G67" s="224" t="n">
        <f aca="false">Calc!O74</f>
        <v>805968056995729</v>
      </c>
      <c r="H67" s="228" t="n">
        <f aca="false">Calc!X74</f>
        <v>0.630730833080499</v>
      </c>
      <c r="I67" s="229" t="n">
        <f aca="false">Calc!Y74</f>
        <v>2.31639509301203</v>
      </c>
      <c r="J67" s="227" t="n">
        <f aca="false">Calc!AE74</f>
        <v>1553.48106977795</v>
      </c>
    </row>
    <row collapsed="false" customFormat="false" customHeight="false" hidden="false" ht="12.75" outlineLevel="0" r="68">
      <c r="A68" s="224" t="n">
        <f aca="false">Calc!A75</f>
        <v>0.0066499</v>
      </c>
      <c r="B68" s="224" t="n">
        <f aca="false">Calc!B75</f>
        <v>0.123667</v>
      </c>
      <c r="C68" s="224" t="n">
        <f aca="false">Calc!C75</f>
        <v>0.0226139</v>
      </c>
      <c r="D68" s="224" t="n">
        <f aca="false">Calc!I75</f>
        <v>755879257963519</v>
      </c>
      <c r="E68" s="224" t="n">
        <f aca="false">Calc!P75</f>
        <v>4.04307333831839E-005</v>
      </c>
      <c r="F68" s="225" t="n">
        <f aca="false">Calc!S75</f>
        <v>24732.7112304865</v>
      </c>
      <c r="G68" s="224" t="n">
        <f aca="false">Calc!O75</f>
        <v>755879257963519</v>
      </c>
      <c r="H68" s="228" t="n">
        <f aca="false">Calc!X75</f>
        <v>0.628775914154363</v>
      </c>
      <c r="I68" s="229" t="n">
        <f aca="false">Calc!Y75</f>
        <v>2.20687510387527</v>
      </c>
      <c r="J68" s="227" t="n">
        <f aca="false">Calc!AE75</f>
        <v>1555.91507407819</v>
      </c>
    </row>
    <row collapsed="false" customFormat="false" customHeight="false" hidden="false" ht="12.75" outlineLevel="0" r="69">
      <c r="A69" s="224" t="n">
        <f aca="false">Calc!A76</f>
        <v>0.0067499</v>
      </c>
      <c r="B69" s="224" t="n">
        <f aca="false">Calc!B76</f>
        <v>0.11602</v>
      </c>
      <c r="C69" s="224" t="n">
        <f aca="false">Calc!C76</f>
        <v>0.0215494</v>
      </c>
      <c r="D69" s="224" t="n">
        <f aca="false">Calc!I76</f>
        <v>707967165894605</v>
      </c>
      <c r="E69" s="224" t="n">
        <f aca="false">Calc!P76</f>
        <v>3.97478467445765E-005</v>
      </c>
      <c r="F69" s="225" t="n">
        <f aca="false">Calc!S76</f>
        <v>25157.7635231457</v>
      </c>
      <c r="G69" s="224" t="n">
        <f aca="false">Calc!O76</f>
        <v>707967165894605</v>
      </c>
      <c r="H69" s="228" t="n">
        <f aca="false">Calc!X76</f>
        <v>0.626796905830995</v>
      </c>
      <c r="I69" s="229" t="n">
        <f aca="false">Calc!Y76</f>
        <v>2.10250218726109</v>
      </c>
      <c r="J69" s="227" t="n">
        <f aca="false">Calc!AE76</f>
        <v>1558.3137479513</v>
      </c>
    </row>
    <row collapsed="false" customFormat="false" customHeight="false" hidden="false" ht="12.75" outlineLevel="0" r="70">
      <c r="A70" s="224" t="n">
        <f aca="false">Calc!A77</f>
        <v>0.0068499</v>
      </c>
      <c r="B70" s="224" t="n">
        <f aca="false">Calc!B77</f>
        <v>0.108584</v>
      </c>
      <c r="C70" s="224" t="n">
        <f aca="false">Calc!C77</f>
        <v>0.020484</v>
      </c>
      <c r="D70" s="224" t="n">
        <f aca="false">Calc!I77</f>
        <v>661500068404725</v>
      </c>
      <c r="E70" s="224" t="n">
        <f aca="false">Calc!P77</f>
        <v>3.90877775274702E-005</v>
      </c>
      <c r="F70" s="225" t="n">
        <f aca="false">Calc!S77</f>
        <v>25582.7184458386</v>
      </c>
      <c r="G70" s="224" t="n">
        <f aca="false">Calc!O77</f>
        <v>661500068404725</v>
      </c>
      <c r="H70" s="228" t="n">
        <f aca="false">Calc!X77</f>
        <v>0.624761784346958</v>
      </c>
      <c r="I70" s="229" t="n">
        <f aca="false">Calc!Y77</f>
        <v>1.99767972613281</v>
      </c>
      <c r="J70" s="227" t="n">
        <f aca="false">Calc!AE77</f>
        <v>1560.71326843768</v>
      </c>
    </row>
    <row collapsed="false" customFormat="false" customHeight="false" hidden="false" ht="12.75" outlineLevel="0" r="71">
      <c r="A71" s="224" t="n">
        <f aca="false">Calc!A78</f>
        <v>0.0069499</v>
      </c>
      <c r="B71" s="224" t="n">
        <f aca="false">Calc!B78</f>
        <v>0.102055</v>
      </c>
      <c r="C71" s="224" t="n">
        <f aca="false">Calc!C78</f>
        <v>0.0195338</v>
      </c>
      <c r="D71" s="224" t="n">
        <f aca="false">Calc!I78</f>
        <v>620802574185446</v>
      </c>
      <c r="E71" s="224" t="n">
        <f aca="false">Calc!P78</f>
        <v>3.84889710570924E-005</v>
      </c>
      <c r="F71" s="225" t="n">
        <f aca="false">Calc!S78</f>
        <v>25980.8290256617</v>
      </c>
      <c r="G71" s="224" t="n">
        <f aca="false">Calc!O78</f>
        <v>620802574185446</v>
      </c>
      <c r="H71" s="228" t="n">
        <f aca="false">Calc!X78</f>
        <v>0.622872864080212</v>
      </c>
      <c r="I71" s="229" t="n">
        <f aca="false">Calc!Y78</f>
        <v>1.90394392983219</v>
      </c>
      <c r="J71" s="227" t="n">
        <f aca="false">Calc!AE78</f>
        <v>1562.88069941107</v>
      </c>
    </row>
    <row collapsed="false" customFormat="false" customHeight="false" hidden="false" ht="12.75" outlineLevel="0" r="72">
      <c r="A72" s="224" t="n">
        <f aca="false">Calc!A79</f>
        <v>0.0070499</v>
      </c>
      <c r="B72" s="224" t="n">
        <f aca="false">Calc!B79</f>
        <v>0.0958638</v>
      </c>
      <c r="C72" s="224" t="n">
        <f aca="false">Calc!C79</f>
        <v>0.0186246</v>
      </c>
      <c r="D72" s="224" t="n">
        <f aca="false">Calc!I79</f>
        <v>582300309816828</v>
      </c>
      <c r="E72" s="224" t="n">
        <f aca="false">Calc!P79</f>
        <v>3.78834155112318E-005</v>
      </c>
      <c r="F72" s="225" t="n">
        <f aca="false">Calc!S79</f>
        <v>26396.2122570136</v>
      </c>
      <c r="G72" s="224" t="n">
        <f aca="false">Calc!O79</f>
        <v>582300309816828</v>
      </c>
      <c r="H72" s="228" t="n">
        <f aca="false">Calc!X79</f>
        <v>0.620981829304968</v>
      </c>
      <c r="I72" s="229" t="n">
        <f aca="false">Calc!Y79</f>
        <v>1.81440753265208</v>
      </c>
      <c r="J72" s="227" t="n">
        <f aca="false">Calc!AE79</f>
        <v>1564.99413773547</v>
      </c>
    </row>
    <row collapsed="false" customFormat="false" customHeight="false" hidden="false" ht="12.75" outlineLevel="0" r="73">
      <c r="A73" s="224" t="n">
        <f aca="false">Calc!A80</f>
        <v>0.0071499</v>
      </c>
      <c r="B73" s="224" t="n">
        <f aca="false">Calc!B80</f>
        <v>0.0898531</v>
      </c>
      <c r="C73" s="224" t="n">
        <f aca="false">Calc!C80</f>
        <v>0.017733</v>
      </c>
      <c r="D73" s="224" t="n">
        <f aca="false">Calc!I80</f>
        <v>545005614705633</v>
      </c>
      <c r="E73" s="224" t="n">
        <f aca="false">Calc!P80</f>
        <v>3.72518563901447E-005</v>
      </c>
      <c r="F73" s="225" t="n">
        <f aca="false">Calc!S80</f>
        <v>26843.8067003263</v>
      </c>
      <c r="G73" s="224" t="n">
        <f aca="false">Calc!O80</f>
        <v>545005614705633</v>
      </c>
      <c r="H73" s="228" t="n">
        <f aca="false">Calc!X80</f>
        <v>0.619040667136321</v>
      </c>
      <c r="I73" s="229" t="n">
        <f aca="false">Calc!Y80</f>
        <v>1.72699071601474</v>
      </c>
      <c r="J73" s="227" t="n">
        <f aca="false">Calc!AE80</f>
        <v>1567.10606745213</v>
      </c>
    </row>
    <row collapsed="false" customFormat="false" customHeight="false" hidden="false" ht="12.75" outlineLevel="0" r="74">
      <c r="A74" s="224" t="n">
        <f aca="false">Calc!A81</f>
        <v>0.0072499</v>
      </c>
      <c r="B74" s="224" t="n">
        <f aca="false">Calc!B81</f>
        <v>0.0842232</v>
      </c>
      <c r="C74" s="224" t="n">
        <f aca="false">Calc!C81</f>
        <v>0.0169049</v>
      </c>
      <c r="D74" s="224" t="n">
        <f aca="false">Calc!I81</f>
        <v>510151221833608</v>
      </c>
      <c r="E74" s="224" t="n">
        <f aca="false">Calc!P81</f>
        <v>3.65867746750371E-005</v>
      </c>
      <c r="F74" s="225" t="n">
        <f aca="false">Calc!S81</f>
        <v>27331.8488056707</v>
      </c>
      <c r="G74" s="224" t="n">
        <f aca="false">Calc!O81</f>
        <v>510151221833608</v>
      </c>
      <c r="H74" s="228" t="n">
        <f aca="false">Calc!X81</f>
        <v>0.617115801971526</v>
      </c>
      <c r="I74" s="229" t="n">
        <f aca="false">Calc!Y81</f>
        <v>1.64593148105232</v>
      </c>
      <c r="J74" s="227" t="n">
        <f aca="false">Calc!AE81</f>
        <v>1569.14389756506</v>
      </c>
    </row>
    <row collapsed="false" customFormat="false" customHeight="false" hidden="false" ht="12.75" outlineLevel="0" r="75">
      <c r="A75" s="224" t="n">
        <f aca="false">Calc!A82</f>
        <v>0.0073499</v>
      </c>
      <c r="B75" s="224" t="n">
        <f aca="false">Calc!B82</f>
        <v>0.079189</v>
      </c>
      <c r="C75" s="224" t="n">
        <f aca="false">Calc!C82</f>
        <v>0.0161012</v>
      </c>
      <c r="D75" s="224" t="n">
        <f aca="false">Calc!I82</f>
        <v>479049614787835</v>
      </c>
      <c r="E75" s="224" t="n">
        <f aca="false">Calc!P82</f>
        <v>3.61006711156263E-005</v>
      </c>
      <c r="F75" s="225" t="n">
        <f aca="false">Calc!S82</f>
        <v>27699.9351123319</v>
      </c>
      <c r="G75" s="224" t="n">
        <f aca="false">Calc!O82</f>
        <v>479049614787835</v>
      </c>
      <c r="H75" s="228" t="n">
        <f aca="false">Calc!X82</f>
        <v>0.615295519530558</v>
      </c>
      <c r="I75" s="229" t="n">
        <f aca="false">Calc!Y82</f>
        <v>1.56639816678045</v>
      </c>
      <c r="J75" s="227" t="n">
        <f aca="false">Calc!AE82</f>
        <v>1571.02043041464</v>
      </c>
    </row>
    <row collapsed="false" customFormat="false" customHeight="false" hidden="false" ht="12.75" outlineLevel="0" r="76">
      <c r="A76" s="224" t="n">
        <f aca="false">Calc!A83</f>
        <v>0.0074499</v>
      </c>
      <c r="B76" s="224" t="n">
        <f aca="false">Calc!B83</f>
        <v>0.0740718</v>
      </c>
      <c r="C76" s="224" t="n">
        <f aca="false">Calc!C83</f>
        <v>0.0153551</v>
      </c>
      <c r="D76" s="224" t="n">
        <f aca="false">Calc!I83</f>
        <v>447499320366370</v>
      </c>
      <c r="E76" s="224" t="n">
        <f aca="false">Calc!P83</f>
        <v>3.53845164034624E-005</v>
      </c>
      <c r="F76" s="225" t="n">
        <f aca="false">Calc!S83</f>
        <v>28260.6161950187</v>
      </c>
      <c r="G76" s="224" t="n">
        <f aca="false">Calc!O83</f>
        <v>447499320366370</v>
      </c>
      <c r="H76" s="228" t="n">
        <f aca="false">Calc!X83</f>
        <v>0.613336356893383</v>
      </c>
      <c r="I76" s="229" t="n">
        <f aca="false">Calc!Y83</f>
        <v>1.49284962036983</v>
      </c>
      <c r="J76" s="227" t="n">
        <f aca="false">Calc!AE83</f>
        <v>1572.98634947566</v>
      </c>
    </row>
    <row collapsed="false" customFormat="false" customHeight="false" hidden="false" ht="12.75" outlineLevel="0" r="77">
      <c r="A77" s="224" t="n">
        <f aca="false">Calc!A84</f>
        <v>0.0075499</v>
      </c>
      <c r="B77" s="224" t="n">
        <f aca="false">Calc!B84</f>
        <v>0.0699214</v>
      </c>
      <c r="C77" s="224" t="n">
        <f aca="false">Calc!C84</f>
        <v>0.0146227</v>
      </c>
      <c r="D77" s="224" t="n">
        <f aca="false">Calc!I84</f>
        <v>421958337673398</v>
      </c>
      <c r="E77" s="224" t="n">
        <f aca="false">Calc!P84</f>
        <v>3.5041456703028E-005</v>
      </c>
      <c r="F77" s="225" t="n">
        <f aca="false">Calc!S84</f>
        <v>28537.3308417018</v>
      </c>
      <c r="G77" s="224" t="n">
        <f aca="false">Calc!O84</f>
        <v>421958337673398</v>
      </c>
      <c r="H77" s="228" t="n">
        <f aca="false">Calc!X84</f>
        <v>0.611656211110195</v>
      </c>
      <c r="I77" s="229" t="n">
        <f aca="false">Calc!Y84</f>
        <v>1.42142636747194</v>
      </c>
      <c r="J77" s="227" t="n">
        <f aca="false">Calc!AE84</f>
        <v>1574.62877422487</v>
      </c>
    </row>
    <row collapsed="false" customFormat="false" customHeight="false" hidden="false" ht="12.75" outlineLevel="0" r="78">
      <c r="A78" s="224" t="n">
        <f aca="false">Calc!A85</f>
        <v>0.0076499</v>
      </c>
      <c r="B78" s="224" t="n">
        <f aca="false">Calc!B85</f>
        <v>0.0656245</v>
      </c>
      <c r="C78" s="224" t="n">
        <f aca="false">Calc!C85</f>
        <v>0.0139381</v>
      </c>
      <c r="D78" s="224" t="n">
        <f aca="false">Calc!I85</f>
        <v>395562562247333</v>
      </c>
      <c r="E78" s="224" t="n">
        <f aca="false">Calc!P85</f>
        <v>3.44758379416023E-005</v>
      </c>
      <c r="F78" s="225" t="n">
        <f aca="false">Calc!S85</f>
        <v>29005.5617197081</v>
      </c>
      <c r="G78" s="224" t="n">
        <f aca="false">Calc!O85</f>
        <v>395562562247333</v>
      </c>
      <c r="H78" s="228" t="n">
        <f aca="false">Calc!X85</f>
        <v>0.609819415626259</v>
      </c>
      <c r="I78" s="229" t="n">
        <f aca="false">Calc!Y85</f>
        <v>1.3543699123443</v>
      </c>
      <c r="J78" s="227" t="n">
        <f aca="false">Calc!AE85</f>
        <v>1576.37930443819</v>
      </c>
    </row>
    <row collapsed="false" customFormat="false" customHeight="false" hidden="false" ht="12.75" outlineLevel="0" r="79">
      <c r="A79" s="224" t="n">
        <f aca="false">Calc!A86</f>
        <v>0.0077499</v>
      </c>
      <c r="B79" s="224" t="n">
        <f aca="false">Calc!B86</f>
        <v>0.061396</v>
      </c>
      <c r="C79" s="224" t="n">
        <f aca="false">Calc!C86</f>
        <v>0.0132633</v>
      </c>
      <c r="D79" s="224" t="n">
        <f aca="false">Calc!I86</f>
        <v>369634442045838</v>
      </c>
      <c r="E79" s="224" t="n">
        <f aca="false">Calc!P86</f>
        <v>3.38453479793187E-005</v>
      </c>
      <c r="F79" s="225" t="n">
        <f aca="false">Calc!S86</f>
        <v>29545.9312255005</v>
      </c>
      <c r="G79" s="224" t="n">
        <f aca="false">Calc!O86</f>
        <v>369634442045838</v>
      </c>
      <c r="H79" s="228" t="n">
        <f aca="false">Calc!X86</f>
        <v>0.607902435659934</v>
      </c>
      <c r="I79" s="229" t="n">
        <f aca="false">Calc!Y86</f>
        <v>1.28917060458427</v>
      </c>
      <c r="J79" s="227" t="n">
        <f aca="false">Calc!AE86</f>
        <v>1578.15713114634</v>
      </c>
    </row>
    <row collapsed="false" customFormat="false" customHeight="false" hidden="false" ht="12.75" outlineLevel="0" r="80">
      <c r="A80" s="224" t="n">
        <f aca="false">Calc!A87</f>
        <v>0.0078499</v>
      </c>
      <c r="B80" s="224" t="n">
        <f aca="false">Calc!B87</f>
        <v>0.0576607</v>
      </c>
      <c r="C80" s="224" t="n">
        <f aca="false">Calc!C87</f>
        <v>0.0126383</v>
      </c>
      <c r="D80" s="224" t="n">
        <f aca="false">Calc!I87</f>
        <v>346770608412039</v>
      </c>
      <c r="E80" s="224" t="n">
        <f aca="false">Calc!P87</f>
        <v>3.33219067889578E-005</v>
      </c>
      <c r="F80" s="225" t="n">
        <f aca="false">Calc!S87</f>
        <v>30010.0878016675</v>
      </c>
      <c r="G80" s="224" t="n">
        <f aca="false">Calc!O87</f>
        <v>346770608412039</v>
      </c>
      <c r="H80" s="228" t="n">
        <f aca="false">Calc!X87</f>
        <v>0.60610648499772</v>
      </c>
      <c r="I80" s="229" t="n">
        <f aca="false">Calc!Y87</f>
        <v>1.22842708010658</v>
      </c>
      <c r="J80" s="227" t="n">
        <f aca="false">Calc!AE87</f>
        <v>1579.77816443358</v>
      </c>
    </row>
    <row collapsed="false" customFormat="false" customHeight="false" hidden="false" ht="12.75" outlineLevel="0" r="81">
      <c r="A81" s="224" t="n">
        <f aca="false">Calc!A88</f>
        <v>0.0079499</v>
      </c>
      <c r="B81" s="224" t="n">
        <f aca="false">Calc!B88</f>
        <v>0.05394</v>
      </c>
      <c r="C81" s="224" t="n">
        <f aca="false">Calc!C88</f>
        <v>0.0120211</v>
      </c>
      <c r="D81" s="224" t="n">
        <f aca="false">Calc!I88</f>
        <v>324034467606480</v>
      </c>
      <c r="E81" s="224" t="n">
        <f aca="false">Calc!P88</f>
        <v>3.27560336186818E-005</v>
      </c>
      <c r="F81" s="225" t="n">
        <f aca="false">Calc!S88</f>
        <v>30528.5524601331</v>
      </c>
      <c r="G81" s="224" t="n">
        <f aca="false">Calc!O88</f>
        <v>324034467606480</v>
      </c>
      <c r="H81" s="228" t="n">
        <f aca="false">Calc!X88</f>
        <v>0.604208664660955</v>
      </c>
      <c r="I81" s="229" t="n">
        <f aca="false">Calc!Y88</f>
        <v>1.16771496754969</v>
      </c>
      <c r="J81" s="227" t="n">
        <f aca="false">Calc!AE88</f>
        <v>1581.44533270949</v>
      </c>
    </row>
    <row collapsed="false" customFormat="false" customHeight="false" hidden="false" ht="12.75" outlineLevel="0" r="82">
      <c r="A82" s="224" t="n">
        <f aca="false">Calc!A89</f>
        <v>0.0080499</v>
      </c>
      <c r="B82" s="224" t="n">
        <f aca="false">Calc!B89</f>
        <v>0.0502925</v>
      </c>
      <c r="C82" s="224" t="n">
        <f aca="false">Calc!C89</f>
        <v>0.0114391</v>
      </c>
      <c r="D82" s="224" t="n">
        <f aca="false">Calc!I89</f>
        <v>301783714180183</v>
      </c>
      <c r="E82" s="224" t="n">
        <f aca="false">Calc!P89</f>
        <v>3.2063022739196E-005</v>
      </c>
      <c r="F82" s="225" t="n">
        <f aca="false">Calc!S89</f>
        <v>31188.424147861</v>
      </c>
      <c r="G82" s="224" t="n">
        <f aca="false">Calc!O89</f>
        <v>301783714180183</v>
      </c>
      <c r="H82" s="228" t="n">
        <f aca="false">Calc!X89</f>
        <v>0.602227811574057</v>
      </c>
      <c r="I82" s="229" t="n">
        <f aca="false">Calc!Y89</f>
        <v>1.1110363874837</v>
      </c>
      <c r="J82" s="227" t="n">
        <f aca="false">Calc!AE89</f>
        <v>1583.13634988539</v>
      </c>
    </row>
    <row collapsed="false" customFormat="false" customHeight="false" hidden="false" ht="12.75" outlineLevel="0" r="83">
      <c r="A83" s="224" t="n">
        <f aca="false">Calc!A90</f>
        <v>0.0081499</v>
      </c>
      <c r="B83" s="224" t="n">
        <f aca="false">Calc!B90</f>
        <v>0.0474214</v>
      </c>
      <c r="C83" s="224" t="n">
        <f aca="false">Calc!C90</f>
        <v>0.0109049</v>
      </c>
      <c r="D83" s="224" t="n">
        <f aca="false">Calc!I90</f>
        <v>284296418020692</v>
      </c>
      <c r="E83" s="224" t="n">
        <f aca="false">Calc!P90</f>
        <v>3.17088117476409E-005</v>
      </c>
      <c r="F83" s="225" t="n">
        <f aca="false">Calc!S90</f>
        <v>31536.8407252838</v>
      </c>
      <c r="G83" s="224" t="n">
        <f aca="false">Calc!O90</f>
        <v>284296418020692</v>
      </c>
      <c r="H83" s="228" t="n">
        <f aca="false">Calc!X90</f>
        <v>0.600573180009253</v>
      </c>
      <c r="I83" s="229" t="n">
        <f aca="false">Calc!Y90</f>
        <v>1.0583476911409</v>
      </c>
      <c r="J83" s="227" t="n">
        <f aca="false">Calc!AE90</f>
        <v>1584.51128583554</v>
      </c>
    </row>
    <row collapsed="false" customFormat="false" customHeight="false" hidden="false" ht="12.75" outlineLevel="0" r="84">
      <c r="A84" s="224" t="n">
        <f aca="false">Calc!A91</f>
        <v>0.0082499</v>
      </c>
      <c r="B84" s="224" t="n">
        <f aca="false">Calc!B91</f>
        <v>0.044189</v>
      </c>
      <c r="C84" s="224" t="n">
        <f aca="false">Calc!C91</f>
        <v>0.010358</v>
      </c>
      <c r="D84" s="224" t="n">
        <f aca="false">Calc!I91</f>
        <v>264637960521096</v>
      </c>
      <c r="E84" s="224" t="n">
        <f aca="false">Calc!P91</f>
        <v>3.11029764200429E-005</v>
      </c>
      <c r="F84" s="225" t="n">
        <f aca="false">Calc!S91</f>
        <v>32151.1475497567</v>
      </c>
      <c r="G84" s="224" t="n">
        <f aca="false">Calc!O91</f>
        <v>264637960521096</v>
      </c>
      <c r="H84" s="228" t="n">
        <f aca="false">Calc!X91</f>
        <v>0.5985955338659</v>
      </c>
      <c r="I84" s="229" t="n">
        <f aca="false">Calc!Y91</f>
        <v>1.00435474632995</v>
      </c>
      <c r="J84" s="227" t="n">
        <f aca="false">Calc!AE91</f>
        <v>1586.11075415191</v>
      </c>
    </row>
    <row collapsed="false" customFormat="false" customHeight="false" hidden="false" ht="12.75" outlineLevel="0" r="85">
      <c r="A85" s="224" t="n">
        <f aca="false">Calc!A92</f>
        <v>0.0083499</v>
      </c>
      <c r="B85" s="224" t="n">
        <f aca="false">Calc!B92</f>
        <v>0.0415767</v>
      </c>
      <c r="C85" s="224" t="n">
        <f aca="false">Calc!C92</f>
        <v>0.00988047</v>
      </c>
      <c r="D85" s="224" t="n">
        <f aca="false">Calc!I92</f>
        <v>248774139642155</v>
      </c>
      <c r="E85" s="224" t="n">
        <f aca="false">Calc!P92</f>
        <v>3.06558403788949E-005</v>
      </c>
      <c r="F85" s="225" t="n">
        <f aca="false">Calc!S92</f>
        <v>32620.1088670776</v>
      </c>
      <c r="G85" s="224" t="n">
        <f aca="false">Calc!O92</f>
        <v>248774139642155</v>
      </c>
      <c r="H85" s="228" t="n">
        <f aca="false">Calc!X92</f>
        <v>0.596896490579657</v>
      </c>
      <c r="I85" s="229" t="n">
        <f aca="false">Calc!Y92</f>
        <v>0.957919365949195</v>
      </c>
      <c r="J85" s="227" t="n">
        <f aca="false">Calc!AE92</f>
        <v>1587.44756061494</v>
      </c>
    </row>
    <row collapsed="false" customFormat="false" customHeight="false" hidden="false" ht="12.75" outlineLevel="0" r="86">
      <c r="A86" s="224" t="n">
        <f aca="false">Calc!A93</f>
        <v>0.0084499</v>
      </c>
      <c r="B86" s="224" t="n">
        <f aca="false">Calc!B93</f>
        <v>0.039189</v>
      </c>
      <c r="C86" s="224" t="n">
        <f aca="false">Calc!C93</f>
        <v>0.00940977</v>
      </c>
      <c r="D86" s="224" t="n">
        <f aca="false">Calc!I93</f>
        <v>234293024261246</v>
      </c>
      <c r="E86" s="224" t="n">
        <f aca="false">Calc!P93</f>
        <v>3.03301970026605E-005</v>
      </c>
      <c r="F86" s="225" t="n">
        <f aca="false">Calc!S93</f>
        <v>32970.3508401679</v>
      </c>
      <c r="G86" s="224" t="n">
        <f aca="false">Calc!O93</f>
        <v>234293024261246</v>
      </c>
      <c r="H86" s="228" t="n">
        <f aca="false">Calc!X93</f>
        <v>0.595254082164136</v>
      </c>
      <c r="I86" s="229" t="n">
        <f aca="false">Calc!Y93</f>
        <v>0.911845110331582</v>
      </c>
      <c r="J86" s="227" t="n">
        <f aca="false">Calc!AE93</f>
        <v>1588.7077208672</v>
      </c>
    </row>
    <row collapsed="false" customFormat="false" customHeight="false" hidden="false" ht="12.75" outlineLevel="0" r="87">
      <c r="A87" s="224" t="n">
        <f aca="false">Calc!A94</f>
        <v>0.0085499</v>
      </c>
      <c r="B87" s="224" t="n">
        <f aca="false">Calc!B94</f>
        <v>0.0366157</v>
      </c>
      <c r="C87" s="224" t="n">
        <f aca="false">Calc!C94</f>
        <v>0.00892442</v>
      </c>
      <c r="D87" s="224" t="n">
        <f aca="false">Calc!I94</f>
        <v>218706869289316</v>
      </c>
      <c r="E87" s="224" t="n">
        <f aca="false">Calc!P94</f>
        <v>2.98552002146156E-005</v>
      </c>
      <c r="F87" s="225" t="n">
        <f aca="false">Calc!S94</f>
        <v>33494.9229025665</v>
      </c>
      <c r="G87" s="224" t="n">
        <f aca="false">Calc!O94</f>
        <v>218706869289316</v>
      </c>
      <c r="H87" s="228" t="n">
        <f aca="false">Calc!X94</f>
        <v>0.593375657542457</v>
      </c>
      <c r="I87" s="229" t="n">
        <f aca="false">Calc!Y94</f>
        <v>0.864727722501978</v>
      </c>
      <c r="J87" s="227" t="n">
        <f aca="false">Calc!AE94</f>
        <v>1590.11113463535</v>
      </c>
    </row>
    <row collapsed="false" customFormat="false" customHeight="false" hidden="false" ht="12.75" outlineLevel="0" r="88">
      <c r="A88" s="224" t="n">
        <f aca="false">Calc!A95</f>
        <v>0.0086499</v>
      </c>
      <c r="B88" s="224" t="n">
        <f aca="false">Calc!B95</f>
        <v>0.0342866</v>
      </c>
      <c r="C88" s="224" t="n">
        <f aca="false">Calc!C95</f>
        <v>0.00851524</v>
      </c>
      <c r="D88" s="224" t="n">
        <f aca="false">Calc!I95</f>
        <v>204618740201941</v>
      </c>
      <c r="E88" s="224" t="n">
        <f aca="false">Calc!P95</f>
        <v>2.92843987567132E-005</v>
      </c>
      <c r="F88" s="225" t="n">
        <f aca="false">Calc!S95</f>
        <v>34147.8059008804</v>
      </c>
      <c r="G88" s="224" t="n">
        <f aca="false">Calc!O95</f>
        <v>204618740201941</v>
      </c>
      <c r="H88" s="228" t="n">
        <f aca="false">Calc!X95</f>
        <v>0.591565356651786</v>
      </c>
      <c r="I88" s="229" t="n">
        <f aca="false">Calc!Y95</f>
        <v>0.824795040881463</v>
      </c>
      <c r="J88" s="227" t="n">
        <f aca="false">Calc!AE95</f>
        <v>1591.42630037077</v>
      </c>
    </row>
    <row collapsed="false" customFormat="false" customHeight="false" hidden="false" ht="12.75" outlineLevel="0" r="89">
      <c r="A89" s="224" t="n">
        <f aca="false">Calc!A96</f>
        <v>0.0087499</v>
      </c>
      <c r="B89" s="224" t="n">
        <f aca="false">Calc!B96</f>
        <v>0.0323286</v>
      </c>
      <c r="C89" s="224" t="n">
        <f aca="false">Calc!C96</f>
        <v>0.00809238</v>
      </c>
      <c r="D89" s="224" t="n">
        <f aca="false">Calc!I96</f>
        <v>192789613599167</v>
      </c>
      <c r="E89" s="224" t="n">
        <f aca="false">Calc!P96</f>
        <v>2.90462730316223E-005</v>
      </c>
      <c r="F89" s="225" t="n">
        <f aca="false">Calc!S96</f>
        <v>34427.7631349382</v>
      </c>
      <c r="G89" s="224" t="n">
        <f aca="false">Calc!O96</f>
        <v>192789613599167</v>
      </c>
      <c r="H89" s="228" t="n">
        <f aca="false">Calc!X96</f>
        <v>0.589951480032786</v>
      </c>
      <c r="I89" s="229" t="n">
        <f aca="false">Calc!Y96</f>
        <v>0.783484057914791</v>
      </c>
      <c r="J89" s="227" t="n">
        <f aca="false">Calc!AE96</f>
        <v>1592.56854463641</v>
      </c>
    </row>
    <row collapsed="false" customFormat="false" customHeight="false" hidden="false" ht="12.75" outlineLevel="0" r="90">
      <c r="A90" s="224" t="n">
        <f aca="false">Calc!A97</f>
        <v>0.0088499</v>
      </c>
      <c r="B90" s="224" t="n">
        <f aca="false">Calc!B97</f>
        <v>0.030356</v>
      </c>
      <c r="C90" s="224" t="n">
        <f aca="false">Calc!C97</f>
        <v>0.00770371</v>
      </c>
      <c r="D90" s="224" t="n">
        <f aca="false">Calc!I97</f>
        <v>180885870525469</v>
      </c>
      <c r="E90" s="224" t="n">
        <f aca="false">Calc!P97</f>
        <v>2.86417982547482E-005</v>
      </c>
      <c r="F90" s="225" t="n">
        <f aca="false">Calc!S97</f>
        <v>34913.9546139905</v>
      </c>
      <c r="G90" s="224" t="n">
        <f aca="false">Calc!O97</f>
        <v>180885870525469</v>
      </c>
      <c r="H90" s="228" t="n">
        <f aca="false">Calc!X97</f>
        <v>0.588229300073819</v>
      </c>
      <c r="I90" s="229" t="n">
        <f aca="false">Calc!Y97</f>
        <v>0.745489119756844</v>
      </c>
      <c r="J90" s="227" t="n">
        <f aca="false">Calc!AE97</f>
        <v>1593.75670874004</v>
      </c>
    </row>
    <row collapsed="false" customFormat="false" customHeight="false" hidden="false" ht="12.75" outlineLevel="0" r="91">
      <c r="A91" s="224" t="n">
        <f aca="false">Calc!A98</f>
        <v>0.0089499</v>
      </c>
      <c r="B91" s="224" t="n">
        <f aca="false">Calc!B98</f>
        <v>0.0283833</v>
      </c>
      <c r="C91" s="224" t="n">
        <f aca="false">Calc!C98</f>
        <v>0.00730234</v>
      </c>
      <c r="D91" s="224" t="n">
        <f aca="false">Calc!I98</f>
        <v>168995550058679</v>
      </c>
      <c r="E91" s="224" t="n">
        <f aca="false">Calc!P98</f>
        <v>2.82499573727129E-005</v>
      </c>
      <c r="F91" s="225" t="n">
        <f aca="false">Calc!S98</f>
        <v>35398.2360932826</v>
      </c>
      <c r="G91" s="224" t="n">
        <f aca="false">Calc!O98</f>
        <v>168995550058679</v>
      </c>
      <c r="H91" s="228" t="n">
        <f aca="false">Calc!X98</f>
        <v>0.586397478282406</v>
      </c>
      <c r="I91" s="229" t="n">
        <f aca="false">Calc!Y98</f>
        <v>0.706145862304932</v>
      </c>
      <c r="J91" s="227" t="n">
        <f aca="false">Calc!AE98</f>
        <v>1594.9864607046</v>
      </c>
    </row>
    <row collapsed="false" customFormat="false" customHeight="false" hidden="false" ht="12.75" outlineLevel="0" r="92">
      <c r="A92" s="224" t="n">
        <f aca="false">Calc!A99</f>
        <v>0.0090499</v>
      </c>
      <c r="B92" s="224" t="n">
        <f aca="false">Calc!B99</f>
        <v>0.0267964</v>
      </c>
      <c r="C92" s="224" t="n">
        <f aca="false">Calc!C99</f>
        <v>0.00694981</v>
      </c>
      <c r="D92" s="224" t="n">
        <f aca="false">Calc!I99</f>
        <v>159441084468022</v>
      </c>
      <c r="E92" s="224" t="n">
        <f aca="false">Calc!P99</f>
        <v>2.80074129690148E-005</v>
      </c>
      <c r="F92" s="225" t="n">
        <f aca="false">Calc!S99</f>
        <v>35704.7906996645</v>
      </c>
      <c r="G92" s="224" t="n">
        <f aca="false">Calc!O99</f>
        <v>159441084468022</v>
      </c>
      <c r="H92" s="228" t="n">
        <f aca="false">Calc!X99</f>
        <v>0.584833820654435</v>
      </c>
      <c r="I92" s="229" t="n">
        <f aca="false">Calc!Y99</f>
        <v>0.671992136398609</v>
      </c>
      <c r="J92" s="227" t="n">
        <f aca="false">Calc!AE99</f>
        <v>1596.00902579279</v>
      </c>
    </row>
    <row collapsed="false" customFormat="false" customHeight="false" hidden="false" ht="12.75" outlineLevel="0" r="93">
      <c r="A93" s="224" t="n">
        <f aca="false">Calc!A100</f>
        <v>0.0091499</v>
      </c>
      <c r="B93" s="224" t="n">
        <f aca="false">Calc!B100</f>
        <v>0.0254829</v>
      </c>
      <c r="C93" s="224" t="n">
        <f aca="false">Calc!C100</f>
        <v>0.00660899</v>
      </c>
      <c r="D93" s="224" t="n">
        <f aca="false">Calc!I100</f>
        <v>151539967661566</v>
      </c>
      <c r="E93" s="224" t="n">
        <f aca="false">Calc!P100</f>
        <v>2.80076072029867E-005</v>
      </c>
      <c r="F93" s="225" t="n">
        <f aca="false">Calc!S100</f>
        <v>35704.5471638802</v>
      </c>
      <c r="G93" s="224" t="n">
        <f aca="false">Calc!O100</f>
        <v>151539967661566</v>
      </c>
      <c r="H93" s="228" t="n">
        <f aca="false">Calc!X100</f>
        <v>0.583471295350553</v>
      </c>
      <c r="I93" s="229" t="n">
        <f aca="false">Calc!Y100</f>
        <v>0.63868707828688</v>
      </c>
      <c r="J93" s="227" t="n">
        <f aca="false">Calc!AE100</f>
        <v>1596.88008489798</v>
      </c>
    </row>
    <row collapsed="false" customFormat="false" customHeight="false" hidden="false" ht="12.75" outlineLevel="0" r="94">
      <c r="A94" s="224" t="n">
        <f aca="false">Calc!A101</f>
        <v>0.0092499</v>
      </c>
      <c r="B94" s="224" t="n">
        <f aca="false">Calc!B101</f>
        <v>0.0236324</v>
      </c>
      <c r="C94" s="224" t="n">
        <f aca="false">Calc!C101</f>
        <v>0.0062916</v>
      </c>
      <c r="D94" s="224" t="n">
        <f aca="false">Calc!I101</f>
        <v>140420087935485</v>
      </c>
      <c r="E94" s="224" t="n">
        <f aca="false">Calc!P101</f>
        <v>2.72256760383844E-005</v>
      </c>
      <c r="F94" s="225" t="n">
        <f aca="false">Calc!S101</f>
        <v>36730.0010273966</v>
      </c>
      <c r="G94" s="224" t="n">
        <f aca="false">Calc!O101</f>
        <v>140420087935485</v>
      </c>
      <c r="H94" s="228" t="n">
        <f aca="false">Calc!X101</f>
        <v>0.581433244933607</v>
      </c>
      <c r="I94" s="229" t="n">
        <f aca="false">Calc!Y101</f>
        <v>0.608818042856796</v>
      </c>
      <c r="J94" s="227" t="n">
        <f aca="false">Calc!AE101</f>
        <v>1598.14903925341</v>
      </c>
    </row>
    <row collapsed="false" customFormat="false" customHeight="false" hidden="false" ht="12.75" outlineLevel="0" r="95">
      <c r="A95" s="224" t="n">
        <f aca="false">Calc!A102</f>
        <v>0.0093499</v>
      </c>
      <c r="B95" s="224" t="n">
        <f aca="false">Calc!B102</f>
        <v>0.0224312</v>
      </c>
      <c r="C95" s="224" t="n">
        <f aca="false">Calc!C102</f>
        <v>0.0059293</v>
      </c>
      <c r="D95" s="224" t="n">
        <f aca="false">Calc!I102</f>
        <v>133209306812886</v>
      </c>
      <c r="E95" s="224" t="n">
        <f aca="false">Calc!P102</f>
        <v>2.73713099261741E-005</v>
      </c>
      <c r="F95" s="225" t="n">
        <f aca="false">Calc!S102</f>
        <v>36534.5756721721</v>
      </c>
      <c r="G95" s="224" t="n">
        <f aca="false">Calc!O102</f>
        <v>133209306812886</v>
      </c>
      <c r="H95" s="228" t="n">
        <f aca="false">Calc!X102</f>
        <v>0.580026810496789</v>
      </c>
      <c r="I95" s="229" t="n">
        <f aca="false">Calc!Y102</f>
        <v>0.574481347778042</v>
      </c>
      <c r="J95" s="227" t="n">
        <f aca="false">Calc!AE102</f>
        <v>1599.00149063071</v>
      </c>
    </row>
    <row collapsed="false" customFormat="false" customHeight="false" hidden="false" ht="12.75" outlineLevel="0" r="96">
      <c r="A96" s="224" t="n">
        <f aca="false">Calc!A103</f>
        <v>0.0094499</v>
      </c>
      <c r="B96" s="224" t="n">
        <f aca="false">Calc!B103</f>
        <v>0.0205757</v>
      </c>
      <c r="C96" s="224" t="n">
        <f aca="false">Calc!C103</f>
        <v>0.00565977</v>
      </c>
      <c r="D96" s="224" t="n">
        <f aca="false">Calc!I103</f>
        <v>122082574445884</v>
      </c>
      <c r="E96" s="224" t="n">
        <f aca="false">Calc!P103</f>
        <v>2.62771227419525E-005</v>
      </c>
      <c r="F96" s="225" t="n">
        <f aca="false">Calc!S103</f>
        <v>38055.892180458</v>
      </c>
      <c r="G96" s="224" t="n">
        <f aca="false">Calc!O103</f>
        <v>122082574445884</v>
      </c>
      <c r="H96" s="228" t="n">
        <f aca="false">Calc!X103</f>
        <v>0.577705368325761</v>
      </c>
      <c r="I96" s="229" t="n">
        <f aca="false">Calc!Y103</f>
        <v>0.548419408207536</v>
      </c>
      <c r="J96" s="227" t="n">
        <f aca="false">Calc!AE103</f>
        <v>1600.3680832726</v>
      </c>
    </row>
    <row collapsed="false" customFormat="false" customHeight="false" hidden="false" ht="12.75" outlineLevel="0" r="97">
      <c r="A97" s="224" t="n">
        <f aca="false">Calc!A104</f>
        <v>0.0095499</v>
      </c>
      <c r="B97" s="224" t="n">
        <f aca="false">Calc!B104</f>
        <v>0.0191939</v>
      </c>
      <c r="C97" s="224" t="n">
        <f aca="false">Calc!C104</f>
        <v>0.00538145</v>
      </c>
      <c r="D97" s="224" t="n">
        <f aca="false">Calc!I104</f>
        <v>113806058023588</v>
      </c>
      <c r="E97" s="224" t="n">
        <f aca="false">Calc!P104</f>
        <v>2.57789739236271E-005</v>
      </c>
      <c r="F97" s="225" t="n">
        <f aca="false">Calc!S104</f>
        <v>38791.2819460606</v>
      </c>
      <c r="G97" s="224" t="n">
        <f aca="false">Calc!O104</f>
        <v>113806058023588</v>
      </c>
      <c r="H97" s="228" t="n">
        <f aca="false">Calc!X104</f>
        <v>0.575841719842809</v>
      </c>
      <c r="I97" s="229" t="n">
        <f aca="false">Calc!Y104</f>
        <v>0.521118750521443</v>
      </c>
      <c r="J97" s="227" t="n">
        <f aca="false">Calc!AE104</f>
        <v>1601.42963412865</v>
      </c>
    </row>
    <row collapsed="false" customFormat="false" customHeight="false" hidden="false" ht="12.75" outlineLevel="0" r="98">
      <c r="A98" s="224" t="n">
        <f aca="false">Calc!A105</f>
        <v>0.0096499</v>
      </c>
      <c r="B98" s="224" t="n">
        <f aca="false">Calc!B105</f>
        <v>0.0177437</v>
      </c>
      <c r="C98" s="224" t="n">
        <f aca="false">Calc!C105</f>
        <v>0.00508555</v>
      </c>
      <c r="D98" s="224" t="n">
        <f aca="false">Calc!I105</f>
        <v>105129014300300</v>
      </c>
      <c r="E98" s="224" t="n">
        <f aca="false">Calc!P105</f>
        <v>2.52374504443717E-005</v>
      </c>
      <c r="F98" s="225" t="n">
        <f aca="false">Calc!S105</f>
        <v>39623.6354851003</v>
      </c>
      <c r="G98" s="224" t="n">
        <f aca="false">Calc!O105</f>
        <v>105129014300300</v>
      </c>
      <c r="H98" s="228" t="n">
        <f aca="false">Calc!X105</f>
        <v>0.573741086732689</v>
      </c>
      <c r="I98" s="229" t="n">
        <f aca="false">Calc!Y105</f>
        <v>0.491715682596439</v>
      </c>
      <c r="J98" s="227" t="n">
        <f aca="false">Calc!AE105</f>
        <v>1602.58929497501</v>
      </c>
    </row>
    <row collapsed="false" customFormat="false" customHeight="false" hidden="false" ht="12.75" outlineLevel="0" r="99">
      <c r="A99" s="224" t="n">
        <f aca="false">Calc!A106</f>
        <v>0.0097499</v>
      </c>
      <c r="B99" s="224" t="n">
        <f aca="false">Calc!B106</f>
        <v>0.016938</v>
      </c>
      <c r="C99" s="224" t="n">
        <f aca="false">Calc!C106</f>
        <v>0.00481406</v>
      </c>
      <c r="D99" s="224" t="n">
        <f aca="false">Calc!I106</f>
        <v>100312421108554</v>
      </c>
      <c r="E99" s="224" t="n">
        <f aca="false">Calc!P106</f>
        <v>2.54238381092095E-005</v>
      </c>
      <c r="F99" s="225" t="n">
        <f aca="false">Calc!S106</f>
        <v>39333.1475376596</v>
      </c>
      <c r="G99" s="224" t="n">
        <f aca="false">Calc!O106</f>
        <v>100312421108554</v>
      </c>
      <c r="H99" s="228" t="n">
        <f aca="false">Calc!X106</f>
        <v>0.572501094098604</v>
      </c>
      <c r="I99" s="229" t="n">
        <f aca="false">Calc!Y106</f>
        <v>0.465747513055823</v>
      </c>
      <c r="J99" s="227" t="n">
        <f aca="false">Calc!AE106</f>
        <v>1603.25592657069</v>
      </c>
    </row>
    <row collapsed="false" customFormat="false" customHeight="false" hidden="false" ht="12.75" outlineLevel="0" r="100">
      <c r="A100" s="224" t="n">
        <f aca="false">Calc!A107</f>
        <v>0.0098499</v>
      </c>
      <c r="B100" s="224" t="n">
        <f aca="false">Calc!B107</f>
        <v>0.0156978</v>
      </c>
      <c r="C100" s="224" t="n">
        <f aca="false">Calc!C107</f>
        <v>0.00456602</v>
      </c>
      <c r="D100" s="224" t="n">
        <f aca="false">Calc!I107</f>
        <v>92904360815706.8</v>
      </c>
      <c r="E100" s="224" t="n">
        <f aca="false">Calc!P107</f>
        <v>2.48462199437009E-005</v>
      </c>
      <c r="F100" s="225" t="n">
        <f aca="false">Calc!S107</f>
        <v>40247.5566212323</v>
      </c>
      <c r="G100" s="224" t="n">
        <f aca="false">Calc!O107</f>
        <v>92904360815706.8</v>
      </c>
      <c r="H100" s="228" t="n">
        <f aca="false">Calc!X107</f>
        <v>0.570476008576418</v>
      </c>
      <c r="I100" s="229" t="n">
        <f aca="false">Calc!Y107</f>
        <v>0.441380071643227</v>
      </c>
      <c r="J100" s="227" t="n">
        <f aca="false">Calc!AE107</f>
        <v>1604.31674549734</v>
      </c>
    </row>
    <row collapsed="false" customFormat="false" customHeight="false" hidden="false" ht="12.75" outlineLevel="0" r="101">
      <c r="A101" s="224" t="n">
        <f aca="false">Calc!A108</f>
        <v>0.0099499</v>
      </c>
      <c r="B101" s="224" t="n">
        <f aca="false">Calc!B108</f>
        <v>0.0143257</v>
      </c>
      <c r="C101" s="224" t="n">
        <f aca="false">Calc!C108</f>
        <v>0.00433067</v>
      </c>
      <c r="D101" s="224" t="n">
        <f aca="false">Calc!I108</f>
        <v>84717255660120.9</v>
      </c>
      <c r="E101" s="224" t="n">
        <f aca="false">Calc!P108</f>
        <v>2.38564472681061E-005</v>
      </c>
      <c r="F101" s="225" t="n">
        <f aca="false">Calc!S108</f>
        <v>41917.377912132</v>
      </c>
      <c r="G101" s="224" t="n">
        <f aca="false">Calc!O108</f>
        <v>84717255660120.9</v>
      </c>
      <c r="H101" s="228" t="n">
        <f aca="false">Calc!X108</f>
        <v>0.568046066883023</v>
      </c>
      <c r="I101" s="229" t="n">
        <f aca="false">Calc!Y108</f>
        <v>0.419182416302499</v>
      </c>
      <c r="J101" s="227" t="n">
        <f aca="false">Calc!AE108</f>
        <v>1605.54518500285</v>
      </c>
    </row>
    <row collapsed="false" customFormat="false" customHeight="false" hidden="false" ht="12.75" outlineLevel="0" r="102">
      <c r="A102" s="224" t="n">
        <f aca="false">Calc!A109</f>
        <v>0.0100499</v>
      </c>
      <c r="B102" s="224" t="n">
        <f aca="false">Calc!B109</f>
        <v>0.0137202</v>
      </c>
      <c r="C102" s="224" t="n">
        <f aca="false">Calc!C109</f>
        <v>0.00409727</v>
      </c>
      <c r="D102" s="224" t="n">
        <f aca="false">Calc!I109</f>
        <v>81107387371609.9</v>
      </c>
      <c r="E102" s="224" t="n">
        <f aca="false">Calc!P109</f>
        <v>2.41856857168698E-005</v>
      </c>
      <c r="F102" s="225" t="n">
        <f aca="false">Calc!S109</f>
        <v>41346.7597154372</v>
      </c>
      <c r="G102" s="224" t="n">
        <f aca="false">Calc!O109</f>
        <v>81107387371609.9</v>
      </c>
      <c r="H102" s="228" t="n">
        <f aca="false">Calc!X109</f>
        <v>0.566900886458206</v>
      </c>
      <c r="I102" s="229" t="n">
        <f aca="false">Calc!Y109</f>
        <v>0.395857569217534</v>
      </c>
      <c r="J102" s="227" t="n">
        <f aca="false">Calc!AE109</f>
        <v>1606.10774578993</v>
      </c>
    </row>
    <row collapsed="false" customFormat="false" customHeight="false" hidden="false" ht="12.75" outlineLevel="0" r="103">
      <c r="A103" s="224" t="n">
        <f aca="false">Calc!A110</f>
        <v>0.0101499</v>
      </c>
      <c r="B103" s="224" t="n">
        <f aca="false">Calc!B110</f>
        <v>0.0124751</v>
      </c>
      <c r="C103" s="224" t="n">
        <f aca="false">Calc!C110</f>
        <v>0.00388047</v>
      </c>
      <c r="D103" s="224" t="n">
        <f aca="false">Calc!I110</f>
        <v>73690460933525.9</v>
      </c>
      <c r="E103" s="224" t="n">
        <f aca="false">Calc!P110</f>
        <v>2.32898961703377E-005</v>
      </c>
      <c r="F103" s="225" t="n">
        <f aca="false">Calc!S110</f>
        <v>42937.0651867553</v>
      </c>
      <c r="G103" s="224" t="n">
        <f aca="false">Calc!O110</f>
        <v>73690460933525.9</v>
      </c>
      <c r="H103" s="228" t="n">
        <f aca="false">Calc!X110</f>
        <v>0.564382658814793</v>
      </c>
      <c r="I103" s="229" t="n">
        <f aca="false">Calc!Y110</f>
        <v>0.373491452378586</v>
      </c>
      <c r="J103" s="227" t="n">
        <f aca="false">Calc!AE110</f>
        <v>1607.30895298973</v>
      </c>
    </row>
    <row collapsed="false" customFormat="false" customHeight="false" hidden="false" ht="12.75" outlineLevel="0" r="104">
      <c r="A104" s="224" t="n">
        <f aca="false">Calc!A111</f>
        <v>0.0102499</v>
      </c>
      <c r="B104" s="224" t="n">
        <f aca="false">Calc!B111</f>
        <v>0.011982</v>
      </c>
      <c r="C104" s="224" t="n">
        <f aca="false">Calc!C111</f>
        <v>0.00368223</v>
      </c>
      <c r="D104" s="224" t="n">
        <f aca="false">Calc!I111</f>
        <v>70755458155712.5</v>
      </c>
      <c r="E104" s="224" t="n">
        <f aca="false">Calc!P111</f>
        <v>2.35696261261533E-005</v>
      </c>
      <c r="F104" s="225" t="n">
        <f aca="false">Calc!S111</f>
        <v>42427.4784322789</v>
      </c>
      <c r="G104" s="224" t="n">
        <f aca="false">Calc!O111</f>
        <v>70755458155712.5</v>
      </c>
      <c r="H104" s="228" t="n">
        <f aca="false">Calc!X111</f>
        <v>0.56331690868121</v>
      </c>
      <c r="I104" s="229" t="n">
        <f aca="false">Calc!Y111</f>
        <v>0.354359598020602</v>
      </c>
      <c r="J104" s="227" t="n">
        <f aca="false">Calc!AE111</f>
        <v>1607.80280794009</v>
      </c>
    </row>
    <row collapsed="false" customFormat="false" customHeight="false" hidden="false" ht="12.75" outlineLevel="0" r="105">
      <c r="A105" s="224" t="n">
        <f aca="false">Calc!A112</f>
        <v>0.0103499</v>
      </c>
      <c r="B105" s="224" t="n">
        <f aca="false">Calc!B112</f>
        <v>0.0118062</v>
      </c>
      <c r="C105" s="224" t="n">
        <f aca="false">Calc!C112</f>
        <v>0.00348301</v>
      </c>
      <c r="D105" s="224" t="n">
        <f aca="false">Calc!I112</f>
        <v>69709400525524</v>
      </c>
      <c r="E105" s="224" t="n">
        <f aca="false">Calc!P112</f>
        <v>2.45575555419441E-005</v>
      </c>
      <c r="F105" s="225" t="n">
        <f aca="false">Calc!S112</f>
        <v>40720.6572411457</v>
      </c>
      <c r="G105" s="224" t="n">
        <f aca="false">Calc!O112</f>
        <v>69709400525524</v>
      </c>
      <c r="H105" s="228" t="n">
        <f aca="false">Calc!X112</f>
        <v>0.562926561158334</v>
      </c>
      <c r="I105" s="229" t="n">
        <f aca="false">Calc!Y112</f>
        <v>0.335075874331673</v>
      </c>
      <c r="J105" s="227" t="n">
        <f aca="false">Calc!AE112</f>
        <v>1607.98157114224</v>
      </c>
    </row>
    <row collapsed="false" customFormat="false" customHeight="false" hidden="false" ht="12.75" outlineLevel="0" r="106">
      <c r="A106" s="224" t="n">
        <f aca="false">Calc!A113</f>
        <v>0.0104499</v>
      </c>
      <c r="B106" s="224" t="n">
        <f aca="false">Calc!B113</f>
        <v>0.0108736</v>
      </c>
      <c r="C106" s="224" t="n">
        <f aca="false">Calc!C113</f>
        <v>0.00327988</v>
      </c>
      <c r="D106" s="224" t="n">
        <f aca="false">Calc!I113</f>
        <v>64163141544923.7</v>
      </c>
      <c r="E106" s="224" t="n">
        <f aca="false">Calc!P113</f>
        <v>2.39493654703569E-005</v>
      </c>
      <c r="F106" s="225" t="n">
        <f aca="false">Calc!S113</f>
        <v>41754.7528583226</v>
      </c>
      <c r="G106" s="224" t="n">
        <f aca="false">Calc!O113</f>
        <v>64163141544923.7</v>
      </c>
      <c r="H106" s="228" t="n">
        <f aca="false">Calc!X113</f>
        <v>0.560755793623277</v>
      </c>
      <c r="I106" s="229" t="n">
        <f aca="false">Calc!Y113</f>
        <v>0.31624855855306</v>
      </c>
      <c r="J106" s="227" t="n">
        <f aca="false">Calc!AE113</f>
        <v>1608.9553270391</v>
      </c>
    </row>
    <row collapsed="false" customFormat="false" customHeight="false" hidden="false" ht="12.75" outlineLevel="0" r="107">
      <c r="A107" s="224" t="n">
        <f aca="false">Calc!A114</f>
        <v>0.0105499</v>
      </c>
      <c r="B107" s="224" t="n">
        <f aca="false">Calc!B114</f>
        <v>0.0100972</v>
      </c>
      <c r="C107" s="224" t="n">
        <f aca="false">Calc!C114</f>
        <v>0.00309141</v>
      </c>
      <c r="D107" s="224" t="n">
        <f aca="false">Calc!I114</f>
        <v>59549733263458.2</v>
      </c>
      <c r="E107" s="224" t="n">
        <f aca="false">Calc!P114</f>
        <v>2.35606915680282E-005</v>
      </c>
      <c r="F107" s="225" t="n">
        <f aca="false">Calc!S114</f>
        <v>42443.5699783791</v>
      </c>
      <c r="G107" s="224" t="n">
        <f aca="false">Calc!O114</f>
        <v>59549733263458.2</v>
      </c>
      <c r="H107" s="228" t="n">
        <f aca="false">Calc!X114</f>
        <v>0.558804804635982</v>
      </c>
      <c r="I107" s="229" t="n">
        <f aca="false">Calc!Y114</f>
        <v>0.29835184854323</v>
      </c>
      <c r="J107" s="227" t="n">
        <f aca="false">Calc!AE114</f>
        <v>1609.80167120563</v>
      </c>
    </row>
    <row collapsed="false" customFormat="false" customHeight="false" hidden="false" ht="12.75" outlineLevel="0" r="108">
      <c r="A108" s="224" t="n">
        <f aca="false">Calc!A115</f>
        <v>0.0106499</v>
      </c>
      <c r="B108" s="224" t="n">
        <f aca="false">Calc!B115</f>
        <v>0.00956497</v>
      </c>
      <c r="C108" s="224" t="n">
        <f aca="false">Calc!C115</f>
        <v>0.00294785</v>
      </c>
      <c r="D108" s="224" t="n">
        <f aca="false">Calc!I115</f>
        <v>56389325825649.6</v>
      </c>
      <c r="E108" s="224" t="n">
        <f aca="false">Calc!P115</f>
        <v>2.33426428947987E-005</v>
      </c>
      <c r="F108" s="225" t="n">
        <f aca="false">Calc!S115</f>
        <v>42840.0452037559</v>
      </c>
      <c r="G108" s="224" t="n">
        <f aca="false">Calc!O115</f>
        <v>56389325825649.6</v>
      </c>
      <c r="H108" s="228" t="n">
        <f aca="false">Calc!X115</f>
        <v>0.557380509810953</v>
      </c>
      <c r="I108" s="229" t="n">
        <f aca="false">Calc!Y115</f>
        <v>0.285156859265196</v>
      </c>
      <c r="J108" s="227" t="n">
        <f aca="false">Calc!AE115</f>
        <v>1610.40276111387</v>
      </c>
    </row>
    <row collapsed="false" customFormat="false" customHeight="false" hidden="false" ht="12.75" outlineLevel="0" r="109">
      <c r="A109" s="224" t="n">
        <f aca="false">Calc!A116</f>
        <v>0.0107499</v>
      </c>
      <c r="B109" s="224" t="n">
        <f aca="false">Calc!B116</f>
        <v>0.00917923</v>
      </c>
      <c r="C109" s="224" t="n">
        <f aca="false">Calc!C116</f>
        <v>0.00275742</v>
      </c>
      <c r="D109" s="224" t="n">
        <f aca="false">Calc!I116</f>
        <v>54099898148273.9</v>
      </c>
      <c r="E109" s="224" t="n">
        <f aca="false">Calc!P116</f>
        <v>2.39193307095444E-005</v>
      </c>
      <c r="F109" s="225" t="n">
        <f aca="false">Calc!S116</f>
        <v>41807.1849890529</v>
      </c>
      <c r="G109" s="224" t="n">
        <f aca="false">Calc!O116</f>
        <v>54099898148273.9</v>
      </c>
      <c r="H109" s="228" t="n">
        <f aca="false">Calc!X116</f>
        <v>0.556298779192935</v>
      </c>
      <c r="I109" s="229" t="n">
        <f aca="false">Calc!Y116</f>
        <v>0.266983468287282</v>
      </c>
      <c r="J109" s="227" t="n">
        <f aca="false">Calc!AE116</f>
        <v>1610.85002586853</v>
      </c>
    </row>
    <row collapsed="false" customFormat="false" customHeight="false" hidden="false" ht="12.75" outlineLevel="0" r="110">
      <c r="A110" s="224" t="n">
        <f aca="false">Calc!A117</f>
        <v>0.0108499</v>
      </c>
      <c r="B110" s="224" t="n">
        <f aca="false">Calc!B117</f>
        <v>0.00772903</v>
      </c>
      <c r="C110" s="224" t="n">
        <f aca="false">Calc!C117</f>
        <v>0.00261875</v>
      </c>
      <c r="D110" s="224" t="n">
        <f aca="false">Calc!I117</f>
        <v>45501501107646.4</v>
      </c>
      <c r="E110" s="224" t="n">
        <f aca="false">Calc!P117</f>
        <v>2.11894180790183E-005</v>
      </c>
      <c r="F110" s="225" t="n">
        <f aca="false">Calc!S117</f>
        <v>47193.3643220489</v>
      </c>
      <c r="G110" s="224" t="n">
        <f aca="false">Calc!O117</f>
        <v>45501501107646.4</v>
      </c>
      <c r="H110" s="228" t="n">
        <f aca="false">Calc!X117</f>
        <v>0.551788444342218</v>
      </c>
      <c r="I110" s="229" t="n">
        <f aca="false">Calc!Y117</f>
        <v>0.253479966431873</v>
      </c>
      <c r="J110" s="227" t="n">
        <f aca="false">Calc!AE117</f>
        <v>1612.6317323654</v>
      </c>
    </row>
    <row collapsed="false" customFormat="false" customHeight="false" hidden="false" ht="12.75" outlineLevel="0" r="111">
      <c r="A111" s="224" t="n">
        <f aca="false">Calc!A118</f>
        <v>0.0109499</v>
      </c>
      <c r="B111" s="224" t="n">
        <f aca="false">Calc!B118</f>
        <v>0.00746536</v>
      </c>
      <c r="C111" s="224" t="n">
        <f aca="false">Calc!C118</f>
        <v>0.0024752</v>
      </c>
      <c r="D111" s="224" t="n">
        <f aca="false">Calc!I118</f>
        <v>43939725689345.2</v>
      </c>
      <c r="E111" s="224" t="n">
        <f aca="false">Calc!P118</f>
        <v>2.17271949453695E-005</v>
      </c>
      <c r="F111" s="225" t="n">
        <f aca="false">Calc!S118</f>
        <v>46025.2661643422</v>
      </c>
      <c r="G111" s="224" t="n">
        <f aca="false">Calc!O118</f>
        <v>43939725689345.2</v>
      </c>
      <c r="H111" s="228" t="n">
        <f aca="false">Calc!X118</f>
        <v>0.550879590088872</v>
      </c>
      <c r="I111" s="229" t="n">
        <f aca="false">Calc!Y118</f>
        <v>0.238721000943629</v>
      </c>
      <c r="J111" s="227" t="n">
        <f aca="false">Calc!AE118</f>
        <v>1612.97502510317</v>
      </c>
    </row>
    <row collapsed="false" customFormat="false" customHeight="false" hidden="false" ht="12.75" outlineLevel="0" r="112">
      <c r="A112" s="224" t="n">
        <f aca="false">Calc!A119</f>
        <v>0.0110499</v>
      </c>
      <c r="B112" s="224" t="n">
        <f aca="false">Calc!B119</f>
        <v>0.00710403</v>
      </c>
      <c r="C112" s="224" t="n">
        <f aca="false">Calc!C119</f>
        <v>0.00230918</v>
      </c>
      <c r="D112" s="224" t="n">
        <f aca="false">Calc!I119</f>
        <v>41800301029689.8</v>
      </c>
      <c r="E112" s="224" t="n">
        <f aca="false">Calc!P119</f>
        <v>2.22743555405468E-005</v>
      </c>
      <c r="F112" s="225" t="n">
        <f aca="false">Calc!S119</f>
        <v>44894.674217343</v>
      </c>
      <c r="G112" s="224" t="n">
        <f aca="false">Calc!O119</f>
        <v>41800301029689.8</v>
      </c>
      <c r="H112" s="228" t="n">
        <f aca="false">Calc!X119</f>
        <v>0.549581377577428</v>
      </c>
      <c r="I112" s="229" t="n">
        <f aca="false">Calc!Y119</f>
        <v>0.221519115343042</v>
      </c>
      <c r="J112" s="227" t="n">
        <f aca="false">Calc!AE119</f>
        <v>1613.4565381164</v>
      </c>
    </row>
    <row collapsed="false" customFormat="false" customHeight="false" hidden="false" ht="12.75" outlineLevel="0" r="113">
      <c r="A113" s="224" t="n">
        <f aca="false">Calc!A120</f>
        <v>0.0111499</v>
      </c>
      <c r="B113" s="224" t="n">
        <f aca="false">Calc!B120</f>
        <v>0.00697219</v>
      </c>
      <c r="C113" s="224" t="n">
        <f aca="false">Calc!C120</f>
        <v>0.00218125</v>
      </c>
      <c r="D113" s="224" t="n">
        <f aca="false">Calc!I120</f>
        <v>41019918286339.9</v>
      </c>
      <c r="E113" s="224" t="n">
        <f aca="false">Calc!P120</f>
        <v>2.30340272845911E-005</v>
      </c>
      <c r="F113" s="225" t="n">
        <f aca="false">Calc!S120</f>
        <v>43414.0293100617</v>
      </c>
      <c r="G113" s="224" t="n">
        <f aca="false">Calc!O120</f>
        <v>41019918286339.9</v>
      </c>
      <c r="H113" s="228" t="n">
        <f aca="false">Calc!X120</f>
        <v>0.549091431348798</v>
      </c>
      <c r="I113" s="229" t="n">
        <f aca="false">Calc!Y120</f>
        <v>0.210214108562832</v>
      </c>
      <c r="J113" s="227" t="n">
        <f aca="false">Calc!AE120</f>
        <v>1613.63559224314</v>
      </c>
    </row>
    <row collapsed="false" customFormat="false" customHeight="false" hidden="false" ht="12.75" outlineLevel="0" r="114">
      <c r="A114" s="224" t="n">
        <f aca="false">Calc!A121</f>
        <v>0.0112499</v>
      </c>
      <c r="B114" s="224" t="n">
        <f aca="false">Calc!B121</f>
        <v>0.00647415</v>
      </c>
      <c r="C114" s="224" t="n">
        <f aca="false">Calc!C121</f>
        <v>0.00206699</v>
      </c>
      <c r="D114" s="224" t="n">
        <f aca="false">Calc!I121</f>
        <v>38073114983681.9</v>
      </c>
      <c r="E114" s="224" t="n">
        <f aca="false">Calc!P121</f>
        <v>2.25298823826038E-005</v>
      </c>
      <c r="F114" s="225" t="n">
        <f aca="false">Calc!S121</f>
        <v>44385.4933996055</v>
      </c>
      <c r="G114" s="224" t="n">
        <f aca="false">Calc!O121</f>
        <v>38073114983681.9</v>
      </c>
      <c r="H114" s="228" t="n">
        <f aca="false">Calc!X121</f>
        <v>0.547154351896642</v>
      </c>
      <c r="I114" s="229" t="n">
        <f aca="false">Calc!Y121</f>
        <v>0.199478655515319</v>
      </c>
      <c r="J114" s="227" t="n">
        <f aca="false">Calc!AE121</f>
        <v>1614.32945297672</v>
      </c>
    </row>
    <row collapsed="false" customFormat="false" customHeight="false" hidden="false" ht="12.75" outlineLevel="0" r="115">
      <c r="A115" s="224" t="n">
        <f aca="false">Calc!A122</f>
        <v>0.0113499</v>
      </c>
      <c r="B115" s="224" t="n">
        <f aca="false">Calc!B122</f>
        <v>0.00566848</v>
      </c>
      <c r="C115" s="224" t="n">
        <f aca="false">Calc!C122</f>
        <v>0.0019332</v>
      </c>
      <c r="D115" s="224" t="n">
        <f aca="false">Calc!I122</f>
        <v>33310224587328.3</v>
      </c>
      <c r="E115" s="224" t="n">
        <f aca="false">Calc!P122</f>
        <v>2.10123058321933E-005</v>
      </c>
      <c r="F115" s="225" t="n">
        <f aca="false">Calc!S122</f>
        <v>47591.157737937</v>
      </c>
      <c r="G115" s="224" t="n">
        <f aca="false">Calc!O122</f>
        <v>33310224587328.3</v>
      </c>
      <c r="H115" s="228" t="n">
        <f aca="false">Calc!X122</f>
        <v>0.543685591481101</v>
      </c>
      <c r="I115" s="229" t="n">
        <f aca="false">Calc!Y122</f>
        <v>0.187128869552837</v>
      </c>
      <c r="J115" s="227" t="n">
        <f aca="false">Calc!AE122</f>
        <v>1615.51752970433</v>
      </c>
    </row>
    <row collapsed="false" customFormat="false" customHeight="false" hidden="false" ht="12.75" outlineLevel="0" r="116">
      <c r="A116" s="224" t="n">
        <f aca="false">Calc!A123</f>
        <v>0.0114499</v>
      </c>
      <c r="B116" s="224" t="n">
        <f aca="false">Calc!B123</f>
        <v>0.00555618</v>
      </c>
      <c r="C116" s="224" t="n">
        <f aca="false">Calc!C123</f>
        <v>0.00180625</v>
      </c>
      <c r="D116" s="224" t="n">
        <f aca="false">Calc!I123</f>
        <v>32646757858004.8</v>
      </c>
      <c r="E116" s="224" t="n">
        <f aca="false">Calc!P123</f>
        <v>2.2064998747491E-005</v>
      </c>
      <c r="F116" s="225" t="n">
        <f aca="false">Calc!S123</f>
        <v>45320.6443564971</v>
      </c>
      <c r="G116" s="224" t="n">
        <f aca="false">Calc!O123</f>
        <v>32646757858004.8</v>
      </c>
      <c r="H116" s="228" t="n">
        <f aca="false">Calc!X123</f>
        <v>0.543163796880667</v>
      </c>
      <c r="I116" s="229" t="n">
        <f aca="false">Calc!Y123</f>
        <v>0.174651812659343</v>
      </c>
      <c r="J116" s="227" t="n">
        <f aca="false">Calc!AE123</f>
        <v>1615.69038347587</v>
      </c>
    </row>
    <row collapsed="false" customFormat="false" customHeight="false" hidden="false" ht="12.75" outlineLevel="0" r="117">
      <c r="A117" s="224" t="n">
        <f aca="false">Calc!A124</f>
        <v>0.0115499</v>
      </c>
      <c r="B117" s="224" t="n">
        <f aca="false">Calc!B124</f>
        <v>0.00497024</v>
      </c>
      <c r="C117" s="224" t="n">
        <f aca="false">Calc!C124</f>
        <v>0.00171445</v>
      </c>
      <c r="D117" s="224" t="n">
        <f aca="false">Calc!I124</f>
        <v>29186774225621.7</v>
      </c>
      <c r="E117" s="224" t="n">
        <f aca="false">Calc!P124</f>
        <v>2.08608674088052E-005</v>
      </c>
      <c r="F117" s="225" t="n">
        <f aca="false">Calc!S124</f>
        <v>47936.6438079437</v>
      </c>
      <c r="G117" s="224" t="n">
        <f aca="false">Calc!O124</f>
        <v>29186774225621.7</v>
      </c>
      <c r="H117" s="228" t="n">
        <f aca="false">Calc!X124</f>
        <v>0.540259963809592</v>
      </c>
      <c r="I117" s="229" t="n">
        <f aca="false">Calc!Y124</f>
        <v>0.165154603014189</v>
      </c>
      <c r="J117" s="227" t="n">
        <f aca="false">Calc!AE124</f>
        <v>1616.62528187599</v>
      </c>
    </row>
    <row collapsed="false" customFormat="false" customHeight="false" hidden="false" ht="12.75" outlineLevel="0" r="118">
      <c r="A118" s="224" t="n">
        <f aca="false">Calc!A125</f>
        <v>0.0116499</v>
      </c>
      <c r="B118" s="224" t="n">
        <f aca="false">Calc!B125</f>
        <v>0.00465774</v>
      </c>
      <c r="C118" s="224" t="n">
        <f aca="false">Calc!C125</f>
        <v>0.00159727</v>
      </c>
      <c r="D118" s="224" t="n">
        <f aca="false">Calc!I125</f>
        <v>27342694042775.6</v>
      </c>
      <c r="E118" s="224" t="n">
        <f aca="false">Calc!P125</f>
        <v>2.1032342951573E-005</v>
      </c>
      <c r="F118" s="225" t="n">
        <f aca="false">Calc!S125</f>
        <v>47545.8191320019</v>
      </c>
      <c r="G118" s="224" t="n">
        <f aca="false">Calc!O125</f>
        <v>27342694042775.6</v>
      </c>
      <c r="H118" s="228" t="n">
        <f aca="false">Calc!X125</f>
        <v>0.538569518928607</v>
      </c>
      <c r="I118" s="229" t="n">
        <f aca="false">Calc!Y125</f>
        <v>0.153458374837609</v>
      </c>
      <c r="J118" s="227" t="n">
        <f aca="false">Calc!AE125</f>
        <v>1617.14895515426</v>
      </c>
    </row>
    <row collapsed="false" customFormat="false" customHeight="false" hidden="false" ht="12.75" outlineLevel="0" r="119">
      <c r="A119" s="224" t="n">
        <f aca="false">Calc!A126</f>
        <v>0.0117499</v>
      </c>
      <c r="B119" s="224" t="n">
        <f aca="false">Calc!B126</f>
        <v>0.00450637</v>
      </c>
      <c r="C119" s="224" t="n">
        <f aca="false">Calc!C126</f>
        <v>0.00154063</v>
      </c>
      <c r="D119" s="224" t="n">
        <f aca="false">Calc!I126</f>
        <v>26449772194609.8</v>
      </c>
      <c r="E119" s="224" t="n">
        <f aca="false">Calc!P126</f>
        <v>2.12151712985441E-005</v>
      </c>
      <c r="F119" s="225" t="n">
        <f aca="false">Calc!S126</f>
        <v>47136.0782946411</v>
      </c>
      <c r="G119" s="224" t="n">
        <f aca="false">Calc!O126</f>
        <v>26449772194609.8</v>
      </c>
      <c r="H119" s="228" t="n">
        <f aca="false">Calc!X126</f>
        <v>0.537709901949714</v>
      </c>
      <c r="I119" s="229" t="n">
        <f aca="false">Calc!Y126</f>
        <v>0.147167644778666</v>
      </c>
      <c r="J119" s="227" t="n">
        <f aca="false">Calc!AE126</f>
        <v>1617.40960616573</v>
      </c>
    </row>
    <row collapsed="false" customFormat="false" customHeight="false" hidden="false" ht="12.75" outlineLevel="0" r="120">
      <c r="A120" s="224" t="n">
        <f aca="false">Calc!A127</f>
        <v>0.0118499</v>
      </c>
      <c r="B120" s="224" t="n">
        <f aca="false">Calc!B127</f>
        <v>0.00457962</v>
      </c>
      <c r="C120" s="224" t="n">
        <f aca="false">Calc!C127</f>
        <v>0.00142149</v>
      </c>
      <c r="D120" s="224" t="n">
        <f aca="false">Calc!I127</f>
        <v>26881842656070.6</v>
      </c>
      <c r="E120" s="224" t="n">
        <f aca="false">Calc!P127</f>
        <v>2.34295668613918E-005</v>
      </c>
      <c r="F120" s="225" t="n">
        <f aca="false">Calc!S127</f>
        <v>42681.1121951383</v>
      </c>
      <c r="G120" s="224" t="n">
        <f aca="false">Calc!O127</f>
        <v>26881842656070.6</v>
      </c>
      <c r="H120" s="228" t="n">
        <f aca="false">Calc!X127</f>
        <v>0.538129394316395</v>
      </c>
      <c r="I120" s="229" t="n">
        <f aca="false">Calc!Y127</f>
        <v>0.135435252356477</v>
      </c>
      <c r="J120" s="227" t="n">
        <f aca="false">Calc!AE127</f>
        <v>1617.2828789065</v>
      </c>
    </row>
    <row collapsed="false" customFormat="false" customHeight="false" hidden="false" ht="12.75" outlineLevel="0" r="121">
      <c r="A121" s="224" t="n">
        <f aca="false">Calc!A128</f>
        <v>0.0119499</v>
      </c>
      <c r="B121" s="224" t="n">
        <f aca="false">Calc!B128</f>
        <v>0.00445266</v>
      </c>
      <c r="C121" s="224" t="n">
        <f aca="false">Calc!C128</f>
        <v>0.00133457</v>
      </c>
      <c r="D121" s="224" t="n">
        <f aca="false">Calc!I128</f>
        <v>26132991744538</v>
      </c>
      <c r="E121" s="224" t="n">
        <f aca="false">Calc!P128</f>
        <v>2.4237320617022E-005</v>
      </c>
      <c r="F121" s="225" t="n">
        <f aca="false">Calc!S128</f>
        <v>41258.6848325384</v>
      </c>
      <c r="G121" s="224" t="n">
        <f aca="false">Calc!O128</f>
        <v>26132991744538</v>
      </c>
      <c r="H121" s="228" t="n">
        <f aca="false">Calc!X128</f>
        <v>0.537397999738031</v>
      </c>
      <c r="I121" s="229" t="n">
        <f aca="false">Calc!Y128</f>
        <v>0.12727452060784</v>
      </c>
      <c r="J121" s="227" t="n">
        <f aca="false">Calc!AE128</f>
        <v>1617.5032533202</v>
      </c>
    </row>
    <row collapsed="false" customFormat="false" customHeight="false" hidden="false" ht="12.75" outlineLevel="0" r="122">
      <c r="A122" s="224" t="n">
        <f aca="false">Calc!A129</f>
        <v>0.0120499</v>
      </c>
      <c r="B122" s="224" t="n">
        <f aca="false">Calc!B129</f>
        <v>0.00442337</v>
      </c>
      <c r="C122" s="224" t="n">
        <f aca="false">Calc!C129</f>
        <v>0.00123594</v>
      </c>
      <c r="D122" s="224" t="n">
        <f aca="false">Calc!I129</f>
        <v>25960251382945.2</v>
      </c>
      <c r="E122" s="224" t="n">
        <f aca="false">Calc!P129</f>
        <v>2.57102897505214E-005</v>
      </c>
      <c r="F122" s="225" t="n">
        <f aca="false">Calc!S129</f>
        <v>38894.9319879527</v>
      </c>
      <c r="G122" s="224" t="n">
        <f aca="false">Calc!O129</f>
        <v>25960251382945.2</v>
      </c>
      <c r="H122" s="228" t="n">
        <f aca="false">Calc!X129</f>
        <v>0.5372263346919</v>
      </c>
      <c r="I122" s="229" t="n">
        <f aca="false">Calc!Y129</f>
        <v>0.119189739055411</v>
      </c>
      <c r="J122" s="227" t="n">
        <f aca="false">Calc!AE129</f>
        <v>1617.55458577863</v>
      </c>
    </row>
    <row collapsed="false" customFormat="false" customHeight="false" hidden="false" ht="12.75" outlineLevel="0" r="123">
      <c r="A123" s="224" t="n">
        <f aca="false">Calc!A130</f>
        <v>0.0121499</v>
      </c>
      <c r="B123" s="224" t="n">
        <f aca="false">Calc!B130</f>
        <v>0.00425247</v>
      </c>
      <c r="C123" s="224" t="n">
        <f aca="false">Calc!C130</f>
        <v>0.00116367</v>
      </c>
      <c r="D123" s="224" t="n">
        <f aca="false">Calc!I130</f>
        <v>24952516219816.5</v>
      </c>
      <c r="E123" s="224" t="n">
        <f aca="false">Calc!P130</f>
        <v>2.61220900825086E-005</v>
      </c>
      <c r="F123" s="225" t="n">
        <f aca="false">Calc!S130</f>
        <v>38281.7749208662</v>
      </c>
      <c r="G123" s="224" t="n">
        <f aca="false">Calc!O130</f>
        <v>24952516219816.5</v>
      </c>
      <c r="H123" s="228" t="n">
        <f aca="false">Calc!X130</f>
        <v>0.536201696557797</v>
      </c>
      <c r="I123" s="229" t="n">
        <f aca="false">Calc!Y130</f>
        <v>0.112756963049159</v>
      </c>
      <c r="J123" s="227" t="n">
        <f aca="false">Calc!AE130</f>
        <v>1617.85791570427</v>
      </c>
    </row>
    <row collapsed="false" customFormat="false" customHeight="false" hidden="false" ht="12.75" outlineLevel="0" r="124">
      <c r="A124" s="224" t="n">
        <f aca="false">Calc!A131</f>
        <v>0.0122499</v>
      </c>
      <c r="B124" s="224" t="n">
        <f aca="false">Calc!B131</f>
        <v>0.00342239</v>
      </c>
      <c r="C124" s="224" t="n">
        <f aca="false">Calc!C131</f>
        <v>0.00109238</v>
      </c>
      <c r="D124" s="224" t="n">
        <f aca="false">Calc!I131</f>
        <v>20061967632947.2</v>
      </c>
      <c r="E124" s="224" t="n">
        <f aca="false">Calc!P131</f>
        <v>2.21921112413827E-005</v>
      </c>
      <c r="F124" s="225" t="n">
        <f aca="false">Calc!S131</f>
        <v>45061.0568005912</v>
      </c>
      <c r="G124" s="224" t="n">
        <f aca="false">Calc!O131</f>
        <v>20061967632947.2</v>
      </c>
      <c r="H124" s="228" t="n">
        <f aca="false">Calc!X131</f>
        <v>0.530560918041221</v>
      </c>
      <c r="I124" s="229" t="n">
        <f aca="false">Calc!Y131</f>
        <v>0.106711653945678</v>
      </c>
      <c r="J124" s="227" t="n">
        <f aca="false">Calc!AE131</f>
        <v>1619.43706384284</v>
      </c>
    </row>
    <row collapsed="false" customFormat="false" customHeight="false" hidden="false" ht="12.75" outlineLevel="0" r="125">
      <c r="A125" s="224" t="n">
        <f aca="false">Calc!A132</f>
        <v>0.0123499</v>
      </c>
      <c r="B125" s="224" t="n">
        <f aca="false">Calc!B132</f>
        <v>0.00338333</v>
      </c>
      <c r="C125" s="224" t="n">
        <f aca="false">Calc!C132</f>
        <v>0.00101231</v>
      </c>
      <c r="D125" s="224" t="n">
        <f aca="false">Calc!I132</f>
        <v>19832016491441.1</v>
      </c>
      <c r="E125" s="224" t="n">
        <f aca="false">Calc!P132</f>
        <v>0</v>
      </c>
      <c r="F125" s="225" t="n">
        <f aca="false">Calc!S132</f>
        <v>0</v>
      </c>
      <c r="G125" s="224" t="n">
        <f aca="false">Calc!O132</f>
        <v>19832016491441.1</v>
      </c>
      <c r="H125" s="228" t="n">
        <f aca="false">Calc!X132</f>
        <v>0.530263038412212</v>
      </c>
      <c r="I125" s="229" t="str">
        <f aca="false">Calc!Y132</f>
        <v/>
      </c>
      <c r="J125" s="227" t="n">
        <f aca="false">Calc!AE132</f>
        <v>1619.51634009093</v>
      </c>
    </row>
    <row collapsed="false" customFormat="false" customHeight="false" hidden="false" ht="12.75" outlineLevel="0" r="126">
      <c r="A126" s="224" t="n">
        <f aca="false">Calc!A133</f>
        <v>0.0124499</v>
      </c>
      <c r="B126" s="224" t="n">
        <f aca="false">Calc!B133</f>
        <v>0.00276321</v>
      </c>
      <c r="C126" s="224" t="n">
        <f aca="false">Calc!C133</f>
        <v>0.00093711</v>
      </c>
      <c r="D126" s="224" t="n">
        <f aca="false">Calc!I133</f>
        <v>16183594725932.2</v>
      </c>
      <c r="E126" s="224" t="n">
        <f aca="false">Calc!P133</f>
        <v>0</v>
      </c>
      <c r="F126" s="225" t="n">
        <f aca="false">Calc!S133</f>
        <v>0</v>
      </c>
      <c r="G126" s="224" t="n">
        <f aca="false">Calc!O133</f>
        <v>16183594725932.2</v>
      </c>
      <c r="H126" s="228" t="n">
        <f aca="false">Calc!X133</f>
        <v>0.525012980558445</v>
      </c>
      <c r="I126" s="229" t="str">
        <f aca="false">Calc!Y133</f>
        <v/>
      </c>
      <c r="J126" s="227" t="n">
        <f aca="false">Calc!AE133</f>
        <v>1620.84968005545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100">
      <selection activeCell="H5" activeCellId="0" pane="topLeft" sqref="H5"/>
    </sheetView>
  </sheetViews>
  <sheetFormatPr defaultRowHeight="12.75"/>
  <cols>
    <col collapsed="false" hidden="false" max="1" min="1" style="230" width="9.14285714285714"/>
    <col collapsed="false" hidden="false" max="2" min="2" style="230" width="22.4285714285714"/>
    <col collapsed="false" hidden="false" max="3" min="3" style="230" width="12.2857142857143"/>
    <col collapsed="false" hidden="false" max="4" min="4" style="230" width="17.7091836734694"/>
    <col collapsed="false" hidden="false" max="5" min="5" style="230" width="13.1377551020408"/>
    <col collapsed="false" hidden="false" max="6" min="6" style="230" width="11.8622448979592"/>
    <col collapsed="false" hidden="false" max="7" min="7" style="230" width="19.7091836734694"/>
    <col collapsed="false" hidden="false" max="8" min="8" style="230" width="13.2857142857143"/>
    <col collapsed="false" hidden="false" max="9" min="9" style="230" width="12.7091836734694"/>
    <col collapsed="false" hidden="false" max="11" min="10" style="230" width="9.14285714285714"/>
    <col collapsed="false" hidden="false" max="12" min="12" style="230" width="12.4183673469388"/>
    <col collapsed="false" hidden="false" max="1025" min="13" style="230" width="9.14285714285714"/>
  </cols>
  <sheetData>
    <row collapsed="false" customFormat="false" customHeight="true" hidden="false" ht="14.25" outlineLevel="0" r="1"/>
    <row collapsed="false" customFormat="false" customHeight="false" hidden="false" ht="12.75" outlineLevel="0" r="2">
      <c r="B2" s="231" t="s">
        <v>348</v>
      </c>
      <c r="C2" s="232" t="s">
        <v>349</v>
      </c>
      <c r="D2" s="232" t="s">
        <v>350</v>
      </c>
      <c r="E2" s="231" t="s">
        <v>351</v>
      </c>
    </row>
    <row collapsed="false" customFormat="false" customHeight="true" hidden="false" ht="15.75" outlineLevel="0" r="3">
      <c r="B3" s="230" t="s">
        <v>352</v>
      </c>
      <c r="C3" s="233" t="n">
        <v>5</v>
      </c>
      <c r="D3" s="234" t="n">
        <f aca="false">VLOOKUP(C3,$D$30:$E$37,2,0)</f>
        <v>2</v>
      </c>
      <c r="E3" s="230" t="str">
        <f aca="false">" /pcgain="&amp;D3</f>
        <v> /pcgain=2</v>
      </c>
      <c r="F3" s="235"/>
      <c r="G3" s="230" t="s">
        <v>353</v>
      </c>
      <c r="H3" s="235" t="s">
        <v>354</v>
      </c>
    </row>
    <row collapsed="false" customFormat="false" customHeight="false" hidden="false" ht="12.75" outlineLevel="0" r="4">
      <c r="B4" s="230" t="s">
        <v>355</v>
      </c>
      <c r="C4" s="233" t="n">
        <v>1</v>
      </c>
      <c r="D4" s="234" t="n">
        <f aca="false">VLOOKUP(C4,$D$30:$E$37,2,0)</f>
        <v>10</v>
      </c>
      <c r="E4" s="230" t="str">
        <f aca="false">" /refgain="&amp;D4</f>
        <v> /refgain=10</v>
      </c>
      <c r="F4" s="235"/>
      <c r="G4" s="236" t="s">
        <v>356</v>
      </c>
      <c r="H4" s="236" t="str">
        <f aca="false">PathName&amp;PCGainFlag&amp;RefGainFlag&amp;BaseGainFlag&amp;xferFlag&amp;flashWaitFlag&amp;numFlashesFlag&amp;TimeScaleFlags&amp;cutoffflag</f>
        <v>C:\lifetime\lifetime.exe /subbase=2 /basetime_us=20000 /pcgain=2 /refgain=10 /basegain=1 /xfer=125 /flashwait_s=6 /numflashes=1 /pulselength=12500 /cutoff=12500</v>
      </c>
      <c r="L4" s="235"/>
    </row>
    <row collapsed="false" customFormat="false" customHeight="false" hidden="false" ht="12.75" outlineLevel="0" r="5">
      <c r="B5" s="230" t="s">
        <v>357</v>
      </c>
      <c r="C5" s="233" t="n">
        <v>10</v>
      </c>
      <c r="D5" s="234" t="n">
        <f aca="false">VLOOKUP(C5,$D$30:$E$37,2,0)</f>
        <v>1</v>
      </c>
      <c r="E5" s="230" t="str">
        <f aca="false">" /basegain="&amp;D5</f>
        <v> /basegain=1</v>
      </c>
      <c r="G5" s="236" t="s">
        <v>358</v>
      </c>
      <c r="H5" s="236" t="str">
        <f aca="false">"C:\lifetime\lifetime.exe /baseonly=true /autoexit=true"&amp;E12</f>
        <v>C:\lifetime\lifetime.exe /baseonly=true /autoexit=true /basegain=10</v>
      </c>
    </row>
    <row collapsed="false" customFormat="false" customHeight="false" hidden="false" ht="12.75" outlineLevel="0" r="6">
      <c r="B6" s="235" t="s">
        <v>359</v>
      </c>
      <c r="C6" s="237" t="n">
        <f aca="false">PulseLength</f>
        <v>12500</v>
      </c>
      <c r="D6" s="234"/>
      <c r="E6" s="230" t="str">
        <f aca="false">" /pulselength="&amp;PulseLength</f>
        <v> /pulselength=12500</v>
      </c>
      <c r="G6" s="238" t="s">
        <v>360</v>
      </c>
      <c r="H6" s="239" t="s">
        <v>361</v>
      </c>
    </row>
    <row collapsed="false" customFormat="false" customHeight="false" hidden="false" ht="12.75" outlineLevel="0" r="7">
      <c r="B7" s="235" t="s">
        <v>362</v>
      </c>
      <c r="C7" s="237" t="n">
        <f aca="false">TSampleTime</f>
        <v>100000</v>
      </c>
      <c r="D7" s="234"/>
      <c r="E7" s="230" t="str">
        <f aca="false">" /ltransient="&amp;C7</f>
        <v> /ltransient=100000</v>
      </c>
      <c r="G7" s="235" t="s">
        <v>363</v>
      </c>
      <c r="H7" s="230" t="str">
        <f aca="false">IF(OR(AnalysisMode = "Transient",AnalysisMode = "Generalized (1/64)"),ltransientFlag&amp;ntransientFlag,PulseLengthFlag)</f>
        <v> /pulselength=12500</v>
      </c>
    </row>
    <row collapsed="false" customFormat="false" customHeight="false" hidden="false" ht="12.75" outlineLevel="0" r="8">
      <c r="B8" s="235" t="s">
        <v>364</v>
      </c>
      <c r="C8" s="237" t="n">
        <f aca="false">TNumTaus</f>
        <v>3</v>
      </c>
      <c r="D8" s="234"/>
      <c r="E8" s="230" t="str">
        <f aca="false">" /ntransient="&amp;C8</f>
        <v> /ntransient=3</v>
      </c>
    </row>
    <row collapsed="false" customFormat="false" customHeight="false" hidden="false" ht="12.75" outlineLevel="0" r="9">
      <c r="A9" s="234"/>
      <c r="B9" s="235" t="s">
        <v>365</v>
      </c>
      <c r="C9" s="233" t="n">
        <v>125</v>
      </c>
      <c r="D9" s="234"/>
      <c r="E9" s="235" t="str">
        <f aca="false">" /xfer="&amp;C9</f>
        <v> /xfer=125</v>
      </c>
      <c r="J9" s="235"/>
      <c r="L9" s="235"/>
      <c r="M9" s="235"/>
    </row>
    <row collapsed="false" customFormat="false" customHeight="false" hidden="false" ht="12.75" outlineLevel="0" r="10">
      <c r="A10" s="234"/>
      <c r="B10" s="240" t="s">
        <v>366</v>
      </c>
      <c r="C10" s="233" t="n">
        <f aca="false">IF(OR(AnalysisMode="Transient",AnalysisMode="Generalized (1/64)"),TransFlashDelay,QSSFlashDelay)</f>
        <v>6</v>
      </c>
      <c r="D10" s="234"/>
      <c r="E10" s="230" t="str">
        <f aca="false">" /flashwait_s="&amp;C10</f>
        <v> /flashwait_s=6</v>
      </c>
      <c r="J10" s="235"/>
    </row>
    <row collapsed="false" customFormat="false" customHeight="false" hidden="false" ht="12.75" outlineLevel="0" r="11">
      <c r="A11" s="234"/>
      <c r="B11" s="240" t="s">
        <v>367</v>
      </c>
      <c r="C11" s="233" t="n">
        <v>1</v>
      </c>
      <c r="D11" s="234"/>
      <c r="E11" s="230" t="str">
        <f aca="false">" /numflashes="&amp;C11</f>
        <v> /numflashes=1</v>
      </c>
      <c r="J11" s="235"/>
    </row>
    <row collapsed="false" customFormat="false" customHeight="false" hidden="false" ht="12.75" outlineLevel="0" r="12">
      <c r="A12" s="234"/>
      <c r="B12" s="235" t="s">
        <v>368</v>
      </c>
      <c r="C12" s="241" t="n">
        <f aca="false">AirVoltageRange</f>
        <v>1</v>
      </c>
      <c r="D12" s="234" t="n">
        <f aca="false">VLOOKUP(C12,$D$30:$E$37,2,0)</f>
        <v>10</v>
      </c>
      <c r="E12" s="230" t="str">
        <f aca="false">" /basegain="&amp;D12</f>
        <v> /basegain=10</v>
      </c>
      <c r="J12" s="235"/>
      <c r="L12" s="235"/>
    </row>
    <row collapsed="false" customFormat="false" customHeight="false" hidden="false" ht="12.75" outlineLevel="0" r="13">
      <c r="A13" s="234"/>
      <c r="B13" s="235" t="s">
        <v>369</v>
      </c>
      <c r="C13" s="234" t="n">
        <f aca="false">IF(OR(AnalysisMode = "Transient",AnalysisMode = "Generalized (1/64)"),200,PulseLength)</f>
        <v>12500</v>
      </c>
      <c r="E13" s="230" t="str">
        <f aca="false">" /cutoff="&amp;C13</f>
        <v> /cutoff=12500</v>
      </c>
    </row>
    <row collapsed="false" customFormat="false" customHeight="false" hidden="false" ht="12.75" outlineLevel="0" r="14">
      <c r="A14" s="234"/>
      <c r="D14" s="236"/>
      <c r="E14" s="236"/>
      <c r="F14" s="236"/>
      <c r="G14" s="236"/>
      <c r="H14" s="236"/>
      <c r="I14" s="236"/>
      <c r="J14" s="236"/>
      <c r="K14" s="236"/>
    </row>
    <row collapsed="false" customFormat="false" customHeight="false" hidden="false" ht="12.75" outlineLevel="0" r="15">
      <c r="A15" s="234"/>
      <c r="B15" s="231" t="s">
        <v>370</v>
      </c>
      <c r="C15" s="242" t="s">
        <v>371</v>
      </c>
      <c r="D15" s="243"/>
      <c r="E15" s="244" t="s">
        <v>372</v>
      </c>
      <c r="F15" s="245"/>
    </row>
    <row collapsed="false" customFormat="false" customHeight="false" hidden="false" ht="12.75" outlineLevel="0" r="16">
      <c r="A16" s="234"/>
      <c r="B16" s="237" t="s">
        <v>17</v>
      </c>
      <c r="C16" s="246" t="s">
        <v>373</v>
      </c>
      <c r="D16" s="247" t="s">
        <v>374</v>
      </c>
      <c r="E16" s="246" t="s">
        <v>373</v>
      </c>
      <c r="F16" s="247" t="s">
        <v>374</v>
      </c>
      <c r="G16" s="248" t="s">
        <v>375</v>
      </c>
    </row>
    <row collapsed="false" customFormat="false" customHeight="false" hidden="false" ht="12.75" outlineLevel="0" r="17">
      <c r="A17" s="234"/>
      <c r="B17" s="234" t="n">
        <v>0</v>
      </c>
      <c r="C17" s="249" t="n">
        <f aca="false">C3</f>
        <v>5</v>
      </c>
      <c r="D17" s="250" t="n">
        <f aca="false">C17*G17</f>
        <v>2</v>
      </c>
      <c r="E17" s="249" t="n">
        <f aca="false">C4</f>
        <v>1</v>
      </c>
      <c r="F17" s="250" t="n">
        <f aca="false">E17*G17</f>
        <v>0.4</v>
      </c>
      <c r="G17" s="251" t="n">
        <v>0.4</v>
      </c>
    </row>
    <row collapsed="false" customFormat="false" customHeight="false" hidden="false" ht="12.75" outlineLevel="0" r="18">
      <c r="A18" s="234"/>
      <c r="B18" s="252" t="n">
        <f aca="false">Calc!A133</f>
        <v>0.0124499</v>
      </c>
      <c r="C18" s="249" t="n">
        <f aca="false">C3</f>
        <v>5</v>
      </c>
      <c r="D18" s="250" t="n">
        <f aca="false">C18*G17</f>
        <v>2</v>
      </c>
      <c r="E18" s="249" t="n">
        <f aca="false">C4</f>
        <v>1</v>
      </c>
      <c r="F18" s="250" t="n">
        <f aca="false">E18*G17</f>
        <v>0.4</v>
      </c>
    </row>
    <row collapsed="false" customFormat="false" customHeight="false" hidden="false" ht="12.75" outlineLevel="0" r="19">
      <c r="A19" s="234"/>
      <c r="C19" s="253"/>
      <c r="D19" s="254"/>
      <c r="E19" s="253"/>
      <c r="F19" s="254"/>
    </row>
    <row collapsed="false" customFormat="false" customHeight="false" hidden="false" ht="12.75" outlineLevel="0" r="20">
      <c r="A20" s="234"/>
      <c r="B20" s="248" t="s">
        <v>376</v>
      </c>
      <c r="C20" s="253"/>
      <c r="D20" s="254"/>
      <c r="E20" s="253"/>
      <c r="F20" s="254"/>
    </row>
    <row collapsed="false" customFormat="false" customHeight="false" hidden="false" ht="12.75" outlineLevel="0" r="21">
      <c r="A21" s="234"/>
      <c r="B21" s="235" t="s">
        <v>377</v>
      </c>
      <c r="C21" s="255" t="n">
        <f aca="false">Calc!B150</f>
        <v>3.90599</v>
      </c>
      <c r="D21" s="254"/>
      <c r="E21" s="256" t="n">
        <f aca="false">Calc!B152</f>
        <v>0.628311</v>
      </c>
      <c r="F21" s="254"/>
    </row>
    <row collapsed="false" customFormat="false" customHeight="false" hidden="false" ht="12.75" outlineLevel="0" r="22">
      <c r="A22" s="234"/>
      <c r="B22" s="235" t="s">
        <v>378</v>
      </c>
      <c r="C22" s="253" t="b">
        <f aca="false">AND(C21&gt;0.95*Command!C17,D3&lt;&gt;-1)</f>
        <v>0</v>
      </c>
      <c r="D22" s="254"/>
      <c r="E22" s="253" t="b">
        <f aca="false">IF(AnalysisMode = "Transient", 0, AND(E21&gt;0.95*E17,D4&lt;&gt;10))</f>
        <v>0</v>
      </c>
      <c r="F22" s="254"/>
    </row>
    <row collapsed="false" customFormat="false" customHeight="false" hidden="false" ht="12.75" outlineLevel="0" r="23">
      <c r="A23" s="234"/>
      <c r="B23" s="235" t="s">
        <v>379</v>
      </c>
      <c r="C23" s="253" t="b">
        <f aca="false">AND(C21&lt;Command!D17,D3&lt;&gt;50)</f>
        <v>0</v>
      </c>
      <c r="D23" s="254"/>
      <c r="E23" s="253" t="b">
        <f aca="false">IF(AnalysisMode = "Transient", IF(D4&lt;&gt;50,1,0),AND(E21&lt;F17,D4&lt;&gt;50))</f>
        <v>0</v>
      </c>
      <c r="F23" s="254"/>
    </row>
    <row collapsed="false" customFormat="false" customHeight="false" hidden="false" ht="12.75" outlineLevel="0" r="24">
      <c r="A24" s="234"/>
      <c r="B24" s="257"/>
      <c r="C24" s="253"/>
      <c r="D24" s="254"/>
      <c r="E24" s="253"/>
      <c r="F24" s="254"/>
      <c r="G24" s="235"/>
    </row>
    <row collapsed="false" customFormat="false" customHeight="false" hidden="false" ht="12.75" outlineLevel="0" r="25">
      <c r="A25" s="234"/>
      <c r="B25" s="235"/>
      <c r="C25" s="258"/>
      <c r="D25" s="259"/>
      <c r="E25" s="258"/>
      <c r="F25" s="259"/>
      <c r="G25" s="235"/>
    </row>
    <row collapsed="false" customFormat="false" customHeight="false" hidden="false" ht="12.75" outlineLevel="0" r="26">
      <c r="A26" s="234"/>
    </row>
    <row collapsed="false" customFormat="false" customHeight="false" hidden="false" ht="12.75" outlineLevel="0" r="28">
      <c r="B28" s="160" t="s">
        <v>380</v>
      </c>
    </row>
    <row collapsed="false" customFormat="false" customHeight="false" hidden="false" ht="12.75" outlineLevel="0" r="29">
      <c r="B29" s="260" t="b">
        <f aca="false">TRUE()</f>
        <v>1</v>
      </c>
      <c r="D29" s="261" t="s">
        <v>381</v>
      </c>
      <c r="E29" s="261" t="s">
        <v>350</v>
      </c>
    </row>
    <row collapsed="false" customFormat="false" customHeight="false" hidden="false" ht="12.75" outlineLevel="0" r="30">
      <c r="B30" s="260" t="b">
        <f aca="false">FALSE()</f>
        <v>0</v>
      </c>
      <c r="D30" s="262" t="n">
        <v>0.2</v>
      </c>
      <c r="E30" s="262" t="n">
        <v>50</v>
      </c>
    </row>
    <row collapsed="false" customFormat="false" customHeight="false" hidden="false" ht="12.75" outlineLevel="0" r="31">
      <c r="B31" s="160"/>
      <c r="D31" s="262" t="n">
        <v>0.5</v>
      </c>
      <c r="E31" s="262" t="n">
        <v>20</v>
      </c>
    </row>
    <row collapsed="false" customFormat="false" customHeight="false" hidden="false" ht="12.75" outlineLevel="0" r="32">
      <c r="B32" s="158" t="s">
        <v>25</v>
      </c>
      <c r="D32" s="262" t="n">
        <v>1</v>
      </c>
      <c r="E32" s="262" t="n">
        <v>10</v>
      </c>
    </row>
    <row collapsed="false" customFormat="false" customHeight="false" hidden="false" ht="12.75" outlineLevel="0" r="33">
      <c r="B33" s="158" t="s">
        <v>382</v>
      </c>
      <c r="D33" s="262" t="n">
        <v>2</v>
      </c>
      <c r="E33" s="262" t="n">
        <v>5</v>
      </c>
    </row>
    <row collapsed="false" customFormat="false" customHeight="false" hidden="false" ht="12.75" outlineLevel="0" r="34">
      <c r="B34" s="158" t="s">
        <v>383</v>
      </c>
      <c r="D34" s="262" t="n">
        <v>5</v>
      </c>
      <c r="E34" s="262" t="n">
        <v>2</v>
      </c>
    </row>
    <row collapsed="false" customFormat="false" customHeight="false" hidden="false" ht="12.75" outlineLevel="0" r="35">
      <c r="B35" s="158" t="s">
        <v>384</v>
      </c>
      <c r="D35" s="262" t="n">
        <v>10</v>
      </c>
      <c r="E35" s="262" t="n">
        <v>1</v>
      </c>
    </row>
    <row collapsed="false" customFormat="false" customHeight="false" hidden="false" ht="12.75" outlineLevel="0" r="36">
      <c r="B36" s="160"/>
      <c r="D36" s="262" t="n">
        <v>20</v>
      </c>
      <c r="E36" s="262" t="n">
        <v>-1</v>
      </c>
    </row>
    <row collapsed="false" customFormat="false" customHeight="false" hidden="false" ht="12.75" outlineLevel="0" r="37">
      <c r="B37" s="158" t="s">
        <v>385</v>
      </c>
      <c r="D37" s="262" t="n">
        <v>40</v>
      </c>
      <c r="E37" s="262" t="n">
        <v>-2</v>
      </c>
    </row>
    <row collapsed="false" customFormat="false" customHeight="false" hidden="false" ht="12.75" outlineLevel="0" r="38">
      <c r="B38" s="158" t="s">
        <v>24</v>
      </c>
    </row>
    <row collapsed="false" customFormat="false" customHeight="false" hidden="false" ht="12.75" outlineLevel="0" r="40">
      <c r="B40" s="261" t="s">
        <v>245</v>
      </c>
    </row>
    <row collapsed="false" customFormat="false" customHeight="false" hidden="false" ht="12.75" outlineLevel="0" r="41">
      <c r="B41" s="261" t="s">
        <v>386</v>
      </c>
    </row>
    <row collapsed="false" customFormat="false" customHeight="false" hidden="false" ht="12.75" outlineLevel="0" r="43">
      <c r="B43" s="261" t="s">
        <v>387</v>
      </c>
    </row>
    <row collapsed="false" customFormat="false" customHeight="false" hidden="false" ht="12.75" outlineLevel="0" r="44">
      <c r="B44" s="261" t="s">
        <v>388</v>
      </c>
    </row>
    <row collapsed="false" customFormat="false" customHeight="false" hidden="false" ht="12.75" outlineLevel="0" r="46">
      <c r="B46" s="261" t="s">
        <v>389</v>
      </c>
    </row>
    <row collapsed="false" customFormat="false" customHeight="false" hidden="false" ht="12.75" outlineLevel="0" r="47">
      <c r="B47" s="261" t="s">
        <v>247</v>
      </c>
    </row>
  </sheetData>
  <dataValidations count="1">
    <dataValidation allowBlank="true" operator="between" showDropDown="false" showErrorMessage="true" showInputMessage="true" sqref="C3:C5" type="list">
      <formula1>$D$30:$D$37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G127"/>
  <sheetViews>
    <sheetView colorId="64" defaultGridColor="true" rightToLeft="false" showFormulas="false" showGridLines="true" showOutlineSymbols="true" showRowColHeaders="true" showZeros="true" tabSelected="true" topLeftCell="A139" view="normal" windowProtection="false" workbookViewId="0" zoomScale="100" zoomScaleNormal="100" zoomScalePageLayoutView="100">
      <selection activeCell="F140" activeCellId="0" pane="topLeft" sqref="F140"/>
    </sheetView>
  </sheetViews>
  <sheetFormatPr defaultRowHeight="12.75"/>
  <cols>
    <col collapsed="false" hidden="false" max="1025" min="1" style="220" width="9.14285714285714"/>
  </cols>
  <sheetData>
    <row collapsed="false" customFormat="false" customHeight="false" hidden="false" ht="12.75" outlineLevel="0" r="1">
      <c r="B1" s="44" t="n">
        <v>190</v>
      </c>
      <c r="C1" s="263"/>
      <c r="D1" s="44" t="n">
        <v>180</v>
      </c>
      <c r="E1" s="264"/>
      <c r="F1" s="44" t="n">
        <v>170</v>
      </c>
      <c r="G1" s="265"/>
      <c r="H1" s="44" t="n">
        <v>160</v>
      </c>
      <c r="I1" s="266"/>
      <c r="J1" s="44" t="n">
        <v>145</v>
      </c>
      <c r="K1" s="267"/>
      <c r="L1" s="44" t="n">
        <v>135</v>
      </c>
      <c r="M1" s="268"/>
      <c r="N1" s="44" t="n">
        <v>125</v>
      </c>
      <c r="O1" s="269"/>
      <c r="P1" s="44" t="n">
        <v>115</v>
      </c>
      <c r="Q1" s="270"/>
      <c r="R1" s="44" t="n">
        <v>105</v>
      </c>
      <c r="S1" s="271"/>
      <c r="T1" s="44" t="n">
        <v>95</v>
      </c>
      <c r="U1" s="272"/>
      <c r="V1" s="44" t="n">
        <v>80</v>
      </c>
      <c r="W1" s="273"/>
      <c r="X1" s="44" t="n">
        <v>70</v>
      </c>
      <c r="Y1" s="274"/>
      <c r="Z1" s="44" t="n">
        <v>60</v>
      </c>
      <c r="AA1" s="275"/>
      <c r="AB1" s="44" t="n">
        <v>50</v>
      </c>
      <c r="AC1" s="276"/>
      <c r="AD1" s="44" t="n">
        <v>36</v>
      </c>
      <c r="AE1" s="277"/>
      <c r="AG1" s="278"/>
    </row>
    <row collapsed="false" customFormat="false" customHeight="false" hidden="false" ht="12.75" outlineLevel="0" r="2">
      <c r="B2" s="44" t="s">
        <v>101</v>
      </c>
      <c r="C2" s="44" t="s">
        <v>102</v>
      </c>
      <c r="D2" s="44" t="s">
        <v>101</v>
      </c>
      <c r="E2" s="44" t="s">
        <v>102</v>
      </c>
      <c r="F2" s="44" t="s">
        <v>101</v>
      </c>
      <c r="G2" s="44" t="s">
        <v>102</v>
      </c>
      <c r="H2" s="44" t="s">
        <v>101</v>
      </c>
      <c r="I2" s="44" t="s">
        <v>102</v>
      </c>
      <c r="J2" s="44" t="s">
        <v>101</v>
      </c>
      <c r="K2" s="44" t="s">
        <v>102</v>
      </c>
      <c r="L2" s="44" t="s">
        <v>101</v>
      </c>
      <c r="M2" s="44" t="s">
        <v>102</v>
      </c>
      <c r="N2" s="44" t="s">
        <v>101</v>
      </c>
      <c r="O2" s="44" t="s">
        <v>102</v>
      </c>
      <c r="P2" s="44" t="s">
        <v>101</v>
      </c>
      <c r="Q2" s="44" t="s">
        <v>102</v>
      </c>
      <c r="R2" s="44" t="s">
        <v>101</v>
      </c>
      <c r="S2" s="44" t="s">
        <v>102</v>
      </c>
      <c r="T2" s="44" t="s">
        <v>101</v>
      </c>
      <c r="U2" s="44" t="s">
        <v>102</v>
      </c>
      <c r="V2" s="44" t="s">
        <v>101</v>
      </c>
      <c r="W2" s="44" t="s">
        <v>102</v>
      </c>
      <c r="X2" s="44" t="s">
        <v>101</v>
      </c>
      <c r="Y2" s="44" t="s">
        <v>102</v>
      </c>
      <c r="Z2" s="44" t="s">
        <v>101</v>
      </c>
      <c r="AA2" s="44" t="s">
        <v>102</v>
      </c>
      <c r="AB2" s="44" t="s">
        <v>101</v>
      </c>
      <c r="AC2" s="44" t="s">
        <v>102</v>
      </c>
      <c r="AD2" s="44" t="s">
        <v>101</v>
      </c>
      <c r="AE2" s="44" t="s">
        <v>102</v>
      </c>
    </row>
    <row collapsed="false" customFormat="false" customHeight="false" hidden="false" ht="12.75" outlineLevel="0" r="3">
      <c r="B3" s="44" t="n">
        <v>9521685338752010</v>
      </c>
      <c r="C3" s="44" t="n">
        <v>0</v>
      </c>
      <c r="D3" s="44" t="n">
        <v>9632274585915770</v>
      </c>
      <c r="E3" s="44" t="n">
        <v>0</v>
      </c>
      <c r="F3" s="44" t="n">
        <v>2083245056901970</v>
      </c>
      <c r="G3" s="44" t="n">
        <v>0</v>
      </c>
      <c r="H3" s="44" t="n">
        <v>2295468155143520</v>
      </c>
      <c r="I3" s="44" t="n">
        <v>0</v>
      </c>
      <c r="J3" s="44" t="n">
        <v>8817125582214000</v>
      </c>
      <c r="K3" s="44" t="n">
        <v>0</v>
      </c>
      <c r="L3" s="44" t="n">
        <v>2177068050223640</v>
      </c>
      <c r="M3" s="44" t="n">
        <v>0</v>
      </c>
      <c r="N3" s="44" t="n">
        <v>8241621971857980</v>
      </c>
      <c r="O3" s="44" t="n">
        <v>0</v>
      </c>
      <c r="P3" s="44" t="n">
        <v>2004676035789760</v>
      </c>
      <c r="Q3" s="44" t="n">
        <v>0</v>
      </c>
      <c r="R3" s="44" t="n">
        <v>8182873324811950</v>
      </c>
      <c r="S3" s="44" t="n">
        <v>0</v>
      </c>
      <c r="T3" s="44" t="n">
        <v>2156104833874550</v>
      </c>
      <c r="U3" s="44" t="n">
        <v>0</v>
      </c>
      <c r="V3" s="44" t="n">
        <v>2084456420118040</v>
      </c>
      <c r="W3" s="44" t="n">
        <v>0</v>
      </c>
      <c r="X3" s="44" t="n">
        <v>7642329850515710</v>
      </c>
      <c r="Y3" s="44" t="n">
        <v>0</v>
      </c>
      <c r="Z3" s="44" t="n">
        <v>7783256336065210</v>
      </c>
      <c r="AA3" s="44" t="n">
        <v>0</v>
      </c>
      <c r="AB3" s="44" t="n">
        <v>1848004577806580</v>
      </c>
      <c r="AC3" s="44" t="n">
        <v>0</v>
      </c>
      <c r="AD3" s="44" t="n">
        <v>7132943842282830</v>
      </c>
      <c r="AE3" s="44" t="n">
        <v>0</v>
      </c>
    </row>
    <row collapsed="false" customFormat="false" customHeight="false" hidden="false" ht="12.75" outlineLevel="0" r="4">
      <c r="B4" s="44" t="n">
        <v>33420638998458500</v>
      </c>
      <c r="C4" s="44" t="n">
        <v>0</v>
      </c>
      <c r="D4" s="44" t="n">
        <v>33356220593712700</v>
      </c>
      <c r="E4" s="44" t="n">
        <v>0</v>
      </c>
      <c r="F4" s="44" t="n">
        <v>22520385236250100</v>
      </c>
      <c r="G4" s="44" t="n">
        <v>0</v>
      </c>
      <c r="H4" s="44" t="n">
        <v>22956688616278600</v>
      </c>
      <c r="I4" s="44" t="n">
        <v>0</v>
      </c>
      <c r="J4" s="44" t="n">
        <v>30528706741350800</v>
      </c>
      <c r="K4" s="44" t="n">
        <v>0</v>
      </c>
      <c r="L4" s="44" t="n">
        <v>22269461553246200</v>
      </c>
      <c r="M4" s="44" t="n">
        <v>0</v>
      </c>
      <c r="N4" s="44" t="n">
        <v>28312831967071900</v>
      </c>
      <c r="O4" s="44" t="n">
        <v>0</v>
      </c>
      <c r="P4" s="44" t="n">
        <v>20960298182072300</v>
      </c>
      <c r="Q4" s="44" t="n">
        <v>0</v>
      </c>
      <c r="R4" s="44" t="n">
        <v>28136571936278500</v>
      </c>
      <c r="S4" s="44" t="n">
        <v>0</v>
      </c>
      <c r="T4" s="44" t="n">
        <v>20758459686787400</v>
      </c>
      <c r="U4" s="44" t="n">
        <v>0</v>
      </c>
      <c r="V4" s="44" t="n">
        <v>20809424491698300</v>
      </c>
      <c r="W4" s="44" t="n">
        <v>0</v>
      </c>
      <c r="X4" s="44" t="n">
        <v>25957260334048400</v>
      </c>
      <c r="Y4" s="44" t="n">
        <v>0</v>
      </c>
      <c r="Z4" s="44" t="n">
        <v>26845035783280000</v>
      </c>
      <c r="AA4" s="44" t="n">
        <v>0</v>
      </c>
      <c r="AB4" s="44" t="n">
        <v>18518142398048500</v>
      </c>
      <c r="AC4" s="44" t="n">
        <v>0</v>
      </c>
      <c r="AD4" s="44" t="n">
        <v>24227357978840700</v>
      </c>
      <c r="AE4" s="44" t="n">
        <v>0</v>
      </c>
    </row>
    <row collapsed="false" customFormat="false" customHeight="false" hidden="false" ht="12.75" outlineLevel="0" r="5">
      <c r="B5" s="44" t="n">
        <v>45577226866408800</v>
      </c>
      <c r="C5" s="44" t="n">
        <v>0.000115351097287753</v>
      </c>
      <c r="D5" s="44" t="n">
        <v>45467210175672300</v>
      </c>
      <c r="E5" s="44" t="n">
        <v>0.00011491261860492</v>
      </c>
      <c r="F5" s="44" t="n">
        <v>39983333522947400</v>
      </c>
      <c r="G5" s="44" t="n">
        <v>0.000116622623761488</v>
      </c>
      <c r="H5" s="44" t="n">
        <v>39429211934474100</v>
      </c>
      <c r="I5" s="44" t="n">
        <v>0.000113468366034446</v>
      </c>
      <c r="J5" s="44" t="n">
        <v>41582408933647600</v>
      </c>
      <c r="K5" s="44" t="n">
        <v>0.000106861232742633</v>
      </c>
      <c r="L5" s="44" t="n">
        <v>38296148062976500</v>
      </c>
      <c r="M5" s="44" t="n">
        <v>0.000105733107553877</v>
      </c>
      <c r="N5" s="44" t="n">
        <v>39003181065489500</v>
      </c>
      <c r="O5" s="44" t="n">
        <v>0.000100594721248913</v>
      </c>
      <c r="P5" s="44" t="n">
        <v>36045687412734500</v>
      </c>
      <c r="Q5" s="44" t="n">
        <v>9.95298323406143E-005</v>
      </c>
      <c r="R5" s="44" t="n">
        <v>38543132062459800</v>
      </c>
      <c r="S5" s="44" t="n">
        <v>9.58129333820358E-005</v>
      </c>
      <c r="T5" s="44" t="n">
        <v>34930070688403300</v>
      </c>
      <c r="U5" s="44" t="n">
        <v>9.41922271209442E-005</v>
      </c>
      <c r="V5" s="44" t="n">
        <v>34624316065849300</v>
      </c>
      <c r="W5" s="44" t="n">
        <v>9.12839909645832E-005</v>
      </c>
      <c r="X5" s="44" t="n">
        <v>35382487260675400</v>
      </c>
      <c r="Y5" s="44" t="n">
        <v>8.73495049568013E-005</v>
      </c>
      <c r="Z5" s="44" t="n">
        <v>36126305491217400</v>
      </c>
      <c r="AA5" s="44" t="n">
        <v>8.6454549294838E-005</v>
      </c>
      <c r="AB5" s="44" t="n">
        <v>31256443189243800</v>
      </c>
      <c r="AC5" s="44" t="n">
        <v>8.26652848261426E-005</v>
      </c>
      <c r="AD5" s="44" t="n">
        <v>33156920272910100</v>
      </c>
      <c r="AE5" s="44" t="n">
        <v>7.88003505249978E-005</v>
      </c>
    </row>
    <row collapsed="false" customFormat="false" customHeight="false" hidden="false" ht="12.75" outlineLevel="0" r="6">
      <c r="B6" s="44" t="n">
        <v>49953274665437500</v>
      </c>
      <c r="C6" s="44" t="n">
        <v>0.000105305908445984</v>
      </c>
      <c r="D6" s="44" t="n">
        <v>49561136238226900</v>
      </c>
      <c r="E6" s="44" t="n">
        <v>0.000104943132567101</v>
      </c>
      <c r="F6" s="44" t="n">
        <v>48303790768154300</v>
      </c>
      <c r="G6" s="44" t="n">
        <v>0.000110011776315095</v>
      </c>
      <c r="H6" s="44" t="n">
        <v>46931154857537400</v>
      </c>
      <c r="I6" s="44" t="n">
        <v>0.00010673119608438</v>
      </c>
      <c r="J6" s="44" t="n">
        <v>46134723534879700</v>
      </c>
      <c r="K6" s="44" t="n">
        <v>9.9414669525385E-005</v>
      </c>
      <c r="L6" s="44" t="n">
        <v>45412578357476300</v>
      </c>
      <c r="M6" s="44" t="n">
        <v>0.000100903205332734</v>
      </c>
      <c r="N6" s="44" t="n">
        <v>43721327595736000</v>
      </c>
      <c r="O6" s="44" t="n">
        <v>9.47560372443697E-005</v>
      </c>
      <c r="P6" s="44" t="n">
        <v>43264879117805700</v>
      </c>
      <c r="Q6" s="44" t="n">
        <v>9.59647816848775E-005</v>
      </c>
      <c r="R6" s="44" t="n">
        <v>42478863067702500</v>
      </c>
      <c r="S6" s="44" t="n">
        <v>9.04470362637936E-005</v>
      </c>
      <c r="T6" s="44" t="n">
        <v>41477166443989300</v>
      </c>
      <c r="U6" s="44" t="n">
        <v>9.11183152679768E-005</v>
      </c>
      <c r="V6" s="44" t="n">
        <v>40733454949186800</v>
      </c>
      <c r="W6" s="44" t="n">
        <v>8.83388046593881E-005</v>
      </c>
      <c r="X6" s="44" t="n">
        <v>39392054932886300</v>
      </c>
      <c r="Y6" s="44" t="n">
        <v>8.34668495461059E-005</v>
      </c>
      <c r="Z6" s="44" t="n">
        <v>39630879794741000</v>
      </c>
      <c r="AA6" s="44" t="n">
        <v>8.21024793769899E-005</v>
      </c>
      <c r="AB6" s="44" t="n">
        <v>37399982467007200</v>
      </c>
      <c r="AC6" s="44" t="n">
        <v>8.15617270295257E-005</v>
      </c>
      <c r="AD6" s="44" t="n">
        <v>36427160437229200</v>
      </c>
      <c r="AE6" s="44" t="n">
        <v>7.59856198820142E-005</v>
      </c>
    </row>
    <row collapsed="false" customFormat="false" customHeight="false" hidden="false" ht="12.75" outlineLevel="0" r="7">
      <c r="B7" s="44" t="n">
        <v>49816861305779500</v>
      </c>
      <c r="C7" s="44" t="n">
        <v>9.96691751396779E-005</v>
      </c>
      <c r="D7" s="44" t="n">
        <v>49331173599870200</v>
      </c>
      <c r="E7" s="44" t="n">
        <v>9.94859612222234E-005</v>
      </c>
      <c r="F7" s="44" t="n">
        <v>49784289998804500</v>
      </c>
      <c r="G7" s="44" t="n">
        <v>0.000102467113491918</v>
      </c>
      <c r="H7" s="44" t="n">
        <v>48369762143978200</v>
      </c>
      <c r="I7" s="44" t="n">
        <v>9.99835114240106E-005</v>
      </c>
      <c r="J7" s="44" t="n">
        <v>46173316152389300</v>
      </c>
      <c r="K7" s="44" t="n">
        <v>9.49956110024021E-005</v>
      </c>
      <c r="L7" s="44" t="n">
        <v>46541758316970200</v>
      </c>
      <c r="M7" s="44" t="n">
        <v>9.44766645064173E-005</v>
      </c>
      <c r="N7" s="44" t="n">
        <v>43829594624184500</v>
      </c>
      <c r="O7" s="44" t="n">
        <v>9.0870307197202E-005</v>
      </c>
      <c r="P7" s="44" t="n">
        <v>44320836625102400</v>
      </c>
      <c r="Q7" s="44" t="n">
        <v>9.03521696910496E-005</v>
      </c>
      <c r="R7" s="44" t="n">
        <v>42270689952140400</v>
      </c>
      <c r="S7" s="44" t="n">
        <v>8.65043722170004E-005</v>
      </c>
      <c r="T7" s="44" t="n">
        <v>42381342864076500</v>
      </c>
      <c r="U7" s="44" t="n">
        <v>8.6102388893739E-005</v>
      </c>
      <c r="V7" s="44" t="n">
        <v>41474616231598300</v>
      </c>
      <c r="W7" s="44" t="n">
        <v>8.34716788999175E-005</v>
      </c>
      <c r="X7" s="44" t="n">
        <v>39247807699374300</v>
      </c>
      <c r="Y7" s="44" t="n">
        <v>8.01374221400109E-005</v>
      </c>
      <c r="Z7" s="44" t="n">
        <v>39211290162413600</v>
      </c>
      <c r="AA7" s="44" t="n">
        <v>7.84897867186617E-005</v>
      </c>
      <c r="AB7" s="44" t="n">
        <v>38079828191806400</v>
      </c>
      <c r="AC7" s="44" t="n">
        <v>7.76226050389419E-005</v>
      </c>
      <c r="AD7" s="44" t="n">
        <v>35960639175556000</v>
      </c>
      <c r="AE7" s="44" t="n">
        <v>7.29521529266433E-005</v>
      </c>
    </row>
    <row collapsed="false" customFormat="false" customHeight="false" hidden="false" ht="12.75" outlineLevel="0" r="8">
      <c r="B8" s="44" t="n">
        <v>48492711618544400</v>
      </c>
      <c r="C8" s="44" t="n">
        <v>9.81315591564504E-005</v>
      </c>
      <c r="D8" s="44" t="n">
        <v>48006709497859400</v>
      </c>
      <c r="E8" s="44" t="n">
        <v>9.82486888494481E-005</v>
      </c>
      <c r="F8" s="44" t="n">
        <v>48848452901848800</v>
      </c>
      <c r="G8" s="44" t="n">
        <v>9.89690218262415E-005</v>
      </c>
      <c r="H8" s="44" t="n">
        <v>47444486584262500</v>
      </c>
      <c r="I8" s="44" t="n">
        <v>9.70138098927052E-005</v>
      </c>
      <c r="J8" s="44" t="n">
        <v>44975285204289000</v>
      </c>
      <c r="K8" s="44" t="n">
        <v>9.38168395724515E-005</v>
      </c>
      <c r="L8" s="44" t="n">
        <v>45536997355107600</v>
      </c>
      <c r="M8" s="44" t="n">
        <v>9.14451590881173E-005</v>
      </c>
      <c r="N8" s="44" t="n">
        <v>42631253119512800</v>
      </c>
      <c r="O8" s="44" t="n">
        <v>8.96917803471081E-005</v>
      </c>
      <c r="P8" s="44" t="n">
        <v>43306468278191900</v>
      </c>
      <c r="Q8" s="44" t="n">
        <v>8.7470000732657E-005</v>
      </c>
      <c r="R8" s="44" t="n">
        <v>40997726910531700</v>
      </c>
      <c r="S8" s="44" t="n">
        <v>8.5459503989937E-005</v>
      </c>
      <c r="T8" s="44" t="n">
        <v>41376826445736900</v>
      </c>
      <c r="U8" s="44" t="n">
        <v>8.34916528615357E-005</v>
      </c>
      <c r="V8" s="44" t="n">
        <v>40438706800065400</v>
      </c>
      <c r="W8" s="44" t="n">
        <v>8.09451265124819E-005</v>
      </c>
      <c r="X8" s="44" t="n">
        <v>37930589076913700</v>
      </c>
      <c r="Y8" s="44" t="n">
        <v>7.89151457441459E-005</v>
      </c>
      <c r="Z8" s="44" t="n">
        <v>37843901497485900</v>
      </c>
      <c r="AA8" s="44" t="n">
        <v>7.71370916027215E-005</v>
      </c>
      <c r="AB8" s="44" t="n">
        <v>36988080229799200</v>
      </c>
      <c r="AC8" s="44" t="n">
        <v>7.5424240507401E-005</v>
      </c>
      <c r="AD8" s="44" t="n">
        <v>34640506713742100</v>
      </c>
      <c r="AE8" s="44" t="n">
        <v>7.19542967670074E-005</v>
      </c>
    </row>
    <row collapsed="false" customFormat="false" customHeight="false" hidden="false" ht="12.75" outlineLevel="0" r="9">
      <c r="B9" s="44" t="n">
        <v>46869540605476300</v>
      </c>
      <c r="C9" s="44" t="n">
        <v>9.95582952006627E-005</v>
      </c>
      <c r="D9" s="44" t="n">
        <v>46412927577140100</v>
      </c>
      <c r="E9" s="44" t="n">
        <v>9.98240939168792E-005</v>
      </c>
      <c r="F9" s="44" t="n">
        <v>47265631728713300</v>
      </c>
      <c r="G9" s="44" t="n">
        <v>9.94334116235404E-005</v>
      </c>
      <c r="H9" s="44" t="n">
        <v>45922820282246600</v>
      </c>
      <c r="I9" s="44" t="n">
        <v>9.75454408375638E-005</v>
      </c>
      <c r="J9" s="44" t="n">
        <v>43440839918597900</v>
      </c>
      <c r="K9" s="44" t="n">
        <v>9.50780596528925E-005</v>
      </c>
      <c r="L9" s="44" t="n">
        <v>44013546146029400</v>
      </c>
      <c r="M9" s="44" t="n">
        <v>9.16587711490363E-005</v>
      </c>
      <c r="N9" s="44" t="n">
        <v>41093687377334800</v>
      </c>
      <c r="O9" s="44" t="n">
        <v>9.08371392662617E-005</v>
      </c>
      <c r="P9" s="44" t="n">
        <v>41801184363540300</v>
      </c>
      <c r="Q9" s="44" t="n">
        <v>8.76773819368835E-005</v>
      </c>
      <c r="R9" s="44" t="n">
        <v>39410700377268800</v>
      </c>
      <c r="S9" s="44" t="n">
        <v>8.64730630782215E-005</v>
      </c>
      <c r="T9" s="44" t="n">
        <v>39838664919933700</v>
      </c>
      <c r="U9" s="44" t="n">
        <v>8.36177081164407E-005</v>
      </c>
      <c r="V9" s="44" t="n">
        <v>38914550650805300</v>
      </c>
      <c r="W9" s="44" t="n">
        <v>8.09115088899222E-005</v>
      </c>
      <c r="X9" s="44" t="n">
        <v>36331337698649800</v>
      </c>
      <c r="Y9" s="44" t="n">
        <v>7.95981378155111E-005</v>
      </c>
      <c r="Z9" s="44" t="n">
        <v>36244723427761900</v>
      </c>
      <c r="AA9" s="44" t="n">
        <v>7.76855325644301E-005</v>
      </c>
      <c r="AB9" s="44" t="n">
        <v>35389461286562400</v>
      </c>
      <c r="AC9" s="44" t="n">
        <v>7.55133670396709E-005</v>
      </c>
      <c r="AD9" s="44" t="n">
        <v>33094189745940200</v>
      </c>
      <c r="AE9" s="44" t="n">
        <v>7.23239269490315E-005</v>
      </c>
    </row>
    <row collapsed="false" customFormat="false" customHeight="false" hidden="false" ht="12.75" outlineLevel="0" r="10">
      <c r="B10" s="44" t="n">
        <v>45235894013626000</v>
      </c>
      <c r="C10" s="44" t="n">
        <v>0.00010192889887775</v>
      </c>
      <c r="D10" s="44" t="n">
        <v>44779288943168700</v>
      </c>
      <c r="E10" s="44" t="n">
        <v>0.000102079360888386</v>
      </c>
      <c r="F10" s="44" t="n">
        <v>45595129708619700</v>
      </c>
      <c r="G10" s="44" t="n">
        <v>0.000101465827196899</v>
      </c>
      <c r="H10" s="44" t="n">
        <v>44282226773476400</v>
      </c>
      <c r="I10" s="44" t="n">
        <v>9.9468362593821E-005</v>
      </c>
      <c r="J10" s="44" t="n">
        <v>41831517265267900</v>
      </c>
      <c r="K10" s="44" t="n">
        <v>9.69148593494916E-005</v>
      </c>
      <c r="L10" s="44" t="n">
        <v>42384782096571900</v>
      </c>
      <c r="M10" s="44" t="n">
        <v>9.33268117113665E-005</v>
      </c>
      <c r="N10" s="44" t="n">
        <v>39510481312208500</v>
      </c>
      <c r="O10" s="44" t="n">
        <v>9.23978914968011E-005</v>
      </c>
      <c r="P10" s="44" t="n">
        <v>40211074994375900</v>
      </c>
      <c r="Q10" s="44" t="n">
        <v>8.91420340913477E-005</v>
      </c>
      <c r="R10" s="44" t="n">
        <v>37799434634481600</v>
      </c>
      <c r="S10" s="44" t="n">
        <v>8.78809058459284E-005</v>
      </c>
      <c r="T10" s="44" t="n">
        <v>38191862281188200</v>
      </c>
      <c r="U10" s="44" t="n">
        <v>8.48382591123522E-005</v>
      </c>
      <c r="V10" s="44" t="n">
        <v>37313657177330100</v>
      </c>
      <c r="W10" s="44" t="n">
        <v>8.1927537655193E-005</v>
      </c>
      <c r="X10" s="44" t="n">
        <v>34719616037102300</v>
      </c>
      <c r="Y10" s="44" t="n">
        <v>8.05629800395017E-005</v>
      </c>
      <c r="Z10" s="44" t="n">
        <v>34628337339729900</v>
      </c>
      <c r="AA10" s="44" t="n">
        <v>7.85822767958837E-005</v>
      </c>
      <c r="AB10" s="44" t="n">
        <v>33745354956649300</v>
      </c>
      <c r="AC10" s="44" t="n">
        <v>7.62624626313551E-005</v>
      </c>
      <c r="AD10" s="44" t="n">
        <v>31509624705700300</v>
      </c>
      <c r="AE10" s="44" t="n">
        <v>7.28735090753209E-005</v>
      </c>
    </row>
    <row collapsed="false" customFormat="false" customHeight="false" hidden="false" ht="12.75" outlineLevel="0" r="11">
      <c r="B11" s="44" t="n">
        <v>43575456171339000</v>
      </c>
      <c r="C11" s="44" t="n">
        <v>0.000104218741647131</v>
      </c>
      <c r="D11" s="44" t="n">
        <v>43134875114242800</v>
      </c>
      <c r="E11" s="44" t="n">
        <v>0.000104297167216622</v>
      </c>
      <c r="F11" s="44" t="n">
        <v>43904547715014600</v>
      </c>
      <c r="G11" s="44" t="n">
        <v>0.00010372406121951</v>
      </c>
      <c r="H11" s="44" t="n">
        <v>42605834644268600</v>
      </c>
      <c r="I11" s="44" t="n">
        <v>0.000101556513262327</v>
      </c>
      <c r="J11" s="44" t="n">
        <v>40211300709259800</v>
      </c>
      <c r="K11" s="44" t="n">
        <v>9.86992408670333E-005</v>
      </c>
      <c r="L11" s="44" t="n">
        <v>40742659251762900</v>
      </c>
      <c r="M11" s="44" t="n">
        <v>9.51145922571575E-005</v>
      </c>
      <c r="N11" s="44" t="n">
        <v>37908453712487400</v>
      </c>
      <c r="O11" s="44" t="n">
        <v>9.3928314385137E-005</v>
      </c>
      <c r="P11" s="44" t="n">
        <v>38590037841840600</v>
      </c>
      <c r="Q11" s="44" t="n">
        <v>9.06884934954431E-005</v>
      </c>
      <c r="R11" s="44" t="n">
        <v>36189315953190400</v>
      </c>
      <c r="S11" s="44" t="n">
        <v>8.91246287053863E-005</v>
      </c>
      <c r="T11" s="44" t="n">
        <v>36555056054240000</v>
      </c>
      <c r="U11" s="44" t="n">
        <v>8.61321213896814E-005</v>
      </c>
      <c r="V11" s="44" t="n">
        <v>35660057122936300</v>
      </c>
      <c r="W11" s="44" t="n">
        <v>8.30450205908299E-005</v>
      </c>
      <c r="X11" s="44" t="n">
        <v>33114529171801700</v>
      </c>
      <c r="Y11" s="44" t="n">
        <v>8.14702677890624E-005</v>
      </c>
      <c r="Z11" s="44" t="n">
        <v>33003513642253500</v>
      </c>
      <c r="AA11" s="44" t="n">
        <v>7.9364632042181E-005</v>
      </c>
      <c r="AB11" s="44" t="n">
        <v>32104516843175500</v>
      </c>
      <c r="AC11" s="44" t="n">
        <v>7.69514122410432E-005</v>
      </c>
      <c r="AD11" s="44" t="n">
        <v>29891736272606900</v>
      </c>
      <c r="AE11" s="44" t="n">
        <v>7.3301428388468E-005</v>
      </c>
    </row>
    <row collapsed="false" customFormat="false" customHeight="false" hidden="false" ht="12.75" outlineLevel="0" r="12">
      <c r="B12" s="44" t="n">
        <v>41924590431014200</v>
      </c>
      <c r="C12" s="44" t="n">
        <v>0.000106390508417669</v>
      </c>
      <c r="D12" s="44" t="n">
        <v>41510814504890100</v>
      </c>
      <c r="E12" s="44" t="n">
        <v>0.000106329948060734</v>
      </c>
      <c r="F12" s="44" t="n">
        <v>42241247600908400</v>
      </c>
      <c r="G12" s="44" t="n">
        <v>0.000105798461248403</v>
      </c>
      <c r="H12" s="44" t="n">
        <v>40941976762104600</v>
      </c>
      <c r="I12" s="44" t="n">
        <v>0.000103489011287167</v>
      </c>
      <c r="J12" s="44" t="n">
        <v>38596909030547900</v>
      </c>
      <c r="K12" s="44" t="n">
        <v>0.000100449271392719</v>
      </c>
      <c r="L12" s="44" t="n">
        <v>39115118899841200</v>
      </c>
      <c r="M12" s="44" t="n">
        <v>9.68053819219974E-005</v>
      </c>
      <c r="N12" s="44" t="n">
        <v>36329736505483800</v>
      </c>
      <c r="O12" s="44" t="n">
        <v>9.53935428716201E-005</v>
      </c>
      <c r="P12" s="44" t="n">
        <v>36969385467211100</v>
      </c>
      <c r="Q12" s="44" t="n">
        <v>9.20835368172027E-005</v>
      </c>
      <c r="R12" s="44" t="n">
        <v>34619472681072700</v>
      </c>
      <c r="S12" s="44" t="n">
        <v>9.03377939285396E-005</v>
      </c>
      <c r="T12" s="44" t="n">
        <v>34919628885756600</v>
      </c>
      <c r="U12" s="44" t="n">
        <v>8.72848606388354E-005</v>
      </c>
      <c r="V12" s="44" t="n">
        <v>34013118093623700</v>
      </c>
      <c r="W12" s="44" t="n">
        <v>8.39996521918293E-005</v>
      </c>
      <c r="X12" s="44" t="n">
        <v>31520625817221900</v>
      </c>
      <c r="Y12" s="44" t="n">
        <v>8.22562174707806E-005</v>
      </c>
      <c r="Z12" s="44" t="n">
        <v>31400519642118300</v>
      </c>
      <c r="AA12" s="44" t="n">
        <v>8.00349577347451E-005</v>
      </c>
      <c r="AB12" s="44" t="n">
        <v>30509528649830500</v>
      </c>
      <c r="AC12" s="44" t="n">
        <v>7.75311393460932E-005</v>
      </c>
      <c r="AD12" s="44" t="n">
        <v>28297879556163500</v>
      </c>
      <c r="AE12" s="44" t="n">
        <v>7.36122391207309E-005</v>
      </c>
    </row>
    <row collapsed="false" customFormat="false" customHeight="false" hidden="false" ht="12.75" outlineLevel="0" r="13">
      <c r="B13" s="44" t="n">
        <v>40292117904733500</v>
      </c>
      <c r="C13" s="44" t="n">
        <v>0.000108487038920318</v>
      </c>
      <c r="D13" s="44" t="n">
        <v>39893898149722600</v>
      </c>
      <c r="E13" s="44" t="n">
        <v>0.000108325354740565</v>
      </c>
      <c r="F13" s="44" t="n">
        <v>40578038034824100</v>
      </c>
      <c r="G13" s="44" t="n">
        <v>0.000107800747400443</v>
      </c>
      <c r="H13" s="44" t="n">
        <v>39304205269420400</v>
      </c>
      <c r="I13" s="44" t="n">
        <v>0.00010538794213601</v>
      </c>
      <c r="J13" s="44" t="n">
        <v>37008972824052800</v>
      </c>
      <c r="K13" s="44" t="n">
        <v>0.0001020588561858</v>
      </c>
      <c r="L13" s="44" t="n">
        <v>37489984423762800</v>
      </c>
      <c r="M13" s="44" t="n">
        <v>9.83875998880091E-005</v>
      </c>
      <c r="N13" s="44" t="n">
        <v>34763092821658300</v>
      </c>
      <c r="O13" s="44" t="n">
        <v>9.6747709983489E-005</v>
      </c>
      <c r="P13" s="44" t="n">
        <v>35368347213979000</v>
      </c>
      <c r="Q13" s="44" t="n">
        <v>9.3399789894543E-005</v>
      </c>
      <c r="R13" s="44" t="n">
        <v>33062564306871400</v>
      </c>
      <c r="S13" s="44" t="n">
        <v>9.14393871420738E-005</v>
      </c>
      <c r="T13" s="44" t="n">
        <v>33295775591479500</v>
      </c>
      <c r="U13" s="44" t="n">
        <v>8.83437173601465E-005</v>
      </c>
      <c r="V13" s="44" t="n">
        <v>32391527892385100</v>
      </c>
      <c r="W13" s="44" t="n">
        <v>8.48869242112951E-005</v>
      </c>
      <c r="X13" s="44" t="n">
        <v>29963899990492500</v>
      </c>
      <c r="Y13" s="44" t="n">
        <v>8.28884278990558E-005</v>
      </c>
      <c r="Z13" s="44" t="n">
        <v>29816495623101600</v>
      </c>
      <c r="AA13" s="44" t="n">
        <v>8.06235507592777E-005</v>
      </c>
      <c r="AB13" s="44" t="n">
        <v>28939264816283900</v>
      </c>
      <c r="AC13" s="44" t="n">
        <v>7.79956366190353E-005</v>
      </c>
      <c r="AD13" s="44" t="n">
        <v>26752924575107000</v>
      </c>
      <c r="AE13" s="44" t="n">
        <v>7.38232674017368E-005</v>
      </c>
    </row>
    <row collapsed="false" customFormat="false" customHeight="false" hidden="false" ht="12.75" outlineLevel="0" r="14">
      <c r="B14" s="44" t="n">
        <v>38691286824481600</v>
      </c>
      <c r="C14" s="44" t="n">
        <v>0.000110493709911582</v>
      </c>
      <c r="D14" s="44" t="n">
        <v>38295773008807700</v>
      </c>
      <c r="E14" s="44" t="n">
        <v>0.000110195722777489</v>
      </c>
      <c r="F14" s="44" t="n">
        <v>38949920999238800</v>
      </c>
      <c r="G14" s="44" t="n">
        <v>0.000109664400791386</v>
      </c>
      <c r="H14" s="44" t="n">
        <v>37685689197192400</v>
      </c>
      <c r="I14" s="44" t="n">
        <v>0.000107127257033346</v>
      </c>
      <c r="J14" s="44" t="n">
        <v>35440683723895500</v>
      </c>
      <c r="K14" s="44" t="n">
        <v>0.000103599457065769</v>
      </c>
      <c r="L14" s="44" t="n">
        <v>35898150286685500</v>
      </c>
      <c r="M14" s="44" t="n">
        <v>9.98547673080733E-005</v>
      </c>
      <c r="N14" s="44" t="n">
        <v>33242269098575200</v>
      </c>
      <c r="O14" s="44" t="n">
        <v>9.80445514131799E-005</v>
      </c>
      <c r="P14" s="44" t="n">
        <v>33798491800433500</v>
      </c>
      <c r="Q14" s="44" t="n">
        <v>9.46058662911714E-005</v>
      </c>
      <c r="R14" s="44" t="n">
        <v>31537653515174600</v>
      </c>
      <c r="S14" s="44" t="n">
        <v>9.24438776410985E-005</v>
      </c>
      <c r="T14" s="44" t="n">
        <v>31715337394387800</v>
      </c>
      <c r="U14" s="44" t="n">
        <v>8.92967233312342E-005</v>
      </c>
      <c r="V14" s="44" t="n">
        <v>30809249316539800</v>
      </c>
      <c r="W14" s="44" t="n">
        <v>8.56395492329878E-005</v>
      </c>
      <c r="X14" s="44" t="n">
        <v>28452974790108400</v>
      </c>
      <c r="Y14" s="44" t="n">
        <v>8.34587589035312E-005</v>
      </c>
      <c r="Z14" s="44" t="n">
        <v>28273802391880900</v>
      </c>
      <c r="AA14" s="44" t="n">
        <v>8.10860274652604E-005</v>
      </c>
      <c r="AB14" s="44" t="n">
        <v>27407464430583300</v>
      </c>
      <c r="AC14" s="44" t="n">
        <v>7.8343575244209E-005</v>
      </c>
      <c r="AD14" s="44" t="n">
        <v>25263397175589000</v>
      </c>
      <c r="AE14" s="44" t="n">
        <v>7.39480258867385E-005</v>
      </c>
    </row>
    <row collapsed="false" customFormat="false" customHeight="false" hidden="false" ht="12.75" outlineLevel="0" r="15">
      <c r="B15" s="44" t="n">
        <v>37113534963311800</v>
      </c>
      <c r="C15" s="44" t="n">
        <v>0.000112388570568075</v>
      </c>
      <c r="D15" s="44" t="n">
        <v>36733907844599800</v>
      </c>
      <c r="E15" s="44" t="n">
        <v>0.000112046239308354</v>
      </c>
      <c r="F15" s="44" t="n">
        <v>37346798737151200</v>
      </c>
      <c r="G15" s="44" t="n">
        <v>0.000111468162696005</v>
      </c>
      <c r="H15" s="44" t="n">
        <v>36099267904791900</v>
      </c>
      <c r="I15" s="44" t="n">
        <v>0.000108819976660183</v>
      </c>
      <c r="J15" s="44" t="n">
        <v>33898708952774400</v>
      </c>
      <c r="K15" s="44" t="n">
        <v>0.000105034146343299</v>
      </c>
      <c r="L15" s="44" t="n">
        <v>34330180925710200</v>
      </c>
      <c r="M15" s="44" t="n">
        <v>0.000101252521306224</v>
      </c>
      <c r="N15" s="44" t="n">
        <v>31738590766353200</v>
      </c>
      <c r="O15" s="44" t="n">
        <v>9.92367530659901E-005</v>
      </c>
      <c r="P15" s="44" t="n">
        <v>32257668575173500</v>
      </c>
      <c r="Q15" s="44" t="n">
        <v>9.5731389998149E-005</v>
      </c>
      <c r="R15" s="44" t="n">
        <v>30055628636895800</v>
      </c>
      <c r="S15" s="44" t="n">
        <v>9.33751561915297E-005</v>
      </c>
      <c r="T15" s="44" t="n">
        <v>30180265548162400</v>
      </c>
      <c r="U15" s="44" t="n">
        <v>9.0169941472747E-005</v>
      </c>
      <c r="V15" s="44" t="n">
        <v>29266946553086900</v>
      </c>
      <c r="W15" s="44" t="n">
        <v>8.63074659011535E-005</v>
      </c>
      <c r="X15" s="44" t="n">
        <v>26986301618275300</v>
      </c>
      <c r="Y15" s="44" t="n">
        <v>8.39538718133184E-005</v>
      </c>
      <c r="Z15" s="44" t="n">
        <v>26779548662975400</v>
      </c>
      <c r="AA15" s="44" t="n">
        <v>8.14751358111887E-005</v>
      </c>
      <c r="AB15" s="44" t="n">
        <v>25920033648842800</v>
      </c>
      <c r="AC15" s="44" t="n">
        <v>7.86156964381521E-005</v>
      </c>
      <c r="AD15" s="44" t="n">
        <v>23827630108026100</v>
      </c>
      <c r="AE15" s="44" t="n">
        <v>7.40075213074163E-005</v>
      </c>
    </row>
    <row collapsed="false" customFormat="false" customHeight="false" hidden="false" ht="12.75" outlineLevel="0" r="16">
      <c r="B16" s="44" t="n">
        <v>35580664703825400</v>
      </c>
      <c r="C16" s="44" t="n">
        <v>0.000114212426921299</v>
      </c>
      <c r="D16" s="44" t="n">
        <v>35201237861220700</v>
      </c>
      <c r="E16" s="44" t="n">
        <v>0.000113766673587996</v>
      </c>
      <c r="F16" s="44" t="n">
        <v>35799523398595800</v>
      </c>
      <c r="G16" s="44" t="n">
        <v>0.000113214165040126</v>
      </c>
      <c r="H16" s="44" t="n">
        <v>34554176140008900</v>
      </c>
      <c r="I16" s="44" t="n">
        <v>0.0001104113114818</v>
      </c>
      <c r="J16" s="44" t="n">
        <v>32405216368133100</v>
      </c>
      <c r="K16" s="44" t="n">
        <v>0.000106404196175437</v>
      </c>
      <c r="L16" s="44" t="n">
        <v>32795923304441900</v>
      </c>
      <c r="M16" s="44" t="n">
        <v>0.000102558103638821</v>
      </c>
      <c r="N16" s="44" t="n">
        <v>30276406626837200</v>
      </c>
      <c r="O16" s="44" t="n">
        <v>0.000100316137439781</v>
      </c>
      <c r="P16" s="44" t="n">
        <v>30758223330697200</v>
      </c>
      <c r="Q16" s="44" t="n">
        <v>9.67775089001428E-005</v>
      </c>
      <c r="R16" s="44" t="n">
        <v>28623312973898500</v>
      </c>
      <c r="S16" s="44" t="n">
        <v>9.4209849278928E-005</v>
      </c>
      <c r="T16" s="44" t="n">
        <v>28705891692185300</v>
      </c>
      <c r="U16" s="44" t="n">
        <v>9.09563214113204E-005</v>
      </c>
      <c r="V16" s="44" t="n">
        <v>27790543308369200</v>
      </c>
      <c r="W16" s="44" t="n">
        <v>8.69293411795092E-005</v>
      </c>
      <c r="X16" s="44" t="n">
        <v>25582741795572000</v>
      </c>
      <c r="Y16" s="44" t="n">
        <v>8.43731075821762E-005</v>
      </c>
      <c r="Z16" s="44" t="n">
        <v>25350645777419100</v>
      </c>
      <c r="AA16" s="44" t="n">
        <v>8.17750201627489E-005</v>
      </c>
      <c r="AB16" s="44" t="n">
        <v>24497117549265300</v>
      </c>
      <c r="AC16" s="44" t="n">
        <v>7.88028240774395E-005</v>
      </c>
      <c r="AD16" s="44" t="n">
        <v>22456291055661500</v>
      </c>
      <c r="AE16" s="44" t="n">
        <v>7.39810891907247E-005</v>
      </c>
    </row>
    <row collapsed="false" customFormat="false" customHeight="false" hidden="false" ht="12.75" outlineLevel="0" r="17">
      <c r="B17" s="44" t="n">
        <v>34083096082433500</v>
      </c>
      <c r="C17" s="44" t="n">
        <v>0.00011591440339242</v>
      </c>
      <c r="D17" s="44" t="n">
        <v>33701633965915600</v>
      </c>
      <c r="E17" s="44" t="n">
        <v>0.000115387033035208</v>
      </c>
      <c r="F17" s="44" t="n">
        <v>34270183729745100</v>
      </c>
      <c r="G17" s="44" t="n">
        <v>0.000114817229069326</v>
      </c>
      <c r="H17" s="44" t="n">
        <v>33052029911112100</v>
      </c>
      <c r="I17" s="44" t="n">
        <v>0.00011190791978885</v>
      </c>
      <c r="J17" s="44" t="n">
        <v>30956277080293300</v>
      </c>
      <c r="K17" s="44" t="n">
        <v>0.000107653858836723</v>
      </c>
      <c r="L17" s="44" t="n">
        <v>31319771531881800</v>
      </c>
      <c r="M17" s="44" t="n">
        <v>0.000103770666435047</v>
      </c>
      <c r="N17" s="44" t="n">
        <v>28865421847880900</v>
      </c>
      <c r="O17" s="44" t="n">
        <v>0.000101304710819911</v>
      </c>
      <c r="P17" s="44" t="n">
        <v>29301747088337900</v>
      </c>
      <c r="Q17" s="44" t="n">
        <v>9.77174679715591E-005</v>
      </c>
      <c r="R17" s="44" t="n">
        <v>27239811216930800</v>
      </c>
      <c r="S17" s="44" t="n">
        <v>9.49454973168847E-005</v>
      </c>
      <c r="T17" s="44" t="n">
        <v>27273923610372100</v>
      </c>
      <c r="U17" s="44" t="n">
        <v>9.16014165362482E-005</v>
      </c>
      <c r="V17" s="44" t="n">
        <v>26360660394420900</v>
      </c>
      <c r="W17" s="44" t="n">
        <v>8.74368283081073E-005</v>
      </c>
      <c r="X17" s="44" t="n">
        <v>24229995624413100</v>
      </c>
      <c r="Y17" s="44" t="n">
        <v>8.46844002914138E-005</v>
      </c>
      <c r="Z17" s="44" t="n">
        <v>23984223295483900</v>
      </c>
      <c r="AA17" s="44" t="n">
        <v>8.20013659630712E-005</v>
      </c>
      <c r="AB17" s="44" t="n">
        <v>23150311639353700</v>
      </c>
      <c r="AC17" s="44" t="n">
        <v>7.89471659919295E-005</v>
      </c>
      <c r="AD17" s="44" t="n">
        <v>21155974638805200</v>
      </c>
      <c r="AE17" s="44" t="n">
        <v>7.39256897774816E-005</v>
      </c>
    </row>
    <row collapsed="false" customFormat="false" customHeight="false" hidden="false" ht="12.75" outlineLevel="0" r="18">
      <c r="B18" s="44" t="n">
        <v>32636082294597100</v>
      </c>
      <c r="C18" s="44" t="n">
        <v>0.000117575735818091</v>
      </c>
      <c r="D18" s="44" t="n">
        <v>32259518192911500</v>
      </c>
      <c r="E18" s="44" t="n">
        <v>0.000116976345346043</v>
      </c>
      <c r="F18" s="44" t="n">
        <v>32785024319908700</v>
      </c>
      <c r="G18" s="44" t="n">
        <v>0.000116331863544194</v>
      </c>
      <c r="H18" s="44" t="n">
        <v>31595393814813500</v>
      </c>
      <c r="I18" s="44" t="n">
        <v>0.000113303422847333</v>
      </c>
      <c r="J18" s="44" t="n">
        <v>29551541652251100</v>
      </c>
      <c r="K18" s="44" t="n">
        <v>0.000108837374920653</v>
      </c>
      <c r="L18" s="44" t="n">
        <v>29892610535963400</v>
      </c>
      <c r="M18" s="44" t="n">
        <v>0.000104913054202259</v>
      </c>
      <c r="N18" s="44" t="n">
        <v>27505971527874600</v>
      </c>
      <c r="O18" s="44" t="n">
        <v>0.000102226951673957</v>
      </c>
      <c r="P18" s="44" t="n">
        <v>27908382871968700</v>
      </c>
      <c r="Q18" s="44" t="n">
        <v>9.85973313722103E-005</v>
      </c>
      <c r="R18" s="44" t="n">
        <v>25910195288970300</v>
      </c>
      <c r="S18" s="44" t="n">
        <v>9.56178807110967E-005</v>
      </c>
      <c r="T18" s="44" t="n">
        <v>25914292678127500</v>
      </c>
      <c r="U18" s="44" t="n">
        <v>9.22194334445836E-005</v>
      </c>
      <c r="V18" s="44" t="n">
        <v>24985914748963100</v>
      </c>
      <c r="W18" s="44" t="n">
        <v>8.78338368100983E-005</v>
      </c>
      <c r="X18" s="44" t="n">
        <v>22937631922208300</v>
      </c>
      <c r="Y18" s="44" t="n">
        <v>8.49490662260683E-005</v>
      </c>
      <c r="Z18" s="44" t="n">
        <v>22680419705951700</v>
      </c>
      <c r="AA18" s="44" t="n">
        <v>8.21801413049891E-005</v>
      </c>
      <c r="AB18" s="44" t="n">
        <v>21850434812651600</v>
      </c>
      <c r="AC18" s="44" t="n">
        <v>7.89836667826389E-005</v>
      </c>
      <c r="AD18" s="44" t="n">
        <v>19908759707753300</v>
      </c>
      <c r="AE18" s="44" t="n">
        <v>7.37606266491341E-005</v>
      </c>
    </row>
    <row collapsed="false" customFormat="false" customHeight="false" hidden="false" ht="12.75" outlineLevel="0" r="19">
      <c r="B19" s="44" t="n">
        <v>31221519816142400</v>
      </c>
      <c r="C19" s="44" t="n">
        <v>0.000119138142001123</v>
      </c>
      <c r="D19" s="44" t="n">
        <v>30850688390964800</v>
      </c>
      <c r="E19" s="44" t="n">
        <v>0.000118454171034507</v>
      </c>
      <c r="F19" s="44" t="n">
        <v>31353819678248600</v>
      </c>
      <c r="G19" s="44" t="n">
        <v>0.000117820563681972</v>
      </c>
      <c r="H19" s="44" t="n">
        <v>30185500735995400</v>
      </c>
      <c r="I19" s="44" t="n">
        <v>0.000114639397286493</v>
      </c>
      <c r="J19" s="44" t="n">
        <v>28188887795635500</v>
      </c>
      <c r="K19" s="44" t="n">
        <v>0.000109914026722624</v>
      </c>
      <c r="L19" s="44" t="n">
        <v>28503091554293400</v>
      </c>
      <c r="M19" s="44" t="n">
        <v>0.00010593086132577</v>
      </c>
      <c r="N19" s="44" t="n">
        <v>26184877278977400</v>
      </c>
      <c r="O19" s="44" t="n">
        <v>0.000103030661335415</v>
      </c>
      <c r="P19" s="44" t="n">
        <v>26557590376422500</v>
      </c>
      <c r="Q19" s="44" t="n">
        <v>9.93654264682816E-005</v>
      </c>
      <c r="R19" s="44" t="n">
        <v>24622026156101500</v>
      </c>
      <c r="S19" s="44" t="n">
        <v>9.62119053737903E-005</v>
      </c>
      <c r="T19" s="44" t="n">
        <v>24597159754849100</v>
      </c>
      <c r="U19" s="44" t="n">
        <v>9.27355119927403E-005</v>
      </c>
      <c r="V19" s="44" t="n">
        <v>23673452404677400</v>
      </c>
      <c r="W19" s="44" t="n">
        <v>8.82046436071902E-005</v>
      </c>
      <c r="X19" s="44" t="n">
        <v>21703396701173000</v>
      </c>
      <c r="Y19" s="44" t="n">
        <v>8.51464515634135E-005</v>
      </c>
      <c r="Z19" s="44" t="n">
        <v>21431727320027700</v>
      </c>
      <c r="AA19" s="44" t="n">
        <v>8.2291209721622E-005</v>
      </c>
      <c r="AB19" s="44" t="n">
        <v>20621354139281700</v>
      </c>
      <c r="AC19" s="44" t="n">
        <v>7.89855013010684E-005</v>
      </c>
      <c r="AD19" s="44" t="n">
        <v>18728247707966400</v>
      </c>
      <c r="AE19" s="44" t="n">
        <v>7.35520585729832E-005</v>
      </c>
    </row>
    <row collapsed="false" customFormat="false" customHeight="false" hidden="false" ht="12.75" outlineLevel="0" r="20">
      <c r="B20" s="44" t="n">
        <v>29845989120195600</v>
      </c>
      <c r="C20" s="44" t="n">
        <v>0.000120631637082664</v>
      </c>
      <c r="D20" s="44" t="n">
        <v>29487075224812800</v>
      </c>
      <c r="E20" s="44" t="n">
        <v>0.000119836121732549</v>
      </c>
      <c r="F20" s="44" t="n">
        <v>29951162123170500</v>
      </c>
      <c r="G20" s="44" t="n">
        <v>0.000119160749653242</v>
      </c>
      <c r="H20" s="44" t="n">
        <v>28812326578367700</v>
      </c>
      <c r="I20" s="44" t="n">
        <v>0.000115862240991294</v>
      </c>
      <c r="J20" s="44" t="n">
        <v>26877713166307000</v>
      </c>
      <c r="K20" s="44" t="n">
        <v>0.000110931450512167</v>
      </c>
      <c r="L20" s="44" t="n">
        <v>27159225551836900</v>
      </c>
      <c r="M20" s="44" t="n">
        <v>0.000106878267892753</v>
      </c>
      <c r="N20" s="44" t="n">
        <v>24919853443845100</v>
      </c>
      <c r="O20" s="44" t="n">
        <v>0.000103795747048715</v>
      </c>
      <c r="P20" s="44" t="n">
        <v>25253174002962000</v>
      </c>
      <c r="Q20" s="44" t="n">
        <v>0.000100047116492984</v>
      </c>
      <c r="R20" s="44" t="n">
        <v>23376976156696800</v>
      </c>
      <c r="S20" s="44" t="n">
        <v>9.67046771055464E-005</v>
      </c>
      <c r="T20" s="44" t="n">
        <v>23331075800184200</v>
      </c>
      <c r="U20" s="44" t="n">
        <v>9.31712815065406E-005</v>
      </c>
      <c r="V20" s="44" t="n">
        <v>22410213123178100</v>
      </c>
      <c r="W20" s="44" t="n">
        <v>8.8482376274433E-005</v>
      </c>
      <c r="X20" s="44" t="n">
        <v>20513708194746100</v>
      </c>
      <c r="Y20" s="44" t="n">
        <v>8.52517665279595E-005</v>
      </c>
      <c r="Z20" s="44" t="n">
        <v>20228650097494300</v>
      </c>
      <c r="AA20" s="44" t="n">
        <v>8.22909383652719E-005</v>
      </c>
      <c r="AB20" s="44" t="n">
        <v>19436251102525700</v>
      </c>
      <c r="AC20" s="44" t="n">
        <v>7.88992421013429E-005</v>
      </c>
      <c r="AD20" s="44" t="n">
        <v>17605699975024100</v>
      </c>
      <c r="AE20" s="44" t="n">
        <v>7.32972304984058E-005</v>
      </c>
    </row>
    <row collapsed="false" customFormat="false" customHeight="false" hidden="false" ht="12.75" outlineLevel="0" r="21">
      <c r="B21" s="44" t="n">
        <v>28521562316292600</v>
      </c>
      <c r="C21" s="44" t="n">
        <v>0.000122084643857019</v>
      </c>
      <c r="D21" s="44" t="n">
        <v>28168813144288400</v>
      </c>
      <c r="E21" s="44" t="n">
        <v>0.00012119372520946</v>
      </c>
      <c r="F21" s="44" t="n">
        <v>28596682298503600</v>
      </c>
      <c r="G21" s="44" t="n">
        <v>0.000120441709815807</v>
      </c>
      <c r="H21" s="44" t="n">
        <v>27485040802955700</v>
      </c>
      <c r="I21" s="44" t="n">
        <v>0.000117013725810142</v>
      </c>
      <c r="J21" s="44" t="n">
        <v>25607801534291400</v>
      </c>
      <c r="K21" s="44" t="n">
        <v>0.000111871283792533</v>
      </c>
      <c r="L21" s="44" t="n">
        <v>25858399543005500</v>
      </c>
      <c r="M21" s="44" t="n">
        <v>0.000107748799921846</v>
      </c>
      <c r="N21" s="44" t="n">
        <v>23702452340463400</v>
      </c>
      <c r="O21" s="44" t="n">
        <v>0.000104494072919147</v>
      </c>
      <c r="P21" s="44" t="n">
        <v>23999271706473300</v>
      </c>
      <c r="Q21" s="44" t="n">
        <v>0.000100676273041447</v>
      </c>
      <c r="R21" s="44" t="n">
        <v>22177395919663300</v>
      </c>
      <c r="S21" s="44" t="n">
        <v>9.71421619131419E-005</v>
      </c>
      <c r="T21" s="44" t="n">
        <v>22117910129433600</v>
      </c>
      <c r="U21" s="44" t="n">
        <v>9.35546906394848E-005</v>
      </c>
      <c r="V21" s="44" t="n">
        <v>21201617407001100</v>
      </c>
      <c r="W21" s="44" t="n">
        <v>8.86731855610556E-005</v>
      </c>
      <c r="X21" s="44" t="n">
        <v>19379650644705000</v>
      </c>
      <c r="Y21" s="44" t="n">
        <v>8.53062663835591E-005</v>
      </c>
      <c r="Z21" s="44" t="n">
        <v>19083574976637200</v>
      </c>
      <c r="AA21" s="44" t="n">
        <v>8.22635674011089E-005</v>
      </c>
      <c r="AB21" s="44" t="n">
        <v>18311301911227100</v>
      </c>
      <c r="AC21" s="44" t="n">
        <v>7.87687223460411E-005</v>
      </c>
      <c r="AD21" s="44" t="n">
        <v>16539968009497500</v>
      </c>
      <c r="AE21" s="44" t="n">
        <v>7.29886426767674E-005</v>
      </c>
    </row>
    <row collapsed="false" customFormat="false" customHeight="false" hidden="false" ht="12.75" outlineLevel="0" r="22">
      <c r="B22" s="44" t="n">
        <v>27249178167212400</v>
      </c>
      <c r="C22" s="44" t="n">
        <v>0.000123451837576595</v>
      </c>
      <c r="D22" s="44" t="n">
        <v>26893886818528300</v>
      </c>
      <c r="E22" s="44" t="n">
        <v>0.0001224486144596</v>
      </c>
      <c r="F22" s="44" t="n">
        <v>27288106508742100</v>
      </c>
      <c r="G22" s="44" t="n">
        <v>0.000121682921674375</v>
      </c>
      <c r="H22" s="44" t="n">
        <v>26205437798634900</v>
      </c>
      <c r="I22" s="44" t="n">
        <v>0.000118103553678715</v>
      </c>
      <c r="J22" s="44" t="n">
        <v>24385845270485100</v>
      </c>
      <c r="K22" s="44" t="n">
        <v>0.000112726612859968</v>
      </c>
      <c r="L22" s="44" t="n">
        <v>24605485941122300</v>
      </c>
      <c r="M22" s="44" t="n">
        <v>0.00010856469412176</v>
      </c>
      <c r="N22" s="44" t="n">
        <v>22528039726606100</v>
      </c>
      <c r="O22" s="44" t="n">
        <v>0.000105069189613745</v>
      </c>
      <c r="P22" s="44" t="n">
        <v>22786919114671100</v>
      </c>
      <c r="Q22" s="44" t="n">
        <v>0.000101217229840641</v>
      </c>
      <c r="R22" s="44" t="n">
        <v>21030068898755000</v>
      </c>
      <c r="S22" s="44" t="n">
        <v>9.7499713525588E-005</v>
      </c>
      <c r="T22" s="44" t="n">
        <v>20949025692203200</v>
      </c>
      <c r="U22" s="44" t="n">
        <v>9.38574283474494E-005</v>
      </c>
      <c r="V22" s="44" t="n">
        <v>20052713642393200</v>
      </c>
      <c r="W22" s="44" t="n">
        <v>8.88516584531588E-005</v>
      </c>
      <c r="X22" s="44" t="n">
        <v>18298047327131100</v>
      </c>
      <c r="Y22" s="44" t="n">
        <v>8.52857217003017E-005</v>
      </c>
      <c r="Z22" s="44" t="n">
        <v>17994699470131700</v>
      </c>
      <c r="AA22" s="44" t="n">
        <v>8.2176316619708E-005</v>
      </c>
      <c r="AB22" s="44" t="n">
        <v>17243890566864000</v>
      </c>
      <c r="AC22" s="44" t="n">
        <v>7.85881878040066E-005</v>
      </c>
      <c r="AD22" s="44" t="n">
        <v>15535100296298000</v>
      </c>
      <c r="AE22" s="44" t="n">
        <v>7.26403463471849E-005</v>
      </c>
    </row>
    <row collapsed="false" customFormat="false" customHeight="false" hidden="false" ht="12.75" outlineLevel="0" r="23">
      <c r="B23" s="44" t="n">
        <v>26009141416167600</v>
      </c>
      <c r="C23" s="44" t="n">
        <v>0.000124667729242766</v>
      </c>
      <c r="D23" s="44" t="n">
        <v>25667214323717000</v>
      </c>
      <c r="E23" s="44" t="n">
        <v>0.00012360909521762</v>
      </c>
      <c r="F23" s="44" t="n">
        <v>26023754249958500</v>
      </c>
      <c r="G23" s="44" t="n">
        <v>0.000122776916686102</v>
      </c>
      <c r="H23" s="44" t="n">
        <v>24976206341818300</v>
      </c>
      <c r="I23" s="44" t="n">
        <v>0.000119105435671363</v>
      </c>
      <c r="J23" s="44" t="n">
        <v>23208545817077000</v>
      </c>
      <c r="K23" s="44" t="n">
        <v>0.000113474564795613</v>
      </c>
      <c r="L23" s="44" t="n">
        <v>23410021463175100</v>
      </c>
      <c r="M23" s="44" t="n">
        <v>0.000109324433903197</v>
      </c>
      <c r="N23" s="44" t="n">
        <v>21406840325732100</v>
      </c>
      <c r="O23" s="44" t="n">
        <v>0.000105609645315873</v>
      </c>
      <c r="P23" s="44" t="n">
        <v>21625881392207200</v>
      </c>
      <c r="Q23" s="44" t="n">
        <v>0.000101672302894072</v>
      </c>
      <c r="R23" s="44" t="n">
        <v>19932475591004800</v>
      </c>
      <c r="S23" s="44" t="n">
        <v>9.77861982908638E-005</v>
      </c>
      <c r="T23" s="44" t="n">
        <v>19834439493532100</v>
      </c>
      <c r="U23" s="44" t="n">
        <v>9.40733388309691E-005</v>
      </c>
      <c r="V23" s="44" t="n">
        <v>18949507831661400</v>
      </c>
      <c r="W23" s="44" t="n">
        <v>8.88981781663146E-005</v>
      </c>
      <c r="X23" s="44" t="n">
        <v>17267641146252700</v>
      </c>
      <c r="Y23" s="44" t="n">
        <v>8.51995514292781E-005</v>
      </c>
      <c r="Z23" s="44" t="n">
        <v>16960717257106700</v>
      </c>
      <c r="AA23" s="44" t="n">
        <v>8.20116136984802E-005</v>
      </c>
      <c r="AB23" s="44" t="n">
        <v>16227907372666900</v>
      </c>
      <c r="AC23" s="44" t="n">
        <v>7.8329762888211E-005</v>
      </c>
      <c r="AD23" s="44" t="n">
        <v>14583243862017500</v>
      </c>
      <c r="AE23" s="44" t="n">
        <v>7.22258278401225E-005</v>
      </c>
    </row>
    <row collapsed="false" customFormat="false" customHeight="false" hidden="false" ht="12.75" outlineLevel="0" r="24">
      <c r="B24" s="44" t="n">
        <v>24815152886340300</v>
      </c>
      <c r="C24" s="44" t="n">
        <v>0.000125815573841345</v>
      </c>
      <c r="D24" s="44" t="n">
        <v>24479392815262100</v>
      </c>
      <c r="E24" s="44" t="n">
        <v>0.000124655498722604</v>
      </c>
      <c r="F24" s="44" t="n">
        <v>24810294534225800</v>
      </c>
      <c r="G24" s="44" t="n">
        <v>0.000123836786723156</v>
      </c>
      <c r="H24" s="44" t="n">
        <v>23787895632084000</v>
      </c>
      <c r="I24" s="44" t="n">
        <v>0.000119979430086076</v>
      </c>
      <c r="J24" s="44" t="n">
        <v>22080028687181800</v>
      </c>
      <c r="K24" s="44" t="n">
        <v>0.000114151473091746</v>
      </c>
      <c r="L24" s="44" t="n">
        <v>22253859339699900</v>
      </c>
      <c r="M24" s="44" t="n">
        <v>0.00010993899016376</v>
      </c>
      <c r="N24" s="44" t="n">
        <v>20327132994090500</v>
      </c>
      <c r="O24" s="44" t="n">
        <v>0.000106022579691235</v>
      </c>
      <c r="P24" s="44" t="n">
        <v>20516647069219000</v>
      </c>
      <c r="Q24" s="44" t="n">
        <v>0.00010205621527838</v>
      </c>
      <c r="R24" s="44" t="n">
        <v>18883354543914400</v>
      </c>
      <c r="S24" s="44" t="n">
        <v>9.7997262136751E-005</v>
      </c>
      <c r="T24" s="44" t="n">
        <v>18771172423131000</v>
      </c>
      <c r="U24" s="44" t="n">
        <v>9.42370331675619E-005</v>
      </c>
      <c r="V24" s="44" t="n">
        <v>17903216098480700</v>
      </c>
      <c r="W24" s="44" t="n">
        <v>8.88977374346582E-005</v>
      </c>
      <c r="X24" s="44" t="n">
        <v>16294049616911100</v>
      </c>
      <c r="Y24" s="44" t="n">
        <v>8.50805217889499E-005</v>
      </c>
      <c r="Z24" s="44" t="n">
        <v>15978495563184400</v>
      </c>
      <c r="AA24" s="44" t="n">
        <v>8.18020998623898E-005</v>
      </c>
      <c r="AB24" s="44" t="n">
        <v>15263445159540300</v>
      </c>
      <c r="AC24" s="44" t="n">
        <v>7.80230700435261E-005</v>
      </c>
      <c r="AD24" s="44" t="n">
        <v>13689584349206500</v>
      </c>
      <c r="AE24" s="44" t="n">
        <v>7.1787479429067E-005</v>
      </c>
    </row>
    <row collapsed="false" customFormat="false" customHeight="false" hidden="false" ht="12.75" outlineLevel="0" r="25">
      <c r="B25" s="44" t="n">
        <v>23670031942469800</v>
      </c>
      <c r="C25" s="44" t="n">
        <v>0.000126872122834928</v>
      </c>
      <c r="D25" s="44" t="n">
        <v>23330347098384000</v>
      </c>
      <c r="E25" s="44" t="n">
        <v>0.00012560220542799</v>
      </c>
      <c r="F25" s="44" t="n">
        <v>23645407904859500</v>
      </c>
      <c r="G25" s="44" t="n">
        <v>0.000124779277501587</v>
      </c>
      <c r="H25" s="44" t="n">
        <v>22650235716166100</v>
      </c>
      <c r="I25" s="44" t="n">
        <v>0.000120787619038006</v>
      </c>
      <c r="J25" s="44" t="n">
        <v>20996413619782500</v>
      </c>
      <c r="K25" s="44" t="n">
        <v>0.000114747609607857</v>
      </c>
      <c r="L25" s="44" t="n">
        <v>21145709098712900</v>
      </c>
      <c r="M25" s="44" t="n">
        <v>0.000110466136952036</v>
      </c>
      <c r="N25" s="44" t="n">
        <v>19292042760993300</v>
      </c>
      <c r="O25" s="44" t="n">
        <v>0.000106348716683139</v>
      </c>
      <c r="P25" s="44" t="n">
        <v>19453403752268900</v>
      </c>
      <c r="Q25" s="44" t="n">
        <v>0.000102355957082996</v>
      </c>
      <c r="R25" s="44" t="n">
        <v>17884137423651300</v>
      </c>
      <c r="S25" s="44" t="n">
        <v>9.81498900937837E-005</v>
      </c>
      <c r="T25" s="44" t="n">
        <v>17758324998017100</v>
      </c>
      <c r="U25" s="44" t="n">
        <v>9.43027126785039E-005</v>
      </c>
      <c r="V25" s="44" t="n">
        <v>16910982779316000</v>
      </c>
      <c r="W25" s="44" t="n">
        <v>8.88478822048697E-005</v>
      </c>
      <c r="X25" s="44" t="n">
        <v>15368217290536600</v>
      </c>
      <c r="Y25" s="44" t="n">
        <v>8.48943702866361E-005</v>
      </c>
      <c r="Z25" s="44" t="n">
        <v>15048134710362600</v>
      </c>
      <c r="AA25" s="44" t="n">
        <v>8.15234191268943E-005</v>
      </c>
      <c r="AB25" s="44" t="n">
        <v>14356977444679200</v>
      </c>
      <c r="AC25" s="44" t="n">
        <v>7.7676805021902E-005</v>
      </c>
      <c r="AD25" s="44" t="n">
        <v>12845970111505300</v>
      </c>
      <c r="AE25" s="44" t="n">
        <v>7.13140897979178E-005</v>
      </c>
    </row>
    <row collapsed="false" customFormat="false" customHeight="false" hidden="false" ht="12.75" outlineLevel="0" r="26">
      <c r="B26" s="44" t="n">
        <v>22563367856741800</v>
      </c>
      <c r="C26" s="44" t="n">
        <v>0.000127873005723001</v>
      </c>
      <c r="D26" s="44" t="n">
        <v>22225816076005000</v>
      </c>
      <c r="E26" s="44" t="n">
        <v>0.000126511566291954</v>
      </c>
      <c r="F26" s="44" t="n">
        <v>22523538963829200</v>
      </c>
      <c r="G26" s="44" t="n">
        <v>0.0001256789296564</v>
      </c>
      <c r="H26" s="44" t="n">
        <v>21558076348020500</v>
      </c>
      <c r="I26" s="44" t="n">
        <v>0.00012154691224735</v>
      </c>
      <c r="J26" s="44" t="n">
        <v>19949362161640800</v>
      </c>
      <c r="K26" s="44" t="n">
        <v>0.000115262726423235</v>
      </c>
      <c r="L26" s="44" t="n">
        <v>20079055474929000</v>
      </c>
      <c r="M26" s="44" t="n">
        <v>0.000110918148571852</v>
      </c>
      <c r="N26" s="44" t="n">
        <v>18305493223806400</v>
      </c>
      <c r="O26" s="44" t="n">
        <v>0.000106679273972285</v>
      </c>
      <c r="P26" s="44" t="n">
        <v>18431261988279100</v>
      </c>
      <c r="Q26" s="44" t="n">
        <v>0.000102573654270879</v>
      </c>
      <c r="R26" s="44" t="n">
        <v>16930193913255900</v>
      </c>
      <c r="S26" s="44" t="n">
        <v>9.82571188311367E-005</v>
      </c>
      <c r="T26" s="44" t="n">
        <v>16793109976251000</v>
      </c>
      <c r="U26" s="44" t="n">
        <v>9.43395082965371E-005</v>
      </c>
      <c r="V26" s="44" t="n">
        <v>15962477496204000</v>
      </c>
      <c r="W26" s="44" t="n">
        <v>8.87296677095446E-005</v>
      </c>
      <c r="X26" s="44" t="n">
        <v>14490435163664800</v>
      </c>
      <c r="Y26" s="44" t="n">
        <v>8.46886002972463E-005</v>
      </c>
      <c r="Z26" s="44" t="n">
        <v>14168390774585200</v>
      </c>
      <c r="AA26" s="44" t="n">
        <v>8.12257934841579E-005</v>
      </c>
      <c r="AB26" s="44" t="n">
        <v>13503422258759300</v>
      </c>
      <c r="AC26" s="44" t="n">
        <v>7.73435245665314E-005</v>
      </c>
      <c r="AD26" s="44" t="n">
        <v>12051435426874400</v>
      </c>
      <c r="AE26" s="44" t="n">
        <v>7.08190794071963E-005</v>
      </c>
    </row>
    <row collapsed="false" customFormat="false" customHeight="false" hidden="false" ht="12.75" outlineLevel="0" r="27">
      <c r="B27" s="44" t="n">
        <v>21501814295918400</v>
      </c>
      <c r="C27" s="44" t="n">
        <v>0.000128786705652866</v>
      </c>
      <c r="D27" s="44" t="n">
        <v>21177431924501100</v>
      </c>
      <c r="E27" s="44" t="n">
        <v>0.000127401841579376</v>
      </c>
      <c r="F27" s="44" t="n">
        <v>21440488506264500</v>
      </c>
      <c r="G27" s="44" t="n">
        <v>0.000126448045625207</v>
      </c>
      <c r="H27" s="44" t="n">
        <v>20502367425995100</v>
      </c>
      <c r="I27" s="44" t="n">
        <v>0.000122192750369267</v>
      </c>
      <c r="J27" s="44" t="n">
        <v>18951778735730900</v>
      </c>
      <c r="K27" s="44" t="n">
        <v>0.000115708728009331</v>
      </c>
      <c r="L27" s="44" t="n">
        <v>19060182293481800</v>
      </c>
      <c r="M27" s="44" t="n">
        <v>0.000111344303223877</v>
      </c>
      <c r="N27" s="44" t="n">
        <v>17362877094902300</v>
      </c>
      <c r="O27" s="44" t="n">
        <v>0.000106889488937134</v>
      </c>
      <c r="P27" s="44" t="n">
        <v>17463623638779500</v>
      </c>
      <c r="Q27" s="44" t="n">
        <v>0.000102778699072961</v>
      </c>
      <c r="R27" s="44" t="n">
        <v>16018950571637800</v>
      </c>
      <c r="S27" s="44" t="n">
        <v>9.82649103619992E-005</v>
      </c>
      <c r="T27" s="44" t="n">
        <v>15875350953354000</v>
      </c>
      <c r="U27" s="44" t="n">
        <v>9.4325432562128E-005</v>
      </c>
      <c r="V27" s="44" t="n">
        <v>15063158422648600</v>
      </c>
      <c r="W27" s="44" t="n">
        <v>8.85775548312247E-005</v>
      </c>
      <c r="X27" s="44" t="n">
        <v>13656907523612100</v>
      </c>
      <c r="Y27" s="44" t="n">
        <v>8.43913473812388E-005</v>
      </c>
      <c r="Z27" s="44" t="n">
        <v>13338171764520900</v>
      </c>
      <c r="AA27" s="44" t="n">
        <v>8.08950320804902E-005</v>
      </c>
      <c r="AB27" s="44" t="n">
        <v>12691855841785900</v>
      </c>
      <c r="AC27" s="44" t="n">
        <v>7.69205224089026E-005</v>
      </c>
      <c r="AD27" s="44" t="n">
        <v>11304792156430900</v>
      </c>
      <c r="AE27" s="44" t="n">
        <v>7.02816878410319E-005</v>
      </c>
    </row>
    <row collapsed="false" customFormat="false" customHeight="false" hidden="false" ht="12.75" outlineLevel="0" r="28">
      <c r="B28" s="44" t="n">
        <v>20481855312560000</v>
      </c>
      <c r="C28" s="44" t="n">
        <v>0.000129608544851285</v>
      </c>
      <c r="D28" s="44" t="n">
        <v>20166483998822400</v>
      </c>
      <c r="E28" s="44" t="n">
        <v>0.000128157479150891</v>
      </c>
      <c r="F28" s="44" t="n">
        <v>20405563891702000</v>
      </c>
      <c r="G28" s="44" t="n">
        <v>0.000127148344609901</v>
      </c>
      <c r="H28" s="44" t="n">
        <v>19506393479740900</v>
      </c>
      <c r="I28" s="44" t="n">
        <v>0.000122815409843142</v>
      </c>
      <c r="J28" s="44" t="n">
        <v>18000295872241200</v>
      </c>
      <c r="K28" s="44" t="n">
        <v>0.000116105961107901</v>
      </c>
      <c r="L28" s="44" t="n">
        <v>18085377522757500</v>
      </c>
      <c r="M28" s="44" t="n">
        <v>0.000111644282659015</v>
      </c>
      <c r="N28" s="44" t="n">
        <v>16464976089125100</v>
      </c>
      <c r="O28" s="44" t="n">
        <v>0.000107075518066712</v>
      </c>
      <c r="P28" s="44" t="n">
        <v>16536522318942300</v>
      </c>
      <c r="Q28" s="44" t="n">
        <v>0.000102862728050259</v>
      </c>
      <c r="R28" s="44" t="n">
        <v>15153173726118900</v>
      </c>
      <c r="S28" s="44" t="n">
        <v>9.82245440763467E-005</v>
      </c>
      <c r="T28" s="44" t="n">
        <v>15006153546623500</v>
      </c>
      <c r="U28" s="44" t="n">
        <v>9.42544043692296E-005</v>
      </c>
      <c r="V28" s="44" t="n">
        <v>14213379220447500</v>
      </c>
      <c r="W28" s="44" t="n">
        <v>8.83750224345944E-005</v>
      </c>
      <c r="X28" s="44" t="n">
        <v>12872026353682200</v>
      </c>
      <c r="Y28" s="44" t="n">
        <v>8.40827198644795E-005</v>
      </c>
      <c r="Z28" s="44" t="n">
        <v>12554473923966900</v>
      </c>
      <c r="AA28" s="44" t="n">
        <v>8.05204615589147E-005</v>
      </c>
      <c r="AB28" s="44" t="n">
        <v>11929562771205000</v>
      </c>
      <c r="AC28" s="44" t="n">
        <v>7.64740263355354E-005</v>
      </c>
      <c r="AD28" s="44" t="n">
        <v>10602611747998900</v>
      </c>
      <c r="AE28" s="44" t="n">
        <v>6.97194850596455E-005</v>
      </c>
    </row>
    <row collapsed="false" customFormat="false" customHeight="false" hidden="false" ht="12.75" outlineLevel="0" r="29">
      <c r="B29" s="44" t="n">
        <v>19501820531672800</v>
      </c>
      <c r="C29" s="44" t="n">
        <v>0.000130353664131492</v>
      </c>
      <c r="D29" s="44" t="n">
        <v>19195916259941600</v>
      </c>
      <c r="E29" s="44" t="n">
        <v>0.000128798904981739</v>
      </c>
      <c r="F29" s="44" t="n">
        <v>19414330238962500</v>
      </c>
      <c r="G29" s="44" t="n">
        <v>0.000127776291702086</v>
      </c>
      <c r="H29" s="44" t="n">
        <v>18547413745069300</v>
      </c>
      <c r="I29" s="44" t="n">
        <v>0.000123321334364032</v>
      </c>
      <c r="J29" s="44" t="n">
        <v>17092688565952700</v>
      </c>
      <c r="K29" s="44" t="n">
        <v>0.000116422939273031</v>
      </c>
      <c r="L29" s="44" t="n">
        <v>17161252829357700</v>
      </c>
      <c r="M29" s="44" t="n">
        <v>0.000111946802660117</v>
      </c>
      <c r="N29" s="44" t="n">
        <v>15610689215923800</v>
      </c>
      <c r="O29" s="44" t="n">
        <v>0.000107192943040228</v>
      </c>
      <c r="P29" s="44" t="n">
        <v>15662040126667900</v>
      </c>
      <c r="Q29" s="44" t="n">
        <v>0.000102941581372381</v>
      </c>
      <c r="R29" s="44" t="n">
        <v>14334053293906400</v>
      </c>
      <c r="S29" s="44" t="n">
        <v>9.81734637003689E-005</v>
      </c>
      <c r="T29" s="44" t="n">
        <v>14181138018581200</v>
      </c>
      <c r="U29" s="44" t="n">
        <v>9.41311983993204E-005</v>
      </c>
      <c r="V29" s="44" t="n">
        <v>13405180492442700</v>
      </c>
      <c r="W29" s="44" t="n">
        <v>8.81143307872056E-005</v>
      </c>
      <c r="X29" s="44" t="n">
        <v>12130432722618300</v>
      </c>
      <c r="Y29" s="44" t="n">
        <v>8.37343236130998E-005</v>
      </c>
      <c r="Z29" s="44" t="n">
        <v>11818122093944200</v>
      </c>
      <c r="AA29" s="44" t="n">
        <v>8.0115807756719E-005</v>
      </c>
      <c r="AB29" s="44" t="n">
        <v>11214590222491700</v>
      </c>
      <c r="AC29" s="44" t="n">
        <v>7.59918034011178E-005</v>
      </c>
      <c r="AD29" s="44" t="n">
        <v>9949873671104590</v>
      </c>
      <c r="AE29" s="44" t="n">
        <v>6.91730120276577E-005</v>
      </c>
    </row>
    <row collapsed="false" customFormat="false" customHeight="false" hidden="false" ht="12.75" outlineLevel="0" r="30">
      <c r="B30" s="44" t="n">
        <v>18566612388081100</v>
      </c>
      <c r="C30" s="44" t="n">
        <v>0.000131021626041889</v>
      </c>
      <c r="D30" s="44" t="n">
        <v>18260964795163200</v>
      </c>
      <c r="E30" s="44" t="n">
        <v>0.000129361839179583</v>
      </c>
      <c r="F30" s="44" t="n">
        <v>18457711652346600</v>
      </c>
      <c r="G30" s="44" t="n">
        <v>0.000128269486115777</v>
      </c>
      <c r="H30" s="44" t="n">
        <v>17622217012279300</v>
      </c>
      <c r="I30" s="44" t="n">
        <v>0.000123680648818244</v>
      </c>
      <c r="J30" s="44" t="n">
        <v>16215377053348200</v>
      </c>
      <c r="K30" s="44" t="n">
        <v>0.000116621832240493</v>
      </c>
      <c r="L30" s="44" t="n">
        <v>16273867226027900</v>
      </c>
      <c r="M30" s="44" t="n">
        <v>0.00011211667496769</v>
      </c>
      <c r="N30" s="44" t="n">
        <v>14787212208077900</v>
      </c>
      <c r="O30" s="44" t="n">
        <v>0.000107167169497148</v>
      </c>
      <c r="P30" s="44" t="n">
        <v>14823557315025000</v>
      </c>
      <c r="Q30" s="44" t="n">
        <v>0.000102914607744814</v>
      </c>
      <c r="R30" s="44" t="n">
        <v>13551188857962100</v>
      </c>
      <c r="S30" s="44" t="n">
        <v>9.80059928668975E-005</v>
      </c>
      <c r="T30" s="44" t="n">
        <v>13391106435407000</v>
      </c>
      <c r="U30" s="44" t="n">
        <v>9.3896352675947E-005</v>
      </c>
      <c r="V30" s="44" t="n">
        <v>12646192985099300</v>
      </c>
      <c r="W30" s="44" t="n">
        <v>8.7822206683038E-005</v>
      </c>
      <c r="X30" s="44" t="n">
        <v>11425338308743700</v>
      </c>
      <c r="Y30" s="44" t="n">
        <v>8.33378937962345E-005</v>
      </c>
      <c r="Z30" s="44" t="n">
        <v>11123312219854100</v>
      </c>
      <c r="AA30" s="44" t="n">
        <v>7.96925350772755E-005</v>
      </c>
      <c r="AB30" s="44" t="n">
        <v>10542650157378100</v>
      </c>
      <c r="AC30" s="44" t="n">
        <v>7.55096989644557E-005</v>
      </c>
      <c r="AD30" s="44" t="n">
        <v>9332678772147270</v>
      </c>
      <c r="AE30" s="44" t="n">
        <v>6.85829545810346E-005</v>
      </c>
    </row>
    <row collapsed="false" customFormat="false" customHeight="false" hidden="false" ht="12.75" outlineLevel="0" r="31">
      <c r="B31" s="44" t="n">
        <v>17673149551250900</v>
      </c>
      <c r="C31" s="44" t="n">
        <v>0.000131867938888476</v>
      </c>
      <c r="D31" s="44" t="n">
        <v>17370468141266200</v>
      </c>
      <c r="E31" s="44" t="n">
        <v>0.000130117526473342</v>
      </c>
      <c r="F31" s="44" t="n">
        <v>17543916381510500</v>
      </c>
      <c r="G31" s="44" t="n">
        <v>0.000128828347365055</v>
      </c>
      <c r="H31" s="44" t="n">
        <v>16737875913813200</v>
      </c>
      <c r="I31" s="44" t="n">
        <v>0.000124148886567637</v>
      </c>
      <c r="J31" s="44" t="n">
        <v>15383903405436100</v>
      </c>
      <c r="K31" s="44" t="n">
        <v>0.000117010049855012</v>
      </c>
      <c r="L31" s="44" t="n">
        <v>15428958484977200</v>
      </c>
      <c r="M31" s="44" t="n">
        <v>0.000112296040074611</v>
      </c>
      <c r="N31" s="44" t="n">
        <v>14011325075880700</v>
      </c>
      <c r="O31" s="44" t="n">
        <v>0.000107361502539125</v>
      </c>
      <c r="P31" s="44" t="n">
        <v>14028554823397700</v>
      </c>
      <c r="Q31" s="44" t="n">
        <v>0.000102903850735372</v>
      </c>
      <c r="R31" s="44" t="n">
        <v>12809923808033700</v>
      </c>
      <c r="S31" s="44" t="n">
        <v>9.80138008026101E-005</v>
      </c>
      <c r="T31" s="44" t="n">
        <v>12645097493802200</v>
      </c>
      <c r="U31" s="44" t="n">
        <v>9.37319334579591E-005</v>
      </c>
      <c r="V31" s="44" t="n">
        <v>11926557900608700</v>
      </c>
      <c r="W31" s="44" t="n">
        <v>8.75332652796508E-005</v>
      </c>
      <c r="X31" s="44" t="n">
        <v>10759168767977100</v>
      </c>
      <c r="Y31" s="44" t="n">
        <v>8.30545324186642E-005</v>
      </c>
      <c r="Z31" s="44" t="n">
        <v>10462185714733300</v>
      </c>
      <c r="AA31" s="44" t="n">
        <v>7.92914658473898E-005</v>
      </c>
      <c r="AB31" s="44" t="n">
        <v>9901745107527590</v>
      </c>
      <c r="AC31" s="44" t="n">
        <v>7.50234916469274E-005</v>
      </c>
      <c r="AD31" s="44" t="n">
        <v>8754445669875410</v>
      </c>
      <c r="AE31" s="44" t="n">
        <v>6.80912867044117E-005</v>
      </c>
    </row>
    <row collapsed="false" customFormat="false" customHeight="false" hidden="false" ht="12.75" outlineLevel="0" r="32">
      <c r="B32" s="44" t="n">
        <v>16812200023978100</v>
      </c>
      <c r="C32" s="44" t="n">
        <v>0.000132421271202175</v>
      </c>
      <c r="D32" s="44" t="n">
        <v>16519966272660400</v>
      </c>
      <c r="E32" s="44" t="n">
        <v>0.000130616265480756</v>
      </c>
      <c r="F32" s="44" t="n">
        <v>16676938089598800</v>
      </c>
      <c r="G32" s="44" t="n">
        <v>0.000129423096244212</v>
      </c>
      <c r="H32" s="44" t="n">
        <v>15901662722765500</v>
      </c>
      <c r="I32" s="44" t="n">
        <v>0.000124604404322467</v>
      </c>
      <c r="J32" s="44" t="n">
        <v>14593304077841400</v>
      </c>
      <c r="K32" s="44" t="n">
        <v>0.000117150833625839</v>
      </c>
      <c r="L32" s="44" t="n">
        <v>14627032783632900</v>
      </c>
      <c r="M32" s="44" t="n">
        <v>0.000112553341073815</v>
      </c>
      <c r="N32" s="44" t="n">
        <v>13265876381066000</v>
      </c>
      <c r="O32" s="44" t="n">
        <v>0.000107281654416558</v>
      </c>
      <c r="P32" s="44" t="n">
        <v>13266464817337500</v>
      </c>
      <c r="Q32" s="44" t="n">
        <v>0.000102912921381452</v>
      </c>
      <c r="R32" s="44" t="n">
        <v>12100121082920100</v>
      </c>
      <c r="S32" s="44" t="n">
        <v>9.77710119660688E-005</v>
      </c>
      <c r="T32" s="44" t="n">
        <v>11936124854197900</v>
      </c>
      <c r="U32" s="44" t="n">
        <v>9.35686312594372E-005</v>
      </c>
      <c r="V32" s="44" t="n">
        <v>11242383874301200</v>
      </c>
      <c r="W32" s="44" t="n">
        <v>8.72881090224052E-005</v>
      </c>
      <c r="X32" s="44" t="n">
        <v>10133546730513600</v>
      </c>
      <c r="Y32" s="44" t="n">
        <v>8.26256971598627E-005</v>
      </c>
      <c r="Z32" s="44" t="n">
        <v>9841964060004830</v>
      </c>
      <c r="AA32" s="44" t="n">
        <v>7.88444746772164E-005</v>
      </c>
      <c r="AB32" s="44" t="n">
        <v>9302513182066820</v>
      </c>
      <c r="AC32" s="44" t="n">
        <v>7.45190814003785E-005</v>
      </c>
      <c r="AD32" s="44" t="n">
        <v>8211088727205680</v>
      </c>
      <c r="AE32" s="44" t="n">
        <v>6.74815871503216E-005</v>
      </c>
    </row>
    <row collapsed="false" customFormat="false" customHeight="false" hidden="false" ht="12.75" outlineLevel="0" r="33">
      <c r="B33" s="44" t="n">
        <v>15995770500398000</v>
      </c>
      <c r="C33" s="44" t="n">
        <v>0.000132932615977375</v>
      </c>
      <c r="D33" s="44" t="n">
        <v>15710955601883900</v>
      </c>
      <c r="E33" s="44" t="n">
        <v>0.000131050373949133</v>
      </c>
      <c r="F33" s="44" t="n">
        <v>15847386336253700</v>
      </c>
      <c r="G33" s="44" t="n">
        <v>0.000129760003856468</v>
      </c>
      <c r="H33" s="44" t="n">
        <v>15099262651278200</v>
      </c>
      <c r="I33" s="44" t="n">
        <v>0.00012481588764227</v>
      </c>
      <c r="J33" s="44" t="n">
        <v>13841442025032100</v>
      </c>
      <c r="K33" s="44" t="n">
        <v>0.000117219461206099</v>
      </c>
      <c r="L33" s="44" t="n">
        <v>13860134727054200</v>
      </c>
      <c r="M33" s="44" t="n">
        <v>0.000112568817077052</v>
      </c>
      <c r="N33" s="44" t="n">
        <v>12564163815125600</v>
      </c>
      <c r="O33" s="44" t="n">
        <v>0.000107191152081776</v>
      </c>
      <c r="P33" s="44" t="n">
        <v>12547263345641400</v>
      </c>
      <c r="Q33" s="44" t="n">
        <v>0.000102744632059719</v>
      </c>
      <c r="R33" s="44" t="n">
        <v>11439606348797800</v>
      </c>
      <c r="S33" s="44" t="n">
        <v>9.75591905079052E-005</v>
      </c>
      <c r="T33" s="44" t="n">
        <v>11264348531857500</v>
      </c>
      <c r="U33" s="44" t="n">
        <v>9.32258309973397E-005</v>
      </c>
      <c r="V33" s="44" t="n">
        <v>10592622547689300</v>
      </c>
      <c r="W33" s="44" t="n">
        <v>8.68576003007329E-005</v>
      </c>
      <c r="X33" s="44" t="n">
        <v>9542211368883510</v>
      </c>
      <c r="Y33" s="44" t="n">
        <v>8.21509681530733E-005</v>
      </c>
      <c r="Z33" s="44" t="n">
        <v>9256653873902630</v>
      </c>
      <c r="AA33" s="44" t="n">
        <v>7.83248949074988E-005</v>
      </c>
      <c r="AB33" s="44" t="n">
        <v>8743310261735320</v>
      </c>
      <c r="AC33" s="44" t="n">
        <v>7.39696566479513E-005</v>
      </c>
      <c r="AD33" s="44" t="n">
        <v>7702864378172590</v>
      </c>
      <c r="AE33" s="44" t="n">
        <v>6.68561197684216E-005</v>
      </c>
    </row>
    <row collapsed="false" customFormat="false" customHeight="false" hidden="false" ht="12.75" outlineLevel="0" r="34">
      <c r="B34" s="44" t="n">
        <v>15213812687594500</v>
      </c>
      <c r="C34" s="44" t="n">
        <v>0.000133339658194294</v>
      </c>
      <c r="D34" s="44" t="n">
        <v>14927749202857400</v>
      </c>
      <c r="E34" s="44" t="n">
        <v>0.000131335785592585</v>
      </c>
      <c r="F34" s="44" t="n">
        <v>15062425468484500</v>
      </c>
      <c r="G34" s="44" t="n">
        <v>0.000130087837604563</v>
      </c>
      <c r="H34" s="44" t="n">
        <v>14343636962303400</v>
      </c>
      <c r="I34" s="44" t="n">
        <v>0.000125061540035946</v>
      </c>
      <c r="J34" s="44" t="n">
        <v>13123085201058100</v>
      </c>
      <c r="K34" s="44" t="n">
        <v>0.00011718223637564</v>
      </c>
      <c r="L34" s="44" t="n">
        <v>13136676745498700</v>
      </c>
      <c r="M34" s="44" t="n">
        <v>0.000112555226944601</v>
      </c>
      <c r="N34" s="44" t="n">
        <v>11894496572504900</v>
      </c>
      <c r="O34" s="44" t="n">
        <v>0.000107019693556141</v>
      </c>
      <c r="P34" s="44" t="n">
        <v>11869788910024700</v>
      </c>
      <c r="Q34" s="44" t="n">
        <v>0.000102554392527593</v>
      </c>
      <c r="R34" s="44" t="n">
        <v>10809777529374900</v>
      </c>
      <c r="S34" s="44" t="n">
        <v>9.7251420929557E-005</v>
      </c>
      <c r="T34" s="44" t="n">
        <v>10639753927528100</v>
      </c>
      <c r="U34" s="44" t="n">
        <v>9.29457448363558E-005</v>
      </c>
      <c r="V34" s="44" t="n">
        <v>9988547603940930</v>
      </c>
      <c r="W34" s="44" t="n">
        <v>8.645666169377E-005</v>
      </c>
      <c r="X34" s="44" t="n">
        <v>8990061271690210</v>
      </c>
      <c r="Y34" s="44" t="n">
        <v>8.16741308891541E-005</v>
      </c>
      <c r="Z34" s="44" t="n">
        <v>8710264173418590</v>
      </c>
      <c r="AA34" s="44" t="n">
        <v>7.77886356796591E-005</v>
      </c>
      <c r="AB34" s="44" t="n">
        <v>8220779070231900</v>
      </c>
      <c r="AC34" s="44" t="n">
        <v>7.34046987364468E-005</v>
      </c>
      <c r="AD34" s="44" t="n">
        <v>7226807255739610</v>
      </c>
      <c r="AE34" s="44" t="n">
        <v>6.61802002928448E-005</v>
      </c>
    </row>
    <row collapsed="false" customFormat="false" customHeight="false" hidden="false" ht="12.75" outlineLevel="0" r="35">
      <c r="B35" s="44" t="n">
        <v>14464522227456300</v>
      </c>
      <c r="C35" s="44" t="n">
        <v>0.00013362480489025</v>
      </c>
      <c r="D35" s="44" t="n">
        <v>14180845116094600</v>
      </c>
      <c r="E35" s="44" t="n">
        <v>0.000131544418200759</v>
      </c>
      <c r="F35" s="44" t="n">
        <v>14305818398829100</v>
      </c>
      <c r="G35" s="44" t="n">
        <v>0.000130287336071161</v>
      </c>
      <c r="H35" s="44" t="n">
        <v>13607680152058900</v>
      </c>
      <c r="I35" s="44" t="n">
        <v>0.000125099582108604</v>
      </c>
      <c r="J35" s="44" t="n">
        <v>12437299313556400</v>
      </c>
      <c r="K35" s="44" t="n">
        <v>0.00011706522094627</v>
      </c>
      <c r="L35" s="44" t="n">
        <v>12441073267272200</v>
      </c>
      <c r="M35" s="44" t="n">
        <v>0.000112422432344063</v>
      </c>
      <c r="N35" s="44" t="n">
        <v>11263318812494100</v>
      </c>
      <c r="O35" s="44" t="n">
        <v>0.000106794039695623</v>
      </c>
      <c r="P35" s="44" t="n">
        <v>11222645468675400</v>
      </c>
      <c r="Q35" s="44" t="n">
        <v>0.000102260745308786</v>
      </c>
      <c r="R35" s="44" t="n">
        <v>10205972939407100</v>
      </c>
      <c r="S35" s="44" t="n">
        <v>9.68180335289481E-005</v>
      </c>
      <c r="T35" s="44" t="n">
        <v>10042732249639200</v>
      </c>
      <c r="U35" s="44" t="n">
        <v>9.25520455492381E-005</v>
      </c>
      <c r="V35" s="44" t="n">
        <v>9411236125637700</v>
      </c>
      <c r="W35" s="44" t="n">
        <v>8.59649342610175E-005</v>
      </c>
      <c r="X35" s="44" t="n">
        <v>8462093245241410</v>
      </c>
      <c r="Y35" s="44" t="n">
        <v>8.10854456313668E-005</v>
      </c>
      <c r="Z35" s="44" t="n">
        <v>8191184385357170</v>
      </c>
      <c r="AA35" s="44" t="n">
        <v>7.71852447784042E-005</v>
      </c>
      <c r="AB35" s="44" t="n">
        <v>7724085273555210</v>
      </c>
      <c r="AC35" s="44" t="n">
        <v>7.27764369551841E-005</v>
      </c>
      <c r="AD35" s="44" t="n">
        <v>6777655477861600</v>
      </c>
      <c r="AE35" s="44" t="n">
        <v>6.54829998228375E-005</v>
      </c>
    </row>
    <row collapsed="false" customFormat="false" customHeight="false" hidden="false" ht="12.75" outlineLevel="0" r="36">
      <c r="B36" s="44" t="n">
        <v>13747707409869100</v>
      </c>
      <c r="C36" s="44" t="n">
        <v>0.000133854664382674</v>
      </c>
      <c r="D36" s="44" t="n">
        <v>13471878294920100</v>
      </c>
      <c r="E36" s="44" t="n">
        <v>0.000131741666668197</v>
      </c>
      <c r="F36" s="44" t="n">
        <v>13580798924577600</v>
      </c>
      <c r="G36" s="44" t="n">
        <v>0.000130364769010323</v>
      </c>
      <c r="H36" s="44" t="n">
        <v>12914149241889700</v>
      </c>
      <c r="I36" s="44" t="n">
        <v>0.000125110540701798</v>
      </c>
      <c r="J36" s="44" t="n">
        <v>11787879151096700</v>
      </c>
      <c r="K36" s="44" t="n">
        <v>0.000116952025713381</v>
      </c>
      <c r="L36" s="44" t="n">
        <v>11779928590221000</v>
      </c>
      <c r="M36" s="44" t="n">
        <v>0.00011224559380744</v>
      </c>
      <c r="N36" s="44" t="n">
        <v>10656936422443700</v>
      </c>
      <c r="O36" s="44" t="n">
        <v>0.000106476187897836</v>
      </c>
      <c r="P36" s="44" t="n">
        <v>10606064002708800</v>
      </c>
      <c r="Q36" s="44" t="n">
        <v>0.000101888625456411</v>
      </c>
      <c r="R36" s="44" t="n">
        <v>9639008575988310</v>
      </c>
      <c r="S36" s="44" t="n">
        <v>9.64275353725359E-005</v>
      </c>
      <c r="T36" s="44" t="n">
        <v>9472970302585540</v>
      </c>
      <c r="U36" s="44" t="n">
        <v>9.20618474223155E-005</v>
      </c>
      <c r="V36" s="44" t="n">
        <v>8869630486243880</v>
      </c>
      <c r="W36" s="44" t="n">
        <v>8.5450443867198E-005</v>
      </c>
      <c r="X36" s="44" t="n">
        <v>7968933164219970</v>
      </c>
      <c r="Y36" s="44" t="n">
        <v>8.05180252729834E-005</v>
      </c>
      <c r="Z36" s="44" t="n">
        <v>7706750884812710</v>
      </c>
      <c r="AA36" s="44" t="n">
        <v>7.66068136772884E-005</v>
      </c>
      <c r="AB36" s="44" t="n">
        <v>7257000870150840</v>
      </c>
      <c r="AC36" s="44" t="n">
        <v>7.21406423379205E-005</v>
      </c>
      <c r="AD36" s="44" t="n">
        <v>6355404294101230</v>
      </c>
      <c r="AE36" s="44" t="n">
        <v>6.47828333343241E-005</v>
      </c>
    </row>
    <row collapsed="false" customFormat="false" customHeight="false" hidden="false" ht="12.75" outlineLevel="0" r="37">
      <c r="B37" s="44" t="n">
        <v>13061880591293100</v>
      </c>
      <c r="C37" s="44" t="n">
        <v>0.000133999830331037</v>
      </c>
      <c r="D37" s="44" t="n">
        <v>12790575345340600</v>
      </c>
      <c r="E37" s="44" t="n">
        <v>0.000131807079293831</v>
      </c>
      <c r="F37" s="44" t="n">
        <v>12897324722797800</v>
      </c>
      <c r="G37" s="44" t="n">
        <v>0.000130438967489506</v>
      </c>
      <c r="H37" s="44" t="n">
        <v>12250785067243900</v>
      </c>
      <c r="I37" s="44" t="n">
        <v>0.000125052657142944</v>
      </c>
      <c r="J37" s="44" t="n">
        <v>11172349991404500</v>
      </c>
      <c r="K37" s="44" t="n">
        <v>0.000116818347141635</v>
      </c>
      <c r="L37" s="44" t="n">
        <v>11153811663637300</v>
      </c>
      <c r="M37" s="44" t="n">
        <v>0.000112048746609415</v>
      </c>
      <c r="N37" s="44" t="n">
        <v>10079499290984500</v>
      </c>
      <c r="O37" s="44" t="n">
        <v>0.000106096125872277</v>
      </c>
      <c r="P37" s="44" t="n">
        <v>10025332222574000</v>
      </c>
      <c r="Q37" s="44" t="n">
        <v>0.000101545158209976</v>
      </c>
      <c r="R37" s="44" t="n">
        <v>9098124819424570</v>
      </c>
      <c r="S37" s="44" t="n">
        <v>9.59595824884477E-005</v>
      </c>
      <c r="T37" s="44" t="n">
        <v>8937413266103270</v>
      </c>
      <c r="U37" s="44" t="n">
        <v>9.15896094296027E-005</v>
      </c>
      <c r="V37" s="44" t="n">
        <v>8354347988692720</v>
      </c>
      <c r="W37" s="44" t="n">
        <v>8.49008451311982E-005</v>
      </c>
      <c r="X37" s="44" t="n">
        <v>7492200420056620</v>
      </c>
      <c r="Y37" s="44" t="n">
        <v>7.98528328374632E-005</v>
      </c>
      <c r="Z37" s="44" t="n">
        <v>7248645667740300</v>
      </c>
      <c r="AA37" s="44" t="n">
        <v>7.59851824147342E-005</v>
      </c>
      <c r="AB37" s="44" t="n">
        <v>6816735483126460</v>
      </c>
      <c r="AC37" s="44" t="n">
        <v>7.14417421423919E-005</v>
      </c>
      <c r="AD37" s="44" t="n">
        <v>5958129488975960</v>
      </c>
      <c r="AE37" s="44" t="n">
        <v>6.40555839203326E-005</v>
      </c>
    </row>
    <row collapsed="false" customFormat="false" customHeight="false" hidden="false" ht="12.75" outlineLevel="0" r="38">
      <c r="B38" s="44" t="n">
        <v>12404560547015200</v>
      </c>
      <c r="C38" s="44" t="n">
        <v>0.000134045307579346</v>
      </c>
      <c r="D38" s="44" t="n">
        <v>12142725508111700</v>
      </c>
      <c r="E38" s="44" t="n">
        <v>0.000131847831882906</v>
      </c>
      <c r="F38" s="44" t="n">
        <v>12235940159558000</v>
      </c>
      <c r="G38" s="44" t="n">
        <v>0.000130399364368332</v>
      </c>
      <c r="H38" s="44" t="n">
        <v>11616712631766200</v>
      </c>
      <c r="I38" s="44" t="n">
        <v>0.000124905033124293</v>
      </c>
      <c r="J38" s="44" t="n">
        <v>10582052169258400</v>
      </c>
      <c r="K38" s="44" t="n">
        <v>0.000116561047656036</v>
      </c>
      <c r="L38" s="44" t="n">
        <v>10558860965276100</v>
      </c>
      <c r="M38" s="44" t="n">
        <v>0.000111765080014215</v>
      </c>
      <c r="N38" s="44" t="n">
        <v>9533746752865860</v>
      </c>
      <c r="O38" s="44" t="n">
        <v>0.000105709030083932</v>
      </c>
      <c r="P38" s="44" t="n">
        <v>9475133734526550</v>
      </c>
      <c r="Q38" s="44" t="n">
        <v>0.000101131273835165</v>
      </c>
      <c r="R38" s="44" t="n">
        <v>8590131613968400</v>
      </c>
      <c r="S38" s="44" t="n">
        <v>9.54787000383243E-005</v>
      </c>
      <c r="T38" s="44" t="n">
        <v>8429620822742670</v>
      </c>
      <c r="U38" s="44" t="n">
        <v>9.10512201173129E-005</v>
      </c>
      <c r="V38" s="44" t="n">
        <v>7868169555266790</v>
      </c>
      <c r="W38" s="44" t="n">
        <v>8.42988825655235E-005</v>
      </c>
      <c r="X38" s="44" t="n">
        <v>7054944722881340</v>
      </c>
      <c r="Y38" s="44" t="n">
        <v>7.92655223939573E-005</v>
      </c>
      <c r="Z38" s="44" t="n">
        <v>6810725345664040</v>
      </c>
      <c r="AA38" s="44" t="n">
        <v>7.52557833126022E-005</v>
      </c>
      <c r="AB38" s="44" t="n">
        <v>6400926301522710</v>
      </c>
      <c r="AC38" s="44" t="n">
        <v>7.07525243749639E-005</v>
      </c>
      <c r="AD38" s="44" t="n">
        <v>5589119782351900</v>
      </c>
      <c r="AE38" s="44" t="n">
        <v>6.33517635783459E-005</v>
      </c>
    </row>
    <row collapsed="false" customFormat="false" customHeight="false" hidden="false" ht="12.75" outlineLevel="0" r="39">
      <c r="B39" s="44" t="n">
        <v>11778194526440400</v>
      </c>
      <c r="C39" s="44" t="n">
        <v>0.000134098484062376</v>
      </c>
      <c r="D39" s="44" t="n">
        <v>11526773247353200</v>
      </c>
      <c r="E39" s="44" t="n">
        <v>0.000131818273103711</v>
      </c>
      <c r="F39" s="44" t="n">
        <v>11610877088217700</v>
      </c>
      <c r="G39" s="44" t="n">
        <v>0.000130320909159791</v>
      </c>
      <c r="H39" s="44" t="n">
        <v>11019067533397100</v>
      </c>
      <c r="I39" s="44" t="n">
        <v>0.000124821668943148</v>
      </c>
      <c r="J39" s="44" t="n">
        <v>10016589572694300</v>
      </c>
      <c r="K39" s="44" t="n">
        <v>0.000116185413583321</v>
      </c>
      <c r="L39" s="44" t="n">
        <v>9984576689035840</v>
      </c>
      <c r="M39" s="44" t="n">
        <v>0.000111360174892181</v>
      </c>
      <c r="N39" s="44" t="n">
        <v>9010619187874490</v>
      </c>
      <c r="O39" s="44" t="n">
        <v>0.000105218693803848</v>
      </c>
      <c r="P39" s="44" t="n">
        <v>8948189384651190</v>
      </c>
      <c r="Q39" s="44" t="n">
        <v>0.000100670649697864</v>
      </c>
      <c r="R39" s="44" t="n">
        <v>8104394881496200</v>
      </c>
      <c r="S39" s="44" t="n">
        <v>9.49045718676342E-005</v>
      </c>
      <c r="T39" s="44" t="n">
        <v>7947287900907360</v>
      </c>
      <c r="U39" s="44" t="n">
        <v>9.04697060116331E-005</v>
      </c>
      <c r="V39" s="44" t="n">
        <v>7411225866474890</v>
      </c>
      <c r="W39" s="44" t="n">
        <v>8.3696202231641E-005</v>
      </c>
      <c r="X39" s="44" t="n">
        <v>6642050723389790</v>
      </c>
      <c r="Y39" s="44" t="n">
        <v>7.86309809338755E-005</v>
      </c>
      <c r="Z39" s="44" t="n">
        <v>6403665324180780</v>
      </c>
      <c r="AA39" s="44" t="n">
        <v>7.45961887080292E-005</v>
      </c>
      <c r="AB39" s="44" t="n">
        <v>6006619173308160</v>
      </c>
      <c r="AC39" s="44" t="n">
        <v>7.00071670717499E-005</v>
      </c>
      <c r="AD39" s="44" t="n">
        <v>5240117478900220</v>
      </c>
      <c r="AE39" s="44" t="n">
        <v>6.2623878895807E-005</v>
      </c>
    </row>
    <row collapsed="false" customFormat="false" customHeight="false" hidden="false" ht="12.75" outlineLevel="0" r="40">
      <c r="B40" s="44" t="n">
        <v>11180101622886500</v>
      </c>
      <c r="C40" s="44" t="n">
        <v>0.000133984478093757</v>
      </c>
      <c r="D40" s="44" t="n">
        <v>10932971230360700</v>
      </c>
      <c r="E40" s="44" t="n">
        <v>0.000131627355753448</v>
      </c>
      <c r="F40" s="44" t="n">
        <v>11009394140573100</v>
      </c>
      <c r="G40" s="44" t="n">
        <v>0.000130133396101097</v>
      </c>
      <c r="H40" s="44" t="n">
        <v>10440585354209700</v>
      </c>
      <c r="I40" s="44" t="n">
        <v>0.000124507489946751</v>
      </c>
      <c r="J40" s="44" t="n">
        <v>9486209435851140</v>
      </c>
      <c r="K40" s="44" t="n">
        <v>0.000115817571704007</v>
      </c>
      <c r="L40" s="44" t="n">
        <v>9443232391518670</v>
      </c>
      <c r="M40" s="44" t="n">
        <v>0.000110963425230907</v>
      </c>
      <c r="N40" s="44" t="n">
        <v>8524958231875620</v>
      </c>
      <c r="O40" s="44" t="n">
        <v>0.000104754005294226</v>
      </c>
      <c r="P40" s="44" t="n">
        <v>8453060155627950</v>
      </c>
      <c r="Q40" s="44" t="n">
        <v>0.000100141468898875</v>
      </c>
      <c r="R40" s="44" t="n">
        <v>7644401439804290</v>
      </c>
      <c r="S40" s="44" t="n">
        <v>9.42655499470998E-005</v>
      </c>
      <c r="T40" s="44" t="n">
        <v>7495552693784850</v>
      </c>
      <c r="U40" s="44" t="n">
        <v>8.98810535182981E-005</v>
      </c>
      <c r="V40" s="44" t="n">
        <v>6979583640128380</v>
      </c>
      <c r="W40" s="44" t="n">
        <v>8.30633443044976E-005</v>
      </c>
      <c r="X40" s="44" t="n">
        <v>6248258415925560</v>
      </c>
      <c r="Y40" s="44" t="n">
        <v>7.7876710478271E-005</v>
      </c>
      <c r="Z40" s="44" t="n">
        <v>6019807573538920</v>
      </c>
      <c r="AA40" s="44" t="n">
        <v>7.38761385865538E-005</v>
      </c>
      <c r="AB40" s="44" t="n">
        <v>5645397745008990</v>
      </c>
      <c r="AC40" s="44" t="n">
        <v>6.93297666947177E-005</v>
      </c>
      <c r="AD40" s="44" t="n">
        <v>4912154763705850</v>
      </c>
      <c r="AE40" s="44" t="n">
        <v>6.1827765900437E-005</v>
      </c>
    </row>
    <row collapsed="false" customFormat="false" customHeight="false" hidden="false" ht="12.75" outlineLevel="0" r="41">
      <c r="B41" s="44" t="n">
        <v>10618882826081300</v>
      </c>
      <c r="C41" s="44" t="n">
        <v>0.000134046046532307</v>
      </c>
      <c r="D41" s="44" t="n">
        <v>10365982772889600</v>
      </c>
      <c r="E41" s="44" t="n">
        <v>0.00013143797832424</v>
      </c>
      <c r="F41" s="44" t="n">
        <v>10441341915508900</v>
      </c>
      <c r="G41" s="44" t="n">
        <v>0.000129911041087672</v>
      </c>
      <c r="H41" s="44" t="n">
        <v>9903510503286740</v>
      </c>
      <c r="I41" s="44" t="n">
        <v>0.000124315778113276</v>
      </c>
      <c r="J41" s="44" t="n">
        <v>8978127391525000</v>
      </c>
      <c r="K41" s="44" t="n">
        <v>0.00011546280848249</v>
      </c>
      <c r="L41" s="44" t="n">
        <v>8934271133662440</v>
      </c>
      <c r="M41" s="44" t="n">
        <v>0.000110505447544536</v>
      </c>
      <c r="N41" s="44" t="n">
        <v>8055218366818200</v>
      </c>
      <c r="O41" s="44" t="n">
        <v>0.000104274167066675</v>
      </c>
      <c r="P41" s="44" t="n">
        <v>7984428313760080</v>
      </c>
      <c r="Q41" s="44" t="n">
        <v>9.95914452462932E-005</v>
      </c>
      <c r="R41" s="44" t="n">
        <v>7210736447019500</v>
      </c>
      <c r="S41" s="44" t="n">
        <v>9.37290340075651E-005</v>
      </c>
      <c r="T41" s="44" t="n">
        <v>7065928561391970</v>
      </c>
      <c r="U41" s="44" t="n">
        <v>8.92780447601839E-005</v>
      </c>
      <c r="V41" s="44" t="n">
        <v>6571191550837820</v>
      </c>
      <c r="W41" s="44" t="n">
        <v>8.23502841631733E-005</v>
      </c>
      <c r="X41" s="44" t="n">
        <v>5877807845587630</v>
      </c>
      <c r="Y41" s="44" t="n">
        <v>7.72008115679119E-005</v>
      </c>
      <c r="Z41" s="44" t="n">
        <v>5656541441218460</v>
      </c>
      <c r="AA41" s="44" t="n">
        <v>7.31339959259735E-005</v>
      </c>
      <c r="AB41" s="44" t="n">
        <v>5301958460732440</v>
      </c>
      <c r="AC41" s="44" t="n">
        <v>6.85951854181981E-005</v>
      </c>
      <c r="AD41" s="44" t="n">
        <v>4608586025899590</v>
      </c>
      <c r="AE41" s="44" t="n">
        <v>6.11612136091523E-005</v>
      </c>
    </row>
    <row collapsed="false" customFormat="false" customHeight="false" hidden="false" ht="12.75" outlineLevel="0" r="42">
      <c r="B42" s="44" t="n">
        <v>10073094739099500</v>
      </c>
      <c r="C42" s="44" t="n">
        <v>0.000133910805625046</v>
      </c>
      <c r="D42" s="44" t="n">
        <v>9834290690439120</v>
      </c>
      <c r="E42" s="44" t="n">
        <v>0.000131360300982907</v>
      </c>
      <c r="F42" s="44" t="n">
        <v>9904785992818950</v>
      </c>
      <c r="G42" s="44" t="n">
        <v>0.000129817554192748</v>
      </c>
      <c r="H42" s="44" t="n">
        <v>9383153407774650</v>
      </c>
      <c r="I42" s="44" t="n">
        <v>0.000124097679800363</v>
      </c>
      <c r="J42" s="44" t="n">
        <v>8494443426432140</v>
      </c>
      <c r="K42" s="44" t="n">
        <v>0.000115008874687814</v>
      </c>
      <c r="L42" s="44" t="n">
        <v>8450220205484130</v>
      </c>
      <c r="M42" s="44" t="n">
        <v>0.000110165509793941</v>
      </c>
      <c r="N42" s="44" t="n">
        <v>7613222282863200</v>
      </c>
      <c r="O42" s="44" t="n">
        <v>0.000103751134007523</v>
      </c>
      <c r="P42" s="44" t="n">
        <v>7537157954184700</v>
      </c>
      <c r="Q42" s="44" t="n">
        <v>9.9029034344377E-005</v>
      </c>
      <c r="R42" s="44" t="n">
        <v>6803836095979500</v>
      </c>
      <c r="S42" s="44" t="n">
        <v>9.31352324998703E-005</v>
      </c>
      <c r="T42" s="44" t="n">
        <v>6658794219463290</v>
      </c>
      <c r="U42" s="44" t="n">
        <v>8.8635060573362E-005</v>
      </c>
      <c r="V42" s="44" t="n">
        <v>6186040196449880</v>
      </c>
      <c r="W42" s="44" t="n">
        <v>8.1710060804462E-005</v>
      </c>
      <c r="X42" s="44" t="n">
        <v>5526890852581300</v>
      </c>
      <c r="Y42" s="44" t="n">
        <v>7.64639744953557E-005</v>
      </c>
      <c r="Z42" s="44" t="n">
        <v>5318595300208510</v>
      </c>
      <c r="AA42" s="44" t="n">
        <v>7.24616623045116E-005</v>
      </c>
      <c r="AB42" s="44" t="n">
        <v>4976531765420550</v>
      </c>
      <c r="AC42" s="44" t="n">
        <v>6.78452623722033E-005</v>
      </c>
      <c r="AD42" s="44" t="n">
        <v>4320303762359760</v>
      </c>
      <c r="AE42" s="44" t="n">
        <v>6.03686275451228E-005</v>
      </c>
    </row>
    <row collapsed="false" customFormat="false" customHeight="false" hidden="false" ht="12.75" outlineLevel="0" r="43">
      <c r="B43" s="44" t="n">
        <v>9559600665185000</v>
      </c>
      <c r="C43" s="44" t="n">
        <v>0.000133777382786642</v>
      </c>
      <c r="D43" s="44" t="n">
        <v>9324961659416050</v>
      </c>
      <c r="E43" s="44" t="n">
        <v>0.000131197565777598</v>
      </c>
      <c r="F43" s="44" t="n">
        <v>9386443760853170</v>
      </c>
      <c r="G43" s="44" t="n">
        <v>0.000129530990671032</v>
      </c>
      <c r="H43" s="44" t="n">
        <v>8888977301975570</v>
      </c>
      <c r="I43" s="44" t="n">
        <v>0.000123741361582926</v>
      </c>
      <c r="J43" s="44" t="n">
        <v>8037915377499570</v>
      </c>
      <c r="K43" s="44" t="n">
        <v>0.000114599423027114</v>
      </c>
      <c r="L43" s="44" t="n">
        <v>7985730026277960</v>
      </c>
      <c r="M43" s="44" t="n">
        <v>0.000109615524718797</v>
      </c>
      <c r="N43" s="44" t="n">
        <v>7194136443903680</v>
      </c>
      <c r="O43" s="44" t="n">
        <v>0.000103196810030016</v>
      </c>
      <c r="P43" s="44" t="n">
        <v>7110427222294900</v>
      </c>
      <c r="Q43" s="44" t="n">
        <v>9.84127347538269E-005</v>
      </c>
      <c r="R43" s="44" t="n">
        <v>6418170509199850</v>
      </c>
      <c r="S43" s="44" t="n">
        <v>9.25149290194961E-005</v>
      </c>
      <c r="T43" s="44" t="n">
        <v>6274440139334530</v>
      </c>
      <c r="U43" s="44" t="n">
        <v>8.79726649228366E-005</v>
      </c>
      <c r="V43" s="44" t="n">
        <v>5820252344660830</v>
      </c>
      <c r="W43" s="44" t="n">
        <v>8.09771916663291E-005</v>
      </c>
      <c r="X43" s="44" t="n">
        <v>5197753808317490</v>
      </c>
      <c r="Y43" s="44" t="n">
        <v>7.57332775976665E-005</v>
      </c>
      <c r="Z43" s="44" t="n">
        <v>4995807414916580</v>
      </c>
      <c r="AA43" s="44" t="n">
        <v>7.16869939139941E-005</v>
      </c>
      <c r="AB43" s="44" t="n">
        <v>4671140933507160</v>
      </c>
      <c r="AC43" s="44" t="n">
        <v>6.70588550373392E-005</v>
      </c>
      <c r="AD43" s="44" t="n">
        <v>4047128628949140</v>
      </c>
      <c r="AE43" s="44" t="n">
        <v>5.95771807436491E-005</v>
      </c>
    </row>
    <row collapsed="false" customFormat="false" customHeight="false" hidden="false" ht="12.75" outlineLevel="0" r="44">
      <c r="B44" s="44" t="n">
        <v>9068138789119260</v>
      </c>
      <c r="C44" s="44" t="n">
        <v>0.00013354120301323</v>
      </c>
      <c r="D44" s="44" t="n">
        <v>8846007033809850</v>
      </c>
      <c r="E44" s="44" t="n">
        <v>0.00013095302625429</v>
      </c>
      <c r="F44" s="44" t="n">
        <v>8903634314580150</v>
      </c>
      <c r="G44" s="44" t="n">
        <v>0.00012930825056013</v>
      </c>
      <c r="H44" s="44" t="n">
        <v>8420691044651710</v>
      </c>
      <c r="I44" s="44" t="n">
        <v>0.000123311968849369</v>
      </c>
      <c r="J44" s="44" t="n">
        <v>7603821449672410</v>
      </c>
      <c r="K44" s="44" t="n">
        <v>0.0001140866474249</v>
      </c>
      <c r="L44" s="44" t="n">
        <v>7547946315069560</v>
      </c>
      <c r="M44" s="44" t="n">
        <v>0.000109078226707472</v>
      </c>
      <c r="N44" s="44" t="n">
        <v>6794312130138630</v>
      </c>
      <c r="O44" s="44" t="n">
        <v>0.000102578238520852</v>
      </c>
      <c r="P44" s="44" t="n">
        <v>6715082299011590</v>
      </c>
      <c r="Q44" s="44" t="n">
        <v>9.78246741545092E-005</v>
      </c>
      <c r="R44" s="44" t="n">
        <v>6051971576714230</v>
      </c>
      <c r="S44" s="44" t="n">
        <v>9.18467203994131E-005</v>
      </c>
      <c r="T44" s="44" t="n">
        <v>5918316364349390</v>
      </c>
      <c r="U44" s="44" t="n">
        <v>8.73589930701915E-005</v>
      </c>
      <c r="V44" s="44" t="n">
        <v>5478082098885290</v>
      </c>
      <c r="W44" s="44" t="n">
        <v>8.03222634310077E-005</v>
      </c>
      <c r="X44" s="44" t="n">
        <v>4887727897801580</v>
      </c>
      <c r="Y44" s="44" t="n">
        <v>7.50166101932027E-005</v>
      </c>
      <c r="Z44" s="44" t="n">
        <v>4697764338239960</v>
      </c>
      <c r="AA44" s="44" t="n">
        <v>7.10029935124592E-005</v>
      </c>
      <c r="AB44" s="44" t="n">
        <v>4387147557871670</v>
      </c>
      <c r="AC44" s="44" t="n">
        <v>6.63383518611559E-005</v>
      </c>
      <c r="AD44" s="44" t="n">
        <v>3792086185908160</v>
      </c>
      <c r="AE44" s="44" t="n">
        <v>5.87802990871387E-005</v>
      </c>
    </row>
    <row collapsed="false" customFormat="false" customHeight="false" hidden="false" ht="12.75" outlineLevel="0" r="45">
      <c r="B45" s="44" t="n">
        <v>8597432081755680</v>
      </c>
      <c r="C45" s="44" t="n">
        <v>0.000133241675257402</v>
      </c>
      <c r="D45" s="44" t="n">
        <v>8386008289478700</v>
      </c>
      <c r="E45" s="44" t="n">
        <v>0.000130654606795587</v>
      </c>
      <c r="F45" s="44" t="n">
        <v>8443017694494650</v>
      </c>
      <c r="G45" s="44" t="n">
        <v>0.000129018330728252</v>
      </c>
      <c r="H45" s="44" t="n">
        <v>7977962537577480</v>
      </c>
      <c r="I45" s="44" t="n">
        <v>0.000122941848085827</v>
      </c>
      <c r="J45" s="44" t="n">
        <v>7196682073529160</v>
      </c>
      <c r="K45" s="44" t="n">
        <v>0.000113610631371019</v>
      </c>
      <c r="L45" s="44" t="n">
        <v>7139201609275110</v>
      </c>
      <c r="M45" s="44" t="n">
        <v>0.000108606299309487</v>
      </c>
      <c r="N45" s="44" t="n">
        <v>6418098597588380</v>
      </c>
      <c r="O45" s="44" t="n">
        <v>0.000101982964437827</v>
      </c>
      <c r="P45" s="44" t="n">
        <v>6336706629234850</v>
      </c>
      <c r="Q45" s="44" t="n">
        <v>9.71890377001165E-005</v>
      </c>
      <c r="R45" s="44" t="n">
        <v>5704840925070160</v>
      </c>
      <c r="S45" s="44" t="n">
        <v>9.11263491476769E-005</v>
      </c>
      <c r="T45" s="44" t="n">
        <v>5575682845151930</v>
      </c>
      <c r="U45" s="44" t="n">
        <v>8.66542859335362E-005</v>
      </c>
      <c r="V45" s="44" t="n">
        <v>5158475976075800</v>
      </c>
      <c r="W45" s="44" t="n">
        <v>7.96249868991096E-005</v>
      </c>
      <c r="X45" s="44" t="n">
        <v>4598772328853180</v>
      </c>
      <c r="Y45" s="44" t="n">
        <v>7.43000962434915E-005</v>
      </c>
      <c r="Z45" s="44" t="n">
        <v>4411588024612300</v>
      </c>
      <c r="AA45" s="44" t="n">
        <v>7.02183825987787E-005</v>
      </c>
      <c r="AB45" s="44" t="n">
        <v>4117656485628450</v>
      </c>
      <c r="AC45" s="44" t="n">
        <v>6.55555832902744E-005</v>
      </c>
      <c r="AD45" s="44" t="n">
        <v>3558946252789220</v>
      </c>
      <c r="AE45" s="44" t="n">
        <v>5.80803218856445E-005</v>
      </c>
    </row>
    <row collapsed="false" customFormat="false" customHeight="false" hidden="false" ht="12.75" outlineLevel="0" r="46">
      <c r="B46" s="44" t="n">
        <v>8151216336127100</v>
      </c>
      <c r="C46" s="44" t="n">
        <v>0.000132849539670601</v>
      </c>
      <c r="D46" s="44" t="n">
        <v>7945114717818410</v>
      </c>
      <c r="E46" s="44" t="n">
        <v>0.000130183225136406</v>
      </c>
      <c r="F46" s="44" t="n">
        <v>8000606098463790</v>
      </c>
      <c r="G46" s="44" t="n">
        <v>0.000128553499335668</v>
      </c>
      <c r="H46" s="44" t="n">
        <v>7555155177446670</v>
      </c>
      <c r="I46" s="44" t="n">
        <v>0.00012245243436165</v>
      </c>
      <c r="J46" s="44" t="n">
        <v>6810241992467520</v>
      </c>
      <c r="K46" s="44" t="n">
        <v>0.000113073545949913</v>
      </c>
      <c r="L46" s="44" t="n">
        <v>6746392834808330</v>
      </c>
      <c r="M46" s="44" t="n">
        <v>0.000108014840049597</v>
      </c>
      <c r="N46" s="44" t="n">
        <v>6059408603344130</v>
      </c>
      <c r="O46" s="44" t="n">
        <v>0.000101213494243104</v>
      </c>
      <c r="P46" s="44" t="n">
        <v>5974301189213850</v>
      </c>
      <c r="Q46" s="44" t="n">
        <v>9.63850608003039E-005</v>
      </c>
      <c r="R46" s="44" t="n">
        <v>5384337682492520</v>
      </c>
      <c r="S46" s="44" t="n">
        <v>9.05011929995498E-005</v>
      </c>
      <c r="T46" s="44" t="n">
        <v>5251204240640900</v>
      </c>
      <c r="U46" s="44" t="n">
        <v>8.5853124051239E-005</v>
      </c>
      <c r="V46" s="44" t="n">
        <v>4852669106447710</v>
      </c>
      <c r="W46" s="44" t="n">
        <v>7.88234901890148E-005</v>
      </c>
      <c r="X46" s="44" t="n">
        <v>4324117198287780</v>
      </c>
      <c r="Y46" s="44" t="n">
        <v>7.35067339834952E-005</v>
      </c>
      <c r="Z46" s="44" t="n">
        <v>4147984429243830</v>
      </c>
      <c r="AA46" s="44" t="n">
        <v>6.94532972797429E-005</v>
      </c>
      <c r="AB46" s="44" t="n">
        <v>3868787194593090</v>
      </c>
      <c r="AC46" s="44" t="n">
        <v>6.4820929121885E-005</v>
      </c>
      <c r="AD46" s="44" t="n">
        <v>3334347137827980</v>
      </c>
      <c r="AE46" s="44" t="n">
        <v>5.72682456630961E-005</v>
      </c>
    </row>
    <row collapsed="false" customFormat="false" customHeight="false" hidden="false" ht="12.75" outlineLevel="0" r="47">
      <c r="B47" s="44" t="n">
        <v>7722716288918300</v>
      </c>
      <c r="C47" s="44" t="n">
        <v>0.00013240450150072</v>
      </c>
      <c r="D47" s="44" t="n">
        <v>7530108392890370</v>
      </c>
      <c r="E47" s="44" t="n">
        <v>0.000129751978991606</v>
      </c>
      <c r="F47" s="44" t="n">
        <v>7579875194515170</v>
      </c>
      <c r="G47" s="44" t="n">
        <v>0.000127989270681705</v>
      </c>
      <c r="H47" s="44" t="n">
        <v>7154754432801300</v>
      </c>
      <c r="I47" s="44" t="n">
        <v>0.000121947403758445</v>
      </c>
      <c r="J47" s="44" t="n">
        <v>6439342450273140</v>
      </c>
      <c r="K47" s="44" t="n">
        <v>0.00011238919000651</v>
      </c>
      <c r="L47" s="44" t="n">
        <v>6369865398544560</v>
      </c>
      <c r="M47" s="44" t="n">
        <v>0.000107243095367189</v>
      </c>
      <c r="N47" s="44" t="n">
        <v>5719952271758610</v>
      </c>
      <c r="O47" s="44" t="n">
        <v>0.000100515412894479</v>
      </c>
      <c r="P47" s="44" t="n">
        <v>5638562908299380</v>
      </c>
      <c r="Q47" s="44" t="n">
        <v>9.57196208925996E-005</v>
      </c>
      <c r="R47" s="44" t="n">
        <v>5074170343827390</v>
      </c>
      <c r="S47" s="44" t="n">
        <v>8.97095018838115E-005</v>
      </c>
      <c r="T47" s="44" t="n">
        <v>4943421762305040</v>
      </c>
      <c r="U47" s="44" t="n">
        <v>8.50383537200427E-005</v>
      </c>
      <c r="V47" s="44" t="n">
        <v>4563129798216840</v>
      </c>
      <c r="W47" s="44" t="n">
        <v>7.79649934001092E-005</v>
      </c>
      <c r="X47" s="44" t="n">
        <v>4066884397860260</v>
      </c>
      <c r="Y47" s="44" t="n">
        <v>7.27517966777143E-005</v>
      </c>
      <c r="Z47" s="44" t="n">
        <v>3896000897858520</v>
      </c>
      <c r="AA47" s="44" t="n">
        <v>6.86492159054596E-005</v>
      </c>
      <c r="AB47" s="44" t="n">
        <v>3629494866202210</v>
      </c>
      <c r="AC47" s="44" t="n">
        <v>6.39642498584908E-005</v>
      </c>
      <c r="AD47" s="44" t="n">
        <v>3126622200397880</v>
      </c>
      <c r="AE47" s="44" t="n">
        <v>5.65000521210655E-005</v>
      </c>
    </row>
    <row collapsed="false" customFormat="false" customHeight="false" hidden="false" ht="12.75" outlineLevel="0" r="48">
      <c r="B48" s="44" t="n">
        <v>7322304192406580</v>
      </c>
      <c r="C48" s="44" t="n">
        <v>0.000132092065881105</v>
      </c>
      <c r="D48" s="44" t="n">
        <v>7135805279714390</v>
      </c>
      <c r="E48" s="44" t="n">
        <v>0.00012933109618799</v>
      </c>
      <c r="F48" s="44" t="n">
        <v>7183975770453740</v>
      </c>
      <c r="G48" s="44" t="n">
        <v>0.000127557383319343</v>
      </c>
      <c r="H48" s="44" t="n">
        <v>6771586296382940</v>
      </c>
      <c r="I48" s="44" t="n">
        <v>0.000121303729207163</v>
      </c>
      <c r="J48" s="44" t="n">
        <v>6086830746368530</v>
      </c>
      <c r="K48" s="44" t="n">
        <v>0.000111644242851642</v>
      </c>
      <c r="L48" s="44" t="n">
        <v>6019824421396730</v>
      </c>
      <c r="M48" s="44" t="n">
        <v>0.000106601165390369</v>
      </c>
      <c r="N48" s="44" t="n">
        <v>5399041112579580</v>
      </c>
      <c r="O48" s="44" t="n">
        <v>9.9750158798892E-005</v>
      </c>
      <c r="P48" s="44" t="n">
        <v>5320228799585630</v>
      </c>
      <c r="Q48" s="44" t="n">
        <v>9.49942546996527E-005</v>
      </c>
      <c r="R48" s="44" t="n">
        <v>4781015270690880</v>
      </c>
      <c r="S48" s="44" t="n">
        <v>8.88653867107954E-005</v>
      </c>
      <c r="T48" s="44" t="n">
        <v>4655525468224940</v>
      </c>
      <c r="U48" s="44" t="n">
        <v>8.42441859056422E-005</v>
      </c>
      <c r="V48" s="44" t="n">
        <v>4294848354188090</v>
      </c>
      <c r="W48" s="44" t="n">
        <v>7.72153501003454E-005</v>
      </c>
      <c r="X48" s="44" t="n">
        <v>3824041983063730</v>
      </c>
      <c r="Y48" s="44" t="n">
        <v>7.19019517630671E-005</v>
      </c>
      <c r="Z48" s="44" t="n">
        <v>3658570276550310</v>
      </c>
      <c r="AA48" s="44" t="n">
        <v>6.77899349793918E-005</v>
      </c>
      <c r="AB48" s="44" t="n">
        <v>3408787070535180</v>
      </c>
      <c r="AC48" s="44" t="n">
        <v>6.31921998521036E-005</v>
      </c>
      <c r="AD48" s="44" t="n">
        <v>2931046234871820</v>
      </c>
      <c r="AE48" s="44" t="n">
        <v>5.56984559288782E-005</v>
      </c>
    </row>
    <row collapsed="false" customFormat="false" customHeight="false" hidden="false" ht="12.75" outlineLevel="0" r="49">
      <c r="B49" s="44" t="n">
        <v>6946449734701160</v>
      </c>
      <c r="C49" s="44" t="n">
        <v>0.000131705056103213</v>
      </c>
      <c r="D49" s="44" t="n">
        <v>6755739285449100</v>
      </c>
      <c r="E49" s="44" t="n">
        <v>0.00012869597597166</v>
      </c>
      <c r="F49" s="44" t="n">
        <v>6800167466337740</v>
      </c>
      <c r="G49" s="44" t="n">
        <v>0.000126868957385729</v>
      </c>
      <c r="H49" s="44" t="n">
        <v>6408349172268610</v>
      </c>
      <c r="I49" s="44" t="n">
        <v>0.000120645814210907</v>
      </c>
      <c r="J49" s="44" t="n">
        <v>5755733039410550</v>
      </c>
      <c r="K49" s="44" t="n">
        <v>0.000111004598075391</v>
      </c>
      <c r="L49" s="44" t="n">
        <v>5682280652716820</v>
      </c>
      <c r="M49" s="44" t="n">
        <v>0.000105779717155897</v>
      </c>
      <c r="N49" s="44" t="n">
        <v>5103850601195400</v>
      </c>
      <c r="O49" s="44" t="n">
        <v>9.91264418957275E-005</v>
      </c>
      <c r="P49" s="44" t="n">
        <v>5016812554666230</v>
      </c>
      <c r="Q49" s="44" t="n">
        <v>9.41866597635766E-005</v>
      </c>
      <c r="R49" s="44" t="n">
        <v>4511924087190440</v>
      </c>
      <c r="S49" s="44" t="n">
        <v>8.81818598458354E-005</v>
      </c>
      <c r="T49" s="44" t="n">
        <v>4388014375818820</v>
      </c>
      <c r="U49" s="44" t="n">
        <v>8.35317966199319E-005</v>
      </c>
      <c r="V49" s="44" t="n">
        <v>4043661263347350</v>
      </c>
      <c r="W49" s="44" t="n">
        <v>7.64924031623414E-005</v>
      </c>
      <c r="X49" s="44" t="n">
        <v>3595151405554070</v>
      </c>
      <c r="Y49" s="44" t="n">
        <v>7.11218216494701E-005</v>
      </c>
      <c r="Z49" s="44" t="n">
        <v>3442409403709010</v>
      </c>
      <c r="AA49" s="44" t="n">
        <v>6.71201733326708E-005</v>
      </c>
      <c r="AB49" s="44" t="n">
        <v>3201110278595010</v>
      </c>
      <c r="AC49" s="44" t="n">
        <v>6.23714156595173E-005</v>
      </c>
      <c r="AD49" s="44" t="n">
        <v>2748983842134610</v>
      </c>
      <c r="AE49" s="44" t="n">
        <v>5.49344892728111E-005</v>
      </c>
    </row>
    <row collapsed="false" customFormat="false" customHeight="false" hidden="false" ht="12.75" outlineLevel="0" r="50">
      <c r="B50" s="44" t="n">
        <v>6582233816123900</v>
      </c>
      <c r="C50" s="44" t="n">
        <v>0.000131201747823612</v>
      </c>
      <c r="D50" s="44" t="n">
        <v>6402750453137200</v>
      </c>
      <c r="E50" s="44" t="n">
        <v>0.000128281244764548</v>
      </c>
      <c r="F50" s="44" t="n">
        <v>6437236281994750</v>
      </c>
      <c r="G50" s="44" t="n">
        <v>0.000126270060631447</v>
      </c>
      <c r="H50" s="44" t="n">
        <v>6070028700195090</v>
      </c>
      <c r="I50" s="44" t="n">
        <v>0.000120162106504883</v>
      </c>
      <c r="J50" s="44" t="n">
        <v>5441038047126030</v>
      </c>
      <c r="K50" s="44" t="n">
        <v>0.000110303118226589</v>
      </c>
      <c r="L50" s="44" t="n">
        <v>5372599476634620</v>
      </c>
      <c r="M50" s="44" t="n">
        <v>0.000105189220756789</v>
      </c>
      <c r="N50" s="44" t="n">
        <v>4815455643390530</v>
      </c>
      <c r="O50" s="44" t="n">
        <v>9.83621973495657E-005</v>
      </c>
      <c r="P50" s="44" t="n">
        <v>4735962839968110</v>
      </c>
      <c r="Q50" s="44" t="n">
        <v>9.34628803607068E-005</v>
      </c>
      <c r="R50" s="44" t="n">
        <v>4251039315689200</v>
      </c>
      <c r="S50" s="44" t="n">
        <v>8.73827106499957E-005</v>
      </c>
      <c r="T50" s="44" t="n">
        <v>4135800986592490</v>
      </c>
      <c r="U50" s="44" t="n">
        <v>8.27922662823923E-005</v>
      </c>
      <c r="V50" s="44" t="n">
        <v>3805553014311290</v>
      </c>
      <c r="W50" s="44" t="n">
        <v>7.56868704598601E-005</v>
      </c>
      <c r="X50" s="44" t="n">
        <v>3378600855517460</v>
      </c>
      <c r="Y50" s="44" t="n">
        <v>7.02701332561866E-005</v>
      </c>
      <c r="Z50" s="44" t="n">
        <v>3233760419649640</v>
      </c>
      <c r="AA50" s="44" t="n">
        <v>6.62968856143499E-005</v>
      </c>
      <c r="AB50" s="44" t="n">
        <v>3007194118668380</v>
      </c>
      <c r="AC50" s="44" t="n">
        <v>6.1649886864449E-005</v>
      </c>
      <c r="AD50" s="44" t="n">
        <v>2574693173309650</v>
      </c>
      <c r="AE50" s="44" t="n">
        <v>5.41286557640397E-005</v>
      </c>
    </row>
    <row collapsed="false" customFormat="false" customHeight="false" hidden="false" ht="12.75" outlineLevel="0" r="51">
      <c r="B51" s="44" t="n">
        <v>6229172144069350</v>
      </c>
      <c r="C51" s="44" t="n">
        <v>0.000130443420694137</v>
      </c>
      <c r="D51" s="44" t="n">
        <v>6063133866354280</v>
      </c>
      <c r="E51" s="44" t="n">
        <v>0.000127685063235095</v>
      </c>
      <c r="F51" s="44" t="n">
        <v>6102060637760980</v>
      </c>
      <c r="G51" s="44" t="n">
        <v>0.00012587705468256</v>
      </c>
      <c r="H51" s="44" t="n">
        <v>5737896179176970</v>
      </c>
      <c r="I51" s="44" t="n">
        <v>0.000119334069702506</v>
      </c>
      <c r="J51" s="44" t="n">
        <v>5141508915199400</v>
      </c>
      <c r="K51" s="44" t="n">
        <v>0.000109525549961633</v>
      </c>
      <c r="L51" s="44" t="n">
        <v>5073144135090120</v>
      </c>
      <c r="M51" s="44" t="n">
        <v>0.000104405592670867</v>
      </c>
      <c r="N51" s="44" t="n">
        <v>4543021153814590</v>
      </c>
      <c r="O51" s="44" t="n">
        <v>9.74721265314058E-005</v>
      </c>
      <c r="P51" s="44" t="n">
        <v>4467591617310890</v>
      </c>
      <c r="Q51" s="44" t="n">
        <v>9.26711758942739E-005</v>
      </c>
      <c r="R51" s="44" t="n">
        <v>4005836155224580</v>
      </c>
      <c r="S51" s="44" t="n">
        <v>8.65223784253567E-005</v>
      </c>
      <c r="T51" s="44" t="n">
        <v>3896031004162030</v>
      </c>
      <c r="U51" s="44" t="n">
        <v>8.19660957737428E-005</v>
      </c>
      <c r="V51" s="44" t="n">
        <v>3582528994189900</v>
      </c>
      <c r="W51" s="44" t="n">
        <v>7.49043325312674E-005</v>
      </c>
      <c r="X51" s="44" t="n">
        <v>3176558773402420</v>
      </c>
      <c r="Y51" s="44" t="n">
        <v>6.94658846695516E-005</v>
      </c>
      <c r="Z51" s="44" t="n">
        <v>3038401190614000</v>
      </c>
      <c r="AA51" s="44" t="n">
        <v>6.54723883552683E-005</v>
      </c>
      <c r="AB51" s="44" t="n">
        <v>2820399797749110</v>
      </c>
      <c r="AC51" s="44" t="n">
        <v>6.07497253078594E-005</v>
      </c>
      <c r="AD51" s="44" t="n">
        <v>2414878703535610</v>
      </c>
      <c r="AE51" s="44" t="n">
        <v>5.33690769908542E-005</v>
      </c>
    </row>
    <row collapsed="false" customFormat="false" customHeight="false" hidden="false" ht="12.75" outlineLevel="0" r="52">
      <c r="B52" s="44" t="n">
        <v>5899874832156060</v>
      </c>
      <c r="C52" s="44" t="n">
        <v>0.00012986948174809</v>
      </c>
      <c r="D52" s="44" t="n">
        <v>5743918784295810</v>
      </c>
      <c r="E52" s="44" t="n">
        <v>0.00012706029491819</v>
      </c>
      <c r="F52" s="44" t="n">
        <v>5775336019201810</v>
      </c>
      <c r="G52" s="44" t="n">
        <v>0.00012520232012166</v>
      </c>
      <c r="H52" s="44" t="n">
        <v>5431360942819020</v>
      </c>
      <c r="I52" s="44" t="n">
        <v>0.000118736873336953</v>
      </c>
      <c r="J52" s="44" t="n">
        <v>4860780476870350</v>
      </c>
      <c r="K52" s="44" t="n">
        <v>0.000108806052878953</v>
      </c>
      <c r="L52" s="44" t="n">
        <v>4792279103846070</v>
      </c>
      <c r="M52" s="44" t="n">
        <v>0.000103606009015881</v>
      </c>
      <c r="N52" s="44" t="n">
        <v>4289674915066010</v>
      </c>
      <c r="O52" s="44" t="n">
        <v>9.66484611885609E-005</v>
      </c>
      <c r="P52" s="44" t="n">
        <v>4211480651931450</v>
      </c>
      <c r="Q52" s="44" t="n">
        <v>9.17831359874855E-005</v>
      </c>
      <c r="R52" s="44" t="n">
        <v>3776830064397520</v>
      </c>
      <c r="S52" s="44" t="n">
        <v>8.57331432314992E-005</v>
      </c>
      <c r="T52" s="44" t="n">
        <v>3665133764900420</v>
      </c>
      <c r="U52" s="44" t="n">
        <v>8.10324391235691E-005</v>
      </c>
      <c r="V52" s="44" t="n">
        <v>3371009422307240</v>
      </c>
      <c r="W52" s="44" t="n">
        <v>7.40260303440151E-005</v>
      </c>
      <c r="X52" s="44" t="n">
        <v>2985453864802420</v>
      </c>
      <c r="Y52" s="44" t="n">
        <v>6.85991802584344E-005</v>
      </c>
      <c r="Z52" s="44" t="n">
        <v>2854755862121410</v>
      </c>
      <c r="AA52" s="44" t="n">
        <v>6.46351635326433E-005</v>
      </c>
      <c r="AB52" s="44" t="n">
        <v>2649061000179020</v>
      </c>
      <c r="AC52" s="44" t="n">
        <v>5.99893521480485E-005</v>
      </c>
      <c r="AD52" s="44" t="n">
        <v>2266083458860130</v>
      </c>
      <c r="AE52" s="44" t="n">
        <v>5.26159457329905E-005</v>
      </c>
    </row>
    <row collapsed="false" customFormat="false" customHeight="false" hidden="false" ht="12.75" outlineLevel="0" r="53">
      <c r="B53" s="44" t="n">
        <v>5582854970382000</v>
      </c>
      <c r="C53" s="44" t="n">
        <v>0.000129188187229219</v>
      </c>
      <c r="D53" s="44" t="n">
        <v>5433456424221180</v>
      </c>
      <c r="E53" s="44" t="n">
        <v>0.000126245488071335</v>
      </c>
      <c r="F53" s="44" t="n">
        <v>5465674703035210</v>
      </c>
      <c r="G53" s="44" t="n">
        <v>0.000124411815330228</v>
      </c>
      <c r="H53" s="44" t="n">
        <v>5143264924751730</v>
      </c>
      <c r="I53" s="44" t="n">
        <v>0.000118134515766282</v>
      </c>
      <c r="J53" s="44" t="n">
        <v>4593441911791370</v>
      </c>
      <c r="K53" s="44" t="n">
        <v>0.000108021538531964</v>
      </c>
      <c r="L53" s="44" t="n">
        <v>4522051900715330</v>
      </c>
      <c r="M53" s="44" t="n">
        <v>0.000102710495481723</v>
      </c>
      <c r="N53" s="44" t="n">
        <v>4042926767434840</v>
      </c>
      <c r="O53" s="44" t="n">
        <v>9.56783137766253E-005</v>
      </c>
      <c r="P53" s="44" t="n">
        <v>3967693104401420</v>
      </c>
      <c r="Q53" s="44" t="n">
        <v>9.08648667742468E-005</v>
      </c>
      <c r="R53" s="44" t="n">
        <v>3559318146531890</v>
      </c>
      <c r="S53" s="44" t="n">
        <v>8.49026069541997E-005</v>
      </c>
      <c r="T53" s="44" t="n">
        <v>3451662998770520</v>
      </c>
      <c r="U53" s="44" t="n">
        <v>8.02120470353221E-005</v>
      </c>
      <c r="V53" s="44" t="n">
        <v>3173485681096840</v>
      </c>
      <c r="W53" s="44" t="n">
        <v>7.32450287667998E-005</v>
      </c>
      <c r="X53" s="44" t="n">
        <v>2805882270059690</v>
      </c>
      <c r="Y53" s="44" t="n">
        <v>6.77482621506566E-005</v>
      </c>
      <c r="Z53" s="44" t="n">
        <v>2678126295065900</v>
      </c>
      <c r="AA53" s="44" t="n">
        <v>6.3726357349124E-005</v>
      </c>
      <c r="AB53" s="44" t="n">
        <v>2483535710409960</v>
      </c>
      <c r="AC53" s="44" t="n">
        <v>5.91230749444243E-005</v>
      </c>
      <c r="AD53" s="44" t="n">
        <v>2125971438414310</v>
      </c>
      <c r="AE53" s="44" t="n">
        <v>5.18890040355604E-005</v>
      </c>
    </row>
    <row collapsed="false" customFormat="false" customHeight="false" hidden="false" ht="12.75" outlineLevel="0" r="54">
      <c r="B54" s="44" t="n">
        <v>5285518792815250</v>
      </c>
      <c r="C54" s="44" t="n">
        <v>0.000128466361966068</v>
      </c>
      <c r="D54" s="44" t="n">
        <v>5141687188975700</v>
      </c>
      <c r="E54" s="44" t="n">
        <v>0.000125514917102654</v>
      </c>
      <c r="F54" s="44" t="n">
        <v>5171877778568030</v>
      </c>
      <c r="G54" s="44" t="n">
        <v>0.000123595694136081</v>
      </c>
      <c r="H54" s="44" t="n">
        <v>4865665580848520</v>
      </c>
      <c r="I54" s="44" t="n">
        <v>0.000117348483399337</v>
      </c>
      <c r="J54" s="44" t="n">
        <v>4333866896651600</v>
      </c>
      <c r="K54" s="44" t="n">
        <v>0.000107021186617235</v>
      </c>
      <c r="L54" s="44" t="n">
        <v>4267112788087320</v>
      </c>
      <c r="M54" s="44" t="n">
        <v>0.000101881823727611</v>
      </c>
      <c r="N54" s="44" t="n">
        <v>3813713092095790</v>
      </c>
      <c r="O54" s="44" t="n">
        <v>9.48740552189401E-005</v>
      </c>
      <c r="P54" s="44" t="n">
        <v>3740310066381900</v>
      </c>
      <c r="Q54" s="44" t="n">
        <v>9.00210771075714E-005</v>
      </c>
      <c r="R54" s="44" t="n">
        <v>3350929887615550</v>
      </c>
      <c r="S54" s="44" t="n">
        <v>8.39412637391727E-005</v>
      </c>
      <c r="T54" s="44" t="n">
        <v>3246847642261550</v>
      </c>
      <c r="U54" s="44" t="n">
        <v>7.92694628086012E-005</v>
      </c>
      <c r="V54" s="44" t="n">
        <v>2978403690955920</v>
      </c>
      <c r="W54" s="44" t="n">
        <v>7.22175887132081E-005</v>
      </c>
      <c r="X54" s="44" t="n">
        <v>2635784705960780</v>
      </c>
      <c r="Y54" s="44" t="n">
        <v>6.69138273012178E-005</v>
      </c>
      <c r="Z54" s="44" t="n">
        <v>2514998887243250</v>
      </c>
      <c r="AA54" s="44" t="n">
        <v>6.29025969270643E-005</v>
      </c>
      <c r="AB54" s="44" t="n">
        <v>2328004532627930</v>
      </c>
      <c r="AC54" s="44" t="n">
        <v>5.8259741842177E-005</v>
      </c>
      <c r="AD54" s="44" t="n">
        <v>1989964370513320</v>
      </c>
      <c r="AE54" s="44" t="n">
        <v>5.10027320322818E-005</v>
      </c>
    </row>
    <row collapsed="false" customFormat="false" customHeight="false" hidden="false" ht="12.75" outlineLevel="0" r="55">
      <c r="B55" s="44" t="n">
        <v>5008018355625920</v>
      </c>
      <c r="C55" s="44" t="n">
        <v>0.00012791768785864</v>
      </c>
      <c r="D55" s="44" t="n">
        <v>4859965363135400</v>
      </c>
      <c r="E55" s="44" t="n">
        <v>0.000124717962172846</v>
      </c>
      <c r="F55" s="44" t="n">
        <v>4889553684762650</v>
      </c>
      <c r="G55" s="44" t="n">
        <v>0.00012276245934856</v>
      </c>
      <c r="H55" s="44" t="n">
        <v>4600609046829620</v>
      </c>
      <c r="I55" s="44" t="n">
        <v>0.000116467620691363</v>
      </c>
      <c r="J55" s="44" t="n">
        <v>4093151927622930</v>
      </c>
      <c r="K55" s="44" t="n">
        <v>0.000106244972024331</v>
      </c>
      <c r="L55" s="44" t="n">
        <v>4027334669666760</v>
      </c>
      <c r="M55" s="44" t="n">
        <v>0.000100972672802985</v>
      </c>
      <c r="N55" s="44" t="n">
        <v>3596856723408450</v>
      </c>
      <c r="O55" s="44" t="n">
        <v>9.40525782352745E-005</v>
      </c>
      <c r="P55" s="44" t="n">
        <v>3524035876440600</v>
      </c>
      <c r="Q55" s="44" t="n">
        <v>8.90969488795636E-005</v>
      </c>
      <c r="R55" s="44" t="n">
        <v>3157012108314340</v>
      </c>
      <c r="S55" s="44" t="n">
        <v>8.30743310677281E-005</v>
      </c>
      <c r="T55" s="44" t="n">
        <v>3058480780351260</v>
      </c>
      <c r="U55" s="44" t="n">
        <v>7.84614571367899E-005</v>
      </c>
      <c r="V55" s="44" t="n">
        <v>2805681248625020</v>
      </c>
      <c r="W55" s="44" t="n">
        <v>7.15006801886427E-005</v>
      </c>
      <c r="X55" s="44" t="n">
        <v>2478455873284850</v>
      </c>
      <c r="Y55" s="44" t="n">
        <v>6.61292968466498E-005</v>
      </c>
      <c r="Z55" s="44" t="n">
        <v>2363040449961230</v>
      </c>
      <c r="AA55" s="44" t="n">
        <v>6.21425953703571E-005</v>
      </c>
      <c r="AB55" s="44" t="n">
        <v>2187716037755220</v>
      </c>
      <c r="AC55" s="44" t="n">
        <v>5.7549686418008E-005</v>
      </c>
      <c r="AD55" s="44" t="n">
        <v>1864797110184120</v>
      </c>
      <c r="AE55" s="44" t="n">
        <v>5.02153745178701E-005</v>
      </c>
    </row>
    <row collapsed="false" customFormat="false" customHeight="false" hidden="false" ht="12.75" outlineLevel="0" r="56">
      <c r="B56" s="44" t="n">
        <v>4740869899752070</v>
      </c>
      <c r="C56" s="44" t="n">
        <v>0.000127176964505243</v>
      </c>
      <c r="D56" s="44" t="n">
        <v>4600018169447510</v>
      </c>
      <c r="E56" s="44" t="n">
        <v>0.000124083993516256</v>
      </c>
      <c r="F56" s="44" t="n">
        <v>4623383928154970</v>
      </c>
      <c r="G56" s="44" t="n">
        <v>0.000121934062636621</v>
      </c>
      <c r="H56" s="44" t="n">
        <v>4347129512626450</v>
      </c>
      <c r="I56" s="44" t="n">
        <v>0.000115614200693439</v>
      </c>
      <c r="J56" s="44" t="n">
        <v>3862706029003170</v>
      </c>
      <c r="K56" s="44" t="n">
        <v>0.000105356354899474</v>
      </c>
      <c r="L56" s="44" t="n">
        <v>3795555603610830</v>
      </c>
      <c r="M56" s="44" t="n">
        <v>0.000100061860321832</v>
      </c>
      <c r="N56" s="44" t="n">
        <v>3394459000843060</v>
      </c>
      <c r="O56" s="44" t="n">
        <v>9.3225821767325E-005</v>
      </c>
      <c r="P56" s="44" t="n">
        <v>3322345661497710</v>
      </c>
      <c r="Q56" s="44" t="n">
        <v>8.82448819866801E-005</v>
      </c>
      <c r="R56" s="44" t="n">
        <v>2977252084493020</v>
      </c>
      <c r="S56" s="44" t="n">
        <v>8.23416410566245E-005</v>
      </c>
      <c r="T56" s="44" t="n">
        <v>2876336641854320</v>
      </c>
      <c r="U56" s="44" t="n">
        <v>7.7562123148413E-005</v>
      </c>
      <c r="V56" s="44" t="n">
        <v>2636060460403700</v>
      </c>
      <c r="W56" s="44" t="n">
        <v>7.05806986999446E-005</v>
      </c>
      <c r="X56" s="44" t="n">
        <v>2329964105196130</v>
      </c>
      <c r="Y56" s="44" t="n">
        <v>6.53215130297829E-005</v>
      </c>
      <c r="Z56" s="44" t="n">
        <v>2221650993332700</v>
      </c>
      <c r="AA56" s="44" t="n">
        <v>6.13811993141705E-005</v>
      </c>
      <c r="AB56" s="44" t="n">
        <v>2051335600834650</v>
      </c>
      <c r="AC56" s="44" t="n">
        <v>5.66902988334477E-005</v>
      </c>
      <c r="AD56" s="44" t="n">
        <v>1746876132224580</v>
      </c>
      <c r="AE56" s="44" t="n">
        <v>4.9454500476555E-005</v>
      </c>
    </row>
    <row collapsed="false" customFormat="false" customHeight="false" hidden="false" ht="12.75" outlineLevel="0" r="57">
      <c r="B57" s="44" t="n">
        <v>4486241928753270</v>
      </c>
      <c r="C57" s="44" t="n">
        <v>0.000126377071763951</v>
      </c>
      <c r="D57" s="44" t="n">
        <v>4355208500034350</v>
      </c>
      <c r="E57" s="44" t="n">
        <v>0.000123344709179725</v>
      </c>
      <c r="F57" s="44" t="n">
        <v>4377830837194180</v>
      </c>
      <c r="G57" s="44" t="n">
        <v>0.00012138781939526</v>
      </c>
      <c r="H57" s="44" t="n">
        <v>4109113941537080</v>
      </c>
      <c r="I57" s="44" t="n">
        <v>0.000114751869832031</v>
      </c>
      <c r="J57" s="44" t="n">
        <v>3653788191290190</v>
      </c>
      <c r="K57" s="44" t="n">
        <v>0.000104695509464171</v>
      </c>
      <c r="L57" s="44" t="n">
        <v>3583753082659900</v>
      </c>
      <c r="M57" s="44" t="n">
        <v>9.92018128370304E-005</v>
      </c>
      <c r="N57" s="44" t="n">
        <v>3201294529725670</v>
      </c>
      <c r="O57" s="44" t="n">
        <v>9.22887571445332E-005</v>
      </c>
      <c r="P57" s="44" t="n">
        <v>3129277590063860</v>
      </c>
      <c r="Q57" s="44" t="n">
        <v>8.73307206870225E-005</v>
      </c>
      <c r="R57" s="44" t="n">
        <v>2799834677756710</v>
      </c>
      <c r="S57" s="44" t="n">
        <v>8.12877945745296E-005</v>
      </c>
      <c r="T57" s="44" t="n">
        <v>2709044006291940</v>
      </c>
      <c r="U57" s="44" t="n">
        <v>7.66715124222035E-005</v>
      </c>
      <c r="V57" s="44" t="n">
        <v>2478824540363650</v>
      </c>
      <c r="W57" s="44" t="n">
        <v>6.97410784706446E-005</v>
      </c>
      <c r="X57" s="44" t="n">
        <v>2187916517456760</v>
      </c>
      <c r="Y57" s="44" t="n">
        <v>6.43992414489573E-005</v>
      </c>
      <c r="Z57" s="44" t="n">
        <v>2088650190782080</v>
      </c>
      <c r="AA57" s="44" t="n">
        <v>6.05852759367483E-005</v>
      </c>
      <c r="AB57" s="44" t="n">
        <v>1923734761341160</v>
      </c>
      <c r="AC57" s="44" t="n">
        <v>5.58604143759779E-005</v>
      </c>
      <c r="AD57" s="44" t="n">
        <v>1638419307940450</v>
      </c>
      <c r="AE57" s="44" t="n">
        <v>4.86934416254524E-005</v>
      </c>
    </row>
    <row collapsed="false" customFormat="false" customHeight="false" hidden="false" ht="12.75" outlineLevel="0" r="58">
      <c r="B58" s="44" t="n">
        <v>4243137192974520</v>
      </c>
      <c r="C58" s="44" t="n">
        <v>0.000125554158102418</v>
      </c>
      <c r="D58" s="44" t="n">
        <v>4119945086502210</v>
      </c>
      <c r="E58" s="44" t="n">
        <v>0.000122505001606478</v>
      </c>
      <c r="F58" s="44" t="n">
        <v>4137414476996780</v>
      </c>
      <c r="G58" s="44" t="n">
        <v>0.000120346023491272</v>
      </c>
      <c r="H58" s="44" t="n">
        <v>3885253467726710</v>
      </c>
      <c r="I58" s="44" t="n">
        <v>0.000113910542424792</v>
      </c>
      <c r="J58" s="44" t="n">
        <v>3446761242375340</v>
      </c>
      <c r="K58" s="44" t="n">
        <v>0.000103701219139353</v>
      </c>
      <c r="L58" s="44" t="n">
        <v>3384671332692950</v>
      </c>
      <c r="M58" s="44" t="n">
        <v>9.842728241694E-005</v>
      </c>
      <c r="N58" s="44" t="n">
        <v>3013450057809430</v>
      </c>
      <c r="O58" s="44" t="n">
        <v>9.119554708117E-005</v>
      </c>
      <c r="P58" s="44" t="n">
        <v>2951819822269660</v>
      </c>
      <c r="Q58" s="44" t="n">
        <v>8.65020617361276E-005</v>
      </c>
      <c r="R58" s="44" t="n">
        <v>2635049087391100</v>
      </c>
      <c r="S58" s="44" t="n">
        <v>8.03447582926255E-005</v>
      </c>
      <c r="T58" s="44" t="n">
        <v>2547313216531130</v>
      </c>
      <c r="U58" s="44" t="n">
        <v>7.57552242023243E-005</v>
      </c>
      <c r="V58" s="44" t="n">
        <v>2328469909083450</v>
      </c>
      <c r="W58" s="44" t="n">
        <v>6.87853456196689E-005</v>
      </c>
      <c r="X58" s="44" t="n">
        <v>2053497331801240</v>
      </c>
      <c r="Y58" s="44" t="n">
        <v>6.34884106266233E-005</v>
      </c>
      <c r="Z58" s="44" t="n">
        <v>1959739898145810</v>
      </c>
      <c r="AA58" s="44" t="n">
        <v>5.9681687002504E-005</v>
      </c>
      <c r="AB58" s="44" t="n">
        <v>1806359099753210</v>
      </c>
      <c r="AC58" s="44" t="n">
        <v>5.50798779550885E-005</v>
      </c>
      <c r="AD58" s="44" t="n">
        <v>1535491452734930</v>
      </c>
      <c r="AE58" s="44" t="n">
        <v>4.79235632424187E-005</v>
      </c>
    </row>
    <row collapsed="false" customFormat="false" customHeight="false" hidden="false" ht="12.75" outlineLevel="0" r="59">
      <c r="B59" s="44" t="n">
        <v>4006242633425980</v>
      </c>
      <c r="C59" s="44" t="n">
        <v>0.000124401023908553</v>
      </c>
      <c r="D59" s="44" t="n">
        <v>3891964669074050</v>
      </c>
      <c r="E59" s="44" t="n">
        <v>0.000121456008706228</v>
      </c>
      <c r="F59" s="44" t="n">
        <v>3916998361465970</v>
      </c>
      <c r="G59" s="44" t="n">
        <v>0.00011966454153146</v>
      </c>
      <c r="H59" s="44" t="n">
        <v>3670260599047440</v>
      </c>
      <c r="I59" s="44" t="n">
        <v>0.000113005435426439</v>
      </c>
      <c r="J59" s="44" t="n">
        <v>3255291000946770</v>
      </c>
      <c r="K59" s="44" t="n">
        <v>0.000102693436207791</v>
      </c>
      <c r="L59" s="44" t="n">
        <v>3188959516970200</v>
      </c>
      <c r="M59" s="44" t="n">
        <v>9.72853516441496E-005</v>
      </c>
      <c r="N59" s="44" t="n">
        <v>2841664036078150</v>
      </c>
      <c r="O59" s="44" t="n">
        <v>9.0290909377237E-005</v>
      </c>
      <c r="P59" s="44" t="n">
        <v>2777682408296090</v>
      </c>
      <c r="Q59" s="44" t="n">
        <v>8.5483779325637E-005</v>
      </c>
      <c r="R59" s="44" t="n">
        <v>2481677092406900</v>
      </c>
      <c r="S59" s="44" t="n">
        <v>7.95106755827355E-005</v>
      </c>
      <c r="T59" s="44" t="n">
        <v>2397735826035990</v>
      </c>
      <c r="U59" s="44" t="n">
        <v>7.48301735564094E-005</v>
      </c>
      <c r="V59" s="44" t="n">
        <v>2190916795716440</v>
      </c>
      <c r="W59" s="44" t="n">
        <v>6.79740708178685E-005</v>
      </c>
      <c r="X59" s="44" t="n">
        <v>1930806314092960</v>
      </c>
      <c r="Y59" s="44" t="n">
        <v>6.27003060968648E-005</v>
      </c>
      <c r="Z59" s="44" t="n">
        <v>1837575482821790</v>
      </c>
      <c r="AA59" s="44" t="n">
        <v>5.88112587659978E-005</v>
      </c>
      <c r="AB59" s="44" t="n">
        <v>1691134376194310</v>
      </c>
      <c r="AC59" s="44" t="n">
        <v>5.41933837090622E-005</v>
      </c>
      <c r="AD59" s="44" t="n">
        <v>1439826951286910</v>
      </c>
      <c r="AE59" s="44" t="n">
        <v>4.71860443706459E-005</v>
      </c>
    </row>
    <row collapsed="false" customFormat="false" customHeight="false" hidden="false" ht="12.75" outlineLevel="0" r="60">
      <c r="B60" s="44" t="n">
        <v>3794713446645310</v>
      </c>
      <c r="C60" s="44" t="n">
        <v>0.000123816570229501</v>
      </c>
      <c r="D60" s="44" t="n">
        <v>3677474724942710</v>
      </c>
      <c r="E60" s="44" t="n">
        <v>0.000120490474388808</v>
      </c>
      <c r="F60" s="44" t="n">
        <v>3698054164376990</v>
      </c>
      <c r="G60" s="44" t="n">
        <v>0.000118490892483102</v>
      </c>
      <c r="H60" s="44" t="n">
        <v>3466004787537580</v>
      </c>
      <c r="I60" s="44" t="n">
        <v>0.000111991161321242</v>
      </c>
      <c r="J60" s="44" t="n">
        <v>3067183168343850</v>
      </c>
      <c r="K60" s="44" t="n">
        <v>0.000101654615048007</v>
      </c>
      <c r="L60" s="44" t="n">
        <v>3008222966952090</v>
      </c>
      <c r="M60" s="44" t="n">
        <v>9.63691825629708E-005</v>
      </c>
      <c r="N60" s="44" t="n">
        <v>2675454386158360</v>
      </c>
      <c r="O60" s="44" t="n">
        <v>8.92343528686791E-005</v>
      </c>
      <c r="P60" s="44" t="n">
        <v>2619969228728820</v>
      </c>
      <c r="Q60" s="44" t="n">
        <v>8.46168145159715E-005</v>
      </c>
      <c r="R60" s="44" t="n">
        <v>2337330650989460</v>
      </c>
      <c r="S60" s="44" t="n">
        <v>7.85853334263978E-005</v>
      </c>
      <c r="T60" s="44" t="n">
        <v>2254323189801040</v>
      </c>
      <c r="U60" s="44" t="n">
        <v>7.39314556525179E-005</v>
      </c>
      <c r="V60" s="44" t="n">
        <v>2058395017224830</v>
      </c>
      <c r="W60" s="44" t="n">
        <v>6.70598025804428E-005</v>
      </c>
      <c r="X60" s="44" t="n">
        <v>1811265324570440</v>
      </c>
      <c r="Y60" s="44" t="n">
        <v>6.17644658175753E-005</v>
      </c>
      <c r="Z60" s="44" t="n">
        <v>1727982417584770</v>
      </c>
      <c r="AA60" s="44" t="n">
        <v>5.80354126849292E-005</v>
      </c>
      <c r="AB60" s="44" t="n">
        <v>1587097966301780</v>
      </c>
      <c r="AC60" s="44" t="n">
        <v>5.33718922646967E-005</v>
      </c>
      <c r="AD60" s="44" t="n">
        <v>1350685112988700</v>
      </c>
      <c r="AE60" s="44" t="n">
        <v>4.64827257090944E-005</v>
      </c>
    </row>
    <row collapsed="false" customFormat="false" customHeight="false" hidden="false" ht="12.75" outlineLevel="0" r="61">
      <c r="B61" s="44" t="n">
        <v>3582045430077040</v>
      </c>
      <c r="C61" s="44" t="n">
        <v>0.000122974909014398</v>
      </c>
      <c r="D61" s="44" t="n">
        <v>3474275158214890</v>
      </c>
      <c r="E61" s="44" t="n">
        <v>0.000119676247751097</v>
      </c>
      <c r="F61" s="44" t="n">
        <v>3496415952727540</v>
      </c>
      <c r="G61" s="44" t="n">
        <v>0.000117599126588061</v>
      </c>
      <c r="H61" s="44" t="n">
        <v>3278179783710850</v>
      </c>
      <c r="I61" s="44" t="n">
        <v>0.000111245882724687</v>
      </c>
      <c r="J61" s="44" t="n">
        <v>2897466018658970</v>
      </c>
      <c r="K61" s="44" t="n">
        <v>0.000100914873844179</v>
      </c>
      <c r="L61" s="44" t="n">
        <v>2831516437445500</v>
      </c>
      <c r="M61" s="44" t="n">
        <v>9.53256689029875E-005</v>
      </c>
      <c r="N61" s="44" t="n">
        <v>2523412845104410</v>
      </c>
      <c r="O61" s="44" t="n">
        <v>8.84578594794441E-005</v>
      </c>
      <c r="P61" s="44" t="n">
        <v>2465867578626190</v>
      </c>
      <c r="Q61" s="44" t="n">
        <v>8.36331413590626E-005</v>
      </c>
      <c r="R61" s="44" t="n">
        <v>2201245668395880</v>
      </c>
      <c r="S61" s="44" t="n">
        <v>7.78170710682547E-005</v>
      </c>
      <c r="T61" s="44" t="n">
        <v>2121493787578080</v>
      </c>
      <c r="U61" s="44" t="n">
        <v>7.30657215791099E-005</v>
      </c>
      <c r="V61" s="44" t="n">
        <v>1934777182922810</v>
      </c>
      <c r="W61" s="44" t="n">
        <v>6.62517912277008E-005</v>
      </c>
      <c r="X61" s="44" t="n">
        <v>1703844808336980</v>
      </c>
      <c r="Y61" s="44" t="n">
        <v>6.10499845953567E-005</v>
      </c>
      <c r="Z61" s="44" t="n">
        <v>1621164204159440</v>
      </c>
      <c r="AA61" s="44" t="n">
        <v>5.71820117339573E-005</v>
      </c>
      <c r="AB61" s="44" t="n">
        <v>1491046685870610</v>
      </c>
      <c r="AC61" s="44" t="n">
        <v>5.27336920603375E-005</v>
      </c>
      <c r="AD61" s="44" t="n">
        <v>1264012780965970</v>
      </c>
      <c r="AE61" s="44" t="n">
        <v>4.5741284560727E-005</v>
      </c>
    </row>
    <row collapsed="false" customFormat="false" customHeight="false" hidden="false" ht="12.75" outlineLevel="0" r="62">
      <c r="B62" s="44" t="n">
        <v>3388877228822260</v>
      </c>
      <c r="C62" s="44" t="n">
        <v>0.000122078286155082</v>
      </c>
      <c r="D62" s="44" t="n">
        <v>3284348861091230</v>
      </c>
      <c r="E62" s="44" t="n">
        <v>0.000118898088824904</v>
      </c>
      <c r="F62" s="44" t="n">
        <v>3298518237212150</v>
      </c>
      <c r="G62" s="44" t="n">
        <v>0.000116725424229392</v>
      </c>
      <c r="H62" s="44" t="n">
        <v>3092581065639720</v>
      </c>
      <c r="I62" s="44" t="n">
        <v>0.00011023279164359</v>
      </c>
      <c r="J62" s="44" t="n">
        <v>2731024079044710</v>
      </c>
      <c r="K62" s="44" t="n">
        <v>9.98799841074885E-005</v>
      </c>
      <c r="L62" s="44" t="n">
        <v>2675337665462950</v>
      </c>
      <c r="M62" s="44" t="n">
        <v>9.46681249864303E-005</v>
      </c>
      <c r="N62" s="44" t="n">
        <v>2378527357933660</v>
      </c>
      <c r="O62" s="44" t="n">
        <v>8.76264279855426E-005</v>
      </c>
      <c r="P62" s="44" t="n">
        <v>2321430549850920</v>
      </c>
      <c r="Q62" s="44" t="n">
        <v>8.26712579868099E-005</v>
      </c>
      <c r="R62" s="44" t="n">
        <v>2072276024863250</v>
      </c>
      <c r="S62" s="44" t="n">
        <v>7.68917971861351E-005</v>
      </c>
      <c r="T62" s="44" t="n">
        <v>1995859953328360</v>
      </c>
      <c r="U62" s="44" t="n">
        <v>7.22082627425104E-005</v>
      </c>
      <c r="V62" s="44" t="n">
        <v>1817884528387520</v>
      </c>
      <c r="W62" s="44" t="n">
        <v>6.54452140431851E-005</v>
      </c>
      <c r="X62" s="44" t="n">
        <v>1598138524465450</v>
      </c>
      <c r="Y62" s="44" t="n">
        <v>6.01605130839913E-005</v>
      </c>
      <c r="Z62" s="44" t="n">
        <v>1516371803626890</v>
      </c>
      <c r="AA62" s="44" t="n">
        <v>5.62592140687462E-005</v>
      </c>
      <c r="AB62" s="44" t="n">
        <v>1396948568980260</v>
      </c>
      <c r="AC62" s="44" t="n">
        <v>5.18788782280168E-005</v>
      </c>
      <c r="AD62" s="44" t="n">
        <v>1184160970027500</v>
      </c>
      <c r="AE62" s="44" t="n">
        <v>4.49740629284301E-005</v>
      </c>
    </row>
    <row collapsed="false" customFormat="false" customHeight="false" hidden="false" ht="12.75" outlineLevel="0" r="63">
      <c r="B63" s="44" t="n">
        <v>3209639521532490</v>
      </c>
      <c r="C63" s="44" t="n">
        <v>0.00012141889113801</v>
      </c>
      <c r="D63" s="44" t="n">
        <v>3103336551310200</v>
      </c>
      <c r="E63" s="44" t="n">
        <v>0.000117894516267677</v>
      </c>
      <c r="F63" s="44" t="n">
        <v>3114761431551290</v>
      </c>
      <c r="G63" s="44" t="n">
        <v>0.00011574920206168</v>
      </c>
      <c r="H63" s="44" t="n">
        <v>2922536900492570</v>
      </c>
      <c r="I63" s="44" t="n">
        <v>0.000109242721062485</v>
      </c>
      <c r="J63" s="44" t="n">
        <v>2576647585953760</v>
      </c>
      <c r="K63" s="44" t="n">
        <v>9.8972665383912E-005</v>
      </c>
      <c r="L63" s="44" t="n">
        <v>2518189055055890</v>
      </c>
      <c r="M63" s="44" t="n">
        <v>9.35378995285676E-005</v>
      </c>
      <c r="N63" s="44" t="n">
        <v>2241548116968230</v>
      </c>
      <c r="O63" s="44" t="n">
        <v>8.66621251875911E-005</v>
      </c>
      <c r="P63" s="44" t="n">
        <v>2189675758212370</v>
      </c>
      <c r="Q63" s="44" t="n">
        <v>8.19092182774958E-005</v>
      </c>
      <c r="R63" s="44" t="n">
        <v>1950532093504440</v>
      </c>
      <c r="S63" s="44" t="n">
        <v>7.59913202559152E-005</v>
      </c>
      <c r="T63" s="44" t="n">
        <v>1871186212756150</v>
      </c>
      <c r="U63" s="44" t="n">
        <v>7.11157595311706E-005</v>
      </c>
      <c r="V63" s="44" t="n">
        <v>1708047464173780</v>
      </c>
      <c r="W63" s="44" t="n">
        <v>6.45535587276188E-005</v>
      </c>
      <c r="X63" s="44" t="n">
        <v>1500645665821130</v>
      </c>
      <c r="Y63" s="44" t="n">
        <v>5.93108667198954E-005</v>
      </c>
      <c r="Z63" s="44" t="n">
        <v>1426779827960810</v>
      </c>
      <c r="AA63" s="44" t="n">
        <v>5.55946986993525E-005</v>
      </c>
      <c r="AB63" s="44" t="n">
        <v>1308694126633820</v>
      </c>
      <c r="AC63" s="44" t="n">
        <v>5.1072605276263E-005</v>
      </c>
      <c r="AD63" s="44" t="n">
        <v>1110287849279560</v>
      </c>
      <c r="AE63" s="44" t="n">
        <v>4.43102318660033E-005</v>
      </c>
    </row>
    <row collapsed="false" customFormat="false" customHeight="false" hidden="false" ht="12.75" outlineLevel="0" r="64">
      <c r="B64" s="44" t="n">
        <v>3025716530011920</v>
      </c>
      <c r="C64" s="44" t="n">
        <v>0.000120307915752228</v>
      </c>
      <c r="D64" s="44" t="n">
        <v>2932113611276200</v>
      </c>
      <c r="E64" s="44" t="n">
        <v>0.000117177836039935</v>
      </c>
      <c r="F64" s="44" t="n">
        <v>2945319345722360</v>
      </c>
      <c r="G64" s="44" t="n">
        <v>0.00011485079960852</v>
      </c>
      <c r="H64" s="44" t="n">
        <v>2754298549520940</v>
      </c>
      <c r="I64" s="44" t="n">
        <v>0.000108124539707429</v>
      </c>
      <c r="J64" s="44" t="n">
        <v>2429400884677030</v>
      </c>
      <c r="K64" s="44" t="n">
        <v>9.81402323369227E-005</v>
      </c>
      <c r="L64" s="44" t="n">
        <v>2374539744112240</v>
      </c>
      <c r="M64" s="44" t="n">
        <v>9.25463010408033E-005</v>
      </c>
      <c r="N64" s="44" t="n">
        <v>2111027228255700</v>
      </c>
      <c r="O64" s="44" t="n">
        <v>8.57413841380381E-005</v>
      </c>
      <c r="P64" s="44" t="n">
        <v>2055782638859290</v>
      </c>
      <c r="Q64" s="44" t="n">
        <v>8.06836560370351E-005</v>
      </c>
      <c r="R64" s="44" t="n">
        <v>1833864441839870</v>
      </c>
      <c r="S64" s="44" t="n">
        <v>7.50794691313445E-005</v>
      </c>
      <c r="T64" s="44" t="n">
        <v>1761684595697820</v>
      </c>
      <c r="U64" s="44" t="n">
        <v>7.03320080241684E-005</v>
      </c>
      <c r="V64" s="44" t="n">
        <v>1606480424116370</v>
      </c>
      <c r="W64" s="44" t="n">
        <v>6.37518648792234E-005</v>
      </c>
      <c r="X64" s="44" t="n">
        <v>1410053578008010</v>
      </c>
      <c r="Y64" s="44" t="n">
        <v>5.86512777929285E-005</v>
      </c>
      <c r="Z64" s="44" t="n">
        <v>1340793784517640</v>
      </c>
      <c r="AA64" s="44" t="n">
        <v>5.49127693956659E-005</v>
      </c>
      <c r="AB64" s="44" t="n">
        <v>1227354270732420</v>
      </c>
      <c r="AC64" s="44" t="n">
        <v>5.03634138650131E-005</v>
      </c>
      <c r="AD64" s="44" t="n">
        <v>1037141572389610</v>
      </c>
      <c r="AE64" s="44" t="n">
        <v>4.35006703610678E-005</v>
      </c>
    </row>
    <row collapsed="false" customFormat="false" customHeight="false" hidden="false" ht="12.75" outlineLevel="0" r="65">
      <c r="B65" s="44" t="n">
        <v>2857188803637500</v>
      </c>
      <c r="C65" s="44" t="n">
        <v>0.000119280741322145</v>
      </c>
      <c r="D65" s="44" t="n">
        <v>2761238011447450</v>
      </c>
      <c r="E65" s="44" t="n">
        <v>0.000115912698926755</v>
      </c>
      <c r="F65" s="44" t="n">
        <v>2777142920622370</v>
      </c>
      <c r="G65" s="44" t="n">
        <v>0.000113964596045963</v>
      </c>
      <c r="H65" s="44" t="n">
        <v>2599339346290570</v>
      </c>
      <c r="I65" s="44" t="n">
        <v>0.000107253424085897</v>
      </c>
      <c r="J65" s="44" t="n">
        <v>2292665802812860</v>
      </c>
      <c r="K65" s="44" t="n">
        <v>9.73389874059774E-005</v>
      </c>
      <c r="L65" s="44" t="n">
        <v>2234709418332670</v>
      </c>
      <c r="M65" s="44" t="n">
        <v>9.15887700118949E-005</v>
      </c>
      <c r="N65" s="44" t="n">
        <v>1986192999105400</v>
      </c>
      <c r="O65" s="44" t="n">
        <v>8.47875341436264E-005</v>
      </c>
      <c r="P65" s="44" t="n">
        <v>1938838506222710</v>
      </c>
      <c r="Q65" s="44" t="n">
        <v>8.00633470391375E-005</v>
      </c>
      <c r="R65" s="44" t="n">
        <v>1722977656446160</v>
      </c>
      <c r="S65" s="44" t="n">
        <v>7.41564795306711E-005</v>
      </c>
      <c r="T65" s="44" t="n">
        <v>1660091120350790</v>
      </c>
      <c r="U65" s="44" t="n">
        <v>6.976251741801E-005</v>
      </c>
      <c r="V65" s="44" t="n">
        <v>1509524341297980</v>
      </c>
      <c r="W65" s="44" t="n">
        <v>6.30287565079856E-005</v>
      </c>
      <c r="X65" s="44" t="n">
        <v>1327660474443310</v>
      </c>
      <c r="Y65" s="44" t="n">
        <v>5.80268643508353E-005</v>
      </c>
      <c r="Z65" s="44" t="n">
        <v>1257264985840890</v>
      </c>
      <c r="AA65" s="44" t="n">
        <v>5.41070850705025E-005</v>
      </c>
      <c r="AB65" s="44" t="n">
        <v>1151846359480760</v>
      </c>
      <c r="AC65" s="44" t="n">
        <v>4.97149178567065E-005</v>
      </c>
      <c r="AD65" s="44" t="n">
        <v>977772529288657</v>
      </c>
      <c r="AE65" s="44" t="n">
        <v>4.31277706219776E-005</v>
      </c>
    </row>
    <row collapsed="false" customFormat="false" customHeight="false" hidden="false" ht="12.75" outlineLevel="0" r="66">
      <c r="B66" s="44" t="n">
        <v>2699639219864190</v>
      </c>
      <c r="C66" s="44" t="n">
        <v>0.000118505626127204</v>
      </c>
      <c r="D66" s="44" t="n">
        <v>2607915699408530</v>
      </c>
      <c r="E66" s="44" t="n">
        <v>0.0001150285024291</v>
      </c>
      <c r="F66" s="44" t="n">
        <v>2615431369826880</v>
      </c>
      <c r="G66" s="44" t="n">
        <v>0.000112655665068948</v>
      </c>
      <c r="H66" s="44" t="n">
        <v>2447591225610270</v>
      </c>
      <c r="I66" s="44" t="n">
        <v>0.000106262269102979</v>
      </c>
      <c r="J66" s="44" t="n">
        <v>2157752089941170</v>
      </c>
      <c r="K66" s="44" t="n">
        <v>9.61443248546549E-005</v>
      </c>
      <c r="L66" s="44" t="n">
        <v>2101950872829590</v>
      </c>
      <c r="M66" s="44" t="n">
        <v>9.04829108408743E-005</v>
      </c>
      <c r="N66" s="44" t="n">
        <v>1871062488846680</v>
      </c>
      <c r="O66" s="44" t="n">
        <v>8.38374009064981E-005</v>
      </c>
      <c r="P66" s="44" t="n">
        <v>1824502157802480</v>
      </c>
      <c r="Q66" s="44" t="n">
        <v>7.91887304502998E-005</v>
      </c>
      <c r="R66" s="44" t="n">
        <v>1623205516072990</v>
      </c>
      <c r="S66" s="44" t="n">
        <v>7.33186001027289E-005</v>
      </c>
      <c r="T66" s="44" t="n">
        <v>1561266304737280</v>
      </c>
      <c r="U66" s="44" t="n">
        <v>6.88671838545966E-005</v>
      </c>
      <c r="V66" s="44" t="n">
        <v>1417382933160690</v>
      </c>
      <c r="W66" s="44" t="n">
        <v>6.21552265817547E-005</v>
      </c>
      <c r="X66" s="44" t="n">
        <v>1248184007997230</v>
      </c>
      <c r="Y66" s="44" t="n">
        <v>5.72036433017108E-005</v>
      </c>
      <c r="Z66" s="44" t="n">
        <v>1181082192574680</v>
      </c>
      <c r="AA66" s="44" t="n">
        <v>5.33840307637922E-005</v>
      </c>
      <c r="AB66" s="44" t="n">
        <v>1083009947963930</v>
      </c>
      <c r="AC66" s="44" t="n">
        <v>4.90704901155299E-005</v>
      </c>
      <c r="AD66" s="44" t="n">
        <v>916903108915604</v>
      </c>
      <c r="AE66" s="44" t="n">
        <v>4.24825868110349E-005</v>
      </c>
    </row>
    <row collapsed="false" customFormat="false" customHeight="false" hidden="false" ht="12.75" outlineLevel="0" r="67">
      <c r="B67" s="44" t="n">
        <v>2547190161227160</v>
      </c>
      <c r="C67" s="44" t="n">
        <v>0.000117414384758311</v>
      </c>
      <c r="D67" s="44" t="n">
        <v>2463453271635230</v>
      </c>
      <c r="E67" s="44" t="n">
        <v>0.000114043283021301</v>
      </c>
      <c r="F67" s="44" t="n">
        <v>2472437113723350</v>
      </c>
      <c r="G67" s="44" t="n">
        <v>0.000111804265506883</v>
      </c>
      <c r="H67" s="44" t="n">
        <v>2313619475634200</v>
      </c>
      <c r="I67" s="44" t="n">
        <v>0.000105451287530294</v>
      </c>
      <c r="J67" s="44" t="n">
        <v>2036422310062290</v>
      </c>
      <c r="K67" s="44" t="n">
        <v>9.51920724593327E-005</v>
      </c>
      <c r="L67" s="44" t="n">
        <v>1980559175623230</v>
      </c>
      <c r="M67" s="44" t="n">
        <v>8.95350427357844E-005</v>
      </c>
      <c r="N67" s="44" t="n">
        <v>1760774252193610</v>
      </c>
      <c r="O67" s="44" t="n">
        <v>8.27589947131603E-005</v>
      </c>
      <c r="P67" s="44" t="n">
        <v>1716369335180350</v>
      </c>
      <c r="Q67" s="44" t="n">
        <v>7.82337753961999E-005</v>
      </c>
      <c r="R67" s="44" t="n">
        <v>1526626599421670</v>
      </c>
      <c r="S67" s="44" t="n">
        <v>7.24224568686558E-005</v>
      </c>
      <c r="T67" s="44" t="n">
        <v>1466785400578160</v>
      </c>
      <c r="U67" s="44" t="n">
        <v>6.78849219174146E-005</v>
      </c>
      <c r="V67" s="44" t="n">
        <v>1330374309707250</v>
      </c>
      <c r="W67" s="44" t="n">
        <v>6.12413417134321E-005</v>
      </c>
      <c r="X67" s="44" t="n">
        <v>1172719933687470</v>
      </c>
      <c r="Y67" s="44" t="n">
        <v>5.63719098339703E-005</v>
      </c>
      <c r="Z67" s="44" t="n">
        <v>1111469055930210</v>
      </c>
      <c r="AA67" s="44" t="n">
        <v>5.27302087309038E-005</v>
      </c>
      <c r="AB67" s="44" t="n">
        <v>1015865676234590</v>
      </c>
      <c r="AC67" s="44" t="n">
        <v>4.83344163184705E-005</v>
      </c>
      <c r="AD67" s="44" t="n">
        <v>858506603042325</v>
      </c>
      <c r="AE67" s="44" t="n">
        <v>4.16969275509492E-005</v>
      </c>
    </row>
    <row collapsed="false" customFormat="false" customHeight="false" hidden="false" ht="12.75" outlineLevel="0" r="68">
      <c r="B68" s="44" t="n">
        <v>2412595424020420</v>
      </c>
      <c r="C68" s="44" t="n">
        <v>0.000116824095757704</v>
      </c>
      <c r="D68" s="44" t="n">
        <v>2322154319458840</v>
      </c>
      <c r="E68" s="44" t="n">
        <v>0.000112979354346764</v>
      </c>
      <c r="F68" s="44" t="n">
        <v>2330447847275920</v>
      </c>
      <c r="G68" s="44" t="n">
        <v>0.000110625462614021</v>
      </c>
      <c r="H68" s="44" t="n">
        <v>2184034918269370</v>
      </c>
      <c r="I68" s="44" t="n">
        <v>0.000104537471189504</v>
      </c>
      <c r="J68" s="44" t="n">
        <v>1917509886792180</v>
      </c>
      <c r="K68" s="44" t="n">
        <v>9.41368970230009E-005</v>
      </c>
      <c r="L68" s="44" t="n">
        <v>1866265465374530</v>
      </c>
      <c r="M68" s="44" t="n">
        <v>8.85084561770506E-005</v>
      </c>
      <c r="N68" s="44" t="n">
        <v>1663173386425160</v>
      </c>
      <c r="O68" s="44" t="n">
        <v>8.20870801112511E-005</v>
      </c>
      <c r="P68" s="44" t="n">
        <v>1616745770020370</v>
      </c>
      <c r="Q68" s="44" t="n">
        <v>7.72993721732128E-005</v>
      </c>
      <c r="R68" s="44" t="n">
        <v>1439849835821890</v>
      </c>
      <c r="S68" s="44" t="n">
        <v>7.16162955659708E-005</v>
      </c>
      <c r="T68" s="44" t="n">
        <v>1379625001428590</v>
      </c>
      <c r="U68" s="44" t="n">
        <v>6.70424684386234E-005</v>
      </c>
      <c r="V68" s="44" t="n">
        <v>1255532932567870</v>
      </c>
      <c r="W68" s="44" t="n">
        <v>6.0672369857842E-005</v>
      </c>
      <c r="X68" s="44" t="n">
        <v>1100849649034120</v>
      </c>
      <c r="Y68" s="44" t="n">
        <v>5.55186817232652E-005</v>
      </c>
      <c r="Z68" s="44" t="n">
        <v>1046029760899890</v>
      </c>
      <c r="AA68" s="44" t="n">
        <v>5.20332222387312E-005</v>
      </c>
      <c r="AB68" s="44" t="n">
        <v>954123136784631</v>
      </c>
      <c r="AC68" s="44" t="n">
        <v>4.76108334870263E-005</v>
      </c>
      <c r="AD68" s="44" t="n">
        <v>805968056995729</v>
      </c>
      <c r="AE68" s="44" t="n">
        <v>4.10716490073909E-005</v>
      </c>
    </row>
    <row collapsed="false" customFormat="false" customHeight="false" hidden="false" ht="12.75" outlineLevel="0" r="69">
      <c r="B69" s="44" t="n">
        <v>2277520751369180</v>
      </c>
      <c r="C69" s="44" t="n">
        <v>0.000115751689878222</v>
      </c>
      <c r="D69" s="44" t="n">
        <v>2193691977651610</v>
      </c>
      <c r="E69" s="44" t="n">
        <v>0.000112018016901244</v>
      </c>
      <c r="F69" s="44" t="n">
        <v>2197651613653920</v>
      </c>
      <c r="G69" s="44" t="n">
        <v>0.000109568362794473</v>
      </c>
      <c r="H69" s="44" t="n">
        <v>2062348967739380</v>
      </c>
      <c r="I69" s="44" t="n">
        <v>0.000103572451966105</v>
      </c>
      <c r="J69" s="44" t="n">
        <v>1806493058662100</v>
      </c>
      <c r="K69" s="44" t="n">
        <v>9.29726047308901E-005</v>
      </c>
      <c r="L69" s="44" t="n">
        <v>1756430523964100</v>
      </c>
      <c r="M69" s="44" t="n">
        <v>8.74479624112077E-005</v>
      </c>
      <c r="N69" s="44" t="n">
        <v>1566617239411990</v>
      </c>
      <c r="O69" s="44" t="n">
        <v>8.11914689815051E-005</v>
      </c>
      <c r="P69" s="44" t="n">
        <v>1528415103410730</v>
      </c>
      <c r="Q69" s="44" t="n">
        <v>7.67419458430091E-005</v>
      </c>
      <c r="R69" s="44" t="n">
        <v>1353101860053760</v>
      </c>
      <c r="S69" s="44" t="n">
        <v>7.06672087687653E-005</v>
      </c>
      <c r="T69" s="44" t="n">
        <v>1297823202596460</v>
      </c>
      <c r="U69" s="44" t="n">
        <v>6.6154503935075E-005</v>
      </c>
      <c r="V69" s="44" t="n">
        <v>1178792936803020</v>
      </c>
      <c r="W69" s="44" t="n">
        <v>5.97667843182657E-005</v>
      </c>
      <c r="X69" s="44" t="n">
        <v>1029372527837520</v>
      </c>
      <c r="Y69" s="44" t="n">
        <v>5.45267411180235E-005</v>
      </c>
      <c r="Z69" s="44" t="n">
        <v>976943456157116</v>
      </c>
      <c r="AA69" s="44" t="n">
        <v>5.10086413519726E-005</v>
      </c>
      <c r="AB69" s="44" t="n">
        <v>894541012587194</v>
      </c>
      <c r="AC69" s="44" t="n">
        <v>4.68922974372287E-005</v>
      </c>
      <c r="AD69" s="44" t="n">
        <v>755879257963519</v>
      </c>
      <c r="AE69" s="44" t="n">
        <v>4.04307333831839E-005</v>
      </c>
    </row>
    <row collapsed="false" customFormat="false" customHeight="false" hidden="false" ht="12.75" outlineLevel="0" r="70">
      <c r="B70" s="44" t="n">
        <v>2154176463235470</v>
      </c>
      <c r="C70" s="44" t="n">
        <v>0.00011484047924104</v>
      </c>
      <c r="D70" s="44" t="n">
        <v>2073328190380140</v>
      </c>
      <c r="E70" s="44" t="n">
        <v>0.000111296727985934</v>
      </c>
      <c r="F70" s="44" t="n">
        <v>2076419712466810</v>
      </c>
      <c r="G70" s="44" t="n">
        <v>0.000108671070641083</v>
      </c>
      <c r="H70" s="44" t="n">
        <v>1948797842120480</v>
      </c>
      <c r="I70" s="44" t="n">
        <v>0.00010259228395735</v>
      </c>
      <c r="J70" s="44" t="n">
        <v>1702138421820520</v>
      </c>
      <c r="K70" s="44" t="n">
        <v>9.20717750729616E-005</v>
      </c>
      <c r="L70" s="44" t="n">
        <v>1653013058038880</v>
      </c>
      <c r="M70" s="44" t="n">
        <v>8.63513489265772E-005</v>
      </c>
      <c r="N70" s="44" t="n">
        <v>1474086243652490</v>
      </c>
      <c r="O70" s="44" t="n">
        <v>8.0127551400445E-005</v>
      </c>
      <c r="P70" s="44" t="n">
        <v>1436051468417070</v>
      </c>
      <c r="Q70" s="44" t="n">
        <v>7.55733556704671E-005</v>
      </c>
      <c r="R70" s="44" t="n">
        <v>1272192346210900</v>
      </c>
      <c r="S70" s="44" t="n">
        <v>6.9687486167531E-005</v>
      </c>
      <c r="T70" s="44" t="n">
        <v>1220333511620020</v>
      </c>
      <c r="U70" s="44" t="n">
        <v>6.54049864596491E-005</v>
      </c>
      <c r="V70" s="44" t="n">
        <v>1108247185670460</v>
      </c>
      <c r="W70" s="44" t="n">
        <v>5.89425810334962E-005</v>
      </c>
      <c r="X70" s="44" t="n">
        <v>969509905040582</v>
      </c>
      <c r="Y70" s="44" t="n">
        <v>5.39390355475627E-005</v>
      </c>
      <c r="Z70" s="44" t="n">
        <v>916873337999137</v>
      </c>
      <c r="AA70" s="44" t="n">
        <v>5.02991103916659E-005</v>
      </c>
      <c r="AB70" s="44" t="n">
        <v>838584060604274</v>
      </c>
      <c r="AC70" s="44" t="n">
        <v>4.61284915437669E-005</v>
      </c>
      <c r="AD70" s="44" t="n">
        <v>707967165894605</v>
      </c>
      <c r="AE70" s="44" t="n">
        <v>3.97478467445765E-005</v>
      </c>
    </row>
    <row collapsed="false" customFormat="false" customHeight="false" hidden="false" ht="12.75" outlineLevel="0" r="71">
      <c r="B71" s="44" t="n">
        <v>2030743153989260</v>
      </c>
      <c r="C71" s="44" t="n">
        <v>0.000113828773554476</v>
      </c>
      <c r="D71" s="44" t="n">
        <v>1953137757650240</v>
      </c>
      <c r="E71" s="44" t="n">
        <v>0.000110208851965217</v>
      </c>
      <c r="F71" s="44" t="n">
        <v>1962830659580510</v>
      </c>
      <c r="G71" s="44" t="n">
        <v>0.000107885529062212</v>
      </c>
      <c r="H71" s="44" t="n">
        <v>1834705201951160</v>
      </c>
      <c r="I71" s="44" t="n">
        <v>0.000101498257735632</v>
      </c>
      <c r="J71" s="44" t="n">
        <v>1600452041191280</v>
      </c>
      <c r="K71" s="44" t="n">
        <v>9.10854108311142E-005</v>
      </c>
      <c r="L71" s="44" t="n">
        <v>1558196361427360</v>
      </c>
      <c r="M71" s="44" t="n">
        <v>8.5626183769378E-005</v>
      </c>
      <c r="N71" s="44" t="n">
        <v>1387028961118620</v>
      </c>
      <c r="O71" s="44" t="n">
        <v>7.92253150436063E-005</v>
      </c>
      <c r="P71" s="44" t="n">
        <v>1351391792729370</v>
      </c>
      <c r="Q71" s="44" t="n">
        <v>7.47223755298886E-005</v>
      </c>
      <c r="R71" s="44" t="n">
        <v>1193538161482860</v>
      </c>
      <c r="S71" s="44" t="n">
        <v>6.87292619500018E-005</v>
      </c>
      <c r="T71" s="44" t="n">
        <v>1147609302203750</v>
      </c>
      <c r="U71" s="44" t="n">
        <v>6.45252404713204E-005</v>
      </c>
      <c r="V71" s="44" t="n">
        <v>1039316751333480</v>
      </c>
      <c r="W71" s="44" t="n">
        <v>5.80624813662188E-005</v>
      </c>
      <c r="X71" s="44" t="n">
        <v>909149777381016</v>
      </c>
      <c r="Y71" s="44" t="n">
        <v>5.31928544526002E-005</v>
      </c>
      <c r="Z71" s="44" t="n">
        <v>862369715475035</v>
      </c>
      <c r="AA71" s="44" t="n">
        <v>4.96668119914107E-005</v>
      </c>
      <c r="AB71" s="44" t="n">
        <v>786892607908908</v>
      </c>
      <c r="AC71" s="44" t="n">
        <v>4.55205265614333E-005</v>
      </c>
      <c r="AD71" s="44" t="n">
        <v>661500068404725</v>
      </c>
      <c r="AE71" s="44" t="n">
        <v>3.90877775274702E-005</v>
      </c>
    </row>
    <row collapsed="false" customFormat="false" customHeight="false" hidden="false" ht="12.75" outlineLevel="0" r="72">
      <c r="B72" s="44" t="n">
        <v>1914162364044030</v>
      </c>
      <c r="C72" s="44" t="n">
        <v>0.000112603804090569</v>
      </c>
      <c r="D72" s="44" t="n">
        <v>1841638303097290</v>
      </c>
      <c r="E72" s="44" t="n">
        <v>0.000109096196069909</v>
      </c>
      <c r="F72" s="44" t="n">
        <v>1846385474009900</v>
      </c>
      <c r="G72" s="44" t="n">
        <v>0.000106473766928691</v>
      </c>
      <c r="H72" s="44" t="n">
        <v>1731567276085190</v>
      </c>
      <c r="I72" s="44" t="n">
        <v>0.000100489455482423</v>
      </c>
      <c r="J72" s="44" t="n">
        <v>1512629186583320</v>
      </c>
      <c r="K72" s="44" t="n">
        <v>9.03266526927958E-005</v>
      </c>
      <c r="L72" s="44" t="n">
        <v>1463529059093390</v>
      </c>
      <c r="M72" s="44" t="n">
        <v>8.44026226317859E-005</v>
      </c>
      <c r="N72" s="44" t="n">
        <v>1306735934972700</v>
      </c>
      <c r="O72" s="44" t="n">
        <v>7.83351330060285E-005</v>
      </c>
      <c r="P72" s="44" t="n">
        <v>1268002063999420</v>
      </c>
      <c r="Q72" s="44" t="n">
        <v>7.35737257863023E-005</v>
      </c>
      <c r="R72" s="44" t="n">
        <v>1120992211128670</v>
      </c>
      <c r="S72" s="44" t="n">
        <v>6.78039470630199E-005</v>
      </c>
      <c r="T72" s="44" t="n">
        <v>1078739962363670</v>
      </c>
      <c r="U72" s="44" t="n">
        <v>6.37660765580937E-005</v>
      </c>
      <c r="V72" s="44" t="n">
        <v>977761442270398</v>
      </c>
      <c r="W72" s="44" t="n">
        <v>5.73746581711325E-005</v>
      </c>
      <c r="X72" s="44" t="n">
        <v>857710695161195</v>
      </c>
      <c r="Y72" s="44" t="n">
        <v>5.27230986462159E-005</v>
      </c>
      <c r="Z72" s="44" t="n">
        <v>810274656777833</v>
      </c>
      <c r="AA72" s="44" t="n">
        <v>4.90385716337476E-005</v>
      </c>
      <c r="AB72" s="44" t="n">
        <v>736241683635041</v>
      </c>
      <c r="AC72" s="44" t="n">
        <v>4.46345164781143E-005</v>
      </c>
      <c r="AD72" s="44" t="n">
        <v>620802574185446</v>
      </c>
      <c r="AE72" s="44" t="n">
        <v>3.84889710570924E-005</v>
      </c>
    </row>
    <row collapsed="false" customFormat="false" customHeight="false" hidden="false" ht="12.75" outlineLevel="0" r="73">
      <c r="B73" s="44" t="n">
        <v>1808058053196010</v>
      </c>
      <c r="C73" s="44" t="n">
        <v>0.000111735949168506</v>
      </c>
      <c r="D73" s="44" t="n">
        <v>1736011866810070</v>
      </c>
      <c r="E73" s="44" t="n">
        <v>0.000108018633523072</v>
      </c>
      <c r="F73" s="44" t="n">
        <v>1741227767304130</v>
      </c>
      <c r="G73" s="44" t="n">
        <v>0.000105311444365272</v>
      </c>
      <c r="H73" s="44" t="n">
        <v>1628448219617590</v>
      </c>
      <c r="I73" s="44" t="n">
        <v>9.92684404263979E-005</v>
      </c>
      <c r="J73" s="44" t="n">
        <v>1423394620520620</v>
      </c>
      <c r="K73" s="44" t="n">
        <v>8.9204135328528E-005</v>
      </c>
      <c r="L73" s="44" t="n">
        <v>1381724237770760</v>
      </c>
      <c r="M73" s="44" t="n">
        <v>8.36389323101555E-005</v>
      </c>
      <c r="N73" s="44" t="n">
        <v>1228538562234800</v>
      </c>
      <c r="O73" s="44" t="n">
        <v>7.71877267677427E-005</v>
      </c>
      <c r="P73" s="44" t="n">
        <v>1196776594469380</v>
      </c>
      <c r="Q73" s="44" t="n">
        <v>7.2958910462469E-005</v>
      </c>
      <c r="R73" s="44" t="n">
        <v>1056417531400090</v>
      </c>
      <c r="S73" s="44" t="n">
        <v>6.71059416428975E-005</v>
      </c>
      <c r="T73" s="44" t="n">
        <v>1013116807180120</v>
      </c>
      <c r="U73" s="44" t="n">
        <v>6.27868928345383E-005</v>
      </c>
      <c r="V73" s="44" t="n">
        <v>915222170182501</v>
      </c>
      <c r="W73" s="44" t="n">
        <v>5.63878513980297E-005</v>
      </c>
      <c r="X73" s="44" t="n">
        <v>806305137303446</v>
      </c>
      <c r="Y73" s="44" t="n">
        <v>5.19373374921013E-005</v>
      </c>
      <c r="Z73" s="44" t="n">
        <v>759928168608903</v>
      </c>
      <c r="AA73" s="44" t="n">
        <v>4.82252899919799E-005</v>
      </c>
      <c r="AB73" s="44" t="n">
        <v>693549839739455</v>
      </c>
      <c r="AC73" s="44" t="n">
        <v>4.41893997869272E-005</v>
      </c>
      <c r="AD73" s="44" t="n">
        <v>582300309816828</v>
      </c>
      <c r="AE73" s="44" t="n">
        <v>3.78834155112318E-005</v>
      </c>
    </row>
    <row collapsed="false" customFormat="false" customHeight="false" hidden="false" ht="12.75" outlineLevel="0" r="74">
      <c r="B74" s="44" t="n">
        <v>1701668010577890</v>
      </c>
      <c r="C74" s="44" t="n">
        <v>0.000110285373553942</v>
      </c>
      <c r="D74" s="44" t="n">
        <v>1636742900913180</v>
      </c>
      <c r="E74" s="44" t="n">
        <v>0.000106805860217821</v>
      </c>
      <c r="F74" s="44" t="n">
        <v>1638695924009150</v>
      </c>
      <c r="G74" s="44" t="n">
        <v>0.00010400774096018</v>
      </c>
      <c r="H74" s="44" t="n">
        <v>1535284156825300</v>
      </c>
      <c r="I74" s="44" t="n">
        <v>9.81367367030528E-005</v>
      </c>
      <c r="J74" s="44" t="n">
        <v>1339571756248860</v>
      </c>
      <c r="K74" s="44" t="n">
        <v>8.8013452934293E-005</v>
      </c>
      <c r="L74" s="44" t="n">
        <v>1299384681768440</v>
      </c>
      <c r="M74" s="44" t="n">
        <v>8.25156358255243E-005</v>
      </c>
      <c r="N74" s="44" t="n">
        <v>1156641373921960</v>
      </c>
      <c r="O74" s="44" t="n">
        <v>7.63229472246278E-005</v>
      </c>
      <c r="P74" s="44" t="n">
        <v>1121946447707120</v>
      </c>
      <c r="Q74" s="44" t="n">
        <v>7.1794317309984E-005</v>
      </c>
      <c r="R74" s="44" t="n">
        <v>993441909469593</v>
      </c>
      <c r="S74" s="44" t="n">
        <v>6.62605767408171E-005</v>
      </c>
      <c r="T74" s="44" t="n">
        <v>952341892257997</v>
      </c>
      <c r="U74" s="44" t="n">
        <v>6.18982664377154E-005</v>
      </c>
      <c r="V74" s="44" t="n">
        <v>863421750243230</v>
      </c>
      <c r="W74" s="44" t="n">
        <v>5.57407579195848E-005</v>
      </c>
      <c r="X74" s="44" t="n">
        <v>755465036902864</v>
      </c>
      <c r="Y74" s="44" t="n">
        <v>5.10649950904279E-005</v>
      </c>
      <c r="Z74" s="44" t="n">
        <v>712457836195338</v>
      </c>
      <c r="AA74" s="44" t="n">
        <v>4.75085823349228E-005</v>
      </c>
      <c r="AB74" s="44" t="n">
        <v>650015402091358</v>
      </c>
      <c r="AC74" s="44" t="n">
        <v>4.34193793642738E-005</v>
      </c>
      <c r="AD74" s="44" t="n">
        <v>545005614705633</v>
      </c>
      <c r="AE74" s="44" t="n">
        <v>3.72518563901447E-005</v>
      </c>
    </row>
    <row collapsed="false" customFormat="false" customHeight="false" hidden="false" ht="12.75" outlineLevel="0" r="75">
      <c r="B75" s="44" t="n">
        <v>1603422856404830</v>
      </c>
      <c r="C75" s="44" t="n">
        <v>0.000109255221393787</v>
      </c>
      <c r="D75" s="44" t="n">
        <v>1542541452672490</v>
      </c>
      <c r="E75" s="44" t="n">
        <v>0.000105613072290752</v>
      </c>
      <c r="F75" s="44" t="n">
        <v>1540848336177080</v>
      </c>
      <c r="G75" s="44" t="n">
        <v>0.000102772843365901</v>
      </c>
      <c r="H75" s="44" t="n">
        <v>1445611911449310</v>
      </c>
      <c r="I75" s="44" t="n">
        <v>9.69718353011777E-005</v>
      </c>
      <c r="J75" s="44" t="n">
        <v>1260845152573570</v>
      </c>
      <c r="K75" s="44" t="n">
        <v>8.68846889715049E-005</v>
      </c>
      <c r="L75" s="44" t="n">
        <v>1220318120148400</v>
      </c>
      <c r="M75" s="44" t="n">
        <v>8.12525588301794E-005</v>
      </c>
      <c r="N75" s="44" t="n">
        <v>1089082773745090</v>
      </c>
      <c r="O75" s="44" t="n">
        <v>7.54731882656811E-005</v>
      </c>
      <c r="P75" s="44" t="n">
        <v>1056608647583440</v>
      </c>
      <c r="Q75" s="44" t="n">
        <v>7.09161025911573E-005</v>
      </c>
      <c r="R75" s="44" t="n">
        <v>932132934026565</v>
      </c>
      <c r="S75" s="44" t="n">
        <v>6.5182350783005E-005</v>
      </c>
      <c r="T75" s="44" t="n">
        <v>890882171240831</v>
      </c>
      <c r="U75" s="44" t="n">
        <v>6.08291121235017E-005</v>
      </c>
      <c r="V75" s="44" t="n">
        <v>809458234998436</v>
      </c>
      <c r="W75" s="44" t="n">
        <v>5.49078902941894E-005</v>
      </c>
      <c r="X75" s="44" t="n">
        <v>709336298650714</v>
      </c>
      <c r="Y75" s="44" t="n">
        <v>5.03255541556591E-005</v>
      </c>
      <c r="Z75" s="44" t="n">
        <v>668060251893562</v>
      </c>
      <c r="AA75" s="44" t="n">
        <v>4.67173197228132E-005</v>
      </c>
      <c r="AB75" s="44" t="n">
        <v>611495943398194</v>
      </c>
      <c r="AC75" s="44" t="n">
        <v>4.28594551661518E-005</v>
      </c>
      <c r="AD75" s="44" t="n">
        <v>510151221833608</v>
      </c>
      <c r="AE75" s="44" t="n">
        <v>3.65867746750371E-005</v>
      </c>
    </row>
    <row collapsed="false" customFormat="false" customHeight="false" hidden="false" ht="12.75" outlineLevel="0" r="76">
      <c r="B76" s="44" t="n">
        <v>1513339343674600</v>
      </c>
      <c r="C76" s="44" t="n">
        <v>0.000108183172418741</v>
      </c>
      <c r="D76" s="44" t="n">
        <v>1451736067585650</v>
      </c>
      <c r="E76" s="44" t="n">
        <v>0.000104265054180604</v>
      </c>
      <c r="F76" s="44" t="n">
        <v>1455114378077410</v>
      </c>
      <c r="G76" s="44" t="n">
        <v>0.000101914770802082</v>
      </c>
      <c r="H76" s="44" t="n">
        <v>1359303750656120</v>
      </c>
      <c r="I76" s="44" t="n">
        <v>9.56235335980532E-005</v>
      </c>
      <c r="J76" s="44" t="n">
        <v>1183046089328430</v>
      </c>
      <c r="K76" s="44" t="n">
        <v>8.55430694417708E-005</v>
      </c>
      <c r="L76" s="44" t="n">
        <v>1149174295381870</v>
      </c>
      <c r="M76" s="44" t="n">
        <v>8.0353016772145E-005</v>
      </c>
      <c r="N76" s="44" t="n">
        <v>1025851183435830</v>
      </c>
      <c r="O76" s="44" t="n">
        <v>7.46204674400467E-005</v>
      </c>
      <c r="P76" s="44" t="n">
        <v>994043456038548</v>
      </c>
      <c r="Q76" s="44" t="n">
        <v>7.00005192567473E-005</v>
      </c>
      <c r="R76" s="44" t="n">
        <v>875092046729688</v>
      </c>
      <c r="S76" s="44" t="n">
        <v>6.42857995110976E-005</v>
      </c>
      <c r="T76" s="44" t="n">
        <v>839715820442130</v>
      </c>
      <c r="U76" s="44" t="n">
        <v>6.01956725248282E-005</v>
      </c>
      <c r="V76" s="44" t="n">
        <v>758741669855641</v>
      </c>
      <c r="W76" s="44" t="n">
        <v>5.39543697421664E-005</v>
      </c>
      <c r="X76" s="44" t="n">
        <v>667109528968413</v>
      </c>
      <c r="Y76" s="44" t="n">
        <v>4.9707741107383E-005</v>
      </c>
      <c r="Z76" s="44" t="n">
        <v>627383080970369</v>
      </c>
      <c r="AA76" s="44" t="n">
        <v>4.60961887344109E-005</v>
      </c>
      <c r="AB76" s="44" t="n">
        <v>570305674542891</v>
      </c>
      <c r="AC76" s="44" t="n">
        <v>4.19396612550543E-005</v>
      </c>
      <c r="AD76" s="44" t="n">
        <v>479049614787835</v>
      </c>
      <c r="AE76" s="44" t="n">
        <v>3.61006711156263E-005</v>
      </c>
    </row>
    <row collapsed="false" customFormat="false" customHeight="false" hidden="false" ht="12.75" outlineLevel="0" r="77">
      <c r="B77" s="44" t="n">
        <v>1428082337782760</v>
      </c>
      <c r="C77" s="44" t="n">
        <v>0.000107214203109963</v>
      </c>
      <c r="D77" s="44" t="n">
        <v>1367210113660320</v>
      </c>
      <c r="E77" s="44" t="n">
        <v>0.000103204689347963</v>
      </c>
      <c r="F77" s="44" t="n">
        <v>1371928542823450</v>
      </c>
      <c r="G77" s="44" t="n">
        <v>0.000100911350534555</v>
      </c>
      <c r="H77" s="44" t="n">
        <v>1280366486416680</v>
      </c>
      <c r="I77" s="44" t="n">
        <v>9.44379438537901E-005</v>
      </c>
      <c r="J77" s="44" t="n">
        <v>1112088066926260</v>
      </c>
      <c r="K77" s="44" t="n">
        <v>8.44182314015384E-005</v>
      </c>
      <c r="L77" s="44" t="n">
        <v>1078859178217800</v>
      </c>
      <c r="M77" s="44" t="n">
        <v>7.90840373883267E-005</v>
      </c>
      <c r="N77" s="44" t="n">
        <v>966357739773201</v>
      </c>
      <c r="O77" s="44" t="n">
        <v>7.38218463815053E-005</v>
      </c>
      <c r="P77" s="44" t="n">
        <v>933124645506990</v>
      </c>
      <c r="Q77" s="44" t="n">
        <v>6.90209790008875E-005</v>
      </c>
      <c r="R77" s="44" t="n">
        <v>822103173577821</v>
      </c>
      <c r="S77" s="44" t="n">
        <v>6.33199526787765E-005</v>
      </c>
      <c r="T77" s="44" t="n">
        <v>789417863837256</v>
      </c>
      <c r="U77" s="44" t="n">
        <v>5.94454571446716E-005</v>
      </c>
      <c r="V77" s="44" t="n">
        <v>713862656081837</v>
      </c>
      <c r="W77" s="44" t="n">
        <v>5.33178819792479E-005</v>
      </c>
      <c r="X77" s="44" t="n">
        <v>627311243809505</v>
      </c>
      <c r="Y77" s="44" t="n">
        <v>4.90607938020862E-005</v>
      </c>
      <c r="Z77" s="44" t="n">
        <v>589318461200266</v>
      </c>
      <c r="AA77" s="44" t="n">
        <v>4.54152223392865E-005</v>
      </c>
      <c r="AB77" s="44" t="n">
        <v>537275261219522</v>
      </c>
      <c r="AC77" s="44" t="n">
        <v>4.14921677107679E-005</v>
      </c>
      <c r="AD77" s="44" t="n">
        <v>447499320366370</v>
      </c>
      <c r="AE77" s="44" t="n">
        <v>3.53845164034624E-005</v>
      </c>
    </row>
    <row collapsed="false" customFormat="false" customHeight="false" hidden="false" ht="12.75" outlineLevel="0" r="78">
      <c r="B78" s="44" t="n">
        <v>1347907270957080</v>
      </c>
      <c r="C78" s="44" t="n">
        <v>0.000106287212354338</v>
      </c>
      <c r="D78" s="44" t="n">
        <v>1284606622560610</v>
      </c>
      <c r="E78" s="44" t="n">
        <v>0.000101923093890276</v>
      </c>
      <c r="F78" s="44" t="n">
        <v>1290572251965890</v>
      </c>
      <c r="G78" s="44" t="n">
        <v>9.94240763112941E-005</v>
      </c>
      <c r="H78" s="44" t="n">
        <v>1200241178502920</v>
      </c>
      <c r="I78" s="44" t="n">
        <v>9.31590662200261E-005</v>
      </c>
      <c r="J78" s="44" t="n">
        <v>1047716267483030</v>
      </c>
      <c r="K78" s="44" t="n">
        <v>8.36444164474884E-005</v>
      </c>
      <c r="L78" s="44" t="n">
        <v>1013930166109550</v>
      </c>
      <c r="M78" s="44" t="n">
        <v>7.81356361015795E-005</v>
      </c>
      <c r="N78" s="44" t="n">
        <v>907019815772816</v>
      </c>
      <c r="O78" s="44" t="n">
        <v>7.26588315123862E-005</v>
      </c>
      <c r="P78" s="44" t="n">
        <v>878876964122356</v>
      </c>
      <c r="Q78" s="44" t="n">
        <v>6.82417683506625E-005</v>
      </c>
      <c r="R78" s="44" t="n">
        <v>771475276150096</v>
      </c>
      <c r="S78" s="44" t="n">
        <v>6.24422553687034E-005</v>
      </c>
      <c r="T78" s="44" t="n">
        <v>740843232332281</v>
      </c>
      <c r="U78" s="44" t="n">
        <v>5.84658682797068E-005</v>
      </c>
      <c r="V78" s="44" t="n">
        <v>669462124133101</v>
      </c>
      <c r="W78" s="44" t="n">
        <v>5.26196919355644E-005</v>
      </c>
      <c r="X78" s="44" t="n">
        <v>588554010729674</v>
      </c>
      <c r="Y78" s="44" t="n">
        <v>4.83273569569045E-005</v>
      </c>
      <c r="Z78" s="44" t="n">
        <v>553397019870857</v>
      </c>
      <c r="AA78" s="44" t="n">
        <v>4.47689069464481E-005</v>
      </c>
      <c r="AB78" s="44" t="n">
        <v>504866931913715</v>
      </c>
      <c r="AC78" s="44" t="n">
        <v>4.09995694781884E-005</v>
      </c>
      <c r="AD78" s="44" t="n">
        <v>421958337673398</v>
      </c>
      <c r="AE78" s="44" t="n">
        <v>3.5041456703028E-005</v>
      </c>
    </row>
    <row collapsed="false" customFormat="false" customHeight="false" hidden="false" ht="12.75" outlineLevel="0" r="79">
      <c r="B79" s="44" t="n">
        <v>1270186931091810</v>
      </c>
      <c r="C79" s="44" t="n">
        <v>0.000105004683310379</v>
      </c>
      <c r="D79" s="44" t="n">
        <v>1211388639866150</v>
      </c>
      <c r="E79" s="44" t="n">
        <v>0.000100839623407937</v>
      </c>
      <c r="F79" s="44" t="n">
        <v>1213757129986570</v>
      </c>
      <c r="G79" s="44" t="n">
        <v>9.82805747427012E-005</v>
      </c>
      <c r="H79" s="44" t="n">
        <v>1131939020969150</v>
      </c>
      <c r="I79" s="44" t="n">
        <v>9.21202883167703E-005</v>
      </c>
      <c r="J79" s="44" t="n">
        <v>985006408096687</v>
      </c>
      <c r="K79" s="44" t="n">
        <v>8.25718021921297E-005</v>
      </c>
      <c r="L79" s="44" t="n">
        <v>954194382194541</v>
      </c>
      <c r="M79" s="44" t="n">
        <v>7.71986925172798E-005</v>
      </c>
      <c r="N79" s="44" t="n">
        <v>854015818304651</v>
      </c>
      <c r="O79" s="44" t="n">
        <v>7.18628826159366E-005</v>
      </c>
      <c r="P79" s="44" t="n">
        <v>826440995970142</v>
      </c>
      <c r="Q79" s="44" t="n">
        <v>6.73152999127907E-005</v>
      </c>
      <c r="R79" s="44" t="n">
        <v>722835942017405</v>
      </c>
      <c r="S79" s="44" t="n">
        <v>6.14525012458343E-005</v>
      </c>
      <c r="T79" s="44" t="n">
        <v>696726898331835</v>
      </c>
      <c r="U79" s="44" t="n">
        <v>5.77787019438793E-005</v>
      </c>
      <c r="V79" s="44" t="n">
        <v>630857824444013</v>
      </c>
      <c r="W79" s="44" t="n">
        <v>5.19812569252718E-005</v>
      </c>
      <c r="X79" s="44" t="n">
        <v>550425560222143</v>
      </c>
      <c r="Y79" s="44" t="n">
        <v>4.74996697395667E-005</v>
      </c>
      <c r="Z79" s="44" t="n">
        <v>519818727491663</v>
      </c>
      <c r="AA79" s="44" t="n">
        <v>4.415466336952E-005</v>
      </c>
      <c r="AB79" s="44" t="n">
        <v>471431210436411</v>
      </c>
      <c r="AC79" s="44" t="n">
        <v>4.01951799988789E-005</v>
      </c>
      <c r="AD79" s="44" t="n">
        <v>395562562247333</v>
      </c>
      <c r="AE79" s="44" t="n">
        <v>3.44758379416023E-005</v>
      </c>
    </row>
    <row collapsed="false" customFormat="false" customHeight="false" hidden="false" ht="12.75" outlineLevel="0" r="80">
      <c r="B80" s="44" t="n">
        <v>1195115955324910</v>
      </c>
      <c r="C80" s="44" t="n">
        <v>0.000103688352081486</v>
      </c>
      <c r="D80" s="44" t="n">
        <v>1138541437834660</v>
      </c>
      <c r="E80" s="44" t="n">
        <v>9.9736132881036E-005</v>
      </c>
      <c r="F80" s="44" t="n">
        <v>1141451815465610</v>
      </c>
      <c r="G80" s="44" t="n">
        <v>9.71279964493018E-005</v>
      </c>
      <c r="H80" s="44" t="n">
        <v>1062070692668500</v>
      </c>
      <c r="I80" s="44" t="n">
        <v>9.09762502369659E-005</v>
      </c>
      <c r="J80" s="44" t="n">
        <v>924673260816509</v>
      </c>
      <c r="K80" s="44" t="n">
        <v>8.15713145500667E-005</v>
      </c>
      <c r="L80" s="44" t="n">
        <v>897201496198294</v>
      </c>
      <c r="M80" s="44" t="n">
        <v>7.63429594197643E-005</v>
      </c>
      <c r="N80" s="44" t="n">
        <v>802200234960677</v>
      </c>
      <c r="O80" s="44" t="n">
        <v>7.0927083531233E-005</v>
      </c>
      <c r="P80" s="44" t="n">
        <v>775715765228819</v>
      </c>
      <c r="Q80" s="44" t="n">
        <v>6.63610898263069E-005</v>
      </c>
      <c r="R80" s="44" t="n">
        <v>682585623114556</v>
      </c>
      <c r="S80" s="44" t="n">
        <v>6.103437303401E-005</v>
      </c>
      <c r="T80" s="44" t="n">
        <v>651445281527073</v>
      </c>
      <c r="U80" s="44" t="n">
        <v>5.67013034846472E-005</v>
      </c>
      <c r="V80" s="44" t="n">
        <v>592515827106164</v>
      </c>
      <c r="W80" s="44" t="n">
        <v>5.12609560140632E-005</v>
      </c>
      <c r="X80" s="44" t="n">
        <v>518111834469049</v>
      </c>
      <c r="Y80" s="44" t="n">
        <v>4.69634011827935E-005</v>
      </c>
      <c r="Z80" s="44" t="n">
        <v>486859404381272</v>
      </c>
      <c r="AA80" s="44" t="n">
        <v>4.34324804654708E-005</v>
      </c>
      <c r="AB80" s="44" t="n">
        <v>442072598942729</v>
      </c>
      <c r="AC80" s="44" t="n">
        <v>3.95952032369897E-005</v>
      </c>
      <c r="AD80" s="44" t="n">
        <v>369634442045838</v>
      </c>
      <c r="AE80" s="44" t="n">
        <v>3.38453479793187E-005</v>
      </c>
    </row>
    <row collapsed="false" customFormat="false" customHeight="false" hidden="false" ht="12.75" outlineLevel="0" r="81">
      <c r="B81" s="44" t="n">
        <v>1127133368461480</v>
      </c>
      <c r="C81" s="44" t="n">
        <v>0.000102899127830159</v>
      </c>
      <c r="D81" s="44" t="n">
        <v>1071300373625270</v>
      </c>
      <c r="E81" s="44" t="n">
        <v>9.86990153204509E-005</v>
      </c>
      <c r="F81" s="44" t="n">
        <v>1075768369140690</v>
      </c>
      <c r="G81" s="44" t="n">
        <v>9.60768671109307E-005</v>
      </c>
      <c r="H81" s="44" t="n">
        <v>997806573588993</v>
      </c>
      <c r="I81" s="44" t="n">
        <v>8.99634797233834E-005</v>
      </c>
      <c r="J81" s="44" t="n">
        <v>868649770045304</v>
      </c>
      <c r="K81" s="44" t="n">
        <v>8.02881413783138E-005</v>
      </c>
      <c r="L81" s="44" t="n">
        <v>843731778457613</v>
      </c>
      <c r="M81" s="44" t="n">
        <v>7.53369996205523E-005</v>
      </c>
      <c r="N81" s="44" t="n">
        <v>752873062043961</v>
      </c>
      <c r="O81" s="44" t="n">
        <v>6.99151712252287E-005</v>
      </c>
      <c r="P81" s="44" t="n">
        <v>729692555776309</v>
      </c>
      <c r="Q81" s="44" t="n">
        <v>6.56844611285286E-005</v>
      </c>
      <c r="R81" s="44" t="n">
        <v>640005490929977</v>
      </c>
      <c r="S81" s="44" t="n">
        <v>6.00768883230555E-005</v>
      </c>
      <c r="T81" s="44" t="n">
        <v>608762969353430</v>
      </c>
      <c r="U81" s="44" t="n">
        <v>5.57418882840322E-005</v>
      </c>
      <c r="V81" s="44" t="n">
        <v>552040139438012</v>
      </c>
      <c r="W81" s="44" t="n">
        <v>5.00941722136613E-005</v>
      </c>
      <c r="X81" s="44" t="n">
        <v>486184419628941</v>
      </c>
      <c r="Y81" s="44" t="n">
        <v>4.63458760633673E-005</v>
      </c>
      <c r="Z81" s="44" t="n">
        <v>455843056904075</v>
      </c>
      <c r="AA81" s="44" t="n">
        <v>4.26949278861848E-005</v>
      </c>
      <c r="AB81" s="44" t="n">
        <v>417231076745968</v>
      </c>
      <c r="AC81" s="44" t="n">
        <v>3.93548187521635E-005</v>
      </c>
      <c r="AD81" s="44" t="n">
        <v>346770608412039</v>
      </c>
      <c r="AE81" s="44" t="n">
        <v>3.33219067889578E-005</v>
      </c>
    </row>
    <row collapsed="false" customFormat="false" customHeight="false" hidden="false" ht="12.75" outlineLevel="0" r="82">
      <c r="B82" s="44" t="n">
        <v>1056918085946970</v>
      </c>
      <c r="C82" s="44" t="n">
        <v>0.000101396565941234</v>
      </c>
      <c r="D82" s="44" t="n">
        <v>1014019755541950</v>
      </c>
      <c r="E82" s="44" t="n">
        <v>9.81065765140679E-005</v>
      </c>
      <c r="F82" s="44" t="n">
        <v>1006367561259570</v>
      </c>
      <c r="G82" s="44" t="n">
        <v>9.44672026095654E-005</v>
      </c>
      <c r="H82" s="44" t="n">
        <v>943712493977464</v>
      </c>
      <c r="I82" s="44" t="n">
        <v>8.93243804272522E-005</v>
      </c>
      <c r="J82" s="44" t="n">
        <v>817747021843727</v>
      </c>
      <c r="K82" s="44" t="n">
        <v>7.93772746689148E-005</v>
      </c>
      <c r="L82" s="44" t="n">
        <v>790397029767569</v>
      </c>
      <c r="M82" s="44" t="n">
        <v>7.41377095477096E-005</v>
      </c>
      <c r="N82" s="44" t="n">
        <v>706571523786332</v>
      </c>
      <c r="O82" s="44" t="n">
        <v>6.8782072679336E-005</v>
      </c>
      <c r="P82" s="44" t="n">
        <v>683978185696931</v>
      </c>
      <c r="Q82" s="44" t="n">
        <v>6.46507726299352E-005</v>
      </c>
      <c r="R82" s="44" t="n">
        <v>601858777021438</v>
      </c>
      <c r="S82" s="44" t="n">
        <v>5.91441184106597E-005</v>
      </c>
      <c r="T82" s="44" t="n">
        <v>572205569049020</v>
      </c>
      <c r="U82" s="44" t="n">
        <v>5.50755439342969E-005</v>
      </c>
      <c r="V82" s="44" t="n">
        <v>520183440104236</v>
      </c>
      <c r="W82" s="44" t="n">
        <v>4.97314179456625E-005</v>
      </c>
      <c r="X82" s="44" t="n">
        <v>458446416571199</v>
      </c>
      <c r="Y82" s="44" t="n">
        <v>4.58952901013379E-005</v>
      </c>
      <c r="Z82" s="44" t="n">
        <v>425055206078415</v>
      </c>
      <c r="AA82" s="44" t="n">
        <v>4.18410640681787E-005</v>
      </c>
      <c r="AB82" s="44" t="n">
        <v>391968432935060</v>
      </c>
      <c r="AC82" s="44" t="n">
        <v>3.87717454757818E-005</v>
      </c>
      <c r="AD82" s="44" t="n">
        <v>324034467606480</v>
      </c>
      <c r="AE82" s="44" t="n">
        <v>3.27560336186818E-005</v>
      </c>
    </row>
    <row collapsed="false" customFormat="false" customHeight="false" hidden="false" ht="12.75" outlineLevel="0" r="83">
      <c r="B83" s="44" t="n">
        <v>997584202233706</v>
      </c>
      <c r="C83" s="44" t="n">
        <v>0.000100640409645937</v>
      </c>
      <c r="D83" s="44" t="n">
        <v>953872887127901</v>
      </c>
      <c r="E83" s="44" t="n">
        <v>9.66555690780341E-005</v>
      </c>
      <c r="F83" s="44" t="n">
        <v>947807357109094</v>
      </c>
      <c r="G83" s="44" t="n">
        <v>9.36670926318198E-005</v>
      </c>
      <c r="H83" s="44" t="n">
        <v>885046379709062</v>
      </c>
      <c r="I83" s="44" t="n">
        <v>8.80639264419164E-005</v>
      </c>
      <c r="J83" s="44" t="n">
        <v>768462904203446</v>
      </c>
      <c r="K83" s="44" t="n">
        <v>7.8386486198387E-005</v>
      </c>
      <c r="L83" s="44" t="n">
        <v>743461513589780</v>
      </c>
      <c r="M83" s="44" t="n">
        <v>7.33737872678014E-005</v>
      </c>
      <c r="N83" s="44" t="n">
        <v>663087397559858</v>
      </c>
      <c r="O83" s="44" t="n">
        <v>6.78991698317654E-005</v>
      </c>
      <c r="P83" s="44" t="n">
        <v>647164011417494</v>
      </c>
      <c r="Q83" s="44" t="n">
        <v>6.42839527205564E-005</v>
      </c>
      <c r="R83" s="44" t="n">
        <v>563497884746137</v>
      </c>
      <c r="S83" s="44" t="n">
        <v>5.8183239204972E-005</v>
      </c>
      <c r="T83" s="44" t="n">
        <v>543195250773943</v>
      </c>
      <c r="U83" s="44" t="n">
        <v>5.49702221530895E-005</v>
      </c>
      <c r="V83" s="44" t="n">
        <v>484774232688579</v>
      </c>
      <c r="W83" s="44" t="n">
        <v>4.87122167093425E-005</v>
      </c>
      <c r="X83" s="44" t="n">
        <v>429937701424652</v>
      </c>
      <c r="Y83" s="44" t="n">
        <v>4.5201269450249E-005</v>
      </c>
      <c r="Z83" s="44" t="n">
        <v>398564755654291</v>
      </c>
      <c r="AA83" s="44" t="n">
        <v>4.11598173253704E-005</v>
      </c>
      <c r="AB83" s="44" t="n">
        <v>367564659912309</v>
      </c>
      <c r="AC83" s="44" t="n">
        <v>3.81187054682725E-005</v>
      </c>
      <c r="AD83" s="44" t="n">
        <v>301783714180183</v>
      </c>
      <c r="AE83" s="44" t="n">
        <v>3.2063022739196E-005</v>
      </c>
    </row>
    <row collapsed="false" customFormat="false" customHeight="false" hidden="false" ht="12.75" outlineLevel="0" r="84">
      <c r="B84" s="44" t="n">
        <v>938798467623057</v>
      </c>
      <c r="C84" s="44" t="n">
        <v>9.95839247066392E-005</v>
      </c>
      <c r="D84" s="44" t="n">
        <v>892567621438349</v>
      </c>
      <c r="E84" s="44" t="n">
        <v>9.51841692357995E-005</v>
      </c>
      <c r="F84" s="44" t="n">
        <v>887206655378532</v>
      </c>
      <c r="G84" s="44" t="n">
        <v>9.22419040852205E-005</v>
      </c>
      <c r="H84" s="44" t="n">
        <v>828248514150924</v>
      </c>
      <c r="I84" s="44" t="n">
        <v>8.64916739375888E-005</v>
      </c>
      <c r="J84" s="44" t="n">
        <v>722393055999431</v>
      </c>
      <c r="K84" s="44" t="n">
        <v>7.75266189707307E-005</v>
      </c>
      <c r="L84" s="44" t="n">
        <v>696013785207879</v>
      </c>
      <c r="M84" s="44" t="n">
        <v>7.21739071961373E-005</v>
      </c>
      <c r="N84" s="44" t="n">
        <v>620013747650782</v>
      </c>
      <c r="O84" s="44" t="n">
        <v>6.67183486702569E-005</v>
      </c>
      <c r="P84" s="44" t="n">
        <v>604615020767508</v>
      </c>
      <c r="Q84" s="44" t="n">
        <v>6.3059944979135E-005</v>
      </c>
      <c r="R84" s="44" t="n">
        <v>525373637494344</v>
      </c>
      <c r="S84" s="44" t="n">
        <v>5.70185932963401E-005</v>
      </c>
      <c r="T84" s="44" t="n">
        <v>508480433517968</v>
      </c>
      <c r="U84" s="44" t="n">
        <v>5.40389942218101E-005</v>
      </c>
      <c r="V84" s="44" t="n">
        <v>459077275998429</v>
      </c>
      <c r="W84" s="44" t="n">
        <v>4.83689802386267E-005</v>
      </c>
      <c r="X84" s="44" t="n">
        <v>402135800042602</v>
      </c>
      <c r="Y84" s="44" t="n">
        <v>4.4390433327566E-005</v>
      </c>
      <c r="Z84" s="44" t="n">
        <v>371524605232268</v>
      </c>
      <c r="AA84" s="44" t="n">
        <v>4.0383229304041E-005</v>
      </c>
      <c r="AB84" s="44" t="n">
        <v>340389695524286</v>
      </c>
      <c r="AC84" s="44" t="n">
        <v>3.70432852785672E-005</v>
      </c>
      <c r="AD84" s="44" t="n">
        <v>284296418020692</v>
      </c>
      <c r="AE84" s="44" t="n">
        <v>3.17088117476409E-005</v>
      </c>
    </row>
    <row collapsed="false" customFormat="false" customHeight="false" hidden="false" ht="12.75" outlineLevel="0" r="85">
      <c r="B85" s="44" t="n">
        <v>884101415908131</v>
      </c>
      <c r="C85" s="44" t="n">
        <v>9.85239726597367E-005</v>
      </c>
      <c r="D85" s="44" t="n">
        <v>834859821701804</v>
      </c>
      <c r="E85" s="44" t="n">
        <v>9.32776305143403E-005</v>
      </c>
      <c r="F85" s="44" t="n">
        <v>835402945142559</v>
      </c>
      <c r="G85" s="44" t="n">
        <v>9.1038268092684E-005</v>
      </c>
      <c r="H85" s="44" t="n">
        <v>777942665240699</v>
      </c>
      <c r="I85" s="44" t="n">
        <v>8.53697089270568E-005</v>
      </c>
      <c r="J85" s="44" t="n">
        <v>676991347506068</v>
      </c>
      <c r="K85" s="44" t="n">
        <v>7.61616848588528E-005</v>
      </c>
      <c r="L85" s="44" t="n">
        <v>655564763374203</v>
      </c>
      <c r="M85" s="44" t="n">
        <v>7.14306556589231E-005</v>
      </c>
      <c r="N85" s="44" t="n">
        <v>585470345700892</v>
      </c>
      <c r="O85" s="44" t="n">
        <v>6.62263942144341E-005</v>
      </c>
      <c r="P85" s="44" t="n">
        <v>565916222748911</v>
      </c>
      <c r="Q85" s="44" t="n">
        <v>6.18291534680327E-005</v>
      </c>
      <c r="R85" s="44" t="n">
        <v>493759656674303</v>
      </c>
      <c r="S85" s="44" t="n">
        <v>5.63152502502879E-005</v>
      </c>
      <c r="T85" s="44" t="n">
        <v>471186249021531</v>
      </c>
      <c r="U85" s="44" t="n">
        <v>5.25244240138561E-005</v>
      </c>
      <c r="V85" s="44" t="n">
        <v>427050454976885</v>
      </c>
      <c r="W85" s="44" t="n">
        <v>4.72328316530763E-005</v>
      </c>
      <c r="X85" s="44" t="n">
        <v>378201935268278</v>
      </c>
      <c r="Y85" s="44" t="n">
        <v>4.37846411847585E-005</v>
      </c>
      <c r="Z85" s="44" t="n">
        <v>351534019756677</v>
      </c>
      <c r="AA85" s="44" t="n">
        <v>4.01506867814824E-005</v>
      </c>
      <c r="AB85" s="44" t="n">
        <v>320832097749966</v>
      </c>
      <c r="AC85" s="44" t="n">
        <v>3.67569981487181E-005</v>
      </c>
      <c r="AD85" s="44" t="n">
        <v>264637960521096</v>
      </c>
      <c r="AE85" s="44" t="n">
        <v>3.11029764200429E-005</v>
      </c>
    </row>
    <row collapsed="false" customFormat="false" customHeight="false" hidden="false" ht="12.75" outlineLevel="0" r="86">
      <c r="B86" s="44" t="n">
        <v>830079319987154</v>
      </c>
      <c r="C86" s="44" t="n">
        <v>9.70240513890043E-005</v>
      </c>
      <c r="D86" s="44" t="n">
        <v>789840783537430</v>
      </c>
      <c r="E86" s="44" t="n">
        <v>9.29103140356411E-005</v>
      </c>
      <c r="F86" s="44" t="n">
        <v>785776325888305</v>
      </c>
      <c r="G86" s="44" t="n">
        <v>8.99330689589469E-005</v>
      </c>
      <c r="H86" s="44" t="n">
        <v>728294480321692</v>
      </c>
      <c r="I86" s="44" t="n">
        <v>8.40276784995663E-005</v>
      </c>
      <c r="J86" s="44" t="n">
        <v>635392464678725</v>
      </c>
      <c r="K86" s="44" t="n">
        <v>7.49684812696387E-005</v>
      </c>
      <c r="L86" s="44" t="n">
        <v>613121251795701</v>
      </c>
      <c r="M86" s="44" t="n">
        <v>7.00402330375383E-005</v>
      </c>
      <c r="N86" s="44" t="n">
        <v>549027771777910</v>
      </c>
      <c r="O86" s="44" t="n">
        <v>6.52348015694887E-005</v>
      </c>
      <c r="P86" s="44" t="n">
        <v>535215032885652</v>
      </c>
      <c r="Q86" s="44" t="n">
        <v>6.13880193057675E-005</v>
      </c>
      <c r="R86" s="44" t="n">
        <v>463215986848638</v>
      </c>
      <c r="S86" s="44" t="n">
        <v>5.56479606753064E-005</v>
      </c>
      <c r="T86" s="44" t="n">
        <v>444888281354204</v>
      </c>
      <c r="U86" s="44" t="n">
        <v>5.2161817969399E-005</v>
      </c>
      <c r="V86" s="44" t="n">
        <v>399399899638742</v>
      </c>
      <c r="W86" s="44" t="n">
        <v>4.64170559980069E-005</v>
      </c>
      <c r="X86" s="44" t="n">
        <v>354338016240198</v>
      </c>
      <c r="Y86" s="44" t="n">
        <v>4.31733103311864E-005</v>
      </c>
      <c r="Z86" s="44" t="n">
        <v>332018726670925</v>
      </c>
      <c r="AA86" s="44" t="n">
        <v>3.99132568325917E-005</v>
      </c>
      <c r="AB86" s="44" t="n">
        <v>300258524949194</v>
      </c>
      <c r="AC86" s="44" t="n">
        <v>3.61707448959716E-005</v>
      </c>
      <c r="AD86" s="44" t="n">
        <v>248774139642155</v>
      </c>
      <c r="AE86" s="44" t="n">
        <v>3.06558403788949E-005</v>
      </c>
    </row>
    <row collapsed="false" customFormat="false" customHeight="false" hidden="false" ht="12.75" outlineLevel="0" r="87">
      <c r="B87" s="44" t="n">
        <v>778294593930976</v>
      </c>
      <c r="C87" s="44" t="n">
        <v>9.56840780311075E-005</v>
      </c>
      <c r="D87" s="44" t="n">
        <v>738114091017055</v>
      </c>
      <c r="E87" s="44" t="n">
        <v>9.10524012360856E-005</v>
      </c>
      <c r="F87" s="44" t="n">
        <v>733167687679555</v>
      </c>
      <c r="G87" s="44" t="n">
        <v>8.82037384632374E-005</v>
      </c>
      <c r="H87" s="44" t="n">
        <v>685933079264177</v>
      </c>
      <c r="I87" s="44" t="n">
        <v>8.31622592760517E-005</v>
      </c>
      <c r="J87" s="44" t="n">
        <v>595221600550628</v>
      </c>
      <c r="K87" s="44" t="n">
        <v>7.38571997706147E-005</v>
      </c>
      <c r="L87" s="44" t="n">
        <v>575761409854697</v>
      </c>
      <c r="M87" s="44" t="n">
        <v>6.91381236157866E-005</v>
      </c>
      <c r="N87" s="44" t="n">
        <v>512333704390281</v>
      </c>
      <c r="O87" s="44" t="n">
        <v>6.40297150938124E-005</v>
      </c>
      <c r="P87" s="44" t="n">
        <v>501668259571062</v>
      </c>
      <c r="Q87" s="44" t="n">
        <v>6.06377419068532E-005</v>
      </c>
      <c r="R87" s="44" t="n">
        <v>435885499284911</v>
      </c>
      <c r="S87" s="44" t="n">
        <v>5.49173747239735E-005</v>
      </c>
      <c r="T87" s="44" t="n">
        <v>417986041202791</v>
      </c>
      <c r="U87" s="44" t="n">
        <v>5.16030122666348E-005</v>
      </c>
      <c r="V87" s="44" t="n">
        <v>373268971615273</v>
      </c>
      <c r="W87" s="44" t="n">
        <v>4.57691940883201E-005</v>
      </c>
      <c r="X87" s="44" t="n">
        <v>333662925071139</v>
      </c>
      <c r="Y87" s="44" t="n">
        <v>4.26207310060833E-005</v>
      </c>
      <c r="Z87" s="44" t="n">
        <v>307892103991467</v>
      </c>
      <c r="AA87" s="44" t="n">
        <v>3.87681266361219E-005</v>
      </c>
      <c r="AB87" s="44" t="n">
        <v>280755727612295</v>
      </c>
      <c r="AC87" s="44" t="n">
        <v>3.55896487566178E-005</v>
      </c>
      <c r="AD87" s="44" t="n">
        <v>234293024261246</v>
      </c>
      <c r="AE87" s="44" t="n">
        <v>3.03301970026605E-005</v>
      </c>
    </row>
    <row collapsed="false" customFormat="false" customHeight="false" hidden="false" ht="12.75" outlineLevel="0" r="88">
      <c r="B88" s="44" t="n">
        <v>727790504979584</v>
      </c>
      <c r="C88" s="44" t="n">
        <v>9.41653490224565E-005</v>
      </c>
      <c r="D88" s="44" t="n">
        <v>682623708803244</v>
      </c>
      <c r="E88" s="44" t="n">
        <v>8.85424615028046E-005</v>
      </c>
      <c r="F88" s="44" t="n">
        <v>688874460388624</v>
      </c>
      <c r="G88" s="44" t="n">
        <v>8.69762208458011E-005</v>
      </c>
      <c r="H88" s="44" t="n">
        <v>643799154814647</v>
      </c>
      <c r="I88" s="44" t="n">
        <v>8.21065212936042E-005</v>
      </c>
      <c r="J88" s="44" t="n">
        <v>555538768077515</v>
      </c>
      <c r="K88" s="44" t="n">
        <v>7.25199977513512E-005</v>
      </c>
      <c r="L88" s="44" t="n">
        <v>536617722040804</v>
      </c>
      <c r="M88" s="44" t="n">
        <v>6.76813256386327E-005</v>
      </c>
      <c r="N88" s="44" t="n">
        <v>482388173821777</v>
      </c>
      <c r="O88" s="44" t="n">
        <v>6.33209433540103E-005</v>
      </c>
      <c r="P88" s="44" t="n">
        <v>468164753243438</v>
      </c>
      <c r="Q88" s="44" t="n">
        <v>5.9538509475912E-005</v>
      </c>
      <c r="R88" s="44" t="n">
        <v>408765453393796</v>
      </c>
      <c r="S88" s="44" t="n">
        <v>5.42511900592296E-005</v>
      </c>
      <c r="T88" s="44" t="n">
        <v>392217258714920</v>
      </c>
      <c r="U88" s="44" t="n">
        <v>5.08317065183782E-005</v>
      </c>
      <c r="V88" s="44" t="n">
        <v>349582956495804</v>
      </c>
      <c r="W88" s="44" t="n">
        <v>4.48937007679362E-005</v>
      </c>
      <c r="X88" s="44" t="n">
        <v>315835367788392</v>
      </c>
      <c r="Y88" s="44" t="n">
        <v>4.24473669418481E-005</v>
      </c>
      <c r="Z88" s="44" t="n">
        <v>289882797168303</v>
      </c>
      <c r="AA88" s="44" t="n">
        <v>3.83371208808156E-005</v>
      </c>
      <c r="AB88" s="44" t="n">
        <v>264399668111817</v>
      </c>
      <c r="AC88" s="44" t="n">
        <v>3.52167188470725E-005</v>
      </c>
      <c r="AD88" s="44" t="n">
        <v>218706869289316</v>
      </c>
      <c r="AE88" s="44" t="n">
        <v>2.98552002146156E-005</v>
      </c>
    </row>
    <row collapsed="false" customFormat="false" customHeight="false" hidden="false" ht="12.75" outlineLevel="0" r="89">
      <c r="B89" s="44" t="n">
        <v>686289596000127</v>
      </c>
      <c r="C89" s="44" t="n">
        <v>9.34994250381673E-005</v>
      </c>
      <c r="D89" s="44" t="n">
        <v>644698775860180</v>
      </c>
      <c r="E89" s="44" t="n">
        <v>8.80669530528318E-005</v>
      </c>
      <c r="F89" s="44" t="n">
        <v>641411034986735</v>
      </c>
      <c r="G89" s="44" t="n">
        <v>8.5354713709055E-005</v>
      </c>
      <c r="H89" s="44" t="n">
        <v>603603795319946</v>
      </c>
      <c r="I89" s="44" t="n">
        <v>8.05166135389258E-005</v>
      </c>
      <c r="J89" s="44" t="n">
        <v>516508583371057</v>
      </c>
      <c r="K89" s="44" t="n">
        <v>7.09603982612733E-005</v>
      </c>
      <c r="L89" s="44" t="n">
        <v>507136540866337</v>
      </c>
      <c r="M89" s="44" t="n">
        <v>6.73244638699487E-005</v>
      </c>
      <c r="N89" s="44" t="n">
        <v>451086705028139</v>
      </c>
      <c r="O89" s="44" t="n">
        <v>6.24061593640745E-005</v>
      </c>
      <c r="P89" s="44" t="n">
        <v>441675878509457</v>
      </c>
      <c r="Q89" s="44" t="n">
        <v>5.88684370966643E-005</v>
      </c>
      <c r="R89" s="44" t="n">
        <v>379448439312282</v>
      </c>
      <c r="S89" s="44" t="n">
        <v>5.28490602394531E-005</v>
      </c>
      <c r="T89" s="44" t="n">
        <v>366732665121103</v>
      </c>
      <c r="U89" s="44" t="n">
        <v>5.00106529009423E-005</v>
      </c>
      <c r="V89" s="44" t="n">
        <v>329460786047386</v>
      </c>
      <c r="W89" s="44" t="n">
        <v>4.46624735414063E-005</v>
      </c>
      <c r="X89" s="44" t="n">
        <v>296635942988175</v>
      </c>
      <c r="Y89" s="44" t="n">
        <v>4.1912841496021E-005</v>
      </c>
      <c r="Z89" s="44" t="n">
        <v>272308724822338</v>
      </c>
      <c r="AA89" s="44" t="n">
        <v>3.79478008398804E-005</v>
      </c>
      <c r="AB89" s="44" t="n">
        <v>251245325972267</v>
      </c>
      <c r="AC89" s="44" t="n">
        <v>3.51808242563028E-005</v>
      </c>
      <c r="AD89" s="44" t="n">
        <v>204618740201941</v>
      </c>
      <c r="AE89" s="44" t="n">
        <v>2.92843987567132E-005</v>
      </c>
    </row>
    <row collapsed="false" customFormat="false" customHeight="false" hidden="false" ht="12.75" outlineLevel="0" r="90">
      <c r="B90" s="44" t="n">
        <v>643000660071457</v>
      </c>
      <c r="C90" s="44" t="n">
        <v>9.24747596747643E-005</v>
      </c>
      <c r="D90" s="44" t="n">
        <v>605321917490904</v>
      </c>
      <c r="E90" s="44" t="n">
        <v>8.73273367557433E-005</v>
      </c>
      <c r="F90" s="44" t="n">
        <v>603593529328123</v>
      </c>
      <c r="G90" s="44" t="n">
        <v>8.46840736462449E-005</v>
      </c>
      <c r="H90" s="44" t="n">
        <v>565400785209995</v>
      </c>
      <c r="I90" s="44" t="n">
        <v>7.94705435203017E-005</v>
      </c>
      <c r="J90" s="44" t="n">
        <v>483007139107727</v>
      </c>
      <c r="K90" s="44" t="n">
        <v>6.98305035196509E-005</v>
      </c>
      <c r="L90" s="44" t="n">
        <v>470065920866176</v>
      </c>
      <c r="M90" s="44" t="n">
        <v>6.56822808758656E-005</v>
      </c>
      <c r="N90" s="44" t="n">
        <v>425567831854001</v>
      </c>
      <c r="O90" s="44" t="n">
        <v>6.17014391455914E-005</v>
      </c>
      <c r="P90" s="44" t="n">
        <v>415121840942697</v>
      </c>
      <c r="Q90" s="44" t="n">
        <v>5.79989034737946E-005</v>
      </c>
      <c r="R90" s="44" t="n">
        <v>361663367712326</v>
      </c>
      <c r="S90" s="44" t="n">
        <v>5.3022936891778E-005</v>
      </c>
      <c r="T90" s="44" t="n">
        <v>348579404516134</v>
      </c>
      <c r="U90" s="44" t="n">
        <v>4.9994540182595E-005</v>
      </c>
      <c r="V90" s="44" t="n">
        <v>309749697995038</v>
      </c>
      <c r="W90" s="44" t="n">
        <v>4.40193129367939E-005</v>
      </c>
      <c r="X90" s="44" t="n">
        <v>273839166316261</v>
      </c>
      <c r="Y90" s="44" t="n">
        <v>4.06680356778283E-005</v>
      </c>
      <c r="Z90" s="44" t="n">
        <v>255411020847325</v>
      </c>
      <c r="AA90" s="44" t="n">
        <v>3.74242266811373E-005</v>
      </c>
      <c r="AB90" s="44" t="n">
        <v>235963753421470</v>
      </c>
      <c r="AC90" s="44" t="n">
        <v>3.47084268294009E-005</v>
      </c>
      <c r="AD90" s="44" t="n">
        <v>192789613599167</v>
      </c>
      <c r="AE90" s="44" t="n">
        <v>2.90462730316223E-005</v>
      </c>
    </row>
    <row collapsed="false" customFormat="false" customHeight="false" hidden="false" ht="12.75" outlineLevel="0" r="91">
      <c r="B91" s="44" t="n">
        <v>612609190778786</v>
      </c>
      <c r="C91" s="44" t="n">
        <v>9.26159839736713E-005</v>
      </c>
      <c r="D91" s="44" t="n">
        <v>565919364155045</v>
      </c>
      <c r="E91" s="44" t="n">
        <v>8.58025444222857E-005</v>
      </c>
      <c r="F91" s="44" t="n">
        <v>570140453216093</v>
      </c>
      <c r="G91" s="44" t="n">
        <v>8.40027727028134E-005</v>
      </c>
      <c r="H91" s="44" t="n">
        <v>529362121891818</v>
      </c>
      <c r="I91" s="44" t="n">
        <v>7.82426577123485E-005</v>
      </c>
      <c r="J91" s="44" t="n">
        <v>453703231793411</v>
      </c>
      <c r="K91" s="44" t="n">
        <v>6.92088375713574E-005</v>
      </c>
      <c r="L91" s="44" t="n">
        <v>440548136454743</v>
      </c>
      <c r="M91" s="44" t="n">
        <v>6.48757464027472E-005</v>
      </c>
      <c r="N91" s="44" t="n">
        <v>399628290938681</v>
      </c>
      <c r="O91" s="44" t="n">
        <v>6.10505086522443E-005</v>
      </c>
      <c r="P91" s="44" t="n">
        <v>384602347959655</v>
      </c>
      <c r="Q91" s="44" t="n">
        <v>5.67701188580991E-005</v>
      </c>
      <c r="R91" s="44" t="n">
        <v>333744725805753</v>
      </c>
      <c r="S91" s="44" t="n">
        <v>5.16324770644594E-005</v>
      </c>
      <c r="T91" s="44" t="n">
        <v>325763408990373</v>
      </c>
      <c r="U91" s="44" t="n">
        <v>4.90084409546635E-005</v>
      </c>
      <c r="V91" s="44" t="n">
        <v>292965548127635</v>
      </c>
      <c r="W91" s="44" t="n">
        <v>4.37877074360122E-005</v>
      </c>
      <c r="X91" s="44" t="n">
        <v>254472589091608</v>
      </c>
      <c r="Y91" s="44" t="n">
        <v>3.98413247294087E-005</v>
      </c>
      <c r="Z91" s="44" t="n">
        <v>239153328275594</v>
      </c>
      <c r="AA91" s="44" t="n">
        <v>3.68153370254585E-005</v>
      </c>
      <c r="AB91" s="44" t="n">
        <v>217850885398784</v>
      </c>
      <c r="AC91" s="44" t="n">
        <v>3.37294996862301E-005</v>
      </c>
      <c r="AD91" s="44" t="n">
        <v>180885870525469</v>
      </c>
      <c r="AE91" s="44" t="n">
        <v>2.86417982547482E-005</v>
      </c>
    </row>
    <row collapsed="false" customFormat="false" customHeight="false" hidden="false" ht="12.75" outlineLevel="0" r="92">
      <c r="B92" s="44" t="n">
        <v>569531667122211</v>
      </c>
      <c r="C92" s="44" t="n">
        <v>9.03126446784093E-005</v>
      </c>
      <c r="D92" s="44" t="n">
        <v>533856923791375</v>
      </c>
      <c r="E92" s="44" t="n">
        <v>8.50019021284412E-005</v>
      </c>
      <c r="F92" s="44" t="n">
        <v>533136458744200</v>
      </c>
      <c r="G92" s="44" t="n">
        <v>8.26277388497083E-005</v>
      </c>
      <c r="H92" s="44" t="n">
        <v>494185387584972</v>
      </c>
      <c r="I92" s="44" t="n">
        <v>7.69600258486533E-005</v>
      </c>
      <c r="J92" s="44" t="n">
        <v>425850863062396</v>
      </c>
      <c r="K92" s="44" t="n">
        <v>6.82316193771029E-005</v>
      </c>
      <c r="L92" s="44" t="n">
        <v>416113488917020</v>
      </c>
      <c r="M92" s="44" t="n">
        <v>6.44923514300557E-005</v>
      </c>
      <c r="N92" s="44" t="n">
        <v>375296603610667</v>
      </c>
      <c r="O92" s="44" t="n">
        <v>6.04767031604864E-005</v>
      </c>
      <c r="P92" s="44" t="n">
        <v>361491358511655</v>
      </c>
      <c r="Q92" s="44" t="n">
        <v>5.61999252377815E-005</v>
      </c>
      <c r="R92" s="44" t="n">
        <v>311284598297501</v>
      </c>
      <c r="S92" s="44" t="n">
        <v>5.0486716658779E-005</v>
      </c>
      <c r="T92" s="44" t="n">
        <v>304910739234008</v>
      </c>
      <c r="U92" s="44" t="n">
        <v>4.82157872335946E-005</v>
      </c>
      <c r="V92" s="44" t="n">
        <v>269388135973939</v>
      </c>
      <c r="W92" s="44" t="n">
        <v>4.24427570230988E-005</v>
      </c>
      <c r="X92" s="44" t="n">
        <v>240857326441556</v>
      </c>
      <c r="Y92" s="44" t="n">
        <v>3.96952234617134E-005</v>
      </c>
      <c r="Z92" s="44" t="n">
        <v>226250976381346</v>
      </c>
      <c r="AA92" s="44" t="n">
        <v>3.67376160915476E-005</v>
      </c>
      <c r="AB92" s="44" t="n">
        <v>205714753123806</v>
      </c>
      <c r="AC92" s="44" t="n">
        <v>3.34949972461761E-005</v>
      </c>
      <c r="AD92" s="44" t="n">
        <v>168995550058679</v>
      </c>
      <c r="AE92" s="44" t="n">
        <v>2.82499573727129E-005</v>
      </c>
    </row>
    <row collapsed="false" customFormat="false" customHeight="false" hidden="false" ht="12.75" outlineLevel="0" r="93">
      <c r="B93" s="44" t="n">
        <v>527106781638252</v>
      </c>
      <c r="C93" s="44" t="n">
        <v>8.76577124243164E-005</v>
      </c>
      <c r="D93" s="44" t="n">
        <v>501111657170546</v>
      </c>
      <c r="E93" s="44" t="n">
        <v>8.4167279869707E-005</v>
      </c>
      <c r="F93" s="44" t="n">
        <v>496293115606997</v>
      </c>
      <c r="G93" s="44" t="n">
        <v>8.09124658987672E-005</v>
      </c>
      <c r="H93" s="44" t="n">
        <v>461871292714314</v>
      </c>
      <c r="I93" s="44" t="n">
        <v>7.57235621259865E-005</v>
      </c>
      <c r="J93" s="44" t="n">
        <v>395620573487249</v>
      </c>
      <c r="K93" s="44" t="n">
        <v>6.67449614454717E-005</v>
      </c>
      <c r="L93" s="44" t="n">
        <v>385665109851881</v>
      </c>
      <c r="M93" s="44" t="n">
        <v>6.30371162641752E-005</v>
      </c>
      <c r="N93" s="44" t="n">
        <v>351632176452572</v>
      </c>
      <c r="O93" s="44" t="n">
        <v>5.92910854351876E-005</v>
      </c>
      <c r="P93" s="44" t="n">
        <v>343423046073851</v>
      </c>
      <c r="Q93" s="44" t="n">
        <v>5.62067634907299E-005</v>
      </c>
      <c r="R93" s="44" t="n">
        <v>295378333528044</v>
      </c>
      <c r="S93" s="44" t="n">
        <v>5.04605092556652E-005</v>
      </c>
      <c r="T93" s="44" t="n">
        <v>287362088743873</v>
      </c>
      <c r="U93" s="44" t="n">
        <v>4.78930026754714E-005</v>
      </c>
      <c r="V93" s="44" t="n">
        <v>255620973461937</v>
      </c>
      <c r="W93" s="44" t="n">
        <v>4.2430408738465E-005</v>
      </c>
      <c r="X93" s="44" t="n">
        <v>228311856087887</v>
      </c>
      <c r="Y93" s="44" t="n">
        <v>3.96550961703538E-005</v>
      </c>
      <c r="Z93" s="44" t="n">
        <v>212639243413736</v>
      </c>
      <c r="AA93" s="44" t="n">
        <v>3.63647495978185E-005</v>
      </c>
      <c r="AB93" s="44" t="n">
        <v>193785557611598</v>
      </c>
      <c r="AC93" s="44" t="n">
        <v>3.32015651349719E-005</v>
      </c>
      <c r="AD93" s="44" t="n">
        <v>159441084468022</v>
      </c>
      <c r="AE93" s="44" t="n">
        <v>2.80074129690148E-005</v>
      </c>
    </row>
    <row collapsed="false" customFormat="false" customHeight="false" hidden="false" ht="12.75" outlineLevel="0" r="94">
      <c r="B94" s="44" t="n">
        <v>498151813579938</v>
      </c>
      <c r="C94" s="44" t="n">
        <v>8.78021624469315E-005</v>
      </c>
      <c r="D94" s="44" t="n">
        <v>467363735826664</v>
      </c>
      <c r="E94" s="44" t="n">
        <v>8.26008111908353E-005</v>
      </c>
      <c r="F94" s="44" t="n">
        <v>467253742445672</v>
      </c>
      <c r="G94" s="44" t="n">
        <v>8.02349342906578E-005</v>
      </c>
      <c r="H94" s="44" t="n">
        <v>435172574369302</v>
      </c>
      <c r="I94" s="44" t="n">
        <v>7.53353502418973E-005</v>
      </c>
      <c r="J94" s="44" t="n">
        <v>374702738497308</v>
      </c>
      <c r="K94" s="44" t="n">
        <v>6.64489252361852E-005</v>
      </c>
      <c r="L94" s="44" t="n">
        <v>365021991038470</v>
      </c>
      <c r="M94" s="44" t="n">
        <v>6.26208141212678E-005</v>
      </c>
      <c r="N94" s="44" t="n">
        <v>328433644023891</v>
      </c>
      <c r="O94" s="44" t="n">
        <v>5.83879666376029E-005</v>
      </c>
      <c r="P94" s="44" t="n">
        <v>319558456479828</v>
      </c>
      <c r="Q94" s="44" t="n">
        <v>5.50015624121654E-005</v>
      </c>
      <c r="R94" s="44" t="n">
        <v>274070543857209</v>
      </c>
      <c r="S94" s="44" t="n">
        <v>4.93422142070186E-005</v>
      </c>
      <c r="T94" s="44" t="n">
        <v>267812905799759</v>
      </c>
      <c r="U94" s="44" t="n">
        <v>4.7017390675002E-005</v>
      </c>
      <c r="V94" s="44" t="n">
        <v>242638464174167</v>
      </c>
      <c r="W94" s="44" t="n">
        <v>4.2238898982411E-005</v>
      </c>
      <c r="X94" s="44" t="n">
        <v>215631984732607</v>
      </c>
      <c r="Y94" s="44" t="n">
        <v>3.93802241939693E-005</v>
      </c>
      <c r="Z94" s="44" t="n">
        <v>198458508249437</v>
      </c>
      <c r="AA94" s="44" t="n">
        <v>3.55817661087042E-005</v>
      </c>
      <c r="AB94" s="44" t="n">
        <v>182642809274247</v>
      </c>
      <c r="AC94" s="44" t="n">
        <v>3.29614124969898E-005</v>
      </c>
      <c r="AD94" s="44" t="n">
        <v>151539967661566</v>
      </c>
      <c r="AE94" s="44" t="n">
        <v>2.80076072029867E-005</v>
      </c>
    </row>
    <row collapsed="false" customFormat="false" customHeight="false" hidden="false" ht="12.75" outlineLevel="0" r="95">
      <c r="B95" s="44" t="n">
        <v>467261998618213</v>
      </c>
      <c r="C95" s="44" t="n">
        <v>8.67518264330909E-005</v>
      </c>
      <c r="D95" s="44" t="n">
        <v>436933532956152</v>
      </c>
      <c r="E95" s="44" t="n">
        <v>8.14035307364989E-005</v>
      </c>
      <c r="F95" s="44" t="n">
        <v>439347517676295</v>
      </c>
      <c r="G95" s="44" t="n">
        <v>7.93379919168646E-005</v>
      </c>
      <c r="H95" s="44" t="n">
        <v>407263513386168</v>
      </c>
      <c r="I95" s="44" t="n">
        <v>7.41889168490532E-005</v>
      </c>
      <c r="J95" s="44" t="n">
        <v>346382134465617</v>
      </c>
      <c r="K95" s="44" t="n">
        <v>6.51017147746542E-005</v>
      </c>
      <c r="L95" s="44" t="n">
        <v>341851385441604</v>
      </c>
      <c r="M95" s="44" t="n">
        <v>6.17328390717013E-005</v>
      </c>
      <c r="N95" s="44" t="n">
        <v>307378874597984</v>
      </c>
      <c r="O95" s="44" t="n">
        <v>5.75048132775297E-005</v>
      </c>
      <c r="P95" s="44" t="n">
        <v>299604815143410</v>
      </c>
      <c r="Q95" s="44" t="n">
        <v>5.42690237964176E-005</v>
      </c>
      <c r="R95" s="44" t="n">
        <v>258903644942014</v>
      </c>
      <c r="S95" s="44" t="n">
        <v>4.88949016411308E-005</v>
      </c>
      <c r="T95" s="44" t="n">
        <v>254918062908351</v>
      </c>
      <c r="U95" s="44" t="n">
        <v>4.70641203703887E-005</v>
      </c>
      <c r="V95" s="44" t="n">
        <v>225036101239397</v>
      </c>
      <c r="W95" s="44" t="n">
        <v>4.13335909359533E-005</v>
      </c>
      <c r="X95" s="44" t="n">
        <v>203909386380241</v>
      </c>
      <c r="Y95" s="44" t="n">
        <v>3.91915523157648E-005</v>
      </c>
      <c r="Z95" s="44" t="n">
        <v>183951274468051</v>
      </c>
      <c r="AA95" s="44" t="n">
        <v>3.47260543508328E-005</v>
      </c>
      <c r="AB95" s="44" t="n">
        <v>169931392521201</v>
      </c>
      <c r="AC95" s="44" t="n">
        <v>3.22473297917634E-005</v>
      </c>
      <c r="AD95" s="44" t="n">
        <v>140420087935485</v>
      </c>
      <c r="AE95" s="44" t="n">
        <v>2.72256760383844E-005</v>
      </c>
    </row>
    <row collapsed="false" customFormat="false" customHeight="false" hidden="false" ht="12.75" outlineLevel="0" r="96">
      <c r="B96" s="44" t="n">
        <v>438891646401559</v>
      </c>
      <c r="C96" s="44" t="n">
        <v>8.59393461771983E-005</v>
      </c>
      <c r="D96" s="44" t="n">
        <v>411617335265102</v>
      </c>
      <c r="E96" s="44" t="n">
        <v>8.09289720400397E-005</v>
      </c>
      <c r="F96" s="44" t="n">
        <v>411833784702085</v>
      </c>
      <c r="G96" s="44" t="n">
        <v>7.82539709085489E-005</v>
      </c>
      <c r="H96" s="44" t="n">
        <v>380434840798052</v>
      </c>
      <c r="I96" s="44" t="n">
        <v>7.31514143786357E-005</v>
      </c>
      <c r="J96" s="44" t="n">
        <v>327736794984547</v>
      </c>
      <c r="K96" s="44" t="n">
        <v>6.45080380220411E-005</v>
      </c>
      <c r="L96" s="44" t="n">
        <v>318338818756988</v>
      </c>
      <c r="M96" s="44" t="n">
        <v>6.05578360307333E-005</v>
      </c>
      <c r="N96" s="44" t="n">
        <v>289494304924544</v>
      </c>
      <c r="O96" s="44" t="n">
        <v>5.70766279656373E-005</v>
      </c>
      <c r="P96" s="44" t="n">
        <v>280044528836361</v>
      </c>
      <c r="Q96" s="44" t="n">
        <v>5.3684833200243E-005</v>
      </c>
      <c r="R96" s="44" t="n">
        <v>244944681543807</v>
      </c>
      <c r="S96" s="44" t="n">
        <v>4.89375206813395E-005</v>
      </c>
      <c r="T96" s="44" t="n">
        <v>234398056726096</v>
      </c>
      <c r="U96" s="44" t="n">
        <v>4.55883366470866E-005</v>
      </c>
      <c r="V96" s="44" t="n">
        <v>208186629323721</v>
      </c>
      <c r="W96" s="44" t="n">
        <v>4.02371005518666E-005</v>
      </c>
      <c r="X96" s="44" t="n">
        <v>188889128651657</v>
      </c>
      <c r="Y96" s="44" t="n">
        <v>3.82824819930029E-005</v>
      </c>
      <c r="Z96" s="44" t="n">
        <v>170042711412660</v>
      </c>
      <c r="AA96" s="44" t="n">
        <v>3.39315047810688E-005</v>
      </c>
      <c r="AB96" s="44" t="n">
        <v>160520048195757</v>
      </c>
      <c r="AC96" s="44" t="n">
        <v>3.21455345911734E-005</v>
      </c>
      <c r="AD96" s="44" t="n">
        <v>133209306812886</v>
      </c>
      <c r="AE96" s="44" t="n">
        <v>2.73713099261741E-005</v>
      </c>
    </row>
    <row collapsed="false" customFormat="false" customHeight="false" hidden="false" ht="12.75" outlineLevel="0" r="97">
      <c r="B97" s="44" t="n">
        <v>413301637360628</v>
      </c>
      <c r="C97" s="44" t="n">
        <v>8.5305506982309E-005</v>
      </c>
      <c r="D97" s="44" t="n">
        <v>382780268447856</v>
      </c>
      <c r="E97" s="44" t="n">
        <v>7.92811340742532E-005</v>
      </c>
      <c r="F97" s="44" t="n">
        <v>377643628820487</v>
      </c>
      <c r="G97" s="44" t="n">
        <v>7.54186113617554E-005</v>
      </c>
      <c r="H97" s="44" t="n">
        <v>350934835359371</v>
      </c>
      <c r="I97" s="44" t="n">
        <v>7.14104190846628E-005</v>
      </c>
      <c r="J97" s="44" t="n">
        <v>302242998960593</v>
      </c>
      <c r="K97" s="44" t="n">
        <v>6.28275356909999E-005</v>
      </c>
      <c r="L97" s="44" t="n">
        <v>296715071437906</v>
      </c>
      <c r="M97" s="44" t="n">
        <v>5.98421067918863E-005</v>
      </c>
      <c r="N97" s="44" t="n">
        <v>271378323813090</v>
      </c>
      <c r="O97" s="44" t="n">
        <v>5.64544236766304E-005</v>
      </c>
      <c r="P97" s="44" t="n">
        <v>262558575276385</v>
      </c>
      <c r="Q97" s="44" t="n">
        <v>5.28087037304257E-005</v>
      </c>
      <c r="R97" s="44" t="n">
        <v>226526989835522</v>
      </c>
      <c r="S97" s="44" t="n">
        <v>4.7427076676824E-005</v>
      </c>
      <c r="T97" s="44" t="n">
        <v>221947095567188</v>
      </c>
      <c r="U97" s="44" t="n">
        <v>4.56367872103602E-005</v>
      </c>
      <c r="V97" s="44" t="n">
        <v>198979662040850</v>
      </c>
      <c r="W97" s="44" t="n">
        <v>4.04221223323294E-005</v>
      </c>
      <c r="X97" s="44" t="n">
        <v>176318493342888</v>
      </c>
      <c r="Y97" s="44" t="n">
        <v>3.75872928539899E-005</v>
      </c>
      <c r="Z97" s="44" t="n">
        <v>158100579194870</v>
      </c>
      <c r="AA97" s="44" t="n">
        <v>3.33127566681271E-005</v>
      </c>
      <c r="AB97" s="44" t="n">
        <v>151792769022590</v>
      </c>
      <c r="AC97" s="44" t="n">
        <v>3.21208847584094E-005</v>
      </c>
      <c r="AD97" s="44" t="n">
        <v>122082574445884</v>
      </c>
      <c r="AE97" s="44" t="n">
        <v>2.62771227419525E-005</v>
      </c>
    </row>
    <row collapsed="false" customFormat="false" customHeight="false" hidden="false" ht="12.75" outlineLevel="0" r="98">
      <c r="B98" s="44" t="n">
        <v>390016746660394</v>
      </c>
      <c r="C98" s="44" t="n">
        <v>8.46704935230338E-005</v>
      </c>
      <c r="D98" s="44" t="n">
        <v>354481573017899</v>
      </c>
      <c r="E98" s="44" t="n">
        <v>7.72855158520742E-005</v>
      </c>
      <c r="F98" s="44" t="n">
        <v>355155817882732</v>
      </c>
      <c r="G98" s="44" t="n">
        <v>7.51991927072996E-005</v>
      </c>
      <c r="H98" s="44" t="n">
        <v>337806350127828</v>
      </c>
      <c r="I98" s="44" t="n">
        <v>7.24023593239814E-005</v>
      </c>
      <c r="J98" s="44" t="n">
        <v>279278079182082</v>
      </c>
      <c r="K98" s="44" t="n">
        <v>6.10834315805315E-005</v>
      </c>
      <c r="L98" s="44" t="n">
        <v>282465085765124</v>
      </c>
      <c r="M98" s="44" t="n">
        <v>5.98852861502042E-005</v>
      </c>
      <c r="N98" s="44" t="n">
        <v>252442921775853</v>
      </c>
      <c r="O98" s="44" t="n">
        <v>5.53400150222324E-005</v>
      </c>
      <c r="P98" s="44" t="n">
        <v>245741996373023</v>
      </c>
      <c r="Q98" s="44" t="n">
        <v>5.2223789133791E-005</v>
      </c>
      <c r="R98" s="44" t="n">
        <v>211841595552781</v>
      </c>
      <c r="S98" s="44" t="n">
        <v>4.69005672346652E-005</v>
      </c>
      <c r="T98" s="44" t="n">
        <v>207495495609923</v>
      </c>
      <c r="U98" s="44" t="n">
        <v>4.46230415535246E-005</v>
      </c>
      <c r="V98" s="44" t="n">
        <v>184930633943074</v>
      </c>
      <c r="W98" s="44" t="n">
        <v>3.97499621080276E-005</v>
      </c>
      <c r="X98" s="44" t="n">
        <v>165611134925887</v>
      </c>
      <c r="Y98" s="44" t="n">
        <v>3.70821598017264E-005</v>
      </c>
      <c r="Z98" s="44" t="n">
        <v>150749997132874</v>
      </c>
      <c r="AA98" s="44" t="n">
        <v>3.36018064407698E-005</v>
      </c>
      <c r="AB98" s="44" t="n">
        <v>141883411822677</v>
      </c>
      <c r="AC98" s="44" t="n">
        <v>3.15818183174335E-005</v>
      </c>
      <c r="AD98" s="44" t="n">
        <v>113806058023588</v>
      </c>
      <c r="AE98" s="44" t="n">
        <v>2.57789739236271E-005</v>
      </c>
    </row>
    <row collapsed="false" customFormat="false" customHeight="false" hidden="false" ht="12.75" outlineLevel="0" r="99">
      <c r="B99" s="44" t="n">
        <v>361035140496555</v>
      </c>
      <c r="C99" s="44" t="n">
        <v>8.25522893316836E-005</v>
      </c>
      <c r="D99" s="44" t="n">
        <v>332311657325041</v>
      </c>
      <c r="E99" s="44" t="n">
        <v>7.6740508344325E-005</v>
      </c>
      <c r="F99" s="44" t="n">
        <v>336920444982045</v>
      </c>
      <c r="G99" s="44" t="n">
        <v>7.55402412543821E-005</v>
      </c>
      <c r="H99" s="44" t="n">
        <v>318067397568656</v>
      </c>
      <c r="I99" s="44" t="n">
        <v>7.18145938648226E-005</v>
      </c>
      <c r="J99" s="44" t="n">
        <v>270140454101322</v>
      </c>
      <c r="K99" s="44" t="n">
        <v>6.22772755019376E-005</v>
      </c>
      <c r="L99" s="44" t="n">
        <v>264756132654326</v>
      </c>
      <c r="M99" s="44" t="n">
        <v>5.95916549607044E-005</v>
      </c>
      <c r="N99" s="44" t="n">
        <v>241777029023260</v>
      </c>
      <c r="O99" s="44" t="n">
        <v>5.5771521375686E-005</v>
      </c>
      <c r="P99" s="44" t="n">
        <v>229966144776084</v>
      </c>
      <c r="Q99" s="44" t="n">
        <v>5.14225135163423E-005</v>
      </c>
      <c r="R99" s="44" t="n">
        <v>197124469069275</v>
      </c>
      <c r="S99" s="44" t="n">
        <v>4.62786624509629E-005</v>
      </c>
      <c r="T99" s="44" t="n">
        <v>195107184827275</v>
      </c>
      <c r="U99" s="44" t="n">
        <v>4.45416386106391E-005</v>
      </c>
      <c r="V99" s="44" t="n">
        <v>172163981785260</v>
      </c>
      <c r="W99" s="44" t="n">
        <v>3.89168910392556E-005</v>
      </c>
      <c r="X99" s="44" t="n">
        <v>156979349314769</v>
      </c>
      <c r="Y99" s="44" t="n">
        <v>3.7236514685089E-005</v>
      </c>
      <c r="Z99" s="44" t="n">
        <v>142243262764838</v>
      </c>
      <c r="AA99" s="44" t="n">
        <v>3.34519481712063E-005</v>
      </c>
      <c r="AB99" s="44" t="n">
        <v>134040133929522</v>
      </c>
      <c r="AC99" s="44" t="n">
        <v>3.14426410606458E-005</v>
      </c>
      <c r="AD99" s="44" t="n">
        <v>105129014300300</v>
      </c>
      <c r="AE99" s="44" t="n">
        <v>2.52374504443717E-005</v>
      </c>
    </row>
    <row collapsed="false" customFormat="false" customHeight="false" hidden="false" ht="12.75" outlineLevel="0" r="100">
      <c r="B100" s="44" t="n">
        <v>336172942243093</v>
      </c>
      <c r="C100" s="44" t="n">
        <v>8.10178942598292E-005</v>
      </c>
      <c r="D100" s="44" t="n">
        <v>310027172151399</v>
      </c>
      <c r="E100" s="44" t="n">
        <v>7.56605852819631E-005</v>
      </c>
      <c r="F100" s="44" t="n">
        <v>311581353720753</v>
      </c>
      <c r="G100" s="44" t="n">
        <v>7.35733280508996E-005</v>
      </c>
      <c r="H100" s="44" t="n">
        <v>292374386614646</v>
      </c>
      <c r="I100" s="44" t="n">
        <v>6.94281147702608E-005</v>
      </c>
      <c r="J100" s="44" t="n">
        <v>241557435849061</v>
      </c>
      <c r="K100" s="44" t="n">
        <v>5.90570483391054E-005</v>
      </c>
      <c r="L100" s="44" t="n">
        <v>248819493198911</v>
      </c>
      <c r="M100" s="44" t="n">
        <v>5.86752902869682E-005</v>
      </c>
      <c r="N100" s="44" t="n">
        <v>219039673156883</v>
      </c>
      <c r="O100" s="44" t="n">
        <v>5.31075710285147E-005</v>
      </c>
      <c r="P100" s="44" t="n">
        <v>214576777439057</v>
      </c>
      <c r="Q100" s="44" t="n">
        <v>5.05550961024301E-005</v>
      </c>
      <c r="R100" s="44" t="n">
        <v>189219164150330</v>
      </c>
      <c r="S100" s="44" t="n">
        <v>4.68716059958164E-005</v>
      </c>
      <c r="T100" s="44" t="n">
        <v>182979613341319</v>
      </c>
      <c r="U100" s="44" t="n">
        <v>4.40668634392288E-005</v>
      </c>
      <c r="V100" s="44" t="n">
        <v>164056392256689</v>
      </c>
      <c r="W100" s="44" t="n">
        <v>3.91370070718084E-005</v>
      </c>
      <c r="X100" s="44" t="n">
        <v>149042363215839</v>
      </c>
      <c r="Y100" s="44" t="n">
        <v>3.72104203095256E-005</v>
      </c>
      <c r="Z100" s="44" t="n">
        <v>133777555782481</v>
      </c>
      <c r="AA100" s="44" t="n">
        <v>3.31981639155023E-005</v>
      </c>
      <c r="AB100" s="44" t="n">
        <v>124790963277199</v>
      </c>
      <c r="AC100" s="44" t="n">
        <v>3.09556191914803E-005</v>
      </c>
      <c r="AD100" s="44" t="n">
        <v>100312421108554</v>
      </c>
      <c r="AE100" s="44" t="n">
        <v>2.54238381092095E-005</v>
      </c>
    </row>
    <row collapsed="false" customFormat="false" customHeight="false" hidden="false" ht="12.75" outlineLevel="0" r="101">
      <c r="B101" s="44" t="n">
        <v>314216000719506</v>
      </c>
      <c r="C101" s="44" t="n">
        <v>7.98321784135041E-005</v>
      </c>
      <c r="D101" s="44" t="n">
        <v>290390431481208</v>
      </c>
      <c r="E101" s="44" t="n">
        <v>7.45478431206601E-005</v>
      </c>
      <c r="F101" s="44" t="n">
        <v>296193349544969</v>
      </c>
      <c r="G101" s="44" t="n">
        <v>7.38055856314002E-005</v>
      </c>
      <c r="H101" s="44" t="n">
        <v>282548778531366</v>
      </c>
      <c r="I101" s="44" t="n">
        <v>7.03371254456641E-005</v>
      </c>
      <c r="J101" s="44" t="n">
        <v>225216881849724</v>
      </c>
      <c r="K101" s="44" t="n">
        <v>5.7677403486193E-005</v>
      </c>
      <c r="L101" s="44" t="n">
        <v>231756570071164</v>
      </c>
      <c r="M101" s="44" t="n">
        <v>5.77861746628153E-005</v>
      </c>
      <c r="N101" s="44" t="n">
        <v>206821430630562</v>
      </c>
      <c r="O101" s="44" t="n">
        <v>5.30716286773044E-005</v>
      </c>
      <c r="P101" s="44" t="n">
        <v>197942258383290</v>
      </c>
      <c r="Q101" s="44" t="n">
        <v>4.90313411098292E-005</v>
      </c>
      <c r="R101" s="44" t="n">
        <v>175007489545926</v>
      </c>
      <c r="S101" s="44" t="n">
        <v>4.56679193331706E-005</v>
      </c>
      <c r="T101" s="44" t="n">
        <v>174077710098710</v>
      </c>
      <c r="U101" s="44" t="n">
        <v>4.40617672016677E-005</v>
      </c>
      <c r="V101" s="44" t="n">
        <v>150159492255186</v>
      </c>
      <c r="W101" s="44" t="n">
        <v>3.78281986945439E-005</v>
      </c>
      <c r="X101" s="44" t="n">
        <v>138793099736426</v>
      </c>
      <c r="Y101" s="44" t="n">
        <v>3.67532074787093E-005</v>
      </c>
      <c r="Z101" s="44" t="n">
        <v>125113486599790</v>
      </c>
      <c r="AA101" s="44" t="n">
        <v>3.26790158019203E-005</v>
      </c>
      <c r="AB101" s="44" t="n">
        <v>117314513787468</v>
      </c>
      <c r="AC101" s="44" t="n">
        <v>3.05524544150874E-005</v>
      </c>
      <c r="AD101" s="44" t="n">
        <v>92904360815706.8</v>
      </c>
      <c r="AE101" s="44" t="n">
        <v>2.48462199437009E-005</v>
      </c>
    </row>
    <row collapsed="false" customFormat="false" customHeight="false" hidden="false" ht="12.75" outlineLevel="0" r="102">
      <c r="B102" s="44" t="n">
        <v>294891015120497</v>
      </c>
      <c r="C102" s="44" t="n">
        <v>7.96699279748263E-005</v>
      </c>
      <c r="D102" s="44" t="n">
        <v>269099189183115</v>
      </c>
      <c r="E102" s="44" t="n">
        <v>7.32196171432447E-005</v>
      </c>
      <c r="F102" s="44" t="n">
        <v>274809630613249</v>
      </c>
      <c r="G102" s="44" t="n">
        <v>7.20996000580809E-005</v>
      </c>
      <c r="H102" s="44" t="n">
        <v>260571512456065</v>
      </c>
      <c r="I102" s="44" t="n">
        <v>6.84685363121402E-005</v>
      </c>
      <c r="J102" s="44" t="n">
        <v>217566062117403</v>
      </c>
      <c r="K102" s="44" t="n">
        <v>5.9499378651103E-005</v>
      </c>
      <c r="L102" s="44" t="n">
        <v>216102392393000</v>
      </c>
      <c r="M102" s="44" t="n">
        <v>5.67474846986747E-005</v>
      </c>
      <c r="N102" s="44" t="n">
        <v>195739449812513</v>
      </c>
      <c r="O102" s="44" t="n">
        <v>5.36356459842167E-005</v>
      </c>
      <c r="P102" s="44" t="n">
        <v>191237328346566</v>
      </c>
      <c r="Q102" s="44" t="n">
        <v>5.00271900831767E-005</v>
      </c>
      <c r="R102" s="44" t="n">
        <v>165216931363087</v>
      </c>
      <c r="S102" s="44" t="n">
        <v>4.53932155716734E-005</v>
      </c>
      <c r="T102" s="44" t="n">
        <v>161049153757449</v>
      </c>
      <c r="U102" s="44" t="n">
        <v>4.30522110365404E-005</v>
      </c>
      <c r="V102" s="44" t="n">
        <v>144213091376755</v>
      </c>
      <c r="W102" s="44" t="n">
        <v>3.82475293374542E-005</v>
      </c>
      <c r="X102" s="44" t="n">
        <v>131085774223679</v>
      </c>
      <c r="Y102" s="44" t="n">
        <v>3.65297491302415E-005</v>
      </c>
      <c r="Z102" s="44" t="n">
        <v>117070851143209</v>
      </c>
      <c r="AA102" s="44" t="n">
        <v>3.21960430709486E-005</v>
      </c>
      <c r="AB102" s="44" t="n">
        <v>114204036603635</v>
      </c>
      <c r="AC102" s="44" t="n">
        <v>3.1475171271094E-005</v>
      </c>
      <c r="AD102" s="44" t="n">
        <v>84717255660120.9</v>
      </c>
      <c r="AE102" s="44" t="n">
        <v>2.38564472681061E-005</v>
      </c>
    </row>
    <row collapsed="false" customFormat="false" customHeight="false" hidden="false" ht="12.75" outlineLevel="0" r="103">
      <c r="B103" s="44" t="n">
        <v>275510583545574</v>
      </c>
      <c r="C103" s="44" t="n">
        <v>7.89982690809592E-005</v>
      </c>
      <c r="D103" s="44" t="n">
        <v>252436738568504</v>
      </c>
      <c r="E103" s="44" t="n">
        <v>7.24901427829495E-005</v>
      </c>
      <c r="F103" s="44" t="n">
        <v>254665774167297</v>
      </c>
      <c r="G103" s="44" t="n">
        <v>7.06926342878182E-005</v>
      </c>
      <c r="H103" s="44" t="n">
        <v>238554515445011</v>
      </c>
      <c r="I103" s="44" t="n">
        <v>6.57643131967561E-005</v>
      </c>
      <c r="J103" s="44" t="n">
        <v>197936354752818</v>
      </c>
      <c r="K103" s="44" t="n">
        <v>5.68363194659721E-005</v>
      </c>
      <c r="L103" s="44" t="n">
        <v>202421752906559</v>
      </c>
      <c r="M103" s="44" t="n">
        <v>5.63193689215466E-005</v>
      </c>
      <c r="N103" s="44" t="n">
        <v>181724504870998</v>
      </c>
      <c r="O103" s="44" t="n">
        <v>5.21919903219432E-005</v>
      </c>
      <c r="P103" s="44" t="n">
        <v>172997282629753</v>
      </c>
      <c r="Q103" s="44" t="n">
        <v>4.80092024106223E-005</v>
      </c>
      <c r="R103" s="44" t="n">
        <v>151248330633722</v>
      </c>
      <c r="S103" s="44" t="n">
        <v>4.44010522236773E-005</v>
      </c>
      <c r="T103" s="44" t="n">
        <v>157125981914647</v>
      </c>
      <c r="U103" s="44" t="n">
        <v>4.43203459587288E-005</v>
      </c>
      <c r="V103" s="44" t="n">
        <v>133441717449558</v>
      </c>
      <c r="W103" s="44" t="n">
        <v>3.77059225520657E-005</v>
      </c>
      <c r="X103" s="44" t="n">
        <v>122480007968318</v>
      </c>
      <c r="Y103" s="44" t="n">
        <v>3.60132573229871E-005</v>
      </c>
      <c r="Z103" s="44" t="n">
        <v>108285554690460</v>
      </c>
      <c r="AA103" s="44" t="n">
        <v>3.14578352408022E-005</v>
      </c>
      <c r="AB103" s="44" t="n">
        <v>103533235624895</v>
      </c>
      <c r="AC103" s="44" t="n">
        <v>3.01215917183101E-005</v>
      </c>
      <c r="AD103" s="44" t="n">
        <v>81107387371609.9</v>
      </c>
      <c r="AE103" s="44" t="n">
        <v>2.41856857168698E-005</v>
      </c>
    </row>
    <row collapsed="false" customFormat="false" customHeight="false" hidden="false" ht="12.75" outlineLevel="0" r="104">
      <c r="B104" s="44" t="n">
        <v>258151244758103</v>
      </c>
      <c r="C104" s="44" t="n">
        <v>7.82338860295755E-005</v>
      </c>
      <c r="D104" s="44" t="n">
        <v>237319804822498</v>
      </c>
      <c r="E104" s="44" t="n">
        <v>7.17110015022061E-005</v>
      </c>
      <c r="F104" s="44" t="n">
        <v>244080158908838</v>
      </c>
      <c r="G104" s="44" t="n">
        <v>7.19384708787732E-005</v>
      </c>
      <c r="H104" s="44" t="n">
        <v>226764662163231</v>
      </c>
      <c r="I104" s="44" t="n">
        <v>6.68709386957629E-005</v>
      </c>
      <c r="J104" s="44" t="n">
        <v>188562182995659</v>
      </c>
      <c r="K104" s="44" t="n">
        <v>5.7592039281796E-005</v>
      </c>
      <c r="L104" s="44" t="n">
        <v>188543472467285</v>
      </c>
      <c r="M104" s="44" t="n">
        <v>5.5227189313697E-005</v>
      </c>
      <c r="N104" s="44" t="n">
        <v>177953916862280</v>
      </c>
      <c r="O104" s="44" t="n">
        <v>5.42751655611143E-005</v>
      </c>
      <c r="P104" s="44" t="n">
        <v>165373080710115</v>
      </c>
      <c r="Q104" s="44" t="n">
        <v>4.83829009307339E-005</v>
      </c>
      <c r="R104" s="44" t="n">
        <v>146315825178104</v>
      </c>
      <c r="S104" s="44" t="n">
        <v>4.50628219106116E-005</v>
      </c>
      <c r="T104" s="44" t="n">
        <v>145696983569731</v>
      </c>
      <c r="U104" s="44" t="n">
        <v>4.37304248110993E-005</v>
      </c>
      <c r="V104" s="44" t="n">
        <v>126967912693069</v>
      </c>
      <c r="W104" s="44" t="n">
        <v>3.7716876441011E-005</v>
      </c>
      <c r="X104" s="44" t="n">
        <v>112544825274338</v>
      </c>
      <c r="Y104" s="44" t="n">
        <v>3.50204012343278E-005</v>
      </c>
      <c r="Z104" s="44" t="n">
        <v>102909520223569</v>
      </c>
      <c r="AA104" s="44" t="n">
        <v>3.18503090033886E-005</v>
      </c>
      <c r="AB104" s="44" t="n">
        <v>94666820262537.2</v>
      </c>
      <c r="AC104" s="44" t="n">
        <v>2.92373572469859E-005</v>
      </c>
      <c r="AD104" s="44" t="n">
        <v>73690460933525.9</v>
      </c>
      <c r="AE104" s="44" t="n">
        <v>2.32898961703377E-005</v>
      </c>
    </row>
    <row collapsed="false" customFormat="false" customHeight="false" hidden="false" ht="12.75" outlineLevel="0" r="105">
      <c r="B105" s="44" t="n">
        <v>246629669700964</v>
      </c>
      <c r="C105" s="44" t="n">
        <v>7.83406796914842E-005</v>
      </c>
      <c r="D105" s="44" t="n">
        <v>217092200445948</v>
      </c>
      <c r="E105" s="44" t="n">
        <v>6.98000325780277E-005</v>
      </c>
      <c r="F105" s="44" t="n">
        <v>228790147089698</v>
      </c>
      <c r="G105" s="44" t="n">
        <v>7.13123372324923E-005</v>
      </c>
      <c r="H105" s="44" t="n">
        <v>207052569728725</v>
      </c>
      <c r="I105" s="44" t="n">
        <v>6.47775081812597E-005</v>
      </c>
      <c r="J105" s="44" t="n">
        <v>171665883109531</v>
      </c>
      <c r="K105" s="44" t="n">
        <v>5.49989966205565E-005</v>
      </c>
      <c r="L105" s="44" t="n">
        <v>174984410240810</v>
      </c>
      <c r="M105" s="44" t="n">
        <v>5.43936656164107E-005</v>
      </c>
      <c r="N105" s="44" t="n">
        <v>160185202623473</v>
      </c>
      <c r="O105" s="44" t="n">
        <v>5.13923126728129E-005</v>
      </c>
      <c r="P105" s="44" t="n">
        <v>155057056293363</v>
      </c>
      <c r="Q105" s="44" t="n">
        <v>4.83259341676256E-005</v>
      </c>
      <c r="R105" s="44" t="n">
        <v>138612464685276</v>
      </c>
      <c r="S105" s="44" t="n">
        <v>4.48647435250791E-005</v>
      </c>
      <c r="T105" s="44" t="n">
        <v>135903023706866</v>
      </c>
      <c r="U105" s="44" t="n">
        <v>4.27420362295017E-005</v>
      </c>
      <c r="V105" s="44" t="n">
        <v>117857289238881</v>
      </c>
      <c r="W105" s="44" t="n">
        <v>3.70630450537851E-005</v>
      </c>
      <c r="X105" s="44" t="n">
        <v>105181088889312</v>
      </c>
      <c r="Y105" s="44" t="n">
        <v>3.47850455558161E-005</v>
      </c>
      <c r="Z105" s="44" t="n">
        <v>97911237121938.4</v>
      </c>
      <c r="AA105" s="44" t="n">
        <v>3.20276350315284E-005</v>
      </c>
      <c r="AB105" s="44" t="n">
        <v>90157981764877.8</v>
      </c>
      <c r="AC105" s="44" t="n">
        <v>2.95649461811427E-005</v>
      </c>
      <c r="AD105" s="44" t="n">
        <v>70755458155712.5</v>
      </c>
      <c r="AE105" s="44" t="n">
        <v>2.35696261261533E-005</v>
      </c>
    </row>
    <row collapsed="false" customFormat="false" customHeight="false" hidden="false" ht="12.75" outlineLevel="0" r="106">
      <c r="B106" s="44" t="n">
        <v>230023459875976</v>
      </c>
      <c r="C106" s="44" t="n">
        <v>7.72072102117606E-005</v>
      </c>
      <c r="D106" s="44" t="n">
        <v>207816012093702</v>
      </c>
      <c r="E106" s="44" t="n">
        <v>7.08569772850181E-005</v>
      </c>
      <c r="F106" s="44" t="n">
        <v>213447978055886</v>
      </c>
      <c r="G106" s="44" t="n">
        <v>6.93617041777978E-005</v>
      </c>
      <c r="H106" s="44" t="n">
        <v>200289818347786</v>
      </c>
      <c r="I106" s="44" t="n">
        <v>6.60936346951379E-005</v>
      </c>
      <c r="J106" s="44" t="n">
        <v>163116238350354</v>
      </c>
      <c r="K106" s="44" t="n">
        <v>5.54087282428412E-005</v>
      </c>
      <c r="L106" s="44" t="n">
        <v>165659679210957</v>
      </c>
      <c r="M106" s="44" t="n">
        <v>5.43873754836022E-005</v>
      </c>
      <c r="N106" s="44" t="n">
        <v>153092912434455</v>
      </c>
      <c r="O106" s="44" t="n">
        <v>5.17438712593072E-005</v>
      </c>
      <c r="P106" s="44" t="n">
        <v>145908683557363</v>
      </c>
      <c r="Q106" s="44" t="n">
        <v>4.76566318540575E-005</v>
      </c>
      <c r="R106" s="44" t="n">
        <v>126032118295259</v>
      </c>
      <c r="S106" s="44" t="n">
        <v>4.31016155703241E-005</v>
      </c>
      <c r="T106" s="44" t="n">
        <v>126448936835128</v>
      </c>
      <c r="U106" s="44" t="n">
        <v>4.19512104713122E-005</v>
      </c>
      <c r="V106" s="44" t="n">
        <v>110550523699399</v>
      </c>
      <c r="W106" s="44" t="n">
        <v>3.6715523097246E-005</v>
      </c>
      <c r="X106" s="44" t="n">
        <v>99697910816997.6</v>
      </c>
      <c r="Y106" s="44" t="n">
        <v>3.48954823348949E-005</v>
      </c>
      <c r="Z106" s="44" t="n">
        <v>86665974175966.2</v>
      </c>
      <c r="AA106" s="44" t="n">
        <v>2.99081923642703E-005</v>
      </c>
      <c r="AB106" s="44" t="n">
        <v>86929225221450.7</v>
      </c>
      <c r="AC106" s="44" t="n">
        <v>2.98660646569412E-005</v>
      </c>
      <c r="AD106" s="44" t="n">
        <v>69709400525524</v>
      </c>
      <c r="AE106" s="44" t="n">
        <v>2.45575555419441E-005</v>
      </c>
    </row>
    <row collapsed="false" customFormat="false" customHeight="false" hidden="false" ht="12.75" outlineLevel="0" r="107">
      <c r="B107" s="44" t="n">
        <v>215301290116237</v>
      </c>
      <c r="C107" s="44" t="n">
        <v>7.6805121695426E-005</v>
      </c>
      <c r="D107" s="44" t="n">
        <v>193492988103705</v>
      </c>
      <c r="E107" s="44" t="n">
        <v>7.01228008342931E-005</v>
      </c>
      <c r="F107" s="44" t="n">
        <v>199947577034517</v>
      </c>
      <c r="G107" s="44" t="n">
        <v>6.89739759856529E-005</v>
      </c>
      <c r="H107" s="44" t="n">
        <v>189394863999175</v>
      </c>
      <c r="I107" s="44" t="n">
        <v>6.64012739170617E-005</v>
      </c>
      <c r="J107" s="44" t="n">
        <v>152676559814564</v>
      </c>
      <c r="K107" s="44" t="n">
        <v>5.51049645895843E-005</v>
      </c>
      <c r="L107" s="44" t="n">
        <v>157780066287003</v>
      </c>
      <c r="M107" s="44" t="n">
        <v>5.46760094639409E-005</v>
      </c>
      <c r="N107" s="44" t="n">
        <v>139503917338214</v>
      </c>
      <c r="O107" s="44" t="n">
        <v>5.00625746337145E-005</v>
      </c>
      <c r="P107" s="44" t="n">
        <v>134492121780779</v>
      </c>
      <c r="Q107" s="44" t="n">
        <v>4.6223768027722E-005</v>
      </c>
      <c r="R107" s="44" t="n">
        <v>114781537693291</v>
      </c>
      <c r="S107" s="44" t="n">
        <v>4.15717824832175E-005</v>
      </c>
      <c r="T107" s="44" t="n">
        <v>118582473599748</v>
      </c>
      <c r="U107" s="44" t="n">
        <v>4.16280434228585E-005</v>
      </c>
      <c r="V107" s="44" t="n">
        <v>102218113576066</v>
      </c>
      <c r="W107" s="44" t="n">
        <v>3.58574985729124E-005</v>
      </c>
      <c r="X107" s="44" t="n">
        <v>95011410713487.9</v>
      </c>
      <c r="Y107" s="44" t="n">
        <v>3.51282048690325E-005</v>
      </c>
      <c r="Z107" s="44" t="n">
        <v>83678709229895.1</v>
      </c>
      <c r="AA107" s="44" t="n">
        <v>3.05269014110171E-005</v>
      </c>
      <c r="AB107" s="44" t="n">
        <v>81945363452841</v>
      </c>
      <c r="AC107" s="44" t="n">
        <v>2.98593042465778E-005</v>
      </c>
      <c r="AD107" s="44" t="n">
        <v>64163141544923.7</v>
      </c>
      <c r="AE107" s="44" t="n">
        <v>2.39493654703569E-005</v>
      </c>
    </row>
    <row collapsed="false" customFormat="false" customHeight="false" hidden="false" ht="12.75" outlineLevel="0" r="108">
      <c r="B108" s="44" t="n">
        <v>193968050925017</v>
      </c>
      <c r="C108" s="44" t="n">
        <v>7.25029371591774E-005</v>
      </c>
      <c r="D108" s="44" t="n">
        <v>179176883521385</v>
      </c>
      <c r="E108" s="44" t="n">
        <v>6.87598280729626E-005</v>
      </c>
      <c r="F108" s="44" t="n">
        <v>184379829933714</v>
      </c>
      <c r="G108" s="44" t="n">
        <v>6.70535375149799E-005</v>
      </c>
      <c r="H108" s="44" t="n">
        <v>177571601055447</v>
      </c>
      <c r="I108" s="44" t="n">
        <v>6.51456484944537E-005</v>
      </c>
      <c r="J108" s="44" t="n">
        <v>143864355524081</v>
      </c>
      <c r="K108" s="44" t="n">
        <v>5.47901624831623E-005</v>
      </c>
      <c r="L108" s="44" t="n">
        <v>145632664657446</v>
      </c>
      <c r="M108" s="44" t="n">
        <v>5.35184294551576E-005</v>
      </c>
      <c r="N108" s="44" t="n">
        <v>130222357334820</v>
      </c>
      <c r="O108" s="44" t="n">
        <v>4.88317100140974E-005</v>
      </c>
      <c r="P108" s="44" t="n">
        <v>125402858860297</v>
      </c>
      <c r="Q108" s="44" t="n">
        <v>4.55858593159445E-005</v>
      </c>
      <c r="R108" s="44" t="n">
        <v>109863173377756</v>
      </c>
      <c r="S108" s="44" t="n">
        <v>4.21989751483933E-005</v>
      </c>
      <c r="T108" s="44" t="n">
        <v>110680208555374</v>
      </c>
      <c r="U108" s="44" t="n">
        <v>4.1336876163507E-005</v>
      </c>
      <c r="V108" s="44" t="n">
        <v>95304595157069.3</v>
      </c>
      <c r="W108" s="44" t="n">
        <v>3.52665274579803E-005</v>
      </c>
      <c r="X108" s="44" t="n">
        <v>86904436115766</v>
      </c>
      <c r="Y108" s="44" t="n">
        <v>3.39927999759591E-005</v>
      </c>
      <c r="Z108" s="44" t="n">
        <v>81506901541466.4</v>
      </c>
      <c r="AA108" s="44" t="n">
        <v>3.13477816640154E-005</v>
      </c>
      <c r="AB108" s="44" t="n">
        <v>77890427719598.4</v>
      </c>
      <c r="AC108" s="44" t="n">
        <v>2.97106056865803E-005</v>
      </c>
      <c r="AD108" s="44" t="n">
        <v>59549733263458.2</v>
      </c>
      <c r="AE108" s="44" t="n">
        <v>2.35606915680282E-005</v>
      </c>
    </row>
    <row collapsed="false" customFormat="false" customHeight="false" hidden="false" ht="12.75" outlineLevel="0" r="109">
      <c r="B109" s="44" t="n">
        <v>187951657391014</v>
      </c>
      <c r="C109" s="44" t="n">
        <v>7.38715382109525E-005</v>
      </c>
      <c r="D109" s="44" t="n">
        <v>173171821424600</v>
      </c>
      <c r="E109" s="44" t="n">
        <v>6.99661759772327E-005</v>
      </c>
      <c r="F109" s="44" t="n">
        <v>169980456085729</v>
      </c>
      <c r="G109" s="44" t="n">
        <v>6.60482487517904E-005</v>
      </c>
      <c r="H109" s="44" t="n">
        <v>164942089058725</v>
      </c>
      <c r="I109" s="44" t="n">
        <v>6.3995733275391E-005</v>
      </c>
      <c r="J109" s="44" t="n">
        <v>138244244079162</v>
      </c>
      <c r="K109" s="44" t="n">
        <v>5.55084343582724E-005</v>
      </c>
      <c r="L109" s="44" t="n">
        <v>135756866410264</v>
      </c>
      <c r="M109" s="44" t="n">
        <v>5.23812191178578E-005</v>
      </c>
      <c r="N109" s="44" t="n">
        <v>124120076778930</v>
      </c>
      <c r="O109" s="44" t="n">
        <v>4.99144818280776E-005</v>
      </c>
      <c r="P109" s="44" t="n">
        <v>119562016396826</v>
      </c>
      <c r="Q109" s="44" t="n">
        <v>4.59583947001245E-005</v>
      </c>
      <c r="R109" s="44" t="n">
        <v>103980415776883</v>
      </c>
      <c r="S109" s="44" t="n">
        <v>4.29217724700173E-005</v>
      </c>
      <c r="T109" s="44" t="n">
        <v>101536668256186</v>
      </c>
      <c r="U109" s="44" t="n">
        <v>4.01302865396777E-005</v>
      </c>
      <c r="V109" s="44" t="n">
        <v>90303534202923.5</v>
      </c>
      <c r="W109" s="44" t="n">
        <v>3.55550748714475E-005</v>
      </c>
      <c r="X109" s="44" t="n">
        <v>83519782400382.6</v>
      </c>
      <c r="Y109" s="44" t="n">
        <v>3.44123404943598E-005</v>
      </c>
      <c r="Z109" s="44" t="n">
        <v>75978231979228.2</v>
      </c>
      <c r="AA109" s="44" t="n">
        <v>3.09894033394263E-005</v>
      </c>
      <c r="AB109" s="44" t="n">
        <v>73199413506250.4</v>
      </c>
      <c r="AC109" s="44" t="n">
        <v>2.98289971405083E-005</v>
      </c>
      <c r="AD109" s="44" t="n">
        <v>56389325825649.6</v>
      </c>
      <c r="AE109" s="44" t="n">
        <v>2.33426428947987E-005</v>
      </c>
    </row>
    <row collapsed="false" customFormat="false" customHeight="false" hidden="false" ht="12.75" outlineLevel="0" r="110">
      <c r="B110" s="44" t="n">
        <v>171983225544579</v>
      </c>
      <c r="C110" s="44" t="n">
        <v>7.24819974815184E-005</v>
      </c>
      <c r="D110" s="44" t="n">
        <v>159060078202796</v>
      </c>
      <c r="E110" s="44" t="n">
        <v>6.87196877330978E-005</v>
      </c>
      <c r="F110" s="44" t="n">
        <v>162053756314865</v>
      </c>
      <c r="G110" s="44" t="n">
        <v>6.71624024303766E-005</v>
      </c>
      <c r="H110" s="44" t="n">
        <v>148016670053408</v>
      </c>
      <c r="I110" s="44" t="n">
        <v>6.10658931838784E-005</v>
      </c>
      <c r="J110" s="44" t="n">
        <v>125065437628646</v>
      </c>
      <c r="K110" s="44" t="n">
        <v>5.320081336015E-005</v>
      </c>
      <c r="L110" s="44" t="n">
        <v>131490229472517</v>
      </c>
      <c r="M110" s="44" t="n">
        <v>5.40519332685447E-005</v>
      </c>
      <c r="N110" s="44" t="n">
        <v>110702527399406</v>
      </c>
      <c r="O110" s="44" t="n">
        <v>4.72059932820185E-005</v>
      </c>
      <c r="P110" s="44" t="n">
        <v>105204528944819</v>
      </c>
      <c r="Q110" s="44" t="n">
        <v>4.29214350722061E-005</v>
      </c>
      <c r="R110" s="44" t="n">
        <v>101478203463670</v>
      </c>
      <c r="S110" s="44" t="n">
        <v>4.4120326124301E-005</v>
      </c>
      <c r="T110" s="44" t="n">
        <v>98088680114853.5</v>
      </c>
      <c r="U110" s="44" t="n">
        <v>4.12242695333221E-005</v>
      </c>
      <c r="V110" s="44" t="n">
        <v>86679240012540.6</v>
      </c>
      <c r="W110" s="44" t="n">
        <v>3.61895237128318E-005</v>
      </c>
      <c r="X110" s="44" t="n">
        <v>80317001747463.2</v>
      </c>
      <c r="Y110" s="44" t="n">
        <v>3.50425766556024E-005</v>
      </c>
      <c r="Z110" s="44" t="n">
        <v>66964302299966.4</v>
      </c>
      <c r="AA110" s="44" t="n">
        <v>2.87960902812126E-005</v>
      </c>
      <c r="AB110" s="44" t="n">
        <v>68702787251078.9</v>
      </c>
      <c r="AC110" s="44" t="n">
        <v>2.96837069809346E-005</v>
      </c>
      <c r="AD110" s="44" t="n">
        <v>54099898148273.9</v>
      </c>
      <c r="AE110" s="44" t="n">
        <v>2.39193307095444E-005</v>
      </c>
    </row>
    <row collapsed="false" customFormat="false" customHeight="false" hidden="false" ht="12.75" outlineLevel="0" r="111">
      <c r="B111" s="44" t="n">
        <v>159162524985044</v>
      </c>
      <c r="C111" s="44" t="n">
        <v>7.11249761443996E-005</v>
      </c>
      <c r="D111" s="44" t="n">
        <v>144766334489052</v>
      </c>
      <c r="E111" s="44" t="n">
        <v>6.60933248035587E-005</v>
      </c>
      <c r="F111" s="44" t="n">
        <v>152238996045120</v>
      </c>
      <c r="G111" s="44" t="n">
        <v>6.63494030119862E-005</v>
      </c>
      <c r="H111" s="44" t="n">
        <v>142320114520044</v>
      </c>
      <c r="I111" s="44" t="n">
        <v>6.24364560696771E-005</v>
      </c>
      <c r="J111" s="44" t="n">
        <v>115241688335734</v>
      </c>
      <c r="K111" s="44" t="n">
        <v>5.21313701384971E-005</v>
      </c>
      <c r="L111" s="44" t="n">
        <v>116794179980902</v>
      </c>
      <c r="M111" s="44" t="n">
        <v>5.0878261746907E-005</v>
      </c>
      <c r="N111" s="44" t="n">
        <v>107874336079899</v>
      </c>
      <c r="O111" s="44" t="n">
        <v>4.84866844563005E-005</v>
      </c>
      <c r="P111" s="44" t="n">
        <v>99187703556521</v>
      </c>
      <c r="Q111" s="44" t="n">
        <v>4.32378194076427E-005</v>
      </c>
      <c r="R111" s="44" t="n">
        <v>100074532247902</v>
      </c>
      <c r="S111" s="44" t="n">
        <v>4.5952832660178E-005</v>
      </c>
      <c r="T111" s="44" t="n">
        <v>94060155728197.3</v>
      </c>
      <c r="U111" s="44" t="n">
        <v>4.2069147249162E-005</v>
      </c>
      <c r="V111" s="44" t="n">
        <v>79776781494782</v>
      </c>
      <c r="W111" s="44" t="n">
        <v>3.49882748110065E-005</v>
      </c>
      <c r="X111" s="44" t="n">
        <v>73482066326493.2</v>
      </c>
      <c r="Y111" s="44" t="n">
        <v>3.38953644205735E-005</v>
      </c>
      <c r="Z111" s="44" t="n">
        <v>66490195195647.9</v>
      </c>
      <c r="AA111" s="44" t="n">
        <v>3.05508658460091E-005</v>
      </c>
      <c r="AB111" s="44" t="n">
        <v>60514799283316.6</v>
      </c>
      <c r="AC111" s="44" t="n">
        <v>2.77058836529568E-005</v>
      </c>
      <c r="AD111" s="44" t="n">
        <v>45501501107646.4</v>
      </c>
      <c r="AE111" s="44" t="n">
        <v>2.11894180790183E-005</v>
      </c>
    </row>
    <row collapsed="false" customFormat="false" customHeight="false" hidden="false" ht="12.75" outlineLevel="0" r="112">
      <c r="B112" s="44" t="n">
        <v>157427636193525</v>
      </c>
      <c r="C112" s="44" t="n">
        <v>7.5191981281713E-005</v>
      </c>
      <c r="D112" s="44" t="n">
        <v>138962361587060</v>
      </c>
      <c r="E112" s="44" t="n">
        <v>6.77859043013887E-005</v>
      </c>
      <c r="F112" s="44" t="n">
        <v>148704693806555</v>
      </c>
      <c r="G112" s="44" t="n">
        <v>6.88195100775055E-005</v>
      </c>
      <c r="H112" s="44" t="n">
        <v>133429223175518</v>
      </c>
      <c r="I112" s="44" t="n">
        <v>6.26851366456519E-005</v>
      </c>
      <c r="J112" s="44" t="n">
        <v>111950008564060</v>
      </c>
      <c r="K112" s="44" t="n">
        <v>5.41815488317912E-005</v>
      </c>
      <c r="L112" s="44" t="n">
        <v>112686187577343</v>
      </c>
      <c r="M112" s="44" t="n">
        <v>5.17970242510702E-005</v>
      </c>
      <c r="N112" s="44" t="n">
        <v>105631764715178</v>
      </c>
      <c r="O112" s="44" t="n">
        <v>5.05851152785657E-005</v>
      </c>
      <c r="P112" s="44" t="n">
        <v>96226784814166.9</v>
      </c>
      <c r="Q112" s="44" t="n">
        <v>4.44375133042732E-005</v>
      </c>
      <c r="R112" s="44" t="n">
        <v>87751749826056.9</v>
      </c>
      <c r="S112" s="44" t="n">
        <v>4.26979590414563E-005</v>
      </c>
      <c r="T112" s="44" t="n">
        <v>85884425992388.3</v>
      </c>
      <c r="U112" s="44" t="n">
        <v>4.06165734316612E-005</v>
      </c>
      <c r="V112" s="44" t="n">
        <v>73831887527411.4</v>
      </c>
      <c r="W112" s="44" t="n">
        <v>3.43426385489227E-005</v>
      </c>
      <c r="X112" s="44" t="n">
        <v>67408064957185.2</v>
      </c>
      <c r="Y112" s="44" t="n">
        <v>3.32619784631008E-005</v>
      </c>
      <c r="Z112" s="44" t="n">
        <v>64797229486570.6</v>
      </c>
      <c r="AA112" s="44" t="n">
        <v>3.16575445463851E-005</v>
      </c>
      <c r="AB112" s="44" t="n">
        <v>57586146124002.1</v>
      </c>
      <c r="AC112" s="44" t="n">
        <v>2.80580662758995E-005</v>
      </c>
      <c r="AD112" s="44" t="n">
        <v>43939725689345.2</v>
      </c>
      <c r="AE112" s="44" t="n">
        <v>2.17271949453695E-005</v>
      </c>
    </row>
    <row collapsed="false" customFormat="false" customHeight="false" hidden="false" ht="12.75" outlineLevel="0" r="113">
      <c r="B113" s="44" t="n">
        <v>142212854516688</v>
      </c>
      <c r="C113" s="44" t="n">
        <v>7.20777659871292E-005</v>
      </c>
      <c r="D113" s="44" t="n">
        <v>130418001989170</v>
      </c>
      <c r="E113" s="44" t="n">
        <v>6.79924040938657E-005</v>
      </c>
      <c r="F113" s="44" t="n">
        <v>128790693540738</v>
      </c>
      <c r="G113" s="44" t="n">
        <v>6.32288732930145E-005</v>
      </c>
      <c r="H113" s="44" t="n">
        <v>124542532588011</v>
      </c>
      <c r="I113" s="44" t="n">
        <v>6.20181776048308E-005</v>
      </c>
      <c r="J113" s="44" t="n">
        <v>108605878297461</v>
      </c>
      <c r="K113" s="44" t="n">
        <v>5.56590733557029E-005</v>
      </c>
      <c r="L113" s="44" t="n">
        <v>108784315575378</v>
      </c>
      <c r="M113" s="44" t="n">
        <v>5.38197306333785E-005</v>
      </c>
      <c r="N113" s="44" t="n">
        <v>93547238034028.6</v>
      </c>
      <c r="O113" s="44" t="n">
        <v>4.71543583909592E-005</v>
      </c>
      <c r="P113" s="44" t="n">
        <v>92480271240437.1</v>
      </c>
      <c r="Q113" s="44" t="n">
        <v>4.52921895425213E-005</v>
      </c>
      <c r="R113" s="44" t="n">
        <v>81485959269837</v>
      </c>
      <c r="S113" s="44" t="n">
        <v>4.22030506537717E-005</v>
      </c>
      <c r="T113" s="44" t="n">
        <v>83271391106090.4</v>
      </c>
      <c r="U113" s="44" t="n">
        <v>4.18344445236705E-005</v>
      </c>
      <c r="V113" s="44" t="n">
        <v>70518222040753.4</v>
      </c>
      <c r="W113" s="44" t="n">
        <v>3.48636560198057E-005</v>
      </c>
      <c r="X113" s="44" t="n">
        <v>65396306560187.4</v>
      </c>
      <c r="Y113" s="44" t="n">
        <v>3.4539973570289E-005</v>
      </c>
      <c r="Z113" s="44" t="n">
        <v>60972587866905.5</v>
      </c>
      <c r="AA113" s="44" t="n">
        <v>3.13662975852271E-005</v>
      </c>
      <c r="AB113" s="44" t="n">
        <v>56345063881124.4</v>
      </c>
      <c r="AC113" s="44" t="n">
        <v>2.93943531356185E-005</v>
      </c>
      <c r="AD113" s="44" t="n">
        <v>41800301029689.8</v>
      </c>
      <c r="AE113" s="44" t="n">
        <v>2.22743555405468E-005</v>
      </c>
    </row>
    <row collapsed="false" customFormat="false" customHeight="false" hidden="false" ht="12.75" outlineLevel="0" r="114">
      <c r="B114" s="44" t="n">
        <v>129141976898901</v>
      </c>
      <c r="C114" s="44" t="n">
        <v>6.8346808357091E-005</v>
      </c>
      <c r="D114" s="44" t="n">
        <v>117161748201265</v>
      </c>
      <c r="E114" s="44" t="n">
        <v>6.48391793278501E-005</v>
      </c>
      <c r="F114" s="44" t="n">
        <v>124773142860494</v>
      </c>
      <c r="G114" s="44" t="n">
        <v>6.55545996894595E-005</v>
      </c>
      <c r="H114" s="44" t="n">
        <v>120188190674729</v>
      </c>
      <c r="I114" s="44" t="n">
        <v>6.33618490157297E-005</v>
      </c>
      <c r="J114" s="44" t="n">
        <v>97175722062536.4</v>
      </c>
      <c r="K114" s="44" t="n">
        <v>5.21289124477147E-005</v>
      </c>
      <c r="L114" s="44" t="n">
        <v>99393056332573</v>
      </c>
      <c r="M114" s="44" t="n">
        <v>5.12987653449069E-005</v>
      </c>
      <c r="N114" s="44" t="n">
        <v>85464637341940.4</v>
      </c>
      <c r="O114" s="44" t="n">
        <v>4.57542304783747E-005</v>
      </c>
      <c r="P114" s="44" t="n">
        <v>79169262090557.5</v>
      </c>
      <c r="Q114" s="44" t="n">
        <v>4.1108261437985E-005</v>
      </c>
      <c r="R114" s="44" t="n">
        <v>79033181738688</v>
      </c>
      <c r="S114" s="44" t="n">
        <v>4.35811850313738E-005</v>
      </c>
      <c r="T114" s="44" t="n">
        <v>78461474803072.7</v>
      </c>
      <c r="U114" s="44" t="n">
        <v>4.13131140375852E-005</v>
      </c>
      <c r="V114" s="44" t="n">
        <v>68119559962794.3</v>
      </c>
      <c r="W114" s="44" t="n">
        <v>3.57635865889144E-005</v>
      </c>
      <c r="X114" s="44" t="n">
        <v>61266742615300.9</v>
      </c>
      <c r="Y114" s="44" t="n">
        <v>3.43655994104159E-005</v>
      </c>
      <c r="Z114" s="44" t="n">
        <v>58672065446955.9</v>
      </c>
      <c r="AA114" s="44" t="n">
        <v>3.18321932206094E-005</v>
      </c>
      <c r="AB114" s="44" t="n">
        <v>51383248226792.4</v>
      </c>
      <c r="AC114" s="44" t="n">
        <v>2.87576888856779E-005</v>
      </c>
      <c r="AD114" s="44" t="n">
        <v>41019918286339.9</v>
      </c>
      <c r="AE114" s="44" t="n">
        <v>2.30340272845911E-005</v>
      </c>
    </row>
    <row collapsed="false" customFormat="false" customHeight="false" hidden="false" ht="12.75" outlineLevel="0" r="115">
      <c r="B115" s="44" t="n">
        <v>127275303594925</v>
      </c>
      <c r="C115" s="44" t="n">
        <v>7.32566881423973E-005</v>
      </c>
      <c r="D115" s="44" t="n">
        <v>111619811475769</v>
      </c>
      <c r="E115" s="44" t="n">
        <v>6.52700484150481E-005</v>
      </c>
      <c r="F115" s="44" t="n">
        <v>115828872205033</v>
      </c>
      <c r="G115" s="44" t="n">
        <v>6.53007330515335E-005</v>
      </c>
      <c r="H115" s="44" t="n">
        <v>113861664775144</v>
      </c>
      <c r="I115" s="44" t="n">
        <v>6.41848689066957E-005</v>
      </c>
      <c r="J115" s="44" t="n">
        <v>87962472076874</v>
      </c>
      <c r="K115" s="44" t="n">
        <v>5.06608663722897E-005</v>
      </c>
      <c r="L115" s="44" t="n">
        <v>96469287016450.9</v>
      </c>
      <c r="M115" s="44" t="n">
        <v>5.34647726407753E-005</v>
      </c>
      <c r="N115" s="44" t="n">
        <v>81522610972817.6</v>
      </c>
      <c r="O115" s="44" t="n">
        <v>4.67733811523033E-005</v>
      </c>
      <c r="P115" s="44" t="n">
        <v>77229342799735.7</v>
      </c>
      <c r="Q115" s="44" t="n">
        <v>4.20654768882394E-005</v>
      </c>
      <c r="R115" s="44" t="n">
        <v>74742286051217.9</v>
      </c>
      <c r="S115" s="44" t="n">
        <v>4.36557537535826E-005</v>
      </c>
      <c r="T115" s="44" t="n">
        <v>72659405848736.2</v>
      </c>
      <c r="U115" s="44" t="n">
        <v>4.10666030945455E-005</v>
      </c>
      <c r="V115" s="44" t="n">
        <v>60927516702317.2</v>
      </c>
      <c r="W115" s="44" t="n">
        <v>3.37450084416257E-005</v>
      </c>
      <c r="X115" s="44" t="n">
        <v>59543800234447.3</v>
      </c>
      <c r="Y115" s="44" t="n">
        <v>3.49353870320002E-005</v>
      </c>
      <c r="Z115" s="44" t="n">
        <v>50221086299523.3</v>
      </c>
      <c r="AA115" s="44" t="n">
        <v>2.91668965799462E-005</v>
      </c>
      <c r="AB115" s="44" t="n">
        <v>49475951375918.5</v>
      </c>
      <c r="AC115" s="44" t="n">
        <v>2.87975865834016E-005</v>
      </c>
      <c r="AD115" s="44" t="n">
        <v>38073114983681.9</v>
      </c>
      <c r="AE115" s="44" t="n">
        <v>2.25298823826038E-005</v>
      </c>
    </row>
    <row collapsed="false" customFormat="false" customHeight="false" hidden="false" ht="12.75" outlineLevel="0" r="116">
      <c r="B116" s="44" t="n">
        <v>120543278651441</v>
      </c>
      <c r="C116" s="44" t="n">
        <v>7.25101925604179E-005</v>
      </c>
      <c r="D116" s="44" t="n">
        <v>104869923895943</v>
      </c>
      <c r="E116" s="44" t="n">
        <v>6.49496112236142E-005</v>
      </c>
      <c r="F116" s="44" t="n">
        <v>111875236364281</v>
      </c>
      <c r="G116" s="44" t="n">
        <v>6.6210209308925E-005</v>
      </c>
      <c r="H116" s="44" t="n">
        <v>105101153838796</v>
      </c>
      <c r="I116" s="44" t="n">
        <v>6.28126949592633E-005</v>
      </c>
      <c r="J116" s="44" t="n">
        <v>85969676335426.7</v>
      </c>
      <c r="K116" s="44" t="n">
        <v>5.31043480599703E-005</v>
      </c>
      <c r="L116" s="44" t="n">
        <v>86574130118601.7</v>
      </c>
      <c r="M116" s="44" t="n">
        <v>5.04184237645627E-005</v>
      </c>
      <c r="N116" s="44" t="n">
        <v>74615051784090.2</v>
      </c>
      <c r="O116" s="44" t="n">
        <v>4.53493653235209E-005</v>
      </c>
      <c r="P116" s="44" t="n">
        <v>74366246911340.8</v>
      </c>
      <c r="Q116" s="44" t="n">
        <v>4.35414540527301E-005</v>
      </c>
      <c r="R116" s="44" t="n">
        <v>65072443623522.7</v>
      </c>
      <c r="S116" s="44" t="n">
        <v>4.06093360094877E-005</v>
      </c>
      <c r="T116" s="44" t="n">
        <v>64170078742218.2</v>
      </c>
      <c r="U116" s="44" t="n">
        <v>3.82258711171438E-005</v>
      </c>
      <c r="V116" s="44" t="n">
        <v>56554653964575</v>
      </c>
      <c r="W116" s="44" t="n">
        <v>3.35295320862779E-005</v>
      </c>
      <c r="X116" s="44" t="n">
        <v>50827537263551.7</v>
      </c>
      <c r="Y116" s="44" t="n">
        <v>3.20082852317364E-005</v>
      </c>
      <c r="Z116" s="44" t="n">
        <v>48532231175033.3</v>
      </c>
      <c r="AA116" s="44" t="n">
        <v>3.00224177497642E-005</v>
      </c>
      <c r="AB116" s="44" t="n">
        <v>45504477284762.4</v>
      </c>
      <c r="AC116" s="44" t="n">
        <v>2.8435808176372E-005</v>
      </c>
      <c r="AD116" s="44" t="n">
        <v>33310224587328.3</v>
      </c>
      <c r="AE116" s="44" t="n">
        <v>2.10123058321933E-005</v>
      </c>
    </row>
    <row collapsed="false" customFormat="false" customHeight="false" hidden="false" ht="12.75" outlineLevel="0" r="117">
      <c r="B117" s="44" t="n">
        <v>114546376767432</v>
      </c>
      <c r="C117" s="44" t="n">
        <v>7.19746152386324E-005</v>
      </c>
      <c r="D117" s="44" t="n">
        <v>102577912352699</v>
      </c>
      <c r="E117" s="44" t="n">
        <v>6.72771287614386E-005</v>
      </c>
      <c r="F117" s="44" t="n">
        <v>101296154351765</v>
      </c>
      <c r="G117" s="44" t="n">
        <v>6.48085139314092E-005</v>
      </c>
      <c r="H117" s="44" t="n">
        <v>105623235802506</v>
      </c>
      <c r="I117" s="44" t="n">
        <v>6.61459145527129E-005</v>
      </c>
      <c r="J117" s="44" t="n">
        <v>79724130665080.1</v>
      </c>
      <c r="K117" s="44" t="n">
        <v>5.1909433973857E-005</v>
      </c>
      <c r="L117" s="44" t="n">
        <v>85446558939331.3</v>
      </c>
      <c r="M117" s="44" t="n">
        <v>5.26549501982469E-005</v>
      </c>
      <c r="N117" s="44" t="n">
        <v>65476217566408.8</v>
      </c>
      <c r="O117" s="44" t="n">
        <v>4.23873165612146E-005</v>
      </c>
      <c r="P117" s="44" t="n">
        <v>63198506452229.9</v>
      </c>
      <c r="Q117" s="44" t="n">
        <v>3.92575549892417E-005</v>
      </c>
      <c r="R117" s="44" t="n">
        <v>63192101263440.3</v>
      </c>
      <c r="S117" s="44" t="n">
        <v>4.23983976627008E-005</v>
      </c>
      <c r="T117" s="44" t="n">
        <v>63880334380334</v>
      </c>
      <c r="U117" s="44" t="n">
        <v>4.05389129721507E-005</v>
      </c>
      <c r="V117" s="44" t="n">
        <v>54692165285733.8</v>
      </c>
      <c r="W117" s="44" t="n">
        <v>3.45619801544085E-005</v>
      </c>
      <c r="X117" s="44" t="n">
        <v>49035452155007.7</v>
      </c>
      <c r="Y117" s="44" t="n">
        <v>3.24786088246694E-005</v>
      </c>
      <c r="Z117" s="44" t="n">
        <v>44919651505753.6</v>
      </c>
      <c r="AA117" s="44" t="n">
        <v>3.00316870031253E-005</v>
      </c>
      <c r="AB117" s="44" t="n">
        <v>41567572218516</v>
      </c>
      <c r="AC117" s="44" t="n">
        <v>2.74703172070129E-005</v>
      </c>
      <c r="AD117" s="44" t="n">
        <v>32646757858004.8</v>
      </c>
      <c r="AE117" s="44" t="n">
        <v>2.2064998747491E-005</v>
      </c>
    </row>
    <row collapsed="false" customFormat="false" customHeight="false" hidden="false" ht="12.75" outlineLevel="0" r="118">
      <c r="B118" s="44" t="n">
        <v>98962631903625.1</v>
      </c>
      <c r="C118" s="44" t="n">
        <v>6.67207247533696E-005</v>
      </c>
      <c r="D118" s="44" t="n">
        <v>87878629172882.9</v>
      </c>
      <c r="E118" s="44" t="n">
        <v>6.15249249877724E-005</v>
      </c>
      <c r="F118" s="44" t="n">
        <v>98075172930776.6</v>
      </c>
      <c r="G118" s="44" t="n">
        <v>6.62431249522948E-005</v>
      </c>
      <c r="H118" s="44" t="n">
        <v>95533648112965.5</v>
      </c>
      <c r="I118" s="44" t="n">
        <v>6.3420035146335E-005</v>
      </c>
      <c r="J118" s="44" t="n">
        <v>72459197517987.2</v>
      </c>
      <c r="K118" s="44" t="n">
        <v>5.0856140170939E-005</v>
      </c>
      <c r="L118" s="44" t="n">
        <v>77505753966433</v>
      </c>
      <c r="M118" s="44" t="n">
        <v>5.05380621785515E-005</v>
      </c>
      <c r="N118" s="44" t="n">
        <v>63192721604603.1</v>
      </c>
      <c r="O118" s="44" t="n">
        <v>4.38802604956901E-005</v>
      </c>
      <c r="P118" s="44" t="n">
        <v>58356864236587.1</v>
      </c>
      <c r="Q118" s="44" t="n">
        <v>3.86938177779876E-005</v>
      </c>
      <c r="R118" s="44" t="n">
        <v>60131843365371.3</v>
      </c>
      <c r="S118" s="44" t="n">
        <v>4.3096544088478E-005</v>
      </c>
      <c r="T118" s="44" t="n">
        <v>59163033319593.2</v>
      </c>
      <c r="U118" s="44" t="n">
        <v>4.05388599816887E-005</v>
      </c>
      <c r="V118" s="44" t="n">
        <v>54008113275386.6</v>
      </c>
      <c r="W118" s="44" t="n">
        <v>3.67577690423432E-005</v>
      </c>
      <c r="X118" s="44" t="n">
        <v>46957261799316.3</v>
      </c>
      <c r="Y118" s="44" t="n">
        <v>3.35994069443488E-005</v>
      </c>
      <c r="Z118" s="44" t="n">
        <v>45695972399757.4</v>
      </c>
      <c r="AA118" s="44" t="n">
        <v>3.21343082640078E-005</v>
      </c>
      <c r="AB118" s="44" t="n">
        <v>40710702920633.8</v>
      </c>
      <c r="AC118" s="44" t="n">
        <v>2.86324080577442E-005</v>
      </c>
      <c r="AD118" s="44" t="n">
        <v>29186774225621.7</v>
      </c>
      <c r="AE118" s="44" t="n">
        <v>2.08608674088052E-005</v>
      </c>
    </row>
    <row collapsed="false" customFormat="false" customHeight="false" hidden="false" ht="12.75" outlineLevel="0" r="119">
      <c r="B119" s="44" t="n">
        <v>92972278825323</v>
      </c>
      <c r="C119" s="44" t="n">
        <v>6.56519989250864E-005</v>
      </c>
      <c r="D119" s="44" t="n">
        <v>86860881217006.6</v>
      </c>
      <c r="E119" s="44" t="n">
        <v>6.44976753227093E-005</v>
      </c>
      <c r="F119" s="44" t="n">
        <v>93153519650614.6</v>
      </c>
      <c r="G119" s="44" t="n">
        <v>6.71401598831394E-005</v>
      </c>
      <c r="H119" s="44" t="n">
        <v>84060146769427.2</v>
      </c>
      <c r="I119" s="44" t="n">
        <v>5.9039735898068E-005</v>
      </c>
      <c r="J119" s="44" t="n">
        <v>72028728321269.1</v>
      </c>
      <c r="K119" s="44" t="n">
        <v>5.40789027862132E-005</v>
      </c>
      <c r="L119" s="44" t="n">
        <v>72436455787291.8</v>
      </c>
      <c r="M119" s="44" t="n">
        <v>5.02289675457816E-005</v>
      </c>
      <c r="N119" s="44" t="n">
        <v>60084043526867.4</v>
      </c>
      <c r="O119" s="44" t="n">
        <v>4.45879763811556E-005</v>
      </c>
      <c r="P119" s="44" t="n">
        <v>56144279922700</v>
      </c>
      <c r="Q119" s="44" t="n">
        <v>3.98690268555207E-005</v>
      </c>
      <c r="R119" s="44" t="n">
        <v>58602095699748.7</v>
      </c>
      <c r="S119" s="44" t="n">
        <v>4.41389877073646E-005</v>
      </c>
      <c r="T119" s="44" t="n">
        <v>56557187185201.8</v>
      </c>
      <c r="U119" s="44" t="n">
        <v>4.10654161000132E-005</v>
      </c>
      <c r="V119" s="44" t="n">
        <v>51120603694055.1</v>
      </c>
      <c r="W119" s="44" t="n">
        <v>3.6649024717276E-005</v>
      </c>
      <c r="X119" s="44" t="n">
        <v>43268301288016.5</v>
      </c>
      <c r="Y119" s="44" t="n">
        <v>3.274746676241E-005</v>
      </c>
      <c r="Z119" s="44" t="n">
        <v>43738430271932.9</v>
      </c>
      <c r="AA119" s="44" t="n">
        <v>3.23034708143513E-005</v>
      </c>
      <c r="AB119" s="44" t="n">
        <v>38331333548012.5</v>
      </c>
      <c r="AC119" s="44" t="n">
        <v>2.85317004143236E-005</v>
      </c>
      <c r="AD119" s="44" t="n">
        <v>27342694042775.6</v>
      </c>
      <c r="AE119" s="44" t="n">
        <v>2.1032342951573E-005</v>
      </c>
    </row>
    <row collapsed="false" customFormat="false" customHeight="false" hidden="false" ht="12.75" outlineLevel="0" r="120">
      <c r="B120" s="44" t="n">
        <v>90443537885120.9</v>
      </c>
      <c r="C120" s="44" t="n">
        <v>6.98247949027983E-005</v>
      </c>
      <c r="D120" s="44" t="n">
        <v>80883298644847.4</v>
      </c>
      <c r="E120" s="44" t="n">
        <v>6.66660613217606E-005</v>
      </c>
      <c r="F120" s="44" t="n">
        <v>83193263785928.8</v>
      </c>
      <c r="G120" s="44" t="n">
        <v>6.24819275353223E-005</v>
      </c>
      <c r="H120" s="44" t="n">
        <v>80932545240135.7</v>
      </c>
      <c r="I120" s="44" t="n">
        <v>6.11830140488864E-005</v>
      </c>
      <c r="J120" s="44" t="n">
        <v>69984667516115.8</v>
      </c>
      <c r="K120" s="44" t="n">
        <v>5.51398442651798E-005</v>
      </c>
      <c r="L120" s="44" t="n">
        <v>66243572272423</v>
      </c>
      <c r="M120" s="44" t="n">
        <v>4.88708213488061E-005</v>
      </c>
      <c r="N120" s="44" t="n">
        <v>58044462043402</v>
      </c>
      <c r="O120" s="44" t="n">
        <v>4.60339676618632E-005</v>
      </c>
      <c r="P120" s="44" t="n">
        <v>53655816618654.3</v>
      </c>
      <c r="Q120" s="44" t="n">
        <v>4.14484774942252E-005</v>
      </c>
      <c r="R120" s="44" t="n">
        <v>53883454206008.6</v>
      </c>
      <c r="S120" s="44" t="n">
        <v>4.38445732779611E-005</v>
      </c>
      <c r="T120" s="44" t="n">
        <v>54737760859577.3</v>
      </c>
      <c r="U120" s="44" t="n">
        <v>4.20228635528496E-005</v>
      </c>
      <c r="V120" s="44" t="n">
        <v>49981059057026.7</v>
      </c>
      <c r="W120" s="44" t="n">
        <v>3.7760532040985E-005</v>
      </c>
      <c r="X120" s="44" t="n">
        <v>40511946602714.3</v>
      </c>
      <c r="Y120" s="44" t="n">
        <v>3.26500714454111E-005</v>
      </c>
      <c r="Z120" s="44" t="n">
        <v>39555520283487.2</v>
      </c>
      <c r="AA120" s="44" t="n">
        <v>3.0999127517164E-005</v>
      </c>
      <c r="AB120" s="44" t="n">
        <v>36016519135700.2</v>
      </c>
      <c r="AC120" s="44" t="n">
        <v>2.84495152637244E-005</v>
      </c>
      <c r="AD120" s="44" t="n">
        <v>26449772194609.8</v>
      </c>
      <c r="AE120" s="44" t="n">
        <v>2.12151712985441E-005</v>
      </c>
    </row>
    <row collapsed="false" customFormat="false" customHeight="false" hidden="false" ht="12.75" outlineLevel="0" r="121">
      <c r="B121" s="44" t="n">
        <v>81595946117416</v>
      </c>
      <c r="C121" s="44" t="n">
        <v>6.58394857838824E-005</v>
      </c>
      <c r="D121" s="44" t="n">
        <v>80056729414222.8</v>
      </c>
      <c r="E121" s="44" t="n">
        <v>6.90321858412453E-005</v>
      </c>
      <c r="F121" s="44" t="n">
        <v>82828942301138</v>
      </c>
      <c r="G121" s="44" t="n">
        <v>6.66792137423472E-005</v>
      </c>
      <c r="H121" s="44" t="n">
        <v>76416039551673.5</v>
      </c>
      <c r="I121" s="44" t="n">
        <v>6.26416136062158E-005</v>
      </c>
      <c r="J121" s="44" t="n">
        <v>65897330770320.1</v>
      </c>
      <c r="K121" s="44" t="n">
        <v>5.6156414838701E-005</v>
      </c>
      <c r="L121" s="44" t="n">
        <v>60463114710464.8</v>
      </c>
      <c r="M121" s="44" t="n">
        <v>4.8773010089798E-005</v>
      </c>
      <c r="N121" s="44" t="n">
        <v>51443042772893.7</v>
      </c>
      <c r="O121" s="44" t="n">
        <v>4.34937685303974E-005</v>
      </c>
      <c r="P121" s="44" t="n">
        <v>50016502184697.5</v>
      </c>
      <c r="Q121" s="44" t="n">
        <v>4.07272481387011E-005</v>
      </c>
      <c r="R121" s="44" t="n">
        <v>52442080172573.9</v>
      </c>
      <c r="S121" s="44" t="n">
        <v>4.47889350649699E-005</v>
      </c>
      <c r="T121" s="44" t="n">
        <v>51637268947523.4</v>
      </c>
      <c r="U121" s="44" t="n">
        <v>4.2316712025712E-005</v>
      </c>
      <c r="V121" s="44" t="n">
        <v>47436901931521.5</v>
      </c>
      <c r="W121" s="44" t="n">
        <v>3.80032342889421E-005</v>
      </c>
      <c r="X121" s="44" t="n">
        <v>33180064603657.3</v>
      </c>
      <c r="Y121" s="44" t="n">
        <v>2.81522751070025E-005</v>
      </c>
      <c r="Z121" s="44" t="n">
        <v>36285640089836</v>
      </c>
      <c r="AA121" s="44" t="n">
        <v>3.02149298342152E-005</v>
      </c>
      <c r="AB121" s="44" t="n">
        <v>30725094151871.3</v>
      </c>
      <c r="AC121" s="44" t="n">
        <v>2.55542962443509E-005</v>
      </c>
      <c r="AD121" s="44" t="n">
        <v>26881842656070.6</v>
      </c>
      <c r="AE121" s="44" t="n">
        <v>2.34295668613918E-005</v>
      </c>
    </row>
    <row collapsed="false" customFormat="false" customHeight="false" hidden="false" ht="12.75" outlineLevel="0" r="122">
      <c r="B122" s="44" t="n">
        <v>82660021862882.4</v>
      </c>
      <c r="C122" s="44" t="n">
        <v>7.06434134778307E-005</v>
      </c>
      <c r="D122" s="44" t="n">
        <v>76179007666695.5</v>
      </c>
      <c r="E122" s="44" t="n">
        <v>6.94701839888683E-005</v>
      </c>
      <c r="F122" s="44" t="n">
        <v>71904443143391.7</v>
      </c>
      <c r="G122" s="44" t="n">
        <v>6.17437134757694E-005</v>
      </c>
      <c r="H122" s="44" t="n">
        <v>74042498559501.8</v>
      </c>
      <c r="I122" s="44" t="n">
        <v>6.32571490790456E-005</v>
      </c>
      <c r="J122" s="44" t="n">
        <v>61542654338053.1</v>
      </c>
      <c r="K122" s="44" t="n">
        <v>5.56371702577433E-005</v>
      </c>
      <c r="L122" s="44" t="n">
        <v>59644940984546.2</v>
      </c>
      <c r="M122" s="44" t="n">
        <v>5.10945062801329E-005</v>
      </c>
      <c r="N122" s="44" t="n">
        <v>48629127542143.4</v>
      </c>
      <c r="O122" s="44" t="n">
        <v>4.33326826545336E-005</v>
      </c>
      <c r="P122" s="44" t="n">
        <v>49279555081474</v>
      </c>
      <c r="Q122" s="44" t="n">
        <v>4.16968439896625E-005</v>
      </c>
      <c r="R122" s="44" t="n">
        <v>48774454159830.2</v>
      </c>
      <c r="S122" s="44" t="n">
        <v>4.42098400113599E-005</v>
      </c>
      <c r="T122" s="44" t="n">
        <v>42054499322299.7</v>
      </c>
      <c r="U122" s="44" t="n">
        <v>3.58056495029752E-005</v>
      </c>
      <c r="V122" s="44" t="n">
        <v>39354895727999</v>
      </c>
      <c r="W122" s="44" t="n">
        <v>3.35531816585335E-005</v>
      </c>
      <c r="X122" s="44" t="n">
        <v>32286520753808.3</v>
      </c>
      <c r="Y122" s="44" t="n">
        <v>2.98418200092327E-005</v>
      </c>
      <c r="Z122" s="44" t="n">
        <v>33859826518472.7</v>
      </c>
      <c r="AA122" s="44" t="n">
        <v>3.0719214612638E-005</v>
      </c>
      <c r="AB122" s="44" t="n">
        <v>31548491451777.1</v>
      </c>
      <c r="AC122" s="44" t="n">
        <v>2.88918072658318E-005</v>
      </c>
      <c r="AD122" s="44" t="n">
        <v>26132991744538</v>
      </c>
      <c r="AE122" s="44" t="n">
        <v>2.4237320617022E-005</v>
      </c>
    </row>
    <row collapsed="false" customFormat="false" customHeight="false" hidden="false" ht="12.75" outlineLevel="0" r="123">
      <c r="B123" s="44" t="n">
        <v>71024607898140</v>
      </c>
      <c r="C123" s="44" t="n">
        <v>6.46509367816915E-005</v>
      </c>
      <c r="D123" s="44" t="n">
        <v>71412607368000.1</v>
      </c>
      <c r="E123" s="44" t="n">
        <v>6.93606365856629E-005</v>
      </c>
      <c r="F123" s="44" t="n">
        <v>67294365955901.8</v>
      </c>
      <c r="G123" s="44" t="n">
        <v>6.17534330366871E-005</v>
      </c>
      <c r="H123" s="44" t="n">
        <v>68833864096753.3</v>
      </c>
      <c r="I123" s="44" t="n">
        <v>6.4144123248674E-005</v>
      </c>
      <c r="J123" s="44" t="n">
        <v>59446539573983</v>
      </c>
      <c r="K123" s="44" t="n">
        <v>5.66196297834417E-005</v>
      </c>
      <c r="L123" s="44" t="n">
        <v>59082455957753.8</v>
      </c>
      <c r="M123" s="44" t="n">
        <v>5.33330344030139E-005</v>
      </c>
      <c r="N123" s="44" t="n">
        <v>42131232669611.4</v>
      </c>
      <c r="O123" s="44" t="n">
        <v>4.0395135250502E-005</v>
      </c>
      <c r="P123" s="44" t="n">
        <v>43248639523627</v>
      </c>
      <c r="Q123" s="44" t="n">
        <v>3.88104388193849E-005</v>
      </c>
      <c r="R123" s="44" t="n">
        <v>51001038984731.3</v>
      </c>
      <c r="S123" s="44" t="n">
        <v>4.97049799342032E-005</v>
      </c>
      <c r="T123" s="44" t="n">
        <v>40857538692614.1</v>
      </c>
      <c r="U123" s="44" t="n">
        <v>3.76049164171003E-005</v>
      </c>
      <c r="V123" s="44" t="n">
        <v>37155872060269.1</v>
      </c>
      <c r="W123" s="44" t="n">
        <v>3.44496936967252E-005</v>
      </c>
      <c r="X123" s="44" t="n">
        <v>30857298112464</v>
      </c>
      <c r="Y123" s="44" t="n">
        <v>3.00778087362621E-005</v>
      </c>
      <c r="Z123" s="44" t="n">
        <v>32411624770957.9</v>
      </c>
      <c r="AA123" s="44" t="n">
        <v>3.16575508818565E-005</v>
      </c>
      <c r="AB123" s="44" t="n">
        <v>27970890474342.3</v>
      </c>
      <c r="AC123" s="44" t="n">
        <v>2.71838583941719E-005</v>
      </c>
      <c r="AD123" s="44" t="n">
        <v>25960251382945.2</v>
      </c>
      <c r="AE123" s="44" t="n">
        <v>2.57102897505214E-005</v>
      </c>
    </row>
    <row collapsed="false" customFormat="false" customHeight="false" hidden="false" ht="12.75" outlineLevel="0" r="124">
      <c r="B124" s="44" t="n">
        <v>61655933622390.8</v>
      </c>
      <c r="C124" s="44" t="n">
        <v>5.91874291930705E-005</v>
      </c>
      <c r="D124" s="44" t="n">
        <v>67918107988153.4</v>
      </c>
      <c r="E124" s="44" t="n">
        <v>7.0265646081274E-005</v>
      </c>
      <c r="F124" s="44" t="n">
        <v>64080289143476.1</v>
      </c>
      <c r="G124" s="44" t="n">
        <v>6.42962525098508E-005</v>
      </c>
      <c r="H124" s="44" t="n">
        <v>61660765187091.7</v>
      </c>
      <c r="I124" s="44" t="n">
        <v>6.03092640021359E-005</v>
      </c>
      <c r="J124" s="44" t="n">
        <v>57834453625204.2</v>
      </c>
      <c r="K124" s="44" t="n">
        <v>5.88092242968196E-005</v>
      </c>
      <c r="L124" s="44" t="n">
        <v>56577130538420</v>
      </c>
      <c r="M124" s="44" t="n">
        <v>5.41419377868782E-005</v>
      </c>
      <c r="N124" s="44" t="n">
        <v>40047132917576.4</v>
      </c>
      <c r="O124" s="44" t="n">
        <v>4.15605327697615E-005</v>
      </c>
      <c r="P124" s="44" t="n">
        <v>35198889371544.2</v>
      </c>
      <c r="Q124" s="44" t="n">
        <v>3.3636999487473E-005</v>
      </c>
      <c r="R124" s="44" t="n">
        <v>41705712198602.8</v>
      </c>
      <c r="S124" s="44" t="n">
        <v>4.27514293897122E-005</v>
      </c>
      <c r="T124" s="44" t="n">
        <v>37762877910808.8</v>
      </c>
      <c r="U124" s="44" t="n">
        <v>3.82581378642504E-005</v>
      </c>
      <c r="V124" s="44" t="n">
        <v>38520648261681.2</v>
      </c>
      <c r="W124" s="44" t="n">
        <v>3.83113197094577E-005</v>
      </c>
      <c r="X124" s="44" t="n">
        <v>31428983989500.7</v>
      </c>
      <c r="Y124" s="44" t="n">
        <v>3.25476400873179E-005</v>
      </c>
      <c r="Z124" s="44" t="n">
        <v>31064783404136.9</v>
      </c>
      <c r="AA124" s="44" t="n">
        <v>3.18888045688814E-005</v>
      </c>
      <c r="AB124" s="44" t="n">
        <v>25756225181762.1</v>
      </c>
      <c r="AC124" s="44" t="n">
        <v>2.66841769238247E-005</v>
      </c>
      <c r="AD124" s="44" t="n">
        <v>24952516219816.5</v>
      </c>
      <c r="AE124" s="44" t="n">
        <v>2.61220900825086E-005</v>
      </c>
    </row>
    <row collapsed="false" customFormat="false" customHeight="false" hidden="false" ht="12.75" outlineLevel="0" r="125">
      <c r="B125" s="44" t="n">
        <v>63515826406555.1</v>
      </c>
      <c r="C125" s="44" t="n">
        <v>6.59774977774202E-005</v>
      </c>
      <c r="D125" s="44" t="n">
        <v>64233998733355.9</v>
      </c>
      <c r="E125" s="44" t="n">
        <v>7.08825916718536E-005</v>
      </c>
      <c r="F125" s="44" t="n">
        <v>63473922201534</v>
      </c>
      <c r="G125" s="44" t="n">
        <v>6.84610689383649E-005</v>
      </c>
      <c r="H125" s="44" t="n">
        <v>62643964443850.3</v>
      </c>
      <c r="I125" s="44" t="n">
        <v>6.66022643514484E-005</v>
      </c>
      <c r="J125" s="44" t="n">
        <v>46287789932291.4</v>
      </c>
      <c r="K125" s="44" t="n">
        <v>5.00959994921931E-005</v>
      </c>
      <c r="L125" s="44" t="n">
        <v>45642752117570.3</v>
      </c>
      <c r="M125" s="44" t="n">
        <v>4.82464793675496E-005</v>
      </c>
      <c r="N125" s="44" t="n">
        <v>37721351233360.4</v>
      </c>
      <c r="O125" s="44" t="n">
        <v>4.22701329220845E-005</v>
      </c>
      <c r="P125" s="44" t="n">
        <v>33590061060974</v>
      </c>
      <c r="Q125" s="44" t="n">
        <v>3.51146136062958E-005</v>
      </c>
      <c r="R125" s="44" t="n">
        <v>42752546273283.5</v>
      </c>
      <c r="S125" s="44" t="n">
        <v>4.74553850114128E-005</v>
      </c>
      <c r="T125" s="44" t="n">
        <v>38092888129970.8</v>
      </c>
      <c r="U125" s="44" t="n">
        <v>4.11107940789779E-005</v>
      </c>
      <c r="V125" s="44" t="n">
        <v>35980941112614.9</v>
      </c>
      <c r="W125" s="44" t="n">
        <v>3.79145536717165E-005</v>
      </c>
      <c r="X125" s="44" t="n">
        <v>29749961425173.8</v>
      </c>
      <c r="Y125" s="44" t="n">
        <v>3.29447472200074E-005</v>
      </c>
      <c r="Z125" s="44" t="n">
        <v>30694488180460.2</v>
      </c>
      <c r="AA125" s="44" t="n">
        <v>3.37426834813243E-005</v>
      </c>
      <c r="AB125" s="44" t="n">
        <v>24396360068788.1</v>
      </c>
      <c r="AC125" s="44" t="n">
        <v>2.75336761403459E-005</v>
      </c>
      <c r="AD125" s="44" t="n">
        <v>20061967632947.2</v>
      </c>
      <c r="AE125" s="44" t="n">
        <v>2.21921112413827E-005</v>
      </c>
    </row>
    <row collapsed="false" customFormat="false" customHeight="false" hidden="false" ht="12.75" outlineLevel="0" r="126">
      <c r="B126" s="44" t="n">
        <v>60726005458266.9</v>
      </c>
      <c r="C126" s="44" t="n">
        <v>0</v>
      </c>
      <c r="D126" s="44" t="n">
        <v>51220079530429.1</v>
      </c>
      <c r="E126" s="44" t="n">
        <v>0</v>
      </c>
      <c r="F126" s="44" t="n">
        <v>61715697534738.6</v>
      </c>
      <c r="G126" s="44" t="n">
        <v>0</v>
      </c>
      <c r="H126" s="44" t="n">
        <v>55011949792600.7</v>
      </c>
      <c r="I126" s="44" t="n">
        <v>0</v>
      </c>
      <c r="J126" s="44" t="n">
        <v>44140889734629.4</v>
      </c>
      <c r="K126" s="44" t="n">
        <v>0</v>
      </c>
      <c r="L126" s="44" t="n">
        <v>42119732665514.7</v>
      </c>
      <c r="M126" s="44" t="n">
        <v>0</v>
      </c>
      <c r="N126" s="44" t="n">
        <v>36752414090409</v>
      </c>
      <c r="O126" s="44" t="n">
        <v>0</v>
      </c>
      <c r="P126" s="44" t="n">
        <v>31981500276191.8</v>
      </c>
      <c r="Q126" s="44" t="n">
        <v>0</v>
      </c>
      <c r="R126" s="44" t="n">
        <v>39002163191644.7</v>
      </c>
      <c r="S126" s="44" t="n">
        <v>0</v>
      </c>
      <c r="T126" s="44" t="n">
        <v>36195424673612.9</v>
      </c>
      <c r="U126" s="44" t="n">
        <v>0</v>
      </c>
      <c r="V126" s="44" t="n">
        <v>34351511861396.2</v>
      </c>
      <c r="W126" s="44" t="n">
        <v>0</v>
      </c>
      <c r="X126" s="44" t="n">
        <v>26108012693420.3</v>
      </c>
      <c r="Y126" s="44" t="n">
        <v>0</v>
      </c>
      <c r="Z126" s="44" t="n">
        <v>28978034873310.5</v>
      </c>
      <c r="AA126" s="44" t="n">
        <v>0</v>
      </c>
      <c r="AB126" s="44" t="n">
        <v>23353007757137.8</v>
      </c>
      <c r="AC126" s="44" t="n">
        <v>0</v>
      </c>
      <c r="AD126" s="44" t="n">
        <v>19832016491441.1</v>
      </c>
      <c r="AE126" s="44" t="n">
        <v>0</v>
      </c>
    </row>
    <row collapsed="false" customFormat="false" customHeight="false" hidden="false" ht="12.75" outlineLevel="0" r="127">
      <c r="B127" s="44" t="n">
        <v>57006878314246.2</v>
      </c>
      <c r="C127" s="44" t="n">
        <v>0</v>
      </c>
      <c r="D127" s="44" t="n">
        <v>49570483757731</v>
      </c>
      <c r="E127" s="44" t="n">
        <v>0</v>
      </c>
      <c r="F127" s="44" t="n">
        <v>57714982833505.5</v>
      </c>
      <c r="G127" s="44" t="n">
        <v>0</v>
      </c>
      <c r="H127" s="44" t="n">
        <v>53220236068412.1</v>
      </c>
      <c r="I127" s="44" t="n">
        <v>0</v>
      </c>
      <c r="J127" s="44" t="n">
        <v>46878234993103.3</v>
      </c>
      <c r="K127" s="44" t="n">
        <v>0</v>
      </c>
      <c r="L127" s="44" t="n">
        <v>43191804879838.7</v>
      </c>
      <c r="M127" s="44" t="n">
        <v>0</v>
      </c>
      <c r="N127" s="44" t="n">
        <v>33459058369133.1</v>
      </c>
      <c r="O127" s="44" t="n">
        <v>0</v>
      </c>
      <c r="P127" s="44" t="n">
        <v>32670811700600.8</v>
      </c>
      <c r="Q127" s="44" t="n">
        <v>0</v>
      </c>
      <c r="R127" s="44" t="n">
        <v>38827783331530</v>
      </c>
      <c r="S127" s="44" t="n">
        <v>0</v>
      </c>
      <c r="T127" s="44" t="n">
        <v>33185413988282.1</v>
      </c>
      <c r="U127" s="44" t="n">
        <v>0</v>
      </c>
      <c r="V127" s="44" t="n">
        <v>33972623524081</v>
      </c>
      <c r="W127" s="44" t="n">
        <v>0</v>
      </c>
      <c r="X127" s="44" t="n">
        <v>28999925399937.7</v>
      </c>
      <c r="Y127" s="44" t="n">
        <v>0</v>
      </c>
      <c r="Z127" s="44" t="n">
        <v>28910704673927.9</v>
      </c>
      <c r="AA127" s="44" t="n">
        <v>0</v>
      </c>
      <c r="AB127" s="44" t="n">
        <v>23005307515587.5</v>
      </c>
      <c r="AC127" s="44" t="n">
        <v>0</v>
      </c>
      <c r="AD127" s="44" t="n">
        <v>16183594725932.2</v>
      </c>
      <c r="AE127" s="44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1998-06-23T16:13:05.00Z</dcterms:created>
  <dc:creator>Ron Sinton</dc:creator>
  <cp:lastModifiedBy>Operator</cp:lastModifiedBy>
  <cp:lastPrinted>2012-01-16T22:35:25.00Z</cp:lastPrinted>
  <dcterms:modified xsi:type="dcterms:W3CDTF">2015-02-21T01:23:30.00Z</dcterms:modified>
  <cp:revision>0</cp:revision>
</cp:coreProperties>
</file>